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Day_8\"/>
    </mc:Choice>
  </mc:AlternateContent>
  <xr:revisionPtr revIDLastSave="0" documentId="13_ncr:1_{46D89E9C-23FB-4D3B-9D14-A936EA5E30E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6" i="1" l="1"/>
  <c r="P36" i="1"/>
  <c r="G36" i="1"/>
  <c r="H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4" i="1"/>
</calcChain>
</file>

<file path=xl/sharedStrings.xml><?xml version="1.0" encoding="utf-8"?>
<sst xmlns="http://schemas.openxmlformats.org/spreadsheetml/2006/main" count="57" uniqueCount="42">
  <si>
    <t>0.1 nM</t>
  </si>
  <si>
    <t>1 nM</t>
  </si>
  <si>
    <t>Relative Yield</t>
  </si>
  <si>
    <t>CV%</t>
  </si>
  <si>
    <t>Condition</t>
  </si>
  <si>
    <t>mVenus</t>
  </si>
  <si>
    <t>mCherry</t>
  </si>
  <si>
    <t>Mean</t>
  </si>
  <si>
    <t>Harmonic 
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</si>
  <si>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</si>
  <si>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</si>
  <si>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</si>
  <si>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</si>
  <si>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</si>
  <si>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</si>
  <si>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</si>
  <si>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</si>
  <si>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</si>
  <si>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</si>
  <si>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</si>
  <si>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</si>
  <si>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</si>
  <si>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</si>
  <si>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</si>
  <si>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</si>
  <si>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</si>
  <si>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</si>
  <si>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</si>
  <si>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</si>
  <si>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</si>
  <si>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</si>
  <si>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</si>
  <si>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</si>
  <si>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</si>
  <si>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</si>
  <si>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</si>
  <si>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</si>
  <si>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</si>
  <si>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</si>
  <si>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REF</t>
  </si>
  <si>
    <t>TOP6</t>
  </si>
  <si>
    <t>TOP7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</si>
</sst>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4" xfId="0" applyFill="1" applyBorder="1"/>
    <xf numFmtId="0" fontId="0" fillId="0" borderId="0" xfId="0" applyFill="1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2" borderId="0" xfId="0" applyFill="1" applyBorder="1"/>
    <xf numFmtId="0" fontId="0" fillId="0" borderId="6" xfId="0" applyFill="1" applyBorder="1"/>
    <xf numFmtId="0" fontId="0" fillId="0" borderId="5" xfId="0" applyFill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Relative yield mVenus vs mCherry - 0.1nM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Sheet1!$C$4:$C$36</c:f>
              <c:numCache>
                <c:formatCode>General</c:formatCode>
                <c:ptCount val="33"/>
                <c:pt idx="0">
                  <c:v>0.45501482569994639</c:v>
                </c:pt>
                <c:pt idx="1">
                  <c:v>1.1614252820563991</c:v>
                </c:pt>
                <c:pt idx="2">
                  <c:v>0.9653443814907845</c:v>
                </c:pt>
                <c:pt idx="3">
                  <c:v>0.65956783157307419</c:v>
                </c:pt>
                <c:pt idx="4">
                  <c:v>7.7460770742660529E-2</c:v>
                </c:pt>
                <c:pt idx="5">
                  <c:v>0.75307581207153917</c:v>
                </c:pt>
                <c:pt idx="6">
                  <c:v>1.040863910633141</c:v>
                </c:pt>
                <c:pt idx="7">
                  <c:v>0.5634414997544388</c:v>
                </c:pt>
                <c:pt idx="8">
                  <c:v>0.2963192935585458</c:v>
                </c:pt>
                <c:pt idx="9">
                  <c:v>0.83142195947222264</c:v>
                </c:pt>
                <c:pt idx="10">
                  <c:v>0.74588721231312893</c:v>
                </c:pt>
                <c:pt idx="11">
                  <c:v>2.1893214275681489E-2</c:v>
                </c:pt>
                <c:pt idx="12">
                  <c:v>1.1564414057921459</c:v>
                </c:pt>
                <c:pt idx="13">
                  <c:v>1.435853298706129</c:v>
                </c:pt>
                <c:pt idx="14">
                  <c:v>1.0458226011281291</c:v>
                </c:pt>
                <c:pt idx="15">
                  <c:v>1.268480300369359</c:v>
                </c:pt>
                <c:pt idx="16">
                  <c:v>0.77527028689497246</c:v>
                </c:pt>
                <c:pt idx="17">
                  <c:v>0.8249298431023443</c:v>
                </c:pt>
                <c:pt idx="18">
                  <c:v>0.33471790485397579</c:v>
                </c:pt>
                <c:pt idx="19">
                  <c:v>0.33661749306664829</c:v>
                </c:pt>
                <c:pt idx="20">
                  <c:v>0.26947320088847648</c:v>
                </c:pt>
                <c:pt idx="21">
                  <c:v>0.71451252459245063</c:v>
                </c:pt>
                <c:pt idx="22">
                  <c:v>0.41872988165594488</c:v>
                </c:pt>
                <c:pt idx="23">
                  <c:v>6.0698672613091378E-2</c:v>
                </c:pt>
                <c:pt idx="24">
                  <c:v>0.60032315279334403</c:v>
                </c:pt>
                <c:pt idx="25">
                  <c:v>0.40007110136400309</c:v>
                </c:pt>
                <c:pt idx="26">
                  <c:v>1.1841418772503729</c:v>
                </c:pt>
                <c:pt idx="27">
                  <c:v>0.37291406131184918</c:v>
                </c:pt>
                <c:pt idx="28">
                  <c:v>0.6057652163215409</c:v>
                </c:pt>
                <c:pt idx="29">
                  <c:v>0.53615853085595777</c:v>
                </c:pt>
                <c:pt idx="30">
                  <c:v>1</c:v>
                </c:pt>
                <c:pt idx="31">
                  <c:v>0.78735558140864015</c:v>
                </c:pt>
                <c:pt idx="32">
                  <c:v>1.3046596579191321</c:v>
                </c:pt>
              </c:numCache>
            </c:numRef>
          </c:xVal>
          <c:yVal>
            <c:numRef>
              <c:f>Sheet1!$D$4:$D$36</c:f>
              <c:numCache>
                <c:formatCode>General</c:formatCode>
                <c:ptCount val="33"/>
                <c:pt idx="0">
                  <c:v>2.6636853790041228</c:v>
                </c:pt>
                <c:pt idx="1">
                  <c:v>3.19162702188392</c:v>
                </c:pt>
                <c:pt idx="2">
                  <c:v>3.017380272756105</c:v>
                </c:pt>
                <c:pt idx="3">
                  <c:v>2.470726292419918</c:v>
                </c:pt>
                <c:pt idx="4">
                  <c:v>0.5677767205835712</c:v>
                </c:pt>
                <c:pt idx="5">
                  <c:v>2.977037741833175</c:v>
                </c:pt>
                <c:pt idx="6">
                  <c:v>2.7183634633682212</c:v>
                </c:pt>
                <c:pt idx="7">
                  <c:v>2.2891214716143362</c:v>
                </c:pt>
                <c:pt idx="8">
                  <c:v>1.023406279733587</c:v>
                </c:pt>
                <c:pt idx="9">
                  <c:v>1.3016809387884549</c:v>
                </c:pt>
                <c:pt idx="10">
                  <c:v>1.470662860767523</c:v>
                </c:pt>
                <c:pt idx="11">
                  <c:v>6.1528702822708531E-2</c:v>
                </c:pt>
                <c:pt idx="12">
                  <c:v>2.791563590231525</c:v>
                </c:pt>
                <c:pt idx="13">
                  <c:v>4.3175388518870923</c:v>
                </c:pt>
                <c:pt idx="14">
                  <c:v>3.6041230574056451</c:v>
                </c:pt>
                <c:pt idx="15">
                  <c:v>2.4414208690136379</c:v>
                </c:pt>
                <c:pt idx="16">
                  <c:v>1.911132254995243</c:v>
                </c:pt>
                <c:pt idx="17">
                  <c:v>2.5134792261338408</c:v>
                </c:pt>
                <c:pt idx="18">
                  <c:v>2.4888677450047569</c:v>
                </c:pt>
                <c:pt idx="19">
                  <c:v>2.0995242626070412</c:v>
                </c:pt>
                <c:pt idx="20">
                  <c:v>1.494957183634634</c:v>
                </c:pt>
                <c:pt idx="21">
                  <c:v>2.6677450047573741</c:v>
                </c:pt>
                <c:pt idx="22">
                  <c:v>2.531176657151919</c:v>
                </c:pt>
                <c:pt idx="23">
                  <c:v>0.19854107199492549</c:v>
                </c:pt>
                <c:pt idx="24">
                  <c:v>1.098382492863939</c:v>
                </c:pt>
                <c:pt idx="25">
                  <c:v>1.947161433555344</c:v>
                </c:pt>
                <c:pt idx="26">
                  <c:v>2.5705042816365369</c:v>
                </c:pt>
                <c:pt idx="27">
                  <c:v>1.709165873771012</c:v>
                </c:pt>
                <c:pt idx="28">
                  <c:v>1.283539486203616</c:v>
                </c:pt>
                <c:pt idx="29">
                  <c:v>1.08430066603235</c:v>
                </c:pt>
                <c:pt idx="30">
                  <c:v>1</c:v>
                </c:pt>
                <c:pt idx="31">
                  <c:v>2.0576593720266412</c:v>
                </c:pt>
                <c:pt idx="32">
                  <c:v>4.7468442752933706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4-469D-8B7C-1CABC3688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556767"/>
        <c:axId val="1828557599"/>
      </c:scatterChart>
      <c:valAx>
        <c:axId val="182855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57599"/>
        <c:crosses val="autoZero"/>
        <c:crossBetween val="midCat"/>
      </c:valAx>
      <c:valAx>
        <c:axId val="182855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5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baseline="0">
                <a:effectLst/>
              </a:rPr>
              <a:t>Relative yield mVenus vs mCherry - 1nM</a:t>
            </a:r>
            <a:endParaRPr lang="en-GB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Sheet1!$K$4:$K$36</c:f>
              <c:numCache>
                <c:formatCode>General</c:formatCode>
                <c:ptCount val="33"/>
                <c:pt idx="0">
                  <c:v>1.7157595880852701</c:v>
                </c:pt>
                <c:pt idx="1">
                  <c:v>1.722077057568612</c:v>
                </c:pt>
                <c:pt idx="2">
                  <c:v>2.330420416085206</c:v>
                </c:pt>
                <c:pt idx="3">
                  <c:v>1.898538729287971</c:v>
                </c:pt>
                <c:pt idx="4">
                  <c:v>1.7336124344353021</c:v>
                </c:pt>
                <c:pt idx="5">
                  <c:v>1.669555523474969</c:v>
                </c:pt>
                <c:pt idx="6">
                  <c:v>1.8180862326163321</c:v>
                </c:pt>
                <c:pt idx="7">
                  <c:v>0.88916157387357042</c:v>
                </c:pt>
                <c:pt idx="8">
                  <c:v>1.6664044078725759</c:v>
                </c:pt>
                <c:pt idx="9">
                  <c:v>1.4159993904688579</c:v>
                </c:pt>
                <c:pt idx="10">
                  <c:v>2.0215725903469508</c:v>
                </c:pt>
                <c:pt idx="11">
                  <c:v>1.7433304460805541</c:v>
                </c:pt>
                <c:pt idx="12">
                  <c:v>1.3373634570039941</c:v>
                </c:pt>
                <c:pt idx="13">
                  <c:v>1.064524485507595</c:v>
                </c:pt>
                <c:pt idx="14">
                  <c:v>1.4961832122291201</c:v>
                </c:pt>
                <c:pt idx="15">
                  <c:v>1.390317276999824</c:v>
                </c:pt>
                <c:pt idx="16">
                  <c:v>1.966027460981987</c:v>
                </c:pt>
                <c:pt idx="17">
                  <c:v>2.0134946986830919</c:v>
                </c:pt>
                <c:pt idx="18">
                  <c:v>1.863193943185282</c:v>
                </c:pt>
                <c:pt idx="19">
                  <c:v>2.1228341594084341</c:v>
                </c:pt>
                <c:pt idx="20">
                  <c:v>1.658977752113308</c:v>
                </c:pt>
                <c:pt idx="21">
                  <c:v>1.7206254110325141</c:v>
                </c:pt>
                <c:pt idx="22">
                  <c:v>2.1389329996952351</c:v>
                </c:pt>
                <c:pt idx="23">
                  <c:v>1.7118064578220491</c:v>
                </c:pt>
                <c:pt idx="24">
                  <c:v>1.750743467590588</c:v>
                </c:pt>
                <c:pt idx="25">
                  <c:v>1.627584492244518</c:v>
                </c:pt>
                <c:pt idx="26">
                  <c:v>1.90769051858268</c:v>
                </c:pt>
                <c:pt idx="27">
                  <c:v>1.0000609531142231</c:v>
                </c:pt>
                <c:pt idx="28">
                  <c:v>2.2207256628651169</c:v>
                </c:pt>
                <c:pt idx="29">
                  <c:v>1.8377540381438171</c:v>
                </c:pt>
                <c:pt idx="30">
                  <c:v>1</c:v>
                </c:pt>
                <c:pt idx="31">
                  <c:v>1.867980366681103</c:v>
                </c:pt>
                <c:pt idx="32">
                  <c:v>2.2392746579407472</c:v>
                </c:pt>
              </c:numCache>
            </c:numRef>
          </c:xVal>
          <c:yVal>
            <c:numRef>
              <c:f>Sheet1!$L$4:$L$36</c:f>
              <c:numCache>
                <c:formatCode>General</c:formatCode>
                <c:ptCount val="33"/>
                <c:pt idx="0">
                  <c:v>3.04031699889258</c:v>
                </c:pt>
                <c:pt idx="1">
                  <c:v>2.05436738648948</c:v>
                </c:pt>
                <c:pt idx="2">
                  <c:v>3.75</c:v>
                </c:pt>
                <c:pt idx="3">
                  <c:v>3.5601121262458468</c:v>
                </c:pt>
                <c:pt idx="4">
                  <c:v>2.5372715946843849</c:v>
                </c:pt>
                <c:pt idx="5">
                  <c:v>3.1690891472868219</c:v>
                </c:pt>
                <c:pt idx="6">
                  <c:v>3.61593300110742</c:v>
                </c:pt>
                <c:pt idx="7">
                  <c:v>0.70881782945736427</c:v>
                </c:pt>
                <c:pt idx="8">
                  <c:v>1.39922480620155</c:v>
                </c:pt>
                <c:pt idx="9">
                  <c:v>1.090427740863787</c:v>
                </c:pt>
                <c:pt idx="10">
                  <c:v>2.447916666666667</c:v>
                </c:pt>
                <c:pt idx="11">
                  <c:v>3.0983181063122922</c:v>
                </c:pt>
                <c:pt idx="12">
                  <c:v>1.205426356589147</c:v>
                </c:pt>
                <c:pt idx="13">
                  <c:v>2.1111572535991141</c:v>
                </c:pt>
                <c:pt idx="14">
                  <c:v>2.2119324473975639</c:v>
                </c:pt>
                <c:pt idx="15">
                  <c:v>1.7247715946843849</c:v>
                </c:pt>
                <c:pt idx="16">
                  <c:v>2.9263911960132889</c:v>
                </c:pt>
                <c:pt idx="17">
                  <c:v>2.5749930786267989</c:v>
                </c:pt>
                <c:pt idx="18">
                  <c:v>2.0900124584717612</c:v>
                </c:pt>
                <c:pt idx="19">
                  <c:v>4.1380121816168334</c:v>
                </c:pt>
                <c:pt idx="20">
                  <c:v>2.3470722591362132</c:v>
                </c:pt>
                <c:pt idx="21">
                  <c:v>1.5109011627906981</c:v>
                </c:pt>
                <c:pt idx="22">
                  <c:v>2.4959163898117391</c:v>
                </c:pt>
                <c:pt idx="23">
                  <c:v>2.5063330564784061</c:v>
                </c:pt>
                <c:pt idx="24">
                  <c:v>1.790836101882614</c:v>
                </c:pt>
                <c:pt idx="25">
                  <c:v>2.5437430786267989</c:v>
                </c:pt>
                <c:pt idx="26">
                  <c:v>2.657841915836102</c:v>
                </c:pt>
                <c:pt idx="27">
                  <c:v>2.1026785714285712</c:v>
                </c:pt>
                <c:pt idx="28">
                  <c:v>4.0854443521594694</c:v>
                </c:pt>
                <c:pt idx="29">
                  <c:v>2.2529069767441858</c:v>
                </c:pt>
                <c:pt idx="30">
                  <c:v>1</c:v>
                </c:pt>
                <c:pt idx="31">
                  <c:v>2.7787929125138429</c:v>
                </c:pt>
                <c:pt idx="32">
                  <c:v>3.068971483942414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0-4E23-AE71-DB052A0DF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893823"/>
        <c:axId val="1940890079"/>
      </c:scatterChart>
      <c:valAx>
        <c:axId val="194089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90079"/>
        <c:crosses val="autoZero"/>
        <c:crossBetween val="midCat"/>
      </c:valAx>
      <c:valAx>
        <c:axId val="194089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9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37</xdr:row>
      <xdr:rowOff>104775</xdr:rowOff>
    </xdr:from>
    <xdr:to>
      <xdr:col>8</xdr:col>
      <xdr:colOff>104775</xdr:colOff>
      <xdr:row>58</xdr:row>
      <xdr:rowOff>66674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9C31471-FDC3-4D58-ABA4-8329A6DDA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285749</xdr:colOff>
      <xdr:row>37</xdr:row>
      <xdr:rowOff>123825</xdr:rowOff>
    </xdr:from>
    <xdr:to>
      <xdr:col>16</xdr:col>
      <xdr:colOff>104774</xdr:colOff>
      <xdr:row>58</xdr:row>
      <xdr:rowOff>109537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A386961-5B66-4A5A-B350-A860E788E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96"/>
  <sheetViews>
    <sheetView tabSelected="1" topLeftCell="A52" zoomScale="66" zoomScaleNormal="66" workbookViewId="0">
      <selection activeCell="L63" sqref="L63:L96"/>
    </sheetView>
  </sheetViews>
  <sheetFormatPr baseColWidth="10" defaultColWidth="9.140625" defaultRowHeight="15" x14ac:dyDescent="0.25"/>
  <sheetData>
    <row r="1" spans="2:16" x14ac:dyDescent="0.25">
      <c r="C1" s="16" t="s">
        <v>0</v>
      </c>
      <c r="D1" s="16"/>
      <c r="E1" s="16"/>
      <c r="F1" s="16"/>
      <c r="G1" s="16"/>
      <c r="H1" s="16"/>
      <c r="K1" s="16" t="s">
        <v>1</v>
      </c>
      <c r="L1" s="16"/>
      <c r="M1" s="16"/>
      <c r="N1" s="16"/>
      <c r="O1" s="16"/>
      <c r="P1" s="16"/>
    </row>
    <row r="2" spans="2:16" x14ac:dyDescent="0.25">
      <c r="C2" s="17" t="s">
        <v>2</v>
      </c>
      <c r="D2" s="18"/>
      <c r="E2" s="19" t="s">
        <v>3</v>
      </c>
      <c r="F2" s="20"/>
      <c r="G2" s="1"/>
      <c r="H2" s="1"/>
      <c r="K2" s="17" t="s">
        <v>2</v>
      </c>
      <c r="L2" s="18"/>
      <c r="M2" s="19" t="s">
        <v>3</v>
      </c>
      <c r="N2" s="20"/>
      <c r="O2" s="1"/>
      <c r="P2" s="1"/>
    </row>
    <row r="3" spans="2:16" ht="45" x14ac:dyDescent="0.25">
      <c r="B3" s="9" t="s">
        <v>4</v>
      </c>
      <c r="C3" s="10" t="s">
        <v>5</v>
      </c>
      <c r="D3" s="10" t="s">
        <v>6</v>
      </c>
      <c r="E3" s="10" t="s">
        <v>5</v>
      </c>
      <c r="F3" s="10" t="s">
        <v>6</v>
      </c>
      <c r="G3" s="11" t="s">
        <v>7</v>
      </c>
      <c r="H3" s="12" t="s">
        <v>8</v>
      </c>
      <c r="I3" s="2"/>
      <c r="K3" s="10" t="s">
        <v>5</v>
      </c>
      <c r="L3" s="10" t="s">
        <v>6</v>
      </c>
      <c r="M3" s="10" t="s">
        <v>5</v>
      </c>
      <c r="N3" s="10" t="s">
        <v>6</v>
      </c>
      <c r="O3" s="11" t="s">
        <v>7</v>
      </c>
      <c r="P3" s="12" t="s">
        <v>8</v>
      </c>
    </row>
    <row r="4" spans="2:16" x14ac:dyDescent="0.25">
      <c r="B4" s="8" t="s">
        <v>9</v>
      </c>
      <c r="C4">
        <v>0.45501482569994639</v>
      </c>
      <c r="D4">
        <v>2.6636853790041228</v>
      </c>
      <c r="E4">
        <v>5.4206448861617194</v>
      </c>
      <c r="F4">
        <v>2.799377916018662</v>
      </c>
      <c r="G4" s="4">
        <f>AVERAGE(C4:D4)</f>
        <v>1.5593501023520346</v>
      </c>
      <c r="H4" s="4">
        <f>HARMEAN(C4:D4)</f>
        <v>0.77725735652238737</v>
      </c>
      <c r="J4" s="8">
        <v>34</v>
      </c>
      <c r="K4">
        <v>1.7157595880852701</v>
      </c>
      <c r="L4">
        <v>3.04031699889258</v>
      </c>
      <c r="M4">
        <v>1.4153365124443229</v>
      </c>
      <c r="N4">
        <v>3.114143920595533</v>
      </c>
      <c r="O4" s="8">
        <f>AVERAGE(K4:L4)</f>
        <v>2.3780382934889248</v>
      </c>
      <c r="P4" s="8">
        <f>HARMEAN(K4:L4)</f>
        <v>2.1935950551979082</v>
      </c>
    </row>
    <row r="5" spans="2:16" x14ac:dyDescent="0.25">
      <c r="B5" s="8" t="s">
        <v>10</v>
      </c>
      <c r="C5">
        <v>1.1614252820563991</v>
      </c>
      <c r="D5">
        <v>3.19162702188392</v>
      </c>
      <c r="E5">
        <v>12.432542080640999</v>
      </c>
      <c r="F5">
        <v>9.1446673706441395</v>
      </c>
      <c r="G5" s="4">
        <f t="shared" ref="G5:G35" si="0">AVERAGE(C5:D5)</f>
        <v>2.1765261519701595</v>
      </c>
      <c r="H5" s="4">
        <f t="shared" ref="H5:H35" si="1">HARMEAN(C5:D5)</f>
        <v>1.7030975303260116</v>
      </c>
      <c r="J5" s="8">
        <v>35</v>
      </c>
      <c r="K5">
        <v>1.722077057568612</v>
      </c>
      <c r="L5">
        <v>2.05436738648948</v>
      </c>
      <c r="M5">
        <v>2.085658974974919</v>
      </c>
      <c r="N5">
        <v>1.3321250566379701</v>
      </c>
      <c r="O5" s="8">
        <f t="shared" ref="O5:O35" si="2">AVERAGE(K5:L5)</f>
        <v>1.8882222220290461</v>
      </c>
      <c r="P5" s="8">
        <f t="shared" ref="P5:P35" si="3">HARMEAN(K5:L5)</f>
        <v>1.8736030657922755</v>
      </c>
    </row>
    <row r="6" spans="2:16" x14ac:dyDescent="0.25">
      <c r="B6" s="8" t="s">
        <v>11</v>
      </c>
      <c r="C6">
        <v>0.9653443814907845</v>
      </c>
      <c r="D6">
        <v>3.017380272756105</v>
      </c>
      <c r="E6">
        <v>7.2045607181490539</v>
      </c>
      <c r="F6">
        <v>5.1060487038491758</v>
      </c>
      <c r="G6" s="4">
        <f t="shared" si="0"/>
        <v>1.9913623271234449</v>
      </c>
      <c r="H6" s="4">
        <f t="shared" si="1"/>
        <v>1.462722807121615</v>
      </c>
      <c r="J6" s="8">
        <v>36</v>
      </c>
      <c r="K6">
        <v>2.330420416085206</v>
      </c>
      <c r="L6">
        <v>3.75</v>
      </c>
      <c r="M6">
        <v>2.1615434074041038</v>
      </c>
      <c r="N6">
        <v>1.636363636363636</v>
      </c>
      <c r="O6" s="8">
        <f t="shared" si="2"/>
        <v>3.0402102080426028</v>
      </c>
      <c r="P6" s="8">
        <f t="shared" si="3"/>
        <v>2.874497472971139</v>
      </c>
    </row>
    <row r="7" spans="2:16" x14ac:dyDescent="0.25">
      <c r="B7" s="8" t="s">
        <v>12</v>
      </c>
      <c r="C7">
        <v>0.65956783157307419</v>
      </c>
      <c r="D7">
        <v>2.470726292419918</v>
      </c>
      <c r="E7">
        <v>10.238892609957579</v>
      </c>
      <c r="F7">
        <v>13.69362047947989</v>
      </c>
      <c r="G7" s="4">
        <f t="shared" si="0"/>
        <v>1.565147061996496</v>
      </c>
      <c r="H7" s="4">
        <f t="shared" si="1"/>
        <v>1.0411875169246139</v>
      </c>
      <c r="J7" s="8">
        <v>37</v>
      </c>
      <c r="K7">
        <v>1.898538729287971</v>
      </c>
      <c r="L7">
        <v>3.5601121262458468</v>
      </c>
      <c r="M7">
        <v>6.0206797260154439E-2</v>
      </c>
      <c r="N7">
        <v>2.0156184043900378</v>
      </c>
      <c r="O7" s="8">
        <f t="shared" si="2"/>
        <v>2.7293254277669088</v>
      </c>
      <c r="P7" s="8">
        <f t="shared" si="3"/>
        <v>2.4764400329555438</v>
      </c>
    </row>
    <row r="8" spans="2:16" x14ac:dyDescent="0.25">
      <c r="B8" s="8" t="s">
        <v>13</v>
      </c>
      <c r="C8">
        <v>7.7460770742660529E-2</v>
      </c>
      <c r="D8">
        <v>0.5677767205835712</v>
      </c>
      <c r="E8">
        <v>20.97542389026481</v>
      </c>
      <c r="F8">
        <v>13.86775892334699</v>
      </c>
      <c r="G8" s="4">
        <f t="shared" si="0"/>
        <v>0.32261874566311588</v>
      </c>
      <c r="H8" s="4">
        <f t="shared" si="1"/>
        <v>0.13632320805086992</v>
      </c>
      <c r="J8" s="8">
        <v>38</v>
      </c>
      <c r="K8">
        <v>1.7336124344353021</v>
      </c>
      <c r="L8">
        <v>2.5372715946843849</v>
      </c>
      <c r="M8">
        <v>0.94717514522256496</v>
      </c>
      <c r="N8">
        <v>2.2189458164393661</v>
      </c>
      <c r="O8" s="8">
        <f t="shared" si="2"/>
        <v>2.1354420145598434</v>
      </c>
      <c r="P8" s="8">
        <f t="shared" si="3"/>
        <v>2.0598290921006277</v>
      </c>
    </row>
    <row r="9" spans="2:16" x14ac:dyDescent="0.25">
      <c r="B9" s="8" t="s">
        <v>14</v>
      </c>
      <c r="C9">
        <v>0.75307581207153917</v>
      </c>
      <c r="D9">
        <v>2.977037741833175</v>
      </c>
      <c r="E9">
        <v>2.8108770684816622</v>
      </c>
      <c r="F9">
        <v>0.3319977103606182</v>
      </c>
      <c r="G9" s="4">
        <f t="shared" si="0"/>
        <v>1.8650567769523572</v>
      </c>
      <c r="H9" s="4">
        <f t="shared" si="1"/>
        <v>1.2020733860242743</v>
      </c>
      <c r="J9" s="8">
        <v>39</v>
      </c>
      <c r="K9">
        <v>1.669555523474969</v>
      </c>
      <c r="L9">
        <v>3.1690891472868219</v>
      </c>
      <c r="M9">
        <v>5.9275441293813129</v>
      </c>
      <c r="N9">
        <v>10.54415700267618</v>
      </c>
      <c r="O9" s="8">
        <f t="shared" si="2"/>
        <v>2.4193223353808957</v>
      </c>
      <c r="P9" s="8">
        <f t="shared" si="3"/>
        <v>2.1869637678537321</v>
      </c>
    </row>
    <row r="10" spans="2:16" x14ac:dyDescent="0.25">
      <c r="B10" s="8" t="s">
        <v>15</v>
      </c>
      <c r="C10">
        <v>1.040863910633141</v>
      </c>
      <c r="D10">
        <v>2.7183634633682212</v>
      </c>
      <c r="E10">
        <v>3.4000713039235921</v>
      </c>
      <c r="F10">
        <v>3.565660330475835</v>
      </c>
      <c r="G10" s="4">
        <f t="shared" si="0"/>
        <v>1.8796136870006812</v>
      </c>
      <c r="H10" s="4">
        <f t="shared" si="1"/>
        <v>1.505334018672035</v>
      </c>
      <c r="J10" s="8">
        <v>40</v>
      </c>
      <c r="K10">
        <v>1.8180862326163321</v>
      </c>
      <c r="L10">
        <v>3.61593300110742</v>
      </c>
      <c r="M10">
        <v>4.5752969727934598</v>
      </c>
      <c r="N10">
        <v>2.1956301084459642</v>
      </c>
      <c r="O10" s="8">
        <f t="shared" si="2"/>
        <v>2.7170096168618763</v>
      </c>
      <c r="P10" s="8">
        <f t="shared" si="3"/>
        <v>2.4196005662171571</v>
      </c>
    </row>
    <row r="11" spans="2:16" x14ac:dyDescent="0.25">
      <c r="B11" s="8" t="s">
        <v>16</v>
      </c>
      <c r="C11">
        <v>0.5634414997544388</v>
      </c>
      <c r="D11">
        <v>2.2891214716143362</v>
      </c>
      <c r="E11">
        <v>1.4333622282346969</v>
      </c>
      <c r="F11">
        <v>1.1203677104280381</v>
      </c>
      <c r="G11" s="4">
        <f t="shared" si="0"/>
        <v>1.4262814856843875</v>
      </c>
      <c r="H11" s="4">
        <f t="shared" si="1"/>
        <v>0.90429978095633634</v>
      </c>
      <c r="J11" s="8">
        <v>41</v>
      </c>
      <c r="K11">
        <v>0.88916157387357042</v>
      </c>
      <c r="L11">
        <v>0.70881782945736427</v>
      </c>
      <c r="M11">
        <v>1.3153482132876251</v>
      </c>
      <c r="N11">
        <v>2.2369511184755591</v>
      </c>
      <c r="O11" s="8">
        <f t="shared" si="2"/>
        <v>0.79898970166546734</v>
      </c>
      <c r="P11" s="8">
        <f t="shared" si="3"/>
        <v>0.78881314179170947</v>
      </c>
    </row>
    <row r="12" spans="2:16" x14ac:dyDescent="0.25">
      <c r="B12" s="8" t="s">
        <v>17</v>
      </c>
      <c r="C12">
        <v>0.2963192935585458</v>
      </c>
      <c r="D12">
        <v>1.023406279733587</v>
      </c>
      <c r="E12">
        <v>2.5788909944796901</v>
      </c>
      <c r="F12">
        <v>3.9521753570242439</v>
      </c>
      <c r="G12" s="4">
        <f t="shared" si="0"/>
        <v>0.65986278664606646</v>
      </c>
      <c r="H12" s="4">
        <f t="shared" si="1"/>
        <v>0.45957285661677161</v>
      </c>
      <c r="J12" s="8">
        <v>42</v>
      </c>
      <c r="K12">
        <v>1.6664044078725759</v>
      </c>
      <c r="L12">
        <v>1.39922480620155</v>
      </c>
      <c r="M12">
        <v>8.5471404598292491</v>
      </c>
      <c r="N12">
        <v>14.62482946793997</v>
      </c>
      <c r="O12" s="8">
        <f t="shared" si="2"/>
        <v>1.532814607037063</v>
      </c>
      <c r="P12" s="8">
        <f t="shared" si="3"/>
        <v>1.5211718194453079</v>
      </c>
    </row>
    <row r="13" spans="2:16" x14ac:dyDescent="0.25">
      <c r="B13" s="8" t="s">
        <v>18</v>
      </c>
      <c r="C13">
        <v>0.83142195947222264</v>
      </c>
      <c r="D13">
        <v>1.3016809387884549</v>
      </c>
      <c r="E13">
        <v>4.1323617344223296</v>
      </c>
      <c r="F13">
        <v>3.9416846652267821</v>
      </c>
      <c r="G13" s="4">
        <f t="shared" si="0"/>
        <v>1.0665514491303387</v>
      </c>
      <c r="H13" s="4">
        <f t="shared" si="1"/>
        <v>1.0147153403781861</v>
      </c>
      <c r="J13" s="8">
        <v>43</v>
      </c>
      <c r="K13">
        <v>1.4159993904688579</v>
      </c>
      <c r="L13">
        <v>1.090427740863787</v>
      </c>
      <c r="M13">
        <v>7.5337535333672756</v>
      </c>
      <c r="N13">
        <v>14.65703971119134</v>
      </c>
      <c r="O13" s="8">
        <f t="shared" si="2"/>
        <v>1.2532135656663224</v>
      </c>
      <c r="P13" s="8">
        <f t="shared" si="3"/>
        <v>1.232068546586871</v>
      </c>
    </row>
    <row r="14" spans="2:16" x14ac:dyDescent="0.25">
      <c r="B14" s="8" t="s">
        <v>19</v>
      </c>
      <c r="C14">
        <v>0.74588721231312893</v>
      </c>
      <c r="D14">
        <v>1.470662860767523</v>
      </c>
      <c r="E14">
        <v>17.65767664923122</v>
      </c>
      <c r="F14">
        <v>7.0126227208976157</v>
      </c>
      <c r="G14" s="4">
        <f t="shared" si="0"/>
        <v>1.108275036540326</v>
      </c>
      <c r="H14" s="4">
        <f t="shared" si="1"/>
        <v>0.9897801405819403</v>
      </c>
      <c r="J14" s="8">
        <v>44</v>
      </c>
      <c r="K14">
        <v>2.0215725903469508</v>
      </c>
      <c r="L14">
        <v>2.447916666666667</v>
      </c>
      <c r="M14">
        <v>7.7258157147427813</v>
      </c>
      <c r="N14">
        <v>2.9650847720058842</v>
      </c>
      <c r="O14" s="8">
        <f t="shared" si="2"/>
        <v>2.2347446285068089</v>
      </c>
      <c r="P14" s="8">
        <f t="shared" si="3"/>
        <v>2.2144101718205471</v>
      </c>
    </row>
    <row r="15" spans="2:16" x14ac:dyDescent="0.25">
      <c r="B15" s="8" t="s">
        <v>20</v>
      </c>
      <c r="C15">
        <v>2.1893214275681489E-2</v>
      </c>
      <c r="D15">
        <v>6.1528702822708531E-2</v>
      </c>
      <c r="E15">
        <v>6.5897065897065898</v>
      </c>
      <c r="F15">
        <v>12.299465240641711</v>
      </c>
      <c r="G15" s="4">
        <f t="shared" si="0"/>
        <v>4.1710958549195008E-2</v>
      </c>
      <c r="H15" s="4">
        <f t="shared" si="1"/>
        <v>3.2295135903278913E-2</v>
      </c>
      <c r="J15" s="8">
        <v>45</v>
      </c>
      <c r="K15">
        <v>1.7433304460805541</v>
      </c>
      <c r="L15">
        <v>3.0983181063122922</v>
      </c>
      <c r="M15">
        <v>0.6157020356911127</v>
      </c>
      <c r="N15">
        <v>2.519780888618381</v>
      </c>
      <c r="O15" s="8">
        <f t="shared" si="2"/>
        <v>2.4208242761964232</v>
      </c>
      <c r="P15" s="8">
        <f t="shared" si="3"/>
        <v>2.2312203076811028</v>
      </c>
    </row>
    <row r="16" spans="2:16" x14ac:dyDescent="0.25">
      <c r="B16" s="8" t="s">
        <v>21</v>
      </c>
      <c r="C16">
        <v>1.1564414057921459</v>
      </c>
      <c r="D16">
        <v>2.791563590231525</v>
      </c>
      <c r="E16">
        <v>0.25355567096242049</v>
      </c>
      <c r="F16">
        <v>0.19588638589618021</v>
      </c>
      <c r="G16" s="4">
        <f t="shared" si="0"/>
        <v>1.9740024980118354</v>
      </c>
      <c r="H16" s="4">
        <f t="shared" si="1"/>
        <v>1.6353979926048499</v>
      </c>
      <c r="J16" s="8">
        <v>46</v>
      </c>
      <c r="K16">
        <v>1.3373634570039941</v>
      </c>
      <c r="L16">
        <v>1.205426356589147</v>
      </c>
      <c r="M16">
        <v>3.8160711722469771</v>
      </c>
      <c r="N16">
        <v>1.0476935105551211</v>
      </c>
      <c r="O16" s="8">
        <f t="shared" si="2"/>
        <v>1.2713949067965706</v>
      </c>
      <c r="P16" s="8">
        <f t="shared" si="3"/>
        <v>1.2679720130967409</v>
      </c>
    </row>
    <row r="17" spans="2:16" x14ac:dyDescent="0.25">
      <c r="B17" s="7" t="s">
        <v>22</v>
      </c>
      <c r="C17" s="5">
        <v>1.435853298706129</v>
      </c>
      <c r="D17" s="5">
        <v>4.3175388518870923</v>
      </c>
      <c r="E17" s="5">
        <v>4.1083864724281538</v>
      </c>
      <c r="F17" s="5">
        <v>0.19426528867821899</v>
      </c>
      <c r="G17" s="5">
        <f t="shared" si="0"/>
        <v>2.8766960752966106</v>
      </c>
      <c r="H17" s="6">
        <f t="shared" si="1"/>
        <v>2.1550251540336078</v>
      </c>
      <c r="J17" s="8">
        <v>47</v>
      </c>
      <c r="K17">
        <v>1.064524485507595</v>
      </c>
      <c r="L17">
        <v>2.1111572535991141</v>
      </c>
      <c r="M17">
        <v>1.871451601598094</v>
      </c>
      <c r="N17">
        <v>6.9434239529757527</v>
      </c>
      <c r="O17" s="8">
        <f t="shared" si="2"/>
        <v>1.5878408695533546</v>
      </c>
      <c r="P17" s="8">
        <f t="shared" si="3"/>
        <v>1.4153676431350402</v>
      </c>
    </row>
    <row r="18" spans="2:16" x14ac:dyDescent="0.25">
      <c r="B18" s="8" t="s">
        <v>23</v>
      </c>
      <c r="C18">
        <v>1.0458226011281291</v>
      </c>
      <c r="D18">
        <v>3.6041230574056451</v>
      </c>
      <c r="E18">
        <v>7.7694754474788734</v>
      </c>
      <c r="F18">
        <v>5.8998697189651974</v>
      </c>
      <c r="G18" s="4">
        <f t="shared" si="0"/>
        <v>2.324972829266887</v>
      </c>
      <c r="H18" s="4">
        <f t="shared" si="1"/>
        <v>1.6212117850299217</v>
      </c>
      <c r="J18" s="8">
        <v>48</v>
      </c>
      <c r="K18">
        <v>1.4961832122291201</v>
      </c>
      <c r="L18">
        <v>2.2119324473975639</v>
      </c>
      <c r="M18">
        <v>6.6650486395872903</v>
      </c>
      <c r="N18">
        <v>4.5384483644459674</v>
      </c>
      <c r="O18" s="8">
        <f t="shared" si="2"/>
        <v>1.8540578298133421</v>
      </c>
      <c r="P18" s="8">
        <f t="shared" si="3"/>
        <v>1.7849800266015907</v>
      </c>
    </row>
    <row r="19" spans="2:16" x14ac:dyDescent="0.25">
      <c r="B19" s="8" t="s">
        <v>24</v>
      </c>
      <c r="C19">
        <v>1.268480300369359</v>
      </c>
      <c r="D19">
        <v>2.4414208690136379</v>
      </c>
      <c r="E19">
        <v>1.221009057287948</v>
      </c>
      <c r="F19">
        <v>5.5897149245388487E-2</v>
      </c>
      <c r="G19" s="4">
        <f t="shared" si="0"/>
        <v>1.8549505846914984</v>
      </c>
      <c r="H19" s="4">
        <f t="shared" si="1"/>
        <v>1.6695292601390204</v>
      </c>
      <c r="J19" s="8">
        <v>49</v>
      </c>
      <c r="K19">
        <v>1.390317276999824</v>
      </c>
      <c r="L19">
        <v>1.7247715946843849</v>
      </c>
      <c r="M19">
        <v>0.6031757351018564</v>
      </c>
      <c r="N19">
        <v>0.40988146671097808</v>
      </c>
      <c r="O19" s="8">
        <f t="shared" si="2"/>
        <v>1.5575444358421044</v>
      </c>
      <c r="P19" s="8">
        <f t="shared" si="3"/>
        <v>1.5395899415683398</v>
      </c>
    </row>
    <row r="20" spans="2:16" x14ac:dyDescent="0.25">
      <c r="B20" s="13" t="s">
        <v>25</v>
      </c>
      <c r="C20">
        <v>0.77527028689497246</v>
      </c>
      <c r="D20">
        <v>1.911132254995243</v>
      </c>
      <c r="E20">
        <v>77.024649799109568</v>
      </c>
      <c r="F20">
        <v>54.046092531623643</v>
      </c>
      <c r="G20" s="4">
        <f t="shared" si="0"/>
        <v>1.3432012709451078</v>
      </c>
      <c r="H20" s="4">
        <f t="shared" si="1"/>
        <v>1.1030692746306578</v>
      </c>
      <c r="J20" s="8">
        <v>50</v>
      </c>
      <c r="K20">
        <v>1.966027460981987</v>
      </c>
      <c r="L20">
        <v>2.9263911960132889</v>
      </c>
      <c r="M20">
        <v>1.6083376222336589</v>
      </c>
      <c r="N20">
        <v>5.3037486566786773</v>
      </c>
      <c r="O20" s="8">
        <f t="shared" si="2"/>
        <v>2.4462093284976381</v>
      </c>
      <c r="P20" s="8">
        <f t="shared" si="3"/>
        <v>2.3519513992171426</v>
      </c>
    </row>
    <row r="21" spans="2:16" x14ac:dyDescent="0.25">
      <c r="B21" s="8" t="s">
        <v>26</v>
      </c>
      <c r="C21">
        <v>0.8249298431023443</v>
      </c>
      <c r="D21">
        <v>2.5134792261338408</v>
      </c>
      <c r="E21">
        <v>7.092397968644387</v>
      </c>
      <c r="F21">
        <v>6.1932728243459687</v>
      </c>
      <c r="G21" s="4">
        <f t="shared" si="0"/>
        <v>1.6692045346180926</v>
      </c>
      <c r="H21" s="4">
        <f t="shared" si="1"/>
        <v>1.242174928628496</v>
      </c>
      <c r="J21" s="8">
        <v>51</v>
      </c>
      <c r="K21">
        <v>2.0134946986830919</v>
      </c>
      <c r="L21">
        <v>2.5749930786267989</v>
      </c>
      <c r="M21">
        <v>11.500563715269729</v>
      </c>
      <c r="N21">
        <v>3.3628837277456221</v>
      </c>
      <c r="O21" s="8">
        <f t="shared" si="2"/>
        <v>2.2942438886549454</v>
      </c>
      <c r="P21" s="8">
        <f t="shared" si="3"/>
        <v>2.2598882963573619</v>
      </c>
    </row>
    <row r="22" spans="2:16" x14ac:dyDescent="0.25">
      <c r="B22" s="8" t="s">
        <v>27</v>
      </c>
      <c r="C22">
        <v>0.33471790485397579</v>
      </c>
      <c r="D22">
        <v>2.4888677450047569</v>
      </c>
      <c r="E22">
        <v>0.75050973927378417</v>
      </c>
      <c r="F22">
        <v>1.313171508157581</v>
      </c>
      <c r="G22" s="4">
        <f t="shared" si="0"/>
        <v>1.4117928249293663</v>
      </c>
      <c r="H22" s="4">
        <f t="shared" si="1"/>
        <v>0.59007850327353162</v>
      </c>
      <c r="J22" s="8">
        <v>52</v>
      </c>
      <c r="K22">
        <v>1.863193943185282</v>
      </c>
      <c r="L22">
        <v>2.0900124584717612</v>
      </c>
      <c r="M22">
        <v>1.206318436632263</v>
      </c>
      <c r="N22">
        <v>3.561099060014461</v>
      </c>
      <c r="O22" s="8">
        <f t="shared" si="2"/>
        <v>1.9766032008285217</v>
      </c>
      <c r="P22" s="8">
        <f t="shared" si="3"/>
        <v>1.9700962500587365</v>
      </c>
    </row>
    <row r="23" spans="2:16" x14ac:dyDescent="0.25">
      <c r="B23" s="8" t="s">
        <v>28</v>
      </c>
      <c r="C23">
        <v>0.33661749306664829</v>
      </c>
      <c r="D23">
        <v>2.0995242626070412</v>
      </c>
      <c r="E23">
        <v>6.2155097298867261</v>
      </c>
      <c r="F23">
        <v>9.2670729801531486</v>
      </c>
      <c r="G23" s="4">
        <f t="shared" si="0"/>
        <v>1.2180708778368448</v>
      </c>
      <c r="H23" s="4">
        <f t="shared" si="1"/>
        <v>0.58020974540206505</v>
      </c>
      <c r="J23" s="8">
        <v>53</v>
      </c>
      <c r="K23">
        <v>2.1228341594084341</v>
      </c>
      <c r="L23">
        <v>4.1380121816168334</v>
      </c>
      <c r="M23">
        <v>0.20145971956807041</v>
      </c>
      <c r="N23">
        <v>1.632298477435874</v>
      </c>
      <c r="O23" s="8">
        <f t="shared" si="2"/>
        <v>3.1304231705126337</v>
      </c>
      <c r="P23" s="8">
        <f t="shared" si="3"/>
        <v>2.8061105903921368</v>
      </c>
    </row>
    <row r="24" spans="2:16" x14ac:dyDescent="0.25">
      <c r="B24" s="8" t="s">
        <v>29</v>
      </c>
      <c r="C24">
        <v>0.26947320088847648</v>
      </c>
      <c r="D24">
        <v>1.494957183634634</v>
      </c>
      <c r="E24">
        <v>1.896842219685853</v>
      </c>
      <c r="F24">
        <v>5.0021939447125936</v>
      </c>
      <c r="G24" s="4">
        <f t="shared" si="0"/>
        <v>0.88221519226155531</v>
      </c>
      <c r="H24" s="4">
        <f t="shared" si="1"/>
        <v>0.4566356383327973</v>
      </c>
      <c r="J24" s="8">
        <v>54</v>
      </c>
      <c r="K24">
        <v>1.658977752113308</v>
      </c>
      <c r="L24">
        <v>2.3470722591362132</v>
      </c>
      <c r="M24">
        <v>5.102917442582247</v>
      </c>
      <c r="N24">
        <v>5.3571428571428568</v>
      </c>
      <c r="O24" s="8">
        <f t="shared" si="2"/>
        <v>2.0030250056247607</v>
      </c>
      <c r="P24" s="8">
        <f t="shared" si="3"/>
        <v>1.9439301304652494</v>
      </c>
    </row>
    <row r="25" spans="2:16" x14ac:dyDescent="0.25">
      <c r="B25" s="8" t="s">
        <v>30</v>
      </c>
      <c r="C25">
        <v>0.71451252459245063</v>
      </c>
      <c r="D25">
        <v>2.6677450047573741</v>
      </c>
      <c r="E25">
        <v>10.361936945997771</v>
      </c>
      <c r="F25">
        <v>7.3877603829732168</v>
      </c>
      <c r="G25" s="4">
        <f t="shared" si="0"/>
        <v>1.6911287646749122</v>
      </c>
      <c r="H25" s="4">
        <f t="shared" si="1"/>
        <v>1.1271390198868207</v>
      </c>
      <c r="J25" s="8">
        <v>55</v>
      </c>
      <c r="K25">
        <v>1.7206254110325141</v>
      </c>
      <c r="L25">
        <v>1.5109011627906981</v>
      </c>
      <c r="M25">
        <v>4.5035024044569951</v>
      </c>
      <c r="N25">
        <v>7.5231192201949506</v>
      </c>
      <c r="O25" s="8">
        <f t="shared" si="2"/>
        <v>1.6157632869116061</v>
      </c>
      <c r="P25" s="8">
        <f t="shared" si="3"/>
        <v>1.6089577943223006</v>
      </c>
    </row>
    <row r="26" spans="2:16" x14ac:dyDescent="0.25">
      <c r="B26" s="8" t="s">
        <v>31</v>
      </c>
      <c r="C26">
        <v>0.41872988165594488</v>
      </c>
      <c r="D26">
        <v>2.531176657151919</v>
      </c>
      <c r="E26">
        <v>25.925581611546239</v>
      </c>
      <c r="F26">
        <v>23.645699614890891</v>
      </c>
      <c r="G26" s="4">
        <f t="shared" si="0"/>
        <v>1.474953269403932</v>
      </c>
      <c r="H26" s="4">
        <f t="shared" si="1"/>
        <v>0.7185850047492276</v>
      </c>
      <c r="J26" s="8">
        <v>56</v>
      </c>
      <c r="K26">
        <v>2.1389329996952351</v>
      </c>
      <c r="L26">
        <v>2.4959163898117391</v>
      </c>
      <c r="M26">
        <v>0.26007652473224019</v>
      </c>
      <c r="N26">
        <v>7.7454736683945606</v>
      </c>
      <c r="O26" s="8">
        <f t="shared" si="2"/>
        <v>2.3174246947534871</v>
      </c>
      <c r="P26" s="8">
        <f t="shared" si="3"/>
        <v>2.3036769836512039</v>
      </c>
    </row>
    <row r="27" spans="2:16" x14ac:dyDescent="0.25">
      <c r="B27" s="8" t="s">
        <v>32</v>
      </c>
      <c r="C27">
        <v>6.0698672613091378E-2</v>
      </c>
      <c r="D27">
        <v>0.19854107199492549</v>
      </c>
      <c r="E27">
        <v>13.99238284484186</v>
      </c>
      <c r="F27">
        <v>14.02550091074681</v>
      </c>
      <c r="G27" s="4">
        <f t="shared" si="0"/>
        <v>0.12961987230400843</v>
      </c>
      <c r="H27" s="4">
        <f t="shared" si="1"/>
        <v>9.2973240252910747E-2</v>
      </c>
      <c r="J27" s="8">
        <v>57</v>
      </c>
      <c r="K27">
        <v>1.7118064578220491</v>
      </c>
      <c r="L27">
        <v>2.5063330564784061</v>
      </c>
      <c r="M27">
        <v>1.5458071081922311</v>
      </c>
      <c r="N27">
        <v>1.394647568790049</v>
      </c>
      <c r="O27" s="8">
        <f t="shared" si="2"/>
        <v>2.1090697571502277</v>
      </c>
      <c r="P27" s="8">
        <f t="shared" si="3"/>
        <v>2.034241445541249</v>
      </c>
    </row>
    <row r="28" spans="2:16" x14ac:dyDescent="0.25">
      <c r="B28" s="8" t="s">
        <v>33</v>
      </c>
      <c r="C28">
        <v>0.60032315279334403</v>
      </c>
      <c r="D28">
        <v>1.098382492863939</v>
      </c>
      <c r="E28">
        <v>1.7201825364617409</v>
      </c>
      <c r="F28">
        <v>9.569377990430622E-2</v>
      </c>
      <c r="G28" s="4">
        <f t="shared" si="0"/>
        <v>0.84935282282864155</v>
      </c>
      <c r="H28" s="4">
        <f t="shared" si="1"/>
        <v>0.77633749293151477</v>
      </c>
      <c r="J28" s="8">
        <v>58</v>
      </c>
      <c r="K28">
        <v>1.750743467590588</v>
      </c>
      <c r="L28">
        <v>1.790836101882614</v>
      </c>
      <c r="M28">
        <v>5.1389487953663204</v>
      </c>
      <c r="N28">
        <v>1.213282247765006</v>
      </c>
      <c r="O28" s="8">
        <f t="shared" si="2"/>
        <v>1.770789784736601</v>
      </c>
      <c r="P28" s="8">
        <f t="shared" si="3"/>
        <v>1.7705628493687884</v>
      </c>
    </row>
    <row r="29" spans="2:16" x14ac:dyDescent="0.25">
      <c r="B29" s="8" t="s">
        <v>34</v>
      </c>
      <c r="C29">
        <v>0.40007110136400309</v>
      </c>
      <c r="D29">
        <v>1.947161433555344</v>
      </c>
      <c r="E29">
        <v>1.1770208122223089</v>
      </c>
      <c r="F29">
        <v>5.0068119891008172</v>
      </c>
      <c r="G29" s="4">
        <f t="shared" si="0"/>
        <v>1.1736162674596735</v>
      </c>
      <c r="H29" s="4">
        <f t="shared" si="1"/>
        <v>0.66376296993750117</v>
      </c>
      <c r="J29" s="8">
        <v>59</v>
      </c>
      <c r="K29">
        <v>1.627584492244518</v>
      </c>
      <c r="L29">
        <v>2.5437430786267989</v>
      </c>
      <c r="M29">
        <v>0.69851477414184993</v>
      </c>
      <c r="N29">
        <v>6.324988890534736</v>
      </c>
      <c r="O29" s="8">
        <f t="shared" si="2"/>
        <v>2.0856637854356586</v>
      </c>
      <c r="P29" s="8">
        <f t="shared" si="3"/>
        <v>1.9850547417749307</v>
      </c>
    </row>
    <row r="30" spans="2:16" x14ac:dyDescent="0.25">
      <c r="B30" s="8" t="s">
        <v>35</v>
      </c>
      <c r="C30">
        <v>1.1841418772503729</v>
      </c>
      <c r="D30">
        <v>2.5705042816365369</v>
      </c>
      <c r="E30">
        <v>7.9309060398896847</v>
      </c>
      <c r="F30">
        <v>3.3581601986149221</v>
      </c>
      <c r="G30" s="4">
        <f t="shared" si="0"/>
        <v>1.877323079443455</v>
      </c>
      <c r="H30" s="4">
        <f t="shared" si="1"/>
        <v>1.6213734326643323</v>
      </c>
      <c r="J30" s="8">
        <v>60</v>
      </c>
      <c r="K30">
        <v>1.90769051858268</v>
      </c>
      <c r="L30">
        <v>2.657841915836102</v>
      </c>
      <c r="M30">
        <v>3.065172147860169</v>
      </c>
      <c r="N30">
        <v>8.2675765977109545</v>
      </c>
      <c r="O30" s="8">
        <f t="shared" si="2"/>
        <v>2.282766217209391</v>
      </c>
      <c r="P30" s="8">
        <f t="shared" si="3"/>
        <v>2.2211384523337152</v>
      </c>
    </row>
    <row r="31" spans="2:16" x14ac:dyDescent="0.25">
      <c r="B31" s="8" t="s">
        <v>36</v>
      </c>
      <c r="C31">
        <v>0.37291406131184918</v>
      </c>
      <c r="D31">
        <v>1.709165873771012</v>
      </c>
      <c r="E31">
        <v>6.7448144425444152</v>
      </c>
      <c r="F31">
        <v>6.7193675889328066</v>
      </c>
      <c r="G31" s="4">
        <f t="shared" si="0"/>
        <v>1.0410399675414306</v>
      </c>
      <c r="H31" s="4">
        <f t="shared" si="1"/>
        <v>0.61224545388858742</v>
      </c>
      <c r="J31" s="8">
        <v>61</v>
      </c>
      <c r="K31">
        <v>1.0000609531142231</v>
      </c>
      <c r="L31">
        <v>2.1026785714285712</v>
      </c>
      <c r="M31">
        <v>1.968780762199409E-2</v>
      </c>
      <c r="N31">
        <v>11.657443527170461</v>
      </c>
      <c r="O31" s="8">
        <f t="shared" si="2"/>
        <v>1.5513697622713971</v>
      </c>
      <c r="P31" s="8">
        <f t="shared" si="3"/>
        <v>1.355451670758969</v>
      </c>
    </row>
    <row r="32" spans="2:16" x14ac:dyDescent="0.25">
      <c r="B32" s="8" t="s">
        <v>37</v>
      </c>
      <c r="C32">
        <v>0.6057652163215409</v>
      </c>
      <c r="D32">
        <v>1.283539486203616</v>
      </c>
      <c r="E32">
        <v>7.8879065283488394</v>
      </c>
      <c r="F32">
        <v>9.4021739130434785</v>
      </c>
      <c r="G32" s="4">
        <f t="shared" si="0"/>
        <v>0.9446523512625784</v>
      </c>
      <c r="H32" s="4">
        <f t="shared" si="1"/>
        <v>0.82307906551883459</v>
      </c>
      <c r="J32" s="7">
        <v>62</v>
      </c>
      <c r="K32" s="5">
        <v>2.2207256628651169</v>
      </c>
      <c r="L32" s="5">
        <v>4.0854443521594694</v>
      </c>
      <c r="M32" s="5">
        <v>4.7469124423963134</v>
      </c>
      <c r="N32" s="5">
        <v>3.2340464352506499</v>
      </c>
      <c r="O32" s="14">
        <f t="shared" si="2"/>
        <v>3.1530850075122929</v>
      </c>
      <c r="P32" s="15">
        <f t="shared" si="3"/>
        <v>2.8773886829667128</v>
      </c>
    </row>
    <row r="33" spans="2:16" x14ac:dyDescent="0.25">
      <c r="B33" s="8" t="s">
        <v>38</v>
      </c>
      <c r="C33">
        <v>0.53615853085595777</v>
      </c>
      <c r="D33">
        <v>1.08430066603235</v>
      </c>
      <c r="E33">
        <v>6.1038566656544182</v>
      </c>
      <c r="F33">
        <v>1.137081490840177</v>
      </c>
      <c r="G33" s="4">
        <f t="shared" si="0"/>
        <v>0.81022959844415388</v>
      </c>
      <c r="H33" s="4">
        <f t="shared" si="1"/>
        <v>0.71752137076008338</v>
      </c>
      <c r="J33" s="8">
        <v>63</v>
      </c>
      <c r="K33">
        <v>1.8377540381438171</v>
      </c>
      <c r="L33">
        <v>2.2529069767441858</v>
      </c>
      <c r="M33">
        <v>3.7854558214486071</v>
      </c>
      <c r="N33">
        <v>12.97119341563786</v>
      </c>
      <c r="O33" s="8">
        <f t="shared" si="2"/>
        <v>2.0453305074440014</v>
      </c>
      <c r="P33" s="8">
        <f t="shared" si="3"/>
        <v>2.0242639901010531</v>
      </c>
    </row>
    <row r="34" spans="2:16" x14ac:dyDescent="0.25">
      <c r="B34" s="4" t="s">
        <v>39</v>
      </c>
      <c r="C34">
        <v>1</v>
      </c>
      <c r="D34">
        <v>1</v>
      </c>
      <c r="E34">
        <v>23.190749621047772</v>
      </c>
      <c r="F34">
        <v>9.3606499470151885</v>
      </c>
      <c r="G34" s="4">
        <f t="shared" si="0"/>
        <v>1</v>
      </c>
      <c r="H34" s="4">
        <f t="shared" si="1"/>
        <v>1</v>
      </c>
      <c r="J34" s="8" t="s">
        <v>39</v>
      </c>
      <c r="K34">
        <v>1</v>
      </c>
      <c r="L34">
        <v>1</v>
      </c>
      <c r="M34">
        <v>9.2047668446221191</v>
      </c>
      <c r="N34">
        <v>11.747100635989529</v>
      </c>
      <c r="O34" s="8">
        <f t="shared" si="2"/>
        <v>1</v>
      </c>
      <c r="P34" s="8">
        <f t="shared" si="3"/>
        <v>1</v>
      </c>
    </row>
    <row r="35" spans="2:16" x14ac:dyDescent="0.25">
      <c r="B35" s="8" t="s">
        <v>40</v>
      </c>
      <c r="C35">
        <v>0.78735558140864015</v>
      </c>
      <c r="D35">
        <v>2.0576593720266412</v>
      </c>
      <c r="E35">
        <v>54.347758182306613</v>
      </c>
      <c r="F35">
        <v>46.947014297729183</v>
      </c>
      <c r="G35" s="4">
        <f t="shared" si="0"/>
        <v>1.4225074767176407</v>
      </c>
      <c r="H35" s="4">
        <f t="shared" si="1"/>
        <v>1.1389111254032134</v>
      </c>
      <c r="J35" s="8" t="s">
        <v>40</v>
      </c>
      <c r="K35">
        <v>1.867980366681103</v>
      </c>
      <c r="L35">
        <v>2.7787929125138429</v>
      </c>
      <c r="M35">
        <v>1.2828166248789481</v>
      </c>
      <c r="N35">
        <v>0.17117425539198899</v>
      </c>
      <c r="O35" s="8">
        <f t="shared" si="2"/>
        <v>2.3233866395974729</v>
      </c>
      <c r="P35" s="8">
        <f t="shared" si="3"/>
        <v>2.2341226015433029</v>
      </c>
    </row>
    <row r="36" spans="2:16" x14ac:dyDescent="0.25">
      <c r="B36" s="3" t="s">
        <v>41</v>
      </c>
      <c r="C36">
        <v>1.3046596579191321</v>
      </c>
      <c r="D36">
        <v>4.7468442752933706</v>
      </c>
      <c r="E36">
        <v>6.7934192146515597</v>
      </c>
      <c r="F36">
        <v>7.053763440860215</v>
      </c>
      <c r="G36" s="4">
        <f t="shared" ref="G36" si="4">AVERAGE(C36:D36)</f>
        <v>3.0257519666062516</v>
      </c>
      <c r="H36" s="4">
        <f t="shared" ref="H36" si="5">HARMEAN(C36:D36)</f>
        <v>2.0467692979295524</v>
      </c>
      <c r="J36" s="3" t="s">
        <v>41</v>
      </c>
      <c r="K36">
        <v>2.2392746579407472</v>
      </c>
      <c r="L36">
        <v>3.068971483942414</v>
      </c>
      <c r="M36">
        <v>1.6216216216216219</v>
      </c>
      <c r="N36">
        <v>1.954556559980454</v>
      </c>
      <c r="O36" s="8">
        <f t="shared" ref="O36" si="6">AVERAGE(K36:L36)</f>
        <v>2.6541230709415808</v>
      </c>
      <c r="P36" s="8">
        <f t="shared" ref="P36" si="7">HARMEAN(K36:L36)</f>
        <v>2.5892808608521083</v>
      </c>
    </row>
    <row r="63" spans="3:12" x14ac:dyDescent="0.25">
      <c r="K63" t="s">
        <v>5</v>
      </c>
      <c r="L63" t="s">
        <v>6</v>
      </c>
    </row>
    <row r="64" spans="3:12" x14ac:dyDescent="0.25">
      <c r="C64">
        <v>0.45501482569994639</v>
      </c>
      <c r="D64">
        <v>2.6636853790041228</v>
      </c>
      <c r="K64">
        <v>1.7157595880852701</v>
      </c>
      <c r="L64">
        <v>3.04031699889258</v>
      </c>
    </row>
    <row r="65" spans="3:12" x14ac:dyDescent="0.25">
      <c r="C65">
        <v>1.1614252820563991</v>
      </c>
      <c r="D65">
        <v>3.19162702188392</v>
      </c>
      <c r="K65">
        <v>1.722077057568612</v>
      </c>
      <c r="L65">
        <v>2.05436738648948</v>
      </c>
    </row>
    <row r="66" spans="3:12" x14ac:dyDescent="0.25">
      <c r="C66">
        <v>0.9653443814907845</v>
      </c>
      <c r="D66">
        <v>3.017380272756105</v>
      </c>
      <c r="K66">
        <v>2.330420416085206</v>
      </c>
      <c r="L66">
        <v>3.75</v>
      </c>
    </row>
    <row r="67" spans="3:12" x14ac:dyDescent="0.25">
      <c r="C67">
        <v>0.65956783157307419</v>
      </c>
      <c r="D67">
        <v>2.470726292419918</v>
      </c>
      <c r="K67">
        <v>1.898538729287971</v>
      </c>
      <c r="L67">
        <v>3.5601121262458468</v>
      </c>
    </row>
    <row r="68" spans="3:12" x14ac:dyDescent="0.25">
      <c r="C68">
        <v>7.7460770742660529E-2</v>
      </c>
      <c r="D68">
        <v>0.5677767205835712</v>
      </c>
      <c r="K68">
        <v>1.7336124344353021</v>
      </c>
      <c r="L68">
        <v>2.5372715946843849</v>
      </c>
    </row>
    <row r="69" spans="3:12" x14ac:dyDescent="0.25">
      <c r="C69">
        <v>0.75307581207153917</v>
      </c>
      <c r="D69">
        <v>2.977037741833175</v>
      </c>
      <c r="K69">
        <v>1.669555523474969</v>
      </c>
      <c r="L69">
        <v>3.1690891472868219</v>
      </c>
    </row>
    <row r="70" spans="3:12" x14ac:dyDescent="0.25">
      <c r="C70">
        <v>1.040863910633141</v>
      </c>
      <c r="D70">
        <v>2.7183634633682212</v>
      </c>
      <c r="K70">
        <v>1.8180862326163321</v>
      </c>
      <c r="L70">
        <v>3.61593300110742</v>
      </c>
    </row>
    <row r="71" spans="3:12" x14ac:dyDescent="0.25">
      <c r="C71">
        <v>0.5634414997544388</v>
      </c>
      <c r="D71">
        <v>2.2891214716143362</v>
      </c>
      <c r="K71">
        <v>0.88916157387357042</v>
      </c>
      <c r="L71">
        <v>0.70881782945736427</v>
      </c>
    </row>
    <row r="72" spans="3:12" x14ac:dyDescent="0.25">
      <c r="C72">
        <v>0.2963192935585458</v>
      </c>
      <c r="D72">
        <v>1.023406279733587</v>
      </c>
      <c r="K72">
        <v>1.6664044078725759</v>
      </c>
      <c r="L72">
        <v>1.39922480620155</v>
      </c>
    </row>
    <row r="73" spans="3:12" x14ac:dyDescent="0.25">
      <c r="C73">
        <v>0.83142195947222264</v>
      </c>
      <c r="D73">
        <v>1.3016809387884549</v>
      </c>
      <c r="K73">
        <v>1.4159993904688579</v>
      </c>
      <c r="L73">
        <v>1.090427740863787</v>
      </c>
    </row>
    <row r="74" spans="3:12" x14ac:dyDescent="0.25">
      <c r="C74">
        <v>0.74588721231312893</v>
      </c>
      <c r="D74">
        <v>1.470662860767523</v>
      </c>
      <c r="K74">
        <v>2.0215725903469508</v>
      </c>
      <c r="L74">
        <v>2.447916666666667</v>
      </c>
    </row>
    <row r="75" spans="3:12" x14ac:dyDescent="0.25">
      <c r="C75">
        <v>2.1893214275681489E-2</v>
      </c>
      <c r="D75">
        <v>6.1528702822708531E-2</v>
      </c>
      <c r="K75">
        <v>1.7433304460805541</v>
      </c>
      <c r="L75">
        <v>3.0983181063122922</v>
      </c>
    </row>
    <row r="76" spans="3:12" x14ac:dyDescent="0.25">
      <c r="C76">
        <v>1.1564414057921459</v>
      </c>
      <c r="D76">
        <v>2.791563590231525</v>
      </c>
      <c r="K76">
        <v>1.3373634570039941</v>
      </c>
      <c r="L76">
        <v>1.205426356589147</v>
      </c>
    </row>
    <row r="77" spans="3:12" x14ac:dyDescent="0.25">
      <c r="C77" s="5">
        <v>1.435853298706129</v>
      </c>
      <c r="D77" s="5">
        <v>4.3175388518870923</v>
      </c>
      <c r="K77">
        <v>1.064524485507595</v>
      </c>
      <c r="L77">
        <v>2.1111572535991141</v>
      </c>
    </row>
    <row r="78" spans="3:12" x14ac:dyDescent="0.25">
      <c r="C78">
        <v>1.0458226011281291</v>
      </c>
      <c r="D78">
        <v>3.6041230574056451</v>
      </c>
      <c r="K78">
        <v>1.4961832122291201</v>
      </c>
      <c r="L78">
        <v>2.2119324473975639</v>
      </c>
    </row>
    <row r="79" spans="3:12" x14ac:dyDescent="0.25">
      <c r="C79">
        <v>1.268480300369359</v>
      </c>
      <c r="D79">
        <v>2.4414208690136379</v>
      </c>
      <c r="K79">
        <v>1.390317276999824</v>
      </c>
      <c r="L79">
        <v>1.7247715946843849</v>
      </c>
    </row>
    <row r="80" spans="3:12" x14ac:dyDescent="0.25">
      <c r="C80">
        <v>0.8249298431023443</v>
      </c>
      <c r="D80">
        <v>2.5134792261338408</v>
      </c>
      <c r="K80">
        <v>1.966027460981987</v>
      </c>
      <c r="L80">
        <v>2.9263911960132889</v>
      </c>
    </row>
    <row r="81" spans="3:12" x14ac:dyDescent="0.25">
      <c r="C81">
        <v>0.33471790485397579</v>
      </c>
      <c r="D81">
        <v>2.4888677450047569</v>
      </c>
      <c r="K81">
        <v>2.0134946986830919</v>
      </c>
      <c r="L81">
        <v>2.5749930786267989</v>
      </c>
    </row>
    <row r="82" spans="3:12" x14ac:dyDescent="0.25">
      <c r="C82">
        <v>0.33661749306664829</v>
      </c>
      <c r="D82">
        <v>2.0995242626070412</v>
      </c>
      <c r="K82">
        <v>1.863193943185282</v>
      </c>
      <c r="L82">
        <v>2.0900124584717612</v>
      </c>
    </row>
    <row r="83" spans="3:12" x14ac:dyDescent="0.25">
      <c r="C83">
        <v>0.26947320088847648</v>
      </c>
      <c r="D83">
        <v>1.494957183634634</v>
      </c>
      <c r="K83">
        <v>2.1228341594084341</v>
      </c>
      <c r="L83">
        <v>4.1380121816168334</v>
      </c>
    </row>
    <row r="84" spans="3:12" x14ac:dyDescent="0.25">
      <c r="C84">
        <v>0.71451252459245063</v>
      </c>
      <c r="D84">
        <v>2.6677450047573741</v>
      </c>
      <c r="K84">
        <v>1.658977752113308</v>
      </c>
      <c r="L84">
        <v>2.3470722591362132</v>
      </c>
    </row>
    <row r="85" spans="3:12" x14ac:dyDescent="0.25">
      <c r="C85">
        <v>0.41872988165594488</v>
      </c>
      <c r="D85">
        <v>2.531176657151919</v>
      </c>
      <c r="K85">
        <v>1.7206254110325141</v>
      </c>
      <c r="L85">
        <v>1.5109011627906981</v>
      </c>
    </row>
    <row r="86" spans="3:12" x14ac:dyDescent="0.25">
      <c r="C86">
        <v>6.0698672613091378E-2</v>
      </c>
      <c r="D86">
        <v>0.19854107199492549</v>
      </c>
      <c r="K86">
        <v>2.1389329996952351</v>
      </c>
      <c r="L86">
        <v>2.4959163898117391</v>
      </c>
    </row>
    <row r="87" spans="3:12" x14ac:dyDescent="0.25">
      <c r="C87">
        <v>0.60032315279334403</v>
      </c>
      <c r="D87">
        <v>1.098382492863939</v>
      </c>
      <c r="K87">
        <v>1.7118064578220491</v>
      </c>
      <c r="L87">
        <v>2.5063330564784061</v>
      </c>
    </row>
    <row r="88" spans="3:12" x14ac:dyDescent="0.25">
      <c r="C88">
        <v>0.40007110136400309</v>
      </c>
      <c r="D88">
        <v>1.947161433555344</v>
      </c>
      <c r="K88">
        <v>1.750743467590588</v>
      </c>
      <c r="L88">
        <v>1.790836101882614</v>
      </c>
    </row>
    <row r="89" spans="3:12" x14ac:dyDescent="0.25">
      <c r="C89">
        <v>1.1841418772503729</v>
      </c>
      <c r="D89">
        <v>2.5705042816365369</v>
      </c>
      <c r="K89">
        <v>1.627584492244518</v>
      </c>
      <c r="L89">
        <v>2.5437430786267989</v>
      </c>
    </row>
    <row r="90" spans="3:12" x14ac:dyDescent="0.25">
      <c r="C90">
        <v>0.37291406131184918</v>
      </c>
      <c r="D90">
        <v>1.709165873771012</v>
      </c>
      <c r="K90">
        <v>1.90769051858268</v>
      </c>
      <c r="L90">
        <v>2.657841915836102</v>
      </c>
    </row>
    <row r="91" spans="3:12" x14ac:dyDescent="0.25">
      <c r="C91">
        <v>0.6057652163215409</v>
      </c>
      <c r="D91">
        <v>1.283539486203616</v>
      </c>
      <c r="K91">
        <v>1.0000609531142231</v>
      </c>
      <c r="L91">
        <v>2.1026785714285712</v>
      </c>
    </row>
    <row r="92" spans="3:12" x14ac:dyDescent="0.25">
      <c r="C92">
        <v>0.53615853085595777</v>
      </c>
      <c r="D92">
        <v>1.08430066603235</v>
      </c>
      <c r="K92" s="5">
        <v>2.2207256628651169</v>
      </c>
      <c r="L92" s="5">
        <v>4.0854443521594694</v>
      </c>
    </row>
    <row r="93" spans="3:12" x14ac:dyDescent="0.25">
      <c r="C93">
        <v>1</v>
      </c>
      <c r="D93">
        <v>1</v>
      </c>
      <c r="K93">
        <v>1.8377540381438171</v>
      </c>
      <c r="L93">
        <v>2.2529069767441858</v>
      </c>
    </row>
    <row r="94" spans="3:12" x14ac:dyDescent="0.25">
      <c r="C94">
        <v>0.78735558140864015</v>
      </c>
      <c r="D94">
        <v>2.0576593720266412</v>
      </c>
      <c r="K94">
        <v>1</v>
      </c>
      <c r="L94">
        <v>1</v>
      </c>
    </row>
    <row r="95" spans="3:12" x14ac:dyDescent="0.25">
      <c r="C95">
        <v>1.3046596579191321</v>
      </c>
      <c r="D95">
        <v>4.7468442752933706</v>
      </c>
      <c r="K95">
        <v>1.867980366681103</v>
      </c>
      <c r="L95">
        <v>2.7787929125138429</v>
      </c>
    </row>
    <row r="96" spans="3:12" x14ac:dyDescent="0.25">
      <c r="K96">
        <v>2.2392746579407472</v>
      </c>
      <c r="L96">
        <v>3.068971483942414</v>
      </c>
    </row>
  </sheetData>
  <mergeCells count="6">
    <mergeCell ref="C1:H1"/>
    <mergeCell ref="K1:P1"/>
    <mergeCell ref="C2:D2"/>
    <mergeCell ref="E2:F2"/>
    <mergeCell ref="K2:L2"/>
    <mergeCell ref="M2:N2"/>
  </mergeCells>
  <conditionalFormatting sqref="E4:F34 M4:M34 K4:K34">
    <cfRule type="cellIs" dxfId="2" priority="46" operator="greaterThan">
      <formula>33</formula>
    </cfRule>
  </conditionalFormatting>
  <conditionalFormatting sqref="G4:H3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4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4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5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5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L3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5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3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34">
    <cfRule type="cellIs" dxfId="1" priority="32" operator="greaterThan">
      <formula>33</formula>
    </cfRule>
  </conditionalFormatting>
  <conditionalFormatting sqref="O4:P3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3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3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3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3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3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3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C7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C7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C7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C7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0:C9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0:C9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0:C9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0:C9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D7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D7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D7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:D9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:D9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:D9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:K94">
    <cfRule type="cellIs" dxfId="0" priority="6" operator="greaterThan">
      <formula>33</formula>
    </cfRule>
  </conditionalFormatting>
  <conditionalFormatting sqref="K64:K9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:K9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:K9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4:L9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4:L9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4:L9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4:L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2026-03-20T09:44:59Z</dcterms:modified>
</cp:coreProperties>
</file>