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Echo - PURE\METIS\PURE Exploration - SynChro\Day_4\"/>
    </mc:Choice>
  </mc:AlternateContent>
  <xr:revisionPtr revIDLastSave="0" documentId="13_ncr:1_{1341F70F-6140-4825-9E0C-86038E0A2CD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chart.v1.0" hidden="1">Sheet1!$K$4:$K$36</definedName>
    <definedName name="_xlchart.v1.1" hidden="1">Sheet1!$L$4:$L$36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P4" i="1"/>
  <c r="O4" i="1"/>
</calcChain>
</file>

<file path=xl/sharedStrings.xml><?xml version="1.0" encoding="utf-8"?>
<sst xmlns="http://schemas.openxmlformats.org/spreadsheetml/2006/main" count="85" uniqueCount="72">
  <si>
    <t>0.1 nM</t>
  </si>
  <si>
    <t>1 nM</t>
  </si>
  <si>
    <t>Relative Yield</t>
  </si>
  <si>
    <t>CV%</t>
  </si>
  <si>
    <t>Condition</t>
  </si>
  <si>
    <t>mVenus</t>
  </si>
  <si>
    <t>mCherry</t>
  </si>
  <si>
    <t>Mean</t>
  </si>
  <si>
    <t>Harmonic 
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</si>
  <si>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</si>
  <si>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</si>
  <si>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</si>
  <si>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</si>
  <si>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</si>
  <si>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</si>
  <si>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</si>
  <si>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</si>
  <si>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</si>
  <si>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</si>
  <si>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</si>
  <si>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</si>
  <si>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</si>
  <si>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</si>
  <si>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</si>
  <si>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</si>
  <si>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</si>
  <si>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</si>
  <si>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</si>
  <si>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</si>
  <si>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</si>
  <si>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</si>
  <si>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</si>
  <si>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</si>
  <si>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</si>
  <si>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</si>
  <si>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</si>
  <si>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</si>
  <si>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</si>
  <si>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</si>
  <si>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</si>
  <si>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</si>
  <si>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</si>
  <si>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</si>
  <si>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</si>
  <si>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</si>
  <si>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</si>
  <si>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</si>
  <si>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</si>
  <si>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</si>
  <si>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</si>
  <si>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REF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</si>
  <si>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</si>
  <si>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</si>
  <si>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</si>
  <si>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</si>
  <si>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</si>
  <si>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</si>
  <si>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</si>
  <si>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</si>
  <si>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</si>
  <si>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</si>
  <si>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</si>
  <si>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</si>
  <si>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</si>
  <si>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</si>
  <si>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</si>
  <si>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TOP2</t>
  </si>
  <si>
    <t>46</t>
  </si>
  <si>
    <t>47</t>
  </si>
  <si>
    <t>48</t>
  </si>
  <si>
    <t>34</t>
  </si>
  <si>
    <t>TOP3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</si>
</sst>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4" xfId="0" applyFont="1" applyBorder="1" applyAlignment="1">
      <alignment horizontal="center" vertical="top"/>
    </xf>
    <xf numFmtId="0" fontId="0" fillId="0" borderId="4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Sheet1!$C$4:$C$36</c:f>
              <c:numCache>
                <c:formatCode>General</c:formatCode>
                <c:ptCount val="33"/>
                <c:pt idx="0">
                  <c:v>0.30289314857723759</c:v>
                </c:pt>
                <c:pt idx="1">
                  <c:v>0.1156398538314299</c:v>
                </c:pt>
                <c:pt idx="2">
                  <c:v>0.46638397640787987</c:v>
                </c:pt>
                <c:pt idx="3">
                  <c:v>0.96546904908003561</c:v>
                </c:pt>
                <c:pt idx="4">
                  <c:v>0.46443689382630121</c:v>
                </c:pt>
                <c:pt idx="5">
                  <c:v>0.77012885913416196</c:v>
                </c:pt>
                <c:pt idx="6">
                  <c:v>0.93513815494234764</c:v>
                </c:pt>
                <c:pt idx="7">
                  <c:v>0.99430711884896827</c:v>
                </c:pt>
                <c:pt idx="8">
                  <c:v>0.1020872065867441</c:v>
                </c:pt>
                <c:pt idx="9">
                  <c:v>1.9135627215195669E-2</c:v>
                </c:pt>
                <c:pt idx="10">
                  <c:v>0.46511095440016847</c:v>
                </c:pt>
                <c:pt idx="11">
                  <c:v>1.212184377547189</c:v>
                </c:pt>
                <c:pt idx="12">
                  <c:v>0.40525327642894432</c:v>
                </c:pt>
                <c:pt idx="13">
                  <c:v>0.2414419034884466</c:v>
                </c:pt>
                <c:pt idx="14">
                  <c:v>0.76551667292492831</c:v>
                </c:pt>
                <c:pt idx="15">
                  <c:v>0.47017739882222559</c:v>
                </c:pt>
                <c:pt idx="16">
                  <c:v>0.50712800740001285</c:v>
                </c:pt>
                <c:pt idx="17">
                  <c:v>0.1645513742226781</c:v>
                </c:pt>
                <c:pt idx="18">
                  <c:v>0.33633607781003583</c:v>
                </c:pt>
                <c:pt idx="19">
                  <c:v>0.6551209370907326</c:v>
                </c:pt>
                <c:pt idx="20">
                  <c:v>0.88419346271144528</c:v>
                </c:pt>
                <c:pt idx="21">
                  <c:v>0.21821795235783831</c:v>
                </c:pt>
                <c:pt idx="22">
                  <c:v>0.37852530932603101</c:v>
                </c:pt>
                <c:pt idx="23">
                  <c:v>0.50399765544148223</c:v>
                </c:pt>
                <c:pt idx="24">
                  <c:v>0.43012757695372239</c:v>
                </c:pt>
                <c:pt idx="25">
                  <c:v>1.4013829231882331</c:v>
                </c:pt>
                <c:pt idx="26">
                  <c:v>0.52704942805593968</c:v>
                </c:pt>
                <c:pt idx="27">
                  <c:v>0.58368700143787378</c:v>
                </c:pt>
                <c:pt idx="28">
                  <c:v>0.34553114324703033</c:v>
                </c:pt>
                <c:pt idx="29">
                  <c:v>0.80625520885803514</c:v>
                </c:pt>
                <c:pt idx="30">
                  <c:v>1</c:v>
                </c:pt>
                <c:pt idx="31">
                  <c:v>1.4375202630301589</c:v>
                </c:pt>
                <c:pt idx="32">
                  <c:v>1.0705895282491831</c:v>
                </c:pt>
              </c:numCache>
            </c:numRef>
          </c:xVal>
          <c:yVal>
            <c:numRef>
              <c:f>Sheet1!$D$4:$D$36</c:f>
              <c:numCache>
                <c:formatCode>General</c:formatCode>
                <c:ptCount val="33"/>
                <c:pt idx="0">
                  <c:v>0.30225647692450552</c:v>
                </c:pt>
                <c:pt idx="1">
                  <c:v>7.0387222583341069E-2</c:v>
                </c:pt>
                <c:pt idx="2">
                  <c:v>0.21961184882533191</c:v>
                </c:pt>
                <c:pt idx="3">
                  <c:v>1.1224811960256289</c:v>
                </c:pt>
                <c:pt idx="4">
                  <c:v>0.37784381093880581</c:v>
                </c:pt>
                <c:pt idx="5">
                  <c:v>0.21181168167889311</c:v>
                </c:pt>
                <c:pt idx="6">
                  <c:v>0.61881326028414885</c:v>
                </c:pt>
                <c:pt idx="7">
                  <c:v>2.5240040858018382</c:v>
                </c:pt>
                <c:pt idx="8">
                  <c:v>0.81985328257034074</c:v>
                </c:pt>
                <c:pt idx="9">
                  <c:v>4.9586776859504127E-2</c:v>
                </c:pt>
                <c:pt idx="10">
                  <c:v>1.1215526046986719</c:v>
                </c:pt>
                <c:pt idx="11">
                  <c:v>2.8932119973999439</c:v>
                </c:pt>
                <c:pt idx="12">
                  <c:v>1.1082737487231871</c:v>
                </c:pt>
                <c:pt idx="13">
                  <c:v>7.0387222583341069E-2</c:v>
                </c:pt>
                <c:pt idx="14">
                  <c:v>1.597827096294921</c:v>
                </c:pt>
                <c:pt idx="15">
                  <c:v>0.86628284891819096</c:v>
                </c:pt>
                <c:pt idx="16">
                  <c:v>0.1604605812981707</c:v>
                </c:pt>
                <c:pt idx="17">
                  <c:v>9.6480638870832941E-2</c:v>
                </c:pt>
                <c:pt idx="18">
                  <c:v>0.95663478503110777</c:v>
                </c:pt>
                <c:pt idx="19">
                  <c:v>2.4557526232704978</c:v>
                </c:pt>
                <c:pt idx="20">
                  <c:v>1.05441545175968</c:v>
                </c:pt>
                <c:pt idx="21">
                  <c:v>1.3026279134552881</c:v>
                </c:pt>
                <c:pt idx="22">
                  <c:v>8.5058965549261761E-2</c:v>
                </c:pt>
                <c:pt idx="23">
                  <c:v>0.4570526511282384</c:v>
                </c:pt>
                <c:pt idx="24">
                  <c:v>0.22666914291020521</c:v>
                </c:pt>
                <c:pt idx="25">
                  <c:v>1.039929427059151</c:v>
                </c:pt>
                <c:pt idx="26">
                  <c:v>0.94252019686136124</c:v>
                </c:pt>
                <c:pt idx="27">
                  <c:v>0.9297984956820502</c:v>
                </c:pt>
                <c:pt idx="28">
                  <c:v>0.8151174668028599</c:v>
                </c:pt>
                <c:pt idx="29">
                  <c:v>1.8773330857089789</c:v>
                </c:pt>
                <c:pt idx="30">
                  <c:v>1</c:v>
                </c:pt>
                <c:pt idx="31">
                  <c:v>3.5084037515089599</c:v>
                </c:pt>
                <c:pt idx="32">
                  <c:v>2.770545083108924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56-4D72-B990-B522A835C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879535"/>
        <c:axId val="2026897007"/>
      </c:scatterChart>
      <c:valAx>
        <c:axId val="202687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897007"/>
        <c:crosses val="autoZero"/>
        <c:crossBetween val="midCat"/>
      </c:valAx>
      <c:valAx>
        <c:axId val="202689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87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Sheet1!$K$4:$K$36</c:f>
              <c:numCache>
                <c:formatCode>General</c:formatCode>
                <c:ptCount val="33"/>
                <c:pt idx="0">
                  <c:v>1.1221789162769349</c:v>
                </c:pt>
                <c:pt idx="1">
                  <c:v>1.1693955413021699</c:v>
                </c:pt>
                <c:pt idx="2">
                  <c:v>0.90838285084566606</c:v>
                </c:pt>
                <c:pt idx="3">
                  <c:v>1.742941423815469</c:v>
                </c:pt>
                <c:pt idx="4">
                  <c:v>1.131011700320572</c:v>
                </c:pt>
                <c:pt idx="5">
                  <c:v>0.99576298974759248</c:v>
                </c:pt>
                <c:pt idx="6">
                  <c:v>0.93291893358502487</c:v>
                </c:pt>
                <c:pt idx="7">
                  <c:v>0.34843912142795602</c:v>
                </c:pt>
                <c:pt idx="8">
                  <c:v>1.1571397158952821</c:v>
                </c:pt>
                <c:pt idx="9">
                  <c:v>0.38728845488644942</c:v>
                </c:pt>
                <c:pt idx="10">
                  <c:v>1.0138439005697779</c:v>
                </c:pt>
                <c:pt idx="11">
                  <c:v>0.64592481910730881</c:v>
                </c:pt>
                <c:pt idx="12">
                  <c:v>1.022555810876322</c:v>
                </c:pt>
                <c:pt idx="13">
                  <c:v>1.2751291998801551</c:v>
                </c:pt>
                <c:pt idx="14">
                  <c:v>0.39170548985367842</c:v>
                </c:pt>
                <c:pt idx="15">
                  <c:v>0.40181001991844878</c:v>
                </c:pt>
                <c:pt idx="16">
                  <c:v>1.367371291973084</c:v>
                </c:pt>
                <c:pt idx="17">
                  <c:v>0.63664325916743714</c:v>
                </c:pt>
                <c:pt idx="18">
                  <c:v>1.361845819118882</c:v>
                </c:pt>
                <c:pt idx="19">
                  <c:v>0.93387692224603969</c:v>
                </c:pt>
                <c:pt idx="20">
                  <c:v>0.89126507224777574</c:v>
                </c:pt>
                <c:pt idx="21">
                  <c:v>0.77589494786355662</c:v>
                </c:pt>
                <c:pt idx="22">
                  <c:v>0.93052460487789812</c:v>
                </c:pt>
                <c:pt idx="23">
                  <c:v>1.536599667468634</c:v>
                </c:pt>
                <c:pt idx="24">
                  <c:v>0.7480194066642577</c:v>
                </c:pt>
                <c:pt idx="25">
                  <c:v>1.087421287408171</c:v>
                </c:pt>
                <c:pt idx="26">
                  <c:v>1.1058339580619569</c:v>
                </c:pt>
                <c:pt idx="27">
                  <c:v>1.1888536411927411</c:v>
                </c:pt>
                <c:pt idx="28">
                  <c:v>0.88222525978209299</c:v>
                </c:pt>
                <c:pt idx="29">
                  <c:v>0.77965875029414755</c:v>
                </c:pt>
                <c:pt idx="30">
                  <c:v>1</c:v>
                </c:pt>
                <c:pt idx="31">
                  <c:v>0.54301883444284271</c:v>
                </c:pt>
                <c:pt idx="32">
                  <c:v>1.490536486509076</c:v>
                </c:pt>
              </c:numCache>
            </c:numRef>
          </c:xVal>
          <c:yVal>
            <c:numRef>
              <c:f>Sheet1!$L$4:$L$36</c:f>
              <c:numCache>
                <c:formatCode>General</c:formatCode>
                <c:ptCount val="33"/>
                <c:pt idx="0">
                  <c:v>1.3917076538096469</c:v>
                </c:pt>
                <c:pt idx="1">
                  <c:v>0.79394253171110529</c:v>
                </c:pt>
                <c:pt idx="2">
                  <c:v>0.56342221071705922</c:v>
                </c:pt>
                <c:pt idx="3">
                  <c:v>2.8855380101820689</c:v>
                </c:pt>
                <c:pt idx="4">
                  <c:v>1.3489084476658899</c:v>
                </c:pt>
                <c:pt idx="5">
                  <c:v>1.6654586245577701</c:v>
                </c:pt>
                <c:pt idx="6">
                  <c:v>2.000302010527224</c:v>
                </c:pt>
                <c:pt idx="7">
                  <c:v>5.0867201656743459E-2</c:v>
                </c:pt>
                <c:pt idx="8">
                  <c:v>0.77327638277677102</c:v>
                </c:pt>
                <c:pt idx="9">
                  <c:v>8.6073000258866161E-2</c:v>
                </c:pt>
                <c:pt idx="10">
                  <c:v>0.57653809647079124</c:v>
                </c:pt>
                <c:pt idx="11">
                  <c:v>1.4348520148416599</c:v>
                </c:pt>
                <c:pt idx="12">
                  <c:v>0.65273103805332644</c:v>
                </c:pt>
                <c:pt idx="13">
                  <c:v>1.9130641125204939</c:v>
                </c:pt>
                <c:pt idx="14">
                  <c:v>0.81145914229010263</c:v>
                </c:pt>
                <c:pt idx="15">
                  <c:v>0.2117525239451204</c:v>
                </c:pt>
                <c:pt idx="16">
                  <c:v>0.73233238415739066</c:v>
                </c:pt>
                <c:pt idx="17">
                  <c:v>2.177021313314349</c:v>
                </c:pt>
                <c:pt idx="18">
                  <c:v>1.3234964190180341</c:v>
                </c:pt>
                <c:pt idx="19">
                  <c:v>0.50189835188540854</c:v>
                </c:pt>
                <c:pt idx="20">
                  <c:v>0.2589524549141427</c:v>
                </c:pt>
                <c:pt idx="21">
                  <c:v>0.68858400207092929</c:v>
                </c:pt>
                <c:pt idx="22">
                  <c:v>0.57416515661403045</c:v>
                </c:pt>
                <c:pt idx="23">
                  <c:v>1.094356717577013</c:v>
                </c:pt>
                <c:pt idx="24">
                  <c:v>0.81633445508672009</c:v>
                </c:pt>
                <c:pt idx="25">
                  <c:v>1.9136681335749419</c:v>
                </c:pt>
                <c:pt idx="26">
                  <c:v>0.35701958753990848</c:v>
                </c:pt>
                <c:pt idx="27">
                  <c:v>2.484856329277763</c:v>
                </c:pt>
                <c:pt idx="28">
                  <c:v>1.722754336008284</c:v>
                </c:pt>
                <c:pt idx="29">
                  <c:v>1.148718612477349</c:v>
                </c:pt>
                <c:pt idx="30">
                  <c:v>1</c:v>
                </c:pt>
                <c:pt idx="31">
                  <c:v>1.6285270515143671</c:v>
                </c:pt>
                <c:pt idx="32">
                  <c:v>3.1324100440072482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07-4316-8586-83B0B9F01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292879"/>
        <c:axId val="2033292463"/>
      </c:scatterChart>
      <c:valAx>
        <c:axId val="203329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92463"/>
        <c:crosses val="autoZero"/>
        <c:crossBetween val="midCat"/>
      </c:valAx>
      <c:valAx>
        <c:axId val="203329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9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36</xdr:row>
      <xdr:rowOff>190499</xdr:rowOff>
    </xdr:from>
    <xdr:to>
      <xdr:col>8</xdr:col>
      <xdr:colOff>247650</xdr:colOff>
      <xdr:row>57</xdr:row>
      <xdr:rowOff>28574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45FA418-5648-42B1-8ED7-344CBB3CA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66675</xdr:rowOff>
    </xdr:from>
    <xdr:to>
      <xdr:col>16</xdr:col>
      <xdr:colOff>419099</xdr:colOff>
      <xdr:row>57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0BAE655-2D54-42B6-B550-B3FE44307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7"/>
  <sheetViews>
    <sheetView tabSelected="1" topLeftCell="A37" workbookViewId="0">
      <selection activeCell="R13" sqref="R13"/>
    </sheetView>
  </sheetViews>
  <sheetFormatPr baseColWidth="10" defaultColWidth="9.140625" defaultRowHeight="15" x14ac:dyDescent="0.25"/>
  <sheetData>
    <row r="1" spans="2:16" x14ac:dyDescent="0.25">
      <c r="C1" s="7" t="s">
        <v>0</v>
      </c>
      <c r="D1" s="7"/>
      <c r="E1" s="7"/>
      <c r="F1" s="7"/>
      <c r="G1" s="7"/>
      <c r="H1" s="7"/>
      <c r="K1" s="7" t="s">
        <v>1</v>
      </c>
      <c r="L1" s="7"/>
      <c r="M1" s="7"/>
      <c r="N1" s="7"/>
      <c r="O1" s="7"/>
      <c r="P1" s="7"/>
    </row>
    <row r="2" spans="2:16" x14ac:dyDescent="0.25">
      <c r="C2" s="8" t="s">
        <v>2</v>
      </c>
      <c r="D2" s="9"/>
      <c r="E2" s="10" t="s">
        <v>3</v>
      </c>
      <c r="F2" s="11"/>
      <c r="G2" s="1"/>
      <c r="H2" s="1"/>
      <c r="K2" s="8" t="s">
        <v>2</v>
      </c>
      <c r="L2" s="9"/>
      <c r="M2" s="10" t="s">
        <v>3</v>
      </c>
      <c r="N2" s="11"/>
      <c r="O2" s="1"/>
      <c r="P2" s="1"/>
    </row>
    <row r="3" spans="2:16" ht="45" x14ac:dyDescent="0.25">
      <c r="B3" s="2" t="s">
        <v>4</v>
      </c>
      <c r="C3" s="1" t="s">
        <v>5</v>
      </c>
      <c r="D3" s="1" t="s">
        <v>6</v>
      </c>
      <c r="E3" s="1" t="s">
        <v>5</v>
      </c>
      <c r="F3" s="1" t="s">
        <v>6</v>
      </c>
      <c r="G3" s="3" t="s">
        <v>7</v>
      </c>
      <c r="H3" s="4" t="s">
        <v>8</v>
      </c>
      <c r="I3" s="5"/>
      <c r="K3" s="1" t="s">
        <v>5</v>
      </c>
      <c r="L3" s="1" t="s">
        <v>6</v>
      </c>
      <c r="M3" s="1" t="s">
        <v>5</v>
      </c>
      <c r="N3" s="1" t="s">
        <v>6</v>
      </c>
      <c r="O3" s="3" t="s">
        <v>7</v>
      </c>
      <c r="P3" s="4" t="s">
        <v>8</v>
      </c>
    </row>
    <row r="4" spans="2:16" x14ac:dyDescent="0.25">
      <c r="B4" t="s">
        <v>9</v>
      </c>
      <c r="C4">
        <v>0.30289314857723759</v>
      </c>
      <c r="D4">
        <v>0.30225647692450552</v>
      </c>
      <c r="G4">
        <f>AVERAGE(C4:D4)</f>
        <v>0.30257481275087156</v>
      </c>
      <c r="H4">
        <f>HARMEAN(C4:D4)</f>
        <v>0.30257447783304597</v>
      </c>
      <c r="J4" t="s">
        <v>70</v>
      </c>
      <c r="K4">
        <v>1.1221789162769349</v>
      </c>
      <c r="L4">
        <v>1.3917076538096469</v>
      </c>
      <c r="O4">
        <f t="shared" ref="O4:O36" si="0">AVERAGE(K4:L4)</f>
        <v>1.2569432850432909</v>
      </c>
      <c r="P4">
        <f t="shared" ref="P4:P36" si="1">HARMEAN(K4:L4)</f>
        <v>1.2424943951807947</v>
      </c>
    </row>
    <row r="5" spans="2:16" x14ac:dyDescent="0.25">
      <c r="B5" t="s">
        <v>10</v>
      </c>
      <c r="C5">
        <v>0.1156398538314299</v>
      </c>
      <c r="D5">
        <v>7.0387222583341069E-2</v>
      </c>
      <c r="G5">
        <f t="shared" ref="G5:G36" si="2">AVERAGE(C5:D5)</f>
        <v>9.3013538207385477E-2</v>
      </c>
      <c r="H5">
        <f t="shared" ref="H5:H36" si="3">HARMEAN(C5:D5)</f>
        <v>8.750949902571907E-2</v>
      </c>
      <c r="J5" t="s">
        <v>39</v>
      </c>
      <c r="K5">
        <v>1.1693955413021699</v>
      </c>
      <c r="L5">
        <v>0.79394253171110529</v>
      </c>
      <c r="O5">
        <f t="shared" si="0"/>
        <v>0.98166903650663762</v>
      </c>
      <c r="P5">
        <f t="shared" si="1"/>
        <v>0.94576972697136252</v>
      </c>
    </row>
    <row r="6" spans="2:16" x14ac:dyDescent="0.25">
      <c r="B6" t="s">
        <v>11</v>
      </c>
      <c r="C6">
        <v>0.46638397640787987</v>
      </c>
      <c r="D6">
        <v>0.21961184882533191</v>
      </c>
      <c r="G6">
        <f t="shared" si="2"/>
        <v>0.34299791261660589</v>
      </c>
      <c r="H6">
        <f t="shared" si="3"/>
        <v>0.29861245084581822</v>
      </c>
      <c r="J6" t="s">
        <v>40</v>
      </c>
      <c r="K6">
        <v>0.90838285084566606</v>
      </c>
      <c r="L6">
        <v>0.56342221071705922</v>
      </c>
      <c r="O6">
        <f t="shared" si="0"/>
        <v>0.7359025307813627</v>
      </c>
      <c r="P6">
        <f t="shared" si="1"/>
        <v>0.69547671409352307</v>
      </c>
    </row>
    <row r="7" spans="2:16" x14ac:dyDescent="0.25">
      <c r="B7" t="s">
        <v>12</v>
      </c>
      <c r="C7">
        <v>0.96546904908003561</v>
      </c>
      <c r="D7">
        <v>1.1224811960256289</v>
      </c>
      <c r="G7">
        <f t="shared" si="2"/>
        <v>1.0439751225528322</v>
      </c>
      <c r="H7">
        <f t="shared" si="3"/>
        <v>1.0380715301788632</v>
      </c>
      <c r="J7" t="s">
        <v>41</v>
      </c>
      <c r="K7" s="1">
        <v>1.742941423815469</v>
      </c>
      <c r="L7" s="1">
        <v>2.8855380101820689</v>
      </c>
      <c r="M7" s="1"/>
      <c r="N7" s="1"/>
      <c r="O7" s="1">
        <f t="shared" si="0"/>
        <v>2.314239716998769</v>
      </c>
      <c r="P7" s="1">
        <f t="shared" si="1"/>
        <v>2.1732077671118222</v>
      </c>
    </row>
    <row r="8" spans="2:16" x14ac:dyDescent="0.25">
      <c r="B8" t="s">
        <v>13</v>
      </c>
      <c r="C8">
        <v>0.46443689382630121</v>
      </c>
      <c r="D8">
        <v>0.37784381093880581</v>
      </c>
      <c r="G8">
        <f t="shared" si="2"/>
        <v>0.42114035238255354</v>
      </c>
      <c r="H8">
        <f t="shared" si="3"/>
        <v>0.41668912729717555</v>
      </c>
      <c r="J8" t="s">
        <v>42</v>
      </c>
      <c r="K8">
        <v>1.131011700320572</v>
      </c>
      <c r="L8">
        <v>1.3489084476658899</v>
      </c>
      <c r="O8">
        <f t="shared" si="0"/>
        <v>1.239960073993231</v>
      </c>
      <c r="P8">
        <f t="shared" si="1"/>
        <v>1.2303873882472363</v>
      </c>
    </row>
    <row r="9" spans="2:16" x14ac:dyDescent="0.25">
      <c r="B9" t="s">
        <v>14</v>
      </c>
      <c r="C9">
        <v>0.77012885913416196</v>
      </c>
      <c r="D9">
        <v>0.21181168167889311</v>
      </c>
      <c r="G9">
        <f t="shared" si="2"/>
        <v>0.49097027040652752</v>
      </c>
      <c r="H9">
        <f t="shared" si="3"/>
        <v>0.33224473780782615</v>
      </c>
      <c r="J9" t="s">
        <v>43</v>
      </c>
      <c r="K9">
        <v>0.99576298974759248</v>
      </c>
      <c r="L9">
        <v>1.6654586245577701</v>
      </c>
      <c r="O9">
        <f t="shared" si="0"/>
        <v>1.3306108071526812</v>
      </c>
      <c r="P9">
        <f t="shared" si="1"/>
        <v>1.2463464526034504</v>
      </c>
    </row>
    <row r="10" spans="2:16" x14ac:dyDescent="0.25">
      <c r="B10" t="s">
        <v>15</v>
      </c>
      <c r="C10">
        <v>0.93513815494234764</v>
      </c>
      <c r="D10">
        <v>0.61881326028414885</v>
      </c>
      <c r="G10">
        <f t="shared" si="2"/>
        <v>0.77697570761324819</v>
      </c>
      <c r="H10">
        <f t="shared" si="3"/>
        <v>0.74477990084604118</v>
      </c>
      <c r="J10" t="s">
        <v>44</v>
      </c>
      <c r="K10">
        <v>0.93291893358502487</v>
      </c>
      <c r="L10">
        <v>2.000302010527224</v>
      </c>
      <c r="O10">
        <f t="shared" si="0"/>
        <v>1.4666104720561244</v>
      </c>
      <c r="P10">
        <f t="shared" si="1"/>
        <v>1.2724030368423731</v>
      </c>
    </row>
    <row r="11" spans="2:16" x14ac:dyDescent="0.25">
      <c r="B11" t="s">
        <v>16</v>
      </c>
      <c r="C11">
        <v>0.99430711884896827</v>
      </c>
      <c r="D11">
        <v>2.5240040858018382</v>
      </c>
      <c r="G11">
        <f t="shared" si="2"/>
        <v>1.7591556023254031</v>
      </c>
      <c r="H11">
        <f t="shared" si="3"/>
        <v>1.4266135566400142</v>
      </c>
      <c r="J11" t="s">
        <v>45</v>
      </c>
      <c r="K11">
        <v>0.34843912142795602</v>
      </c>
      <c r="L11">
        <v>5.0867201656743459E-2</v>
      </c>
      <c r="O11">
        <f t="shared" si="0"/>
        <v>0.19965316154234974</v>
      </c>
      <c r="P11">
        <f t="shared" si="1"/>
        <v>8.8774567444126248E-2</v>
      </c>
    </row>
    <row r="12" spans="2:16" x14ac:dyDescent="0.25">
      <c r="B12" t="s">
        <v>17</v>
      </c>
      <c r="C12">
        <v>0.1020872065867441</v>
      </c>
      <c r="D12">
        <v>0.81985328257034074</v>
      </c>
      <c r="G12">
        <f t="shared" si="2"/>
        <v>0.46097024457854241</v>
      </c>
      <c r="H12">
        <f t="shared" si="3"/>
        <v>0.1815660173578037</v>
      </c>
      <c r="J12" t="s">
        <v>46</v>
      </c>
      <c r="K12">
        <v>1.1571397158952821</v>
      </c>
      <c r="L12">
        <v>0.77327638277677102</v>
      </c>
      <c r="O12">
        <f t="shared" si="0"/>
        <v>0.96520804933602655</v>
      </c>
      <c r="P12">
        <f t="shared" si="1"/>
        <v>0.92704242830380013</v>
      </c>
    </row>
    <row r="13" spans="2:16" x14ac:dyDescent="0.25">
      <c r="B13" t="s">
        <v>18</v>
      </c>
      <c r="C13">
        <v>1.9135627215195669E-2</v>
      </c>
      <c r="D13">
        <v>4.9586776859504127E-2</v>
      </c>
      <c r="G13">
        <f t="shared" si="2"/>
        <v>3.4361202037349894E-2</v>
      </c>
      <c r="H13">
        <f t="shared" si="3"/>
        <v>2.7614693914233737E-2</v>
      </c>
      <c r="J13" t="s">
        <v>47</v>
      </c>
      <c r="K13">
        <v>0.38728845488644942</v>
      </c>
      <c r="L13">
        <v>8.6073000258866161E-2</v>
      </c>
      <c r="O13">
        <f t="shared" si="0"/>
        <v>0.23668072757265779</v>
      </c>
      <c r="P13">
        <f t="shared" si="1"/>
        <v>0.14084407978450134</v>
      </c>
    </row>
    <row r="14" spans="2:16" x14ac:dyDescent="0.25">
      <c r="B14" t="s">
        <v>19</v>
      </c>
      <c r="C14">
        <v>0.46511095440016847</v>
      </c>
      <c r="D14">
        <v>1.1215526046986719</v>
      </c>
      <c r="G14">
        <f t="shared" si="2"/>
        <v>0.79333177954942014</v>
      </c>
      <c r="H14">
        <f t="shared" si="3"/>
        <v>0.65753876981666848</v>
      </c>
      <c r="J14" t="s">
        <v>48</v>
      </c>
      <c r="K14">
        <v>1.0138439005697779</v>
      </c>
      <c r="L14">
        <v>0.57653809647079124</v>
      </c>
      <c r="O14">
        <f t="shared" si="0"/>
        <v>0.79519099852028452</v>
      </c>
      <c r="P14">
        <f t="shared" si="1"/>
        <v>0.73506822089373958</v>
      </c>
    </row>
    <row r="15" spans="2:16" x14ac:dyDescent="0.25">
      <c r="B15" t="s">
        <v>20</v>
      </c>
      <c r="C15" s="1">
        <v>1.212184377547189</v>
      </c>
      <c r="D15" s="1">
        <v>2.8932119973999439</v>
      </c>
      <c r="E15" s="1"/>
      <c r="F15" s="1"/>
      <c r="G15" s="1">
        <f t="shared" si="2"/>
        <v>2.0526981874735664</v>
      </c>
      <c r="H15" s="1">
        <f t="shared" si="3"/>
        <v>1.7085348472474708</v>
      </c>
      <c r="J15" t="s">
        <v>49</v>
      </c>
      <c r="K15">
        <v>0.64592481910730881</v>
      </c>
      <c r="L15">
        <v>1.4348520148416599</v>
      </c>
      <c r="O15">
        <f t="shared" si="0"/>
        <v>1.0403884169744844</v>
      </c>
      <c r="P15">
        <f t="shared" si="1"/>
        <v>0.89082741888608208</v>
      </c>
    </row>
    <row r="16" spans="2:16" x14ac:dyDescent="0.25">
      <c r="B16" t="s">
        <v>21</v>
      </c>
      <c r="C16">
        <v>0.40525327642894432</v>
      </c>
      <c r="D16">
        <v>1.1082737487231871</v>
      </c>
      <c r="G16">
        <f t="shared" si="2"/>
        <v>0.75676351257606567</v>
      </c>
      <c r="H16">
        <f t="shared" si="3"/>
        <v>0.59348998780529327</v>
      </c>
      <c r="J16" t="s">
        <v>67</v>
      </c>
      <c r="K16">
        <v>1.022555810876322</v>
      </c>
      <c r="L16">
        <v>0.65273103805332644</v>
      </c>
      <c r="O16">
        <f t="shared" si="0"/>
        <v>0.8376434244648242</v>
      </c>
      <c r="P16">
        <f t="shared" si="1"/>
        <v>0.79682344110467196</v>
      </c>
    </row>
    <row r="17" spans="2:16" x14ac:dyDescent="0.25">
      <c r="B17" t="s">
        <v>22</v>
      </c>
      <c r="C17">
        <v>0.2414419034884466</v>
      </c>
      <c r="D17">
        <v>7.0387222583341069E-2</v>
      </c>
      <c r="G17">
        <f t="shared" si="2"/>
        <v>0.15591456303589385</v>
      </c>
      <c r="H17">
        <f t="shared" si="3"/>
        <v>0.10899831722502072</v>
      </c>
      <c r="J17" t="s">
        <v>68</v>
      </c>
      <c r="K17">
        <v>1.2751291998801551</v>
      </c>
      <c r="L17">
        <v>1.9130641125204939</v>
      </c>
      <c r="O17">
        <f t="shared" si="0"/>
        <v>1.5940966562003245</v>
      </c>
      <c r="P17">
        <f t="shared" si="1"/>
        <v>1.5302735261563367</v>
      </c>
    </row>
    <row r="18" spans="2:16" x14ac:dyDescent="0.25">
      <c r="B18" t="s">
        <v>23</v>
      </c>
      <c r="C18">
        <v>0.76551667292492831</v>
      </c>
      <c r="D18">
        <v>1.597827096294921</v>
      </c>
      <c r="G18">
        <f t="shared" si="2"/>
        <v>1.1816718846099246</v>
      </c>
      <c r="H18">
        <f t="shared" si="3"/>
        <v>1.0351124526151849</v>
      </c>
      <c r="J18" t="s">
        <v>69</v>
      </c>
      <c r="K18">
        <v>0.39170548985367842</v>
      </c>
      <c r="L18">
        <v>0.81145914229010263</v>
      </c>
      <c r="O18">
        <f t="shared" si="0"/>
        <v>0.6015823160718905</v>
      </c>
      <c r="P18">
        <f t="shared" si="1"/>
        <v>0.52836160960058243</v>
      </c>
    </row>
    <row r="19" spans="2:16" x14ac:dyDescent="0.25">
      <c r="B19" t="s">
        <v>24</v>
      </c>
      <c r="C19">
        <v>0.47017739882222559</v>
      </c>
      <c r="D19">
        <v>0.86628284891819096</v>
      </c>
      <c r="G19">
        <f t="shared" si="2"/>
        <v>0.6682301238702083</v>
      </c>
      <c r="H19">
        <f t="shared" si="3"/>
        <v>0.60953046263411803</v>
      </c>
      <c r="J19" t="s">
        <v>51</v>
      </c>
      <c r="K19">
        <v>0.40181001991844878</v>
      </c>
      <c r="L19">
        <v>0.2117525239451204</v>
      </c>
      <c r="O19">
        <f t="shared" si="0"/>
        <v>0.30678127193178462</v>
      </c>
      <c r="P19">
        <f t="shared" si="1"/>
        <v>0.27734511082896168</v>
      </c>
    </row>
    <row r="20" spans="2:16" x14ac:dyDescent="0.25">
      <c r="B20" t="s">
        <v>25</v>
      </c>
      <c r="C20">
        <v>0.50712800740001285</v>
      </c>
      <c r="D20">
        <v>0.1604605812981707</v>
      </c>
      <c r="G20">
        <f t="shared" si="2"/>
        <v>0.3337942943490918</v>
      </c>
      <c r="H20">
        <f t="shared" si="3"/>
        <v>0.24378503838320775</v>
      </c>
      <c r="J20" t="s">
        <v>52</v>
      </c>
      <c r="K20">
        <v>1.367371291973084</v>
      </c>
      <c r="L20">
        <v>0.73233238415739066</v>
      </c>
      <c r="O20">
        <f t="shared" si="0"/>
        <v>1.0498518380652373</v>
      </c>
      <c r="P20">
        <f t="shared" si="1"/>
        <v>0.95382056969527862</v>
      </c>
    </row>
    <row r="21" spans="2:16" x14ac:dyDescent="0.25">
      <c r="B21" t="s">
        <v>26</v>
      </c>
      <c r="C21">
        <v>0.1645513742226781</v>
      </c>
      <c r="D21">
        <v>9.6480638870832941E-2</v>
      </c>
      <c r="G21">
        <f t="shared" si="2"/>
        <v>0.13051600654675552</v>
      </c>
      <c r="H21">
        <f t="shared" si="3"/>
        <v>0.12164041891972947</v>
      </c>
      <c r="J21" t="s">
        <v>53</v>
      </c>
      <c r="K21">
        <v>0.63664325916743714</v>
      </c>
      <c r="L21">
        <v>2.177021313314349</v>
      </c>
      <c r="O21">
        <f t="shared" si="0"/>
        <v>1.4068322862408931</v>
      </c>
      <c r="P21">
        <f t="shared" si="1"/>
        <v>0.98518207020171977</v>
      </c>
    </row>
    <row r="22" spans="2:16" x14ac:dyDescent="0.25">
      <c r="B22" t="s">
        <v>27</v>
      </c>
      <c r="C22">
        <v>0.33633607781003583</v>
      </c>
      <c r="D22">
        <v>0.95663478503110777</v>
      </c>
      <c r="G22">
        <f t="shared" si="2"/>
        <v>0.6464854314205718</v>
      </c>
      <c r="H22">
        <f t="shared" si="3"/>
        <v>0.49769225392597322</v>
      </c>
      <c r="J22" t="s">
        <v>54</v>
      </c>
      <c r="K22">
        <v>1.361845819118882</v>
      </c>
      <c r="L22">
        <v>1.3234964190180341</v>
      </c>
      <c r="O22">
        <f t="shared" si="0"/>
        <v>1.3426711190684579</v>
      </c>
      <c r="P22">
        <f t="shared" si="1"/>
        <v>1.3423972849799739</v>
      </c>
    </row>
    <row r="23" spans="2:16" x14ac:dyDescent="0.25">
      <c r="B23" t="s">
        <v>28</v>
      </c>
      <c r="C23">
        <v>0.6551209370907326</v>
      </c>
      <c r="D23">
        <v>2.4557526232704978</v>
      </c>
      <c r="G23">
        <f t="shared" si="2"/>
        <v>1.5554367801806153</v>
      </c>
      <c r="H23">
        <f t="shared" si="3"/>
        <v>1.0343171643614983</v>
      </c>
      <c r="J23" t="s">
        <v>55</v>
      </c>
      <c r="K23">
        <v>0.93387692224603969</v>
      </c>
      <c r="L23">
        <v>0.50189835188540854</v>
      </c>
      <c r="O23">
        <f t="shared" si="0"/>
        <v>0.71788763706572412</v>
      </c>
      <c r="P23">
        <f t="shared" si="1"/>
        <v>0.65290341264951135</v>
      </c>
    </row>
    <row r="24" spans="2:16" x14ac:dyDescent="0.25">
      <c r="B24" t="s">
        <v>29</v>
      </c>
      <c r="C24">
        <v>0.88419346271144528</v>
      </c>
      <c r="D24">
        <v>1.05441545175968</v>
      </c>
      <c r="G24">
        <f t="shared" si="2"/>
        <v>0.96930445723556269</v>
      </c>
      <c r="H24">
        <f t="shared" si="3"/>
        <v>0.96183117953131714</v>
      </c>
      <c r="J24" t="s">
        <v>56</v>
      </c>
      <c r="K24">
        <v>0.89126507224777574</v>
      </c>
      <c r="L24">
        <v>0.2589524549141427</v>
      </c>
      <c r="O24">
        <f t="shared" si="0"/>
        <v>0.57510876358095919</v>
      </c>
      <c r="P24">
        <f t="shared" si="1"/>
        <v>0.40130718405459109</v>
      </c>
    </row>
    <row r="25" spans="2:16" x14ac:dyDescent="0.25">
      <c r="B25" t="s">
        <v>30</v>
      </c>
      <c r="C25">
        <v>0.21821795235783831</v>
      </c>
      <c r="D25">
        <v>1.3026279134552881</v>
      </c>
      <c r="G25">
        <f t="shared" si="2"/>
        <v>0.76042293290656315</v>
      </c>
      <c r="H25">
        <f t="shared" si="3"/>
        <v>0.37381407590097543</v>
      </c>
      <c r="J25" t="s">
        <v>57</v>
      </c>
      <c r="K25">
        <v>0.77589494786355662</v>
      </c>
      <c r="L25">
        <v>0.68858400207092929</v>
      </c>
      <c r="O25">
        <f t="shared" si="0"/>
        <v>0.73223947496724295</v>
      </c>
      <c r="P25">
        <f t="shared" si="1"/>
        <v>0.72963677410372285</v>
      </c>
    </row>
    <row r="26" spans="2:16" x14ac:dyDescent="0.25">
      <c r="B26" t="s">
        <v>31</v>
      </c>
      <c r="C26">
        <v>0.37852530932603101</v>
      </c>
      <c r="D26">
        <v>8.5058965549261761E-2</v>
      </c>
      <c r="G26">
        <f t="shared" si="2"/>
        <v>0.23179213743764637</v>
      </c>
      <c r="H26">
        <f t="shared" si="3"/>
        <v>0.13890450125448159</v>
      </c>
      <c r="J26" t="s">
        <v>58</v>
      </c>
      <c r="K26">
        <v>0.93052460487789812</v>
      </c>
      <c r="L26">
        <v>0.57416515661403045</v>
      </c>
      <c r="O26">
        <f t="shared" si="0"/>
        <v>0.75234488074596428</v>
      </c>
      <c r="P26">
        <f t="shared" si="1"/>
        <v>0.71014613000780102</v>
      </c>
    </row>
    <row r="27" spans="2:16" x14ac:dyDescent="0.25">
      <c r="B27" t="s">
        <v>32</v>
      </c>
      <c r="C27">
        <v>0.50399765544148223</v>
      </c>
      <c r="D27">
        <v>0.4570526511282384</v>
      </c>
      <c r="G27">
        <f t="shared" si="2"/>
        <v>0.48052515328486034</v>
      </c>
      <c r="H27">
        <f t="shared" si="3"/>
        <v>0.47937857780649823</v>
      </c>
      <c r="J27" t="s">
        <v>59</v>
      </c>
      <c r="K27">
        <v>1.536599667468634</v>
      </c>
      <c r="L27">
        <v>1.094356717577013</v>
      </c>
      <c r="O27">
        <f t="shared" si="0"/>
        <v>1.3154781925228236</v>
      </c>
      <c r="P27">
        <f t="shared" si="1"/>
        <v>1.2783094222914899</v>
      </c>
    </row>
    <row r="28" spans="2:16" x14ac:dyDescent="0.25">
      <c r="B28" t="s">
        <v>33</v>
      </c>
      <c r="C28">
        <v>0.43012757695372239</v>
      </c>
      <c r="D28">
        <v>0.22666914291020521</v>
      </c>
      <c r="G28">
        <f t="shared" si="2"/>
        <v>0.32839835993196381</v>
      </c>
      <c r="H28">
        <f t="shared" si="3"/>
        <v>0.29688531096910031</v>
      </c>
      <c r="J28" t="s">
        <v>60</v>
      </c>
      <c r="K28">
        <v>0.7480194066642577</v>
      </c>
      <c r="L28">
        <v>0.81633445508672009</v>
      </c>
      <c r="O28">
        <f t="shared" si="0"/>
        <v>0.7821769308754889</v>
      </c>
      <c r="P28">
        <f t="shared" si="1"/>
        <v>0.78068527801002408</v>
      </c>
    </row>
    <row r="29" spans="2:16" x14ac:dyDescent="0.25">
      <c r="B29" t="s">
        <v>34</v>
      </c>
      <c r="C29">
        <v>1.4013829231882331</v>
      </c>
      <c r="D29">
        <v>1.039929427059151</v>
      </c>
      <c r="G29">
        <f t="shared" si="2"/>
        <v>1.220656175123692</v>
      </c>
      <c r="H29">
        <f t="shared" si="3"/>
        <v>1.1938983065841138</v>
      </c>
      <c r="J29" t="s">
        <v>61</v>
      </c>
      <c r="K29">
        <v>1.087421287408171</v>
      </c>
      <c r="L29">
        <v>1.9136681335749419</v>
      </c>
      <c r="O29">
        <f t="shared" si="0"/>
        <v>1.5005447104915564</v>
      </c>
      <c r="P29">
        <f t="shared" si="1"/>
        <v>1.3868053720321083</v>
      </c>
    </row>
    <row r="30" spans="2:16" x14ac:dyDescent="0.25">
      <c r="B30" t="s">
        <v>35</v>
      </c>
      <c r="C30">
        <v>0.52704942805593968</v>
      </c>
      <c r="D30">
        <v>0.94252019686136124</v>
      </c>
      <c r="G30">
        <f t="shared" si="2"/>
        <v>0.73478481245865046</v>
      </c>
      <c r="H30">
        <f t="shared" si="3"/>
        <v>0.67605470644496568</v>
      </c>
      <c r="J30" t="s">
        <v>62</v>
      </c>
      <c r="K30">
        <v>1.1058339580619569</v>
      </c>
      <c r="L30">
        <v>0.35701958753990848</v>
      </c>
      <c r="O30">
        <f t="shared" si="0"/>
        <v>0.73142677280093271</v>
      </c>
      <c r="P30">
        <f t="shared" si="1"/>
        <v>0.53977294553087873</v>
      </c>
    </row>
    <row r="31" spans="2:16" x14ac:dyDescent="0.25">
      <c r="B31" t="s">
        <v>36</v>
      </c>
      <c r="C31">
        <v>0.58368700143787378</v>
      </c>
      <c r="D31">
        <v>0.9297984956820502</v>
      </c>
      <c r="G31">
        <f t="shared" si="2"/>
        <v>0.75674274855996204</v>
      </c>
      <c r="H31">
        <f t="shared" si="3"/>
        <v>0.71716748778742867</v>
      </c>
      <c r="J31" t="s">
        <v>63</v>
      </c>
      <c r="K31">
        <v>1.1888536411927411</v>
      </c>
      <c r="L31">
        <v>2.484856329277763</v>
      </c>
      <c r="O31">
        <f t="shared" si="0"/>
        <v>1.836854985235252</v>
      </c>
      <c r="P31">
        <f t="shared" si="1"/>
        <v>1.6082546083649343</v>
      </c>
    </row>
    <row r="32" spans="2:16" x14ac:dyDescent="0.25">
      <c r="B32" t="s">
        <v>37</v>
      </c>
      <c r="C32">
        <v>0.34553114324703033</v>
      </c>
      <c r="D32">
        <v>0.8151174668028599</v>
      </c>
      <c r="G32">
        <f t="shared" si="2"/>
        <v>0.58032430502494514</v>
      </c>
      <c r="H32">
        <f t="shared" si="3"/>
        <v>0.48532944035991887</v>
      </c>
      <c r="J32" t="s">
        <v>64</v>
      </c>
      <c r="K32">
        <v>0.88222525978209299</v>
      </c>
      <c r="L32">
        <v>1.722754336008284</v>
      </c>
      <c r="O32">
        <f t="shared" si="0"/>
        <v>1.3024897978951886</v>
      </c>
      <c r="P32">
        <f t="shared" si="1"/>
        <v>1.1668862159855002</v>
      </c>
    </row>
    <row r="33" spans="2:16" x14ac:dyDescent="0.25">
      <c r="B33" t="s">
        <v>38</v>
      </c>
      <c r="C33">
        <v>0.80625520885803514</v>
      </c>
      <c r="D33">
        <v>1.8773330857089789</v>
      </c>
      <c r="G33">
        <f t="shared" si="2"/>
        <v>1.3417941472835071</v>
      </c>
      <c r="H33">
        <f t="shared" si="3"/>
        <v>1.128049024642662</v>
      </c>
      <c r="J33" t="s">
        <v>65</v>
      </c>
      <c r="K33">
        <v>0.77965875029414755</v>
      </c>
      <c r="L33">
        <v>1.148718612477349</v>
      </c>
      <c r="O33">
        <f t="shared" si="0"/>
        <v>0.96418868138574831</v>
      </c>
      <c r="P33">
        <f t="shared" si="1"/>
        <v>0.92887267309188215</v>
      </c>
    </row>
    <row r="34" spans="2:16" x14ac:dyDescent="0.25">
      <c r="B34" t="s">
        <v>50</v>
      </c>
      <c r="C34">
        <v>1</v>
      </c>
      <c r="D34">
        <v>1</v>
      </c>
      <c r="G34">
        <f t="shared" si="2"/>
        <v>1</v>
      </c>
      <c r="H34">
        <f t="shared" si="3"/>
        <v>1</v>
      </c>
      <c r="J34" t="s">
        <v>50</v>
      </c>
      <c r="K34">
        <v>1</v>
      </c>
      <c r="L34">
        <v>1</v>
      </c>
      <c r="O34">
        <f t="shared" si="0"/>
        <v>1</v>
      </c>
      <c r="P34">
        <f t="shared" si="1"/>
        <v>1</v>
      </c>
    </row>
    <row r="35" spans="2:16" x14ac:dyDescent="0.25">
      <c r="B35" t="s">
        <v>66</v>
      </c>
      <c r="C35">
        <v>1.4375202630301589</v>
      </c>
      <c r="D35">
        <v>3.5084037515089599</v>
      </c>
      <c r="G35">
        <f t="shared" si="2"/>
        <v>2.4729620072695595</v>
      </c>
      <c r="H35">
        <f t="shared" si="3"/>
        <v>2.0394172934559816</v>
      </c>
      <c r="J35" t="s">
        <v>66</v>
      </c>
      <c r="K35">
        <v>0.54301883444284271</v>
      </c>
      <c r="L35">
        <v>1.6285270515143671</v>
      </c>
      <c r="O35">
        <f t="shared" si="0"/>
        <v>1.0857729429786049</v>
      </c>
      <c r="P35">
        <f t="shared" si="1"/>
        <v>0.81446205405156835</v>
      </c>
    </row>
    <row r="36" spans="2:16" x14ac:dyDescent="0.25">
      <c r="B36" t="s">
        <v>71</v>
      </c>
      <c r="C36">
        <v>1.0705895282491831</v>
      </c>
      <c r="D36">
        <v>2.770545083108924</v>
      </c>
      <c r="G36">
        <f t="shared" si="2"/>
        <v>1.9205673056790535</v>
      </c>
      <c r="H36">
        <f t="shared" si="3"/>
        <v>1.5443960462869324</v>
      </c>
      <c r="J36" t="s">
        <v>71</v>
      </c>
      <c r="K36">
        <v>1.490536486509076</v>
      </c>
      <c r="L36">
        <v>3.1324100440072482</v>
      </c>
      <c r="O36">
        <f t="shared" si="0"/>
        <v>2.311473265258162</v>
      </c>
      <c r="P36">
        <f t="shared" si="1"/>
        <v>2.0199115133520005</v>
      </c>
    </row>
    <row r="37" spans="2:16" x14ac:dyDescent="0.25">
      <c r="B37" s="6"/>
    </row>
  </sheetData>
  <mergeCells count="6">
    <mergeCell ref="C1:H1"/>
    <mergeCell ref="K1:P1"/>
    <mergeCell ref="C2:D2"/>
    <mergeCell ref="E2:F2"/>
    <mergeCell ref="K2:L2"/>
    <mergeCell ref="M2:N2"/>
  </mergeCells>
  <conditionalFormatting sqref="E4:F36 M4:M36 K4:K36">
    <cfRule type="cellIs" dxfId="0" priority="13" operator="greaterThan">
      <formula>33</formula>
    </cfRule>
  </conditionalFormatting>
  <conditionalFormatting sqref="G4:H3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36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P3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3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7:P3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L3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2025-06-30T15:47:35Z</dcterms:modified>
</cp:coreProperties>
</file>