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U:\Thèse\Echo - PURE\METIS\PURE Exploration - SynChro\Day_6\"/>
    </mc:Choice>
  </mc:AlternateContent>
  <xr:revisionPtr revIDLastSave="0" documentId="13_ncr:1_{D8E1F717-8773-4BB9-9F2C-04F6AB7B2DFA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chart.v1.0" hidden="1">Sheet1!$K$4:$K$33</definedName>
    <definedName name="_xlchart.v1.1" hidden="1">Sheet1!$L$4:$L$33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1" l="1"/>
  <c r="H4" i="1"/>
  <c r="G5" i="1"/>
  <c r="H5" i="1"/>
  <c r="G6" i="1"/>
  <c r="H6" i="1"/>
  <c r="G7" i="1"/>
  <c r="H7" i="1"/>
  <c r="G8" i="1"/>
  <c r="H8" i="1"/>
  <c r="G9" i="1"/>
  <c r="H9" i="1"/>
  <c r="G10" i="1"/>
  <c r="H10" i="1"/>
  <c r="G11" i="1"/>
  <c r="H11" i="1"/>
  <c r="G12" i="1"/>
  <c r="H12" i="1"/>
  <c r="G13" i="1"/>
  <c r="H13" i="1"/>
  <c r="G14" i="1"/>
  <c r="H14" i="1"/>
  <c r="G15" i="1"/>
  <c r="H15" i="1"/>
  <c r="G16" i="1"/>
  <c r="H16" i="1"/>
  <c r="G17" i="1"/>
  <c r="H17" i="1"/>
  <c r="G18" i="1"/>
  <c r="H18" i="1"/>
  <c r="G19" i="1"/>
  <c r="H19" i="1"/>
  <c r="G20" i="1"/>
  <c r="H20" i="1"/>
  <c r="G21" i="1"/>
  <c r="H21" i="1"/>
  <c r="G22" i="1"/>
  <c r="H22" i="1"/>
  <c r="G23" i="1"/>
  <c r="H23" i="1"/>
  <c r="G24" i="1"/>
  <c r="H24" i="1"/>
  <c r="G25" i="1"/>
  <c r="H25" i="1"/>
  <c r="G26" i="1"/>
  <c r="H26" i="1"/>
  <c r="G27" i="1"/>
  <c r="H27" i="1"/>
  <c r="G28" i="1"/>
  <c r="H28" i="1"/>
  <c r="G29" i="1"/>
  <c r="H29" i="1"/>
  <c r="G30" i="1"/>
  <c r="H30" i="1"/>
  <c r="G31" i="1"/>
  <c r="H31" i="1"/>
  <c r="G32" i="1"/>
  <c r="H32" i="1"/>
  <c r="G33" i="1"/>
  <c r="H33" i="1"/>
  <c r="G34" i="1"/>
  <c r="H34" i="1"/>
  <c r="O5" i="1"/>
  <c r="P5" i="1"/>
  <c r="O6" i="1"/>
  <c r="P6" i="1"/>
  <c r="O7" i="1"/>
  <c r="P7" i="1"/>
  <c r="O8" i="1"/>
  <c r="P8" i="1"/>
  <c r="O9" i="1"/>
  <c r="P9" i="1"/>
  <c r="O10" i="1"/>
  <c r="P10" i="1"/>
  <c r="O11" i="1"/>
  <c r="P11" i="1"/>
  <c r="O12" i="1"/>
  <c r="P12" i="1"/>
  <c r="O13" i="1"/>
  <c r="P13" i="1"/>
  <c r="O14" i="1"/>
  <c r="P14" i="1"/>
  <c r="O15" i="1"/>
  <c r="P15" i="1"/>
  <c r="O16" i="1"/>
  <c r="P16" i="1"/>
  <c r="O17" i="1"/>
  <c r="P17" i="1"/>
  <c r="O18" i="1"/>
  <c r="P18" i="1"/>
  <c r="O19" i="1"/>
  <c r="P19" i="1"/>
  <c r="O20" i="1"/>
  <c r="P20" i="1"/>
  <c r="O21" i="1"/>
  <c r="P21" i="1"/>
  <c r="O22" i="1"/>
  <c r="P22" i="1"/>
  <c r="O23" i="1"/>
  <c r="P23" i="1"/>
  <c r="O24" i="1"/>
  <c r="P24" i="1"/>
  <c r="O25" i="1"/>
  <c r="P25" i="1"/>
  <c r="O26" i="1"/>
  <c r="P26" i="1"/>
  <c r="O27" i="1"/>
  <c r="P27" i="1"/>
  <c r="O28" i="1"/>
  <c r="P28" i="1"/>
  <c r="O29" i="1"/>
  <c r="P29" i="1"/>
  <c r="O30" i="1"/>
  <c r="P30" i="1"/>
  <c r="O31" i="1"/>
  <c r="P31" i="1"/>
  <c r="O32" i="1"/>
  <c r="P32" i="1"/>
  <c r="O33" i="1"/>
  <c r="P33" i="1"/>
  <c r="O34" i="1"/>
  <c r="P34" i="1"/>
  <c r="P4" i="1"/>
  <c r="O4" i="1"/>
</calcChain>
</file>

<file path=xl/sharedStrings.xml><?xml version="1.0" encoding="utf-8"?>
<sst xmlns="http://schemas.openxmlformats.org/spreadsheetml/2006/main" count="51" uniqueCount="40">
  <si>
    <t>0.1 nM</t>
  </si>
  <si>
    <t>1 nM</t>
  </si>
  <si>
    <t>Relative Yield</t>
  </si>
  <si>
    <t>CV%</t>
  </si>
  <si>
    <t>Condition</t>
  </si>
  <si>
    <t>mVenus</t>
  </si>
  <si>
    <t>mCherry</t>
  </si>
  <si>
    <t>Mean</t>
  </si>
  <si>
    <t>Harmonic 
mean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</si>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</sst>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1" fillId="0" borderId="4" xfId="0" applyFont="1" applyBorder="1" applyAlignment="1">
      <alignment horizontal="center" vertical="top"/>
    </xf>
    <xf numFmtId="0" fontId="0" fillId="0" borderId="4" xfId="0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0" borderId="0" xfId="0" applyFill="1"/>
    <xf numFmtId="0" fontId="0" fillId="0" borderId="0" xfId="0" applyBorder="1"/>
    <xf numFmtId="0" fontId="0" fillId="0" borderId="6" xfId="0" applyBorder="1"/>
    <xf numFmtId="0" fontId="0" fillId="0" borderId="5" xfId="0" applyBorder="1"/>
    <xf numFmtId="0" fontId="0" fillId="0" borderId="4" xfId="0" applyFill="1" applyBorder="1"/>
    <xf numFmtId="0" fontId="0" fillId="2" borderId="0" xfId="0" applyFill="1"/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Sheet1!$C$4:$C$34</c:f>
              <c:numCache>
                <c:formatCode>General</c:formatCode>
                <c:ptCount val="31"/>
                <c:pt idx="0">
                  <c:v>0.84352992025220985</c:v>
                </c:pt>
                <c:pt idx="1">
                  <c:v>1.050381789367526</c:v>
                </c:pt>
                <c:pt idx="2">
                  <c:v>0.1901446646948651</c:v>
                </c:pt>
                <c:pt idx="3">
                  <c:v>0.69316169055145471</c:v>
                </c:pt>
                <c:pt idx="4">
                  <c:v>0.32390399755926003</c:v>
                </c:pt>
                <c:pt idx="5">
                  <c:v>1.347491885386917E-2</c:v>
                </c:pt>
                <c:pt idx="6">
                  <c:v>1.1870081442748539</c:v>
                </c:pt>
                <c:pt idx="7">
                  <c:v>1.4616269905167081</c:v>
                </c:pt>
                <c:pt idx="8">
                  <c:v>0.59581091044687573</c:v>
                </c:pt>
                <c:pt idx="9">
                  <c:v>0.98824970126359146</c:v>
                </c:pt>
                <c:pt idx="10">
                  <c:v>0.83233980524928608</c:v>
                </c:pt>
                <c:pt idx="11">
                  <c:v>0.84674101883946196</c:v>
                </c:pt>
                <c:pt idx="12">
                  <c:v>0.66686780172377258</c:v>
                </c:pt>
                <c:pt idx="13">
                  <c:v>1.0719501343254489</c:v>
                </c:pt>
                <c:pt idx="14">
                  <c:v>9.7950795359204049E-2</c:v>
                </c:pt>
                <c:pt idx="15">
                  <c:v>0.66085408951075031</c:v>
                </c:pt>
                <c:pt idx="16">
                  <c:v>0.7573378984211464</c:v>
                </c:pt>
                <c:pt idx="17">
                  <c:v>1.055059874403586</c:v>
                </c:pt>
                <c:pt idx="18">
                  <c:v>1.812418959804063E-2</c:v>
                </c:pt>
                <c:pt idx="19">
                  <c:v>0.31277066366094047</c:v>
                </c:pt>
                <c:pt idx="20">
                  <c:v>0.68069950930955869</c:v>
                </c:pt>
                <c:pt idx="21">
                  <c:v>0.78823190420095424</c:v>
                </c:pt>
                <c:pt idx="22">
                  <c:v>1.7399594904955209E-2</c:v>
                </c:pt>
                <c:pt idx="23">
                  <c:v>3.6200920362382087E-2</c:v>
                </c:pt>
                <c:pt idx="24">
                  <c:v>0.21624193835436489</c:v>
                </c:pt>
                <c:pt idx="25">
                  <c:v>0.56302194123579408</c:v>
                </c:pt>
                <c:pt idx="26">
                  <c:v>0.66691441307829857</c:v>
                </c:pt>
                <c:pt idx="27">
                  <c:v>1.3301838182326671</c:v>
                </c:pt>
                <c:pt idx="28">
                  <c:v>0.49719484393671032</c:v>
                </c:pt>
                <c:pt idx="29">
                  <c:v>0.71280117291117562</c:v>
                </c:pt>
                <c:pt idx="30">
                  <c:v>1</c:v>
                </c:pt>
              </c:numCache>
            </c:numRef>
          </c:xVal>
          <c:yVal>
            <c:numRef>
              <c:f>Sheet1!$D$4:$D$34</c:f>
              <c:numCache>
                <c:formatCode>General</c:formatCode>
                <c:ptCount val="31"/>
                <c:pt idx="0">
                  <c:v>1.1485752702073739</c:v>
                </c:pt>
                <c:pt idx="1">
                  <c:v>3.057196049025185</c:v>
                </c:pt>
                <c:pt idx="2">
                  <c:v>0.1060660909137922</c:v>
                </c:pt>
                <c:pt idx="3">
                  <c:v>1.8782644670838291</c:v>
                </c:pt>
                <c:pt idx="4">
                  <c:v>0.18156901277343951</c:v>
                </c:pt>
                <c:pt idx="5">
                  <c:v>3.5372601747944363E-2</c:v>
                </c:pt>
                <c:pt idx="6">
                  <c:v>2.93525365878885</c:v>
                </c:pt>
                <c:pt idx="7">
                  <c:v>3.8102601230801052</c:v>
                </c:pt>
                <c:pt idx="8">
                  <c:v>0.46258468221544191</c:v>
                </c:pt>
                <c:pt idx="9">
                  <c:v>2.7831100998086571</c:v>
                </c:pt>
                <c:pt idx="10">
                  <c:v>1.049956042819465</c:v>
                </c:pt>
                <c:pt idx="11">
                  <c:v>1.0025857165020431</c:v>
                </c:pt>
                <c:pt idx="12">
                  <c:v>2.976728551481616</c:v>
                </c:pt>
                <c:pt idx="13">
                  <c:v>3.3397631483684131</c:v>
                </c:pt>
                <c:pt idx="14">
                  <c:v>4.887004188860733E-2</c:v>
                </c:pt>
                <c:pt idx="15">
                  <c:v>0.76392408336350004</c:v>
                </c:pt>
                <c:pt idx="16">
                  <c:v>1.2362310596266231</c:v>
                </c:pt>
                <c:pt idx="17">
                  <c:v>3.546361896881626</c:v>
                </c:pt>
                <c:pt idx="18">
                  <c:v>3.4855458447535813E-2</c:v>
                </c:pt>
                <c:pt idx="19">
                  <c:v>0.22754305217975901</c:v>
                </c:pt>
                <c:pt idx="20">
                  <c:v>2.606040233748772</c:v>
                </c:pt>
                <c:pt idx="21">
                  <c:v>0.89408905207633038</c:v>
                </c:pt>
                <c:pt idx="22">
                  <c:v>3.4803744117494963E-2</c:v>
                </c:pt>
                <c:pt idx="23">
                  <c:v>4.1009463722397471E-2</c:v>
                </c:pt>
                <c:pt idx="24">
                  <c:v>0.50074985778559233</c:v>
                </c:pt>
                <c:pt idx="25">
                  <c:v>0.50462843253865641</c:v>
                </c:pt>
                <c:pt idx="26">
                  <c:v>1.735067487200703</c:v>
                </c:pt>
                <c:pt idx="27">
                  <c:v>4.5543259037079178</c:v>
                </c:pt>
                <c:pt idx="28">
                  <c:v>0.8034338315147127</c:v>
                </c:pt>
                <c:pt idx="29">
                  <c:v>1.1173398148626981</c:v>
                </c:pt>
                <c:pt idx="3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306-476E-993A-3C771C0BA2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9773855"/>
        <c:axId val="1309774271"/>
      </c:scatterChart>
      <c:valAx>
        <c:axId val="1309773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9774271"/>
        <c:crosses val="autoZero"/>
        <c:crossBetween val="midCat"/>
      </c:valAx>
      <c:valAx>
        <c:axId val="1309774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97738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Sheet1!$K$4:$K$33</c:f>
              <c:numCache>
                <c:formatCode>General</c:formatCode>
                <c:ptCount val="30"/>
                <c:pt idx="0">
                  <c:v>0.39464269788252848</c:v>
                </c:pt>
                <c:pt idx="1">
                  <c:v>1.634247215456524</c:v>
                </c:pt>
                <c:pt idx="2">
                  <c:v>1.3208427177295059</c:v>
                </c:pt>
                <c:pt idx="3">
                  <c:v>0.36661826348997789</c:v>
                </c:pt>
                <c:pt idx="4">
                  <c:v>1.2694723341929499</c:v>
                </c:pt>
                <c:pt idx="5">
                  <c:v>1.537411552196922</c:v>
                </c:pt>
                <c:pt idx="6">
                  <c:v>1.1581546581986231</c:v>
                </c:pt>
                <c:pt idx="7">
                  <c:v>1.767083788159896</c:v>
                </c:pt>
                <c:pt idx="8">
                  <c:v>1.650384817816053</c:v>
                </c:pt>
                <c:pt idx="9">
                  <c:v>1.690021618131595</c:v>
                </c:pt>
                <c:pt idx="10">
                  <c:v>1.4898698766849521</c:v>
                </c:pt>
                <c:pt idx="11">
                  <c:v>1.203056560116871</c:v>
                </c:pt>
                <c:pt idx="12">
                  <c:v>1.523528717194391</c:v>
                </c:pt>
                <c:pt idx="13">
                  <c:v>0.96001399337512927</c:v>
                </c:pt>
                <c:pt idx="14">
                  <c:v>1.1477387635333141</c:v>
                </c:pt>
                <c:pt idx="15">
                  <c:v>1.585022315288076</c:v>
                </c:pt>
                <c:pt idx="16">
                  <c:v>0.95667580716274903</c:v>
                </c:pt>
                <c:pt idx="17">
                  <c:v>1.3145727058841259</c:v>
                </c:pt>
                <c:pt idx="18">
                  <c:v>0.40398145438147143</c:v>
                </c:pt>
                <c:pt idx="19">
                  <c:v>1.716659904458159</c:v>
                </c:pt>
                <c:pt idx="20">
                  <c:v>0.93314583383055438</c:v>
                </c:pt>
                <c:pt idx="21">
                  <c:v>1.0696446762995691</c:v>
                </c:pt>
                <c:pt idx="22">
                  <c:v>1.577386253581563</c:v>
                </c:pt>
                <c:pt idx="23">
                  <c:v>1.6289883945428349</c:v>
                </c:pt>
                <c:pt idx="24">
                  <c:v>0.17085986401052139</c:v>
                </c:pt>
                <c:pt idx="25">
                  <c:v>1.155072724098124</c:v>
                </c:pt>
                <c:pt idx="26">
                  <c:v>0.90645793006075936</c:v>
                </c:pt>
                <c:pt idx="27">
                  <c:v>1.578201487015932</c:v>
                </c:pt>
                <c:pt idx="28">
                  <c:v>1.1457226623589509</c:v>
                </c:pt>
                <c:pt idx="29">
                  <c:v>1.954140921075606</c:v>
                </c:pt>
              </c:numCache>
            </c:numRef>
          </c:xVal>
          <c:yVal>
            <c:numRef>
              <c:f>Sheet1!$L$4:$L$33</c:f>
              <c:numCache>
                <c:formatCode>General</c:formatCode>
                <c:ptCount val="30"/>
                <c:pt idx="0">
                  <c:v>0.27914013127394283</c:v>
                </c:pt>
                <c:pt idx="1">
                  <c:v>2.1600663689822608</c:v>
                </c:pt>
                <c:pt idx="2">
                  <c:v>0.82956347753946758</c:v>
                </c:pt>
                <c:pt idx="3">
                  <c:v>0.81672888758753626</c:v>
                </c:pt>
                <c:pt idx="4">
                  <c:v>2.293877949393651</c:v>
                </c:pt>
                <c:pt idx="5">
                  <c:v>2.015469828953468</c:v>
                </c:pt>
                <c:pt idx="6">
                  <c:v>1.834638752653539</c:v>
                </c:pt>
                <c:pt idx="7">
                  <c:v>1.966693507063904</c:v>
                </c:pt>
                <c:pt idx="8">
                  <c:v>2.6531732669643509</c:v>
                </c:pt>
                <c:pt idx="9">
                  <c:v>2.1761950076861138</c:v>
                </c:pt>
                <c:pt idx="10">
                  <c:v>1.94580679794061</c:v>
                </c:pt>
                <c:pt idx="11">
                  <c:v>1.842764072908279</c:v>
                </c:pt>
                <c:pt idx="12">
                  <c:v>2.0632945367591442</c:v>
                </c:pt>
                <c:pt idx="13">
                  <c:v>0.71217334016543432</c:v>
                </c:pt>
                <c:pt idx="14">
                  <c:v>1.7660493375301951</c:v>
                </c:pt>
                <c:pt idx="15">
                  <c:v>2.0942585950272061</c:v>
                </c:pt>
                <c:pt idx="16">
                  <c:v>1.055120415782153</c:v>
                </c:pt>
                <c:pt idx="17">
                  <c:v>1.2778713124954251</c:v>
                </c:pt>
                <c:pt idx="18">
                  <c:v>0.16785008418124589</c:v>
                </c:pt>
                <c:pt idx="19">
                  <c:v>2.089939731108021</c:v>
                </c:pt>
                <c:pt idx="20">
                  <c:v>0.67305956128150701</c:v>
                </c:pt>
                <c:pt idx="21">
                  <c:v>1.895029646438767</c:v>
                </c:pt>
                <c:pt idx="22">
                  <c:v>2.2736500500207399</c:v>
                </c:pt>
                <c:pt idx="23">
                  <c:v>2.3470463362857772</c:v>
                </c:pt>
                <c:pt idx="24">
                  <c:v>3.0646853573432879E-2</c:v>
                </c:pt>
                <c:pt idx="25">
                  <c:v>1.079203572212869</c:v>
                </c:pt>
                <c:pt idx="26">
                  <c:v>0.64839079618378359</c:v>
                </c:pt>
                <c:pt idx="27">
                  <c:v>2.6325305614523091</c:v>
                </c:pt>
                <c:pt idx="28">
                  <c:v>0.98365175804601912</c:v>
                </c:pt>
                <c:pt idx="29">
                  <c:v>3.3047361100944288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00-45C8-8920-C43BDFD35D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8055103"/>
        <c:axId val="958061759"/>
      </c:scatterChart>
      <c:valAx>
        <c:axId val="9580551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8061759"/>
        <c:crosses val="autoZero"/>
        <c:crossBetween val="midCat"/>
      </c:valAx>
      <c:valAx>
        <c:axId val="95806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80551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390525</xdr:colOff>
      <xdr:row>35</xdr:row>
      <xdr:rowOff>90486</xdr:rowOff>
    </xdr:from>
    <xdr:to>
      <xdr:col>7</xdr:col>
      <xdr:colOff>542925</xdr:colOff>
      <xdr:row>56</xdr:row>
      <xdr:rowOff>133349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E65833EA-5F57-45FD-AA0B-9E478EC956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38100</xdr:colOff>
      <xdr:row>36</xdr:row>
      <xdr:rowOff>19051</xdr:rowOff>
    </xdr:from>
    <xdr:to>
      <xdr:col>16</xdr:col>
      <xdr:colOff>85725</xdr:colOff>
      <xdr:row>56</xdr:row>
      <xdr:rowOff>28575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10F08BA8-51E4-47E9-AA82-445947A84E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P35"/>
  <sheetViews>
    <sheetView tabSelected="1" topLeftCell="A28" workbookViewId="0">
      <selection activeCell="S37" sqref="S37"/>
    </sheetView>
  </sheetViews>
  <sheetFormatPr baseColWidth="10" defaultColWidth="9.140625" defaultRowHeight="15" x14ac:dyDescent="0.25"/>
  <sheetData>
    <row r="1" spans="2:16" x14ac:dyDescent="0.25">
      <c r="C1" s="12" t="s">
        <v>0</v>
      </c>
      <c r="D1" s="12"/>
      <c r="E1" s="12"/>
      <c r="F1" s="12"/>
      <c r="G1" s="12"/>
      <c r="H1" s="12"/>
      <c r="K1" s="12" t="s">
        <v>1</v>
      </c>
      <c r="L1" s="12"/>
      <c r="M1" s="12"/>
      <c r="N1" s="12"/>
      <c r="O1" s="12"/>
      <c r="P1" s="12"/>
    </row>
    <row r="2" spans="2:16" x14ac:dyDescent="0.25">
      <c r="C2" s="13" t="s">
        <v>2</v>
      </c>
      <c r="D2" s="14"/>
      <c r="E2" s="15" t="s">
        <v>3</v>
      </c>
      <c r="F2" s="16"/>
      <c r="G2" s="1"/>
      <c r="H2" s="1"/>
      <c r="K2" s="13" t="s">
        <v>2</v>
      </c>
      <c r="L2" s="14"/>
      <c r="M2" s="15" t="s">
        <v>3</v>
      </c>
      <c r="N2" s="16"/>
      <c r="O2" s="1"/>
      <c r="P2" s="1"/>
    </row>
    <row r="3" spans="2:16" ht="45" x14ac:dyDescent="0.25">
      <c r="B3" s="2" t="s">
        <v>4</v>
      </c>
      <c r="C3" s="1" t="s">
        <v>5</v>
      </c>
      <c r="D3" s="1" t="s">
        <v>6</v>
      </c>
      <c r="E3" s="1" t="s">
        <v>5</v>
      </c>
      <c r="F3" s="1" t="s">
        <v>6</v>
      </c>
      <c r="G3" s="3" t="s">
        <v>7</v>
      </c>
      <c r="H3" s="4" t="s">
        <v>8</v>
      </c>
      <c r="I3" s="5"/>
      <c r="K3" s="1" t="s">
        <v>5</v>
      </c>
      <c r="L3" s="1" t="s">
        <v>6</v>
      </c>
      <c r="M3" s="1" t="s">
        <v>5</v>
      </c>
      <c r="N3" s="1" t="s">
        <v>6</v>
      </c>
      <c r="O3" s="3" t="s">
        <v>7</v>
      </c>
      <c r="P3" s="4" t="s">
        <v>8</v>
      </c>
    </row>
    <row r="4" spans="2:16" x14ac:dyDescent="0.25">
      <c r="B4" t="s">
        <v>9</v>
      </c>
      <c r="C4">
        <v>0.84352992025220985</v>
      </c>
      <c r="D4">
        <v>1.1485752702073739</v>
      </c>
      <c r="E4">
        <v>5.7070865171941314</v>
      </c>
      <c r="F4">
        <v>15.263033734371311</v>
      </c>
      <c r="G4">
        <f>AVERAGE(C4:D4)</f>
        <v>0.99605259522979184</v>
      </c>
      <c r="H4">
        <f>HARMEAN(C4:D4)</f>
        <v>0.97269723579021306</v>
      </c>
      <c r="J4" s="11">
        <v>32</v>
      </c>
      <c r="K4">
        <v>0.39464269788252848</v>
      </c>
      <c r="L4">
        <v>0.27914013127394283</v>
      </c>
      <c r="M4">
        <v>34.62875405677007</v>
      </c>
      <c r="N4">
        <v>58.031837916063679</v>
      </c>
      <c r="O4">
        <f t="shared" ref="O4:O34" si="0">AVERAGE(K4:L4)</f>
        <v>0.33689141457823568</v>
      </c>
      <c r="P4">
        <f t="shared" ref="P4:P34" si="1">HARMEAN(K4:L4)</f>
        <v>0.32699145696884352</v>
      </c>
    </row>
    <row r="5" spans="2:16" x14ac:dyDescent="0.25">
      <c r="B5" t="s">
        <v>10</v>
      </c>
      <c r="C5">
        <v>1.050381789367526</v>
      </c>
      <c r="D5">
        <v>3.057196049025185</v>
      </c>
      <c r="E5">
        <v>6.2847973151847647</v>
      </c>
      <c r="F5">
        <v>11.26137841352406</v>
      </c>
      <c r="G5">
        <f t="shared" ref="G5:G34" si="2">AVERAGE(C5:D5)</f>
        <v>2.0537889191963554</v>
      </c>
      <c r="H5">
        <f t="shared" ref="H5:H34" si="3">HARMEAN(C5:D5)</f>
        <v>1.5635604157797049</v>
      </c>
      <c r="J5" s="6">
        <v>33</v>
      </c>
      <c r="K5">
        <v>1.634247215456524</v>
      </c>
      <c r="L5">
        <v>2.1600663689822608</v>
      </c>
      <c r="M5">
        <v>4.7759192490223317</v>
      </c>
      <c r="N5">
        <v>0.31374961550292219</v>
      </c>
      <c r="O5">
        <f t="shared" si="0"/>
        <v>1.8971567922193924</v>
      </c>
      <c r="P5">
        <f t="shared" si="1"/>
        <v>1.8607225629363353</v>
      </c>
    </row>
    <row r="6" spans="2:16" x14ac:dyDescent="0.25">
      <c r="B6" s="11" t="s">
        <v>11</v>
      </c>
      <c r="C6">
        <v>0.1901446646948651</v>
      </c>
      <c r="D6">
        <v>0.1060660909137922</v>
      </c>
      <c r="E6">
        <v>24.003937376956969</v>
      </c>
      <c r="F6">
        <v>51.295336787564771</v>
      </c>
      <c r="G6">
        <f t="shared" si="2"/>
        <v>0.14810537780432864</v>
      </c>
      <c r="H6">
        <f t="shared" si="3"/>
        <v>0.13617264674172183</v>
      </c>
      <c r="J6" s="6">
        <v>34</v>
      </c>
      <c r="K6">
        <v>1.3208427177295059</v>
      </c>
      <c r="L6">
        <v>0.82956347753946758</v>
      </c>
      <c r="O6">
        <f t="shared" si="0"/>
        <v>1.0752030976344868</v>
      </c>
      <c r="P6">
        <f t="shared" si="1"/>
        <v>1.0190845623613143</v>
      </c>
    </row>
    <row r="7" spans="2:16" x14ac:dyDescent="0.25">
      <c r="B7" t="s">
        <v>12</v>
      </c>
      <c r="C7">
        <v>0.69316169055145471</v>
      </c>
      <c r="D7">
        <v>1.8782644670838291</v>
      </c>
      <c r="E7">
        <v>3.8134399819748781</v>
      </c>
      <c r="F7">
        <v>4.0511107884419921</v>
      </c>
      <c r="G7">
        <f t="shared" si="2"/>
        <v>1.2857130788176419</v>
      </c>
      <c r="H7">
        <f t="shared" si="3"/>
        <v>1.0126217075615622</v>
      </c>
      <c r="J7" s="6">
        <v>35</v>
      </c>
      <c r="K7">
        <v>0.36661826348997789</v>
      </c>
      <c r="L7">
        <v>0.81672888758753626</v>
      </c>
      <c r="M7">
        <v>5.2045152152452898</v>
      </c>
      <c r="N7">
        <v>1.850362027353178</v>
      </c>
      <c r="O7" s="7">
        <f t="shared" si="0"/>
        <v>0.5916735755387571</v>
      </c>
      <c r="P7" s="7">
        <f t="shared" si="1"/>
        <v>0.5060691213678008</v>
      </c>
    </row>
    <row r="8" spans="2:16" x14ac:dyDescent="0.25">
      <c r="B8" t="s">
        <v>13</v>
      </c>
      <c r="C8">
        <v>0.32390399755926003</v>
      </c>
      <c r="D8">
        <v>0.18156901277343951</v>
      </c>
      <c r="E8">
        <v>2.7542682521756459</v>
      </c>
      <c r="F8">
        <v>9.375</v>
      </c>
      <c r="G8">
        <f t="shared" si="2"/>
        <v>0.25273650516634977</v>
      </c>
      <c r="H8">
        <f t="shared" si="3"/>
        <v>0.23269661433157973</v>
      </c>
      <c r="J8" s="6">
        <v>36</v>
      </c>
      <c r="K8">
        <v>1.2694723341929499</v>
      </c>
      <c r="L8">
        <v>2.293877949393651</v>
      </c>
      <c r="M8">
        <v>14.44792746437537</v>
      </c>
      <c r="N8">
        <v>8.921574195013914</v>
      </c>
      <c r="O8">
        <f t="shared" si="0"/>
        <v>1.7816751417933006</v>
      </c>
      <c r="P8">
        <f t="shared" si="1"/>
        <v>1.6344251128965519</v>
      </c>
    </row>
    <row r="9" spans="2:16" x14ac:dyDescent="0.25">
      <c r="B9" t="s">
        <v>14</v>
      </c>
      <c r="C9">
        <v>1.347491885386917E-2</v>
      </c>
      <c r="D9">
        <v>3.5372601747944363E-2</v>
      </c>
      <c r="E9">
        <v>0.1050788091068301</v>
      </c>
      <c r="F9">
        <v>4</v>
      </c>
      <c r="G9">
        <f t="shared" si="2"/>
        <v>2.4423760300906767E-2</v>
      </c>
      <c r="H9">
        <f t="shared" si="3"/>
        <v>1.9515542747366593E-2</v>
      </c>
      <c r="J9" s="6">
        <v>37</v>
      </c>
      <c r="K9">
        <v>1.537411552196922</v>
      </c>
      <c r="L9">
        <v>2.015469828953468</v>
      </c>
      <c r="M9">
        <v>2.67163769561449</v>
      </c>
      <c r="N9">
        <v>9.5647607168647024</v>
      </c>
      <c r="O9">
        <f t="shared" si="0"/>
        <v>1.776440690575195</v>
      </c>
      <c r="P9">
        <f t="shared" si="1"/>
        <v>1.7442781031626313</v>
      </c>
    </row>
    <row r="10" spans="2:16" x14ac:dyDescent="0.25">
      <c r="B10" t="s">
        <v>15</v>
      </c>
      <c r="C10">
        <v>1.1870081442748539</v>
      </c>
      <c r="D10">
        <v>2.93525365878885</v>
      </c>
      <c r="E10">
        <v>0.88807110375588394</v>
      </c>
      <c r="F10">
        <v>2.301837757564507</v>
      </c>
      <c r="G10">
        <f t="shared" si="2"/>
        <v>2.0611309015318522</v>
      </c>
      <c r="H10">
        <f t="shared" si="3"/>
        <v>1.6904166522880522</v>
      </c>
      <c r="J10" s="6">
        <v>38</v>
      </c>
      <c r="K10">
        <v>1.1581546581986231</v>
      </c>
      <c r="L10">
        <v>1.834638752653539</v>
      </c>
      <c r="M10">
        <v>16.489119897470161</v>
      </c>
      <c r="N10">
        <v>12.302474926040841</v>
      </c>
      <c r="O10">
        <f t="shared" si="0"/>
        <v>1.4963967054260809</v>
      </c>
      <c r="P10">
        <f t="shared" si="1"/>
        <v>1.419941256080484</v>
      </c>
    </row>
    <row r="11" spans="2:16" x14ac:dyDescent="0.25">
      <c r="B11" s="3" t="s">
        <v>16</v>
      </c>
      <c r="C11" s="8">
        <v>1.4616269905167081</v>
      </c>
      <c r="D11" s="8">
        <v>3.8102601230801052</v>
      </c>
      <c r="E11" s="8">
        <v>0.65118011377630403</v>
      </c>
      <c r="F11" s="8">
        <v>1.270470735110524</v>
      </c>
      <c r="G11" s="8">
        <f t="shared" si="2"/>
        <v>2.6359435567984066</v>
      </c>
      <c r="H11" s="9">
        <f t="shared" si="3"/>
        <v>2.1127838729398558</v>
      </c>
      <c r="J11" s="11">
        <v>39</v>
      </c>
      <c r="K11">
        <v>1.767083788159896</v>
      </c>
      <c r="L11">
        <v>1.966693507063904</v>
      </c>
      <c r="M11">
        <v>19.57930105559053</v>
      </c>
      <c r="N11">
        <v>55.221476510067113</v>
      </c>
      <c r="O11">
        <f t="shared" si="0"/>
        <v>1.8668886476119</v>
      </c>
      <c r="P11">
        <f t="shared" si="1"/>
        <v>1.8615530267740015</v>
      </c>
    </row>
    <row r="12" spans="2:16" x14ac:dyDescent="0.25">
      <c r="B12" t="s">
        <v>17</v>
      </c>
      <c r="C12">
        <v>0.59581091044687573</v>
      </c>
      <c r="D12">
        <v>0.46258468221544191</v>
      </c>
      <c r="E12">
        <v>2.6974659292195349</v>
      </c>
      <c r="F12">
        <v>4.5317220543806647</v>
      </c>
      <c r="G12">
        <f t="shared" si="2"/>
        <v>0.52919779633115882</v>
      </c>
      <c r="H12">
        <f t="shared" si="3"/>
        <v>0.52081282760499126</v>
      </c>
      <c r="J12" s="6">
        <v>40</v>
      </c>
      <c r="K12">
        <v>1.650384817816053</v>
      </c>
      <c r="L12">
        <v>2.6531732669643509</v>
      </c>
      <c r="M12">
        <v>0.1768858633133204</v>
      </c>
      <c r="N12">
        <v>19.411881581561691</v>
      </c>
      <c r="O12">
        <f t="shared" si="0"/>
        <v>2.1517790423902019</v>
      </c>
      <c r="P12">
        <f t="shared" si="1"/>
        <v>2.0349472657608225</v>
      </c>
    </row>
    <row r="13" spans="2:16" x14ac:dyDescent="0.25">
      <c r="B13" t="s">
        <v>18</v>
      </c>
      <c r="C13">
        <v>0.98824970126359146</v>
      </c>
      <c r="D13">
        <v>2.7831100998086571</v>
      </c>
      <c r="E13">
        <v>0.86696669022716488</v>
      </c>
      <c r="F13">
        <v>4.5819364015036061</v>
      </c>
      <c r="G13">
        <f t="shared" si="2"/>
        <v>1.8856799005361242</v>
      </c>
      <c r="H13">
        <f t="shared" si="3"/>
        <v>1.4585761474880288</v>
      </c>
      <c r="J13" s="6">
        <v>41</v>
      </c>
      <c r="K13">
        <v>1.690021618131595</v>
      </c>
      <c r="L13">
        <v>2.1761950076861138</v>
      </c>
      <c r="M13">
        <v>7.374974778773816</v>
      </c>
      <c r="N13">
        <v>23.369765442711529</v>
      </c>
      <c r="O13">
        <f t="shared" si="0"/>
        <v>1.9331083129088544</v>
      </c>
      <c r="P13">
        <f t="shared" si="1"/>
        <v>1.9025403717422187</v>
      </c>
    </row>
    <row r="14" spans="2:16" x14ac:dyDescent="0.25">
      <c r="B14" t="s">
        <v>19</v>
      </c>
      <c r="C14">
        <v>0.83233980524928608</v>
      </c>
      <c r="D14">
        <v>1.049956042819465</v>
      </c>
      <c r="E14">
        <v>10.443865550469161</v>
      </c>
      <c r="F14">
        <v>14.16377700720192</v>
      </c>
      <c r="G14">
        <f t="shared" si="2"/>
        <v>0.94114792403437553</v>
      </c>
      <c r="H14">
        <f t="shared" si="3"/>
        <v>0.9285683853548452</v>
      </c>
      <c r="J14" s="6">
        <v>42</v>
      </c>
      <c r="K14">
        <v>1.4898698766849521</v>
      </c>
      <c r="L14">
        <v>1.94580679794061</v>
      </c>
      <c r="M14">
        <v>1.8142434002100361</v>
      </c>
      <c r="N14">
        <v>21.833468944941689</v>
      </c>
      <c r="O14">
        <f t="shared" si="0"/>
        <v>1.717838337312781</v>
      </c>
      <c r="P14">
        <f t="shared" si="1"/>
        <v>1.6875854212425074</v>
      </c>
    </row>
    <row r="15" spans="2:16" x14ac:dyDescent="0.25">
      <c r="B15" t="s">
        <v>20</v>
      </c>
      <c r="C15">
        <v>0.84674101883946196</v>
      </c>
      <c r="D15">
        <v>1.0025857165020431</v>
      </c>
      <c r="E15">
        <v>3.8333675353991379</v>
      </c>
      <c r="F15">
        <v>17.787418655097611</v>
      </c>
      <c r="G15" s="7">
        <f t="shared" si="2"/>
        <v>0.92466336767075252</v>
      </c>
      <c r="H15" s="7">
        <f t="shared" si="3"/>
        <v>0.91809676985831767</v>
      </c>
      <c r="J15" s="11">
        <v>43</v>
      </c>
      <c r="K15">
        <v>1.203056560116871</v>
      </c>
      <c r="L15">
        <v>1.842764072908279</v>
      </c>
      <c r="M15">
        <v>2.707347298749692</v>
      </c>
      <c r="N15">
        <v>35.4584003509285</v>
      </c>
      <c r="O15">
        <f t="shared" si="0"/>
        <v>1.522910316512575</v>
      </c>
      <c r="P15">
        <f t="shared" si="1"/>
        <v>1.4557320825935078</v>
      </c>
    </row>
    <row r="16" spans="2:16" x14ac:dyDescent="0.25">
      <c r="B16" t="s">
        <v>21</v>
      </c>
      <c r="C16">
        <v>0.66686780172377258</v>
      </c>
      <c r="D16">
        <v>2.976728551481616</v>
      </c>
      <c r="E16">
        <v>4.2205907020554569</v>
      </c>
      <c r="F16">
        <v>7.0582836163377696</v>
      </c>
      <c r="G16">
        <f t="shared" si="2"/>
        <v>1.8217981766026943</v>
      </c>
      <c r="H16">
        <f t="shared" si="3"/>
        <v>1.0896291647172127</v>
      </c>
      <c r="J16" s="6">
        <v>44</v>
      </c>
      <c r="K16">
        <v>1.523528717194391</v>
      </c>
      <c r="L16">
        <v>2.0632945367591442</v>
      </c>
      <c r="M16">
        <v>8.3443462546919278</v>
      </c>
      <c r="N16">
        <v>12.68909754825248</v>
      </c>
      <c r="O16">
        <f t="shared" si="0"/>
        <v>1.7934116269767677</v>
      </c>
      <c r="P16">
        <f t="shared" si="1"/>
        <v>1.7527980924724851</v>
      </c>
    </row>
    <row r="17" spans="2:16" x14ac:dyDescent="0.25">
      <c r="B17" t="s">
        <v>22</v>
      </c>
      <c r="C17">
        <v>1.0719501343254489</v>
      </c>
      <c r="D17">
        <v>3.3397631483684131</v>
      </c>
      <c r="E17">
        <v>0.2337665483702959</v>
      </c>
      <c r="F17">
        <v>10.016129032258061</v>
      </c>
      <c r="G17">
        <f t="shared" si="2"/>
        <v>2.2058566413469309</v>
      </c>
      <c r="H17">
        <f t="shared" si="3"/>
        <v>1.6229792491513246</v>
      </c>
      <c r="J17" s="11">
        <v>45</v>
      </c>
      <c r="K17">
        <v>0.96001399337512927</v>
      </c>
      <c r="L17">
        <v>0.71217334016543432</v>
      </c>
      <c r="M17">
        <v>26.537154057392531</v>
      </c>
      <c r="N17">
        <v>51.600609756097562</v>
      </c>
      <c r="O17">
        <f t="shared" si="0"/>
        <v>0.83609366677028185</v>
      </c>
      <c r="P17">
        <f t="shared" si="1"/>
        <v>0.81772700767911666</v>
      </c>
    </row>
    <row r="18" spans="2:16" x14ac:dyDescent="0.25">
      <c r="B18" t="s">
        <v>23</v>
      </c>
      <c r="C18">
        <v>9.7950795359204049E-2</v>
      </c>
      <c r="D18">
        <v>4.887004188860733E-2</v>
      </c>
      <c r="E18">
        <v>1.9817552689525011</v>
      </c>
      <c r="F18">
        <v>5.6179775280898872</v>
      </c>
      <c r="G18">
        <f t="shared" si="2"/>
        <v>7.3410418623905682E-2</v>
      </c>
      <c r="H18">
        <f t="shared" si="3"/>
        <v>6.5206813446339509E-2</v>
      </c>
      <c r="J18" s="6">
        <v>46</v>
      </c>
      <c r="K18">
        <v>1.1477387635333141</v>
      </c>
      <c r="L18">
        <v>1.7660493375301951</v>
      </c>
      <c r="M18">
        <v>7.5752886494745608</v>
      </c>
      <c r="N18">
        <v>28.497484872785591</v>
      </c>
      <c r="O18">
        <f t="shared" si="0"/>
        <v>1.4568940505317545</v>
      </c>
      <c r="P18">
        <f t="shared" si="1"/>
        <v>1.391290795824109</v>
      </c>
    </row>
    <row r="19" spans="2:16" x14ac:dyDescent="0.25">
      <c r="B19" t="s">
        <v>24</v>
      </c>
      <c r="C19">
        <v>0.66085408951075031</v>
      </c>
      <c r="D19">
        <v>0.76392408336350004</v>
      </c>
      <c r="E19">
        <v>20.753546786572599</v>
      </c>
      <c r="F19">
        <v>10.624071322436849</v>
      </c>
      <c r="G19">
        <f t="shared" si="2"/>
        <v>0.71238908643712517</v>
      </c>
      <c r="H19">
        <f t="shared" si="3"/>
        <v>0.70866098902692454</v>
      </c>
      <c r="J19" s="6">
        <v>47</v>
      </c>
      <c r="K19">
        <v>1.585022315288076</v>
      </c>
      <c r="L19">
        <v>2.0942585950272061</v>
      </c>
      <c r="M19">
        <v>7.4321614476704019</v>
      </c>
      <c r="N19">
        <v>29.056843442362659</v>
      </c>
      <c r="O19">
        <f t="shared" si="0"/>
        <v>1.8396404551576411</v>
      </c>
      <c r="P19">
        <f t="shared" si="1"/>
        <v>1.8043996574415015</v>
      </c>
    </row>
    <row r="20" spans="2:16" x14ac:dyDescent="0.25">
      <c r="B20" t="s">
        <v>25</v>
      </c>
      <c r="C20">
        <v>0.7573378984211464</v>
      </c>
      <c r="D20">
        <v>1.2362310596266231</v>
      </c>
      <c r="E20">
        <v>13.888731227225771</v>
      </c>
      <c r="F20">
        <v>15.26397172520433</v>
      </c>
      <c r="G20">
        <f t="shared" si="2"/>
        <v>0.99678447902388467</v>
      </c>
      <c r="H20">
        <f t="shared" si="3"/>
        <v>0.93926485851525732</v>
      </c>
      <c r="J20" s="6">
        <v>48</v>
      </c>
      <c r="K20">
        <v>0.95667580716274903</v>
      </c>
      <c r="L20">
        <v>1.055120415782153</v>
      </c>
      <c r="O20">
        <f t="shared" si="0"/>
        <v>1.005898111472451</v>
      </c>
      <c r="P20">
        <f t="shared" si="1"/>
        <v>1.0034894825925238</v>
      </c>
    </row>
    <row r="21" spans="2:16" x14ac:dyDescent="0.25">
      <c r="B21" t="s">
        <v>26</v>
      </c>
      <c r="C21">
        <v>1.055059874403586</v>
      </c>
      <c r="D21">
        <v>3.546361896881626</v>
      </c>
      <c r="E21">
        <v>3.1084421022529969</v>
      </c>
      <c r="F21">
        <v>1.2281240405280931</v>
      </c>
      <c r="G21">
        <f t="shared" si="2"/>
        <v>2.300710885642606</v>
      </c>
      <c r="H21">
        <f t="shared" si="3"/>
        <v>1.6262904482535743</v>
      </c>
      <c r="J21" s="11">
        <v>49</v>
      </c>
      <c r="K21">
        <v>1.3145727058841259</v>
      </c>
      <c r="L21">
        <v>1.2778713124954251</v>
      </c>
      <c r="M21">
        <v>14.22633057945529</v>
      </c>
      <c r="N21">
        <v>43.590267838887748</v>
      </c>
      <c r="O21">
        <f t="shared" si="0"/>
        <v>1.2962220091897754</v>
      </c>
      <c r="P21">
        <f t="shared" si="1"/>
        <v>1.2959622172198966</v>
      </c>
    </row>
    <row r="22" spans="2:16" x14ac:dyDescent="0.25">
      <c r="B22" t="s">
        <v>27</v>
      </c>
      <c r="C22">
        <v>1.812418959804063E-2</v>
      </c>
      <c r="D22">
        <v>3.4855458447535813E-2</v>
      </c>
      <c r="E22">
        <v>1.051122790253225</v>
      </c>
      <c r="F22">
        <v>12.195121951219511</v>
      </c>
      <c r="G22">
        <f t="shared" si="2"/>
        <v>2.6489824022788221E-2</v>
      </c>
      <c r="H22">
        <f t="shared" si="3"/>
        <v>2.38479099327468E-2</v>
      </c>
      <c r="J22" s="11">
        <v>50</v>
      </c>
      <c r="K22">
        <v>0.40398145438147143</v>
      </c>
      <c r="L22">
        <v>0.16785008418124589</v>
      </c>
      <c r="M22">
        <v>50.181774407126532</v>
      </c>
      <c r="N22">
        <v>68.548387096774192</v>
      </c>
      <c r="O22">
        <f t="shared" si="0"/>
        <v>0.28591576928135864</v>
      </c>
      <c r="P22">
        <f t="shared" si="1"/>
        <v>0.23716187916471504</v>
      </c>
    </row>
    <row r="23" spans="2:16" x14ac:dyDescent="0.25">
      <c r="B23" t="s">
        <v>28</v>
      </c>
      <c r="C23">
        <v>0.31277066366094047</v>
      </c>
      <c r="D23">
        <v>0.22754305217975901</v>
      </c>
      <c r="E23">
        <v>25.445075235628071</v>
      </c>
      <c r="F23">
        <v>0.82449941107184921</v>
      </c>
      <c r="G23">
        <f t="shared" si="2"/>
        <v>0.27015685792034971</v>
      </c>
      <c r="H23">
        <f t="shared" si="3"/>
        <v>0.26343507245957792</v>
      </c>
      <c r="J23" s="6">
        <v>51</v>
      </c>
      <c r="K23">
        <v>1.716659904458159</v>
      </c>
      <c r="L23">
        <v>2.089939731108021</v>
      </c>
      <c r="M23">
        <v>3.0676856557534529</v>
      </c>
      <c r="N23">
        <v>7.9972139555499266</v>
      </c>
      <c r="O23">
        <f t="shared" si="0"/>
        <v>1.90329981778309</v>
      </c>
      <c r="P23">
        <f t="shared" si="1"/>
        <v>1.8849976790866694</v>
      </c>
    </row>
    <row r="24" spans="2:16" x14ac:dyDescent="0.25">
      <c r="B24" t="s">
        <v>29</v>
      </c>
      <c r="C24">
        <v>0.68069950930955869</v>
      </c>
      <c r="D24">
        <v>2.606040233748772</v>
      </c>
      <c r="E24">
        <v>9.2866494691676493</v>
      </c>
      <c r="F24">
        <v>19.72507091424831</v>
      </c>
      <c r="G24">
        <f t="shared" si="2"/>
        <v>1.6433698715291654</v>
      </c>
      <c r="H24">
        <f t="shared" si="3"/>
        <v>1.0794467752430583</v>
      </c>
      <c r="J24" s="11">
        <v>52</v>
      </c>
      <c r="K24">
        <v>0.93314583383055438</v>
      </c>
      <c r="L24">
        <v>0.67305956128150701</v>
      </c>
      <c r="M24">
        <v>29.425295343988878</v>
      </c>
      <c r="N24">
        <v>57.052459685650128</v>
      </c>
      <c r="O24">
        <f t="shared" si="0"/>
        <v>0.8031026975560307</v>
      </c>
      <c r="P24">
        <f t="shared" si="1"/>
        <v>0.78204534418942173</v>
      </c>
    </row>
    <row r="25" spans="2:16" x14ac:dyDescent="0.25">
      <c r="B25" t="s">
        <v>30</v>
      </c>
      <c r="C25">
        <v>0.78823190420095424</v>
      </c>
      <c r="D25">
        <v>0.89408905207633038</v>
      </c>
      <c r="E25">
        <v>6.6498364144770354</v>
      </c>
      <c r="F25">
        <v>10.14934471197806</v>
      </c>
      <c r="G25">
        <f t="shared" si="2"/>
        <v>0.84116047813864236</v>
      </c>
      <c r="H25">
        <f t="shared" si="3"/>
        <v>0.83783003880882911</v>
      </c>
      <c r="J25" s="6">
        <v>53</v>
      </c>
      <c r="K25">
        <v>1.0696446762995691</v>
      </c>
      <c r="L25">
        <v>1.895029646438767</v>
      </c>
      <c r="M25">
        <v>2.8888067111397122</v>
      </c>
      <c r="N25">
        <v>18.645926128965939</v>
      </c>
      <c r="O25">
        <f t="shared" si="0"/>
        <v>1.482337161369168</v>
      </c>
      <c r="P25">
        <f t="shared" si="1"/>
        <v>1.3674408397552589</v>
      </c>
    </row>
    <row r="26" spans="2:16" x14ac:dyDescent="0.25">
      <c r="B26" t="s">
        <v>31</v>
      </c>
      <c r="C26">
        <v>1.7399594904955209E-2</v>
      </c>
      <c r="D26">
        <v>3.4803744117494963E-2</v>
      </c>
      <c r="E26">
        <v>0.1577287066246057</v>
      </c>
      <c r="F26">
        <v>11.111111111111111</v>
      </c>
      <c r="G26">
        <f t="shared" si="2"/>
        <v>2.6101669511225084E-2</v>
      </c>
      <c r="H26">
        <f t="shared" si="3"/>
        <v>2.3200471853331177E-2</v>
      </c>
      <c r="J26" s="6">
        <v>54</v>
      </c>
      <c r="K26">
        <v>1.577386253581563</v>
      </c>
      <c r="L26">
        <v>2.2736500500207399</v>
      </c>
      <c r="M26">
        <v>0.80155748551264694</v>
      </c>
      <c r="N26">
        <v>18.070895738159951</v>
      </c>
      <c r="O26">
        <f t="shared" si="0"/>
        <v>1.9255181518011515</v>
      </c>
      <c r="P26">
        <f t="shared" si="1"/>
        <v>1.8625762270809894</v>
      </c>
    </row>
    <row r="27" spans="2:16" x14ac:dyDescent="0.25">
      <c r="B27" t="s">
        <v>32</v>
      </c>
      <c r="C27">
        <v>3.6200920362382087E-2</v>
      </c>
      <c r="D27">
        <v>4.1009463722397471E-2</v>
      </c>
      <c r="E27">
        <v>20.222195957924601</v>
      </c>
      <c r="F27">
        <v>0.76335877862595414</v>
      </c>
      <c r="G27">
        <f t="shared" si="2"/>
        <v>3.8605192042389783E-2</v>
      </c>
      <c r="H27">
        <f t="shared" si="3"/>
        <v>3.8455457718961472E-2</v>
      </c>
      <c r="J27" s="6">
        <v>55</v>
      </c>
      <c r="K27">
        <v>1.6289883945428349</v>
      </c>
      <c r="L27">
        <v>2.3470463362857772</v>
      </c>
      <c r="M27">
        <v>3.9319442299907781</v>
      </c>
      <c r="N27">
        <v>12.726032070965539</v>
      </c>
      <c r="O27">
        <f t="shared" si="0"/>
        <v>1.9880173654143061</v>
      </c>
      <c r="P27">
        <f t="shared" si="1"/>
        <v>1.9231779911877309</v>
      </c>
    </row>
    <row r="28" spans="2:16" x14ac:dyDescent="0.25">
      <c r="B28" t="s">
        <v>33</v>
      </c>
      <c r="C28">
        <v>0.21624193835436489</v>
      </c>
      <c r="D28">
        <v>0.50074985778559233</v>
      </c>
      <c r="E28">
        <v>0.968877288725432</v>
      </c>
      <c r="F28">
        <v>4.0043883708173338</v>
      </c>
      <c r="G28">
        <f t="shared" si="2"/>
        <v>0.35849589806997861</v>
      </c>
      <c r="H28">
        <f t="shared" si="3"/>
        <v>0.30204842080812905</v>
      </c>
      <c r="J28" s="6">
        <v>56</v>
      </c>
      <c r="K28">
        <v>0.17085986401052139</v>
      </c>
      <c r="L28">
        <v>3.0646853573432879E-2</v>
      </c>
      <c r="O28">
        <f t="shared" si="0"/>
        <v>0.10075335879197714</v>
      </c>
      <c r="P28">
        <f t="shared" si="1"/>
        <v>5.1971639424134658E-2</v>
      </c>
    </row>
    <row r="29" spans="2:16" x14ac:dyDescent="0.25">
      <c r="B29" t="s">
        <v>34</v>
      </c>
      <c r="C29">
        <v>0.56302194123579408</v>
      </c>
      <c r="D29">
        <v>0.50462843253865641</v>
      </c>
      <c r="E29">
        <v>11.405063399515409</v>
      </c>
      <c r="F29">
        <v>7.6411960132890364</v>
      </c>
      <c r="G29">
        <f t="shared" si="2"/>
        <v>0.53382518688722524</v>
      </c>
      <c r="H29">
        <f t="shared" si="3"/>
        <v>0.53222831494219514</v>
      </c>
      <c r="J29" s="11">
        <v>57</v>
      </c>
      <c r="K29">
        <v>1.155072724098124</v>
      </c>
      <c r="L29">
        <v>1.079203572212869</v>
      </c>
      <c r="M29">
        <v>17.58889092938168</v>
      </c>
      <c r="N29">
        <v>38.373538920666498</v>
      </c>
      <c r="O29">
        <f t="shared" si="0"/>
        <v>1.1171381481554965</v>
      </c>
      <c r="P29">
        <f t="shared" si="1"/>
        <v>1.1158500066178336</v>
      </c>
    </row>
    <row r="30" spans="2:16" x14ac:dyDescent="0.25">
      <c r="B30" t="s">
        <v>35</v>
      </c>
      <c r="C30">
        <v>0.66691441307829857</v>
      </c>
      <c r="D30">
        <v>1.735067487200703</v>
      </c>
      <c r="E30">
        <v>0.1075068076915649</v>
      </c>
      <c r="F30">
        <v>0.75356742023408685</v>
      </c>
      <c r="G30">
        <f t="shared" si="2"/>
        <v>1.2009909501395009</v>
      </c>
      <c r="H30">
        <f t="shared" si="3"/>
        <v>0.9634889544698797</v>
      </c>
      <c r="J30" s="11">
        <v>58</v>
      </c>
      <c r="K30">
        <v>0.90645793006075936</v>
      </c>
      <c r="L30">
        <v>0.64839079618378359</v>
      </c>
      <c r="M30">
        <v>28.624874268222971</v>
      </c>
      <c r="N30">
        <v>58.59375</v>
      </c>
      <c r="O30">
        <f t="shared" si="0"/>
        <v>0.77742436312227148</v>
      </c>
      <c r="P30">
        <f t="shared" si="1"/>
        <v>0.75600792419051321</v>
      </c>
    </row>
    <row r="31" spans="2:16" x14ac:dyDescent="0.25">
      <c r="B31" t="s">
        <v>36</v>
      </c>
      <c r="C31">
        <v>1.3301838182326671</v>
      </c>
      <c r="D31">
        <v>4.5543259037079178</v>
      </c>
      <c r="E31">
        <v>0.33950866538529872</v>
      </c>
      <c r="F31">
        <v>4.7945610404966006</v>
      </c>
      <c r="G31">
        <f t="shared" si="2"/>
        <v>2.9422548609702925</v>
      </c>
      <c r="H31">
        <f t="shared" si="3"/>
        <v>2.0589958743656598</v>
      </c>
      <c r="J31" s="6">
        <v>59</v>
      </c>
      <c r="K31">
        <v>1.578201487015932</v>
      </c>
      <c r="L31">
        <v>2.6325305614523091</v>
      </c>
      <c r="M31">
        <v>5.980655205538441</v>
      </c>
      <c r="N31">
        <v>7.7439727331963306</v>
      </c>
      <c r="O31">
        <f t="shared" si="0"/>
        <v>2.1053660242341206</v>
      </c>
      <c r="P31">
        <f t="shared" si="1"/>
        <v>1.9733688103997418</v>
      </c>
    </row>
    <row r="32" spans="2:16" x14ac:dyDescent="0.25">
      <c r="B32" t="s">
        <v>37</v>
      </c>
      <c r="C32">
        <v>0.49719484393671032</v>
      </c>
      <c r="D32">
        <v>0.8034338315147127</v>
      </c>
      <c r="E32">
        <v>4.4285911221395091</v>
      </c>
      <c r="F32">
        <v>0.48209366391184572</v>
      </c>
      <c r="G32">
        <f t="shared" si="2"/>
        <v>0.65031433772571146</v>
      </c>
      <c r="H32">
        <f t="shared" si="3"/>
        <v>0.6142616505587728</v>
      </c>
      <c r="J32" s="6">
        <v>60</v>
      </c>
      <c r="K32">
        <v>1.1457226623589509</v>
      </c>
      <c r="L32">
        <v>0.98365175804601912</v>
      </c>
      <c r="M32">
        <v>12.4897982809018</v>
      </c>
      <c r="N32">
        <v>26.715205824698959</v>
      </c>
      <c r="O32">
        <f t="shared" si="0"/>
        <v>1.0646872102024849</v>
      </c>
      <c r="P32">
        <f t="shared" si="1"/>
        <v>1.0585194414500512</v>
      </c>
    </row>
    <row r="33" spans="2:16" x14ac:dyDescent="0.25">
      <c r="B33" s="11" t="s">
        <v>38</v>
      </c>
      <c r="C33">
        <v>0.71280117291117562</v>
      </c>
      <c r="D33">
        <v>1.1173398148626981</v>
      </c>
      <c r="E33">
        <v>42.816166101593197</v>
      </c>
      <c r="F33">
        <v>36.911764705882362</v>
      </c>
      <c r="G33">
        <f t="shared" si="2"/>
        <v>0.91507049388693684</v>
      </c>
      <c r="H33">
        <f t="shared" si="3"/>
        <v>0.87036041036734901</v>
      </c>
      <c r="J33" s="10">
        <v>61</v>
      </c>
      <c r="K33" s="8">
        <v>1.954140921075606</v>
      </c>
      <c r="L33" s="8">
        <v>3.3047361100944288</v>
      </c>
      <c r="M33" s="8"/>
      <c r="N33" s="8"/>
      <c r="O33" s="8">
        <f t="shared" si="0"/>
        <v>2.6294385155850173</v>
      </c>
      <c r="P33" s="9">
        <f t="shared" si="1"/>
        <v>2.4560072531891608</v>
      </c>
    </row>
    <row r="34" spans="2:16" x14ac:dyDescent="0.25">
      <c r="B34" t="s">
        <v>39</v>
      </c>
      <c r="C34">
        <v>1</v>
      </c>
      <c r="D34">
        <v>1</v>
      </c>
      <c r="E34">
        <v>2.5728462420432532</v>
      </c>
      <c r="F34">
        <v>11.6710875331565</v>
      </c>
      <c r="G34">
        <f t="shared" si="2"/>
        <v>1</v>
      </c>
      <c r="H34">
        <f t="shared" si="3"/>
        <v>1</v>
      </c>
      <c r="J34" t="s">
        <v>39</v>
      </c>
      <c r="K34">
        <v>1</v>
      </c>
      <c r="L34">
        <v>1</v>
      </c>
      <c r="M34">
        <v>20.467988835829711</v>
      </c>
      <c r="N34">
        <v>14.009533898305079</v>
      </c>
      <c r="O34">
        <f t="shared" si="0"/>
        <v>1</v>
      </c>
      <c r="P34">
        <f t="shared" si="1"/>
        <v>1</v>
      </c>
    </row>
    <row r="35" spans="2:16" x14ac:dyDescent="0.25">
      <c r="B35" s="6"/>
    </row>
  </sheetData>
  <mergeCells count="6">
    <mergeCell ref="C1:H1"/>
    <mergeCell ref="K1:P1"/>
    <mergeCell ref="C2:D2"/>
    <mergeCell ref="E2:F2"/>
    <mergeCell ref="K2:L2"/>
    <mergeCell ref="M2:N2"/>
  </mergeCells>
  <conditionalFormatting sqref="E4:F34 M4:M34 K4:K34">
    <cfRule type="cellIs" dxfId="1" priority="15" operator="greaterThan">
      <formula>33</formula>
    </cfRule>
  </conditionalFormatting>
  <conditionalFormatting sqref="O35:P35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:H35">
    <cfRule type="colorScale" priority="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:D34">
    <cfRule type="colorScale" priority="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4:P34">
    <cfRule type="colorScale" priority="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4:L34">
    <cfRule type="colorScale" priority="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4:K35">
    <cfRule type="colorScale" priority="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:D35">
    <cfRule type="colorScale" priority="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4:L35">
    <cfRule type="colorScale" priority="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4:P35">
    <cfRule type="colorScale" priority="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4:O35">
    <cfRule type="colorScale" priority="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4:L35">
    <cfRule type="colorScale" priority="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:C3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4:N34">
    <cfRule type="cellIs" dxfId="0" priority="1" operator="greaterThan">
      <formula>33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Yannick Bernard-Lapeyre</dc:creator>
  <cp:lastModifiedBy>Yannick Bernard-Lapeyre</cp:lastModifiedBy>
  <dcterms:created xsi:type="dcterms:W3CDTF">2015-06-05T18:17:20Z</dcterms:created>
  <dcterms:modified xsi:type="dcterms:W3CDTF">2025-06-30T15:47:39Z</dcterms:modified>
</cp:coreProperties>
</file>