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Thèse\Echo - PURE\METIS\PURE Exploration - SynChro\Day_3\"/>
    </mc:Choice>
  </mc:AlternateContent>
  <xr:revisionPtr revIDLastSave="0" documentId="13_ncr:1_{0A072616-50BA-414F-ABAF-C46C5369C9E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7" i="1" l="1"/>
  <c r="O37" i="1"/>
  <c r="H37" i="1"/>
  <c r="G37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P4" i="1"/>
  <c r="O4" i="1"/>
</calcChain>
</file>

<file path=xl/sharedStrings.xml><?xml version="1.0" encoding="utf-8"?>
<sst xmlns="http://schemas.openxmlformats.org/spreadsheetml/2006/main" count="87" uniqueCount="73">
  <si>
    <t>0.1 nM</t>
  </si>
  <si>
    <t>1 nM</t>
  </si>
  <si>
    <t>Relative Yield</t>
  </si>
  <si>
    <t>CV%</t>
  </si>
  <si>
    <t>Condition</t>
  </si>
  <si>
    <t>mVenus</t>
  </si>
  <si>
    <t>mCherry</t>
  </si>
  <si>
    <t>Mean</t>
  </si>
  <si>
    <t>Harmonic 
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</si>
  <si>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</si>
  <si>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</si>
  <si>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</si>
  <si>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</si>
  <si>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</si>
  <si>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</si>
  <si>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</si>
  <si>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</si>
  <si>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</si>
  <si>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</si>
  <si>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</si>
  <si>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</si>
  <si>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</si>
  <si>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</si>
  <si>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</si>
  <si>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</si>
  <si>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</si>
  <si>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</si>
  <si>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</si>
  <si>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</si>
  <si>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</si>
  <si>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</si>
  <si>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</si>
  <si>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</si>
  <si>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</si>
  <si>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</si>
  <si>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</si>
  <si>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</si>
  <si>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</si>
  <si>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</si>
  <si>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</si>
  <si>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</si>
  <si>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</si>
  <si>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</si>
  <si>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</si>
  <si>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</si>
  <si>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</si>
  <si>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</si>
  <si>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</si>
  <si>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</si>
  <si>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</si>
  <si>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REF</t>
  </si>
  <si>
    <t>TOP1V</t>
  </si>
  <si>
    <t>TOP1C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</si>
  <si>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</si>
  <si>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</si>
  <si>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</si>
  <si>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</si>
  <si>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</si>
  <si>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</si>
  <si>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</si>
  <si>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</si>
  <si>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</si>
  <si>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</si>
  <si>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</si>
  <si>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</si>
  <si>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</si>
  <si>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</si>
  <si>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</si>
  <si>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</si>
  <si>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TOP2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</si>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</sst>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2" borderId="0" xfId="0" applyFill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4" xfId="0" applyFill="1" applyBorder="1"/>
    <xf numFmtId="0" fontId="0" fillId="0" borderId="6" xfId="0" applyBorder="1"/>
    <xf numFmtId="0" fontId="0" fillId="0" borderId="5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Sheet1!$C$4:$C$37</c:f>
              <c:numCache>
                <c:formatCode>General</c:formatCode>
                <c:ptCount val="34"/>
                <c:pt idx="0">
                  <c:v>0.72985624546992023</c:v>
                </c:pt>
                <c:pt idx="1">
                  <c:v>1.4961494322300071</c:v>
                </c:pt>
                <c:pt idx="2">
                  <c:v>0.62699575179189815</c:v>
                </c:pt>
                <c:pt idx="3">
                  <c:v>0.66332699122171224</c:v>
                </c:pt>
                <c:pt idx="4">
                  <c:v>1.054431424659741</c:v>
                </c:pt>
                <c:pt idx="5">
                  <c:v>1.2479715309656121</c:v>
                </c:pt>
                <c:pt idx="6">
                  <c:v>5.8956470967222348E-2</c:v>
                </c:pt>
                <c:pt idx="7">
                  <c:v>2.0415911653378429</c:v>
                </c:pt>
                <c:pt idx="8">
                  <c:v>4.742490134493034E-2</c:v>
                </c:pt>
                <c:pt idx="9">
                  <c:v>5.421750422807442E-2</c:v>
                </c:pt>
                <c:pt idx="10">
                  <c:v>0.14154737456712571</c:v>
                </c:pt>
                <c:pt idx="11">
                  <c:v>5.3789663364741891E-2</c:v>
                </c:pt>
                <c:pt idx="12">
                  <c:v>0.29887452685833937</c:v>
                </c:pt>
                <c:pt idx="13">
                  <c:v>0.47685884271563178</c:v>
                </c:pt>
                <c:pt idx="14">
                  <c:v>0.38104765643875332</c:v>
                </c:pt>
                <c:pt idx="15">
                  <c:v>0.12301431505194491</c:v>
                </c:pt>
                <c:pt idx="16">
                  <c:v>1.8446635660787629</c:v>
                </c:pt>
                <c:pt idx="17">
                  <c:v>0.17310693001530161</c:v>
                </c:pt>
                <c:pt idx="18">
                  <c:v>0.2406806193122332</c:v>
                </c:pt>
                <c:pt idx="19">
                  <c:v>4.4950974470484011E-2</c:v>
                </c:pt>
                <c:pt idx="20">
                  <c:v>5.9376761697672538E-2</c:v>
                </c:pt>
                <c:pt idx="21">
                  <c:v>6.5615688169445102E-2</c:v>
                </c:pt>
                <c:pt idx="22">
                  <c:v>6.0713135217846499E-2</c:v>
                </c:pt>
                <c:pt idx="23">
                  <c:v>0.9112406378352258</c:v>
                </c:pt>
                <c:pt idx="24">
                  <c:v>9.2906901828138835E-2</c:v>
                </c:pt>
                <c:pt idx="25">
                  <c:v>0.52442467987436581</c:v>
                </c:pt>
                <c:pt idx="26">
                  <c:v>2.736339292904888</c:v>
                </c:pt>
                <c:pt idx="27">
                  <c:v>0.22312907707175639</c:v>
                </c:pt>
                <c:pt idx="28">
                  <c:v>0.19403589836514451</c:v>
                </c:pt>
                <c:pt idx="29">
                  <c:v>0.60104091165337836</c:v>
                </c:pt>
                <c:pt idx="30">
                  <c:v>1</c:v>
                </c:pt>
                <c:pt idx="31">
                  <c:v>2.521573246355802</c:v>
                </c:pt>
                <c:pt idx="32">
                  <c:v>1.2557179673028911</c:v>
                </c:pt>
                <c:pt idx="33">
                  <c:v>2.376781831360232</c:v>
                </c:pt>
              </c:numCache>
            </c:numRef>
          </c:xVal>
          <c:yVal>
            <c:numRef>
              <c:f>Sheet1!$D$4:$D$37</c:f>
              <c:numCache>
                <c:formatCode>General</c:formatCode>
                <c:ptCount val="34"/>
                <c:pt idx="0">
                  <c:v>1.5808714202598739</c:v>
                </c:pt>
                <c:pt idx="1">
                  <c:v>4.3107505333247138</c:v>
                </c:pt>
                <c:pt idx="2">
                  <c:v>1.124733337643028</c:v>
                </c:pt>
                <c:pt idx="3">
                  <c:v>1.0800956752214099</c:v>
                </c:pt>
                <c:pt idx="4">
                  <c:v>0.48273967289417541</c:v>
                </c:pt>
                <c:pt idx="5">
                  <c:v>0.5792229620531385</c:v>
                </c:pt>
                <c:pt idx="6">
                  <c:v>5.3170857844721697E-2</c:v>
                </c:pt>
                <c:pt idx="7">
                  <c:v>1.880018100717564</c:v>
                </c:pt>
                <c:pt idx="8">
                  <c:v>7.1885706897666296E-2</c:v>
                </c:pt>
                <c:pt idx="9">
                  <c:v>4.6415411468097481E-2</c:v>
                </c:pt>
                <c:pt idx="10">
                  <c:v>0.34517421940655513</c:v>
                </c:pt>
                <c:pt idx="11">
                  <c:v>8.6624862628482763E-2</c:v>
                </c:pt>
                <c:pt idx="12">
                  <c:v>0.63009890749240416</c:v>
                </c:pt>
                <c:pt idx="13">
                  <c:v>0.9295041696295816</c:v>
                </c:pt>
                <c:pt idx="14">
                  <c:v>1.07540888228069</c:v>
                </c:pt>
                <c:pt idx="15">
                  <c:v>0.20712392526989459</c:v>
                </c:pt>
                <c:pt idx="16">
                  <c:v>2.766662356972009</c:v>
                </c:pt>
                <c:pt idx="17">
                  <c:v>0.45432801086043051</c:v>
                </c:pt>
                <c:pt idx="18">
                  <c:v>0.56448380632232209</c:v>
                </c:pt>
                <c:pt idx="19">
                  <c:v>5.2039562996961657E-2</c:v>
                </c:pt>
                <c:pt idx="20">
                  <c:v>4.9486068912017581E-2</c:v>
                </c:pt>
                <c:pt idx="21">
                  <c:v>8.9469261102850861E-2</c:v>
                </c:pt>
                <c:pt idx="22">
                  <c:v>4.9550714331889588E-2</c:v>
                </c:pt>
                <c:pt idx="23">
                  <c:v>1.793005365569849</c:v>
                </c:pt>
                <c:pt idx="24">
                  <c:v>0.1169758872583877</c:v>
                </c:pt>
                <c:pt idx="25">
                  <c:v>1.793005365569849</c:v>
                </c:pt>
                <c:pt idx="26">
                  <c:v>1.7712198590729851</c:v>
                </c:pt>
                <c:pt idx="27">
                  <c:v>0.66051457754218112</c:v>
                </c:pt>
                <c:pt idx="28">
                  <c:v>0.53807615230460926</c:v>
                </c:pt>
                <c:pt idx="29">
                  <c:v>1.1216626801991081</c:v>
                </c:pt>
                <c:pt idx="30">
                  <c:v>1</c:v>
                </c:pt>
                <c:pt idx="31">
                  <c:v>2.1944857456849181</c:v>
                </c:pt>
                <c:pt idx="32">
                  <c:v>2.6995927338548058</c:v>
                </c:pt>
                <c:pt idx="33">
                  <c:v>3.2552524403645999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3-4F34-B2E1-92E4BE23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277903"/>
        <c:axId val="2033273327"/>
      </c:scatterChart>
      <c:valAx>
        <c:axId val="203327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73327"/>
        <c:crosses val="autoZero"/>
        <c:crossBetween val="midCat"/>
      </c:valAx>
      <c:valAx>
        <c:axId val="203327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7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Sheet1!$K$4:$K$37</c:f>
              <c:numCache>
                <c:formatCode>General</c:formatCode>
                <c:ptCount val="34"/>
                <c:pt idx="0">
                  <c:v>0.2080247110325226</c:v>
                </c:pt>
                <c:pt idx="1">
                  <c:v>2.036754750762519</c:v>
                </c:pt>
                <c:pt idx="2">
                  <c:v>0.94481729328830499</c:v>
                </c:pt>
                <c:pt idx="3">
                  <c:v>2.6891346011271842</c:v>
                </c:pt>
                <c:pt idx="4">
                  <c:v>1.534460610209514</c:v>
                </c:pt>
                <c:pt idx="5">
                  <c:v>1.045507267665436</c:v>
                </c:pt>
                <c:pt idx="6">
                  <c:v>2.3786475171869998</c:v>
                </c:pt>
                <c:pt idx="7">
                  <c:v>1.203787029479463</c:v>
                </c:pt>
                <c:pt idx="8">
                  <c:v>1.421352759966797</c:v>
                </c:pt>
                <c:pt idx="9">
                  <c:v>1.057636903582351</c:v>
                </c:pt>
                <c:pt idx="10">
                  <c:v>3.4023760394999591</c:v>
                </c:pt>
                <c:pt idx="11">
                  <c:v>1.2570268880755959</c:v>
                </c:pt>
                <c:pt idx="12">
                  <c:v>0.75111450470537855</c:v>
                </c:pt>
                <c:pt idx="13">
                  <c:v>2.6055131433259282</c:v>
                </c:pt>
                <c:pt idx="14">
                  <c:v>0.71719087997716247</c:v>
                </c:pt>
                <c:pt idx="15">
                  <c:v>0.49938125414864593</c:v>
                </c:pt>
                <c:pt idx="16">
                  <c:v>2.2384936136836369</c:v>
                </c:pt>
                <c:pt idx="17">
                  <c:v>0.23922252816921899</c:v>
                </c:pt>
                <c:pt idx="18">
                  <c:v>1.130079362989713</c:v>
                </c:pt>
                <c:pt idx="19">
                  <c:v>1.949400031318379</c:v>
                </c:pt>
                <c:pt idx="20">
                  <c:v>1.143894093991167</c:v>
                </c:pt>
                <c:pt idx="21">
                  <c:v>0.3915448691210483</c:v>
                </c:pt>
                <c:pt idx="22">
                  <c:v>0.49384787859555079</c:v>
                </c:pt>
                <c:pt idx="23">
                  <c:v>2.1001772398530529</c:v>
                </c:pt>
                <c:pt idx="24">
                  <c:v>1.4274723158001219</c:v>
                </c:pt>
                <c:pt idx="25">
                  <c:v>0.29540714585634292</c:v>
                </c:pt>
                <c:pt idx="26">
                  <c:v>0.17295089804759009</c:v>
                </c:pt>
                <c:pt idx="27">
                  <c:v>0.83799390538800833</c:v>
                </c:pt>
                <c:pt idx="28">
                  <c:v>1.5869493820163221</c:v>
                </c:pt>
                <c:pt idx="29">
                  <c:v>0.58976803612976891</c:v>
                </c:pt>
                <c:pt idx="30">
                  <c:v>1</c:v>
                </c:pt>
                <c:pt idx="31">
                  <c:v>1.66721450733834</c:v>
                </c:pt>
                <c:pt idx="32">
                  <c:v>0.82996337412575294</c:v>
                </c:pt>
                <c:pt idx="33">
                  <c:v>0.84436982848337283</c:v>
                </c:pt>
              </c:numCache>
            </c:numRef>
          </c:xVal>
          <c:yVal>
            <c:numRef>
              <c:f>Sheet1!$L$4:$L$37</c:f>
              <c:numCache>
                <c:formatCode>General</c:formatCode>
                <c:ptCount val="34"/>
                <c:pt idx="0">
                  <c:v>0.93623826185237291</c:v>
                </c:pt>
                <c:pt idx="1">
                  <c:v>2.733831114958698</c:v>
                </c:pt>
                <c:pt idx="2">
                  <c:v>1.1806081592901201</c:v>
                </c:pt>
                <c:pt idx="3">
                  <c:v>1.9336892351717589</c:v>
                </c:pt>
                <c:pt idx="4">
                  <c:v>2.47011506691195</c:v>
                </c:pt>
                <c:pt idx="5">
                  <c:v>1.315682525941156</c:v>
                </c:pt>
                <c:pt idx="6">
                  <c:v>3.4450937248253561</c:v>
                </c:pt>
                <c:pt idx="7">
                  <c:v>1.4102971058928211</c:v>
                </c:pt>
                <c:pt idx="8">
                  <c:v>2.286669311883033</c:v>
                </c:pt>
                <c:pt idx="9">
                  <c:v>2.0801861270425279</c:v>
                </c:pt>
                <c:pt idx="10">
                  <c:v>1.872272120621866</c:v>
                </c:pt>
                <c:pt idx="11">
                  <c:v>0.6237179718404694</c:v>
                </c:pt>
                <c:pt idx="12">
                  <c:v>1.2228594788923759</c:v>
                </c:pt>
                <c:pt idx="13">
                  <c:v>2.1074318556192808</c:v>
                </c:pt>
                <c:pt idx="14">
                  <c:v>0.53897485842080595</c:v>
                </c:pt>
                <c:pt idx="15">
                  <c:v>0.96057425242578365</c:v>
                </c:pt>
                <c:pt idx="16">
                  <c:v>1.711659392321659</c:v>
                </c:pt>
                <c:pt idx="17">
                  <c:v>0.93353292693190981</c:v>
                </c:pt>
                <c:pt idx="18">
                  <c:v>1.2212723490723709</c:v>
                </c:pt>
                <c:pt idx="19">
                  <c:v>2.7971119046760209</c:v>
                </c:pt>
                <c:pt idx="20">
                  <c:v>1.6806261948562571</c:v>
                </c:pt>
                <c:pt idx="21">
                  <c:v>0.15430028015246069</c:v>
                </c:pt>
                <c:pt idx="22">
                  <c:v>1.229364306412245</c:v>
                </c:pt>
                <c:pt idx="23">
                  <c:v>0.86859286513003642</c:v>
                </c:pt>
                <c:pt idx="24">
                  <c:v>1.428332672029242</c:v>
                </c:pt>
                <c:pt idx="25">
                  <c:v>0.94947636739650598</c:v>
                </c:pt>
                <c:pt idx="26">
                  <c:v>0.50310812923084325</c:v>
                </c:pt>
                <c:pt idx="27">
                  <c:v>0.76096863013863336</c:v>
                </c:pt>
                <c:pt idx="28">
                  <c:v>0.84336711996056224</c:v>
                </c:pt>
                <c:pt idx="29">
                  <c:v>0.39805696834156962</c:v>
                </c:pt>
                <c:pt idx="30">
                  <c:v>1</c:v>
                </c:pt>
                <c:pt idx="31">
                  <c:v>1.3393572124228981</c:v>
                </c:pt>
                <c:pt idx="32">
                  <c:v>1.7823948827087019</c:v>
                </c:pt>
                <c:pt idx="33">
                  <c:v>1.6971708208587331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2-41F7-9D1F-B786D85A5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515839"/>
        <c:axId val="1748967503"/>
      </c:scatterChart>
      <c:valAx>
        <c:axId val="176651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967503"/>
        <c:crosses val="autoZero"/>
        <c:crossBetween val="midCat"/>
      </c:valAx>
      <c:valAx>
        <c:axId val="17489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1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38</xdr:row>
      <xdr:rowOff>95250</xdr:rowOff>
    </xdr:from>
    <xdr:to>
      <xdr:col>8</xdr:col>
      <xdr:colOff>123825</xdr:colOff>
      <xdr:row>56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0CEF53-1AB8-49DD-B3B9-85DAC6306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352425</xdr:colOff>
      <xdr:row>39</xdr:row>
      <xdr:rowOff>28575</xdr:rowOff>
    </xdr:from>
    <xdr:to>
      <xdr:col>16</xdr:col>
      <xdr:colOff>28575</xdr:colOff>
      <xdr:row>56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5C4FB9F-250B-4805-B579-ED14AD07F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37"/>
  <sheetViews>
    <sheetView tabSelected="1" workbookViewId="0">
      <selection activeCell="Q13" sqref="Q13"/>
    </sheetView>
  </sheetViews>
  <sheetFormatPr baseColWidth="10" defaultColWidth="9.140625" defaultRowHeight="15" x14ac:dyDescent="0.25"/>
  <sheetData>
    <row r="1" spans="2:16" x14ac:dyDescent="0.25">
      <c r="C1" s="8" t="s">
        <v>0</v>
      </c>
      <c r="D1" s="8"/>
      <c r="E1" s="8"/>
      <c r="F1" s="8"/>
      <c r="G1" s="8"/>
      <c r="H1" s="8"/>
      <c r="K1" s="8" t="s">
        <v>1</v>
      </c>
      <c r="L1" s="8"/>
      <c r="M1" s="8"/>
      <c r="N1" s="8"/>
      <c r="O1" s="8"/>
      <c r="P1" s="8"/>
    </row>
    <row r="2" spans="2:16" x14ac:dyDescent="0.25">
      <c r="C2" s="9" t="s">
        <v>2</v>
      </c>
      <c r="D2" s="10"/>
      <c r="E2" s="11" t="s">
        <v>3</v>
      </c>
      <c r="F2" s="12"/>
      <c r="G2" s="1"/>
      <c r="H2" s="1"/>
      <c r="K2" s="9" t="s">
        <v>2</v>
      </c>
      <c r="L2" s="10"/>
      <c r="M2" s="11" t="s">
        <v>3</v>
      </c>
      <c r="N2" s="12"/>
      <c r="O2" s="1"/>
      <c r="P2" s="1"/>
    </row>
    <row r="3" spans="2:16" ht="45" x14ac:dyDescent="0.25">
      <c r="B3" s="2" t="s">
        <v>4</v>
      </c>
      <c r="C3" s="1" t="s">
        <v>5</v>
      </c>
      <c r="D3" s="1" t="s">
        <v>6</v>
      </c>
      <c r="E3" s="1" t="s">
        <v>5</v>
      </c>
      <c r="F3" s="1" t="s">
        <v>6</v>
      </c>
      <c r="G3" s="3" t="s">
        <v>7</v>
      </c>
      <c r="H3" s="4" t="s">
        <v>8</v>
      </c>
      <c r="I3" s="5"/>
      <c r="K3" s="1" t="s">
        <v>5</v>
      </c>
      <c r="L3" s="1" t="s">
        <v>6</v>
      </c>
      <c r="M3" s="1" t="s">
        <v>5</v>
      </c>
      <c r="N3" s="1" t="s">
        <v>6</v>
      </c>
      <c r="O3" s="3" t="s">
        <v>7</v>
      </c>
      <c r="P3" s="4" t="s">
        <v>8</v>
      </c>
    </row>
    <row r="4" spans="2:16" x14ac:dyDescent="0.25">
      <c r="B4" s="6" t="s">
        <v>9</v>
      </c>
      <c r="C4">
        <v>0.72985624546992023</v>
      </c>
      <c r="D4">
        <v>1.5808714202598739</v>
      </c>
      <c r="E4">
        <v>11.118806052841171</v>
      </c>
      <c r="F4">
        <v>16.90009337068161</v>
      </c>
      <c r="G4">
        <f>AVERAGE(C4:D4)</f>
        <v>1.155363832864897</v>
      </c>
      <c r="H4">
        <f>HARMEAN(C4:D4)</f>
        <v>0.99865414386438833</v>
      </c>
      <c r="J4" t="s">
        <v>39</v>
      </c>
      <c r="K4">
        <v>0.2080247110325226</v>
      </c>
      <c r="L4">
        <v>0.93623826185237291</v>
      </c>
      <c r="M4">
        <v>17.400808107571041</v>
      </c>
      <c r="N4">
        <v>13.072625698324019</v>
      </c>
      <c r="O4">
        <f t="shared" ref="O4:O37" si="0">AVERAGE(K4:L4)</f>
        <v>0.57213148644244771</v>
      </c>
      <c r="P4">
        <f t="shared" ref="P4:P37" si="1">HARMEAN(K4:L4)</f>
        <v>0.34041247247283357</v>
      </c>
    </row>
    <row r="5" spans="2:16" x14ac:dyDescent="0.25">
      <c r="B5" s="13" t="s">
        <v>10</v>
      </c>
      <c r="C5" s="14">
        <v>1.4961494322300071</v>
      </c>
      <c r="D5" s="14">
        <v>4.3107505333247138</v>
      </c>
      <c r="E5" s="14">
        <v>19.375047173371581</v>
      </c>
      <c r="F5" s="14">
        <v>13.95862172172547</v>
      </c>
      <c r="G5" s="14">
        <f t="shared" ref="G5:G36" si="2">AVERAGE(C5:D5)</f>
        <v>2.9034499827773605</v>
      </c>
      <c r="H5" s="15">
        <f t="shared" ref="H5:H36" si="3">HARMEAN(C5:D5)</f>
        <v>2.2213322086401264</v>
      </c>
      <c r="J5" t="s">
        <v>40</v>
      </c>
      <c r="K5">
        <v>2.036754750762519</v>
      </c>
      <c r="L5">
        <v>2.733831114958698</v>
      </c>
      <c r="M5">
        <v>8.2530615865996513</v>
      </c>
      <c r="N5">
        <v>11.375850949480469</v>
      </c>
      <c r="O5">
        <f t="shared" si="0"/>
        <v>2.3852929328606085</v>
      </c>
      <c r="P5">
        <f t="shared" si="1"/>
        <v>2.3343646536934228</v>
      </c>
    </row>
    <row r="6" spans="2:16" x14ac:dyDescent="0.25">
      <c r="B6" s="6" t="s">
        <v>11</v>
      </c>
      <c r="C6">
        <v>0.62699575179189815</v>
      </c>
      <c r="D6">
        <v>1.124733337643028</v>
      </c>
      <c r="E6">
        <v>15.73886229002678</v>
      </c>
      <c r="F6">
        <v>14.33628318584071</v>
      </c>
      <c r="G6">
        <f t="shared" si="2"/>
        <v>0.87586454471746311</v>
      </c>
      <c r="H6">
        <f t="shared" si="3"/>
        <v>0.80515078370752624</v>
      </c>
      <c r="J6" t="s">
        <v>41</v>
      </c>
      <c r="K6">
        <v>0.94481729328830499</v>
      </c>
      <c r="L6">
        <v>1.1806081592901201</v>
      </c>
      <c r="M6">
        <v>9.6321882821304694</v>
      </c>
      <c r="N6">
        <v>4.9958796868562017</v>
      </c>
      <c r="O6">
        <f t="shared" si="0"/>
        <v>1.0627127262892127</v>
      </c>
      <c r="P6">
        <f t="shared" si="1"/>
        <v>1.0496336196043747</v>
      </c>
    </row>
    <row r="7" spans="2:16" x14ac:dyDescent="0.25">
      <c r="B7" s="6" t="s">
        <v>12</v>
      </c>
      <c r="C7">
        <v>0.66332699122171224</v>
      </c>
      <c r="D7">
        <v>1.0800956752214099</v>
      </c>
      <c r="E7">
        <v>8.4317287314562517</v>
      </c>
      <c r="F7">
        <v>4.0096472716309917</v>
      </c>
      <c r="G7">
        <f t="shared" si="2"/>
        <v>0.87171133322156114</v>
      </c>
      <c r="H7">
        <f t="shared" si="3"/>
        <v>0.82189663845302008</v>
      </c>
      <c r="J7" t="s">
        <v>42</v>
      </c>
      <c r="K7">
        <v>2.6891346011271842</v>
      </c>
      <c r="L7">
        <v>1.9336892351717589</v>
      </c>
      <c r="M7">
        <v>2.9032307906243719</v>
      </c>
      <c r="N7">
        <v>9.9194009011867745</v>
      </c>
      <c r="O7">
        <f t="shared" si="0"/>
        <v>2.3114119181494717</v>
      </c>
      <c r="P7">
        <f t="shared" si="1"/>
        <v>2.2496858259217793</v>
      </c>
    </row>
    <row r="8" spans="2:16" x14ac:dyDescent="0.25">
      <c r="B8" s="6" t="s">
        <v>13</v>
      </c>
      <c r="C8">
        <v>1.054431424659741</v>
      </c>
      <c r="D8">
        <v>0.48273967289417541</v>
      </c>
      <c r="E8">
        <v>20.78273574285646</v>
      </c>
      <c r="F8">
        <v>19.851200541088939</v>
      </c>
      <c r="G8">
        <f t="shared" si="2"/>
        <v>0.76858554877695817</v>
      </c>
      <c r="H8">
        <f t="shared" si="3"/>
        <v>0.66227615369502346</v>
      </c>
      <c r="J8" t="s">
        <v>43</v>
      </c>
      <c r="K8">
        <v>1.534460610209514</v>
      </c>
      <c r="L8">
        <v>2.47011506691195</v>
      </c>
      <c r="M8">
        <v>0.33980495015593171</v>
      </c>
      <c r="N8">
        <v>6.1524654734008077</v>
      </c>
      <c r="O8">
        <f t="shared" si="0"/>
        <v>2.0022878385607319</v>
      </c>
      <c r="P8">
        <f t="shared" si="1"/>
        <v>1.8929817181459452</v>
      </c>
    </row>
    <row r="9" spans="2:16" x14ac:dyDescent="0.25">
      <c r="B9" s="6" t="s">
        <v>14</v>
      </c>
      <c r="C9">
        <v>1.2479715309656121</v>
      </c>
      <c r="D9">
        <v>0.5792229620531385</v>
      </c>
      <c r="E9">
        <v>16.20905353001929</v>
      </c>
      <c r="F9">
        <v>7.0077864293659626</v>
      </c>
      <c r="G9">
        <f t="shared" si="2"/>
        <v>0.91359724650937535</v>
      </c>
      <c r="H9">
        <f t="shared" si="3"/>
        <v>0.79121710303499038</v>
      </c>
      <c r="J9" t="s">
        <v>44</v>
      </c>
      <c r="K9">
        <v>1.045507267665436</v>
      </c>
      <c r="L9">
        <v>1.315682525941156</v>
      </c>
      <c r="M9">
        <v>13.46826885970165</v>
      </c>
      <c r="N9">
        <v>3.9867893371078091</v>
      </c>
      <c r="O9">
        <f t="shared" si="0"/>
        <v>1.180594896803296</v>
      </c>
      <c r="P9">
        <f t="shared" si="1"/>
        <v>1.1651377170412116</v>
      </c>
    </row>
    <row r="10" spans="2:16" x14ac:dyDescent="0.25">
      <c r="B10" s="6" t="s">
        <v>15</v>
      </c>
      <c r="C10">
        <v>5.8956470967222348E-2</v>
      </c>
      <c r="D10">
        <v>5.3170857844721697E-2</v>
      </c>
      <c r="E10">
        <v>2.5158711497766282</v>
      </c>
      <c r="F10">
        <v>1.0101010101010099</v>
      </c>
      <c r="G10">
        <f t="shared" si="2"/>
        <v>5.6063664405972019E-2</v>
      </c>
      <c r="H10">
        <f t="shared" si="3"/>
        <v>5.5914399639041781E-2</v>
      </c>
      <c r="J10" s="3" t="s">
        <v>45</v>
      </c>
      <c r="K10" s="14">
        <v>2.3786475171869998</v>
      </c>
      <c r="L10" s="14">
        <v>3.4450937248253561</v>
      </c>
      <c r="M10" s="14">
        <v>10.678068959047319</v>
      </c>
      <c r="N10" s="14">
        <v>7.0036126909181959</v>
      </c>
      <c r="O10" s="14">
        <f t="shared" si="0"/>
        <v>2.911870621006178</v>
      </c>
      <c r="P10" s="15">
        <f t="shared" si="1"/>
        <v>2.8142265579782983</v>
      </c>
    </row>
    <row r="11" spans="2:16" x14ac:dyDescent="0.25">
      <c r="B11" s="6" t="s">
        <v>16</v>
      </c>
      <c r="C11">
        <v>2.0415911653378429</v>
      </c>
      <c r="D11">
        <v>1.880018100717564</v>
      </c>
      <c r="E11">
        <v>6.8106455629106417</v>
      </c>
      <c r="F11">
        <v>12.744928038841691</v>
      </c>
      <c r="G11">
        <f t="shared" si="2"/>
        <v>1.9608046330277036</v>
      </c>
      <c r="H11">
        <f t="shared" si="3"/>
        <v>1.9574761709806614</v>
      </c>
      <c r="J11" t="s">
        <v>46</v>
      </c>
      <c r="K11">
        <v>1.203787029479463</v>
      </c>
      <c r="L11">
        <v>1.4102971058928211</v>
      </c>
      <c r="M11">
        <v>3.0793661753029311</v>
      </c>
      <c r="N11">
        <v>5.1424600416956219</v>
      </c>
      <c r="O11">
        <f t="shared" si="0"/>
        <v>1.3070420676861421</v>
      </c>
      <c r="P11">
        <f t="shared" si="1"/>
        <v>1.2988850211926524</v>
      </c>
    </row>
    <row r="12" spans="2:16" x14ac:dyDescent="0.25">
      <c r="B12" s="6" t="s">
        <v>17</v>
      </c>
      <c r="C12">
        <v>4.742490134493034E-2</v>
      </c>
      <c r="D12">
        <v>7.1885706897666296E-2</v>
      </c>
      <c r="E12">
        <v>1.5608180839612491</v>
      </c>
      <c r="F12">
        <v>10.55045871559633</v>
      </c>
      <c r="G12">
        <f t="shared" si="2"/>
        <v>5.9655304121298318E-2</v>
      </c>
      <c r="H12">
        <f t="shared" si="3"/>
        <v>5.7147853119656616E-2</v>
      </c>
      <c r="J12" t="s">
        <v>47</v>
      </c>
      <c r="K12">
        <v>1.421352759966797</v>
      </c>
      <c r="L12">
        <v>2.286669311883033</v>
      </c>
      <c r="M12">
        <v>17.49605326377926</v>
      </c>
      <c r="N12">
        <v>13.64617044228695</v>
      </c>
      <c r="O12">
        <f t="shared" si="0"/>
        <v>1.8540110359249149</v>
      </c>
      <c r="P12">
        <f t="shared" si="1"/>
        <v>1.7530444396491462</v>
      </c>
    </row>
    <row r="13" spans="2:16" x14ac:dyDescent="0.25">
      <c r="B13" s="6" t="s">
        <v>18</v>
      </c>
      <c r="C13">
        <v>5.421750422807442E-2</v>
      </c>
      <c r="D13">
        <v>4.6415411468097481E-2</v>
      </c>
      <c r="E13">
        <v>2.313883299798793</v>
      </c>
      <c r="F13">
        <v>5.8823529411764701</v>
      </c>
      <c r="G13">
        <f t="shared" si="2"/>
        <v>5.0316457848085951E-2</v>
      </c>
      <c r="H13">
        <f t="shared" si="3"/>
        <v>5.001400883816623E-2</v>
      </c>
      <c r="J13" t="s">
        <v>48</v>
      </c>
      <c r="K13">
        <v>1.057636903582351</v>
      </c>
      <c r="L13">
        <v>2.0801861270425279</v>
      </c>
      <c r="M13">
        <v>32.200238661911008</v>
      </c>
      <c r="N13">
        <v>14.27554712057411</v>
      </c>
      <c r="O13">
        <f t="shared" si="0"/>
        <v>1.5689115153124393</v>
      </c>
      <c r="P13">
        <f t="shared" si="1"/>
        <v>1.4022980855246567</v>
      </c>
    </row>
    <row r="14" spans="2:16" x14ac:dyDescent="0.25">
      <c r="B14" s="6" t="s">
        <v>19</v>
      </c>
      <c r="C14">
        <v>0.14154737456712571</v>
      </c>
      <c r="D14">
        <v>0.34517421940655513</v>
      </c>
      <c r="E14">
        <v>4.2303908416062974</v>
      </c>
      <c r="F14">
        <v>1.5625</v>
      </c>
      <c r="G14">
        <f t="shared" si="2"/>
        <v>0.24336079698684043</v>
      </c>
      <c r="H14">
        <f t="shared" si="3"/>
        <v>0.20076571547346175</v>
      </c>
      <c r="J14" t="s">
        <v>49</v>
      </c>
      <c r="K14">
        <v>3.4023760394999591</v>
      </c>
      <c r="L14">
        <v>1.872272120621866</v>
      </c>
      <c r="M14">
        <v>9.6335954217875042</v>
      </c>
      <c r="N14">
        <v>16.754895911142871</v>
      </c>
      <c r="O14">
        <f t="shared" si="0"/>
        <v>2.6373240800609126</v>
      </c>
      <c r="P14">
        <f t="shared" si="1"/>
        <v>2.4153928790126113</v>
      </c>
    </row>
    <row r="15" spans="2:16" x14ac:dyDescent="0.25">
      <c r="B15" s="6" t="s">
        <v>20</v>
      </c>
      <c r="C15">
        <v>5.3789663364741891E-2</v>
      </c>
      <c r="D15">
        <v>8.6624862628482763E-2</v>
      </c>
      <c r="E15">
        <v>2.2818160432839329</v>
      </c>
      <c r="F15">
        <v>14.705882352941179</v>
      </c>
      <c r="G15">
        <f t="shared" si="2"/>
        <v>7.0207262996612327E-2</v>
      </c>
      <c r="H15">
        <f t="shared" si="3"/>
        <v>6.6368093569292561E-2</v>
      </c>
      <c r="J15" t="s">
        <v>70</v>
      </c>
      <c r="K15">
        <v>1.2570268880755959</v>
      </c>
      <c r="L15">
        <v>0.6237179718404694</v>
      </c>
      <c r="M15">
        <v>16.244984580694361</v>
      </c>
      <c r="N15">
        <v>34.238756027949997</v>
      </c>
      <c r="O15">
        <f t="shared" si="0"/>
        <v>0.94037242995803272</v>
      </c>
      <c r="P15">
        <f t="shared" si="1"/>
        <v>0.8337444146617925</v>
      </c>
    </row>
    <row r="16" spans="2:16" x14ac:dyDescent="0.25">
      <c r="B16" s="6" t="s">
        <v>21</v>
      </c>
      <c r="C16">
        <v>0.29887452685833937</v>
      </c>
      <c r="D16">
        <v>0.63009890749240416</v>
      </c>
      <c r="E16">
        <v>4.0113300287416171</v>
      </c>
      <c r="F16">
        <v>3.627217368281705</v>
      </c>
      <c r="G16">
        <f t="shared" si="2"/>
        <v>0.46448671717537177</v>
      </c>
      <c r="H16">
        <f t="shared" si="3"/>
        <v>0.4054378863532635</v>
      </c>
      <c r="J16" t="s">
        <v>71</v>
      </c>
      <c r="K16">
        <v>0.75111450470537855</v>
      </c>
      <c r="L16">
        <v>1.2228594788923759</v>
      </c>
      <c r="M16">
        <v>8.7478559176672377</v>
      </c>
      <c r="N16">
        <v>1.8614676202606051</v>
      </c>
      <c r="O16">
        <f t="shared" si="0"/>
        <v>0.98698699179887717</v>
      </c>
      <c r="P16">
        <f t="shared" si="1"/>
        <v>0.93061762661983749</v>
      </c>
    </row>
    <row r="17" spans="2:16" x14ac:dyDescent="0.25">
      <c r="B17" s="6" t="s">
        <v>22</v>
      </c>
      <c r="C17">
        <v>0.47685884271563178</v>
      </c>
      <c r="D17">
        <v>0.9295041696295816</v>
      </c>
      <c r="E17">
        <v>10.04172955695641</v>
      </c>
      <c r="F17">
        <v>4.3418093755405636</v>
      </c>
      <c r="G17">
        <f t="shared" si="2"/>
        <v>0.70318150617260666</v>
      </c>
      <c r="H17">
        <f t="shared" si="3"/>
        <v>0.63033836746001681</v>
      </c>
      <c r="J17" t="s">
        <v>72</v>
      </c>
      <c r="K17">
        <v>2.6055131433259282</v>
      </c>
      <c r="L17">
        <v>2.1074318556192808</v>
      </c>
      <c r="M17">
        <v>11.49687955204533</v>
      </c>
      <c r="N17">
        <v>2.6099182752863288</v>
      </c>
      <c r="O17">
        <f t="shared" si="0"/>
        <v>2.3564724994726047</v>
      </c>
      <c r="P17">
        <f t="shared" si="1"/>
        <v>2.330152972168654</v>
      </c>
    </row>
    <row r="18" spans="2:16" x14ac:dyDescent="0.25">
      <c r="B18" s="6" t="s">
        <v>23</v>
      </c>
      <c r="C18">
        <v>0.38104765643875332</v>
      </c>
      <c r="D18">
        <v>1.07540888228069</v>
      </c>
      <c r="E18">
        <v>8.3289783119937297</v>
      </c>
      <c r="F18">
        <v>1.4071856287425151</v>
      </c>
      <c r="G18">
        <f t="shared" si="2"/>
        <v>0.72822826935972162</v>
      </c>
      <c r="H18">
        <f t="shared" si="3"/>
        <v>0.56271096790401687</v>
      </c>
      <c r="J18" t="s">
        <v>53</v>
      </c>
      <c r="K18">
        <v>0.71719087997716247</v>
      </c>
      <c r="L18">
        <v>0.53897485842080595</v>
      </c>
      <c r="M18">
        <v>6.1645436484749334</v>
      </c>
      <c r="N18">
        <v>11.1599907385969</v>
      </c>
      <c r="O18">
        <f t="shared" si="0"/>
        <v>0.62808286919898415</v>
      </c>
      <c r="P18">
        <f t="shared" si="1"/>
        <v>0.61544084698466972</v>
      </c>
    </row>
    <row r="19" spans="2:16" x14ac:dyDescent="0.25">
      <c r="B19" s="6" t="s">
        <v>24</v>
      </c>
      <c r="C19">
        <v>0.12301431505194491</v>
      </c>
      <c r="D19">
        <v>0.20712392526989459</v>
      </c>
      <c r="E19">
        <v>12.767269736842101</v>
      </c>
      <c r="F19">
        <v>11.37254901960784</v>
      </c>
      <c r="G19">
        <f t="shared" si="2"/>
        <v>0.16506912016091974</v>
      </c>
      <c r="H19">
        <f t="shared" si="3"/>
        <v>0.15435478042839007</v>
      </c>
      <c r="J19" t="s">
        <v>54</v>
      </c>
      <c r="K19">
        <v>0.49938125414864593</v>
      </c>
      <c r="L19">
        <v>0.96057425242578365</v>
      </c>
      <c r="M19">
        <v>8.3087834913365821</v>
      </c>
      <c r="N19">
        <v>5.0038003546997718</v>
      </c>
      <c r="O19">
        <f t="shared" si="0"/>
        <v>0.72997775328721481</v>
      </c>
      <c r="P19">
        <f t="shared" si="1"/>
        <v>0.6571334163529603</v>
      </c>
    </row>
    <row r="20" spans="2:16" x14ac:dyDescent="0.25">
      <c r="B20" s="6" t="s">
        <v>25</v>
      </c>
      <c r="C20">
        <v>1.8446635660787629</v>
      </c>
      <c r="D20">
        <v>2.766662356972009</v>
      </c>
      <c r="E20">
        <v>10.29523140219564</v>
      </c>
      <c r="F20">
        <v>13.27041826867063</v>
      </c>
      <c r="G20">
        <f t="shared" si="2"/>
        <v>2.3056629615253859</v>
      </c>
      <c r="H20">
        <f t="shared" si="3"/>
        <v>2.2134897141130443</v>
      </c>
      <c r="J20" t="s">
        <v>55</v>
      </c>
      <c r="K20">
        <v>2.2384936136836369</v>
      </c>
      <c r="L20">
        <v>1.711659392321659</v>
      </c>
      <c r="M20">
        <v>27.582603103143342</v>
      </c>
      <c r="N20">
        <v>12.3623534442821</v>
      </c>
      <c r="O20">
        <f t="shared" si="0"/>
        <v>1.975076503002648</v>
      </c>
      <c r="P20">
        <f t="shared" si="1"/>
        <v>1.9399444085779352</v>
      </c>
    </row>
    <row r="21" spans="2:16" x14ac:dyDescent="0.25">
      <c r="B21" s="7" t="s">
        <v>26</v>
      </c>
      <c r="C21">
        <v>0.17310693001530161</v>
      </c>
      <c r="D21">
        <v>0.45432801086043051</v>
      </c>
      <c r="E21">
        <v>51.034985422740519</v>
      </c>
      <c r="F21">
        <v>58.720112517580873</v>
      </c>
      <c r="G21">
        <f t="shared" si="2"/>
        <v>0.31371747043786608</v>
      </c>
      <c r="H21">
        <f t="shared" si="3"/>
        <v>0.2506947638913351</v>
      </c>
      <c r="J21" t="s">
        <v>56</v>
      </c>
      <c r="K21">
        <v>0.23922252816921899</v>
      </c>
      <c r="L21">
        <v>0.93353292693190981</v>
      </c>
      <c r="M21">
        <v>7.9774562779617684</v>
      </c>
      <c r="N21">
        <v>3.758233242929097</v>
      </c>
      <c r="O21">
        <f t="shared" si="0"/>
        <v>0.58637772755056439</v>
      </c>
      <c r="P21">
        <f t="shared" si="1"/>
        <v>0.38085025473721595</v>
      </c>
    </row>
    <row r="22" spans="2:16" x14ac:dyDescent="0.25">
      <c r="B22" s="6" t="s">
        <v>27</v>
      </c>
      <c r="C22">
        <v>0.2406806193122332</v>
      </c>
      <c r="D22">
        <v>0.56448380632232209</v>
      </c>
      <c r="E22">
        <v>1.151976326358064</v>
      </c>
      <c r="F22">
        <v>6.2570462232243527</v>
      </c>
      <c r="G22">
        <f t="shared" si="2"/>
        <v>0.40258221281727763</v>
      </c>
      <c r="H22">
        <f t="shared" si="3"/>
        <v>0.33747221752950846</v>
      </c>
      <c r="J22" t="s">
        <v>57</v>
      </c>
      <c r="K22">
        <v>1.130079362989713</v>
      </c>
      <c r="L22">
        <v>1.2212723490723709</v>
      </c>
      <c r="M22">
        <v>13.79363446529878</v>
      </c>
      <c r="N22">
        <v>12.02836161053431</v>
      </c>
      <c r="O22">
        <f t="shared" si="0"/>
        <v>1.1756758560310421</v>
      </c>
      <c r="P22">
        <f t="shared" si="1"/>
        <v>1.1739074773006268</v>
      </c>
    </row>
    <row r="23" spans="2:16" x14ac:dyDescent="0.25">
      <c r="B23" s="6" t="s">
        <v>28</v>
      </c>
      <c r="C23">
        <v>4.4950974470484011E-2</v>
      </c>
      <c r="D23">
        <v>5.2039562996961657E-2</v>
      </c>
      <c r="E23">
        <v>1.434878587196468</v>
      </c>
      <c r="F23">
        <v>8.6419753086419746</v>
      </c>
      <c r="G23">
        <f t="shared" si="2"/>
        <v>4.8495268733722834E-2</v>
      </c>
      <c r="H23">
        <f t="shared" si="3"/>
        <v>4.8236232705004177E-2</v>
      </c>
      <c r="J23" t="s">
        <v>58</v>
      </c>
      <c r="K23">
        <v>1.949400031318379</v>
      </c>
      <c r="L23">
        <v>2.7971119046760209</v>
      </c>
      <c r="M23">
        <v>7.773689052437903</v>
      </c>
      <c r="N23">
        <v>5.4062430816913878</v>
      </c>
      <c r="O23">
        <f t="shared" si="0"/>
        <v>2.3732559679972001</v>
      </c>
      <c r="P23">
        <f t="shared" si="1"/>
        <v>2.2975566513282564</v>
      </c>
    </row>
    <row r="24" spans="2:16" x14ac:dyDescent="0.25">
      <c r="B24" s="6" t="s">
        <v>29</v>
      </c>
      <c r="C24">
        <v>5.9376761697672538E-2</v>
      </c>
      <c r="D24">
        <v>4.9486068912017581E-2</v>
      </c>
      <c r="E24">
        <v>1.060885608856089</v>
      </c>
      <c r="F24">
        <v>5.3030303030303028</v>
      </c>
      <c r="G24">
        <f t="shared" si="2"/>
        <v>5.4431415304845063E-2</v>
      </c>
      <c r="H24">
        <f t="shared" si="3"/>
        <v>5.3982107661307177E-2</v>
      </c>
      <c r="J24" t="s">
        <v>59</v>
      </c>
      <c r="K24">
        <v>1.143894093991167</v>
      </c>
      <c r="L24">
        <v>1.6806261948562571</v>
      </c>
      <c r="M24">
        <v>7.3665447616706112</v>
      </c>
      <c r="N24">
        <v>9.092244418331374</v>
      </c>
      <c r="O24">
        <f t="shared" si="0"/>
        <v>1.4122601444237119</v>
      </c>
      <c r="P24">
        <f t="shared" si="1"/>
        <v>1.361263635523327</v>
      </c>
    </row>
    <row r="25" spans="2:16" x14ac:dyDescent="0.25">
      <c r="B25" s="6" t="s">
        <v>30</v>
      </c>
      <c r="C25">
        <v>6.5615688169445102E-2</v>
      </c>
      <c r="D25">
        <v>8.9469261102850861E-2</v>
      </c>
      <c r="E25">
        <v>3.8970866439651912</v>
      </c>
      <c r="F25">
        <v>13.92405063291139</v>
      </c>
      <c r="G25">
        <f t="shared" si="2"/>
        <v>7.7542474636147982E-2</v>
      </c>
      <c r="H25">
        <f t="shared" si="3"/>
        <v>7.5708018925393361E-2</v>
      </c>
      <c r="J25" t="s">
        <v>60</v>
      </c>
      <c r="K25">
        <v>0.3915448691210483</v>
      </c>
      <c r="L25">
        <v>0.15430028015246069</v>
      </c>
      <c r="M25">
        <v>13.13800782003401</v>
      </c>
      <c r="N25">
        <v>17.543155359293451</v>
      </c>
      <c r="O25">
        <f t="shared" si="0"/>
        <v>0.27292257463675451</v>
      </c>
      <c r="P25">
        <f t="shared" si="1"/>
        <v>0.2213649166912855</v>
      </c>
    </row>
    <row r="26" spans="2:16" x14ac:dyDescent="0.25">
      <c r="B26" s="6" t="s">
        <v>31</v>
      </c>
      <c r="C26">
        <v>6.0713135217846499E-2</v>
      </c>
      <c r="D26">
        <v>4.9550714331889588E-2</v>
      </c>
      <c r="E26">
        <v>2.086536349659565</v>
      </c>
      <c r="F26">
        <v>4.2553191489361701</v>
      </c>
      <c r="G26">
        <f t="shared" si="2"/>
        <v>5.5131924774868044E-2</v>
      </c>
      <c r="H26">
        <f t="shared" si="3"/>
        <v>5.4566918018147455E-2</v>
      </c>
      <c r="J26" t="s">
        <v>61</v>
      </c>
      <c r="K26">
        <v>0.49384787859555079</v>
      </c>
      <c r="L26">
        <v>1.229364306412245</v>
      </c>
      <c r="M26">
        <v>5.1177510406568967</v>
      </c>
      <c r="N26">
        <v>6.599764476985305</v>
      </c>
      <c r="O26">
        <f t="shared" si="0"/>
        <v>0.86160609250389797</v>
      </c>
      <c r="P26">
        <f t="shared" si="1"/>
        <v>0.70463632978550605</v>
      </c>
    </row>
    <row r="27" spans="2:16" x14ac:dyDescent="0.25">
      <c r="B27" s="6" t="s">
        <v>32</v>
      </c>
      <c r="C27">
        <v>0.9112406378352258</v>
      </c>
      <c r="D27">
        <v>1.793005365569849</v>
      </c>
      <c r="E27">
        <v>7.7522929414866324</v>
      </c>
      <c r="F27">
        <v>2.2242233228275552</v>
      </c>
      <c r="G27">
        <f t="shared" si="2"/>
        <v>1.3521230017025374</v>
      </c>
      <c r="H27">
        <f t="shared" si="3"/>
        <v>1.2083659185640383</v>
      </c>
      <c r="J27" t="s">
        <v>62</v>
      </c>
      <c r="K27">
        <v>2.1001772398530529</v>
      </c>
      <c r="L27">
        <v>0.86859286513003642</v>
      </c>
      <c r="M27">
        <v>5.721924779785974</v>
      </c>
      <c r="N27">
        <v>13.35134760618028</v>
      </c>
      <c r="O27">
        <f t="shared" si="0"/>
        <v>1.4843850524915447</v>
      </c>
      <c r="P27">
        <f t="shared" si="1"/>
        <v>1.2289257177461681</v>
      </c>
    </row>
    <row r="28" spans="2:16" x14ac:dyDescent="0.25">
      <c r="B28" s="6" t="s">
        <v>33</v>
      </c>
      <c r="C28">
        <v>9.2906901828138835E-2</v>
      </c>
      <c r="D28">
        <v>0.1169758872583877</v>
      </c>
      <c r="E28">
        <v>1.4092367796846661</v>
      </c>
      <c r="F28">
        <v>2.1156558533145269</v>
      </c>
      <c r="G28">
        <f t="shared" si="2"/>
        <v>0.10494139454326326</v>
      </c>
      <c r="H28">
        <f t="shared" si="3"/>
        <v>0.10356130029598629</v>
      </c>
      <c r="J28" t="s">
        <v>63</v>
      </c>
      <c r="K28">
        <v>1.4274723158001219</v>
      </c>
      <c r="L28">
        <v>1.428332672029242</v>
      </c>
      <c r="M28">
        <v>25.735391238412049</v>
      </c>
      <c r="N28">
        <v>13.24275518101298</v>
      </c>
      <c r="O28">
        <f t="shared" si="0"/>
        <v>1.427902493914682</v>
      </c>
      <c r="P28">
        <f t="shared" si="1"/>
        <v>1.4279023643167499</v>
      </c>
    </row>
    <row r="29" spans="2:16" x14ac:dyDescent="0.25">
      <c r="B29" s="7" t="s">
        <v>34</v>
      </c>
      <c r="C29">
        <v>0.52442467987436581</v>
      </c>
      <c r="D29">
        <v>1.793005365569849</v>
      </c>
      <c r="E29">
        <v>1.522142415449746</v>
      </c>
      <c r="F29">
        <v>44.333550974722513</v>
      </c>
      <c r="G29">
        <f t="shared" si="2"/>
        <v>1.1587150227221075</v>
      </c>
      <c r="H29">
        <f t="shared" si="3"/>
        <v>0.81149915761254254</v>
      </c>
      <c r="J29" t="s">
        <v>64</v>
      </c>
      <c r="K29">
        <v>0.29540714585634292</v>
      </c>
      <c r="L29">
        <v>0.94947636739650598</v>
      </c>
      <c r="M29">
        <v>21.75228663778282</v>
      </c>
      <c r="N29">
        <v>15.671500031659599</v>
      </c>
      <c r="O29">
        <f t="shared" si="0"/>
        <v>0.62244175662642443</v>
      </c>
      <c r="P29">
        <f t="shared" si="1"/>
        <v>0.45061582190571015</v>
      </c>
    </row>
    <row r="30" spans="2:16" x14ac:dyDescent="0.25">
      <c r="B30" s="6" t="s">
        <v>35</v>
      </c>
      <c r="C30">
        <v>2.736339292904888</v>
      </c>
      <c r="D30">
        <v>1.7712198590729851</v>
      </c>
      <c r="E30">
        <v>5.8320694884875222</v>
      </c>
      <c r="F30">
        <v>4.7049074670840616</v>
      </c>
      <c r="G30">
        <f t="shared" si="2"/>
        <v>2.2537795759889363</v>
      </c>
      <c r="H30">
        <f t="shared" si="3"/>
        <v>2.150458078682429</v>
      </c>
      <c r="J30" t="s">
        <v>65</v>
      </c>
      <c r="K30">
        <v>0.17295089804759009</v>
      </c>
      <c r="L30">
        <v>0.50310812923084325</v>
      </c>
      <c r="M30">
        <v>22.341706123104089</v>
      </c>
      <c r="N30">
        <v>9.0115221346270467</v>
      </c>
      <c r="O30">
        <f t="shared" si="0"/>
        <v>0.33802951363921668</v>
      </c>
      <c r="P30">
        <f t="shared" si="1"/>
        <v>0.25741244256673829</v>
      </c>
    </row>
    <row r="31" spans="2:16" x14ac:dyDescent="0.25">
      <c r="B31" s="6" t="s">
        <v>36</v>
      </c>
      <c r="C31">
        <v>0.22312907707175639</v>
      </c>
      <c r="D31">
        <v>0.66051457754218112</v>
      </c>
      <c r="E31">
        <v>2.3856300870053331</v>
      </c>
      <c r="F31">
        <v>4.5049385690195134</v>
      </c>
      <c r="G31">
        <f t="shared" si="2"/>
        <v>0.44182182730696873</v>
      </c>
      <c r="H31">
        <f t="shared" si="3"/>
        <v>0.3335733976244486</v>
      </c>
      <c r="J31" t="s">
        <v>66</v>
      </c>
      <c r="K31">
        <v>0.83799390538800833</v>
      </c>
      <c r="L31">
        <v>0.76096863013863336</v>
      </c>
      <c r="M31">
        <v>13.366196479424451</v>
      </c>
      <c r="N31">
        <v>15.74386133846895</v>
      </c>
      <c r="O31">
        <f t="shared" si="0"/>
        <v>0.79948126776332085</v>
      </c>
      <c r="P31">
        <f t="shared" si="1"/>
        <v>0.79762603573148094</v>
      </c>
    </row>
    <row r="32" spans="2:16" x14ac:dyDescent="0.25">
      <c r="B32" s="6" t="s">
        <v>37</v>
      </c>
      <c r="C32">
        <v>0.19403589836514451</v>
      </c>
      <c r="D32">
        <v>0.53807615230460926</v>
      </c>
      <c r="E32">
        <v>6.554798112218144</v>
      </c>
      <c r="F32">
        <v>11.798604792235359</v>
      </c>
      <c r="G32">
        <f t="shared" si="2"/>
        <v>0.36605602533487691</v>
      </c>
      <c r="H32">
        <f t="shared" si="3"/>
        <v>0.28521888010386381</v>
      </c>
      <c r="J32" t="s">
        <v>67</v>
      </c>
      <c r="K32">
        <v>1.5869493820163221</v>
      </c>
      <c r="L32">
        <v>0.84336711996056224</v>
      </c>
      <c r="M32">
        <v>14.41519376440883</v>
      </c>
      <c r="N32">
        <v>17.729573391178601</v>
      </c>
      <c r="O32">
        <f t="shared" si="0"/>
        <v>1.2151582509884422</v>
      </c>
      <c r="P32">
        <f t="shared" si="1"/>
        <v>1.1014046349482669</v>
      </c>
    </row>
    <row r="33" spans="2:16" x14ac:dyDescent="0.25">
      <c r="B33" s="6" t="s">
        <v>38</v>
      </c>
      <c r="C33">
        <v>0.60104091165337836</v>
      </c>
      <c r="D33">
        <v>1.1216626801991081</v>
      </c>
      <c r="E33">
        <v>2.0687360958063912</v>
      </c>
      <c r="F33">
        <v>4.1864479930945189</v>
      </c>
      <c r="G33">
        <f t="shared" si="2"/>
        <v>0.86135179592624322</v>
      </c>
      <c r="H33">
        <f t="shared" si="3"/>
        <v>0.7826827122935166</v>
      </c>
      <c r="J33" s="7" t="s">
        <v>68</v>
      </c>
      <c r="K33">
        <v>0.58976803612976891</v>
      </c>
      <c r="L33">
        <v>0.39805696834156962</v>
      </c>
      <c r="M33">
        <v>44.577387881478991</v>
      </c>
      <c r="N33">
        <v>27.975646879756471</v>
      </c>
      <c r="O33">
        <f t="shared" si="0"/>
        <v>0.49391250223566929</v>
      </c>
      <c r="P33">
        <f t="shared" si="1"/>
        <v>0.47530944332030961</v>
      </c>
    </row>
    <row r="34" spans="2:16" x14ac:dyDescent="0.25">
      <c r="B34" s="6" t="s">
        <v>50</v>
      </c>
      <c r="C34">
        <v>1</v>
      </c>
      <c r="D34">
        <v>1</v>
      </c>
      <c r="E34">
        <v>1.0227902957450381</v>
      </c>
      <c r="F34">
        <v>0.30829141651792957</v>
      </c>
      <c r="G34">
        <f t="shared" si="2"/>
        <v>1</v>
      </c>
      <c r="H34">
        <f t="shared" si="3"/>
        <v>1</v>
      </c>
      <c r="J34" t="s">
        <v>50</v>
      </c>
      <c r="K34">
        <v>1</v>
      </c>
      <c r="L34">
        <v>1</v>
      </c>
      <c r="M34">
        <v>0.91297671909366318</v>
      </c>
      <c r="N34">
        <v>3.6148911935735271</v>
      </c>
      <c r="O34">
        <f t="shared" si="0"/>
        <v>1</v>
      </c>
      <c r="P34">
        <f t="shared" si="1"/>
        <v>1</v>
      </c>
    </row>
    <row r="35" spans="2:16" x14ac:dyDescent="0.25">
      <c r="B35" s="6" t="s">
        <v>51</v>
      </c>
      <c r="C35">
        <v>2.521573246355802</v>
      </c>
      <c r="D35">
        <v>2.1944857456849181</v>
      </c>
      <c r="E35">
        <v>7.2789662699106428</v>
      </c>
      <c r="F35">
        <v>14.96528290737184</v>
      </c>
      <c r="G35">
        <f t="shared" si="2"/>
        <v>2.35802949602036</v>
      </c>
      <c r="H35">
        <f t="shared" si="3"/>
        <v>2.3466867378746623</v>
      </c>
      <c r="J35" t="s">
        <v>51</v>
      </c>
      <c r="K35">
        <v>1.66721450733834</v>
      </c>
      <c r="L35">
        <v>1.3393572124228981</v>
      </c>
      <c r="M35">
        <v>12.31832816152675</v>
      </c>
      <c r="N35">
        <v>5.8599764514083867</v>
      </c>
      <c r="O35">
        <f t="shared" si="0"/>
        <v>1.5032858598806191</v>
      </c>
      <c r="P35">
        <f t="shared" si="1"/>
        <v>1.4854099507308771</v>
      </c>
    </row>
    <row r="36" spans="2:16" x14ac:dyDescent="0.25">
      <c r="B36" s="6" t="s">
        <v>52</v>
      </c>
      <c r="C36">
        <v>1.2557179673028911</v>
      </c>
      <c r="D36">
        <v>2.6995927338548058</v>
      </c>
      <c r="E36">
        <v>11.731537223579901</v>
      </c>
      <c r="F36">
        <v>13.39200761179829</v>
      </c>
      <c r="G36">
        <f t="shared" si="2"/>
        <v>1.9776553505788486</v>
      </c>
      <c r="H36">
        <f t="shared" si="3"/>
        <v>1.7141141904779309</v>
      </c>
      <c r="J36" t="s">
        <v>52</v>
      </c>
      <c r="K36">
        <v>0.82996337412575294</v>
      </c>
      <c r="L36">
        <v>1.7823948827087019</v>
      </c>
      <c r="M36">
        <v>9.142077006189643</v>
      </c>
      <c r="N36">
        <v>1.569688768606224</v>
      </c>
      <c r="O36">
        <f t="shared" si="0"/>
        <v>1.3061791284172275</v>
      </c>
      <c r="P36">
        <f t="shared" si="1"/>
        <v>1.1325571192290986</v>
      </c>
    </row>
    <row r="37" spans="2:16" x14ac:dyDescent="0.25">
      <c r="B37" s="6" t="s">
        <v>69</v>
      </c>
      <c r="C37">
        <v>2.376781831360232</v>
      </c>
      <c r="D37">
        <v>3.2552524403645999</v>
      </c>
      <c r="E37">
        <v>20.11843017029587</v>
      </c>
      <c r="F37">
        <v>16.665018296904361</v>
      </c>
      <c r="G37">
        <f>AVERAGE(C37:D37)</f>
        <v>2.816017135862416</v>
      </c>
      <c r="H37">
        <f>HARMEAN(C37:D37)</f>
        <v>2.7475063124501</v>
      </c>
      <c r="J37" t="s">
        <v>69</v>
      </c>
      <c r="K37">
        <v>0.84436982848337283</v>
      </c>
      <c r="L37">
        <v>1.6971708208587331</v>
      </c>
      <c r="M37">
        <v>2.3364408877155349</v>
      </c>
      <c r="N37">
        <v>5.1204489959546624</v>
      </c>
      <c r="O37">
        <f t="shared" si="0"/>
        <v>1.2707703246710529</v>
      </c>
      <c r="P37">
        <f t="shared" si="1"/>
        <v>1.1276938146052671</v>
      </c>
    </row>
  </sheetData>
  <mergeCells count="6">
    <mergeCell ref="C1:H1"/>
    <mergeCell ref="K1:P1"/>
    <mergeCell ref="C2:D2"/>
    <mergeCell ref="E2:F2"/>
    <mergeCell ref="K2:L2"/>
    <mergeCell ref="M2:N2"/>
  </mergeCells>
  <conditionalFormatting sqref="E4:F36 M4:M36 K4:K36">
    <cfRule type="cellIs" dxfId="0" priority="13" operator="greaterThan">
      <formula>33</formula>
    </cfRule>
  </conditionalFormatting>
  <conditionalFormatting sqref="G4:H37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6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P36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6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7:P3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L3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:P3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2025-07-02T14:52:25Z</dcterms:modified>
</cp:coreProperties>
</file>