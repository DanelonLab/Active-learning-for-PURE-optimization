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1\"/>
    </mc:Choice>
  </mc:AlternateContent>
  <xr:revisionPtr revIDLastSave="0" documentId="13_ncr:1_{99307F08-17B0-4B16-B563-7080FBBABC20}" xr6:coauthVersionLast="47" xr6:coauthVersionMax="47" xr10:uidLastSave="{00000000-0000-0000-0000-000000000000}"/>
  <bookViews>
    <workbookView xWindow="19080" yWindow="-120" windowWidth="19440" windowHeight="15000" xr2:uid="{2FB58102-076E-4DD1-84EA-20FB743A7AD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4" i="1"/>
  <c r="O34" i="1"/>
  <c r="O35" i="1"/>
  <c r="O3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4" i="1"/>
</calcChain>
</file>

<file path=xl/sharedStrings.xml><?xml version="1.0" encoding="utf-8"?>
<sst xmlns="http://schemas.openxmlformats.org/spreadsheetml/2006/main" count="55" uniqueCount="42">
  <si>
    <t>Condition</t>
  </si>
  <si>
    <t>Relative Yield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</si>
  <si>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</si>
  <si>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</si>
  <si>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</si>
  <si>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</si>
  <si>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</si>
  <si>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</si>
  <si>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</si>
  <si>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</si>
  <si>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</si>
  <si>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</si>
  <si>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</si>
  <si>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</si>
  <si>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</si>
  <si>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</si>
  <si>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</si>
  <si>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</si>
  <si>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</si>
  <si>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</si>
  <si>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</si>
  <si>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</si>
  <si>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</si>
  <si>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</si>
  <si>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</si>
  <si>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</si>
  <si>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</si>
  <si>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</si>
  <si>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</si>
  <si>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</si>
  <si>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</si>
  <si>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</si>
  <si>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REF</t>
  </si>
  <si>
    <t>TOP5</t>
  </si>
  <si>
    <t>TOP8</t>
  </si>
  <si>
    <t>mVenus</t>
  </si>
  <si>
    <t>mCherry</t>
  </si>
  <si>
    <t>0.1 nM</t>
  </si>
  <si>
    <t>1 nM</t>
  </si>
  <si>
    <t>Mean</t>
  </si>
  <si>
    <t>Harmonic 
mean</t>
  </si>
  <si>
    <t>CV%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</si>
</sst>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1" xfId="0" applyFill="1" applyBorder="1" applyAlignment="1">
      <alignment wrapText="1"/>
    </xf>
    <xf numFmtId="0" fontId="0" fillId="2" borderId="5" xfId="0" applyFill="1" applyBorder="1"/>
    <xf numFmtId="0" fontId="0" fillId="3" borderId="5" xfId="0" applyFill="1" applyBorder="1"/>
    <xf numFmtId="0" fontId="0" fillId="0" borderId="0" xfId="0" applyFill="1" applyBorder="1" applyAlignment="1">
      <alignment wrapText="1"/>
    </xf>
    <xf numFmtId="0" fontId="0" fillId="0" borderId="0" xfId="0" applyBorder="1"/>
    <xf numFmtId="0" fontId="0" fillId="4" borderId="0" xfId="0" applyFill="1"/>
    <xf numFmtId="0" fontId="0" fillId="4" borderId="5" xfId="0" applyFill="1" applyBorder="1"/>
    <xf numFmtId="0" fontId="0" fillId="5" borderId="0" xfId="0" applyFill="1"/>
    <xf numFmtId="0" fontId="0" fillId="5" borderId="5" xfId="0" applyFill="1" applyBorder="1"/>
    <xf numFmtId="0" fontId="0" fillId="0" borderId="0" xfId="0" applyFill="1" applyBorder="1"/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mVenus</a:t>
            </a:r>
            <a:r>
              <a:rPr lang="en-GB" baseline="0"/>
              <a:t> vs mCherry </a:t>
            </a:r>
            <a:r>
              <a:rPr lang="en-GB"/>
              <a:t>0.1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7.7243008857469458E-2"/>
                  <c:y val="-0.25883841477486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Feuil1!$C$4:$C$36</c:f>
              <c:numCache>
                <c:formatCode>General</c:formatCode>
                <c:ptCount val="33"/>
                <c:pt idx="0">
                  <c:v>1.179875686677901</c:v>
                </c:pt>
                <c:pt idx="1">
                  <c:v>0.76707776148475637</c:v>
                </c:pt>
                <c:pt idx="2">
                  <c:v>0.88774485128362257</c:v>
                </c:pt>
                <c:pt idx="3">
                  <c:v>1.215368453305903</c:v>
                </c:pt>
                <c:pt idx="4">
                  <c:v>0.2209778731041124</c:v>
                </c:pt>
                <c:pt idx="5">
                  <c:v>0.27655774660217552</c:v>
                </c:pt>
                <c:pt idx="6">
                  <c:v>0.1139338162876715</c:v>
                </c:pt>
                <c:pt idx="7">
                  <c:v>7.0691164561948738E-2</c:v>
                </c:pt>
                <c:pt idx="8">
                  <c:v>1.0503326694535029</c:v>
                </c:pt>
                <c:pt idx="9">
                  <c:v>0.64250618283688254</c:v>
                </c:pt>
                <c:pt idx="10">
                  <c:v>0.16027664091396551</c:v>
                </c:pt>
                <c:pt idx="11">
                  <c:v>1.1993718675450309</c:v>
                </c:pt>
                <c:pt idx="12">
                  <c:v>0.30536757785997237</c:v>
                </c:pt>
                <c:pt idx="13">
                  <c:v>0.28797793876255717</c:v>
                </c:pt>
                <c:pt idx="14">
                  <c:v>0.56179663391039814</c:v>
                </c:pt>
                <c:pt idx="15">
                  <c:v>0.47031034558228102</c:v>
                </c:pt>
                <c:pt idx="16">
                  <c:v>1.217050403799435</c:v>
                </c:pt>
                <c:pt idx="17">
                  <c:v>0.45479197216081951</c:v>
                </c:pt>
                <c:pt idx="18">
                  <c:v>0.710693572038257</c:v>
                </c:pt>
                <c:pt idx="19">
                  <c:v>1.555010833643387</c:v>
                </c:pt>
                <c:pt idx="20">
                  <c:v>0.64015779912893134</c:v>
                </c:pt>
                <c:pt idx="21">
                  <c:v>1.787922129084502</c:v>
                </c:pt>
                <c:pt idx="22">
                  <c:v>0.13066468232255801</c:v>
                </c:pt>
                <c:pt idx="23">
                  <c:v>0.71473266069904351</c:v>
                </c:pt>
                <c:pt idx="24">
                  <c:v>0.70856623842769906</c:v>
                </c:pt>
                <c:pt idx="25">
                  <c:v>0.3858232474666784</c:v>
                </c:pt>
                <c:pt idx="26">
                  <c:v>1.3533562408351749</c:v>
                </c:pt>
                <c:pt idx="27">
                  <c:v>0.80299183646670025</c:v>
                </c:pt>
                <c:pt idx="28">
                  <c:v>1.47312052701845</c:v>
                </c:pt>
                <c:pt idx="29">
                  <c:v>0.20859906765008429</c:v>
                </c:pt>
                <c:pt idx="30">
                  <c:v>1</c:v>
                </c:pt>
                <c:pt idx="31">
                  <c:v>0.82749447374756524</c:v>
                </c:pt>
                <c:pt idx="32">
                  <c:v>1.2475859578472781</c:v>
                </c:pt>
              </c:numCache>
            </c:numRef>
          </c:xVal>
          <c:yVal>
            <c:numRef>
              <c:f>Feuil1!$D$4:$D$36</c:f>
              <c:numCache>
                <c:formatCode>General</c:formatCode>
                <c:ptCount val="33"/>
                <c:pt idx="0">
                  <c:v>1.3977944072469479</c:v>
                </c:pt>
                <c:pt idx="1">
                  <c:v>0.98656513938120882</c:v>
                </c:pt>
                <c:pt idx="2">
                  <c:v>0.81707583913176662</c:v>
                </c:pt>
                <c:pt idx="3">
                  <c:v>0.33867226817207119</c:v>
                </c:pt>
                <c:pt idx="4">
                  <c:v>1.2414336352894839</c:v>
                </c:pt>
                <c:pt idx="5">
                  <c:v>0.12314559537875799</c:v>
                </c:pt>
                <c:pt idx="6">
                  <c:v>0.1382434029145333</c:v>
                </c:pt>
                <c:pt idx="7">
                  <c:v>0.1052032733797208</c:v>
                </c:pt>
                <c:pt idx="8">
                  <c:v>1.292065992735548</c:v>
                </c:pt>
                <c:pt idx="9">
                  <c:v>0.75826003238370321</c:v>
                </c:pt>
                <c:pt idx="10">
                  <c:v>0.31517220252942979</c:v>
                </c:pt>
                <c:pt idx="11">
                  <c:v>2.9644654500897119</c:v>
                </c:pt>
                <c:pt idx="12">
                  <c:v>1.916502560063017</c:v>
                </c:pt>
                <c:pt idx="13">
                  <c:v>0.57240383353026125</c:v>
                </c:pt>
                <c:pt idx="14">
                  <c:v>0.2072556999693668</c:v>
                </c:pt>
                <c:pt idx="15">
                  <c:v>0.66627281081790735</c:v>
                </c:pt>
                <c:pt idx="16">
                  <c:v>0.75362128572053744</c:v>
                </c:pt>
                <c:pt idx="17">
                  <c:v>0.25543739880092781</c:v>
                </c:pt>
                <c:pt idx="18">
                  <c:v>0.46413723688241221</c:v>
                </c:pt>
                <c:pt idx="19">
                  <c:v>1.4726270185112249</c:v>
                </c:pt>
                <c:pt idx="20">
                  <c:v>1.1222703601592929</c:v>
                </c:pt>
                <c:pt idx="21">
                  <c:v>1.978469213601155</c:v>
                </c:pt>
                <c:pt idx="22">
                  <c:v>0.1080477878429828</c:v>
                </c:pt>
                <c:pt idx="23">
                  <c:v>0.40921622686096892</c:v>
                </c:pt>
                <c:pt idx="24">
                  <c:v>0.22414773970504581</c:v>
                </c:pt>
                <c:pt idx="25">
                  <c:v>1.985077239508118</c:v>
                </c:pt>
                <c:pt idx="26">
                  <c:v>2.0367161174565669</c:v>
                </c:pt>
                <c:pt idx="27">
                  <c:v>1.282132072994618</c:v>
                </c:pt>
                <c:pt idx="28">
                  <c:v>0.32650649862150449</c:v>
                </c:pt>
                <c:pt idx="29">
                  <c:v>1.510655988796989</c:v>
                </c:pt>
                <c:pt idx="30">
                  <c:v>1</c:v>
                </c:pt>
                <c:pt idx="31">
                  <c:v>0.93103146470613984</c:v>
                </c:pt>
                <c:pt idx="32">
                  <c:v>2.1540413986258811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E-4B46-A0F6-CBA417B2A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269295"/>
        <c:axId val="834143743"/>
      </c:scatterChart>
      <c:valAx>
        <c:axId val="55926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mVenus Relative Yield</a:t>
                </a:r>
                <a:r>
                  <a:rPr lang="en-GB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143743"/>
        <c:crosses val="autoZero"/>
        <c:crossBetween val="midCat"/>
      </c:valAx>
      <c:valAx>
        <c:axId val="8341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mCherry Relativ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692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mVenus vs mCherry</a:t>
            </a:r>
            <a:r>
              <a:rPr lang="en-GB" baseline="0"/>
              <a:t> </a:t>
            </a:r>
            <a:r>
              <a:rPr lang="en-GB"/>
              <a:t>1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1104829587795504"/>
                  <c:y val="-0.20088183111189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Feuil1!$K$4:$K$36</c:f>
              <c:numCache>
                <c:formatCode>General</c:formatCode>
                <c:ptCount val="33"/>
                <c:pt idx="0">
                  <c:v>0.74331100008616813</c:v>
                </c:pt>
                <c:pt idx="1">
                  <c:v>0.58966194476463929</c:v>
                </c:pt>
                <c:pt idx="2">
                  <c:v>0.97419103624424264</c:v>
                </c:pt>
                <c:pt idx="3">
                  <c:v>0.39204603651250169</c:v>
                </c:pt>
                <c:pt idx="4">
                  <c:v>0.56711436129135051</c:v>
                </c:pt>
                <c:pt idx="5">
                  <c:v>1.3254917676973781</c:v>
                </c:pt>
                <c:pt idx="6">
                  <c:v>0.81561414261954202</c:v>
                </c:pt>
                <c:pt idx="7">
                  <c:v>0.38513064217975962</c:v>
                </c:pt>
                <c:pt idx="8">
                  <c:v>0.2183677815948247</c:v>
                </c:pt>
                <c:pt idx="9">
                  <c:v>0.28521550960286268</c:v>
                </c:pt>
                <c:pt idx="10">
                  <c:v>0.56989856554545204</c:v>
                </c:pt>
                <c:pt idx="11">
                  <c:v>1.2491972549778321</c:v>
                </c:pt>
                <c:pt idx="12">
                  <c:v>1.1215701448761699</c:v>
                </c:pt>
                <c:pt idx="13">
                  <c:v>1.168307382652904</c:v>
                </c:pt>
                <c:pt idx="14">
                  <c:v>0.16979581418261461</c:v>
                </c:pt>
                <c:pt idx="15">
                  <c:v>0.51671904493258569</c:v>
                </c:pt>
                <c:pt idx="16">
                  <c:v>0.75168474841361332</c:v>
                </c:pt>
                <c:pt idx="17">
                  <c:v>1.1851638087589029</c:v>
                </c:pt>
                <c:pt idx="18">
                  <c:v>1.0914332677046941</c:v>
                </c:pt>
                <c:pt idx="19">
                  <c:v>0.23613628862727759</c:v>
                </c:pt>
                <c:pt idx="20">
                  <c:v>0.65475379505330233</c:v>
                </c:pt>
                <c:pt idx="21">
                  <c:v>0.61543757935998267</c:v>
                </c:pt>
                <c:pt idx="22">
                  <c:v>0.5886945862062799</c:v>
                </c:pt>
                <c:pt idx="23">
                  <c:v>0.9324255337136651</c:v>
                </c:pt>
                <c:pt idx="24">
                  <c:v>0.27461033334037849</c:v>
                </c:pt>
                <c:pt idx="25">
                  <c:v>1.487524326222571</c:v>
                </c:pt>
                <c:pt idx="26">
                  <c:v>0.52869559421015577</c:v>
                </c:pt>
                <c:pt idx="27">
                  <c:v>0.22600584967410589</c:v>
                </c:pt>
                <c:pt idx="28">
                  <c:v>0.18398103001737989</c:v>
                </c:pt>
                <c:pt idx="29">
                  <c:v>0.87521887503515816</c:v>
                </c:pt>
                <c:pt idx="30">
                  <c:v>1</c:v>
                </c:pt>
                <c:pt idx="31">
                  <c:v>0.27945931972744881</c:v>
                </c:pt>
                <c:pt idx="32">
                  <c:v>0.75192780741273046</c:v>
                </c:pt>
              </c:numCache>
            </c:numRef>
          </c:xVal>
          <c:yVal>
            <c:numRef>
              <c:f>Feuil1!$L$4:$L$36</c:f>
              <c:numCache>
                <c:formatCode>General</c:formatCode>
                <c:ptCount val="33"/>
                <c:pt idx="0">
                  <c:v>0.440243382735925</c:v>
                </c:pt>
                <c:pt idx="1">
                  <c:v>1.2255788626355411</c:v>
                </c:pt>
                <c:pt idx="2">
                  <c:v>1.1467399024575029</c:v>
                </c:pt>
                <c:pt idx="3">
                  <c:v>0.33607178370187979</c:v>
                </c:pt>
                <c:pt idx="4">
                  <c:v>0.97144751171930477</c:v>
                </c:pt>
                <c:pt idx="5">
                  <c:v>0.47315213788531651</c:v>
                </c:pt>
                <c:pt idx="6">
                  <c:v>0.52133150243856241</c:v>
                </c:pt>
                <c:pt idx="7">
                  <c:v>0.46202471707940718</c:v>
                </c:pt>
                <c:pt idx="8">
                  <c:v>0.748828069510867</c:v>
                </c:pt>
                <c:pt idx="9">
                  <c:v>0.24870969269378279</c:v>
                </c:pt>
                <c:pt idx="10">
                  <c:v>0.71461716937354991</c:v>
                </c:pt>
                <c:pt idx="11">
                  <c:v>0.58111179506605426</c:v>
                </c:pt>
                <c:pt idx="12">
                  <c:v>2.3536862540839998</c:v>
                </c:pt>
                <c:pt idx="13">
                  <c:v>1.327714380415739</c:v>
                </c:pt>
                <c:pt idx="14">
                  <c:v>0.52526161276575589</c:v>
                </c:pt>
                <c:pt idx="15">
                  <c:v>0.39919030257114441</c:v>
                </c:pt>
                <c:pt idx="16">
                  <c:v>1.176452483545622</c:v>
                </c:pt>
                <c:pt idx="17">
                  <c:v>1.709503290875515</c:v>
                </c:pt>
                <c:pt idx="18">
                  <c:v>1.417822813580188</c:v>
                </c:pt>
                <c:pt idx="19">
                  <c:v>0.41893555566077939</c:v>
                </c:pt>
                <c:pt idx="20">
                  <c:v>0.90615085941569207</c:v>
                </c:pt>
                <c:pt idx="21">
                  <c:v>0.42930536483735021</c:v>
                </c:pt>
                <c:pt idx="22">
                  <c:v>0.17891472134097261</c:v>
                </c:pt>
                <c:pt idx="23">
                  <c:v>0.54403617595530096</c:v>
                </c:pt>
                <c:pt idx="24">
                  <c:v>0.77555755480846633</c:v>
                </c:pt>
                <c:pt idx="25">
                  <c:v>1.5109143425351581</c:v>
                </c:pt>
                <c:pt idx="26">
                  <c:v>0.28661394952412522</c:v>
                </c:pt>
                <c:pt idx="27">
                  <c:v>5.8691225910317717E-2</c:v>
                </c:pt>
                <c:pt idx="28">
                  <c:v>0.21248638666603531</c:v>
                </c:pt>
                <c:pt idx="29">
                  <c:v>0.74170178512240159</c:v>
                </c:pt>
                <c:pt idx="30">
                  <c:v>1</c:v>
                </c:pt>
                <c:pt idx="31">
                  <c:v>0.36277759363606232</c:v>
                </c:pt>
                <c:pt idx="32">
                  <c:v>1.230503338226242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0-44D5-9CED-A750426BB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033215"/>
        <c:axId val="834168063"/>
      </c:scatterChart>
      <c:valAx>
        <c:axId val="80303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168063"/>
        <c:crosses val="autoZero"/>
        <c:crossBetween val="midCat"/>
      </c:valAx>
      <c:valAx>
        <c:axId val="8341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332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38</xdr:row>
      <xdr:rowOff>0</xdr:rowOff>
    </xdr:from>
    <xdr:to>
      <xdr:col>7</xdr:col>
      <xdr:colOff>476250</xdr:colOff>
      <xdr:row>57</xdr:row>
      <xdr:rowOff>109537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339183E-F1DB-49D0-9423-0FE2B17FF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695325</xdr:colOff>
      <xdr:row>38</xdr:row>
      <xdr:rowOff>28575</xdr:rowOff>
    </xdr:from>
    <xdr:to>
      <xdr:col>15</xdr:col>
      <xdr:colOff>733425</xdr:colOff>
      <xdr:row>57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879E322-E3B3-41CD-864A-9581633E3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3531-9A56-4CA6-96CA-F125F7D0C75D}">
  <dimension ref="B1:P36"/>
  <sheetViews>
    <sheetView tabSelected="1" topLeftCell="A16" zoomScale="89" zoomScaleNormal="89" workbookViewId="0">
      <selection activeCell="O7" sqref="O7"/>
    </sheetView>
  </sheetViews>
  <sheetFormatPr baseColWidth="10" defaultRowHeight="15" x14ac:dyDescent="0.25"/>
  <sheetData>
    <row r="1" spans="2:16" x14ac:dyDescent="0.25">
      <c r="C1" s="20" t="s">
        <v>37</v>
      </c>
      <c r="D1" s="20"/>
      <c r="E1" s="20"/>
      <c r="F1" s="20"/>
      <c r="G1" s="20"/>
      <c r="H1" s="20"/>
      <c r="K1" s="20" t="s">
        <v>38</v>
      </c>
      <c r="L1" s="20"/>
      <c r="M1" s="20"/>
      <c r="N1" s="20"/>
      <c r="O1" s="20"/>
      <c r="P1" s="20"/>
    </row>
    <row r="2" spans="2:16" x14ac:dyDescent="0.25">
      <c r="C2" s="18" t="s">
        <v>1</v>
      </c>
      <c r="D2" s="19"/>
      <c r="E2" s="21" t="s">
        <v>41</v>
      </c>
      <c r="F2" s="22"/>
      <c r="G2" s="2"/>
      <c r="H2" s="2"/>
      <c r="K2" s="18" t="s">
        <v>1</v>
      </c>
      <c r="L2" s="19"/>
      <c r="M2" s="21" t="s">
        <v>41</v>
      </c>
      <c r="N2" s="22"/>
      <c r="O2" s="2"/>
      <c r="P2" s="2"/>
    </row>
    <row r="3" spans="2:16" ht="30" x14ac:dyDescent="0.25">
      <c r="B3" s="1" t="s">
        <v>0</v>
      </c>
      <c r="C3" s="2" t="s">
        <v>35</v>
      </c>
      <c r="D3" s="2" t="s">
        <v>36</v>
      </c>
      <c r="E3" s="2" t="s">
        <v>35</v>
      </c>
      <c r="F3" s="2" t="s">
        <v>36</v>
      </c>
      <c r="G3" s="5" t="s">
        <v>39</v>
      </c>
      <c r="H3" s="8" t="s">
        <v>40</v>
      </c>
      <c r="I3" s="11"/>
      <c r="K3" s="2" t="s">
        <v>35</v>
      </c>
      <c r="L3" s="2" t="s">
        <v>36</v>
      </c>
      <c r="M3" s="2" t="s">
        <v>35</v>
      </c>
      <c r="N3" s="2" t="s">
        <v>36</v>
      </c>
      <c r="O3" s="5" t="s">
        <v>39</v>
      </c>
      <c r="P3" s="8" t="s">
        <v>40</v>
      </c>
    </row>
    <row r="4" spans="2:16" x14ac:dyDescent="0.25">
      <c r="B4" t="s">
        <v>2</v>
      </c>
      <c r="C4">
        <v>1.179875686677901</v>
      </c>
      <c r="D4">
        <v>1.3977944072469479</v>
      </c>
      <c r="E4">
        <v>0.55582526676640476</v>
      </c>
      <c r="F4">
        <v>8.1215567798116233</v>
      </c>
      <c r="G4">
        <f>AVERAGE(C4:D4)</f>
        <v>1.2888350469624243</v>
      </c>
      <c r="H4" s="6">
        <f>HARMEAN(C4:D4)</f>
        <v>1.2796235173554409</v>
      </c>
      <c r="I4" s="12"/>
      <c r="J4">
        <v>34</v>
      </c>
      <c r="K4">
        <v>0.74331100008616813</v>
      </c>
      <c r="L4">
        <v>0.440243382735925</v>
      </c>
      <c r="M4">
        <v>13.865594093250079</v>
      </c>
      <c r="N4">
        <v>17.64022086602732</v>
      </c>
      <c r="O4">
        <f>AVERAGE(K4:L4)</f>
        <v>0.59177719141104657</v>
      </c>
      <c r="P4" s="6">
        <f>HARMEAN(K4:L4)</f>
        <v>0.55297458883551298</v>
      </c>
    </row>
    <row r="5" spans="2:16" x14ac:dyDescent="0.25">
      <c r="B5" t="s">
        <v>3</v>
      </c>
      <c r="C5">
        <v>0.76707776148475637</v>
      </c>
      <c r="D5">
        <v>0.98656513938120882</v>
      </c>
      <c r="E5">
        <v>13.50336130695962</v>
      </c>
      <c r="F5">
        <v>29.863276565123531</v>
      </c>
      <c r="G5">
        <f t="shared" ref="G5:G36" si="0">AVERAGE(C5:D5)</f>
        <v>0.87682145043298254</v>
      </c>
      <c r="H5" s="6">
        <f t="shared" ref="H5:H36" si="1">HARMEAN(C5:D5)</f>
        <v>0.86308584068253946</v>
      </c>
      <c r="I5" s="12"/>
      <c r="J5">
        <v>35</v>
      </c>
      <c r="K5">
        <v>0.58966194476463929</v>
      </c>
      <c r="L5">
        <v>1.2255788626355411</v>
      </c>
      <c r="M5">
        <v>4.9204840828418899</v>
      </c>
      <c r="N5">
        <v>9.5783070419630878</v>
      </c>
      <c r="O5">
        <f t="shared" ref="O5:O36" si="2">AVERAGE(K5:L5)</f>
        <v>0.90762040370009012</v>
      </c>
      <c r="P5" s="6">
        <f t="shared" ref="P5:P36" si="3">HARMEAN(K5:L5)</f>
        <v>0.79623288839472361</v>
      </c>
    </row>
    <row r="6" spans="2:16" x14ac:dyDescent="0.25">
      <c r="B6" t="s">
        <v>4</v>
      </c>
      <c r="C6">
        <v>0.88774485128362257</v>
      </c>
      <c r="D6">
        <v>0.81707583913176662</v>
      </c>
      <c r="E6">
        <v>3.0438513299914201</v>
      </c>
      <c r="F6">
        <v>0.35783099366914389</v>
      </c>
      <c r="G6">
        <f t="shared" si="0"/>
        <v>0.85241034520769454</v>
      </c>
      <c r="H6" s="6">
        <f t="shared" si="1"/>
        <v>0.85094564299396724</v>
      </c>
      <c r="I6" s="12"/>
      <c r="J6">
        <v>36</v>
      </c>
      <c r="K6">
        <v>0.97419103624424264</v>
      </c>
      <c r="L6">
        <v>1.1467399024575029</v>
      </c>
      <c r="M6">
        <v>13.592110254140851</v>
      </c>
      <c r="N6">
        <v>21.493902439024389</v>
      </c>
      <c r="O6">
        <f t="shared" si="2"/>
        <v>1.0604654693508728</v>
      </c>
      <c r="P6" s="6">
        <f t="shared" si="3"/>
        <v>1.053446591298741</v>
      </c>
    </row>
    <row r="7" spans="2:16" x14ac:dyDescent="0.25">
      <c r="B7" t="s">
        <v>5</v>
      </c>
      <c r="C7">
        <v>1.215368453305903</v>
      </c>
      <c r="D7">
        <v>0.33867226817207119</v>
      </c>
      <c r="E7">
        <v>5.9726475192737514</v>
      </c>
      <c r="F7">
        <v>12.29454306377383</v>
      </c>
      <c r="G7">
        <f t="shared" si="0"/>
        <v>0.77702036073898717</v>
      </c>
      <c r="H7" s="6">
        <f t="shared" si="1"/>
        <v>0.52973076581214418</v>
      </c>
      <c r="I7" s="12"/>
      <c r="J7">
        <v>37</v>
      </c>
      <c r="K7" s="13">
        <v>0.39204603651250169</v>
      </c>
      <c r="L7" s="13">
        <v>0.33607178370187979</v>
      </c>
      <c r="M7" s="13">
        <v>78.238770811005821</v>
      </c>
      <c r="N7" s="13">
        <v>65.685515104570101</v>
      </c>
      <c r="O7" s="13">
        <f t="shared" si="2"/>
        <v>0.36405891010719071</v>
      </c>
      <c r="P7" s="14">
        <f t="shared" si="3"/>
        <v>0.36190739225477442</v>
      </c>
    </row>
    <row r="8" spans="2:16" x14ac:dyDescent="0.25">
      <c r="B8" t="s">
        <v>6</v>
      </c>
      <c r="C8">
        <v>0.2209778731041124</v>
      </c>
      <c r="D8">
        <v>1.2414336352894839</v>
      </c>
      <c r="E8">
        <v>23.826458036984349</v>
      </c>
      <c r="F8">
        <v>4.475920679886686</v>
      </c>
      <c r="G8">
        <f t="shared" si="0"/>
        <v>0.73120575419679812</v>
      </c>
      <c r="H8" s="6">
        <f t="shared" si="1"/>
        <v>0.37517396813639264</v>
      </c>
      <c r="I8" s="12"/>
      <c r="J8">
        <v>38</v>
      </c>
      <c r="K8">
        <v>0.56711436129135051</v>
      </c>
      <c r="L8">
        <v>0.97144751171930477</v>
      </c>
      <c r="M8">
        <v>5.6926237161531281</v>
      </c>
      <c r="N8">
        <v>21.25821838339564</v>
      </c>
      <c r="O8">
        <f t="shared" si="2"/>
        <v>0.76928093650532769</v>
      </c>
      <c r="P8" s="6">
        <f t="shared" si="3"/>
        <v>0.71615168008644636</v>
      </c>
    </row>
    <row r="9" spans="2:16" x14ac:dyDescent="0.25">
      <c r="B9" t="s">
        <v>7</v>
      </c>
      <c r="C9">
        <v>0.27655774660217552</v>
      </c>
      <c r="D9">
        <v>0.12314559537875799</v>
      </c>
      <c r="E9">
        <v>4.6958377801494127</v>
      </c>
      <c r="F9">
        <v>4.6382189239332092</v>
      </c>
      <c r="G9">
        <f t="shared" si="0"/>
        <v>0.19985167099046675</v>
      </c>
      <c r="H9" s="6">
        <f t="shared" si="1"/>
        <v>0.17041072608072994</v>
      </c>
      <c r="I9" s="12"/>
      <c r="J9">
        <v>39</v>
      </c>
      <c r="K9">
        <v>1.3254917676973781</v>
      </c>
      <c r="L9">
        <v>0.47315213788531651</v>
      </c>
      <c r="M9">
        <v>2.2478736330498181</v>
      </c>
      <c r="N9">
        <v>20.01062981663566</v>
      </c>
      <c r="O9">
        <f t="shared" si="2"/>
        <v>0.8993219527913473</v>
      </c>
      <c r="P9" s="6">
        <f t="shared" si="3"/>
        <v>0.69736901416539721</v>
      </c>
    </row>
    <row r="10" spans="2:16" x14ac:dyDescent="0.25">
      <c r="B10" t="s">
        <v>8</v>
      </c>
      <c r="C10">
        <v>0.1139338162876715</v>
      </c>
      <c r="D10">
        <v>0.1382434029145333</v>
      </c>
      <c r="E10">
        <v>5.0759219088937098</v>
      </c>
      <c r="F10">
        <v>17.29055258467023</v>
      </c>
      <c r="G10">
        <f t="shared" si="0"/>
        <v>0.12608860960110241</v>
      </c>
      <c r="H10" s="6">
        <f t="shared" si="1"/>
        <v>0.12491690185557634</v>
      </c>
      <c r="I10" s="12"/>
      <c r="J10">
        <v>40</v>
      </c>
      <c r="K10">
        <v>0.81561414261954202</v>
      </c>
      <c r="L10">
        <v>0.52133150243856241</v>
      </c>
      <c r="M10">
        <v>1.8334388207190839</v>
      </c>
      <c r="N10">
        <v>10.273021749190191</v>
      </c>
      <c r="O10">
        <f t="shared" si="2"/>
        <v>0.66847282252905216</v>
      </c>
      <c r="P10" s="6">
        <f t="shared" si="3"/>
        <v>0.63608471736112515</v>
      </c>
    </row>
    <row r="11" spans="2:16" x14ac:dyDescent="0.25">
      <c r="B11" t="s">
        <v>9</v>
      </c>
      <c r="C11">
        <v>7.0691164561948738E-2</v>
      </c>
      <c r="D11">
        <v>0.1052032733797208</v>
      </c>
      <c r="E11">
        <v>3.131971089497636</v>
      </c>
      <c r="F11">
        <v>7.415730337078652</v>
      </c>
      <c r="G11">
        <f t="shared" si="0"/>
        <v>8.7947218970834767E-2</v>
      </c>
      <c r="H11" s="6">
        <f t="shared" si="1"/>
        <v>8.4561422157166527E-2</v>
      </c>
      <c r="I11" s="12"/>
      <c r="J11">
        <v>41</v>
      </c>
      <c r="K11">
        <v>0.38513064217975962</v>
      </c>
      <c r="L11">
        <v>0.46202471707940718</v>
      </c>
      <c r="M11">
        <v>1.2442271121977719</v>
      </c>
      <c r="N11">
        <v>15.814319433516919</v>
      </c>
      <c r="O11">
        <f t="shared" si="2"/>
        <v>0.42357767962958337</v>
      </c>
      <c r="P11" s="6">
        <f t="shared" si="3"/>
        <v>0.4200879426586438</v>
      </c>
    </row>
    <row r="12" spans="2:16" x14ac:dyDescent="0.25">
      <c r="B12" t="s">
        <v>10</v>
      </c>
      <c r="C12">
        <v>1.0503326694535029</v>
      </c>
      <c r="D12">
        <v>1.292065992735548</v>
      </c>
      <c r="E12">
        <v>8.6548326952991399</v>
      </c>
      <c r="F12">
        <v>15.33297042279078</v>
      </c>
      <c r="G12">
        <f t="shared" si="0"/>
        <v>1.1711993310945255</v>
      </c>
      <c r="H12" s="6">
        <f t="shared" si="1"/>
        <v>1.1587260060947639</v>
      </c>
      <c r="I12" s="12"/>
      <c r="J12">
        <v>42</v>
      </c>
      <c r="K12">
        <v>0.2183677815948247</v>
      </c>
      <c r="L12">
        <v>0.748828069510867</v>
      </c>
      <c r="M12">
        <v>11.4873537183843</v>
      </c>
      <c r="N12">
        <v>10.767204478103389</v>
      </c>
      <c r="O12">
        <f t="shared" si="2"/>
        <v>0.48359792555284586</v>
      </c>
      <c r="P12" s="6">
        <f t="shared" si="3"/>
        <v>0.33813198050444143</v>
      </c>
    </row>
    <row r="13" spans="2:16" x14ac:dyDescent="0.25">
      <c r="B13" t="s">
        <v>11</v>
      </c>
      <c r="C13">
        <v>0.64250618283688254</v>
      </c>
      <c r="D13">
        <v>0.75826003238370321</v>
      </c>
      <c r="E13">
        <v>1.842796735517775</v>
      </c>
      <c r="F13">
        <v>8.0291970802919703</v>
      </c>
      <c r="G13">
        <f t="shared" si="0"/>
        <v>0.70038310761029288</v>
      </c>
      <c r="H13" s="6">
        <f t="shared" si="1"/>
        <v>0.69560038457652884</v>
      </c>
      <c r="I13" s="12"/>
      <c r="J13">
        <v>43</v>
      </c>
      <c r="K13">
        <v>0.28521550960286268</v>
      </c>
      <c r="L13">
        <v>0.24870969269378279</v>
      </c>
      <c r="M13">
        <v>15.523938251404999</v>
      </c>
      <c r="N13">
        <v>23.70916754478398</v>
      </c>
      <c r="O13">
        <f t="shared" si="2"/>
        <v>0.26696260114832271</v>
      </c>
      <c r="P13" s="6">
        <f t="shared" si="3"/>
        <v>0.26571460361751992</v>
      </c>
    </row>
    <row r="14" spans="2:16" x14ac:dyDescent="0.25">
      <c r="B14" t="s">
        <v>12</v>
      </c>
      <c r="C14">
        <v>0.16027664091396551</v>
      </c>
      <c r="D14">
        <v>0.31517220252942979</v>
      </c>
      <c r="E14">
        <v>12.14675260287556</v>
      </c>
      <c r="F14">
        <v>21.014492753623191</v>
      </c>
      <c r="G14">
        <f t="shared" si="0"/>
        <v>0.23772442172169767</v>
      </c>
      <c r="H14" s="6">
        <f t="shared" si="1"/>
        <v>0.21249285860083106</v>
      </c>
      <c r="I14" s="12"/>
      <c r="J14">
        <v>44</v>
      </c>
      <c r="K14">
        <v>0.56989856554545204</v>
      </c>
      <c r="L14">
        <v>0.71461716937354991</v>
      </c>
      <c r="M14">
        <v>10.045625781820551</v>
      </c>
      <c r="N14">
        <v>19.361778415202579</v>
      </c>
      <c r="O14">
        <f t="shared" si="2"/>
        <v>0.64225786745950098</v>
      </c>
      <c r="P14" s="6">
        <f t="shared" si="3"/>
        <v>0.63410558340232104</v>
      </c>
    </row>
    <row r="15" spans="2:16" x14ac:dyDescent="0.25">
      <c r="B15" t="s">
        <v>13</v>
      </c>
      <c r="C15" s="3">
        <v>1.1993718675450309</v>
      </c>
      <c r="D15" s="3">
        <v>2.9644654500897119</v>
      </c>
      <c r="E15" s="3">
        <v>3.4286097049845461</v>
      </c>
      <c r="F15" s="3">
        <v>3.35750315258512</v>
      </c>
      <c r="G15" s="3">
        <f t="shared" si="0"/>
        <v>2.0819186588173713</v>
      </c>
      <c r="H15" s="9">
        <f t="shared" si="1"/>
        <v>1.7077979718797029</v>
      </c>
      <c r="I15" s="17"/>
      <c r="J15">
        <v>45</v>
      </c>
      <c r="K15">
        <v>1.2491972549778321</v>
      </c>
      <c r="L15">
        <v>0.58111179506605426</v>
      </c>
      <c r="M15">
        <v>12.09074683473702</v>
      </c>
      <c r="N15">
        <v>27.232242262302378</v>
      </c>
      <c r="O15">
        <f t="shared" si="2"/>
        <v>0.91515452502194317</v>
      </c>
      <c r="P15" s="6">
        <f t="shared" si="3"/>
        <v>0.79322479360996401</v>
      </c>
    </row>
    <row r="16" spans="2:16" x14ac:dyDescent="0.25">
      <c r="B16" t="s">
        <v>14</v>
      </c>
      <c r="C16">
        <v>0.30536757785997237</v>
      </c>
      <c r="D16">
        <v>1.916502560063017</v>
      </c>
      <c r="E16">
        <v>22.651784334929712</v>
      </c>
      <c r="F16">
        <v>4.5735775809777994</v>
      </c>
      <c r="G16">
        <f t="shared" si="0"/>
        <v>1.1109350689614947</v>
      </c>
      <c r="H16" s="6">
        <f t="shared" si="1"/>
        <v>0.52679743495356723</v>
      </c>
      <c r="I16" s="17"/>
      <c r="J16">
        <v>46</v>
      </c>
      <c r="K16" s="3">
        <v>1.1215701448761699</v>
      </c>
      <c r="L16" s="3">
        <v>2.3536862540839998</v>
      </c>
      <c r="M16" s="3">
        <v>3.469869086892269</v>
      </c>
      <c r="N16" s="3">
        <v>7.9652699131747831</v>
      </c>
      <c r="O16" s="3">
        <f t="shared" si="2"/>
        <v>1.7376281994800848</v>
      </c>
      <c r="P16" s="9">
        <f t="shared" si="3"/>
        <v>1.5192112062729541</v>
      </c>
    </row>
    <row r="17" spans="2:16" x14ac:dyDescent="0.25">
      <c r="B17" t="s">
        <v>15</v>
      </c>
      <c r="C17">
        <v>0.28797793876255717</v>
      </c>
      <c r="D17">
        <v>0.57240383353026125</v>
      </c>
      <c r="E17">
        <v>1.4848717045995821</v>
      </c>
      <c r="F17">
        <v>14.847942754919501</v>
      </c>
      <c r="G17">
        <f t="shared" si="0"/>
        <v>0.43019088614640921</v>
      </c>
      <c r="H17" s="6">
        <f t="shared" si="1"/>
        <v>0.38317798314241774</v>
      </c>
      <c r="I17" s="17"/>
      <c r="J17">
        <v>47</v>
      </c>
      <c r="K17">
        <v>1.168307382652904</v>
      </c>
      <c r="L17">
        <v>1.327714380415739</v>
      </c>
      <c r="M17">
        <v>4.6055223292626151</v>
      </c>
      <c r="N17">
        <v>15.62529186513496</v>
      </c>
      <c r="O17">
        <f t="shared" si="2"/>
        <v>1.2480108815343214</v>
      </c>
      <c r="P17" s="6">
        <f t="shared" si="3"/>
        <v>1.2429206633095171</v>
      </c>
    </row>
    <row r="18" spans="2:16" x14ac:dyDescent="0.25">
      <c r="B18" t="s">
        <v>16</v>
      </c>
      <c r="C18">
        <v>0.56179663391039814</v>
      </c>
      <c r="D18">
        <v>0.2072556999693668</v>
      </c>
      <c r="E18">
        <v>6.4627836276148098</v>
      </c>
      <c r="F18">
        <v>8.2969432314410483</v>
      </c>
      <c r="G18">
        <f t="shared" si="0"/>
        <v>0.38452616693988245</v>
      </c>
      <c r="H18" s="6">
        <f t="shared" si="1"/>
        <v>0.30280268187766118</v>
      </c>
      <c r="I18" s="17"/>
      <c r="J18">
        <v>48</v>
      </c>
      <c r="K18">
        <v>0.16979581418261461</v>
      </c>
      <c r="L18">
        <v>0.52526161276575589</v>
      </c>
      <c r="M18">
        <v>3.2820412933385268</v>
      </c>
      <c r="N18">
        <v>14.36767869949797</v>
      </c>
      <c r="O18">
        <f t="shared" si="2"/>
        <v>0.34752871347418524</v>
      </c>
      <c r="P18" s="6">
        <f t="shared" si="3"/>
        <v>0.25663267448276517</v>
      </c>
    </row>
    <row r="19" spans="2:16" x14ac:dyDescent="0.25">
      <c r="B19" t="s">
        <v>17</v>
      </c>
      <c r="C19">
        <v>0.47031034558228102</v>
      </c>
      <c r="D19">
        <v>0.66627281081790735</v>
      </c>
      <c r="E19">
        <v>17.352917100323928</v>
      </c>
      <c r="F19">
        <v>12.569060773480659</v>
      </c>
      <c r="G19">
        <f t="shared" si="0"/>
        <v>0.56829157820009413</v>
      </c>
      <c r="H19" s="6">
        <f t="shared" si="1"/>
        <v>0.5513982749846702</v>
      </c>
      <c r="I19" s="17"/>
      <c r="J19">
        <v>49</v>
      </c>
      <c r="K19">
        <v>0.51671904493258569</v>
      </c>
      <c r="L19">
        <v>0.39919030257114441</v>
      </c>
      <c r="M19">
        <v>20.358521018868231</v>
      </c>
      <c r="N19">
        <v>30.019367333763721</v>
      </c>
      <c r="O19">
        <f t="shared" si="2"/>
        <v>0.45795467375186505</v>
      </c>
      <c r="P19" s="6">
        <f t="shared" si="3"/>
        <v>0.45041407744792472</v>
      </c>
    </row>
    <row r="20" spans="2:16" x14ac:dyDescent="0.25">
      <c r="B20" t="s">
        <v>18</v>
      </c>
      <c r="C20">
        <v>1.217050403799435</v>
      </c>
      <c r="D20">
        <v>0.75362128572053744</v>
      </c>
      <c r="E20">
        <v>5.8034910923159977</v>
      </c>
      <c r="F20">
        <v>15.83087512291052</v>
      </c>
      <c r="G20">
        <f t="shared" si="0"/>
        <v>0.98533584475998626</v>
      </c>
      <c r="H20" s="6">
        <f t="shared" si="1"/>
        <v>0.93084514785052319</v>
      </c>
      <c r="I20" s="17"/>
      <c r="J20">
        <v>50</v>
      </c>
      <c r="K20">
        <v>0.75168474841361332</v>
      </c>
      <c r="L20">
        <v>1.176452483545622</v>
      </c>
      <c r="M20">
        <v>1.672612236656122</v>
      </c>
      <c r="N20">
        <v>11.943943093746681</v>
      </c>
      <c r="O20">
        <f t="shared" si="2"/>
        <v>0.96406861597961768</v>
      </c>
      <c r="P20" s="6">
        <f t="shared" si="3"/>
        <v>0.91728054876672571</v>
      </c>
    </row>
    <row r="21" spans="2:16" x14ac:dyDescent="0.25">
      <c r="B21" t="s">
        <v>19</v>
      </c>
      <c r="C21">
        <v>0.45479197216081951</v>
      </c>
      <c r="D21">
        <v>0.25543739880092781</v>
      </c>
      <c r="E21">
        <v>1.7628708920755449</v>
      </c>
      <c r="F21">
        <v>17.100371747211899</v>
      </c>
      <c r="G21">
        <f t="shared" si="0"/>
        <v>0.35511468548087366</v>
      </c>
      <c r="H21" s="6">
        <f t="shared" si="1"/>
        <v>0.32713622701069806</v>
      </c>
      <c r="I21" s="17"/>
      <c r="J21">
        <v>51</v>
      </c>
      <c r="K21">
        <v>1.1851638087589029</v>
      </c>
      <c r="L21">
        <v>1.709503290875515</v>
      </c>
      <c r="M21">
        <v>12.623225552050471</v>
      </c>
      <c r="N21">
        <v>26.386452055839499</v>
      </c>
      <c r="O21">
        <f t="shared" si="2"/>
        <v>1.4473335498172091</v>
      </c>
      <c r="P21" s="6">
        <f t="shared" si="3"/>
        <v>1.3998441696841637</v>
      </c>
    </row>
    <row r="22" spans="2:16" x14ac:dyDescent="0.25">
      <c r="B22" t="s">
        <v>20</v>
      </c>
      <c r="C22">
        <v>0.710693572038257</v>
      </c>
      <c r="D22">
        <v>0.46413723688241221</v>
      </c>
      <c r="E22">
        <v>2.765609919073428</v>
      </c>
      <c r="F22">
        <v>6.0402684563758404</v>
      </c>
      <c r="G22">
        <f t="shared" si="0"/>
        <v>0.58741540446033458</v>
      </c>
      <c r="H22" s="6">
        <f t="shared" si="1"/>
        <v>0.56154358277167382</v>
      </c>
      <c r="I22" s="17"/>
      <c r="J22">
        <v>52</v>
      </c>
      <c r="K22">
        <v>1.0914332677046941</v>
      </c>
      <c r="L22">
        <v>1.417822813580188</v>
      </c>
      <c r="M22">
        <v>25.060307283824699</v>
      </c>
      <c r="N22">
        <v>29.775632430499691</v>
      </c>
      <c r="O22">
        <f t="shared" si="2"/>
        <v>1.254628040642441</v>
      </c>
      <c r="P22" s="6">
        <f t="shared" si="3"/>
        <v>1.2334006066528695</v>
      </c>
    </row>
    <row r="23" spans="2:16" x14ac:dyDescent="0.25">
      <c r="B23" t="s">
        <v>21</v>
      </c>
      <c r="C23">
        <v>1.555010833643387</v>
      </c>
      <c r="D23">
        <v>1.4726270185112249</v>
      </c>
      <c r="E23">
        <v>1.9766822944388951</v>
      </c>
      <c r="F23">
        <v>9.3656540217220208</v>
      </c>
      <c r="G23">
        <f t="shared" si="0"/>
        <v>1.5138189260773061</v>
      </c>
      <c r="H23" s="6">
        <f t="shared" si="1"/>
        <v>1.5126980699301777</v>
      </c>
      <c r="I23" s="17"/>
      <c r="J23">
        <v>53</v>
      </c>
      <c r="K23" s="15">
        <v>0.23613628862727759</v>
      </c>
      <c r="L23" s="15">
        <v>0.41893555566077939</v>
      </c>
      <c r="M23" s="15">
        <v>73.827218288567693</v>
      </c>
      <c r="N23" s="15">
        <v>70.750988142292499</v>
      </c>
      <c r="O23" s="15">
        <f t="shared" si="2"/>
        <v>0.32753592214402849</v>
      </c>
      <c r="P23" s="16">
        <f t="shared" si="3"/>
        <v>0.30203064946336389</v>
      </c>
    </row>
    <row r="24" spans="2:16" x14ac:dyDescent="0.25">
      <c r="B24" t="s">
        <v>22</v>
      </c>
      <c r="C24">
        <v>0.64015779912893134</v>
      </c>
      <c r="D24">
        <v>1.1222703601592929</v>
      </c>
      <c r="E24">
        <v>32.641545358558503</v>
      </c>
      <c r="F24">
        <v>14.463640016070711</v>
      </c>
      <c r="G24">
        <f t="shared" si="0"/>
        <v>0.88121407964411214</v>
      </c>
      <c r="H24" s="6">
        <f t="shared" si="1"/>
        <v>0.81527308787139652</v>
      </c>
      <c r="I24" s="17"/>
      <c r="J24">
        <v>54</v>
      </c>
      <c r="K24">
        <v>0.65475379505330233</v>
      </c>
      <c r="L24">
        <v>0.90615085941569207</v>
      </c>
      <c r="M24">
        <v>1.613420374241705</v>
      </c>
      <c r="N24">
        <v>10.81042988019732</v>
      </c>
      <c r="O24">
        <f t="shared" si="2"/>
        <v>0.7804523272344972</v>
      </c>
      <c r="P24" s="6">
        <f t="shared" si="3"/>
        <v>0.76020750196952047</v>
      </c>
    </row>
    <row r="25" spans="2:16" x14ac:dyDescent="0.25">
      <c r="B25" t="s">
        <v>23</v>
      </c>
      <c r="C25" s="4">
        <v>1.787922129084502</v>
      </c>
      <c r="D25" s="4">
        <v>1.978469213601155</v>
      </c>
      <c r="E25" s="4">
        <v>2.157393603777094</v>
      </c>
      <c r="F25" s="4">
        <v>21.395021136683891</v>
      </c>
      <c r="G25" s="4">
        <f t="shared" si="0"/>
        <v>1.8831956713428286</v>
      </c>
      <c r="H25" s="10">
        <f t="shared" si="1"/>
        <v>1.8783756475967155</v>
      </c>
      <c r="I25" s="17"/>
      <c r="J25">
        <v>55</v>
      </c>
      <c r="K25">
        <v>0.61543757935998267</v>
      </c>
      <c r="L25">
        <v>0.42930536483735021</v>
      </c>
      <c r="M25">
        <v>11.802017990709951</v>
      </c>
      <c r="N25">
        <v>16.67176506576935</v>
      </c>
      <c r="O25">
        <f t="shared" si="2"/>
        <v>0.52237147209866641</v>
      </c>
      <c r="P25" s="6">
        <f t="shared" si="3"/>
        <v>0.50579074213273356</v>
      </c>
    </row>
    <row r="26" spans="2:16" x14ac:dyDescent="0.25">
      <c r="B26" t="s">
        <v>24</v>
      </c>
      <c r="C26">
        <v>0.13066468232255801</v>
      </c>
      <c r="D26">
        <v>0.1080477878429828</v>
      </c>
      <c r="E26">
        <v>9.6678779683934764</v>
      </c>
      <c r="F26">
        <v>1.754385964912281</v>
      </c>
      <c r="G26">
        <f t="shared" si="0"/>
        <v>0.11935623508277041</v>
      </c>
      <c r="H26" s="6">
        <f t="shared" si="1"/>
        <v>0.11828481238846057</v>
      </c>
      <c r="I26" s="12"/>
      <c r="J26">
        <v>56</v>
      </c>
      <c r="K26">
        <v>0.5886945862062799</v>
      </c>
      <c r="L26">
        <v>0.17891472134097261</v>
      </c>
      <c r="M26">
        <v>16.683091858498202</v>
      </c>
      <c r="N26">
        <v>15.143056524773201</v>
      </c>
      <c r="O26">
        <f t="shared" si="2"/>
        <v>0.38380465377362627</v>
      </c>
      <c r="P26" s="6">
        <f t="shared" si="3"/>
        <v>0.27442639585125689</v>
      </c>
    </row>
    <row r="27" spans="2:16" x14ac:dyDescent="0.25">
      <c r="B27" t="s">
        <v>25</v>
      </c>
      <c r="C27">
        <v>0.71473266069904351</v>
      </c>
      <c r="D27">
        <v>0.40921622686096892</v>
      </c>
      <c r="E27">
        <v>7.0908692238592721</v>
      </c>
      <c r="F27">
        <v>13.15217391304348</v>
      </c>
      <c r="G27">
        <f t="shared" si="0"/>
        <v>0.56197444378000627</v>
      </c>
      <c r="H27" s="6">
        <f t="shared" si="1"/>
        <v>0.52045107364359033</v>
      </c>
      <c r="I27" s="12"/>
      <c r="J27">
        <v>57</v>
      </c>
      <c r="K27">
        <v>0.9324255337136651</v>
      </c>
      <c r="L27">
        <v>0.54403617595530096</v>
      </c>
      <c r="M27">
        <v>6.4062764074327747</v>
      </c>
      <c r="N27">
        <v>10.63927994461112</v>
      </c>
      <c r="O27">
        <f t="shared" si="2"/>
        <v>0.73823085483448303</v>
      </c>
      <c r="P27" s="6">
        <f t="shared" si="3"/>
        <v>0.68714714157862922</v>
      </c>
    </row>
    <row r="28" spans="2:16" x14ac:dyDescent="0.25">
      <c r="B28" t="s">
        <v>26</v>
      </c>
      <c r="C28">
        <v>0.70856623842769906</v>
      </c>
      <c r="D28">
        <v>0.22414773970504581</v>
      </c>
      <c r="E28">
        <v>1.1891822258721609</v>
      </c>
      <c r="F28">
        <v>11.853448275862069</v>
      </c>
      <c r="G28">
        <f t="shared" si="0"/>
        <v>0.46635698906637246</v>
      </c>
      <c r="H28" s="6">
        <f t="shared" si="1"/>
        <v>0.34056211121191404</v>
      </c>
      <c r="I28" s="12"/>
      <c r="J28">
        <v>58</v>
      </c>
      <c r="K28">
        <v>0.27461033334037849</v>
      </c>
      <c r="L28">
        <v>0.77555755480846633</v>
      </c>
      <c r="M28">
        <v>27.232395551272049</v>
      </c>
      <c r="N28">
        <v>14.65201465201465</v>
      </c>
      <c r="O28">
        <f t="shared" si="2"/>
        <v>0.52508394407442238</v>
      </c>
      <c r="P28" s="6">
        <f t="shared" si="3"/>
        <v>0.40560394400560035</v>
      </c>
    </row>
    <row r="29" spans="2:16" x14ac:dyDescent="0.25">
      <c r="B29" t="s">
        <v>27</v>
      </c>
      <c r="C29">
        <v>0.3858232474666784</v>
      </c>
      <c r="D29">
        <v>1.985077239508118</v>
      </c>
      <c r="E29">
        <v>26.300909185601839</v>
      </c>
      <c r="F29">
        <v>8.9398549028785403</v>
      </c>
      <c r="G29">
        <f t="shared" si="0"/>
        <v>1.1854502434873981</v>
      </c>
      <c r="H29" s="6">
        <f t="shared" si="1"/>
        <v>0.64607430908790664</v>
      </c>
      <c r="I29" s="12"/>
      <c r="J29">
        <v>59</v>
      </c>
      <c r="K29" s="4">
        <v>1.487524326222571</v>
      </c>
      <c r="L29" s="4">
        <v>1.5109143425351581</v>
      </c>
      <c r="M29" s="4">
        <v>1.0643546502401939</v>
      </c>
      <c r="N29" s="4">
        <v>8.6502802932298408</v>
      </c>
      <c r="O29" s="4">
        <f t="shared" si="2"/>
        <v>1.4992193343788647</v>
      </c>
      <c r="P29" s="10">
        <f t="shared" si="3"/>
        <v>1.499128104755127</v>
      </c>
    </row>
    <row r="30" spans="2:16" x14ac:dyDescent="0.25">
      <c r="B30" t="s">
        <v>28</v>
      </c>
      <c r="C30">
        <v>1.3533562408351749</v>
      </c>
      <c r="D30">
        <v>2.0367161174565669</v>
      </c>
      <c r="E30">
        <v>8.6925096371128543</v>
      </c>
      <c r="F30">
        <v>8.0947331212442553</v>
      </c>
      <c r="G30">
        <f t="shared" si="0"/>
        <v>1.695036179145871</v>
      </c>
      <c r="H30" s="6">
        <f t="shared" si="1"/>
        <v>1.6261614367183499</v>
      </c>
      <c r="I30" s="12"/>
      <c r="J30">
        <v>60</v>
      </c>
      <c r="K30">
        <v>0.52869559421015577</v>
      </c>
      <c r="L30">
        <v>0.28661394952412522</v>
      </c>
      <c r="M30">
        <v>15.257472469847929</v>
      </c>
      <c r="N30">
        <v>14.77605692758476</v>
      </c>
      <c r="O30">
        <f t="shared" si="2"/>
        <v>0.4076547718671405</v>
      </c>
      <c r="P30" s="6">
        <f t="shared" si="3"/>
        <v>0.37171534055282168</v>
      </c>
    </row>
    <row r="31" spans="2:16" x14ac:dyDescent="0.25">
      <c r="B31" t="s">
        <v>29</v>
      </c>
      <c r="C31">
        <v>0.80299183646670025</v>
      </c>
      <c r="D31">
        <v>1.282132072994618</v>
      </c>
      <c r="E31">
        <v>14.637032959471551</v>
      </c>
      <c r="F31">
        <v>1.084897537454796</v>
      </c>
      <c r="G31">
        <f t="shared" si="0"/>
        <v>1.042561954730659</v>
      </c>
      <c r="H31" s="6">
        <f t="shared" si="1"/>
        <v>0.98751118167628016</v>
      </c>
      <c r="I31" s="12"/>
      <c r="J31">
        <v>61</v>
      </c>
      <c r="K31" s="15">
        <v>0.22600584967410589</v>
      </c>
      <c r="L31" s="15">
        <v>5.8691225910317717E-2</v>
      </c>
      <c r="M31" s="15">
        <v>27.877871495454791</v>
      </c>
      <c r="N31" s="15">
        <v>34.537246049661412</v>
      </c>
      <c r="O31" s="15">
        <f t="shared" si="2"/>
        <v>0.14234853779221179</v>
      </c>
      <c r="P31" s="16">
        <f t="shared" si="3"/>
        <v>9.3183678497904363E-2</v>
      </c>
    </row>
    <row r="32" spans="2:16" x14ac:dyDescent="0.25">
      <c r="B32" t="s">
        <v>30</v>
      </c>
      <c r="C32" s="15">
        <v>1.47312052701845</v>
      </c>
      <c r="D32" s="15">
        <v>0.32650649862150449</v>
      </c>
      <c r="E32" s="15">
        <v>9.0566613652063559</v>
      </c>
      <c r="F32" s="15">
        <v>36.964415395787952</v>
      </c>
      <c r="G32" s="15">
        <f t="shared" si="0"/>
        <v>0.89981351281997723</v>
      </c>
      <c r="H32" s="16">
        <f t="shared" si="1"/>
        <v>0.53453678842505703</v>
      </c>
      <c r="I32" s="12"/>
      <c r="J32">
        <v>62</v>
      </c>
      <c r="K32">
        <v>0.18398103001737989</v>
      </c>
      <c r="L32">
        <v>0.21248638666603531</v>
      </c>
      <c r="M32">
        <v>9.5804833561331506</v>
      </c>
      <c r="N32">
        <v>12.810945273631839</v>
      </c>
      <c r="O32">
        <f t="shared" si="2"/>
        <v>0.19823370834170762</v>
      </c>
      <c r="P32" s="6">
        <f t="shared" si="3"/>
        <v>0.19720896415911582</v>
      </c>
    </row>
    <row r="33" spans="2:16" x14ac:dyDescent="0.25">
      <c r="B33" t="s">
        <v>31</v>
      </c>
      <c r="C33">
        <v>0.20859906765008429</v>
      </c>
      <c r="D33">
        <v>1.510655988796989</v>
      </c>
      <c r="E33">
        <v>23.287164305349972</v>
      </c>
      <c r="F33">
        <v>2.9969418960244649</v>
      </c>
      <c r="G33">
        <f t="shared" si="0"/>
        <v>0.85962752822353661</v>
      </c>
      <c r="H33" s="6">
        <f t="shared" si="1"/>
        <v>0.36657903621849142</v>
      </c>
      <c r="I33" s="12"/>
      <c r="J33">
        <v>63</v>
      </c>
      <c r="K33">
        <v>0.87521887503515816</v>
      </c>
      <c r="L33">
        <v>0.74170178512240159</v>
      </c>
      <c r="M33">
        <v>7.962980362679696</v>
      </c>
      <c r="N33">
        <v>15.821398483572031</v>
      </c>
      <c r="O33">
        <f t="shared" si="2"/>
        <v>0.80846033007877982</v>
      </c>
      <c r="P33" s="6">
        <f t="shared" si="3"/>
        <v>0.80294774874500119</v>
      </c>
    </row>
    <row r="34" spans="2:16" x14ac:dyDescent="0.25">
      <c r="B34" t="s">
        <v>32</v>
      </c>
      <c r="C34">
        <v>1</v>
      </c>
      <c r="D34">
        <v>1</v>
      </c>
      <c r="E34">
        <v>3.7167046381458659</v>
      </c>
      <c r="F34">
        <v>4.8628716294076977</v>
      </c>
      <c r="G34">
        <f t="shared" si="0"/>
        <v>1</v>
      </c>
      <c r="H34" s="6">
        <f t="shared" si="1"/>
        <v>1</v>
      </c>
      <c r="I34" s="12"/>
      <c r="J34" t="s">
        <v>32</v>
      </c>
      <c r="K34">
        <v>1</v>
      </c>
      <c r="L34">
        <v>1</v>
      </c>
      <c r="M34">
        <v>5.5166556899719232</v>
      </c>
      <c r="N34">
        <v>10.877008164340269</v>
      </c>
      <c r="O34">
        <f t="shared" si="2"/>
        <v>1</v>
      </c>
      <c r="P34" s="6">
        <f t="shared" si="3"/>
        <v>1</v>
      </c>
    </row>
    <row r="35" spans="2:16" x14ac:dyDescent="0.25">
      <c r="B35" t="s">
        <v>33</v>
      </c>
      <c r="C35">
        <v>0.82749447374756524</v>
      </c>
      <c r="D35">
        <v>0.93103146470613984</v>
      </c>
      <c r="E35">
        <v>2.3391512033804891</v>
      </c>
      <c r="F35">
        <v>12.40172457519655</v>
      </c>
      <c r="G35">
        <f t="shared" si="0"/>
        <v>0.87926296922685254</v>
      </c>
      <c r="H35" s="6">
        <f t="shared" si="1"/>
        <v>0.8762149878856782</v>
      </c>
      <c r="I35" s="12"/>
      <c r="J35" t="s">
        <v>33</v>
      </c>
      <c r="K35">
        <v>0.27945931972744881</v>
      </c>
      <c r="L35">
        <v>0.36277759363606232</v>
      </c>
      <c r="M35">
        <v>12.21047670347428</v>
      </c>
      <c r="N35">
        <v>13.761467889908261</v>
      </c>
      <c r="O35">
        <f t="shared" si="2"/>
        <v>0.32111845668175554</v>
      </c>
      <c r="P35" s="6">
        <f t="shared" si="3"/>
        <v>0.31571395981878753</v>
      </c>
    </row>
    <row r="36" spans="2:16" x14ac:dyDescent="0.25">
      <c r="B36" t="s">
        <v>34</v>
      </c>
      <c r="C36">
        <v>1.2475859578472781</v>
      </c>
      <c r="D36">
        <v>2.1540413986258811</v>
      </c>
      <c r="E36">
        <v>2.6478878412001801</v>
      </c>
      <c r="F36">
        <v>17.716452496313462</v>
      </c>
      <c r="G36">
        <f t="shared" si="0"/>
        <v>1.7008136782365795</v>
      </c>
      <c r="H36" s="7">
        <f t="shared" si="1"/>
        <v>1.5800389166282065</v>
      </c>
      <c r="I36" s="12"/>
      <c r="J36" t="s">
        <v>34</v>
      </c>
      <c r="K36">
        <v>0.75192780741273046</v>
      </c>
      <c r="L36">
        <v>1.230503338226242</v>
      </c>
      <c r="M36">
        <v>1.7606887040085419</v>
      </c>
      <c r="N36">
        <v>6.1563385986229244</v>
      </c>
      <c r="O36">
        <f t="shared" si="2"/>
        <v>0.99121557281948625</v>
      </c>
      <c r="P36" s="6">
        <f t="shared" si="3"/>
        <v>0.93344949625302565</v>
      </c>
    </row>
  </sheetData>
  <mergeCells count="6">
    <mergeCell ref="C2:D2"/>
    <mergeCell ref="K2:L2"/>
    <mergeCell ref="C1:H1"/>
    <mergeCell ref="E2:F2"/>
    <mergeCell ref="K1:P1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2025-04-18T12:02:23Z</dcterms:created>
  <dcterms:modified xsi:type="dcterms:W3CDTF">2025-06-30T15:47:21Z</dcterms:modified>
</cp:coreProperties>
</file>