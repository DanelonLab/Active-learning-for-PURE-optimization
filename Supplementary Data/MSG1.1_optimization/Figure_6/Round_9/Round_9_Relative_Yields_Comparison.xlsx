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U:\Thèse\Echo - PURE\METIS\PURE Exploration - SynChro\Mass Spec Round\"/>
    </mc:Choice>
  </mc:AlternateContent>
  <xr:revisionPtr revIDLastSave="0" documentId="13_ncr:1_{B260B74D-F7D4-4086-8416-EDCE7E126AA3}" xr6:coauthVersionLast="47" xr6:coauthVersionMax="47" xr10:uidLastSave="{00000000-0000-0000-0000-000000000000}"/>
  <bookViews>
    <workbookView minimized="1" xWindow="20925" yWindow="1725" windowWidth="14400" windowHeight="10755" activeTab="1" xr2:uid="{00000000-000D-0000-FFFF-FFFF00000000}"/>
  </bookViews>
  <sheets>
    <sheet name="Yield Comparison" sheetId="1" r:id="rId1"/>
    <sheet name="Round compariso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R24" i="1"/>
  <c r="Q24" i="1"/>
  <c r="R23" i="1"/>
  <c r="Q23" i="1"/>
  <c r="R22" i="1"/>
  <c r="Q22" i="1"/>
  <c r="R21" i="1"/>
  <c r="Q21" i="1"/>
  <c r="R20" i="1"/>
  <c r="Q20" i="1"/>
  <c r="R19" i="1"/>
  <c r="Q19" i="1"/>
  <c r="R18" i="1"/>
  <c r="Q18" i="1"/>
  <c r="R17" i="1"/>
  <c r="Q17" i="1"/>
  <c r="R16" i="1"/>
  <c r="Q16" i="1"/>
  <c r="R15" i="1"/>
  <c r="Q15" i="1"/>
  <c r="R14" i="1"/>
  <c r="Q14" i="1"/>
  <c r="R13" i="1"/>
  <c r="Q13" i="1"/>
  <c r="R12" i="1"/>
  <c r="Q12" i="1"/>
  <c r="R11" i="1"/>
  <c r="Q11" i="1"/>
  <c r="R10" i="1"/>
  <c r="Q10" i="1"/>
  <c r="R9" i="1"/>
  <c r="Q9" i="1"/>
  <c r="R8" i="1"/>
  <c r="Q8" i="1"/>
  <c r="R7" i="1"/>
  <c r="Q7" i="1"/>
  <c r="R6" i="1"/>
  <c r="Q6" i="1"/>
  <c r="R5" i="1"/>
  <c r="Q5" i="1"/>
  <c r="R4" i="1"/>
  <c r="Q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4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4" i="1"/>
</calcChain>
</file>

<file path=xl/sharedStrings.xml><?xml version="1.0" encoding="utf-8"?>
<sst xmlns="http://schemas.openxmlformats.org/spreadsheetml/2006/main" count="90" uniqueCount="37">
  <si>
    <t>0.1 nM</t>
  </si>
  <si>
    <t>1 nM</t>
  </si>
  <si>
    <t>Relative Yield</t>
  </si>
  <si>
    <t>CV%</t>
  </si>
  <si>
    <t>Condition</t>
  </si>
  <si>
    <t>mVenus</t>
  </si>
  <si>
    <t>mCherry</t>
  </si>
  <si>
    <t>Mean</t>
  </si>
  <si>
    <t>Harmonic 
mean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</si>
  <si>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</si>
  <si>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</si>
  <si>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</si>
  <si>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</si>
  <si>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</si>
  <si>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</si>
  <si>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</si>
  <si>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</si>
  <si>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</si>
  <si>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</si>
  <si>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</si>
  <si>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</si>
  <si>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</si>
  <si>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</si>
  <si>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</si>
  <si>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REF</t>
  </si>
  <si>
    <t>Day</t>
  </si>
  <si>
    <t>Original</t>
  </si>
  <si>
    <t xml:space="preserve">Highest </t>
  </si>
  <si>
    <t>Balanced mVenus/mCherry</t>
  </si>
  <si>
    <t>Why ?</t>
  </si>
  <si>
    <t>Close harmonic means</t>
  </si>
  <si>
    <t>Close harmonic means + Balance mVenus/mCherry</t>
  </si>
  <si>
    <t>Very Close harmonic means</t>
  </si>
  <si>
    <t>Selected for MS</t>
  </si>
  <si>
    <t>Discarded</t>
  </si>
  <si>
    <t xml:space="preserve">Close harmonic means </t>
  </si>
  <si>
    <t>Close harmonic means and lower expression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</si>
</sst>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Fill="1"/>
    <xf numFmtId="0" fontId="0" fillId="0" borderId="0" xfId="0" applyBorder="1"/>
    <xf numFmtId="0" fontId="0" fillId="0" borderId="0" xfId="0" applyFill="1" applyBorder="1"/>
    <xf numFmtId="0" fontId="1" fillId="0" borderId="6" xfId="0" applyFont="1" applyBorder="1" applyAlignment="1">
      <alignment horizontal="center" vertical="top"/>
    </xf>
    <xf numFmtId="0" fontId="0" fillId="0" borderId="7" xfId="0" applyBorder="1"/>
    <xf numFmtId="0" fontId="0" fillId="0" borderId="6" xfId="0" applyBorder="1"/>
    <xf numFmtId="0" fontId="0" fillId="0" borderId="7" xfId="0" applyBorder="1" applyAlignment="1">
      <alignment wrapText="1"/>
    </xf>
    <xf numFmtId="0" fontId="0" fillId="2" borderId="0" xfId="0" applyFill="1"/>
    <xf numFmtId="0" fontId="0" fillId="0" borderId="8" xfId="0" applyBorder="1"/>
    <xf numFmtId="0" fontId="0" fillId="3" borderId="0" xfId="0" applyFill="1"/>
    <xf numFmtId="0" fontId="0" fillId="4" borderId="0" xfId="0" applyFill="1" applyBorder="1"/>
    <xf numFmtId="0" fontId="0" fillId="2" borderId="8" xfId="0" applyFill="1" applyBorder="1"/>
    <xf numFmtId="0" fontId="0" fillId="3" borderId="8" xfId="0" applyFill="1" applyBorder="1"/>
    <xf numFmtId="0" fontId="0" fillId="5" borderId="0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2" borderId="0" xfId="0" applyFill="1" applyBorder="1"/>
    <xf numFmtId="0" fontId="0" fillId="3" borderId="0" xfId="0" applyFill="1" applyBorder="1"/>
    <xf numFmtId="0" fontId="0" fillId="0" borderId="14" xfId="0" applyBorder="1"/>
    <xf numFmtId="0" fontId="0" fillId="2" borderId="2" xfId="0" applyFill="1" applyBorder="1"/>
    <xf numFmtId="0" fontId="0" fillId="2" borderId="3" xfId="0" applyFill="1" applyBorder="1"/>
    <xf numFmtId="0" fontId="0" fillId="0" borderId="2" xfId="0" applyFill="1" applyBorder="1"/>
    <xf numFmtId="0" fontId="0" fillId="0" borderId="3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3" xfId="0" applyBorder="1"/>
    <xf numFmtId="0" fontId="0" fillId="3" borderId="15" xfId="0" applyFill="1" applyBorder="1"/>
    <xf numFmtId="0" fontId="0" fillId="3" borderId="16" xfId="0" applyFill="1" applyBorder="1"/>
    <xf numFmtId="0" fontId="0" fillId="0" borderId="17" xfId="0" applyBorder="1"/>
    <xf numFmtId="0" fontId="0" fillId="3" borderId="9" xfId="0" applyFill="1" applyBorder="1"/>
    <xf numFmtId="0" fontId="0" fillId="0" borderId="15" xfId="0" applyBorder="1"/>
    <xf numFmtId="0" fontId="0" fillId="0" borderId="16" xfId="0" applyBorder="1"/>
    <xf numFmtId="0" fontId="0" fillId="0" borderId="10" xfId="0" applyBorder="1"/>
    <xf numFmtId="0" fontId="0" fillId="6" borderId="0" xfId="0" applyFill="1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Relative Yield mVenus - New Round vs Original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'Round comparison'!$D$2:$D$3</c:f>
              <c:strCache>
                <c:ptCount val="2"/>
                <c:pt idx="0">
                  <c:v>Relative Yield</c:v>
                </c:pt>
                <c:pt idx="1">
                  <c:v>Original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'Round comparison'!$C$4:$C$15</c:f>
              <c:numCache>
                <c:formatCode>General</c:formatCode>
                <c:ptCount val="12"/>
                <c:pt idx="0">
                  <c:v>2.1336295606769111</c:v>
                </c:pt>
                <c:pt idx="1">
                  <c:v>1.99504752485328</c:v>
                </c:pt>
                <c:pt idx="2">
                  <c:v>1.711552139163824</c:v>
                </c:pt>
                <c:pt idx="3">
                  <c:v>0.93284414611619781</c:v>
                </c:pt>
                <c:pt idx="4">
                  <c:v>0.62920724035867259</c:v>
                </c:pt>
                <c:pt idx="5">
                  <c:v>0.35032398350629418</c:v>
                </c:pt>
                <c:pt idx="6">
                  <c:v>2.0494883896819802</c:v>
                </c:pt>
                <c:pt idx="7">
                  <c:v>0.34146479815573028</c:v>
                </c:pt>
                <c:pt idx="8">
                  <c:v>1.514158551928265</c:v>
                </c:pt>
                <c:pt idx="9">
                  <c:v>1.5389165642476379</c:v>
                </c:pt>
                <c:pt idx="10">
                  <c:v>1.407806148050645</c:v>
                </c:pt>
                <c:pt idx="11">
                  <c:v>3.5014944693724681E-2</c:v>
                </c:pt>
              </c:numCache>
            </c:numRef>
          </c:xVal>
          <c:yVal>
            <c:numRef>
              <c:f>'Round comparison'!$D$4:$D$15</c:f>
              <c:numCache>
                <c:formatCode>General</c:formatCode>
                <c:ptCount val="12"/>
                <c:pt idx="0">
                  <c:v>3.8065021578487719</c:v>
                </c:pt>
                <c:pt idx="1">
                  <c:v>2.521573246355802</c:v>
                </c:pt>
                <c:pt idx="2">
                  <c:v>1.782967960006012</c:v>
                </c:pt>
                <c:pt idx="3">
                  <c:v>1.4961494322300071</c:v>
                </c:pt>
                <c:pt idx="4">
                  <c:v>1.8446635660787629</c:v>
                </c:pt>
                <c:pt idx="5">
                  <c:v>2.0320229800965821</c:v>
                </c:pt>
                <c:pt idx="6">
                  <c:v>1.614721837046615</c:v>
                </c:pt>
                <c:pt idx="7">
                  <c:v>2.736339292904888</c:v>
                </c:pt>
                <c:pt idx="8">
                  <c:v>1.689455356965629</c:v>
                </c:pt>
                <c:pt idx="9">
                  <c:v>1.860304605376957</c:v>
                </c:pt>
                <c:pt idx="10">
                  <c:v>1.815287265385521</c:v>
                </c:pt>
                <c:pt idx="11">
                  <c:v>2.0415911653378429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EA-484D-8197-14F65D8D9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8387280"/>
        <c:axId val="543683376"/>
      </c:scatterChart>
      <c:valAx>
        <c:axId val="498387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683376"/>
        <c:crosses val="autoZero"/>
        <c:crossBetween val="midCat"/>
      </c:valAx>
      <c:valAx>
        <c:axId val="54368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387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baseline="0">
                <a:effectLst/>
              </a:rPr>
              <a:t>Relative Yield mCherry - New Round vs Original</a:t>
            </a:r>
            <a:endParaRPr lang="en-GB" sz="1050">
              <a:effectLst/>
            </a:endParaRPr>
          </a:p>
        </c:rich>
      </c:tx>
      <c:layout>
        <c:manualLayout>
          <c:xMode val="edge"/>
          <c:yMode val="edge"/>
          <c:x val="0.1376095635104435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'Round comparison'!$E$4:$E$15</c:f>
              <c:numCache>
                <c:formatCode>General</c:formatCode>
                <c:ptCount val="12"/>
                <c:pt idx="0">
                  <c:v>7.9572360473544341</c:v>
                </c:pt>
                <c:pt idx="1">
                  <c:v>1.998067165982121</c:v>
                </c:pt>
                <c:pt idx="2">
                  <c:v>7.2012563421116216</c:v>
                </c:pt>
                <c:pt idx="3">
                  <c:v>2.730007248127567</c:v>
                </c:pt>
                <c:pt idx="4">
                  <c:v>1.249939598936942</c:v>
                </c:pt>
                <c:pt idx="5">
                  <c:v>0.21285334621889351</c:v>
                </c:pt>
                <c:pt idx="6">
                  <c:v>8.4010630587098341</c:v>
                </c:pt>
                <c:pt idx="7">
                  <c:v>0.27893210920512201</c:v>
                </c:pt>
                <c:pt idx="8">
                  <c:v>2.2818313602319402</c:v>
                </c:pt>
                <c:pt idx="9">
                  <c:v>3.7529596520898769</c:v>
                </c:pt>
                <c:pt idx="10">
                  <c:v>2.6548683256825321</c:v>
                </c:pt>
                <c:pt idx="11">
                  <c:v>0.18071998067165981</c:v>
                </c:pt>
              </c:numCache>
            </c:numRef>
          </c:xVal>
          <c:yVal>
            <c:numRef>
              <c:f>'Round comparison'!$F$4:$F$15</c:f>
              <c:numCache>
                <c:formatCode>General</c:formatCode>
                <c:ptCount val="12"/>
                <c:pt idx="0">
                  <c:v>6.7232876712328773</c:v>
                </c:pt>
                <c:pt idx="1">
                  <c:v>2.1944857456849181</c:v>
                </c:pt>
                <c:pt idx="2">
                  <c:v>3.0570917936752222</c:v>
                </c:pt>
                <c:pt idx="3">
                  <c:v>4.3107505333247138</c:v>
                </c:pt>
                <c:pt idx="4">
                  <c:v>2.766662356972009</c:v>
                </c:pt>
                <c:pt idx="5">
                  <c:v>2.401628357245694</c:v>
                </c:pt>
                <c:pt idx="6">
                  <c:v>3.2570123616144571</c:v>
                </c:pt>
                <c:pt idx="7">
                  <c:v>1.7712198590729851</c:v>
                </c:pt>
                <c:pt idx="8">
                  <c:v>2.8994191530556521</c:v>
                </c:pt>
                <c:pt idx="9">
                  <c:v>2.2915653080474612</c:v>
                </c:pt>
                <c:pt idx="10">
                  <c:v>2.1982326366479672</c:v>
                </c:pt>
                <c:pt idx="11">
                  <c:v>1.880018100717564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02-4D8A-B920-557FB90B6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626528"/>
        <c:axId val="832622368"/>
      </c:scatterChart>
      <c:valAx>
        <c:axId val="832626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622368"/>
        <c:crosses val="autoZero"/>
        <c:crossBetween val="midCat"/>
      </c:valAx>
      <c:valAx>
        <c:axId val="83262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626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CV% mVenus - New Round vs Original</a:t>
            </a:r>
            <a:endParaRPr lang="en-GB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'Round comparison'!$G$4:$G$15</c:f>
              <c:numCache>
                <c:formatCode>General</c:formatCode>
                <c:ptCount val="12"/>
                <c:pt idx="0">
                  <c:v>0.78629956600124784</c:v>
                </c:pt>
                <c:pt idx="1">
                  <c:v>9.5474376018124953</c:v>
                </c:pt>
                <c:pt idx="2">
                  <c:v>4.2944041037727674</c:v>
                </c:pt>
                <c:pt idx="3">
                  <c:v>4.6348494554772577</c:v>
                </c:pt>
                <c:pt idx="4">
                  <c:v>3.0260563882093061</c:v>
                </c:pt>
                <c:pt idx="5">
                  <c:v>6.087321578505458</c:v>
                </c:pt>
                <c:pt idx="6">
                  <c:v>5.7087681992752843</c:v>
                </c:pt>
                <c:pt idx="7">
                  <c:v>8.2858489353498133</c:v>
                </c:pt>
                <c:pt idx="8">
                  <c:v>8.8512278080333449</c:v>
                </c:pt>
                <c:pt idx="9">
                  <c:v>8.9557697059550279</c:v>
                </c:pt>
                <c:pt idx="10">
                  <c:v>17.4665540979348</c:v>
                </c:pt>
                <c:pt idx="11">
                  <c:v>3.4024896265560161</c:v>
                </c:pt>
              </c:numCache>
            </c:numRef>
          </c:xVal>
          <c:yVal>
            <c:numRef>
              <c:f>'Round comparison'!$H$4:$H$15</c:f>
              <c:numCache>
                <c:formatCode>General</c:formatCode>
                <c:ptCount val="12"/>
                <c:pt idx="1">
                  <c:v>7.2789662699106428</c:v>
                </c:pt>
                <c:pt idx="2">
                  <c:v>4.9699586780201033</c:v>
                </c:pt>
                <c:pt idx="3">
                  <c:v>19.375047173371581</c:v>
                </c:pt>
                <c:pt idx="4">
                  <c:v>10.29523140219564</c:v>
                </c:pt>
                <c:pt idx="5">
                  <c:v>21.32397163019612</c:v>
                </c:pt>
                <c:pt idx="6">
                  <c:v>3.565610859728507</c:v>
                </c:pt>
                <c:pt idx="7">
                  <c:v>5.8320694884875222</c:v>
                </c:pt>
                <c:pt idx="8">
                  <c:v>1.909003580473321</c:v>
                </c:pt>
                <c:pt idx="9">
                  <c:v>16.323981914069261</c:v>
                </c:pt>
                <c:pt idx="10">
                  <c:v>20.931839756977411</c:v>
                </c:pt>
                <c:pt idx="11">
                  <c:v>6.8106455629106417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53-4325-91FC-5FF081AF6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4844992"/>
        <c:axId val="834845408"/>
      </c:scatterChart>
      <c:valAx>
        <c:axId val="83484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845408"/>
        <c:crosses val="autoZero"/>
        <c:crossBetween val="midCat"/>
      </c:valAx>
      <c:valAx>
        <c:axId val="83484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844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baseline="0">
                <a:effectLst/>
              </a:rPr>
              <a:t>CV% mCherry - New Round vs Original</a:t>
            </a:r>
            <a:endParaRPr lang="en-GB" sz="105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'Round comparison'!$J$3</c:f>
              <c:strCache>
                <c:ptCount val="1"/>
                <c:pt idx="0">
                  <c:v>Original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'Round comparison'!$I$4:$I$15</c:f>
              <c:numCache>
                <c:formatCode>General</c:formatCode>
                <c:ptCount val="12"/>
                <c:pt idx="0">
                  <c:v>6.2211614956245027</c:v>
                </c:pt>
                <c:pt idx="1">
                  <c:v>19.4912559618442</c:v>
                </c:pt>
                <c:pt idx="2">
                  <c:v>7.8230350050798929</c:v>
                </c:pt>
                <c:pt idx="3">
                  <c:v>3.042596348884381</c:v>
                </c:pt>
                <c:pt idx="4">
                  <c:v>7.088331515812432</c:v>
                </c:pt>
                <c:pt idx="5">
                  <c:v>6.0773480662983426</c:v>
                </c:pt>
                <c:pt idx="6">
                  <c:v>1.231082882459029</c:v>
                </c:pt>
                <c:pt idx="7">
                  <c:v>5.7736720554272516</c:v>
                </c:pt>
                <c:pt idx="8">
                  <c:v>33.993772997452602</c:v>
                </c:pt>
                <c:pt idx="9">
                  <c:v>7.9606606049359803</c:v>
                </c:pt>
                <c:pt idx="10">
                  <c:v>29.08952574182095</c:v>
                </c:pt>
                <c:pt idx="11">
                  <c:v>11.19402985074627</c:v>
                </c:pt>
              </c:numCache>
            </c:numRef>
          </c:xVal>
          <c:yVal>
            <c:numRef>
              <c:f>'Round comparison'!$J$4:$J$15</c:f>
              <c:numCache>
                <c:formatCode>General</c:formatCode>
                <c:ptCount val="12"/>
                <c:pt idx="1">
                  <c:v>14.96528290737184</c:v>
                </c:pt>
                <c:pt idx="2">
                  <c:v>15.666980405578849</c:v>
                </c:pt>
                <c:pt idx="3">
                  <c:v>13.95862172172547</c:v>
                </c:pt>
                <c:pt idx="4">
                  <c:v>13.27041826867063</c:v>
                </c:pt>
                <c:pt idx="5">
                  <c:v>28.171995098585271</c:v>
                </c:pt>
                <c:pt idx="6">
                  <c:v>6.296590007930214</c:v>
                </c:pt>
                <c:pt idx="7">
                  <c:v>4.7049074670840616</c:v>
                </c:pt>
                <c:pt idx="8">
                  <c:v>7.9764599366229074</c:v>
                </c:pt>
                <c:pt idx="9">
                  <c:v>1.2828198057786839</c:v>
                </c:pt>
                <c:pt idx="10">
                  <c:v>14.726576965806689</c:v>
                </c:pt>
                <c:pt idx="11">
                  <c:v>12.744928038841691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36-4768-8A53-F83467FDE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612384"/>
        <c:axId val="832612800"/>
      </c:scatterChart>
      <c:valAx>
        <c:axId val="832612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612800"/>
        <c:crosses val="autoZero"/>
        <c:crossBetween val="midCat"/>
      </c:valAx>
      <c:valAx>
        <c:axId val="83261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612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Mean - New Round vs Original</a:t>
            </a:r>
            <a:endParaRPr lang="en-GB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'Round comparison'!$L$3</c:f>
              <c:strCache>
                <c:ptCount val="1"/>
                <c:pt idx="0">
                  <c:v>Original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'Round comparison'!$K$4:$K$15</c:f>
              <c:numCache>
                <c:formatCode>General</c:formatCode>
                <c:ptCount val="12"/>
                <c:pt idx="0">
                  <c:v>5.0454328040156726</c:v>
                </c:pt>
                <c:pt idx="1">
                  <c:v>1.9965573454177004</c:v>
                </c:pt>
                <c:pt idx="2">
                  <c:v>4.4564042406377231</c:v>
                </c:pt>
                <c:pt idx="3">
                  <c:v>1.8314256971218823</c:v>
                </c:pt>
                <c:pt idx="4">
                  <c:v>0.93957341964780727</c:v>
                </c:pt>
                <c:pt idx="5">
                  <c:v>0.28158866486259382</c:v>
                </c:pt>
                <c:pt idx="6">
                  <c:v>5.2252757241959067</c:v>
                </c:pt>
                <c:pt idx="7">
                  <c:v>0.31019845368042614</c:v>
                </c:pt>
                <c:pt idx="8">
                  <c:v>1.8979949560801026</c:v>
                </c:pt>
                <c:pt idx="9">
                  <c:v>2.6459381081687576</c:v>
                </c:pt>
                <c:pt idx="10">
                  <c:v>2.0313372368665883</c:v>
                </c:pt>
                <c:pt idx="11">
                  <c:v>0.10786746268269225</c:v>
                </c:pt>
              </c:numCache>
            </c:numRef>
          </c:xVal>
          <c:yVal>
            <c:numRef>
              <c:f>'Round comparison'!$L$4:$L$15</c:f>
              <c:numCache>
                <c:formatCode>General</c:formatCode>
                <c:ptCount val="12"/>
                <c:pt idx="0">
                  <c:v>5.2648949145408244</c:v>
                </c:pt>
                <c:pt idx="1">
                  <c:v>2.35802949602036</c:v>
                </c:pt>
                <c:pt idx="2">
                  <c:v>2.420029876840617</c:v>
                </c:pt>
                <c:pt idx="3">
                  <c:v>2.9034499827773605</c:v>
                </c:pt>
                <c:pt idx="4">
                  <c:v>2.3056629615253859</c:v>
                </c:pt>
                <c:pt idx="5">
                  <c:v>2.2168256686711381</c:v>
                </c:pt>
                <c:pt idx="6">
                  <c:v>2.4358670993305358</c:v>
                </c:pt>
                <c:pt idx="7">
                  <c:v>2.2537795759889363</c:v>
                </c:pt>
                <c:pt idx="8">
                  <c:v>2.2944372550106404</c:v>
                </c:pt>
                <c:pt idx="9">
                  <c:v>2.0759349567122092</c:v>
                </c:pt>
                <c:pt idx="10">
                  <c:v>2.0067599510167442</c:v>
                </c:pt>
                <c:pt idx="11">
                  <c:v>1.9608046330277036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F6-4013-8741-57C225175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6970240"/>
        <c:axId val="836961920"/>
      </c:scatterChart>
      <c:valAx>
        <c:axId val="836970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61920"/>
        <c:crosses val="autoZero"/>
        <c:crossBetween val="midCat"/>
      </c:valAx>
      <c:valAx>
        <c:axId val="83696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0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baseline="0">
                <a:effectLst/>
              </a:rPr>
              <a:t>Harmonic Mean - New Round vs Original</a:t>
            </a:r>
            <a:endParaRPr lang="en-GB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'Round comparison'!$N$3</c:f>
              <c:strCache>
                <c:ptCount val="1"/>
                <c:pt idx="0">
                  <c:v>Original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'Round comparison'!$M$4:$M$15</c:f>
              <c:numCache>
                <c:formatCode>General</c:formatCode>
                <c:ptCount val="12"/>
                <c:pt idx="0">
                  <c:v>3.3649826905645543</c:v>
                </c:pt>
                <c:pt idx="1">
                  <c:v>1.9965562036733167</c:v>
                </c:pt>
                <c:pt idx="2">
                  <c:v>2.7657557599048541</c:v>
                </c:pt>
                <c:pt idx="3">
                  <c:v>1.3905403229149453</c:v>
                </c:pt>
                <c:pt idx="4">
                  <c:v>0.83705118643835474</c:v>
                </c:pt>
                <c:pt idx="5">
                  <c:v>0.26481048939393126</c:v>
                </c:pt>
                <c:pt idx="6">
                  <c:v>3.2951143841240196</c:v>
                </c:pt>
                <c:pt idx="7">
                  <c:v>0.30704697344172865</c:v>
                </c:pt>
                <c:pt idx="8">
                  <c:v>1.8203707323274263</c:v>
                </c:pt>
                <c:pt idx="9">
                  <c:v>2.1827765947070312</c:v>
                </c:pt>
                <c:pt idx="10">
                  <c:v>1.8399406476327298</c:v>
                </c:pt>
                <c:pt idx="11">
                  <c:v>5.8663659744028616E-2</c:v>
                </c:pt>
              </c:numCache>
            </c:numRef>
          </c:xVal>
          <c:yVal>
            <c:numRef>
              <c:f>'Round comparison'!$N$4:$N$15</c:f>
              <c:numCache>
                <c:formatCode>General</c:formatCode>
                <c:ptCount val="12"/>
                <c:pt idx="0">
                  <c:v>4.8609154491772042</c:v>
                </c:pt>
                <c:pt idx="1">
                  <c:v>2.3466867378746623</c:v>
                </c:pt>
                <c:pt idx="2">
                  <c:v>2.252326209309528</c:v>
                </c:pt>
                <c:pt idx="3">
                  <c:v>2.2213322086401264</c:v>
                </c:pt>
                <c:pt idx="4">
                  <c:v>2.2134897141130443</c:v>
                </c:pt>
                <c:pt idx="5">
                  <c:v>2.2014198412364276</c:v>
                </c:pt>
                <c:pt idx="6">
                  <c:v>2.1590541558178766</c:v>
                </c:pt>
                <c:pt idx="7">
                  <c:v>2.150458078682429</c:v>
                </c:pt>
                <c:pt idx="8">
                  <c:v>2.1349196669123565</c:v>
                </c:pt>
                <c:pt idx="9">
                  <c:v>2.0535371218153955</c:v>
                </c:pt>
                <c:pt idx="10">
                  <c:v>1.9884908056093635</c:v>
                </c:pt>
                <c:pt idx="11">
                  <c:v>1.9574761709806614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7C-475F-AFC7-E22DCDA43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5662032"/>
        <c:axId val="785677424"/>
      </c:scatterChart>
      <c:valAx>
        <c:axId val="785662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677424"/>
        <c:crosses val="autoZero"/>
        <c:crossBetween val="midCat"/>
      </c:valAx>
      <c:valAx>
        <c:axId val="78567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662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Relative Yield mVenus - New Round vs Original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'Round comparison'!$D$2:$D$3</c:f>
              <c:strCache>
                <c:ptCount val="2"/>
                <c:pt idx="0">
                  <c:v>Relative Yield</c:v>
                </c:pt>
                <c:pt idx="1">
                  <c:v>Original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'Round comparison'!$C$40:$C$58</c:f>
              <c:numCache>
                <c:formatCode>General</c:formatCode>
                <c:ptCount val="19"/>
                <c:pt idx="0">
                  <c:v>1.762489707690104</c:v>
                </c:pt>
                <c:pt idx="1">
                  <c:v>1.2421525457188689</c:v>
                </c:pt>
                <c:pt idx="2">
                  <c:v>1.263117614628269</c:v>
                </c:pt>
                <c:pt idx="3">
                  <c:v>0.98304789511548674</c:v>
                </c:pt>
                <c:pt idx="4">
                  <c:v>2.0283661314020378</c:v>
                </c:pt>
                <c:pt idx="5">
                  <c:v>1.9574256423811469</c:v>
                </c:pt>
                <c:pt idx="6">
                  <c:v>1.8263553914561521</c:v>
                </c:pt>
                <c:pt idx="7">
                  <c:v>1.507793953623916</c:v>
                </c:pt>
                <c:pt idx="8">
                  <c:v>1.7653226158752351</c:v>
                </c:pt>
                <c:pt idx="9">
                  <c:v>1.688238537173141</c:v>
                </c:pt>
                <c:pt idx="10">
                  <c:v>2.0770663833942811</c:v>
                </c:pt>
                <c:pt idx="11">
                  <c:v>1.7247577816498549</c:v>
                </c:pt>
                <c:pt idx="12">
                  <c:v>1.9092855574768479</c:v>
                </c:pt>
                <c:pt idx="13">
                  <c:v>1.72012935270011</c:v>
                </c:pt>
                <c:pt idx="14">
                  <c:v>1.625601018364965</c:v>
                </c:pt>
                <c:pt idx="15">
                  <c:v>1.760315949720995</c:v>
                </c:pt>
                <c:pt idx="16">
                  <c:v>1.8173860823086181</c:v>
                </c:pt>
                <c:pt idx="17">
                  <c:v>1.5598883868459721</c:v>
                </c:pt>
                <c:pt idx="18">
                  <c:v>1.6379252472781021</c:v>
                </c:pt>
              </c:numCache>
            </c:numRef>
          </c:xVal>
          <c:yVal>
            <c:numRef>
              <c:f>'Round comparison'!$D$40:$D$58</c:f>
              <c:numCache>
                <c:formatCode>General</c:formatCode>
                <c:ptCount val="19"/>
                <c:pt idx="0">
                  <c:v>2.7937606902293202</c:v>
                </c:pt>
                <c:pt idx="1">
                  <c:v>2.6901233633542718</c:v>
                </c:pt>
                <c:pt idx="2">
                  <c:v>2.3786475171869998</c:v>
                </c:pt>
                <c:pt idx="3">
                  <c:v>3.4023760394999591</c:v>
                </c:pt>
                <c:pt idx="4">
                  <c:v>2.2207256628651169</c:v>
                </c:pt>
                <c:pt idx="5">
                  <c:v>2.330420416085206</c:v>
                </c:pt>
                <c:pt idx="6">
                  <c:v>2.1228341594084341</c:v>
                </c:pt>
                <c:pt idx="7">
                  <c:v>1.898538729287971</c:v>
                </c:pt>
                <c:pt idx="8">
                  <c:v>1.954140921075606</c:v>
                </c:pt>
                <c:pt idx="9">
                  <c:v>1.8180862326163321</c:v>
                </c:pt>
                <c:pt idx="10">
                  <c:v>2.107883875525459</c:v>
                </c:pt>
                <c:pt idx="11">
                  <c:v>1.966027460981987</c:v>
                </c:pt>
                <c:pt idx="12">
                  <c:v>2.1389329996952351</c:v>
                </c:pt>
                <c:pt idx="13">
                  <c:v>1.909030736772432</c:v>
                </c:pt>
                <c:pt idx="14">
                  <c:v>2.0134946986830919</c:v>
                </c:pt>
                <c:pt idx="15">
                  <c:v>1.7433304460805541</c:v>
                </c:pt>
                <c:pt idx="16">
                  <c:v>1.79255431202645</c:v>
                </c:pt>
                <c:pt idx="17">
                  <c:v>1.90769051858268</c:v>
                </c:pt>
                <c:pt idx="18">
                  <c:v>2.0215725903469508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0E-424C-9AD3-C8BA83625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8387280"/>
        <c:axId val="543683376"/>
      </c:scatterChart>
      <c:valAx>
        <c:axId val="498387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683376"/>
        <c:crosses val="autoZero"/>
        <c:crossBetween val="midCat"/>
      </c:valAx>
      <c:valAx>
        <c:axId val="54368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387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baseline="0">
                <a:effectLst/>
              </a:rPr>
              <a:t>Relative Yield mCherry - New Round vs Original</a:t>
            </a:r>
            <a:endParaRPr lang="en-GB" sz="1050">
              <a:effectLst/>
            </a:endParaRPr>
          </a:p>
        </c:rich>
      </c:tx>
      <c:layout>
        <c:manualLayout>
          <c:xMode val="edge"/>
          <c:yMode val="edge"/>
          <c:x val="0.1376095635104435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'Round comparison'!$E$40:$E$58</c:f>
              <c:numCache>
                <c:formatCode>General</c:formatCode>
                <c:ptCount val="19"/>
                <c:pt idx="0">
                  <c:v>2.1202370550469172</c:v>
                </c:pt>
                <c:pt idx="1">
                  <c:v>1.020571363446416</c:v>
                </c:pt>
                <c:pt idx="2">
                  <c:v>1.648292367891198</c:v>
                </c:pt>
                <c:pt idx="3">
                  <c:v>0.52820727120768907</c:v>
                </c:pt>
                <c:pt idx="4">
                  <c:v>4.2977814078942362</c:v>
                </c:pt>
                <c:pt idx="5">
                  <c:v>3.9389032405120989</c:v>
                </c:pt>
                <c:pt idx="6">
                  <c:v>3.832646354898757</c:v>
                </c:pt>
                <c:pt idx="7">
                  <c:v>3.0966740113208981</c:v>
                </c:pt>
                <c:pt idx="8">
                  <c:v>2.677563347642745</c:v>
                </c:pt>
                <c:pt idx="9">
                  <c:v>3.7960623789081791</c:v>
                </c:pt>
                <c:pt idx="10">
                  <c:v>3.045017665159746</c:v>
                </c:pt>
                <c:pt idx="11">
                  <c:v>2.8596854461877439</c:v>
                </c:pt>
                <c:pt idx="12">
                  <c:v>2.7376153933822129</c:v>
                </c:pt>
                <c:pt idx="13">
                  <c:v>2.5003798959085208</c:v>
                </c:pt>
                <c:pt idx="14">
                  <c:v>2.491024959161189</c:v>
                </c:pt>
                <c:pt idx="15">
                  <c:v>3.2272727272727271</c:v>
                </c:pt>
                <c:pt idx="16">
                  <c:v>2.941742962428294</c:v>
                </c:pt>
                <c:pt idx="17">
                  <c:v>2.5877654522660789</c:v>
                </c:pt>
                <c:pt idx="18">
                  <c:v>2.2380807658701509</c:v>
                </c:pt>
              </c:numCache>
            </c:numRef>
          </c:xVal>
          <c:yVal>
            <c:numRef>
              <c:f>'Round comparison'!$F$40:$F$58</c:f>
              <c:numCache>
                <c:formatCode>General</c:formatCode>
                <c:ptCount val="19"/>
                <c:pt idx="0">
                  <c:v>3.1983100932680761</c:v>
                </c:pt>
                <c:pt idx="1">
                  <c:v>2.9912734324499031</c:v>
                </c:pt>
                <c:pt idx="2">
                  <c:v>3.4450937248253561</c:v>
                </c:pt>
                <c:pt idx="3">
                  <c:v>1.872272120621866</c:v>
                </c:pt>
                <c:pt idx="4">
                  <c:v>4.0854443521594694</c:v>
                </c:pt>
                <c:pt idx="5">
                  <c:v>3.75</c:v>
                </c:pt>
                <c:pt idx="6">
                  <c:v>4.1380121816168334</c:v>
                </c:pt>
                <c:pt idx="7">
                  <c:v>3.5601121262458468</c:v>
                </c:pt>
                <c:pt idx="8">
                  <c:v>3.3047361100944288</c:v>
                </c:pt>
                <c:pt idx="9">
                  <c:v>3.61593300110742</c:v>
                </c:pt>
                <c:pt idx="10">
                  <c:v>2.8040688515772079</c:v>
                </c:pt>
                <c:pt idx="11">
                  <c:v>2.9263911960132889</c:v>
                </c:pt>
                <c:pt idx="12">
                  <c:v>2.4959163898117391</c:v>
                </c:pt>
                <c:pt idx="13">
                  <c:v>2.7697583278902682</c:v>
                </c:pt>
                <c:pt idx="14">
                  <c:v>2.5749930786267989</c:v>
                </c:pt>
                <c:pt idx="15">
                  <c:v>3.0983181063122922</c:v>
                </c:pt>
                <c:pt idx="16">
                  <c:v>2.943673877127599</c:v>
                </c:pt>
                <c:pt idx="17">
                  <c:v>2.657841915836102</c:v>
                </c:pt>
                <c:pt idx="18">
                  <c:v>2.447916666666667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34-493B-82D3-1B2D60D04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626528"/>
        <c:axId val="832622368"/>
      </c:scatterChart>
      <c:valAx>
        <c:axId val="832626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622368"/>
        <c:crosses val="autoZero"/>
        <c:crossBetween val="midCat"/>
      </c:valAx>
      <c:valAx>
        <c:axId val="83262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626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CV% mVenus - New Round vs Original</a:t>
            </a:r>
            <a:endParaRPr lang="en-GB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'Round comparison'!$G$40:$G$58</c:f>
              <c:numCache>
                <c:formatCode>General</c:formatCode>
                <c:ptCount val="19"/>
                <c:pt idx="0">
                  <c:v>2.3540193768002089</c:v>
                </c:pt>
                <c:pt idx="1">
                  <c:v>2.1165410810027532</c:v>
                </c:pt>
                <c:pt idx="2">
                  <c:v>10.92063351619182</c:v>
                </c:pt>
                <c:pt idx="3">
                  <c:v>4.2453353038980239</c:v>
                </c:pt>
                <c:pt idx="4">
                  <c:v>1.8931808780787129</c:v>
                </c:pt>
                <c:pt idx="5">
                  <c:v>3.920103346599237</c:v>
                </c:pt>
                <c:pt idx="6">
                  <c:v>5.6995023063850452</c:v>
                </c:pt>
                <c:pt idx="7">
                  <c:v>1.856826579333642</c:v>
                </c:pt>
                <c:pt idx="8">
                  <c:v>2.0197684860367842</c:v>
                </c:pt>
                <c:pt idx="9">
                  <c:v>2.4839386060555229</c:v>
                </c:pt>
                <c:pt idx="10">
                  <c:v>0.1574062444045955</c:v>
                </c:pt>
                <c:pt idx="11">
                  <c:v>0.54348882252725539</c:v>
                </c:pt>
                <c:pt idx="12">
                  <c:v>3.7013080562031968</c:v>
                </c:pt>
                <c:pt idx="13">
                  <c:v>2.4431661182144739</c:v>
                </c:pt>
                <c:pt idx="14">
                  <c:v>8.7806043896094449E-2</c:v>
                </c:pt>
                <c:pt idx="15">
                  <c:v>0.54335343671450254</c:v>
                </c:pt>
                <c:pt idx="16">
                  <c:v>2.8024234794240299</c:v>
                </c:pt>
                <c:pt idx="17">
                  <c:v>6.5367286074787794</c:v>
                </c:pt>
                <c:pt idx="18">
                  <c:v>1.880387335617195</c:v>
                </c:pt>
              </c:numCache>
            </c:numRef>
          </c:xVal>
          <c:yVal>
            <c:numRef>
              <c:f>'Round comparison'!$H$40:$H$58</c:f>
              <c:numCache>
                <c:formatCode>General</c:formatCode>
                <c:ptCount val="19"/>
                <c:pt idx="0">
                  <c:v>5.5408544515527627</c:v>
                </c:pt>
                <c:pt idx="1">
                  <c:v>4.4436940675072156</c:v>
                </c:pt>
                <c:pt idx="2">
                  <c:v>10.678068959047319</c:v>
                </c:pt>
                <c:pt idx="3">
                  <c:v>9.6335954217875042</c:v>
                </c:pt>
                <c:pt idx="4">
                  <c:v>4.7469124423963134</c:v>
                </c:pt>
                <c:pt idx="5">
                  <c:v>2.1615434074041038</c:v>
                </c:pt>
                <c:pt idx="6">
                  <c:v>0.20145971956807041</c:v>
                </c:pt>
                <c:pt idx="7">
                  <c:v>6.0206797260154439E-2</c:v>
                </c:pt>
                <c:pt idx="9">
                  <c:v>4.5752969727934598</c:v>
                </c:pt>
                <c:pt idx="10">
                  <c:v>3.3760993986260859</c:v>
                </c:pt>
                <c:pt idx="11">
                  <c:v>1.6083376222336589</c:v>
                </c:pt>
                <c:pt idx="12">
                  <c:v>0.26007652473224019</c:v>
                </c:pt>
                <c:pt idx="13">
                  <c:v>6.6691294131855203</c:v>
                </c:pt>
                <c:pt idx="14">
                  <c:v>11.500563715269729</c:v>
                </c:pt>
                <c:pt idx="15">
                  <c:v>0.6157020356911127</c:v>
                </c:pt>
                <c:pt idx="16">
                  <c:v>6.6834754217304564</c:v>
                </c:pt>
                <c:pt idx="17">
                  <c:v>3.065172147860169</c:v>
                </c:pt>
                <c:pt idx="18">
                  <c:v>7.7258157147427813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74-475C-AC3F-4C5EBC8C6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4844992"/>
        <c:axId val="834845408"/>
      </c:scatterChart>
      <c:valAx>
        <c:axId val="83484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845408"/>
        <c:crosses val="autoZero"/>
        <c:crossBetween val="midCat"/>
      </c:valAx>
      <c:valAx>
        <c:axId val="83484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844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baseline="0">
                <a:effectLst/>
              </a:rPr>
              <a:t>CV% mCherry - New Round vs Original</a:t>
            </a:r>
            <a:endParaRPr lang="en-GB" sz="105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'Round comparison'!$J$3</c:f>
              <c:strCache>
                <c:ptCount val="1"/>
                <c:pt idx="0">
                  <c:v>Original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'Round comparison'!$I$40:$I$58</c:f>
              <c:numCache>
                <c:formatCode>General</c:formatCode>
                <c:ptCount val="19"/>
                <c:pt idx="0">
                  <c:v>1.095077269470883</c:v>
                </c:pt>
                <c:pt idx="1">
                  <c:v>1.602367830169422</c:v>
                </c:pt>
                <c:pt idx="2">
                  <c:v>20.633343682086309</c:v>
                </c:pt>
                <c:pt idx="3">
                  <c:v>8.9475758770201033</c:v>
                </c:pt>
                <c:pt idx="4">
                  <c:v>3.6677180388886881</c:v>
                </c:pt>
                <c:pt idx="5">
                  <c:v>0.27191079128786838</c:v>
                </c:pt>
                <c:pt idx="6">
                  <c:v>5.7438253877082138E-2</c:v>
                </c:pt>
                <c:pt idx="7">
                  <c:v>0.98610714465704641</c:v>
                </c:pt>
                <c:pt idx="8">
                  <c:v>0.47389637203814772</c:v>
                </c:pt>
                <c:pt idx="9">
                  <c:v>1.828705298697719</c:v>
                </c:pt>
                <c:pt idx="10">
                  <c:v>0.3097337643653843</c:v>
                </c:pt>
                <c:pt idx="11">
                  <c:v>4.1594295639455154</c:v>
                </c:pt>
                <c:pt idx="12">
                  <c:v>6.5905314821534304</c:v>
                </c:pt>
                <c:pt idx="13">
                  <c:v>2.431172523360579</c:v>
                </c:pt>
                <c:pt idx="14">
                  <c:v>0.98093572738516643</c:v>
                </c:pt>
                <c:pt idx="15">
                  <c:v>1.6871623189366569</c:v>
                </c:pt>
                <c:pt idx="16">
                  <c:v>1.9073968887993109</c:v>
                </c:pt>
                <c:pt idx="17">
                  <c:v>7.7719791248494579</c:v>
                </c:pt>
                <c:pt idx="18">
                  <c:v>1.572970304013543</c:v>
                </c:pt>
              </c:numCache>
            </c:numRef>
          </c:xVal>
          <c:yVal>
            <c:numRef>
              <c:f>'Round comparison'!$J$40:$J$58</c:f>
              <c:numCache>
                <c:formatCode>General</c:formatCode>
                <c:ptCount val="19"/>
                <c:pt idx="0">
                  <c:v>4.2372881355932197</c:v>
                </c:pt>
                <c:pt idx="1">
                  <c:v>6.9002920317062992</c:v>
                </c:pt>
                <c:pt idx="2">
                  <c:v>7.0036126909181959</c:v>
                </c:pt>
                <c:pt idx="3">
                  <c:v>16.754895911142871</c:v>
                </c:pt>
                <c:pt idx="4">
                  <c:v>3.2340464352506499</c:v>
                </c:pt>
                <c:pt idx="5">
                  <c:v>1.636363636363636</c:v>
                </c:pt>
                <c:pt idx="6">
                  <c:v>1.632298477435874</c:v>
                </c:pt>
                <c:pt idx="7">
                  <c:v>2.0156184043900378</c:v>
                </c:pt>
                <c:pt idx="9">
                  <c:v>2.1956301084459642</c:v>
                </c:pt>
                <c:pt idx="10">
                  <c:v>1.2462686567164181</c:v>
                </c:pt>
                <c:pt idx="11">
                  <c:v>5.3037486566786773</c:v>
                </c:pt>
                <c:pt idx="12">
                  <c:v>7.7454736683945606</c:v>
                </c:pt>
                <c:pt idx="13">
                  <c:v>1.883428925747946</c:v>
                </c:pt>
                <c:pt idx="14">
                  <c:v>3.3628837277456221</c:v>
                </c:pt>
                <c:pt idx="15">
                  <c:v>2.519780888618381</c:v>
                </c:pt>
                <c:pt idx="16">
                  <c:v>5.8612352553300608</c:v>
                </c:pt>
                <c:pt idx="17">
                  <c:v>8.2675765977109545</c:v>
                </c:pt>
                <c:pt idx="18">
                  <c:v>2.9650847720058842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53-4E9D-BD6A-D5FE713E2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612384"/>
        <c:axId val="832612800"/>
      </c:scatterChart>
      <c:valAx>
        <c:axId val="832612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612800"/>
        <c:crosses val="autoZero"/>
        <c:crossBetween val="midCat"/>
      </c:valAx>
      <c:valAx>
        <c:axId val="83261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612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Mean - New Round vs Original</a:t>
            </a:r>
            <a:endParaRPr lang="en-GB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'Round comparison'!$L$3</c:f>
              <c:strCache>
                <c:ptCount val="1"/>
                <c:pt idx="0">
                  <c:v>Original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'Round comparison'!$K$40:$K$58</c:f>
              <c:numCache>
                <c:formatCode>General</c:formatCode>
                <c:ptCount val="19"/>
                <c:pt idx="0">
                  <c:v>1.9413633813685105</c:v>
                </c:pt>
                <c:pt idx="1">
                  <c:v>1.1313619545826423</c:v>
                </c:pt>
                <c:pt idx="2">
                  <c:v>1.4557049912597335</c:v>
                </c:pt>
                <c:pt idx="3">
                  <c:v>0.75562758316158796</c:v>
                </c:pt>
                <c:pt idx="4">
                  <c:v>3.163073769648137</c:v>
                </c:pt>
                <c:pt idx="5">
                  <c:v>2.948164441446623</c:v>
                </c:pt>
                <c:pt idx="6">
                  <c:v>2.8295008731774547</c:v>
                </c:pt>
                <c:pt idx="7">
                  <c:v>2.3022339824724072</c:v>
                </c:pt>
                <c:pt idx="8">
                  <c:v>2.2214429817589902</c:v>
                </c:pt>
                <c:pt idx="9">
                  <c:v>2.7421504580406602</c:v>
                </c:pt>
                <c:pt idx="10">
                  <c:v>2.5610420242770138</c:v>
                </c:pt>
                <c:pt idx="11">
                  <c:v>2.2922216139187994</c:v>
                </c:pt>
                <c:pt idx="12">
                  <c:v>2.3234504754295306</c:v>
                </c:pt>
                <c:pt idx="13">
                  <c:v>2.1102546243043152</c:v>
                </c:pt>
                <c:pt idx="14">
                  <c:v>2.0583129887630771</c:v>
                </c:pt>
                <c:pt idx="15">
                  <c:v>2.4937943384968611</c:v>
                </c:pt>
                <c:pt idx="16">
                  <c:v>2.3795645223684563</c:v>
                </c:pt>
                <c:pt idx="17">
                  <c:v>2.0738269195560255</c:v>
                </c:pt>
                <c:pt idx="18">
                  <c:v>1.9380030065741265</c:v>
                </c:pt>
              </c:numCache>
            </c:numRef>
          </c:xVal>
          <c:yVal>
            <c:numRef>
              <c:f>'Round comparison'!$L$40:$L$58</c:f>
              <c:numCache>
                <c:formatCode>General</c:formatCode>
                <c:ptCount val="19"/>
                <c:pt idx="0">
                  <c:v>2.9960353917486984</c:v>
                </c:pt>
                <c:pt idx="1">
                  <c:v>2.8406983979020874</c:v>
                </c:pt>
                <c:pt idx="2">
                  <c:v>2.911870621006178</c:v>
                </c:pt>
                <c:pt idx="3">
                  <c:v>2.6373240800609126</c:v>
                </c:pt>
                <c:pt idx="4">
                  <c:v>3.1530850075122929</c:v>
                </c:pt>
                <c:pt idx="5">
                  <c:v>3.0402102080426028</c:v>
                </c:pt>
                <c:pt idx="6">
                  <c:v>3.1304231705126337</c:v>
                </c:pt>
                <c:pt idx="7">
                  <c:v>2.7293254277669088</c:v>
                </c:pt>
                <c:pt idx="8">
                  <c:v>2.6294385155850173</c:v>
                </c:pt>
                <c:pt idx="9">
                  <c:v>2.7170096168618763</c:v>
                </c:pt>
                <c:pt idx="10">
                  <c:v>2.4559763635513336</c:v>
                </c:pt>
                <c:pt idx="11">
                  <c:v>2.4462093284976381</c:v>
                </c:pt>
                <c:pt idx="12">
                  <c:v>2.3174246947534871</c:v>
                </c:pt>
                <c:pt idx="13">
                  <c:v>2.3393945323313501</c:v>
                </c:pt>
                <c:pt idx="14">
                  <c:v>2.2942438886549454</c:v>
                </c:pt>
                <c:pt idx="15">
                  <c:v>2.4208242761964232</c:v>
                </c:pt>
                <c:pt idx="16">
                  <c:v>2.3681140945770247</c:v>
                </c:pt>
                <c:pt idx="17">
                  <c:v>2.282766217209391</c:v>
                </c:pt>
                <c:pt idx="18">
                  <c:v>2.2347446285068089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F4-4B4C-9C76-1078E1289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6970240"/>
        <c:axId val="836961920"/>
      </c:scatterChart>
      <c:valAx>
        <c:axId val="836970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61920"/>
        <c:crosses val="autoZero"/>
        <c:crossBetween val="midCat"/>
      </c:valAx>
      <c:valAx>
        <c:axId val="83696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970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baseline="0">
                <a:effectLst/>
              </a:rPr>
              <a:t>Harmonic Mean - New Round vs Original</a:t>
            </a:r>
            <a:endParaRPr lang="en-GB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'Round comparison'!$N$3</c:f>
              <c:strCache>
                <c:ptCount val="1"/>
                <c:pt idx="0">
                  <c:v>Original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'Round comparison'!$M$40:$M$58</c:f>
              <c:numCache>
                <c:formatCode>General</c:formatCode>
                <c:ptCount val="19"/>
                <c:pt idx="0">
                  <c:v>1.924882288007898</c:v>
                </c:pt>
                <c:pt idx="1">
                  <c:v>1.1205125928601665</c:v>
                </c:pt>
                <c:pt idx="2">
                  <c:v>1.4302259980155785</c:v>
                </c:pt>
                <c:pt idx="3">
                  <c:v>0.68718116929086959</c:v>
                </c:pt>
                <c:pt idx="4">
                  <c:v>2.7560135750206594</c:v>
                </c:pt>
                <c:pt idx="5">
                  <c:v>2.6152239330494518</c:v>
                </c:pt>
                <c:pt idx="6">
                  <c:v>2.4738548060434256</c:v>
                </c:pt>
                <c:pt idx="7">
                  <c:v>2.0280937498801466</c:v>
                </c:pt>
                <c:pt idx="8">
                  <c:v>2.1277895367314725</c:v>
                </c:pt>
                <c:pt idx="9">
                  <c:v>2.3370923279553</c:v>
                </c:pt>
                <c:pt idx="10">
                  <c:v>2.4695822127052076</c:v>
                </c:pt>
                <c:pt idx="11">
                  <c:v>2.1517399087564275</c:v>
                </c:pt>
                <c:pt idx="12">
                  <c:v>2.2496238193089426</c:v>
                </c:pt>
                <c:pt idx="13">
                  <c:v>2.0381317033111062</c:v>
                </c:pt>
                <c:pt idx="14">
                  <c:v>1.9673454583884393</c:v>
                </c:pt>
                <c:pt idx="15">
                  <c:v>2.278062616559632</c:v>
                </c:pt>
                <c:pt idx="16">
                  <c:v>2.246748372397644</c:v>
                </c:pt>
                <c:pt idx="17">
                  <c:v>1.9464619919849679</c:v>
                </c:pt>
                <c:pt idx="18">
                  <c:v>1.8915393729684693</c:v>
                </c:pt>
              </c:numCache>
            </c:numRef>
          </c:xVal>
          <c:yVal>
            <c:numRef>
              <c:f>'Round comparison'!$N$40:$N$58</c:f>
              <c:numCache>
                <c:formatCode>General</c:formatCode>
                <c:ptCount val="19"/>
                <c:pt idx="0">
                  <c:v>2.9823789926996631</c:v>
                </c:pt>
                <c:pt idx="1">
                  <c:v>2.8327169659254232</c:v>
                </c:pt>
                <c:pt idx="2">
                  <c:v>2.8142265579782983</c:v>
                </c:pt>
                <c:pt idx="3">
                  <c:v>2.4153928790126113</c:v>
                </c:pt>
                <c:pt idx="4">
                  <c:v>2.8773886829667128</c:v>
                </c:pt>
                <c:pt idx="5">
                  <c:v>2.874497472971139</c:v>
                </c:pt>
                <c:pt idx="6">
                  <c:v>2.8061105903921368</c:v>
                </c:pt>
                <c:pt idx="7">
                  <c:v>2.4764400329555438</c:v>
                </c:pt>
                <c:pt idx="8">
                  <c:v>2.4560072531891608</c:v>
                </c:pt>
                <c:pt idx="9">
                  <c:v>2.4196005662171571</c:v>
                </c:pt>
                <c:pt idx="10">
                  <c:v>2.4066402290435751</c:v>
                </c:pt>
                <c:pt idx="11">
                  <c:v>2.3519513992171426</c:v>
                </c:pt>
                <c:pt idx="12">
                  <c:v>2.3036769836512039</c:v>
                </c:pt>
                <c:pt idx="13">
                  <c:v>2.2602231937785056</c:v>
                </c:pt>
                <c:pt idx="14">
                  <c:v>2.2598882963573619</c:v>
                </c:pt>
                <c:pt idx="15">
                  <c:v>2.2312203076811028</c:v>
                </c:pt>
                <c:pt idx="16">
                  <c:v>2.2282268044974334</c:v>
                </c:pt>
                <c:pt idx="17">
                  <c:v>2.2211384523337152</c:v>
                </c:pt>
                <c:pt idx="18">
                  <c:v>2.2144101718205471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D3-4F1E-A449-0326C126D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5662032"/>
        <c:axId val="785677424"/>
      </c:scatterChart>
      <c:valAx>
        <c:axId val="785662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677424"/>
        <c:crosses val="autoZero"/>
        <c:crossBetween val="midCat"/>
      </c:valAx>
      <c:valAx>
        <c:axId val="78567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662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15</xdr:row>
      <xdr:rowOff>176211</xdr:rowOff>
    </xdr:from>
    <xdr:to>
      <xdr:col>5</xdr:col>
      <xdr:colOff>171450</xdr:colOff>
      <xdr:row>32</xdr:row>
      <xdr:rowOff>142874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327AD48-4D5D-42D5-8558-50CADB5D0F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457200</xdr:colOff>
      <xdr:row>16</xdr:row>
      <xdr:rowOff>4762</xdr:rowOff>
    </xdr:from>
    <xdr:to>
      <xdr:col>10</xdr:col>
      <xdr:colOff>47625</xdr:colOff>
      <xdr:row>32</xdr:row>
      <xdr:rowOff>76200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6268AD0-F7CA-4748-95B8-DF47741101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85725</xdr:colOff>
      <xdr:row>16</xdr:row>
      <xdr:rowOff>9525</xdr:rowOff>
    </xdr:from>
    <xdr:to>
      <xdr:col>15</xdr:col>
      <xdr:colOff>47625</xdr:colOff>
      <xdr:row>32</xdr:row>
      <xdr:rowOff>42862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2A94748D-C2FD-46A3-A97F-2FD76BA8F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133350</xdr:colOff>
      <xdr:row>15</xdr:row>
      <xdr:rowOff>161924</xdr:rowOff>
    </xdr:from>
    <xdr:to>
      <xdr:col>19</xdr:col>
      <xdr:colOff>409575</xdr:colOff>
      <xdr:row>31</xdr:row>
      <xdr:rowOff>176211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BF438C4A-749E-45A2-AD9E-8EB4B6F74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600075</xdr:colOff>
      <xdr:row>15</xdr:row>
      <xdr:rowOff>123825</xdr:rowOff>
    </xdr:from>
    <xdr:to>
      <xdr:col>24</xdr:col>
      <xdr:colOff>457200</xdr:colOff>
      <xdr:row>31</xdr:row>
      <xdr:rowOff>166687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8A8C8B20-A1F0-406E-90BC-9A797E0D98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657225</xdr:colOff>
      <xdr:row>15</xdr:row>
      <xdr:rowOff>0</xdr:rowOff>
    </xdr:from>
    <xdr:to>
      <xdr:col>29</xdr:col>
      <xdr:colOff>428625</xdr:colOff>
      <xdr:row>31</xdr:row>
      <xdr:rowOff>142874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F716AADB-575A-4B90-AF28-B00200D005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64</xdr:row>
      <xdr:rowOff>171566</xdr:rowOff>
    </xdr:from>
    <xdr:to>
      <xdr:col>4</xdr:col>
      <xdr:colOff>585672</xdr:colOff>
      <xdr:row>81</xdr:row>
      <xdr:rowOff>138229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E9D7A68A-BC83-4831-9A69-2D5A05F2D7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104775</xdr:colOff>
      <xdr:row>65</xdr:row>
      <xdr:rowOff>118</xdr:rowOff>
    </xdr:from>
    <xdr:to>
      <xdr:col>9</xdr:col>
      <xdr:colOff>461846</xdr:colOff>
      <xdr:row>81</xdr:row>
      <xdr:rowOff>71555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BB554A41-2BD1-48A8-AF9B-5C904C397B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499946</xdr:colOff>
      <xdr:row>65</xdr:row>
      <xdr:rowOff>4881</xdr:rowOff>
    </xdr:from>
    <xdr:to>
      <xdr:col>14</xdr:col>
      <xdr:colOff>461846</xdr:colOff>
      <xdr:row>81</xdr:row>
      <xdr:rowOff>38217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7D7FD0EC-5364-4B1A-B761-11A166C8B8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547571</xdr:colOff>
      <xdr:row>64</xdr:row>
      <xdr:rowOff>157279</xdr:rowOff>
    </xdr:from>
    <xdr:to>
      <xdr:col>19</xdr:col>
      <xdr:colOff>57150</xdr:colOff>
      <xdr:row>80</xdr:row>
      <xdr:rowOff>171566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73F995AF-4F05-45CE-B6E8-4560192106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247650</xdr:colOff>
      <xdr:row>64</xdr:row>
      <xdr:rowOff>119180</xdr:rowOff>
    </xdr:from>
    <xdr:to>
      <xdr:col>24</xdr:col>
      <xdr:colOff>104775</xdr:colOff>
      <xdr:row>80</xdr:row>
      <xdr:rowOff>162042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9348F498-73F0-4D68-8285-869E96205E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304800</xdr:colOff>
      <xdr:row>64</xdr:row>
      <xdr:rowOff>0</xdr:rowOff>
    </xdr:from>
    <xdr:to>
      <xdr:col>29</xdr:col>
      <xdr:colOff>76200</xdr:colOff>
      <xdr:row>80</xdr:row>
      <xdr:rowOff>138229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BCB0F936-822D-4C3B-A07B-B3CEF298D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25</xdr:col>
      <xdr:colOff>143527</xdr:colOff>
      <xdr:row>20</xdr:row>
      <xdr:rowOff>169623</xdr:rowOff>
    </xdr:from>
    <xdr:to>
      <xdr:col>29</xdr:col>
      <xdr:colOff>443630</xdr:colOff>
      <xdr:row>30</xdr:row>
      <xdr:rowOff>65240</xdr:rowOff>
    </xdr:to>
    <xdr:cxnSp macro="">
      <xdr:nvCxnSpPr>
        <xdr:cNvPr id="15" name="Connecteur droit 14">
          <a:extLst>
            <a:ext uri="{FF2B5EF4-FFF2-40B4-BE49-F238E27FC236}">
              <a16:creationId xmlns:a16="http://schemas.microsoft.com/office/drawing/2014/main" id="{BD70B226-C8CB-46EF-AA49-C92884C32659}"/>
            </a:ext>
          </a:extLst>
        </xdr:cNvPr>
        <xdr:cNvCxnSpPr/>
      </xdr:nvCxnSpPr>
      <xdr:spPr>
        <a:xfrm flipV="1">
          <a:off x="19063048" y="4084007"/>
          <a:ext cx="3327226" cy="185280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zoomScale="84" zoomScaleNormal="84" workbookViewId="0">
      <selection activeCell="I36" sqref="I36"/>
    </sheetView>
  </sheetViews>
  <sheetFormatPr baseColWidth="10" defaultColWidth="9.140625" defaultRowHeight="15" x14ac:dyDescent="0.25"/>
  <cols>
    <col min="7" max="8" width="12.42578125" bestFit="1" customWidth="1"/>
    <col min="17" max="18" width="12.42578125" bestFit="1" customWidth="1"/>
  </cols>
  <sheetData>
    <row r="1" spans="1:18" x14ac:dyDescent="0.25">
      <c r="C1" s="39" t="s">
        <v>0</v>
      </c>
      <c r="D1" s="39"/>
      <c r="E1" s="39"/>
      <c r="F1" s="39"/>
      <c r="G1" s="39"/>
      <c r="H1" s="39"/>
      <c r="M1" s="39" t="s">
        <v>1</v>
      </c>
      <c r="N1" s="39"/>
      <c r="O1" s="39"/>
      <c r="P1" s="39"/>
      <c r="Q1" s="39"/>
      <c r="R1" s="39"/>
    </row>
    <row r="2" spans="1:18" x14ac:dyDescent="0.25">
      <c r="C2" s="40" t="s">
        <v>2</v>
      </c>
      <c r="D2" s="41"/>
      <c r="E2" s="42" t="s">
        <v>3</v>
      </c>
      <c r="F2" s="43"/>
      <c r="G2" s="1"/>
      <c r="H2" s="1"/>
      <c r="M2" s="40" t="s">
        <v>2</v>
      </c>
      <c r="N2" s="41"/>
      <c r="O2" s="42" t="s">
        <v>3</v>
      </c>
      <c r="P2" s="43"/>
      <c r="Q2" s="1"/>
      <c r="R2" s="1"/>
    </row>
    <row r="3" spans="1:18" ht="45" x14ac:dyDescent="0.25">
      <c r="A3" t="s">
        <v>25</v>
      </c>
      <c r="B3" s="6" t="s">
        <v>4</v>
      </c>
      <c r="C3" s="7" t="s">
        <v>5</v>
      </c>
      <c r="D3" s="7" t="s">
        <v>6</v>
      </c>
      <c r="E3" s="7" t="s">
        <v>5</v>
      </c>
      <c r="F3" s="7" t="s">
        <v>6</v>
      </c>
      <c r="G3" s="8" t="s">
        <v>7</v>
      </c>
      <c r="H3" s="9" t="s">
        <v>8</v>
      </c>
      <c r="I3" s="2"/>
      <c r="J3" s="2"/>
      <c r="K3" t="s">
        <v>25</v>
      </c>
      <c r="M3" s="7" t="s">
        <v>5</v>
      </c>
      <c r="N3" s="7" t="s">
        <v>6</v>
      </c>
      <c r="O3" s="7" t="s">
        <v>5</v>
      </c>
      <c r="P3" s="7" t="s">
        <v>6</v>
      </c>
      <c r="Q3" s="8" t="s">
        <v>7</v>
      </c>
      <c r="R3" s="9" t="s">
        <v>8</v>
      </c>
    </row>
    <row r="4" spans="1:18" x14ac:dyDescent="0.25">
      <c r="A4">
        <v>2</v>
      </c>
      <c r="B4" s="5" t="s">
        <v>9</v>
      </c>
      <c r="C4">
        <v>2.1336295606769111</v>
      </c>
      <c r="D4">
        <v>7.9572360473544341</v>
      </c>
      <c r="E4">
        <v>0.78629956600124784</v>
      </c>
      <c r="F4">
        <v>6.2211614956245027</v>
      </c>
      <c r="G4" s="4">
        <f>AVERAGE(C4:D4)</f>
        <v>5.0454328040156726</v>
      </c>
      <c r="H4" s="4">
        <f>HARMEAN(C4:D4)</f>
        <v>3.3649826905645543</v>
      </c>
      <c r="K4">
        <v>5</v>
      </c>
      <c r="L4" s="5">
        <v>17</v>
      </c>
      <c r="M4">
        <v>1.762489707690104</v>
      </c>
      <c r="N4">
        <v>2.1202370550469172</v>
      </c>
      <c r="O4">
        <v>2.3540193768002089</v>
      </c>
      <c r="P4">
        <v>1.095077269470883</v>
      </c>
      <c r="Q4" s="5">
        <f>AVERAGE(M4:N4)</f>
        <v>1.9413633813685105</v>
      </c>
      <c r="R4" s="5">
        <f>HARMEAN(M4:N4)</f>
        <v>1.924882288007898</v>
      </c>
    </row>
    <row r="5" spans="1:18" x14ac:dyDescent="0.25">
      <c r="A5">
        <v>5</v>
      </c>
      <c r="B5" s="13" t="s">
        <v>10</v>
      </c>
      <c r="C5">
        <v>2.1945413688030428</v>
      </c>
      <c r="D5">
        <v>7.4550616090843196</v>
      </c>
      <c r="E5">
        <v>66.569464065798002</v>
      </c>
      <c r="F5">
        <v>55.345747005857163</v>
      </c>
      <c r="G5" s="4">
        <f>AVERAGE(C5:D5)</f>
        <v>4.824801488943681</v>
      </c>
      <c r="H5" s="4">
        <f t="shared" ref="H5:H18" si="0">HARMEAN(C5:D5)</f>
        <v>3.3909045057297873</v>
      </c>
      <c r="K5">
        <v>5</v>
      </c>
      <c r="L5" s="5">
        <v>18</v>
      </c>
      <c r="M5">
        <v>1.2421525457188689</v>
      </c>
      <c r="N5">
        <v>1.020571363446416</v>
      </c>
      <c r="O5">
        <v>2.1165410810027532</v>
      </c>
      <c r="P5">
        <v>1.602367830169422</v>
      </c>
      <c r="Q5" s="5">
        <f t="shared" ref="Q5:Q23" si="1">AVERAGE(M5:N5)</f>
        <v>1.1313619545826423</v>
      </c>
      <c r="R5" s="5">
        <f t="shared" ref="R5:R23" si="2">HARMEAN(M5:N5)</f>
        <v>1.1205125928601665</v>
      </c>
    </row>
    <row r="6" spans="1:18" x14ac:dyDescent="0.25">
      <c r="A6">
        <v>3</v>
      </c>
      <c r="B6" s="5" t="s">
        <v>11</v>
      </c>
      <c r="C6">
        <v>1.99504752485328</v>
      </c>
      <c r="D6">
        <v>1.998067165982121</v>
      </c>
      <c r="E6">
        <v>9.5474376018124953</v>
      </c>
      <c r="F6">
        <v>19.4912559618442</v>
      </c>
      <c r="G6" s="4">
        <f t="shared" ref="G6:G18" si="3">AVERAGE(C6:D6)</f>
        <v>1.9965573454177004</v>
      </c>
      <c r="H6" s="4">
        <f t="shared" si="0"/>
        <v>1.9965562036733167</v>
      </c>
      <c r="K6">
        <v>3</v>
      </c>
      <c r="L6" s="5">
        <v>19</v>
      </c>
      <c r="M6">
        <v>1.263117614628269</v>
      </c>
      <c r="N6">
        <v>1.648292367891198</v>
      </c>
      <c r="O6">
        <v>10.92063351619182</v>
      </c>
      <c r="P6">
        <v>20.633343682086309</v>
      </c>
      <c r="Q6" s="5">
        <f t="shared" si="1"/>
        <v>1.4557049912597335</v>
      </c>
      <c r="R6" s="5">
        <f t="shared" si="2"/>
        <v>1.4302259980155785</v>
      </c>
    </row>
    <row r="7" spans="1:18" x14ac:dyDescent="0.25">
      <c r="A7">
        <v>5</v>
      </c>
      <c r="B7" s="5" t="s">
        <v>12</v>
      </c>
      <c r="C7">
        <v>0.38058571563629479</v>
      </c>
      <c r="D7">
        <v>0.28750906015945882</v>
      </c>
      <c r="E7">
        <v>68.111697325924297</v>
      </c>
      <c r="F7">
        <v>37.995337995337998</v>
      </c>
      <c r="G7" s="4">
        <f t="shared" si="3"/>
        <v>0.3340473878978768</v>
      </c>
      <c r="H7" s="4">
        <f t="shared" si="0"/>
        <v>0.32756382889650981</v>
      </c>
      <c r="K7">
        <v>5</v>
      </c>
      <c r="L7" s="16">
        <v>20</v>
      </c>
      <c r="M7">
        <v>0.85194778335855836</v>
      </c>
      <c r="N7">
        <v>0.88177639326824442</v>
      </c>
      <c r="O7">
        <v>78.743834610137469</v>
      </c>
      <c r="P7">
        <v>85.089546022490623</v>
      </c>
      <c r="Q7" s="5">
        <f t="shared" si="1"/>
        <v>0.86686208831340139</v>
      </c>
      <c r="R7" s="5">
        <f t="shared" si="2"/>
        <v>0.86660548868205889</v>
      </c>
    </row>
    <row r="8" spans="1:18" x14ac:dyDescent="0.25">
      <c r="A8">
        <v>3</v>
      </c>
      <c r="B8" s="5" t="s">
        <v>13</v>
      </c>
      <c r="C8">
        <v>1.711552139163824</v>
      </c>
      <c r="D8">
        <v>7.2012563421116216</v>
      </c>
      <c r="E8">
        <v>4.2944041037727674</v>
      </c>
      <c r="F8">
        <v>7.8230350050798929</v>
      </c>
      <c r="G8" s="4">
        <f t="shared" si="3"/>
        <v>4.4564042406377231</v>
      </c>
      <c r="H8" s="4">
        <f t="shared" si="0"/>
        <v>2.7657557599048541</v>
      </c>
      <c r="K8">
        <v>3</v>
      </c>
      <c r="L8" s="5">
        <v>21</v>
      </c>
      <c r="M8">
        <v>0.98304789511548674</v>
      </c>
      <c r="N8">
        <v>0.52820727120768907</v>
      </c>
      <c r="O8">
        <v>4.2453353038980239</v>
      </c>
      <c r="P8">
        <v>8.9475758770201033</v>
      </c>
      <c r="Q8" s="5">
        <f t="shared" si="1"/>
        <v>0.75562758316158796</v>
      </c>
      <c r="R8" s="5">
        <f t="shared" si="2"/>
        <v>0.68718116929086959</v>
      </c>
    </row>
    <row r="9" spans="1:18" x14ac:dyDescent="0.25">
      <c r="A9">
        <v>2</v>
      </c>
      <c r="B9" s="5" t="s">
        <v>14</v>
      </c>
      <c r="C9">
        <v>0.93284414611619781</v>
      </c>
      <c r="D9">
        <v>2.730007248127567</v>
      </c>
      <c r="E9">
        <v>4.6348494554772577</v>
      </c>
      <c r="F9">
        <v>3.042596348884381</v>
      </c>
      <c r="G9" s="4">
        <f t="shared" si="3"/>
        <v>1.8314256971218823</v>
      </c>
      <c r="H9" s="4">
        <f t="shared" si="0"/>
        <v>1.3905403229149453</v>
      </c>
      <c r="K9">
        <v>8</v>
      </c>
      <c r="L9" s="5">
        <v>22</v>
      </c>
      <c r="M9">
        <v>2.0283661314020378</v>
      </c>
      <c r="N9">
        <v>4.2977814078942362</v>
      </c>
      <c r="O9">
        <v>1.8931808780787129</v>
      </c>
      <c r="P9">
        <v>3.6677180388886881</v>
      </c>
      <c r="Q9" s="5">
        <f t="shared" si="1"/>
        <v>3.163073769648137</v>
      </c>
      <c r="R9" s="5">
        <f t="shared" si="2"/>
        <v>2.7560135750206594</v>
      </c>
    </row>
    <row r="10" spans="1:18" x14ac:dyDescent="0.25">
      <c r="A10">
        <v>5</v>
      </c>
      <c r="B10" s="5" t="s">
        <v>15</v>
      </c>
      <c r="C10">
        <v>0.62920724035867259</v>
      </c>
      <c r="D10">
        <v>1.249939598936942</v>
      </c>
      <c r="E10">
        <v>3.0260563882093061</v>
      </c>
      <c r="F10">
        <v>7.088331515812432</v>
      </c>
      <c r="G10" s="4">
        <f t="shared" si="3"/>
        <v>0.93957341964780727</v>
      </c>
      <c r="H10" s="4">
        <f t="shared" si="0"/>
        <v>0.83705118643835474</v>
      </c>
      <c r="K10">
        <v>8</v>
      </c>
      <c r="L10" s="5">
        <v>23</v>
      </c>
      <c r="M10">
        <v>1.9574256423811469</v>
      </c>
      <c r="N10">
        <v>3.9389032405120989</v>
      </c>
      <c r="O10">
        <v>3.920103346599237</v>
      </c>
      <c r="P10">
        <v>0.27191079128786838</v>
      </c>
      <c r="Q10" s="5">
        <f t="shared" si="1"/>
        <v>2.948164441446623</v>
      </c>
      <c r="R10" s="5">
        <f t="shared" si="2"/>
        <v>2.6152239330494518</v>
      </c>
    </row>
    <row r="11" spans="1:18" x14ac:dyDescent="0.25">
      <c r="A11">
        <v>2</v>
      </c>
      <c r="B11" s="5" t="s">
        <v>16</v>
      </c>
      <c r="C11">
        <v>0.35032398350629418</v>
      </c>
      <c r="D11">
        <v>0.21285334621889351</v>
      </c>
      <c r="E11">
        <v>6.087321578505458</v>
      </c>
      <c r="F11">
        <v>6.0773480662983426</v>
      </c>
      <c r="G11" s="4">
        <f t="shared" si="3"/>
        <v>0.28158866486259382</v>
      </c>
      <c r="H11" s="4">
        <f t="shared" si="0"/>
        <v>0.26481048939393126</v>
      </c>
      <c r="K11">
        <v>8</v>
      </c>
      <c r="L11" s="5">
        <v>24</v>
      </c>
      <c r="M11">
        <v>1.8263553914561521</v>
      </c>
      <c r="N11">
        <v>3.832646354898757</v>
      </c>
      <c r="O11">
        <v>5.6995023063850452</v>
      </c>
      <c r="P11">
        <v>5.7438253877082138E-2</v>
      </c>
      <c r="Q11" s="5">
        <f t="shared" si="1"/>
        <v>2.8295008731774547</v>
      </c>
      <c r="R11" s="5">
        <f t="shared" si="2"/>
        <v>2.4738548060434256</v>
      </c>
    </row>
    <row r="12" spans="1:18" x14ac:dyDescent="0.25">
      <c r="A12">
        <v>3</v>
      </c>
      <c r="B12" s="5" t="s">
        <v>17</v>
      </c>
      <c r="C12">
        <v>2.0494883896819802</v>
      </c>
      <c r="D12">
        <v>8.4010630587098341</v>
      </c>
      <c r="E12">
        <v>5.7087681992752843</v>
      </c>
      <c r="F12">
        <v>1.231082882459029</v>
      </c>
      <c r="G12" s="4">
        <f t="shared" si="3"/>
        <v>5.2252757241959067</v>
      </c>
      <c r="H12" s="4">
        <f t="shared" si="0"/>
        <v>3.2951143841240196</v>
      </c>
      <c r="K12">
        <v>8</v>
      </c>
      <c r="L12" s="5">
        <v>25</v>
      </c>
      <c r="M12">
        <v>1.507793953623916</v>
      </c>
      <c r="N12">
        <v>3.0966740113208981</v>
      </c>
      <c r="O12">
        <v>1.856826579333642</v>
      </c>
      <c r="P12">
        <v>0.98610714465704641</v>
      </c>
      <c r="Q12" s="5">
        <f t="shared" si="1"/>
        <v>2.3022339824724072</v>
      </c>
      <c r="R12" s="5">
        <f t="shared" si="2"/>
        <v>2.0280937498801466</v>
      </c>
    </row>
    <row r="13" spans="1:18" x14ac:dyDescent="0.25">
      <c r="A13">
        <v>3</v>
      </c>
      <c r="B13" s="5" t="s">
        <v>18</v>
      </c>
      <c r="C13">
        <v>0.34146479815573028</v>
      </c>
      <c r="D13">
        <v>0.27893210920512201</v>
      </c>
      <c r="E13">
        <v>8.2858489353498133</v>
      </c>
      <c r="F13">
        <v>5.7736720554272516</v>
      </c>
      <c r="G13" s="4">
        <f t="shared" si="3"/>
        <v>0.31019845368042614</v>
      </c>
      <c r="H13" s="4">
        <f t="shared" si="0"/>
        <v>0.30704697344172865</v>
      </c>
      <c r="K13">
        <v>6</v>
      </c>
      <c r="L13" s="5">
        <v>26</v>
      </c>
      <c r="M13">
        <v>1.7653226158752351</v>
      </c>
      <c r="N13">
        <v>2.677563347642745</v>
      </c>
      <c r="O13">
        <v>2.0197684860367842</v>
      </c>
      <c r="P13">
        <v>0.47389637203814772</v>
      </c>
      <c r="Q13" s="5">
        <f t="shared" si="1"/>
        <v>2.2214429817589902</v>
      </c>
      <c r="R13" s="5">
        <f t="shared" si="2"/>
        <v>2.1277895367314725</v>
      </c>
    </row>
    <row r="14" spans="1:18" x14ac:dyDescent="0.25">
      <c r="A14">
        <v>5</v>
      </c>
      <c r="B14" s="5" t="s">
        <v>19</v>
      </c>
      <c r="C14">
        <v>1.514158551928265</v>
      </c>
      <c r="D14">
        <v>2.2818313602319402</v>
      </c>
      <c r="E14">
        <v>8.8512278080333449</v>
      </c>
      <c r="F14">
        <v>33.993772997452602</v>
      </c>
      <c r="G14" s="4">
        <f t="shared" si="3"/>
        <v>1.8979949560801026</v>
      </c>
      <c r="H14" s="4">
        <f t="shared" si="0"/>
        <v>1.8203707323274263</v>
      </c>
      <c r="K14">
        <v>8</v>
      </c>
      <c r="L14" s="5">
        <v>27</v>
      </c>
      <c r="M14">
        <v>1.688238537173141</v>
      </c>
      <c r="N14">
        <v>3.7960623789081791</v>
      </c>
      <c r="O14">
        <v>2.4839386060555229</v>
      </c>
      <c r="P14">
        <v>1.828705298697719</v>
      </c>
      <c r="Q14" s="5">
        <f t="shared" si="1"/>
        <v>2.7421504580406602</v>
      </c>
      <c r="R14" s="5">
        <f t="shared" si="2"/>
        <v>2.3370923279553</v>
      </c>
    </row>
    <row r="15" spans="1:18" x14ac:dyDescent="0.25">
      <c r="A15">
        <v>5</v>
      </c>
      <c r="B15" s="5" t="s">
        <v>20</v>
      </c>
      <c r="C15">
        <v>1.5389165642476379</v>
      </c>
      <c r="D15">
        <v>3.7529596520898769</v>
      </c>
      <c r="E15">
        <v>8.9557697059550279</v>
      </c>
      <c r="F15">
        <v>7.9606606049359803</v>
      </c>
      <c r="G15" s="4">
        <f t="shared" si="3"/>
        <v>2.6459381081687576</v>
      </c>
      <c r="H15" s="4">
        <f t="shared" si="0"/>
        <v>2.1827765947070312</v>
      </c>
      <c r="K15">
        <v>7</v>
      </c>
      <c r="L15" s="5">
        <v>28</v>
      </c>
      <c r="M15">
        <v>2.0770663833942811</v>
      </c>
      <c r="N15">
        <v>3.045017665159746</v>
      </c>
      <c r="O15">
        <v>0.1574062444045955</v>
      </c>
      <c r="P15">
        <v>0.3097337643653843</v>
      </c>
      <c r="Q15" s="5">
        <f t="shared" si="1"/>
        <v>2.5610420242770138</v>
      </c>
      <c r="R15" s="5">
        <f t="shared" si="2"/>
        <v>2.4695822127052076</v>
      </c>
    </row>
    <row r="16" spans="1:18" x14ac:dyDescent="0.25">
      <c r="A16">
        <v>8</v>
      </c>
      <c r="B16" s="5" t="s">
        <v>21</v>
      </c>
      <c r="C16">
        <v>1.407806148050645</v>
      </c>
      <c r="D16">
        <v>2.6548683256825321</v>
      </c>
      <c r="E16">
        <v>17.4665540979348</v>
      </c>
      <c r="F16">
        <v>29.08952574182095</v>
      </c>
      <c r="G16" s="4">
        <f t="shared" si="3"/>
        <v>2.0313372368665883</v>
      </c>
      <c r="H16" s="4">
        <f t="shared" si="0"/>
        <v>1.8399406476327298</v>
      </c>
      <c r="K16">
        <v>8</v>
      </c>
      <c r="L16" s="5">
        <v>29</v>
      </c>
      <c r="M16">
        <v>1.7247577816498549</v>
      </c>
      <c r="N16">
        <v>2.8596854461877439</v>
      </c>
      <c r="O16">
        <v>0.54348882252725539</v>
      </c>
      <c r="P16">
        <v>4.1594295639455154</v>
      </c>
      <c r="Q16" s="5">
        <f t="shared" si="1"/>
        <v>2.2922216139187994</v>
      </c>
      <c r="R16" s="5">
        <f t="shared" si="2"/>
        <v>2.1517399087564275</v>
      </c>
    </row>
    <row r="17" spans="1:21" x14ac:dyDescent="0.25">
      <c r="A17">
        <v>3</v>
      </c>
      <c r="B17" s="13" t="s">
        <v>22</v>
      </c>
      <c r="C17">
        <v>3.5014944693724681E-2</v>
      </c>
      <c r="D17">
        <v>0.18071998067165981</v>
      </c>
      <c r="E17">
        <v>3.4024896265560161</v>
      </c>
      <c r="F17">
        <v>11.19402985074627</v>
      </c>
      <c r="G17" s="5">
        <f t="shared" si="3"/>
        <v>0.10786746268269225</v>
      </c>
      <c r="H17" s="5">
        <f t="shared" si="0"/>
        <v>5.8663659744028616E-2</v>
      </c>
      <c r="K17">
        <v>8</v>
      </c>
      <c r="L17" s="5">
        <v>30</v>
      </c>
      <c r="M17">
        <v>1.9092855574768479</v>
      </c>
      <c r="N17">
        <v>2.7376153933822129</v>
      </c>
      <c r="O17">
        <v>3.7013080562031968</v>
      </c>
      <c r="P17">
        <v>6.5905314821534304</v>
      </c>
      <c r="Q17" s="5">
        <f t="shared" si="1"/>
        <v>2.3234504754295306</v>
      </c>
      <c r="R17" s="5">
        <f t="shared" si="2"/>
        <v>2.2496238193089426</v>
      </c>
    </row>
    <row r="18" spans="1:21" x14ac:dyDescent="0.25">
      <c r="A18">
        <v>5</v>
      </c>
      <c r="B18" s="13" t="s">
        <v>23</v>
      </c>
      <c r="C18">
        <v>1.567501290843375</v>
      </c>
      <c r="D18">
        <v>7.014496255134091</v>
      </c>
      <c r="E18">
        <v>30.997436670687581</v>
      </c>
      <c r="F18">
        <v>57.650552101698061</v>
      </c>
      <c r="G18" s="4">
        <f t="shared" si="3"/>
        <v>4.2909987729887327</v>
      </c>
      <c r="H18" s="4">
        <f t="shared" si="0"/>
        <v>2.5623945650491051</v>
      </c>
      <c r="K18">
        <v>7</v>
      </c>
      <c r="L18" s="5">
        <v>31</v>
      </c>
      <c r="M18">
        <v>1.72012935270011</v>
      </c>
      <c r="N18">
        <v>2.5003798959085208</v>
      </c>
      <c r="O18">
        <v>2.4431661182144739</v>
      </c>
      <c r="P18">
        <v>2.431172523360579</v>
      </c>
      <c r="Q18" s="5">
        <f t="shared" si="1"/>
        <v>2.1102546243043152</v>
      </c>
      <c r="R18" s="5">
        <f t="shared" si="2"/>
        <v>2.0381317033111062</v>
      </c>
    </row>
    <row r="19" spans="1:21" x14ac:dyDescent="0.25">
      <c r="B19" s="4" t="s">
        <v>24</v>
      </c>
      <c r="C19">
        <v>1</v>
      </c>
      <c r="D19">
        <v>1</v>
      </c>
      <c r="E19">
        <v>1.222599475816059</v>
      </c>
      <c r="F19">
        <v>6.8049254698639006</v>
      </c>
      <c r="G19" s="4">
        <f>AVERAGE(C19:D19)</f>
        <v>1</v>
      </c>
      <c r="H19" s="4">
        <f>HARMEAN(C19:D19)</f>
        <v>1</v>
      </c>
      <c r="K19">
        <v>8</v>
      </c>
      <c r="L19" s="5">
        <v>32</v>
      </c>
      <c r="M19">
        <v>1.625601018364965</v>
      </c>
      <c r="N19">
        <v>2.491024959161189</v>
      </c>
      <c r="O19">
        <v>8.7806043896094449E-2</v>
      </c>
      <c r="P19">
        <v>0.98093572738516643</v>
      </c>
      <c r="Q19" s="5">
        <f t="shared" si="1"/>
        <v>2.0583129887630771</v>
      </c>
      <c r="R19" s="5">
        <f t="shared" si="2"/>
        <v>1.9673454583884393</v>
      </c>
    </row>
    <row r="20" spans="1:21" x14ac:dyDescent="0.25">
      <c r="B20" s="5"/>
      <c r="G20" s="4"/>
      <c r="H20" s="4"/>
      <c r="K20">
        <v>8</v>
      </c>
      <c r="L20" s="5">
        <v>33</v>
      </c>
      <c r="M20">
        <v>1.760315949720995</v>
      </c>
      <c r="N20">
        <v>3.2272727272727271</v>
      </c>
      <c r="O20">
        <v>0.54335343671450254</v>
      </c>
      <c r="P20">
        <v>1.6871623189366569</v>
      </c>
      <c r="Q20" s="5">
        <f t="shared" si="1"/>
        <v>2.4937943384968611</v>
      </c>
      <c r="R20" s="5">
        <f t="shared" si="2"/>
        <v>2.278062616559632</v>
      </c>
    </row>
    <row r="21" spans="1:21" x14ac:dyDescent="0.25">
      <c r="B21" s="5"/>
      <c r="G21" s="4"/>
      <c r="H21" s="4"/>
      <c r="K21">
        <v>7</v>
      </c>
      <c r="L21" s="5">
        <v>34</v>
      </c>
      <c r="M21">
        <v>1.8173860823086181</v>
      </c>
      <c r="N21">
        <v>2.941742962428294</v>
      </c>
      <c r="O21">
        <v>2.8024234794240299</v>
      </c>
      <c r="P21">
        <v>1.9073968887993109</v>
      </c>
      <c r="Q21" s="5">
        <f t="shared" si="1"/>
        <v>2.3795645223684563</v>
      </c>
      <c r="R21" s="5">
        <f t="shared" si="2"/>
        <v>2.246748372397644</v>
      </c>
    </row>
    <row r="22" spans="1:21" x14ac:dyDescent="0.25">
      <c r="B22" s="5"/>
      <c r="G22" s="4"/>
      <c r="H22" s="4"/>
      <c r="K22">
        <v>8</v>
      </c>
      <c r="L22" s="5">
        <v>35</v>
      </c>
      <c r="M22">
        <v>1.5598883868459721</v>
      </c>
      <c r="N22">
        <v>2.5877654522660789</v>
      </c>
      <c r="O22">
        <v>6.5367286074787794</v>
      </c>
      <c r="P22">
        <v>7.7719791248494579</v>
      </c>
      <c r="Q22" s="5">
        <f t="shared" si="1"/>
        <v>2.0738269195560255</v>
      </c>
      <c r="R22" s="5">
        <f t="shared" si="2"/>
        <v>1.9464619919849679</v>
      </c>
    </row>
    <row r="23" spans="1:21" x14ac:dyDescent="0.25">
      <c r="B23" s="5"/>
      <c r="G23" s="4"/>
      <c r="H23" s="4"/>
      <c r="K23">
        <v>8</v>
      </c>
      <c r="L23" s="5">
        <v>36</v>
      </c>
      <c r="M23">
        <v>1.6379252472781021</v>
      </c>
      <c r="N23">
        <v>2.2380807658701509</v>
      </c>
      <c r="O23">
        <v>1.880387335617195</v>
      </c>
      <c r="P23">
        <v>1.572970304013543</v>
      </c>
      <c r="Q23" s="5">
        <f t="shared" si="1"/>
        <v>1.9380030065741265</v>
      </c>
      <c r="R23" s="5">
        <f t="shared" si="2"/>
        <v>1.8915393729684693</v>
      </c>
    </row>
    <row r="24" spans="1:21" x14ac:dyDescent="0.25">
      <c r="B24" s="5"/>
      <c r="G24" s="4"/>
      <c r="H24" s="4"/>
      <c r="L24" s="5" t="s">
        <v>24</v>
      </c>
      <c r="M24">
        <v>1</v>
      </c>
      <c r="N24">
        <v>1</v>
      </c>
      <c r="O24">
        <v>1.508511169945449</v>
      </c>
      <c r="P24">
        <v>4.7536995742955606</v>
      </c>
      <c r="Q24" s="5">
        <f>AVERAGE(M24:N24)</f>
        <v>1</v>
      </c>
      <c r="R24" s="5">
        <f>HARMEAN(M24:N24)</f>
        <v>1</v>
      </c>
    </row>
    <row r="25" spans="1:21" x14ac:dyDescent="0.25">
      <c r="B25" s="5"/>
      <c r="G25" s="4"/>
      <c r="H25" s="4"/>
    </row>
    <row r="26" spans="1:21" x14ac:dyDescent="0.25">
      <c r="B26" s="5"/>
      <c r="G26" s="4"/>
      <c r="H26" s="4"/>
      <c r="L26" s="5"/>
      <c r="Q26" s="5"/>
      <c r="R26" s="5"/>
    </row>
    <row r="27" spans="1:21" x14ac:dyDescent="0.25">
      <c r="B27" s="5"/>
      <c r="G27" s="4"/>
      <c r="H27" s="4"/>
      <c r="L27" s="5"/>
      <c r="Q27" s="5"/>
      <c r="R27" s="5"/>
    </row>
    <row r="28" spans="1:21" x14ac:dyDescent="0.25">
      <c r="B28" s="5"/>
      <c r="G28" s="4"/>
      <c r="H28" s="4"/>
      <c r="L28" s="5"/>
      <c r="Q28" s="5"/>
      <c r="R28" s="5"/>
    </row>
    <row r="29" spans="1:21" x14ac:dyDescent="0.25">
      <c r="B29" s="5"/>
      <c r="G29" s="4"/>
      <c r="H29" s="4"/>
      <c r="L29" s="5"/>
      <c r="Q29" s="5"/>
      <c r="R29" s="5"/>
    </row>
    <row r="30" spans="1:21" x14ac:dyDescent="0.25">
      <c r="B30" s="5"/>
      <c r="G30" s="4"/>
      <c r="H30" s="4"/>
      <c r="L30" s="5"/>
      <c r="Q30" s="5"/>
      <c r="R30" s="5"/>
    </row>
    <row r="31" spans="1:21" x14ac:dyDescent="0.25">
      <c r="B31" s="5"/>
      <c r="G31" s="4"/>
      <c r="H31" s="4"/>
      <c r="K31" s="4"/>
      <c r="L31" s="5"/>
      <c r="M31" s="4"/>
      <c r="N31" s="4"/>
      <c r="O31" s="4"/>
      <c r="P31" s="4"/>
      <c r="Q31" s="5"/>
      <c r="R31" s="5"/>
      <c r="S31" s="4"/>
      <c r="T31" s="4"/>
      <c r="U31" s="4"/>
    </row>
    <row r="32" spans="1:21" x14ac:dyDescent="0.25">
      <c r="B32" s="5"/>
      <c r="G32" s="4"/>
      <c r="H32" s="4"/>
      <c r="K32" s="4"/>
      <c r="L32" s="5"/>
      <c r="M32" s="5"/>
      <c r="N32" s="5"/>
      <c r="O32" s="5"/>
      <c r="P32" s="5"/>
      <c r="Q32" s="5"/>
      <c r="R32" s="5"/>
      <c r="S32" s="4"/>
      <c r="T32" s="4"/>
      <c r="U32" s="4"/>
    </row>
    <row r="33" spans="2:18" x14ac:dyDescent="0.25">
      <c r="B33" s="5"/>
      <c r="G33" s="4"/>
      <c r="H33" s="4"/>
      <c r="L33" s="5"/>
      <c r="Q33" s="5"/>
      <c r="R33" s="5"/>
    </row>
    <row r="35" spans="2:18" x14ac:dyDescent="0.25">
      <c r="B35" s="5"/>
      <c r="G35" s="4"/>
      <c r="H35" s="4"/>
      <c r="L35" s="5"/>
      <c r="Q35" s="5"/>
      <c r="R35" s="5"/>
    </row>
    <row r="36" spans="2:18" x14ac:dyDescent="0.25">
      <c r="B36" s="3"/>
      <c r="G36" s="4"/>
      <c r="H36" s="4"/>
      <c r="L36" s="3"/>
      <c r="Q36" s="5"/>
      <c r="R36" s="5"/>
    </row>
  </sheetData>
  <mergeCells count="6">
    <mergeCell ref="C1:H1"/>
    <mergeCell ref="M1:R1"/>
    <mergeCell ref="C2:D2"/>
    <mergeCell ref="E2:F2"/>
    <mergeCell ref="M2:N2"/>
    <mergeCell ref="O2:P2"/>
  </mergeCells>
  <conditionalFormatting sqref="E4:F33 O26:P33 O4:P24 M26:M33 M4:M24">
    <cfRule type="cellIs" dxfId="2" priority="24" operator="greaterThan">
      <formula>33</formula>
    </cfRule>
  </conditionalFormatting>
  <conditionalFormatting sqref="G35:H36 G4:H33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6:M33 M4:M24 M35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5:D35 C4:D33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5:N35 M26:N33 M4:N24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6:N33 N4:N24 N35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5:R36 Q26:R33 Q4:R2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5:G36 G4:G3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5:H36 H4:H3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5:Q36 Q26:Q33 Q4:Q2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5:R36 R26:R33 R4:R2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5:C36 C4:C3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5:D36 D4:D3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5:M36 M26:M33 M4:M2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5:N36 N26:N33 N4:N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D33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C33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6:N33 N4:N24"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9B618-75E1-4FFC-9292-94B377A84238}">
  <dimension ref="A1:S59"/>
  <sheetViews>
    <sheetView tabSelected="1" zoomScale="73" zoomScaleNormal="73" workbookViewId="0">
      <selection activeCell="A2" sqref="A2:P5"/>
    </sheetView>
  </sheetViews>
  <sheetFormatPr baseColWidth="10" defaultRowHeight="15" x14ac:dyDescent="0.25"/>
  <sheetData>
    <row r="1" spans="1:19" ht="15.75" thickBot="1" x14ac:dyDescent="0.3"/>
    <row r="2" spans="1:19" ht="15.75" thickBot="1" x14ac:dyDescent="0.3">
      <c r="C2" s="17" t="s">
        <v>2</v>
      </c>
      <c r="D2" s="18"/>
      <c r="E2" s="18"/>
      <c r="F2" s="19"/>
      <c r="G2" s="17" t="s">
        <v>3</v>
      </c>
      <c r="H2" s="18"/>
      <c r="I2" s="18"/>
      <c r="J2" s="18"/>
      <c r="K2" s="17" t="s">
        <v>7</v>
      </c>
      <c r="L2" s="18"/>
      <c r="M2" s="18"/>
      <c r="N2" s="19"/>
    </row>
    <row r="3" spans="1:19" ht="15.75" thickBot="1" x14ac:dyDescent="0.3">
      <c r="A3" t="s">
        <v>25</v>
      </c>
      <c r="B3" t="s">
        <v>4</v>
      </c>
      <c r="C3" s="8" t="s">
        <v>5</v>
      </c>
      <c r="D3" s="22" t="s">
        <v>26</v>
      </c>
      <c r="E3" s="8" t="s">
        <v>6</v>
      </c>
      <c r="F3" s="22" t="s">
        <v>26</v>
      </c>
      <c r="G3" s="8" t="s">
        <v>5</v>
      </c>
      <c r="H3" s="22" t="s">
        <v>26</v>
      </c>
      <c r="I3" s="8" t="s">
        <v>6</v>
      </c>
      <c r="J3" s="33" t="s">
        <v>26</v>
      </c>
      <c r="K3" s="8" t="s">
        <v>7</v>
      </c>
      <c r="L3" s="22" t="s">
        <v>26</v>
      </c>
      <c r="M3" s="8" t="s">
        <v>8</v>
      </c>
      <c r="N3" s="33" t="s">
        <v>26</v>
      </c>
      <c r="O3" s="37" t="s">
        <v>29</v>
      </c>
      <c r="R3" s="10"/>
      <c r="S3" t="s">
        <v>33</v>
      </c>
    </row>
    <row r="4" spans="1:19" x14ac:dyDescent="0.25">
      <c r="A4" s="10">
        <v>2</v>
      </c>
      <c r="B4" s="10" t="s">
        <v>9</v>
      </c>
      <c r="C4" s="23">
        <v>2.1336295606769111</v>
      </c>
      <c r="D4" s="24">
        <v>3.8065021578487719</v>
      </c>
      <c r="E4" s="23">
        <v>7.9572360473544341</v>
      </c>
      <c r="F4" s="24">
        <v>6.7232876712328773</v>
      </c>
      <c r="G4" s="23">
        <v>0.78629956600124784</v>
      </c>
      <c r="H4" s="24"/>
      <c r="I4" s="23">
        <v>6.2211614956245027</v>
      </c>
      <c r="J4" s="20"/>
      <c r="K4" s="23">
        <v>5.0454328040156726</v>
      </c>
      <c r="L4" s="24">
        <v>5.2648949145408244</v>
      </c>
      <c r="M4" s="23">
        <v>3.3649826905645543</v>
      </c>
      <c r="N4" s="24">
        <v>4.8609154491772042</v>
      </c>
      <c r="O4" s="38" t="s">
        <v>27</v>
      </c>
      <c r="R4" s="12"/>
      <c r="S4" t="s">
        <v>34</v>
      </c>
    </row>
    <row r="5" spans="1:19" x14ac:dyDescent="0.25">
      <c r="A5" s="10">
        <v>3</v>
      </c>
      <c r="B5" s="10" t="s">
        <v>11</v>
      </c>
      <c r="C5" s="23">
        <v>1.99504752485328</v>
      </c>
      <c r="D5" s="24">
        <v>2.521573246355802</v>
      </c>
      <c r="E5" s="23">
        <v>1.998067165982121</v>
      </c>
      <c r="F5" s="24">
        <v>2.1944857456849181</v>
      </c>
      <c r="G5" s="23">
        <v>9.5474376018124953</v>
      </c>
      <c r="H5" s="24">
        <v>7.2789662699106428</v>
      </c>
      <c r="I5" s="23">
        <v>19.4912559618442</v>
      </c>
      <c r="J5" s="20">
        <v>14.96528290737184</v>
      </c>
      <c r="K5" s="23">
        <v>1.9965573454177004</v>
      </c>
      <c r="L5" s="24">
        <v>2.35802949602036</v>
      </c>
      <c r="M5" s="23">
        <v>1.9965562036733167</v>
      </c>
      <c r="N5" s="24">
        <v>2.3466867378746623</v>
      </c>
      <c r="O5" s="38" t="s">
        <v>28</v>
      </c>
    </row>
    <row r="6" spans="1:19" x14ac:dyDescent="0.25">
      <c r="A6" s="3">
        <v>5</v>
      </c>
      <c r="B6" s="3" t="s">
        <v>13</v>
      </c>
      <c r="C6" s="25">
        <v>1.711552139163824</v>
      </c>
      <c r="D6" s="26">
        <v>1.782967960006012</v>
      </c>
      <c r="E6" s="25">
        <v>7.2012563421116216</v>
      </c>
      <c r="F6" s="26">
        <v>3.0570917936752222</v>
      </c>
      <c r="G6" s="25">
        <v>4.2944041037727674</v>
      </c>
      <c r="H6" s="26">
        <v>4.9699586780201033</v>
      </c>
      <c r="I6" s="25">
        <v>7.8230350050798929</v>
      </c>
      <c r="J6" s="5">
        <v>15.666980405578849</v>
      </c>
      <c r="K6" s="25">
        <v>4.4564042406377231</v>
      </c>
      <c r="L6" s="26">
        <v>2.420029876840617</v>
      </c>
      <c r="M6" s="25">
        <v>2.7657557599048541</v>
      </c>
      <c r="N6" s="26">
        <v>2.252326209309528</v>
      </c>
    </row>
    <row r="7" spans="1:19" x14ac:dyDescent="0.25">
      <c r="A7" s="12">
        <v>3</v>
      </c>
      <c r="B7" s="12" t="s">
        <v>14</v>
      </c>
      <c r="C7" s="27">
        <v>0.93284414611619781</v>
      </c>
      <c r="D7" s="28">
        <v>1.4961494322300071</v>
      </c>
      <c r="E7" s="27">
        <v>2.730007248127567</v>
      </c>
      <c r="F7" s="28">
        <v>4.3107505333247138</v>
      </c>
      <c r="G7" s="27">
        <v>4.6348494554772577</v>
      </c>
      <c r="H7" s="28">
        <v>19.375047173371581</v>
      </c>
      <c r="I7" s="27">
        <v>3.042596348884381</v>
      </c>
      <c r="J7" s="21">
        <v>13.95862172172547</v>
      </c>
      <c r="K7" s="27">
        <v>1.8314256971218823</v>
      </c>
      <c r="L7" s="28">
        <v>2.9034499827773605</v>
      </c>
      <c r="M7" s="27">
        <v>1.3905403229149453</v>
      </c>
      <c r="N7" s="28">
        <v>2.2213322086401264</v>
      </c>
    </row>
    <row r="8" spans="1:19" x14ac:dyDescent="0.25">
      <c r="A8" s="12">
        <v>3</v>
      </c>
      <c r="B8" s="12" t="s">
        <v>15</v>
      </c>
      <c r="C8" s="27">
        <v>0.62920724035867259</v>
      </c>
      <c r="D8" s="28">
        <v>1.8446635660787629</v>
      </c>
      <c r="E8" s="27">
        <v>1.249939598936942</v>
      </c>
      <c r="F8" s="28">
        <v>2.766662356972009</v>
      </c>
      <c r="G8" s="27">
        <v>3.0260563882093061</v>
      </c>
      <c r="H8" s="28">
        <v>10.29523140219564</v>
      </c>
      <c r="I8" s="27">
        <v>7.088331515812432</v>
      </c>
      <c r="J8" s="21">
        <v>13.27041826867063</v>
      </c>
      <c r="K8" s="27">
        <v>0.93957341964780727</v>
      </c>
      <c r="L8" s="28">
        <v>2.3056629615253859</v>
      </c>
      <c r="M8" s="27">
        <v>0.83705118643835474</v>
      </c>
      <c r="N8" s="28">
        <v>2.2134897141130443</v>
      </c>
    </row>
    <row r="9" spans="1:19" x14ac:dyDescent="0.25">
      <c r="A9" s="12">
        <v>5</v>
      </c>
      <c r="B9" s="12" t="s">
        <v>16</v>
      </c>
      <c r="C9" s="27">
        <v>0.35032398350629418</v>
      </c>
      <c r="D9" s="28">
        <v>2.0320229800965821</v>
      </c>
      <c r="E9" s="27">
        <v>0.21285334621889351</v>
      </c>
      <c r="F9" s="28">
        <v>2.401628357245694</v>
      </c>
      <c r="G9" s="27">
        <v>6.087321578505458</v>
      </c>
      <c r="H9" s="28">
        <v>21.32397163019612</v>
      </c>
      <c r="I9" s="27">
        <v>6.0773480662983426</v>
      </c>
      <c r="J9" s="21">
        <v>28.171995098585271</v>
      </c>
      <c r="K9" s="27">
        <v>0.28158866486259382</v>
      </c>
      <c r="L9" s="28">
        <v>2.2168256686711381</v>
      </c>
      <c r="M9" s="27">
        <v>0.26481048939393126</v>
      </c>
      <c r="N9" s="28">
        <v>2.2014198412364276</v>
      </c>
    </row>
    <row r="10" spans="1:19" x14ac:dyDescent="0.25">
      <c r="A10">
        <v>5</v>
      </c>
      <c r="B10" t="s">
        <v>17</v>
      </c>
      <c r="C10" s="29">
        <v>2.0494883896819802</v>
      </c>
      <c r="D10" s="30">
        <v>1.614721837046615</v>
      </c>
      <c r="E10" s="29">
        <v>8.4010630587098341</v>
      </c>
      <c r="F10" s="30">
        <v>3.2570123616144571</v>
      </c>
      <c r="G10" s="29">
        <v>5.7087681992752843</v>
      </c>
      <c r="H10" s="30">
        <v>3.565610859728507</v>
      </c>
      <c r="I10" s="29">
        <v>1.231082882459029</v>
      </c>
      <c r="J10" s="4">
        <v>6.296590007930214</v>
      </c>
      <c r="K10" s="29">
        <v>5.2252757241959067</v>
      </c>
      <c r="L10" s="30">
        <v>2.4358670993305358</v>
      </c>
      <c r="M10" s="29">
        <v>3.2951143841240196</v>
      </c>
      <c r="N10" s="30">
        <v>2.1590541558178766</v>
      </c>
    </row>
    <row r="11" spans="1:19" x14ac:dyDescent="0.25">
      <c r="A11" s="12">
        <v>3</v>
      </c>
      <c r="B11" s="12" t="s">
        <v>18</v>
      </c>
      <c r="C11" s="27">
        <v>0.34146479815573028</v>
      </c>
      <c r="D11" s="28">
        <v>2.736339292904888</v>
      </c>
      <c r="E11" s="27">
        <v>0.27893210920512201</v>
      </c>
      <c r="F11" s="28">
        <v>1.7712198590729851</v>
      </c>
      <c r="G11" s="27">
        <v>8.2858489353498133</v>
      </c>
      <c r="H11" s="28">
        <v>5.8320694884875222</v>
      </c>
      <c r="I11" s="27">
        <v>5.7736720554272516</v>
      </c>
      <c r="J11" s="21">
        <v>4.7049074670840616</v>
      </c>
      <c r="K11" s="27">
        <v>0.31019845368042614</v>
      </c>
      <c r="L11" s="28">
        <v>2.2537795759889363</v>
      </c>
      <c r="M11" s="27">
        <v>0.30704697344172865</v>
      </c>
      <c r="N11" s="28">
        <v>2.150458078682429</v>
      </c>
    </row>
    <row r="12" spans="1:19" x14ac:dyDescent="0.25">
      <c r="A12">
        <v>5</v>
      </c>
      <c r="B12" t="s">
        <v>19</v>
      </c>
      <c r="C12" s="29">
        <v>1.514158551928265</v>
      </c>
      <c r="D12" s="30">
        <v>1.689455356965629</v>
      </c>
      <c r="E12" s="29">
        <v>2.2818313602319402</v>
      </c>
      <c r="F12" s="30">
        <v>2.8994191530556521</v>
      </c>
      <c r="G12" s="29">
        <v>8.8512278080333449</v>
      </c>
      <c r="H12" s="30">
        <v>1.909003580473321</v>
      </c>
      <c r="I12" s="29">
        <v>33.993772997452602</v>
      </c>
      <c r="J12" s="4">
        <v>7.9764599366229074</v>
      </c>
      <c r="K12" s="29">
        <v>1.8979949560801026</v>
      </c>
      <c r="L12" s="30">
        <v>2.2944372550106404</v>
      </c>
      <c r="M12" s="29">
        <v>1.8203707323274263</v>
      </c>
      <c r="N12" s="30">
        <v>2.1349196669123565</v>
      </c>
    </row>
    <row r="13" spans="1:19" x14ac:dyDescent="0.25">
      <c r="A13" s="10">
        <v>5</v>
      </c>
      <c r="B13" s="10" t="s">
        <v>20</v>
      </c>
      <c r="C13" s="23">
        <v>1.5389165642476379</v>
      </c>
      <c r="D13" s="24">
        <v>1.860304605376957</v>
      </c>
      <c r="E13" s="23">
        <v>3.7529596520898769</v>
      </c>
      <c r="F13" s="24">
        <v>2.2915653080474612</v>
      </c>
      <c r="G13" s="23">
        <v>8.9557697059550279</v>
      </c>
      <c r="H13" s="24">
        <v>16.323981914069261</v>
      </c>
      <c r="I13" s="23">
        <v>7.9606606049359803</v>
      </c>
      <c r="J13" s="20">
        <v>1.2828198057786839</v>
      </c>
      <c r="K13" s="23">
        <v>2.6459381081687576</v>
      </c>
      <c r="L13" s="24">
        <v>2.0759349567122092</v>
      </c>
      <c r="M13" s="23">
        <v>2.1827765947070312</v>
      </c>
      <c r="N13" s="24">
        <v>2.0535371218153955</v>
      </c>
      <c r="O13" s="38" t="s">
        <v>35</v>
      </c>
    </row>
    <row r="14" spans="1:19" x14ac:dyDescent="0.25">
      <c r="A14" s="10">
        <v>5</v>
      </c>
      <c r="B14" s="10" t="s">
        <v>21</v>
      </c>
      <c r="C14" s="23">
        <v>1.407806148050645</v>
      </c>
      <c r="D14" s="24">
        <v>1.815287265385521</v>
      </c>
      <c r="E14" s="23">
        <v>2.6548683256825321</v>
      </c>
      <c r="F14" s="24">
        <v>2.1982326366479672</v>
      </c>
      <c r="G14" s="23">
        <v>17.4665540979348</v>
      </c>
      <c r="H14" s="24">
        <v>20.931839756977411</v>
      </c>
      <c r="I14" s="23">
        <v>29.08952574182095</v>
      </c>
      <c r="J14" s="20">
        <v>14.726576965806689</v>
      </c>
      <c r="K14" s="23">
        <v>2.0313372368665883</v>
      </c>
      <c r="L14" s="24">
        <v>2.0067599510167442</v>
      </c>
      <c r="M14" s="23">
        <v>1.8399406476327298</v>
      </c>
      <c r="N14" s="24">
        <v>1.9884908056093635</v>
      </c>
      <c r="O14" s="38" t="s">
        <v>36</v>
      </c>
    </row>
    <row r="15" spans="1:19" x14ac:dyDescent="0.25">
      <c r="A15" s="12">
        <v>3</v>
      </c>
      <c r="B15" s="12" t="s">
        <v>22</v>
      </c>
      <c r="C15" s="31">
        <v>3.5014944693724681E-2</v>
      </c>
      <c r="D15" s="32">
        <v>2.0415911653378429</v>
      </c>
      <c r="E15" s="31">
        <v>0.18071998067165981</v>
      </c>
      <c r="F15" s="32">
        <v>1.880018100717564</v>
      </c>
      <c r="G15" s="31">
        <v>3.4024896265560161</v>
      </c>
      <c r="H15" s="32">
        <v>6.8106455629106417</v>
      </c>
      <c r="I15" s="31">
        <v>11.19402985074627</v>
      </c>
      <c r="J15" s="34">
        <v>12.744928038841691</v>
      </c>
      <c r="K15" s="31">
        <v>0.10786746268269225</v>
      </c>
      <c r="L15" s="32">
        <v>1.9608046330277036</v>
      </c>
      <c r="M15" s="31">
        <v>5.8663659744028616E-2</v>
      </c>
      <c r="N15" s="32">
        <v>1.9574761709806614</v>
      </c>
    </row>
    <row r="37" spans="1:15" ht="15.75" thickBot="1" x14ac:dyDescent="0.3"/>
    <row r="38" spans="1:15" ht="15.75" thickBot="1" x14ac:dyDescent="0.3">
      <c r="C38" s="17" t="s">
        <v>2</v>
      </c>
      <c r="D38" s="18"/>
      <c r="E38" s="18"/>
      <c r="F38" s="19"/>
      <c r="G38" s="17" t="s">
        <v>3</v>
      </c>
      <c r="H38" s="18"/>
      <c r="I38" s="18"/>
      <c r="J38" s="19"/>
      <c r="K38" s="17" t="s">
        <v>7</v>
      </c>
      <c r="L38" s="18"/>
      <c r="M38" s="18"/>
      <c r="N38" s="19"/>
    </row>
    <row r="39" spans="1:15" ht="15.75" thickBot="1" x14ac:dyDescent="0.3">
      <c r="A39" t="s">
        <v>25</v>
      </c>
      <c r="C39" s="8" t="s">
        <v>5</v>
      </c>
      <c r="D39" s="22"/>
      <c r="E39" s="8" t="s">
        <v>6</v>
      </c>
      <c r="F39" s="22"/>
      <c r="G39" s="8" t="s">
        <v>5</v>
      </c>
      <c r="H39" s="22"/>
      <c r="I39" s="8" t="s">
        <v>6</v>
      </c>
      <c r="J39" s="22"/>
      <c r="K39" s="8" t="s">
        <v>7</v>
      </c>
      <c r="L39" s="22"/>
      <c r="M39" s="8" t="s">
        <v>8</v>
      </c>
      <c r="N39" s="22"/>
      <c r="O39" s="37" t="s">
        <v>29</v>
      </c>
    </row>
    <row r="40" spans="1:15" x14ac:dyDescent="0.25">
      <c r="A40">
        <v>5</v>
      </c>
      <c r="B40">
        <v>17</v>
      </c>
      <c r="C40" s="29">
        <v>1.762489707690104</v>
      </c>
      <c r="D40" s="30">
        <v>2.7937606902293202</v>
      </c>
      <c r="E40" s="29">
        <v>2.1202370550469172</v>
      </c>
      <c r="F40" s="30">
        <v>3.1983100932680761</v>
      </c>
      <c r="G40" s="29">
        <v>2.3540193768002089</v>
      </c>
      <c r="H40" s="30">
        <v>5.5408544515527627</v>
      </c>
      <c r="I40" s="29">
        <v>1.095077269470883</v>
      </c>
      <c r="J40" s="30">
        <v>4.2372881355932197</v>
      </c>
      <c r="K40" s="29">
        <v>1.9413633813685105</v>
      </c>
      <c r="L40" s="30">
        <v>2.9960353917486984</v>
      </c>
      <c r="M40" s="29">
        <v>1.924882288007898</v>
      </c>
      <c r="N40" s="11">
        <v>2.9823789926996631</v>
      </c>
    </row>
    <row r="41" spans="1:15" x14ac:dyDescent="0.25">
      <c r="A41" s="12">
        <v>5</v>
      </c>
      <c r="B41" s="12">
        <v>18</v>
      </c>
      <c r="C41" s="27">
        <v>1.2421525457188689</v>
      </c>
      <c r="D41" s="28">
        <v>2.6901233633542718</v>
      </c>
      <c r="E41" s="27">
        <v>1.020571363446416</v>
      </c>
      <c r="F41" s="28">
        <v>2.9912734324499031</v>
      </c>
      <c r="G41" s="27">
        <v>2.1165410810027532</v>
      </c>
      <c r="H41" s="28">
        <v>4.4436940675072156</v>
      </c>
      <c r="I41" s="27">
        <v>1.602367830169422</v>
      </c>
      <c r="J41" s="28">
        <v>6.9002920317062992</v>
      </c>
      <c r="K41" s="27">
        <v>1.1313619545826423</v>
      </c>
      <c r="L41" s="28">
        <v>2.8406983979020874</v>
      </c>
      <c r="M41" s="27">
        <v>1.1205125928601665</v>
      </c>
      <c r="N41" s="15">
        <v>2.8327169659254232</v>
      </c>
    </row>
    <row r="42" spans="1:15" x14ac:dyDescent="0.25">
      <c r="A42" s="12">
        <v>3</v>
      </c>
      <c r="B42" s="12">
        <v>19</v>
      </c>
      <c r="C42" s="27">
        <v>1.263117614628269</v>
      </c>
      <c r="D42" s="28">
        <v>2.3786475171869998</v>
      </c>
      <c r="E42" s="27">
        <v>1.648292367891198</v>
      </c>
      <c r="F42" s="28">
        <v>3.4450937248253561</v>
      </c>
      <c r="G42" s="27">
        <v>10.92063351619182</v>
      </c>
      <c r="H42" s="28">
        <v>10.678068959047319</v>
      </c>
      <c r="I42" s="27">
        <v>20.633343682086309</v>
      </c>
      <c r="J42" s="28">
        <v>7.0036126909181959</v>
      </c>
      <c r="K42" s="27">
        <v>1.4557049912597335</v>
      </c>
      <c r="L42" s="28">
        <v>2.911870621006178</v>
      </c>
      <c r="M42" s="27">
        <v>1.4302259980155785</v>
      </c>
      <c r="N42" s="15">
        <v>2.8142265579782983</v>
      </c>
    </row>
    <row r="43" spans="1:15" x14ac:dyDescent="0.25">
      <c r="A43" s="12">
        <v>3</v>
      </c>
      <c r="B43" s="12">
        <v>21</v>
      </c>
      <c r="C43" s="27">
        <v>0.98304789511548674</v>
      </c>
      <c r="D43" s="28">
        <v>3.4023760394999591</v>
      </c>
      <c r="E43" s="27">
        <v>0.52820727120768907</v>
      </c>
      <c r="F43" s="28">
        <v>1.872272120621866</v>
      </c>
      <c r="G43" s="27">
        <v>4.2453353038980239</v>
      </c>
      <c r="H43" s="28">
        <v>9.6335954217875042</v>
      </c>
      <c r="I43" s="27">
        <v>8.9475758770201033</v>
      </c>
      <c r="J43" s="28">
        <v>16.754895911142871</v>
      </c>
      <c r="K43" s="27">
        <v>0.75562758316158796</v>
      </c>
      <c r="L43" s="28">
        <v>2.6373240800609126</v>
      </c>
      <c r="M43" s="27">
        <v>0.68718116929086959</v>
      </c>
      <c r="N43" s="15">
        <v>2.4153928790126113</v>
      </c>
    </row>
    <row r="44" spans="1:15" x14ac:dyDescent="0.25">
      <c r="A44" s="10">
        <v>8</v>
      </c>
      <c r="B44" s="10">
        <v>22</v>
      </c>
      <c r="C44" s="23">
        <v>2.0283661314020378</v>
      </c>
      <c r="D44" s="24">
        <v>2.2207256628651169</v>
      </c>
      <c r="E44" s="23">
        <v>4.2977814078942362</v>
      </c>
      <c r="F44" s="24">
        <v>4.0854443521594694</v>
      </c>
      <c r="G44" s="23">
        <v>1.8931808780787129</v>
      </c>
      <c r="H44" s="24">
        <v>4.7469124423963134</v>
      </c>
      <c r="I44" s="23">
        <v>3.6677180388886881</v>
      </c>
      <c r="J44" s="24">
        <v>3.2340464352506499</v>
      </c>
      <c r="K44" s="23">
        <v>3.163073769648137</v>
      </c>
      <c r="L44" s="24">
        <v>3.1530850075122929</v>
      </c>
      <c r="M44" s="23">
        <v>2.7560135750206594</v>
      </c>
      <c r="N44" s="14">
        <v>2.8773886829667128</v>
      </c>
      <c r="O44" s="38" t="s">
        <v>27</v>
      </c>
    </row>
    <row r="45" spans="1:15" x14ac:dyDescent="0.25">
      <c r="A45">
        <v>8</v>
      </c>
      <c r="B45">
        <v>23</v>
      </c>
      <c r="C45" s="29">
        <v>1.9574256423811469</v>
      </c>
      <c r="D45" s="30">
        <v>2.330420416085206</v>
      </c>
      <c r="E45" s="29">
        <v>3.9389032405120989</v>
      </c>
      <c r="F45" s="30">
        <v>3.75</v>
      </c>
      <c r="G45" s="29">
        <v>3.920103346599237</v>
      </c>
      <c r="H45" s="30">
        <v>2.1615434074041038</v>
      </c>
      <c r="I45" s="29">
        <v>0.27191079128786838</v>
      </c>
      <c r="J45" s="30">
        <v>1.636363636363636</v>
      </c>
      <c r="K45" s="29">
        <v>2.948164441446623</v>
      </c>
      <c r="L45" s="30">
        <v>3.0402102080426028</v>
      </c>
      <c r="M45" s="29">
        <v>2.6152239330494518</v>
      </c>
      <c r="N45" s="11">
        <v>2.874497472971139</v>
      </c>
    </row>
    <row r="46" spans="1:15" x14ac:dyDescent="0.25">
      <c r="A46">
        <v>8</v>
      </c>
      <c r="B46">
        <v>24</v>
      </c>
      <c r="C46" s="29">
        <v>1.8263553914561521</v>
      </c>
      <c r="D46" s="30">
        <v>2.1228341594084341</v>
      </c>
      <c r="E46" s="29">
        <v>3.832646354898757</v>
      </c>
      <c r="F46" s="30">
        <v>4.1380121816168334</v>
      </c>
      <c r="G46" s="29">
        <v>5.6995023063850452</v>
      </c>
      <c r="H46" s="30">
        <v>0.20145971956807041</v>
      </c>
      <c r="I46" s="29">
        <v>5.7438253877082138E-2</v>
      </c>
      <c r="J46" s="30">
        <v>1.632298477435874</v>
      </c>
      <c r="K46" s="29">
        <v>2.8295008731774547</v>
      </c>
      <c r="L46" s="30">
        <v>3.1304231705126337</v>
      </c>
      <c r="M46" s="29">
        <v>2.4738548060434256</v>
      </c>
      <c r="N46" s="11">
        <v>2.8061105903921368</v>
      </c>
    </row>
    <row r="47" spans="1:15" x14ac:dyDescent="0.25">
      <c r="A47">
        <v>8</v>
      </c>
      <c r="B47">
        <v>25</v>
      </c>
      <c r="C47" s="29">
        <v>1.507793953623916</v>
      </c>
      <c r="D47" s="30">
        <v>1.898538729287971</v>
      </c>
      <c r="E47" s="29">
        <v>3.0966740113208981</v>
      </c>
      <c r="F47" s="30">
        <v>3.5601121262458468</v>
      </c>
      <c r="G47" s="29">
        <v>1.856826579333642</v>
      </c>
      <c r="H47" s="30">
        <v>6.0206797260154439E-2</v>
      </c>
      <c r="I47" s="29">
        <v>0.98610714465704641</v>
      </c>
      <c r="J47" s="30">
        <v>2.0156184043900378</v>
      </c>
      <c r="K47" s="29">
        <v>2.3022339824724072</v>
      </c>
      <c r="L47" s="30">
        <v>2.7293254277669088</v>
      </c>
      <c r="M47" s="29">
        <v>2.0280937498801466</v>
      </c>
      <c r="N47" s="11">
        <v>2.4764400329555438</v>
      </c>
    </row>
    <row r="48" spans="1:15" x14ac:dyDescent="0.25">
      <c r="A48">
        <v>6</v>
      </c>
      <c r="B48">
        <v>26</v>
      </c>
      <c r="C48" s="29">
        <v>1.7653226158752351</v>
      </c>
      <c r="D48" s="30">
        <v>1.954140921075606</v>
      </c>
      <c r="E48" s="29">
        <v>2.677563347642745</v>
      </c>
      <c r="F48" s="30">
        <v>3.3047361100944288</v>
      </c>
      <c r="G48" s="29">
        <v>2.0197684860367842</v>
      </c>
      <c r="H48" s="30"/>
      <c r="I48" s="29">
        <v>0.47389637203814772</v>
      </c>
      <c r="J48" s="30"/>
      <c r="K48" s="29">
        <v>2.2214429817589902</v>
      </c>
      <c r="L48" s="30">
        <v>2.6294385155850173</v>
      </c>
      <c r="M48" s="29">
        <v>2.1277895367314725</v>
      </c>
      <c r="N48" s="11">
        <v>2.4560072531891608</v>
      </c>
    </row>
    <row r="49" spans="1:18" x14ac:dyDescent="0.25">
      <c r="A49" s="10">
        <v>8</v>
      </c>
      <c r="B49" s="10">
        <v>27</v>
      </c>
      <c r="C49" s="23">
        <v>1.688238537173141</v>
      </c>
      <c r="D49" s="24">
        <v>1.8180862326163321</v>
      </c>
      <c r="E49" s="23">
        <v>3.7960623789081791</v>
      </c>
      <c r="F49" s="24">
        <v>3.61593300110742</v>
      </c>
      <c r="G49" s="23">
        <v>2.4839386060555229</v>
      </c>
      <c r="H49" s="24">
        <v>4.5752969727934598</v>
      </c>
      <c r="I49" s="23">
        <v>1.828705298697719</v>
      </c>
      <c r="J49" s="24">
        <v>2.1956301084459642</v>
      </c>
      <c r="K49" s="23">
        <v>2.7421504580406602</v>
      </c>
      <c r="L49" s="24">
        <v>2.7170096168618763</v>
      </c>
      <c r="M49" s="23">
        <v>2.3370923279553</v>
      </c>
      <c r="N49" s="14">
        <v>2.4196005662171571</v>
      </c>
      <c r="O49" s="38" t="s">
        <v>30</v>
      </c>
      <c r="P49" s="38"/>
    </row>
    <row r="50" spans="1:18" x14ac:dyDescent="0.25">
      <c r="A50" s="12">
        <v>7</v>
      </c>
      <c r="B50" s="12">
        <v>28</v>
      </c>
      <c r="C50" s="27">
        <v>2.0770663833942811</v>
      </c>
      <c r="D50" s="28">
        <v>2.107883875525459</v>
      </c>
      <c r="E50" s="27">
        <v>3.045017665159746</v>
      </c>
      <c r="F50" s="28">
        <v>2.8040688515772079</v>
      </c>
      <c r="G50" s="27">
        <v>0.1574062444045955</v>
      </c>
      <c r="H50" s="28">
        <v>3.3760993986260859</v>
      </c>
      <c r="I50" s="27">
        <v>0.3097337643653843</v>
      </c>
      <c r="J50" s="28">
        <v>1.2462686567164181</v>
      </c>
      <c r="K50" s="27">
        <v>2.5610420242770138</v>
      </c>
      <c r="L50" s="28">
        <v>2.4559763635513336</v>
      </c>
      <c r="M50" s="27">
        <v>2.4695822127052076</v>
      </c>
      <c r="N50" s="15">
        <v>2.4066402290435751</v>
      </c>
    </row>
    <row r="51" spans="1:18" x14ac:dyDescent="0.25">
      <c r="A51">
        <v>8</v>
      </c>
      <c r="B51">
        <v>29</v>
      </c>
      <c r="C51" s="29">
        <v>1.7247577816498549</v>
      </c>
      <c r="D51" s="30">
        <v>1.966027460981987</v>
      </c>
      <c r="E51" s="29">
        <v>2.8596854461877439</v>
      </c>
      <c r="F51" s="30">
        <v>2.9263911960132889</v>
      </c>
      <c r="G51" s="29">
        <v>0.54348882252725539</v>
      </c>
      <c r="H51" s="30">
        <v>1.6083376222336589</v>
      </c>
      <c r="I51" s="29">
        <v>4.1594295639455154</v>
      </c>
      <c r="J51" s="30">
        <v>5.3037486566786773</v>
      </c>
      <c r="K51" s="29">
        <v>2.2922216139187994</v>
      </c>
      <c r="L51" s="30">
        <v>2.4462093284976381</v>
      </c>
      <c r="M51" s="29">
        <v>2.1517399087564275</v>
      </c>
      <c r="N51" s="11">
        <v>2.3519513992171426</v>
      </c>
    </row>
    <row r="52" spans="1:18" x14ac:dyDescent="0.25">
      <c r="A52" s="10">
        <v>8</v>
      </c>
      <c r="B52" s="10">
        <v>30</v>
      </c>
      <c r="C52" s="23">
        <v>1.9092855574768479</v>
      </c>
      <c r="D52" s="24">
        <v>2.1389329996952351</v>
      </c>
      <c r="E52" s="23">
        <v>2.7376153933822129</v>
      </c>
      <c r="F52" s="24">
        <v>2.4959163898117391</v>
      </c>
      <c r="G52" s="23">
        <v>3.7013080562031968</v>
      </c>
      <c r="H52" s="24">
        <v>0.26007652473224019</v>
      </c>
      <c r="I52" s="23">
        <v>6.5905314821534304</v>
      </c>
      <c r="J52" s="24">
        <v>7.7454736683945606</v>
      </c>
      <c r="K52" s="23">
        <v>2.3234504754295306</v>
      </c>
      <c r="L52" s="24">
        <v>2.3174246947534871</v>
      </c>
      <c r="M52" s="23">
        <v>2.2496238193089426</v>
      </c>
      <c r="N52" s="14">
        <v>2.3036769836512039</v>
      </c>
      <c r="O52" s="38" t="s">
        <v>31</v>
      </c>
      <c r="P52" s="38"/>
      <c r="Q52" s="38"/>
      <c r="R52" s="38"/>
    </row>
    <row r="53" spans="1:18" x14ac:dyDescent="0.25">
      <c r="A53">
        <v>7</v>
      </c>
      <c r="B53">
        <v>31</v>
      </c>
      <c r="C53" s="29">
        <v>1.72012935270011</v>
      </c>
      <c r="D53" s="30">
        <v>1.909030736772432</v>
      </c>
      <c r="E53" s="29">
        <v>2.5003798959085208</v>
      </c>
      <c r="F53" s="30">
        <v>2.7697583278902682</v>
      </c>
      <c r="G53" s="29">
        <v>2.4431661182144739</v>
      </c>
      <c r="H53" s="30">
        <v>6.6691294131855203</v>
      </c>
      <c r="I53" s="29">
        <v>2.431172523360579</v>
      </c>
      <c r="J53" s="30">
        <v>1.883428925747946</v>
      </c>
      <c r="K53" s="29">
        <v>2.1102546243043152</v>
      </c>
      <c r="L53" s="30">
        <v>2.3393945323313501</v>
      </c>
      <c r="M53" s="29">
        <v>2.0381317033111062</v>
      </c>
      <c r="N53" s="11">
        <v>2.2602231937785056</v>
      </c>
    </row>
    <row r="54" spans="1:18" x14ac:dyDescent="0.25">
      <c r="A54">
        <v>8</v>
      </c>
      <c r="B54">
        <v>32</v>
      </c>
      <c r="C54" s="29">
        <v>1.625601018364965</v>
      </c>
      <c r="D54" s="30">
        <v>2.0134946986830919</v>
      </c>
      <c r="E54" s="29">
        <v>2.491024959161189</v>
      </c>
      <c r="F54" s="30">
        <v>2.5749930786267989</v>
      </c>
      <c r="G54" s="29">
        <v>8.7806043896094449E-2</v>
      </c>
      <c r="H54" s="30">
        <v>11.500563715269729</v>
      </c>
      <c r="I54" s="29">
        <v>0.98093572738516643</v>
      </c>
      <c r="J54" s="30">
        <v>3.3628837277456221</v>
      </c>
      <c r="K54" s="29">
        <v>2.0583129887630771</v>
      </c>
      <c r="L54" s="30">
        <v>2.2942438886549454</v>
      </c>
      <c r="M54" s="29">
        <v>1.9673454583884393</v>
      </c>
      <c r="N54" s="11">
        <v>2.2598882963573619</v>
      </c>
    </row>
    <row r="55" spans="1:18" x14ac:dyDescent="0.25">
      <c r="A55">
        <v>8</v>
      </c>
      <c r="B55">
        <v>33</v>
      </c>
      <c r="C55" s="29">
        <v>1.760315949720995</v>
      </c>
      <c r="D55" s="30">
        <v>1.7433304460805541</v>
      </c>
      <c r="E55" s="29">
        <v>3.2272727272727271</v>
      </c>
      <c r="F55" s="30">
        <v>3.0983181063122922</v>
      </c>
      <c r="G55" s="29">
        <v>0.54335343671450254</v>
      </c>
      <c r="H55" s="30">
        <v>0.6157020356911127</v>
      </c>
      <c r="I55" s="29">
        <v>1.6871623189366569</v>
      </c>
      <c r="J55" s="30">
        <v>2.519780888618381</v>
      </c>
      <c r="K55" s="29">
        <v>2.4937943384968611</v>
      </c>
      <c r="L55" s="30">
        <v>2.4208242761964232</v>
      </c>
      <c r="M55" s="29">
        <v>2.278062616559632</v>
      </c>
      <c r="N55" s="11">
        <v>2.2312203076811028</v>
      </c>
    </row>
    <row r="56" spans="1:18" x14ac:dyDescent="0.25">
      <c r="A56" s="10">
        <v>7</v>
      </c>
      <c r="B56" s="10">
        <v>34</v>
      </c>
      <c r="C56" s="23">
        <v>1.8173860823086181</v>
      </c>
      <c r="D56" s="24">
        <v>1.79255431202645</v>
      </c>
      <c r="E56" s="23">
        <v>2.941742962428294</v>
      </c>
      <c r="F56" s="24">
        <v>2.943673877127599</v>
      </c>
      <c r="G56" s="23">
        <v>2.8024234794240299</v>
      </c>
      <c r="H56" s="24">
        <v>6.6834754217304564</v>
      </c>
      <c r="I56" s="23">
        <v>1.9073968887993109</v>
      </c>
      <c r="J56" s="24">
        <v>5.8612352553300608</v>
      </c>
      <c r="K56" s="23">
        <v>2.3795645223684563</v>
      </c>
      <c r="L56" s="24">
        <v>2.3681140945770247</v>
      </c>
      <c r="M56" s="23">
        <v>2.246748372397644</v>
      </c>
      <c r="N56" s="14">
        <v>2.2282268044974334</v>
      </c>
      <c r="O56" s="38" t="s">
        <v>32</v>
      </c>
      <c r="P56" s="38"/>
    </row>
    <row r="57" spans="1:18" x14ac:dyDescent="0.25">
      <c r="A57">
        <v>8</v>
      </c>
      <c r="B57">
        <v>35</v>
      </c>
      <c r="C57" s="29">
        <v>1.5598883868459721</v>
      </c>
      <c r="D57" s="30">
        <v>1.90769051858268</v>
      </c>
      <c r="E57" s="29">
        <v>2.5877654522660789</v>
      </c>
      <c r="F57" s="30">
        <v>2.657841915836102</v>
      </c>
      <c r="G57" s="29">
        <v>6.5367286074787794</v>
      </c>
      <c r="H57" s="30">
        <v>3.065172147860169</v>
      </c>
      <c r="I57" s="29">
        <v>7.7719791248494579</v>
      </c>
      <c r="J57" s="30">
        <v>8.2675765977109545</v>
      </c>
      <c r="K57" s="29">
        <v>2.0738269195560255</v>
      </c>
      <c r="L57" s="30">
        <v>2.282766217209391</v>
      </c>
      <c r="M57" s="29">
        <v>1.9464619919849679</v>
      </c>
      <c r="N57" s="11">
        <v>2.2211384523337152</v>
      </c>
    </row>
    <row r="58" spans="1:18" x14ac:dyDescent="0.25">
      <c r="A58">
        <v>8</v>
      </c>
      <c r="B58">
        <v>36</v>
      </c>
      <c r="C58" s="29">
        <v>1.6379252472781021</v>
      </c>
      <c r="D58" s="30">
        <v>2.0215725903469508</v>
      </c>
      <c r="E58" s="29">
        <v>2.2380807658701509</v>
      </c>
      <c r="F58" s="30">
        <v>2.447916666666667</v>
      </c>
      <c r="G58" s="29">
        <v>1.880387335617195</v>
      </c>
      <c r="H58" s="30">
        <v>7.7258157147427813</v>
      </c>
      <c r="I58" s="29">
        <v>1.572970304013543</v>
      </c>
      <c r="J58" s="30">
        <v>2.9650847720058842</v>
      </c>
      <c r="K58" s="29">
        <v>1.9380030065741265</v>
      </c>
      <c r="L58" s="30">
        <v>2.2347446285068089</v>
      </c>
      <c r="M58" s="29">
        <v>1.8915393729684693</v>
      </c>
      <c r="N58" s="30">
        <v>2.2144101718205471</v>
      </c>
    </row>
    <row r="59" spans="1:18" x14ac:dyDescent="0.25">
      <c r="B59" t="s">
        <v>24</v>
      </c>
      <c r="C59" s="35">
        <v>1</v>
      </c>
      <c r="D59" s="36"/>
      <c r="E59" s="35">
        <v>1</v>
      </c>
      <c r="F59" s="36"/>
      <c r="G59" s="35">
        <v>1.508511169945449</v>
      </c>
      <c r="H59" s="36"/>
      <c r="I59" s="35">
        <v>4.7536995742955606</v>
      </c>
      <c r="J59" s="36"/>
      <c r="K59" s="35">
        <v>1</v>
      </c>
      <c r="L59" s="36"/>
      <c r="M59" s="35">
        <v>1</v>
      </c>
      <c r="N59" s="36"/>
    </row>
  </sheetData>
  <conditionalFormatting sqref="H58 G5:G15 I5:I15 G40:G58 I40:I58">
    <cfRule type="cellIs" dxfId="1" priority="4" operator="greaterThan">
      <formula>33</formula>
    </cfRule>
  </conditionalFormatting>
  <conditionalFormatting sqref="J58">
    <cfRule type="cellIs" dxfId="0" priority="3" operator="greaterThan">
      <formula>33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Yield Comparison</vt:lpstr>
      <vt:lpstr>Round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2025-07-24T15:00:55Z</dcterms:modified>
</cp:coreProperties>
</file>