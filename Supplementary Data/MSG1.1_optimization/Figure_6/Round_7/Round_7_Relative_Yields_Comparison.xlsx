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7\"/>
    </mc:Choice>
  </mc:AlternateContent>
  <xr:revisionPtr revIDLastSave="0" documentId="13_ncr:1_{786AEC86-3200-4D4E-A1FA-B328683207C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1" l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4" i="1"/>
</calcChain>
</file>

<file path=xl/sharedStrings.xml><?xml version="1.0" encoding="utf-8"?>
<sst xmlns="http://schemas.openxmlformats.org/spreadsheetml/2006/main" count="83" uniqueCount="71">
  <si>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</si>
  <si>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</si>
  <si>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</si>
  <si>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</si>
  <si>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</si>
  <si>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</si>
  <si>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</si>
  <si>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</si>
  <si>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</si>
  <si>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</si>
  <si>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</si>
  <si>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</si>
  <si>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</si>
  <si>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</si>
  <si>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</si>
  <si>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</si>
  <si>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</si>
  <si>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</si>
  <si>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</si>
  <si>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</si>
  <si>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</si>
  <si>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</si>
  <si>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</si>
  <si>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</si>
  <si>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</si>
  <si>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</si>
  <si>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</si>
  <si>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</si>
  <si>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</si>
  <si>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</si>
  <si>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</si>
  <si>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</si>
  <si>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</si>
  <si>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</si>
  <si>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</si>
  <si>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</si>
  <si>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</si>
  <si>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</si>
  <si>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</si>
  <si>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REF</t>
  </si>
  <si>
    <t>TOP6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</si>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</sst>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4" xfId="0" applyFill="1" applyBorder="1"/>
    <xf numFmtId="0" fontId="0" fillId="0" borderId="0" xfId="0" applyFill="1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Relative yield mVenus vs mCherry - 0.1nM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Sheet1!$C$4:$C$35</c:f>
              <c:numCache>
                <c:formatCode>General</c:formatCode>
                <c:ptCount val="32"/>
                <c:pt idx="0">
                  <c:v>0.52726948132877927</c:v>
                </c:pt>
                <c:pt idx="1">
                  <c:v>0.97134474558230088</c:v>
                </c:pt>
                <c:pt idx="2">
                  <c:v>0.61691424644798798</c:v>
                </c:pt>
                <c:pt idx="3">
                  <c:v>1.1833653334411229</c:v>
                </c:pt>
                <c:pt idx="4">
                  <c:v>0.36666936141258583</c:v>
                </c:pt>
                <c:pt idx="5">
                  <c:v>1.2254734331736701</c:v>
                </c:pt>
                <c:pt idx="6">
                  <c:v>0.65441837277767667</c:v>
                </c:pt>
                <c:pt idx="7">
                  <c:v>0.85496069039390454</c:v>
                </c:pt>
                <c:pt idx="8">
                  <c:v>1.0113428592601581</c:v>
                </c:pt>
                <c:pt idx="9">
                  <c:v>0.16097132116655549</c:v>
                </c:pt>
                <c:pt idx="10">
                  <c:v>0.42032714215458411</c:v>
                </c:pt>
                <c:pt idx="11">
                  <c:v>0.83786993808821242</c:v>
                </c:pt>
                <c:pt idx="12">
                  <c:v>0.40977249607577632</c:v>
                </c:pt>
                <c:pt idx="13">
                  <c:v>0.48144936909261171</c:v>
                </c:pt>
                <c:pt idx="14">
                  <c:v>0.76548434689464218</c:v>
                </c:pt>
                <c:pt idx="15">
                  <c:v>1.111616375970951</c:v>
                </c:pt>
                <c:pt idx="16">
                  <c:v>0.33214629775595028</c:v>
                </c:pt>
                <c:pt idx="17">
                  <c:v>0.59705262165093609</c:v>
                </c:pt>
                <c:pt idx="18">
                  <c:v>1.17833963230192</c:v>
                </c:pt>
                <c:pt idx="19">
                  <c:v>0.54742752817693696</c:v>
                </c:pt>
                <c:pt idx="20">
                  <c:v>0.70151646826599834</c:v>
                </c:pt>
                <c:pt idx="21">
                  <c:v>1.019854887932254</c:v>
                </c:pt>
                <c:pt idx="22">
                  <c:v>0.56041620350721177</c:v>
                </c:pt>
                <c:pt idx="23">
                  <c:v>0.56846540956769542</c:v>
                </c:pt>
                <c:pt idx="24">
                  <c:v>1.0358279943679809</c:v>
                </c:pt>
                <c:pt idx="25">
                  <c:v>0.58770656911686436</c:v>
                </c:pt>
                <c:pt idx="26">
                  <c:v>0.64700041094875271</c:v>
                </c:pt>
                <c:pt idx="27">
                  <c:v>0.49377513692677699</c:v>
                </c:pt>
                <c:pt idx="28">
                  <c:v>0.84725236969219264</c:v>
                </c:pt>
                <c:pt idx="29">
                  <c:v>9.0232893416062027E-2</c:v>
                </c:pt>
                <c:pt idx="30">
                  <c:v>1</c:v>
                </c:pt>
                <c:pt idx="31">
                  <c:v>1.091455634376874</c:v>
                </c:pt>
              </c:numCache>
            </c:numRef>
          </c:xVal>
          <c:yVal>
            <c:numRef>
              <c:f>Sheet1!$D$4:$D$35</c:f>
              <c:numCache>
                <c:formatCode>General</c:formatCode>
                <c:ptCount val="32"/>
                <c:pt idx="0">
                  <c:v>2.2534286833855801</c:v>
                </c:pt>
                <c:pt idx="1">
                  <c:v>1.88567789968652</c:v>
                </c:pt>
                <c:pt idx="2">
                  <c:v>2.4865791536050161</c:v>
                </c:pt>
                <c:pt idx="3">
                  <c:v>3.436259143155695</c:v>
                </c:pt>
                <c:pt idx="4">
                  <c:v>1.692594043887147</c:v>
                </c:pt>
                <c:pt idx="5">
                  <c:v>3.938218390804598</c:v>
                </c:pt>
                <c:pt idx="6">
                  <c:v>1.0737983281086729</c:v>
                </c:pt>
                <c:pt idx="7">
                  <c:v>3.2260318704284221</c:v>
                </c:pt>
                <c:pt idx="8">
                  <c:v>4.3076671891327063</c:v>
                </c:pt>
                <c:pt idx="9">
                  <c:v>9.8615464994775331E-2</c:v>
                </c:pt>
                <c:pt idx="10">
                  <c:v>1.896747648902821</c:v>
                </c:pt>
                <c:pt idx="11">
                  <c:v>1.4484391327063739</c:v>
                </c:pt>
                <c:pt idx="12">
                  <c:v>0.36634665621734591</c:v>
                </c:pt>
                <c:pt idx="13">
                  <c:v>2.450496342737722</c:v>
                </c:pt>
                <c:pt idx="14">
                  <c:v>1.3703304597701149</c:v>
                </c:pt>
                <c:pt idx="15">
                  <c:v>4.6661768547544407</c:v>
                </c:pt>
                <c:pt idx="16">
                  <c:v>0.18772857889237199</c:v>
                </c:pt>
                <c:pt idx="17">
                  <c:v>2.0092737722048071</c:v>
                </c:pt>
                <c:pt idx="18">
                  <c:v>3.8272923197492159</c:v>
                </c:pt>
                <c:pt idx="19">
                  <c:v>1.973288923719958</c:v>
                </c:pt>
                <c:pt idx="20">
                  <c:v>2.7613309822361538</c:v>
                </c:pt>
                <c:pt idx="21">
                  <c:v>3.5701084117032389</c:v>
                </c:pt>
                <c:pt idx="22">
                  <c:v>2.52667842215256</c:v>
                </c:pt>
                <c:pt idx="23">
                  <c:v>2.7060148902821308</c:v>
                </c:pt>
                <c:pt idx="24">
                  <c:v>2.8726162486938351</c:v>
                </c:pt>
                <c:pt idx="25">
                  <c:v>0.63381661442006265</c:v>
                </c:pt>
                <c:pt idx="26">
                  <c:v>3.052115987460815</c:v>
                </c:pt>
                <c:pt idx="27">
                  <c:v>0.36918756530825492</c:v>
                </c:pt>
                <c:pt idx="28">
                  <c:v>1.505877742946709</c:v>
                </c:pt>
                <c:pt idx="29">
                  <c:v>0.76580459770114939</c:v>
                </c:pt>
                <c:pt idx="30">
                  <c:v>1</c:v>
                </c:pt>
                <c:pt idx="31">
                  <c:v>2.8004506269592482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3-42D2-B457-16C860165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574495"/>
        <c:axId val="1697574911"/>
      </c:scatterChart>
      <c:valAx>
        <c:axId val="169757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74911"/>
        <c:crosses val="autoZero"/>
        <c:crossBetween val="midCat"/>
      </c:valAx>
      <c:valAx>
        <c:axId val="16975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7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Relative yield mVenus vs mCherry - 1nM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7171296296296298"/>
          <c:w val="0.8807386264216973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Sheet1!$K$4:$K$35</c:f>
              <c:numCache>
                <c:formatCode>General</c:formatCode>
                <c:ptCount val="32"/>
                <c:pt idx="0">
                  <c:v>1.0970294257101849</c:v>
                </c:pt>
                <c:pt idx="1">
                  <c:v>1.6435546334276321</c:v>
                </c:pt>
                <c:pt idx="2">
                  <c:v>1.1171115898539059</c:v>
                </c:pt>
                <c:pt idx="3">
                  <c:v>1.6873873902542249</c:v>
                </c:pt>
                <c:pt idx="4">
                  <c:v>1.2796801262692961</c:v>
                </c:pt>
                <c:pt idx="5">
                  <c:v>1.626320529261827</c:v>
                </c:pt>
                <c:pt idx="6">
                  <c:v>1.349856324125136</c:v>
                </c:pt>
                <c:pt idx="7">
                  <c:v>2.107883875525459</c:v>
                </c:pt>
                <c:pt idx="8">
                  <c:v>1.909030736772432</c:v>
                </c:pt>
                <c:pt idx="9">
                  <c:v>1.166552638194553</c:v>
                </c:pt>
                <c:pt idx="10">
                  <c:v>1.666538954777899</c:v>
                </c:pt>
                <c:pt idx="11">
                  <c:v>1.482554280204551</c:v>
                </c:pt>
                <c:pt idx="12">
                  <c:v>1.084955560717775</c:v>
                </c:pt>
                <c:pt idx="13">
                  <c:v>1.907509649990931</c:v>
                </c:pt>
                <c:pt idx="14">
                  <c:v>1.384871869122893</c:v>
                </c:pt>
                <c:pt idx="15">
                  <c:v>1.453740186921836</c:v>
                </c:pt>
                <c:pt idx="16">
                  <c:v>1.002201438986281</c:v>
                </c:pt>
                <c:pt idx="17">
                  <c:v>1.79255431202645</c:v>
                </c:pt>
                <c:pt idx="18">
                  <c:v>0.26225254495638811</c:v>
                </c:pt>
                <c:pt idx="19">
                  <c:v>1.7940403947188379</c:v>
                </c:pt>
                <c:pt idx="20">
                  <c:v>1.666248739057244</c:v>
                </c:pt>
                <c:pt idx="21">
                  <c:v>0.95546843426709394</c:v>
                </c:pt>
                <c:pt idx="22">
                  <c:v>1.592645959096131</c:v>
                </c:pt>
                <c:pt idx="23">
                  <c:v>1.3732091430680771</c:v>
                </c:pt>
                <c:pt idx="24">
                  <c:v>0.68059914271803568</c:v>
                </c:pt>
                <c:pt idx="25">
                  <c:v>1.2469271183042741</c:v>
                </c:pt>
                <c:pt idx="26">
                  <c:v>0.66401484173378433</c:v>
                </c:pt>
                <c:pt idx="27">
                  <c:v>1.8170151694993459</c:v>
                </c:pt>
                <c:pt idx="28">
                  <c:v>1.9290683502572801</c:v>
                </c:pt>
                <c:pt idx="29">
                  <c:v>1.569953126342486</c:v>
                </c:pt>
                <c:pt idx="30">
                  <c:v>1</c:v>
                </c:pt>
                <c:pt idx="31">
                  <c:v>1.7269171898717259</c:v>
                </c:pt>
              </c:numCache>
            </c:numRef>
          </c:xVal>
          <c:yVal>
            <c:numRef>
              <c:f>Sheet1!$L$4:$L$35</c:f>
              <c:numCache>
                <c:formatCode>General</c:formatCode>
                <c:ptCount val="32"/>
                <c:pt idx="0">
                  <c:v>3.3073154800783811</c:v>
                </c:pt>
                <c:pt idx="1">
                  <c:v>2.6323241249471701</c:v>
                </c:pt>
                <c:pt idx="2">
                  <c:v>0.65476236216236994</c:v>
                </c:pt>
                <c:pt idx="3">
                  <c:v>2.0695239558919591</c:v>
                </c:pt>
                <c:pt idx="4">
                  <c:v>2.984458446997349</c:v>
                </c:pt>
                <c:pt idx="5">
                  <c:v>2.3518845813962419</c:v>
                </c:pt>
                <c:pt idx="6">
                  <c:v>2.6536865562684908</c:v>
                </c:pt>
                <c:pt idx="7">
                  <c:v>2.8040688515772079</c:v>
                </c:pt>
                <c:pt idx="8">
                  <c:v>2.7697583278902682</c:v>
                </c:pt>
                <c:pt idx="9">
                  <c:v>2.4602912360241289</c:v>
                </c:pt>
                <c:pt idx="10">
                  <c:v>1.6898605294501861</c:v>
                </c:pt>
                <c:pt idx="11">
                  <c:v>2.7485687939447501</c:v>
                </c:pt>
                <c:pt idx="12">
                  <c:v>3.0091827717370419</c:v>
                </c:pt>
                <c:pt idx="13">
                  <c:v>2.5842970761132671</c:v>
                </c:pt>
                <c:pt idx="14">
                  <c:v>1.5681215660660079</c:v>
                </c:pt>
                <c:pt idx="15">
                  <c:v>1.877185230721943</c:v>
                </c:pt>
                <c:pt idx="16">
                  <c:v>1.646789872055942</c:v>
                </c:pt>
                <c:pt idx="17">
                  <c:v>2.943673877127599</c:v>
                </c:pt>
                <c:pt idx="18">
                  <c:v>0.10982825527337001</c:v>
                </c:pt>
                <c:pt idx="19">
                  <c:v>2.2621892649940452</c:v>
                </c:pt>
                <c:pt idx="20">
                  <c:v>2.35192300303531</c:v>
                </c:pt>
                <c:pt idx="21">
                  <c:v>2.9678795097398858</c:v>
                </c:pt>
                <c:pt idx="22">
                  <c:v>2.3653321550697348</c:v>
                </c:pt>
                <c:pt idx="23">
                  <c:v>2.78902677988243</c:v>
                </c:pt>
                <c:pt idx="24">
                  <c:v>0.29406001460022291</c:v>
                </c:pt>
                <c:pt idx="25">
                  <c:v>3.4148576478272572</c:v>
                </c:pt>
                <c:pt idx="26">
                  <c:v>3.077899873208592</c:v>
                </c:pt>
                <c:pt idx="27">
                  <c:v>2.4859376801014328</c:v>
                </c:pt>
                <c:pt idx="28">
                  <c:v>2.0845276059476698</c:v>
                </c:pt>
                <c:pt idx="29">
                  <c:v>2.4684942559649601</c:v>
                </c:pt>
                <c:pt idx="30">
                  <c:v>1</c:v>
                </c:pt>
                <c:pt idx="31">
                  <c:v>2.9978675990317751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B-4A30-9D01-BA2414B33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396671"/>
        <c:axId val="1703383359"/>
      </c:scatterChart>
      <c:valAx>
        <c:axId val="170339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83359"/>
        <c:crosses val="autoZero"/>
        <c:crossBetween val="midCat"/>
      </c:valAx>
      <c:valAx>
        <c:axId val="17033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9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37</xdr:row>
      <xdr:rowOff>171449</xdr:rowOff>
    </xdr:from>
    <xdr:to>
      <xdr:col>7</xdr:col>
      <xdr:colOff>590550</xdr:colOff>
      <xdr:row>55</xdr:row>
      <xdr:rowOff>161924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E210373-159A-4A82-A866-EC2F96B0D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37</xdr:row>
      <xdr:rowOff>33337</xdr:rowOff>
    </xdr:from>
    <xdr:to>
      <xdr:col>16</xdr:col>
      <xdr:colOff>466725</xdr:colOff>
      <xdr:row>56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FECEEA-3596-49AE-B6DB-F3F8CE9DB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5"/>
  <sheetViews>
    <sheetView tabSelected="1" workbookViewId="0">
      <selection activeCell="J49" sqref="J49"/>
    </sheetView>
  </sheetViews>
  <sheetFormatPr baseColWidth="10" defaultColWidth="9.140625" defaultRowHeight="15" x14ac:dyDescent="0.25"/>
  <sheetData>
    <row r="1" spans="2:16" x14ac:dyDescent="0.25">
      <c r="C1" s="16" t="s">
        <v>0</v>
      </c>
      <c r="D1" s="16"/>
      <c r="E1" s="16"/>
      <c r="F1" s="16"/>
      <c r="G1" s="16"/>
      <c r="H1" s="16"/>
      <c r="K1" s="16" t="s">
        <v>1</v>
      </c>
      <c r="L1" s="16"/>
      <c r="M1" s="16"/>
      <c r="N1" s="16"/>
      <c r="O1" s="16"/>
      <c r="P1" s="16"/>
    </row>
    <row r="2" spans="2:16" x14ac:dyDescent="0.25">
      <c r="C2" s="17" t="s">
        <v>2</v>
      </c>
      <c r="D2" s="18"/>
      <c r="E2" s="19" t="s">
        <v>3</v>
      </c>
      <c r="F2" s="20"/>
      <c r="G2" s="1"/>
      <c r="H2" s="1"/>
      <c r="K2" s="17" t="s">
        <v>2</v>
      </c>
      <c r="L2" s="18"/>
      <c r="M2" s="19" t="s">
        <v>3</v>
      </c>
      <c r="N2" s="20"/>
      <c r="O2" s="1"/>
      <c r="P2" s="1"/>
    </row>
    <row r="3" spans="2:16" ht="45" x14ac:dyDescent="0.25">
      <c r="B3" s="11" t="s">
        <v>4</v>
      </c>
      <c r="C3" s="12" t="s">
        <v>5</v>
      </c>
      <c r="D3" s="12" t="s">
        <v>6</v>
      </c>
      <c r="E3" s="12" t="s">
        <v>5</v>
      </c>
      <c r="F3" s="12" t="s">
        <v>6</v>
      </c>
      <c r="G3" s="13" t="s">
        <v>7</v>
      </c>
      <c r="H3" s="14" t="s">
        <v>8</v>
      </c>
      <c r="I3" s="4"/>
      <c r="K3" s="1" t="s">
        <v>5</v>
      </c>
      <c r="L3" s="1" t="s">
        <v>6</v>
      </c>
      <c r="M3" s="1" t="s">
        <v>5</v>
      </c>
      <c r="N3" s="1" t="s">
        <v>6</v>
      </c>
      <c r="O3" s="2" t="s">
        <v>7</v>
      </c>
      <c r="P3" s="3" t="s">
        <v>8</v>
      </c>
    </row>
    <row r="4" spans="2:16" x14ac:dyDescent="0.25">
      <c r="B4" s="10" t="s">
        <v>9</v>
      </c>
      <c r="C4">
        <v>0.52726948132877927</v>
      </c>
      <c r="D4">
        <v>2.2534286833855801</v>
      </c>
      <c r="E4">
        <v>6.0230904702889569</v>
      </c>
      <c r="F4">
        <v>4.6038543897216284</v>
      </c>
      <c r="G4" s="6">
        <f>AVERAGE(C4:D4)</f>
        <v>1.3903490823571798</v>
      </c>
      <c r="H4" s="6">
        <f>HARMEAN(C4:D4)</f>
        <v>0.85457975135691155</v>
      </c>
      <c r="J4" t="s">
        <v>41</v>
      </c>
      <c r="K4">
        <v>1.0970294257101849</v>
      </c>
      <c r="L4">
        <v>3.3073154800783811</v>
      </c>
      <c r="M4">
        <v>23.534353025684251</v>
      </c>
      <c r="N4">
        <v>13.546690048224461</v>
      </c>
      <c r="O4" s="6">
        <f>AVERAGE(K4:L4)</f>
        <v>2.202172452894283</v>
      </c>
      <c r="P4" s="6">
        <f>HARMEAN(K4:L4)</f>
        <v>1.6475650655716227</v>
      </c>
    </row>
    <row r="5" spans="2:16" x14ac:dyDescent="0.25">
      <c r="B5" s="10" t="s">
        <v>10</v>
      </c>
      <c r="C5">
        <v>0.97134474558230088</v>
      </c>
      <c r="D5">
        <v>1.88567789968652</v>
      </c>
      <c r="E5">
        <v>16.265905092179409</v>
      </c>
      <c r="F5">
        <v>12.308137851143931</v>
      </c>
      <c r="G5" s="6">
        <f t="shared" ref="G5:G35" si="0">AVERAGE(C5:D5)</f>
        <v>1.4285113226344104</v>
      </c>
      <c r="H5" s="6">
        <f t="shared" ref="H5:H35" si="1">HARMEAN(C5:D5)</f>
        <v>1.2822042714672488</v>
      </c>
      <c r="J5" t="s">
        <v>42</v>
      </c>
      <c r="K5">
        <v>1.6435546334276321</v>
      </c>
      <c r="L5">
        <v>2.6323241249471701</v>
      </c>
      <c r="M5">
        <v>9.317583995252896</v>
      </c>
      <c r="N5">
        <v>9.9111582036025752</v>
      </c>
      <c r="O5" s="6">
        <f t="shared" ref="O5:O35" si="2">AVERAGE(K5:L5)</f>
        <v>2.1379393791874008</v>
      </c>
      <c r="P5" s="6">
        <f t="shared" ref="P5:P35" si="3">HARMEAN(K5:L5)</f>
        <v>2.0236160830175862</v>
      </c>
    </row>
    <row r="6" spans="2:16" x14ac:dyDescent="0.25">
      <c r="B6" s="10" t="s">
        <v>11</v>
      </c>
      <c r="C6">
        <v>0.61691424644798798</v>
      </c>
      <c r="D6">
        <v>2.4865791536050161</v>
      </c>
      <c r="E6">
        <v>12.01909793216255</v>
      </c>
      <c r="F6">
        <v>13.001316062893951</v>
      </c>
      <c r="G6" s="6">
        <f t="shared" si="0"/>
        <v>1.5517467000265022</v>
      </c>
      <c r="H6" s="6">
        <f t="shared" si="1"/>
        <v>0.98856733818303932</v>
      </c>
      <c r="J6" s="15" t="s">
        <v>43</v>
      </c>
      <c r="K6">
        <v>1.1171115898539059</v>
      </c>
      <c r="L6">
        <v>0.65476236216236994</v>
      </c>
      <c r="M6">
        <v>19.710338086987431</v>
      </c>
      <c r="N6">
        <v>44.831047172967537</v>
      </c>
      <c r="O6" s="6">
        <f t="shared" si="2"/>
        <v>0.88593697600813792</v>
      </c>
      <c r="P6" s="6">
        <f t="shared" si="3"/>
        <v>0.82561473691666443</v>
      </c>
    </row>
    <row r="7" spans="2:16" x14ac:dyDescent="0.25">
      <c r="B7" s="10" t="s">
        <v>12</v>
      </c>
      <c r="C7">
        <v>1.1833653334411229</v>
      </c>
      <c r="D7">
        <v>3.436259143155695</v>
      </c>
      <c r="E7">
        <v>6.4309268637380761</v>
      </c>
      <c r="F7">
        <v>4.6319018404907979</v>
      </c>
      <c r="G7" s="6">
        <f t="shared" si="0"/>
        <v>2.309812238298409</v>
      </c>
      <c r="H7" s="6">
        <f t="shared" si="1"/>
        <v>1.7604677468183052</v>
      </c>
      <c r="J7" t="s">
        <v>44</v>
      </c>
      <c r="K7">
        <v>1.6873873902542249</v>
      </c>
      <c r="L7">
        <v>2.0695239558919591</v>
      </c>
      <c r="M7">
        <v>4.6900392499738652</v>
      </c>
      <c r="N7">
        <v>4.5023449713392392</v>
      </c>
      <c r="O7" s="6">
        <f t="shared" si="2"/>
        <v>1.8784556730730921</v>
      </c>
      <c r="P7" s="6">
        <f t="shared" si="3"/>
        <v>1.8590210442859103</v>
      </c>
    </row>
    <row r="8" spans="2:16" x14ac:dyDescent="0.25">
      <c r="B8" s="10" t="s">
        <v>13</v>
      </c>
      <c r="C8">
        <v>0.36666936141258583</v>
      </c>
      <c r="D8">
        <v>1.692594043887147</v>
      </c>
      <c r="E8">
        <v>3.6108258833947229</v>
      </c>
      <c r="F8">
        <v>1.800043374539146</v>
      </c>
      <c r="G8" s="6">
        <f t="shared" si="0"/>
        <v>1.0296317026498665</v>
      </c>
      <c r="H8" s="6">
        <f t="shared" si="1"/>
        <v>0.6027615268698594</v>
      </c>
      <c r="J8" t="s">
        <v>45</v>
      </c>
      <c r="K8">
        <v>1.2796801262692961</v>
      </c>
      <c r="L8">
        <v>2.984458446997349</v>
      </c>
      <c r="M8">
        <v>1.5470293905289889</v>
      </c>
      <c r="N8">
        <v>14.58512776342234</v>
      </c>
      <c r="O8" s="6">
        <f t="shared" si="2"/>
        <v>2.1320692866333224</v>
      </c>
      <c r="P8" s="6">
        <f t="shared" si="3"/>
        <v>1.7912889539953587</v>
      </c>
    </row>
    <row r="9" spans="2:16" x14ac:dyDescent="0.25">
      <c r="B9" s="9" t="s">
        <v>14</v>
      </c>
      <c r="C9" s="7">
        <v>1.2254734331736701</v>
      </c>
      <c r="D9" s="7">
        <v>3.938218390804598</v>
      </c>
      <c r="E9" s="7">
        <v>6.5119357791704813</v>
      </c>
      <c r="F9" s="7">
        <v>7.1320586927523344</v>
      </c>
      <c r="G9" s="7">
        <f t="shared" si="0"/>
        <v>2.5818459119891339</v>
      </c>
      <c r="H9" s="8">
        <f t="shared" si="1"/>
        <v>1.8692757726384828</v>
      </c>
      <c r="J9" t="s">
        <v>46</v>
      </c>
      <c r="K9">
        <v>1.626320529261827</v>
      </c>
      <c r="L9">
        <v>2.3518845813962419</v>
      </c>
      <c r="M9">
        <v>0.34560291444904789</v>
      </c>
      <c r="N9">
        <v>0.60746580106654302</v>
      </c>
      <c r="O9" s="6">
        <f t="shared" si="2"/>
        <v>1.9891025553290345</v>
      </c>
      <c r="P9" s="6">
        <f t="shared" si="3"/>
        <v>1.9229366363899494</v>
      </c>
    </row>
    <row r="10" spans="2:16" x14ac:dyDescent="0.25">
      <c r="B10" s="10" t="s">
        <v>15</v>
      </c>
      <c r="C10">
        <v>0.65441837277767667</v>
      </c>
      <c r="D10">
        <v>1.0737983281086729</v>
      </c>
      <c r="E10">
        <v>3.3035136311058761</v>
      </c>
      <c r="F10">
        <v>11.13670011515052</v>
      </c>
      <c r="G10" s="6">
        <f t="shared" si="0"/>
        <v>0.8641083504431748</v>
      </c>
      <c r="H10" s="6">
        <f t="shared" si="1"/>
        <v>0.81322365906065741</v>
      </c>
      <c r="J10" t="s">
        <v>47</v>
      </c>
      <c r="K10">
        <v>1.349856324125136</v>
      </c>
      <c r="L10">
        <v>2.6536865562684908</v>
      </c>
      <c r="M10">
        <v>16.635651502335332</v>
      </c>
      <c r="N10">
        <v>7.2406884991209788</v>
      </c>
      <c r="O10" s="6">
        <f t="shared" si="2"/>
        <v>2.0017714401968134</v>
      </c>
      <c r="P10" s="6">
        <f t="shared" si="3"/>
        <v>1.7894628269212822</v>
      </c>
    </row>
    <row r="11" spans="2:16" x14ac:dyDescent="0.25">
      <c r="B11" s="10" t="s">
        <v>16</v>
      </c>
      <c r="C11">
        <v>0.85496069039390454</v>
      </c>
      <c r="D11">
        <v>3.2260318704284221</v>
      </c>
      <c r="E11">
        <v>12.68320135701773</v>
      </c>
      <c r="F11">
        <v>11.243659066837621</v>
      </c>
      <c r="G11" s="6">
        <f t="shared" si="0"/>
        <v>2.0404962804111633</v>
      </c>
      <c r="H11" s="6">
        <f t="shared" si="1"/>
        <v>1.3516958896972138</v>
      </c>
      <c r="J11" s="2" t="s">
        <v>48</v>
      </c>
      <c r="K11" s="7">
        <v>2.107883875525459</v>
      </c>
      <c r="L11" s="7">
        <v>2.8040688515772079</v>
      </c>
      <c r="M11" s="7">
        <v>3.3760993986260859</v>
      </c>
      <c r="N11" s="7">
        <v>1.2462686567164181</v>
      </c>
      <c r="O11" s="7">
        <f t="shared" si="2"/>
        <v>2.4559763635513336</v>
      </c>
      <c r="P11" s="8">
        <f t="shared" si="3"/>
        <v>2.4066402290435751</v>
      </c>
    </row>
    <row r="12" spans="2:16" x14ac:dyDescent="0.25">
      <c r="B12" s="10" t="s">
        <v>17</v>
      </c>
      <c r="C12">
        <v>1.0113428592601581</v>
      </c>
      <c r="D12">
        <v>4.3076671891327063</v>
      </c>
      <c r="E12">
        <v>3.431908965795039</v>
      </c>
      <c r="F12">
        <v>9.499037398107566</v>
      </c>
      <c r="G12" s="6">
        <f t="shared" si="0"/>
        <v>2.6595050241964322</v>
      </c>
      <c r="H12" s="6">
        <f t="shared" si="1"/>
        <v>1.6380974700790278</v>
      </c>
      <c r="J12" t="s">
        <v>49</v>
      </c>
      <c r="K12">
        <v>1.909030736772432</v>
      </c>
      <c r="L12">
        <v>2.7697583278902682</v>
      </c>
      <c r="M12">
        <v>6.6691294131855203</v>
      </c>
      <c r="N12">
        <v>1.883428925747946</v>
      </c>
      <c r="O12" s="6">
        <f t="shared" si="2"/>
        <v>2.3393945323313501</v>
      </c>
      <c r="P12" s="6">
        <f t="shared" si="3"/>
        <v>2.2602231937785056</v>
      </c>
    </row>
    <row r="13" spans="2:16" x14ac:dyDescent="0.25">
      <c r="B13" s="10" t="s">
        <v>18</v>
      </c>
      <c r="C13">
        <v>0.16097132116655549</v>
      </c>
      <c r="D13">
        <v>9.8615464994775331E-2</v>
      </c>
      <c r="E13">
        <v>31.668416467487209</v>
      </c>
      <c r="F13">
        <v>19.691119691119692</v>
      </c>
      <c r="G13" s="6">
        <f t="shared" si="0"/>
        <v>0.1297933930806654</v>
      </c>
      <c r="H13" s="6">
        <f t="shared" si="1"/>
        <v>0.12230408120849019</v>
      </c>
      <c r="J13" t="s">
        <v>50</v>
      </c>
      <c r="K13">
        <v>1.166552638194553</v>
      </c>
      <c r="L13">
        <v>2.4602912360241289</v>
      </c>
      <c r="M13">
        <v>3.0639768442325539</v>
      </c>
      <c r="N13">
        <v>3.882362742647671</v>
      </c>
      <c r="O13" s="6">
        <f t="shared" si="2"/>
        <v>1.813421937109341</v>
      </c>
      <c r="P13" s="6">
        <f t="shared" si="3"/>
        <v>1.5826759196957008</v>
      </c>
    </row>
    <row r="14" spans="2:16" x14ac:dyDescent="0.25">
      <c r="B14" s="5" t="s">
        <v>19</v>
      </c>
      <c r="C14">
        <v>0.42032714215458411</v>
      </c>
      <c r="D14">
        <v>1.896747648902821</v>
      </c>
      <c r="E14">
        <v>7.3403426791277262</v>
      </c>
      <c r="F14">
        <v>6.2054743157105356</v>
      </c>
      <c r="G14" s="6">
        <f t="shared" si="0"/>
        <v>1.1585373955287026</v>
      </c>
      <c r="H14" s="6">
        <f t="shared" si="1"/>
        <v>0.68815605066241248</v>
      </c>
      <c r="J14" t="s">
        <v>51</v>
      </c>
      <c r="K14">
        <v>1.666538954777899</v>
      </c>
      <c r="L14">
        <v>1.6898605294501861</v>
      </c>
      <c r="M14">
        <v>1.2032289967156511</v>
      </c>
      <c r="N14">
        <v>0.40816326530612251</v>
      </c>
      <c r="O14" s="6">
        <f t="shared" si="2"/>
        <v>1.6781997421140424</v>
      </c>
      <c r="P14" s="6">
        <f t="shared" si="3"/>
        <v>1.6781187184087669</v>
      </c>
    </row>
    <row r="15" spans="2:16" x14ac:dyDescent="0.25">
      <c r="B15" s="5" t="s">
        <v>20</v>
      </c>
      <c r="C15">
        <v>0.83786993808821242</v>
      </c>
      <c r="D15">
        <v>1.4484391327063739</v>
      </c>
      <c r="E15">
        <v>14.55207118393993</v>
      </c>
      <c r="F15">
        <v>23.91500321957502</v>
      </c>
      <c r="G15" s="6">
        <f t="shared" si="0"/>
        <v>1.1431545353972932</v>
      </c>
      <c r="H15" s="6">
        <f t="shared" si="1"/>
        <v>1.0616269007089725</v>
      </c>
      <c r="J15" t="s">
        <v>52</v>
      </c>
      <c r="K15">
        <v>1.482554280204551</v>
      </c>
      <c r="L15">
        <v>2.7485687939447501</v>
      </c>
      <c r="M15">
        <v>2.398481956648185</v>
      </c>
      <c r="N15">
        <v>8.1556420233463029</v>
      </c>
      <c r="O15" s="6">
        <f t="shared" si="2"/>
        <v>2.1155615370746506</v>
      </c>
      <c r="P15" s="6">
        <f t="shared" si="3"/>
        <v>1.9261564168604286</v>
      </c>
    </row>
    <row r="16" spans="2:16" x14ac:dyDescent="0.25">
      <c r="B16" s="5" t="s">
        <v>21</v>
      </c>
      <c r="C16">
        <v>0.40977249607577632</v>
      </c>
      <c r="D16">
        <v>0.36634665621734591</v>
      </c>
      <c r="E16">
        <v>3.2002111339082759</v>
      </c>
      <c r="F16">
        <v>8.1950729009552532</v>
      </c>
      <c r="G16" s="6">
        <f t="shared" si="0"/>
        <v>0.38805957614656111</v>
      </c>
      <c r="H16" s="6">
        <f t="shared" si="1"/>
        <v>0.3868446830712915</v>
      </c>
      <c r="J16" t="s">
        <v>53</v>
      </c>
      <c r="K16">
        <v>1.084955560717775</v>
      </c>
      <c r="L16">
        <v>3.0091827717370419</v>
      </c>
      <c r="M16">
        <v>20.761622561736171</v>
      </c>
      <c r="N16">
        <v>11.56152064313939</v>
      </c>
      <c r="O16" s="6">
        <f t="shared" si="2"/>
        <v>2.0470691662274083</v>
      </c>
      <c r="P16" s="6">
        <f t="shared" si="3"/>
        <v>1.5948799558292703</v>
      </c>
    </row>
    <row r="17" spans="2:16" x14ac:dyDescent="0.25">
      <c r="B17" s="5" t="s">
        <v>22</v>
      </c>
      <c r="C17">
        <v>0.48144936909261171</v>
      </c>
      <c r="D17">
        <v>2.450496342737722</v>
      </c>
      <c r="E17">
        <v>7.1298094210715579</v>
      </c>
      <c r="F17">
        <v>9.5839577535145928</v>
      </c>
      <c r="G17" s="6">
        <f t="shared" si="0"/>
        <v>1.4659728559151668</v>
      </c>
      <c r="H17" s="6">
        <f t="shared" si="1"/>
        <v>0.80478292173992394</v>
      </c>
      <c r="J17" t="s">
        <v>54</v>
      </c>
      <c r="K17">
        <v>1.907509649990931</v>
      </c>
      <c r="L17">
        <v>2.5842970761132671</v>
      </c>
      <c r="M17">
        <v>4.3848674005461481</v>
      </c>
      <c r="N17">
        <v>0.89386881530907714</v>
      </c>
      <c r="O17" s="6">
        <f t="shared" si="2"/>
        <v>2.2459033630520988</v>
      </c>
      <c r="P17" s="6">
        <f t="shared" si="3"/>
        <v>2.194917061983602</v>
      </c>
    </row>
    <row r="18" spans="2:16" x14ac:dyDescent="0.25">
      <c r="B18" s="5" t="s">
        <v>23</v>
      </c>
      <c r="C18">
        <v>0.76548434689464218</v>
      </c>
      <c r="D18">
        <v>1.3703304597701149</v>
      </c>
      <c r="E18">
        <v>11.14093840020691</v>
      </c>
      <c r="F18">
        <v>13.769639985154029</v>
      </c>
      <c r="G18" s="6">
        <f t="shared" si="0"/>
        <v>1.0679074033323785</v>
      </c>
      <c r="H18" s="6">
        <f t="shared" si="1"/>
        <v>0.98226354996106158</v>
      </c>
      <c r="J18" t="s">
        <v>55</v>
      </c>
      <c r="K18">
        <v>1.384871869122893</v>
      </c>
      <c r="L18">
        <v>1.5681215660660079</v>
      </c>
      <c r="M18">
        <v>0.12551784845175251</v>
      </c>
      <c r="N18">
        <v>2.7171675586661181</v>
      </c>
      <c r="O18" s="6">
        <f t="shared" si="2"/>
        <v>1.4764967175944506</v>
      </c>
      <c r="P18" s="6">
        <f t="shared" si="3"/>
        <v>1.4708108852066117</v>
      </c>
    </row>
    <row r="19" spans="2:16" x14ac:dyDescent="0.25">
      <c r="B19" s="5" t="s">
        <v>24</v>
      </c>
      <c r="C19">
        <v>1.111616375970951</v>
      </c>
      <c r="D19">
        <v>4.6661768547544407</v>
      </c>
      <c r="E19">
        <v>2.6060161055406428</v>
      </c>
      <c r="F19">
        <v>4.6191184529867684</v>
      </c>
      <c r="G19" s="6">
        <f t="shared" si="0"/>
        <v>2.8888966153626958</v>
      </c>
      <c r="H19" s="6">
        <f t="shared" si="1"/>
        <v>1.7954947149503455</v>
      </c>
      <c r="J19" t="s">
        <v>56</v>
      </c>
      <c r="K19">
        <v>1.453740186921836</v>
      </c>
      <c r="L19">
        <v>1.877185230721943</v>
      </c>
      <c r="M19">
        <v>1.800410053113525</v>
      </c>
      <c r="N19">
        <v>5.4292560341300913</v>
      </c>
      <c r="O19" s="6">
        <f t="shared" si="2"/>
        <v>1.6654627088218894</v>
      </c>
      <c r="P19" s="6">
        <f t="shared" si="3"/>
        <v>1.6385474101230504</v>
      </c>
    </row>
    <row r="20" spans="2:16" x14ac:dyDescent="0.25">
      <c r="B20" s="5" t="s">
        <v>25</v>
      </c>
      <c r="C20">
        <v>0.33214629775595028</v>
      </c>
      <c r="D20">
        <v>0.18772857889237199</v>
      </c>
      <c r="E20">
        <v>3.2495887239271282</v>
      </c>
      <c r="F20">
        <v>3.9704524469067408</v>
      </c>
      <c r="G20" s="6">
        <f t="shared" si="0"/>
        <v>0.25993743832416116</v>
      </c>
      <c r="H20" s="6">
        <f t="shared" si="1"/>
        <v>0.23987830634973006</v>
      </c>
      <c r="J20" t="s">
        <v>57</v>
      </c>
      <c r="K20">
        <v>1.002201438986281</v>
      </c>
      <c r="L20">
        <v>1.646789872055942</v>
      </c>
      <c r="M20">
        <v>20.189598078046881</v>
      </c>
      <c r="N20">
        <v>12.35752463133492</v>
      </c>
      <c r="O20" s="6">
        <f t="shared" si="2"/>
        <v>1.3244956555211114</v>
      </c>
      <c r="P20" s="6">
        <f t="shared" si="3"/>
        <v>1.2460706628993485</v>
      </c>
    </row>
    <row r="21" spans="2:16" x14ac:dyDescent="0.25">
      <c r="B21" s="5" t="s">
        <v>26</v>
      </c>
      <c r="C21">
        <v>0.59705262165093609</v>
      </c>
      <c r="D21">
        <v>2.0092737722048071</v>
      </c>
      <c r="E21">
        <v>8.5519598958393068</v>
      </c>
      <c r="F21">
        <v>5.9078590785907856</v>
      </c>
      <c r="G21" s="6">
        <f t="shared" si="0"/>
        <v>1.3031631969278716</v>
      </c>
      <c r="H21" s="6">
        <f t="shared" si="1"/>
        <v>0.9205617348137437</v>
      </c>
      <c r="J21" t="s">
        <v>58</v>
      </c>
      <c r="K21">
        <v>1.79255431202645</v>
      </c>
      <c r="L21">
        <v>2.943673877127599</v>
      </c>
      <c r="M21">
        <v>6.6834754217304564</v>
      </c>
      <c r="N21">
        <v>5.8612352553300608</v>
      </c>
      <c r="O21" s="6">
        <f t="shared" si="2"/>
        <v>2.3681140945770247</v>
      </c>
      <c r="P21" s="6">
        <f t="shared" si="3"/>
        <v>2.2282268044974334</v>
      </c>
    </row>
    <row r="22" spans="2:16" x14ac:dyDescent="0.25">
      <c r="B22" s="5" t="s">
        <v>27</v>
      </c>
      <c r="C22">
        <v>1.17833963230192</v>
      </c>
      <c r="D22">
        <v>3.8272923197492159</v>
      </c>
      <c r="E22">
        <v>7.6467861692606833</v>
      </c>
      <c r="F22">
        <v>10.270916701163699</v>
      </c>
      <c r="G22" s="6">
        <f t="shared" si="0"/>
        <v>2.5028159760255679</v>
      </c>
      <c r="H22" s="6">
        <f t="shared" si="1"/>
        <v>1.801910435271723</v>
      </c>
      <c r="J22" s="15" t="s">
        <v>59</v>
      </c>
      <c r="K22">
        <v>0.26225254495638811</v>
      </c>
      <c r="L22">
        <v>0.10982825527337001</v>
      </c>
      <c r="M22">
        <v>43.951833607006023</v>
      </c>
      <c r="N22">
        <v>51.780264496439479</v>
      </c>
      <c r="O22" s="6">
        <f t="shared" si="2"/>
        <v>0.18604040011487905</v>
      </c>
      <c r="P22" s="6">
        <f t="shared" si="3"/>
        <v>0.15481981029806205</v>
      </c>
    </row>
    <row r="23" spans="2:16" x14ac:dyDescent="0.25">
      <c r="B23" s="5" t="s">
        <v>28</v>
      </c>
      <c r="C23">
        <v>0.54742752817693696</v>
      </c>
      <c r="D23">
        <v>1.973288923719958</v>
      </c>
      <c r="E23">
        <v>5.8606606379832229</v>
      </c>
      <c r="F23">
        <v>5.3989573208447474</v>
      </c>
      <c r="G23" s="6">
        <f t="shared" si="0"/>
        <v>1.2603582259484476</v>
      </c>
      <c r="H23" s="6">
        <f t="shared" si="1"/>
        <v>0.85708384779100866</v>
      </c>
      <c r="J23" t="s">
        <v>60</v>
      </c>
      <c r="K23">
        <v>1.7940403947188379</v>
      </c>
      <c r="L23">
        <v>2.2621892649940452</v>
      </c>
      <c r="M23">
        <v>5.0526070271471939</v>
      </c>
      <c r="N23">
        <v>3.634713664803936</v>
      </c>
      <c r="O23" s="6">
        <f t="shared" si="2"/>
        <v>2.0281148298564418</v>
      </c>
      <c r="P23" s="6">
        <f t="shared" si="3"/>
        <v>2.0010991794709718</v>
      </c>
    </row>
    <row r="24" spans="2:16" x14ac:dyDescent="0.25">
      <c r="B24" s="5" t="s">
        <v>29</v>
      </c>
      <c r="C24">
        <v>0.70151646826599834</v>
      </c>
      <c r="D24">
        <v>2.7613309822361538</v>
      </c>
      <c r="E24">
        <v>1.238561060271379</v>
      </c>
      <c r="F24">
        <v>0.1777602212127197</v>
      </c>
      <c r="G24" s="6">
        <f t="shared" si="0"/>
        <v>1.731423725251076</v>
      </c>
      <c r="H24" s="6">
        <f t="shared" si="1"/>
        <v>1.1188013252451432</v>
      </c>
      <c r="J24" t="s">
        <v>61</v>
      </c>
      <c r="K24">
        <v>1.666248739057244</v>
      </c>
      <c r="L24">
        <v>2.35192300303531</v>
      </c>
      <c r="M24">
        <v>0.40708426146554322</v>
      </c>
      <c r="N24">
        <v>9.5276799422017522</v>
      </c>
      <c r="O24" s="6">
        <f t="shared" si="2"/>
        <v>2.0090858710462771</v>
      </c>
      <c r="P24" s="6">
        <f t="shared" si="3"/>
        <v>1.9505829962989396</v>
      </c>
    </row>
    <row r="25" spans="2:16" x14ac:dyDescent="0.25">
      <c r="B25" s="5" t="s">
        <v>30</v>
      </c>
      <c r="C25">
        <v>1.019854887932254</v>
      </c>
      <c r="D25">
        <v>3.5701084117032389</v>
      </c>
      <c r="E25">
        <v>5.6371934730704796</v>
      </c>
      <c r="F25">
        <v>0.23421442569666839</v>
      </c>
      <c r="G25" s="6">
        <f t="shared" si="0"/>
        <v>2.2949816498177462</v>
      </c>
      <c r="H25" s="6">
        <f t="shared" si="1"/>
        <v>1.586501798135401</v>
      </c>
      <c r="J25" t="s">
        <v>62</v>
      </c>
      <c r="K25">
        <v>0.95546843426709394</v>
      </c>
      <c r="L25">
        <v>2.9678795097398858</v>
      </c>
      <c r="M25">
        <v>3.1524422881019389</v>
      </c>
      <c r="N25">
        <v>1.5394717641908651</v>
      </c>
      <c r="O25" s="6">
        <f t="shared" si="2"/>
        <v>1.9616739720034899</v>
      </c>
      <c r="P25" s="6">
        <f t="shared" si="3"/>
        <v>1.4455588587783506</v>
      </c>
    </row>
    <row r="26" spans="2:16" x14ac:dyDescent="0.25">
      <c r="B26" s="5" t="s">
        <v>31</v>
      </c>
      <c r="C26">
        <v>0.56041620350721177</v>
      </c>
      <c r="D26">
        <v>2.52667842215256</v>
      </c>
      <c r="E26">
        <v>27.88821364270396</v>
      </c>
      <c r="F26">
        <v>25.708274894810661</v>
      </c>
      <c r="G26" s="6">
        <f t="shared" si="0"/>
        <v>1.5435473128298858</v>
      </c>
      <c r="H26" s="6">
        <f t="shared" si="1"/>
        <v>0.9173619215016483</v>
      </c>
      <c r="J26" t="s">
        <v>63</v>
      </c>
      <c r="K26">
        <v>1.592645959096131</v>
      </c>
      <c r="L26">
        <v>2.3653321550697348</v>
      </c>
      <c r="M26">
        <v>5.652321534674476</v>
      </c>
      <c r="N26">
        <v>2.396896503948645</v>
      </c>
      <c r="O26" s="6">
        <f t="shared" si="2"/>
        <v>1.9789890570829329</v>
      </c>
      <c r="P26" s="6">
        <f t="shared" si="3"/>
        <v>1.9035662098328057</v>
      </c>
    </row>
    <row r="27" spans="2:16" x14ac:dyDescent="0.25">
      <c r="B27" s="5" t="s">
        <v>32</v>
      </c>
      <c r="C27">
        <v>0.56846540956769542</v>
      </c>
      <c r="D27">
        <v>2.7060148902821308</v>
      </c>
      <c r="E27">
        <v>3.6306511808070439</v>
      </c>
      <c r="F27">
        <v>2.5960539979231569E-2</v>
      </c>
      <c r="G27" s="6">
        <f t="shared" si="0"/>
        <v>1.6372401499249132</v>
      </c>
      <c r="H27" s="6">
        <f t="shared" si="1"/>
        <v>0.93955420221710417</v>
      </c>
      <c r="J27" t="s">
        <v>64</v>
      </c>
      <c r="K27">
        <v>1.3732091430680771</v>
      </c>
      <c r="L27">
        <v>2.78902677988243</v>
      </c>
      <c r="M27">
        <v>0.80258810244731005</v>
      </c>
      <c r="N27">
        <v>2.0434925144792921</v>
      </c>
      <c r="O27" s="6">
        <f t="shared" si="2"/>
        <v>2.0811179614752535</v>
      </c>
      <c r="P27" s="6">
        <f t="shared" si="3"/>
        <v>1.8403171493851005</v>
      </c>
    </row>
    <row r="28" spans="2:16" x14ac:dyDescent="0.25">
      <c r="B28" s="5" t="s">
        <v>33</v>
      </c>
      <c r="C28">
        <v>1.0358279943679809</v>
      </c>
      <c r="D28">
        <v>2.8726162486938351</v>
      </c>
      <c r="E28">
        <v>9.4749352128484876</v>
      </c>
      <c r="F28">
        <v>13.47603255954175</v>
      </c>
      <c r="G28" s="6">
        <f t="shared" si="0"/>
        <v>1.9542221215309081</v>
      </c>
      <c r="H28" s="6">
        <f t="shared" si="1"/>
        <v>1.5226193044741598</v>
      </c>
      <c r="J28" t="s">
        <v>65</v>
      </c>
      <c r="K28">
        <v>0.68059914271803568</v>
      </c>
      <c r="L28">
        <v>0.29406001460022291</v>
      </c>
      <c r="M28">
        <v>6.6890911230533856</v>
      </c>
      <c r="N28">
        <v>9.1379948205697374</v>
      </c>
      <c r="O28" s="6">
        <f t="shared" si="2"/>
        <v>0.48732957865912929</v>
      </c>
      <c r="P28" s="6">
        <f t="shared" si="3"/>
        <v>0.41068099005037795</v>
      </c>
    </row>
    <row r="29" spans="2:16" x14ac:dyDescent="0.25">
      <c r="B29" s="5" t="s">
        <v>34</v>
      </c>
      <c r="C29">
        <v>0.58770656911686436</v>
      </c>
      <c r="D29">
        <v>0.63381661442006265</v>
      </c>
      <c r="E29">
        <v>1.726041319852103</v>
      </c>
      <c r="F29">
        <v>6.7177371832645836</v>
      </c>
      <c r="G29" s="6">
        <f t="shared" si="0"/>
        <v>0.61076159176846345</v>
      </c>
      <c r="H29" s="6">
        <f t="shared" si="1"/>
        <v>0.60989131099667049</v>
      </c>
      <c r="J29" t="s">
        <v>66</v>
      </c>
      <c r="K29">
        <v>1.2469271183042741</v>
      </c>
      <c r="L29">
        <v>3.4148576478272572</v>
      </c>
      <c r="M29">
        <v>2.9060594430941111</v>
      </c>
      <c r="N29">
        <v>1.5242754986827249</v>
      </c>
      <c r="O29" s="6">
        <f t="shared" si="2"/>
        <v>2.3308923830657657</v>
      </c>
      <c r="P29" s="6">
        <f t="shared" si="3"/>
        <v>1.8268018880494203</v>
      </c>
    </row>
    <row r="30" spans="2:16" x14ac:dyDescent="0.25">
      <c r="B30" s="5" t="s">
        <v>35</v>
      </c>
      <c r="C30">
        <v>0.64700041094875271</v>
      </c>
      <c r="D30">
        <v>3.052115987460815</v>
      </c>
      <c r="E30">
        <v>4.082241397677639</v>
      </c>
      <c r="F30">
        <v>7.5445173383317714</v>
      </c>
      <c r="G30" s="6">
        <f t="shared" si="0"/>
        <v>1.8495581992047838</v>
      </c>
      <c r="H30" s="6">
        <f t="shared" si="1"/>
        <v>1.0676713492981378</v>
      </c>
      <c r="J30" t="s">
        <v>67</v>
      </c>
      <c r="K30">
        <v>0.66401484173378433</v>
      </c>
      <c r="L30">
        <v>3.077899873208592</v>
      </c>
      <c r="M30">
        <v>13.582620302212311</v>
      </c>
      <c r="N30">
        <v>2.7204929799376769</v>
      </c>
      <c r="O30" s="6">
        <f t="shared" si="2"/>
        <v>1.8709573574711882</v>
      </c>
      <c r="P30" s="6">
        <f t="shared" si="3"/>
        <v>1.0923665304394898</v>
      </c>
    </row>
    <row r="31" spans="2:16" x14ac:dyDescent="0.25">
      <c r="B31" s="15" t="s">
        <v>36</v>
      </c>
      <c r="C31">
        <v>0.49377513692677699</v>
      </c>
      <c r="D31">
        <v>0.36918756530825492</v>
      </c>
      <c r="E31">
        <v>24.126566502804121</v>
      </c>
      <c r="F31">
        <v>37.033492822966508</v>
      </c>
      <c r="G31" s="6">
        <f t="shared" si="0"/>
        <v>0.43148135111751595</v>
      </c>
      <c r="H31" s="6">
        <f t="shared" si="1"/>
        <v>0.42248787842072449</v>
      </c>
      <c r="J31" t="s">
        <v>68</v>
      </c>
      <c r="K31">
        <v>1.8170151694993459</v>
      </c>
      <c r="L31">
        <v>2.4859376801014328</v>
      </c>
      <c r="M31">
        <v>2.1242617596915401</v>
      </c>
      <c r="N31">
        <v>2.4653653786571059</v>
      </c>
      <c r="O31" s="6">
        <f t="shared" si="2"/>
        <v>2.1514764248003893</v>
      </c>
      <c r="P31" s="6">
        <f t="shared" si="3"/>
        <v>2.0994822081740425</v>
      </c>
    </row>
    <row r="32" spans="2:16" x14ac:dyDescent="0.25">
      <c r="B32" s="5" t="s">
        <v>37</v>
      </c>
      <c r="C32">
        <v>0.84725236969219264</v>
      </c>
      <c r="D32">
        <v>1.505877742946709</v>
      </c>
      <c r="E32">
        <v>7.2378881786027192</v>
      </c>
      <c r="F32">
        <v>6.3624603081265443</v>
      </c>
      <c r="G32" s="6">
        <f t="shared" si="0"/>
        <v>1.1765650563194507</v>
      </c>
      <c r="H32" s="6">
        <f t="shared" si="1"/>
        <v>1.0843926388307759</v>
      </c>
      <c r="J32" t="s">
        <v>69</v>
      </c>
      <c r="K32">
        <v>1.9290683502572801</v>
      </c>
      <c r="L32">
        <v>2.0845276059476698</v>
      </c>
      <c r="M32">
        <v>1.0499472239814229</v>
      </c>
      <c r="N32">
        <v>4.3066144652792087</v>
      </c>
      <c r="O32" s="6">
        <f t="shared" si="2"/>
        <v>2.0067979781024752</v>
      </c>
      <c r="P32" s="6">
        <f t="shared" si="3"/>
        <v>2.0037872639643903</v>
      </c>
    </row>
    <row r="33" spans="2:16" x14ac:dyDescent="0.25">
      <c r="B33" s="5" t="s">
        <v>38</v>
      </c>
      <c r="C33">
        <v>9.0232893416062027E-2</v>
      </c>
      <c r="D33">
        <v>0.76580459770114939</v>
      </c>
      <c r="E33">
        <v>0.63224446786090627</v>
      </c>
      <c r="F33">
        <v>0.85037922316708803</v>
      </c>
      <c r="G33" s="6">
        <f t="shared" si="0"/>
        <v>0.4280187455586057</v>
      </c>
      <c r="H33" s="6">
        <f t="shared" si="1"/>
        <v>0.16144331377756579</v>
      </c>
      <c r="J33" t="s">
        <v>70</v>
      </c>
      <c r="K33">
        <v>1.569953126342486</v>
      </c>
      <c r="L33">
        <v>2.4684942559649601</v>
      </c>
      <c r="M33">
        <v>1.304691293006262</v>
      </c>
      <c r="N33">
        <v>2.6612120956518068</v>
      </c>
      <c r="O33" s="6">
        <f t="shared" si="2"/>
        <v>2.0192236911537229</v>
      </c>
      <c r="P33" s="6">
        <f t="shared" si="3"/>
        <v>1.9192624826506275</v>
      </c>
    </row>
    <row r="34" spans="2:16" x14ac:dyDescent="0.25">
      <c r="B34" t="s">
        <v>39</v>
      </c>
      <c r="C34">
        <v>1</v>
      </c>
      <c r="D34">
        <v>1</v>
      </c>
      <c r="E34">
        <v>5.0873505895732558</v>
      </c>
      <c r="F34">
        <v>4.5638945233265718</v>
      </c>
      <c r="G34" s="6">
        <f t="shared" si="0"/>
        <v>1</v>
      </c>
      <c r="H34" s="6">
        <f t="shared" si="1"/>
        <v>1</v>
      </c>
      <c r="J34" t="s">
        <v>39</v>
      </c>
      <c r="K34">
        <v>1</v>
      </c>
      <c r="L34">
        <v>1</v>
      </c>
      <c r="M34">
        <v>11.348061421237251</v>
      </c>
      <c r="N34">
        <v>3.5773710482529122</v>
      </c>
      <c r="O34" s="6">
        <f t="shared" si="2"/>
        <v>1</v>
      </c>
      <c r="P34" s="6">
        <f t="shared" si="3"/>
        <v>1</v>
      </c>
    </row>
    <row r="35" spans="2:16" x14ac:dyDescent="0.25">
      <c r="B35" s="5" t="s">
        <v>40</v>
      </c>
      <c r="C35">
        <v>1.091455634376874</v>
      </c>
      <c r="D35">
        <v>2.8004506269592482</v>
      </c>
      <c r="E35">
        <v>12.447612132329519</v>
      </c>
      <c r="F35">
        <v>15.441223523389009</v>
      </c>
      <c r="G35" s="6">
        <f t="shared" si="0"/>
        <v>1.9459531306680611</v>
      </c>
      <c r="H35" s="6">
        <f t="shared" si="1"/>
        <v>1.5707303364185226</v>
      </c>
      <c r="J35" t="s">
        <v>40</v>
      </c>
      <c r="K35">
        <v>1.7269171898717259</v>
      </c>
      <c r="L35">
        <v>2.9978675990317751</v>
      </c>
      <c r="M35">
        <v>5.0887775361633736</v>
      </c>
      <c r="N35">
        <v>1.0233918128654971</v>
      </c>
      <c r="O35" s="6">
        <f t="shared" si="2"/>
        <v>2.3623923944517506</v>
      </c>
      <c r="P35" s="6">
        <f t="shared" si="3"/>
        <v>2.1914518104131102</v>
      </c>
    </row>
  </sheetData>
  <mergeCells count="6">
    <mergeCell ref="C1:H1"/>
    <mergeCell ref="K1:P1"/>
    <mergeCell ref="C2:D2"/>
    <mergeCell ref="E2:F2"/>
    <mergeCell ref="K2:L2"/>
    <mergeCell ref="M2:N2"/>
  </mergeCells>
  <conditionalFormatting sqref="E4:F34 M4:M34 K4:K34">
    <cfRule type="cellIs" dxfId="1" priority="20" operator="greaterThan">
      <formula>33</formula>
    </cfRule>
  </conditionalFormatting>
  <conditionalFormatting sqref="G4:H3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5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35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34">
    <cfRule type="cellIs" dxfId="0" priority="6" operator="greaterThan">
      <formula>33</formula>
    </cfRule>
  </conditionalFormatting>
  <conditionalFormatting sqref="O4:P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2025-07-04T16:55:49Z</dcterms:modified>
</cp:coreProperties>
</file>