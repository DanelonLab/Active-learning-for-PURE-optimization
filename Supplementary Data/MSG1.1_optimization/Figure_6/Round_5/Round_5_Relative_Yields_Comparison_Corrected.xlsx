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5\"/>
    </mc:Choice>
  </mc:AlternateContent>
  <xr:revisionPtr revIDLastSave="0" documentId="13_ncr:1_{DAE9991C-FC35-4E4E-8E85-03382412027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chart.v1.0" hidden="1">Sheet1!$K$4:$K$37</definedName>
    <definedName name="_xlchart.v1.1" hidden="1">Sheet1!$L$4:$L$37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" i="1" l="1"/>
  <c r="P37" i="1"/>
  <c r="G37" i="1"/>
  <c r="H37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P4" i="1"/>
  <c r="O4" i="1"/>
</calcChain>
</file>

<file path=xl/sharedStrings.xml><?xml version="1.0" encoding="utf-8"?>
<sst xmlns="http://schemas.openxmlformats.org/spreadsheetml/2006/main" count="87" uniqueCount="73">
  <si>
    <t>0.1 nM</t>
  </si>
  <si>
    <t>1 nM</t>
  </si>
  <si>
    <t>Relative Yield</t>
  </si>
  <si>
    <t>CV%</t>
  </si>
  <si>
    <t>Condition</t>
  </si>
  <si>
    <t>mVenus</t>
  </si>
  <si>
    <t>mCherry</t>
  </si>
  <si>
    <t>Mean</t>
  </si>
  <si>
    <t>Harmonic 
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</si>
  <si>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</si>
  <si>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</si>
  <si>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</si>
  <si>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</si>
  <si>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</si>
  <si>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</si>
  <si>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</si>
  <si>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</si>
  <si>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</si>
  <si>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</si>
  <si>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</si>
  <si>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</si>
  <si>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</si>
  <si>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</si>
  <si>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</si>
  <si>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</si>
  <si>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</si>
  <si>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</si>
  <si>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</si>
  <si>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</si>
  <si>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</si>
  <si>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</si>
  <si>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</si>
  <si>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</si>
  <si>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</si>
  <si>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</si>
  <si>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</si>
  <si>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</si>
  <si>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</si>
  <si>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</si>
  <si>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</si>
  <si>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</si>
  <si>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</si>
  <si>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</si>
  <si>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</si>
  <si>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</si>
  <si>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</si>
  <si>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</si>
  <si>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</si>
  <si>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</si>
  <si>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</si>
  <si>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REF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</si>
  <si>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</si>
  <si>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</si>
  <si>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</si>
  <si>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</si>
  <si>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</si>
  <si>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</si>
  <si>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</si>
  <si>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</si>
  <si>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</si>
  <si>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</si>
  <si>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</si>
  <si>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</si>
  <si>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</si>
  <si>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</si>
  <si>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</si>
  <si>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TOP2</t>
  </si>
  <si>
    <t>46</t>
  </si>
  <si>
    <t>47</t>
  </si>
  <si>
    <t>48</t>
  </si>
  <si>
    <t>TOP3</t>
  </si>
  <si>
    <t>TOP4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</si>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</sst>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Sheet1!$C$4:$C$37</c:f>
              <c:numCache>
                <c:formatCode>General</c:formatCode>
                <c:ptCount val="34"/>
                <c:pt idx="0">
                  <c:v>0.60938231065665105</c:v>
                </c:pt>
                <c:pt idx="1">
                  <c:v>1.5894505363629401</c:v>
                </c:pt>
                <c:pt idx="2">
                  <c:v>1.614721837046615</c:v>
                </c:pt>
                <c:pt idx="3">
                  <c:v>1.0360609437605801</c:v>
                </c:pt>
                <c:pt idx="4">
                  <c:v>1.4207336957292289</c:v>
                </c:pt>
                <c:pt idx="5">
                  <c:v>1.6213459122707019</c:v>
                </c:pt>
                <c:pt idx="6">
                  <c:v>0.66753579297496402</c:v>
                </c:pt>
                <c:pt idx="7">
                  <c:v>1.392473621378522</c:v>
                </c:pt>
                <c:pt idx="8">
                  <c:v>1.815287265385521</c:v>
                </c:pt>
                <c:pt idx="9">
                  <c:v>1.860304605376957</c:v>
                </c:pt>
                <c:pt idx="10">
                  <c:v>1.7143367559612419</c:v>
                </c:pt>
                <c:pt idx="11">
                  <c:v>0.34686079517259172</c:v>
                </c:pt>
                <c:pt idx="12">
                  <c:v>2.0320229800965821</c:v>
                </c:pt>
                <c:pt idx="13">
                  <c:v>1.265959739460603</c:v>
                </c:pt>
                <c:pt idx="14">
                  <c:v>0.9593892579958202</c:v>
                </c:pt>
                <c:pt idx="15">
                  <c:v>0.96047105795215126</c:v>
                </c:pt>
                <c:pt idx="16">
                  <c:v>0.65609253288643499</c:v>
                </c:pt>
                <c:pt idx="17">
                  <c:v>0.87881430187748288</c:v>
                </c:pt>
                <c:pt idx="18">
                  <c:v>1.7156893603627359</c:v>
                </c:pt>
                <c:pt idx="19">
                  <c:v>1.689455356965629</c:v>
                </c:pt>
                <c:pt idx="20">
                  <c:v>1.6008725290866661</c:v>
                </c:pt>
                <c:pt idx="21">
                  <c:v>0.90735368761927437</c:v>
                </c:pt>
                <c:pt idx="22">
                  <c:v>1.389223968036569</c:v>
                </c:pt>
                <c:pt idx="23">
                  <c:v>1.630713477554423</c:v>
                </c:pt>
                <c:pt idx="24">
                  <c:v>0.27492889611034083</c:v>
                </c:pt>
                <c:pt idx="25">
                  <c:v>0.6140228496567447</c:v>
                </c:pt>
                <c:pt idx="26">
                  <c:v>1.288616572097784</c:v>
                </c:pt>
                <c:pt idx="27">
                  <c:v>0.36370596592117471</c:v>
                </c:pt>
                <c:pt idx="28">
                  <c:v>2.1205051424488088</c:v>
                </c:pt>
                <c:pt idx="29">
                  <c:v>1.100854097370503</c:v>
                </c:pt>
                <c:pt idx="30">
                  <c:v>1</c:v>
                </c:pt>
                <c:pt idx="31">
                  <c:v>3.0396055045611412</c:v>
                </c:pt>
                <c:pt idx="32">
                  <c:v>1.6694073210776601</c:v>
                </c:pt>
                <c:pt idx="33">
                  <c:v>1.782967960006012</c:v>
                </c:pt>
              </c:numCache>
            </c:numRef>
          </c:xVal>
          <c:yVal>
            <c:numRef>
              <c:f>Sheet1!$D$4:$D$37</c:f>
              <c:numCache>
                <c:formatCode>General</c:formatCode>
                <c:ptCount val="34"/>
                <c:pt idx="0">
                  <c:v>0.23104800675172521</c:v>
                </c:pt>
                <c:pt idx="1">
                  <c:v>1.83815717619024</c:v>
                </c:pt>
                <c:pt idx="2">
                  <c:v>3.2570123616144571</c:v>
                </c:pt>
                <c:pt idx="3">
                  <c:v>0.46869880355458482</c:v>
                </c:pt>
                <c:pt idx="4">
                  <c:v>0.57965546343642949</c:v>
                </c:pt>
                <c:pt idx="5">
                  <c:v>1.830412550265601</c:v>
                </c:pt>
                <c:pt idx="6">
                  <c:v>2.9398302139701138</c:v>
                </c:pt>
                <c:pt idx="7">
                  <c:v>2.1516159459861992</c:v>
                </c:pt>
                <c:pt idx="8">
                  <c:v>2.1982326366479672</c:v>
                </c:pt>
                <c:pt idx="9">
                  <c:v>2.2915653080474612</c:v>
                </c:pt>
                <c:pt idx="10">
                  <c:v>4.2732462890334117</c:v>
                </c:pt>
                <c:pt idx="11">
                  <c:v>7.5212232537357898E-2</c:v>
                </c:pt>
                <c:pt idx="12">
                  <c:v>2.401628357245694</c:v>
                </c:pt>
                <c:pt idx="13">
                  <c:v>0.9623690612123319</c:v>
                </c:pt>
                <c:pt idx="14">
                  <c:v>1.2396365983219979</c:v>
                </c:pt>
                <c:pt idx="15">
                  <c:v>2.6941369210147448</c:v>
                </c:pt>
                <c:pt idx="16">
                  <c:v>0.26098396465273299</c:v>
                </c:pt>
                <c:pt idx="17">
                  <c:v>0.31589137665690309</c:v>
                </c:pt>
                <c:pt idx="18">
                  <c:v>1.16089956808817</c:v>
                </c:pt>
                <c:pt idx="19">
                  <c:v>2.8994191530556521</c:v>
                </c:pt>
                <c:pt idx="20">
                  <c:v>1.2574095219182839</c:v>
                </c:pt>
                <c:pt idx="21">
                  <c:v>1.605073722881398</c:v>
                </c:pt>
                <c:pt idx="22">
                  <c:v>2.3733803306359529</c:v>
                </c:pt>
                <c:pt idx="23">
                  <c:v>2.420989922057291</c:v>
                </c:pt>
                <c:pt idx="24">
                  <c:v>1.0409571563322251</c:v>
                </c:pt>
                <c:pt idx="25">
                  <c:v>0.87901504244650741</c:v>
                </c:pt>
                <c:pt idx="26">
                  <c:v>1.8744476989524901</c:v>
                </c:pt>
                <c:pt idx="27">
                  <c:v>0.19227523209055261</c:v>
                </c:pt>
                <c:pt idx="28">
                  <c:v>1.671697363848484</c:v>
                </c:pt>
                <c:pt idx="29">
                  <c:v>2.517301295735491</c:v>
                </c:pt>
                <c:pt idx="30">
                  <c:v>1</c:v>
                </c:pt>
                <c:pt idx="31">
                  <c:v>4.3208062354167698</c:v>
                </c:pt>
                <c:pt idx="32">
                  <c:v>2.8713697065978261</c:v>
                </c:pt>
                <c:pt idx="33">
                  <c:v>3.0570917936752222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0-4FD9-AA81-7B02E816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899503"/>
        <c:axId val="2026903247"/>
      </c:scatterChart>
      <c:valAx>
        <c:axId val="202689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03247"/>
        <c:crosses val="autoZero"/>
        <c:crossBetween val="midCat"/>
      </c:valAx>
      <c:valAx>
        <c:axId val="20269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9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Sheet1!$K$4:$K$37</c:f>
              <c:numCache>
                <c:formatCode>General</c:formatCode>
                <c:ptCount val="34"/>
                <c:pt idx="0">
                  <c:v>0.73937687630868587</c:v>
                </c:pt>
                <c:pt idx="1">
                  <c:v>2.368193950402381</c:v>
                </c:pt>
                <c:pt idx="2">
                  <c:v>2.6901233633542718</c:v>
                </c:pt>
                <c:pt idx="3">
                  <c:v>2.1971916546835191</c:v>
                </c:pt>
                <c:pt idx="4">
                  <c:v>1.277361184691844</c:v>
                </c:pt>
                <c:pt idx="5">
                  <c:v>1.730663235702212</c:v>
                </c:pt>
                <c:pt idx="6">
                  <c:v>1.494824793763718</c:v>
                </c:pt>
                <c:pt idx="7">
                  <c:v>0.1106687857917707</c:v>
                </c:pt>
                <c:pt idx="8">
                  <c:v>0.91743787683846723</c:v>
                </c:pt>
                <c:pt idx="9">
                  <c:v>1.3176750170286839</c:v>
                </c:pt>
                <c:pt idx="10">
                  <c:v>0.33005474406518831</c:v>
                </c:pt>
                <c:pt idx="11">
                  <c:v>2.110117813264714</c:v>
                </c:pt>
                <c:pt idx="12">
                  <c:v>1.0359070612275789</c:v>
                </c:pt>
                <c:pt idx="13">
                  <c:v>1.537845051590605</c:v>
                </c:pt>
                <c:pt idx="14">
                  <c:v>2.2345821034839419</c:v>
                </c:pt>
                <c:pt idx="15">
                  <c:v>0.45201140291127417</c:v>
                </c:pt>
                <c:pt idx="16">
                  <c:v>0.1469673806100053</c:v>
                </c:pt>
                <c:pt idx="17">
                  <c:v>0.911743484951689</c:v>
                </c:pt>
                <c:pt idx="18">
                  <c:v>0.34183001589343831</c:v>
                </c:pt>
                <c:pt idx="19">
                  <c:v>1.379658417215369</c:v>
                </c:pt>
                <c:pt idx="20">
                  <c:v>1.233448876106864</c:v>
                </c:pt>
                <c:pt idx="21">
                  <c:v>1.5483680213930719</c:v>
                </c:pt>
                <c:pt idx="22">
                  <c:v>2.5080410706627312</c:v>
                </c:pt>
                <c:pt idx="23">
                  <c:v>1.6525250384722121</c:v>
                </c:pt>
                <c:pt idx="24">
                  <c:v>2.4409525971896362</c:v>
                </c:pt>
                <c:pt idx="25">
                  <c:v>1.51848936653296</c:v>
                </c:pt>
                <c:pt idx="26">
                  <c:v>1.397392467014809</c:v>
                </c:pt>
                <c:pt idx="27">
                  <c:v>0.9240545926991095</c:v>
                </c:pt>
                <c:pt idx="28">
                  <c:v>2.7937606902293202</c:v>
                </c:pt>
                <c:pt idx="29">
                  <c:v>1.3691122379474761</c:v>
                </c:pt>
                <c:pt idx="30">
                  <c:v>1</c:v>
                </c:pt>
                <c:pt idx="31">
                  <c:v>1.086905320517672</c:v>
                </c:pt>
                <c:pt idx="32">
                  <c:v>2.434583112591135</c:v>
                </c:pt>
                <c:pt idx="33">
                  <c:v>2.001444032392341</c:v>
                </c:pt>
              </c:numCache>
            </c:numRef>
          </c:xVal>
          <c:yVal>
            <c:numRef>
              <c:f>Sheet1!$L$4:$L$37</c:f>
              <c:numCache>
                <c:formatCode>General</c:formatCode>
                <c:ptCount val="34"/>
                <c:pt idx="0">
                  <c:v>0.25745682888540028</c:v>
                </c:pt>
                <c:pt idx="1">
                  <c:v>2.2828054298642528</c:v>
                </c:pt>
                <c:pt idx="2">
                  <c:v>2.9912734324499031</c:v>
                </c:pt>
                <c:pt idx="3">
                  <c:v>2.565449256625727</c:v>
                </c:pt>
                <c:pt idx="4">
                  <c:v>1.892695539754363</c:v>
                </c:pt>
                <c:pt idx="5">
                  <c:v>1.4623464770523591</c:v>
                </c:pt>
                <c:pt idx="6">
                  <c:v>0.5303813833225598</c:v>
                </c:pt>
                <c:pt idx="7">
                  <c:v>0.48723335488041358</c:v>
                </c:pt>
                <c:pt idx="8">
                  <c:v>1.658371040723982</c:v>
                </c:pt>
                <c:pt idx="9">
                  <c:v>1.332740788623141</c:v>
                </c:pt>
                <c:pt idx="10">
                  <c:v>0.96350078492935631</c:v>
                </c:pt>
                <c:pt idx="11">
                  <c:v>2.1582786960938218</c:v>
                </c:pt>
                <c:pt idx="12">
                  <c:v>2.3523409363745489</c:v>
                </c:pt>
                <c:pt idx="13">
                  <c:v>1.3250069258472621</c:v>
                </c:pt>
                <c:pt idx="14">
                  <c:v>1.4942284606150149</c:v>
                </c:pt>
                <c:pt idx="15">
                  <c:v>1.1186628497552871</c:v>
                </c:pt>
                <c:pt idx="16">
                  <c:v>0.49475944223843382</c:v>
                </c:pt>
                <c:pt idx="17">
                  <c:v>1.657678455997784</c:v>
                </c:pt>
                <c:pt idx="18">
                  <c:v>0.98026133530335213</c:v>
                </c:pt>
                <c:pt idx="19">
                  <c:v>1.4712577338627759</c:v>
                </c:pt>
                <c:pt idx="20">
                  <c:v>2.6407101302059282</c:v>
                </c:pt>
                <c:pt idx="21">
                  <c:v>2.470726752239357</c:v>
                </c:pt>
                <c:pt idx="22">
                  <c:v>2.852756487210268</c:v>
                </c:pt>
                <c:pt idx="23">
                  <c:v>0.76976175085418785</c:v>
                </c:pt>
                <c:pt idx="24">
                  <c:v>2.351509834703112</c:v>
                </c:pt>
                <c:pt idx="25">
                  <c:v>1.057253670699049</c:v>
                </c:pt>
                <c:pt idx="26">
                  <c:v>1.2340012928248221</c:v>
                </c:pt>
                <c:pt idx="27">
                  <c:v>2.4347585187921319</c:v>
                </c:pt>
                <c:pt idx="28">
                  <c:v>3.1983100932680761</c:v>
                </c:pt>
                <c:pt idx="29">
                  <c:v>1.358320251177394</c:v>
                </c:pt>
                <c:pt idx="30">
                  <c:v>1</c:v>
                </c:pt>
                <c:pt idx="31">
                  <c:v>2.227698771816419</c:v>
                </c:pt>
                <c:pt idx="32">
                  <c:v>3.7446670976082741</c:v>
                </c:pt>
                <c:pt idx="33">
                  <c:v>2.6275971927232429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4-467C-BDC2-0DDBCBC89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907407"/>
        <c:axId val="2026908655"/>
      </c:scatterChart>
      <c:valAx>
        <c:axId val="202690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08655"/>
        <c:crosses val="autoZero"/>
        <c:crossBetween val="midCat"/>
      </c:valAx>
      <c:valAx>
        <c:axId val="202690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0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39</xdr:row>
      <xdr:rowOff>104775</xdr:rowOff>
    </xdr:from>
    <xdr:to>
      <xdr:col>8</xdr:col>
      <xdr:colOff>200025</xdr:colOff>
      <xdr:row>58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74323E-13E3-4D13-965E-4B743ED1D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161926</xdr:colOff>
      <xdr:row>39</xdr:row>
      <xdr:rowOff>19050</xdr:rowOff>
    </xdr:from>
    <xdr:to>
      <xdr:col>16</xdr:col>
      <xdr:colOff>333376</xdr:colOff>
      <xdr:row>59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CDEAC23-918E-4117-BFA1-3BDA916C1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7"/>
  <sheetViews>
    <sheetView tabSelected="1" topLeftCell="A28" workbookViewId="0">
      <selection activeCell="S49" sqref="S49"/>
    </sheetView>
  </sheetViews>
  <sheetFormatPr baseColWidth="10" defaultColWidth="9.140625" defaultRowHeight="15" x14ac:dyDescent="0.25"/>
  <sheetData>
    <row r="1" spans="2:16" x14ac:dyDescent="0.25">
      <c r="C1" s="6" t="s">
        <v>0</v>
      </c>
      <c r="D1" s="6"/>
      <c r="E1" s="6"/>
      <c r="F1" s="6"/>
      <c r="G1" s="6"/>
      <c r="H1" s="6"/>
      <c r="K1" s="6" t="s">
        <v>1</v>
      </c>
      <c r="L1" s="6"/>
      <c r="M1" s="6"/>
      <c r="N1" s="6"/>
      <c r="O1" s="6"/>
      <c r="P1" s="6"/>
    </row>
    <row r="2" spans="2:16" x14ac:dyDescent="0.25">
      <c r="C2" s="7" t="s">
        <v>2</v>
      </c>
      <c r="D2" s="8"/>
      <c r="E2" s="9" t="s">
        <v>3</v>
      </c>
      <c r="F2" s="10"/>
      <c r="G2" s="1"/>
      <c r="H2" s="1"/>
      <c r="K2" s="7" t="s">
        <v>2</v>
      </c>
      <c r="L2" s="8"/>
      <c r="M2" s="9" t="s">
        <v>3</v>
      </c>
      <c r="N2" s="10"/>
      <c r="O2" s="1"/>
      <c r="P2" s="1"/>
    </row>
    <row r="3" spans="2:16" ht="45" x14ac:dyDescent="0.25">
      <c r="B3" s="2" t="s">
        <v>4</v>
      </c>
      <c r="C3" s="1" t="s">
        <v>5</v>
      </c>
      <c r="D3" s="1" t="s">
        <v>6</v>
      </c>
      <c r="E3" s="1" t="s">
        <v>5</v>
      </c>
      <c r="F3" s="1" t="s">
        <v>6</v>
      </c>
      <c r="G3" s="3" t="s">
        <v>7</v>
      </c>
      <c r="H3" s="4" t="s">
        <v>8</v>
      </c>
      <c r="I3" s="5"/>
      <c r="K3" s="1" t="s">
        <v>5</v>
      </c>
      <c r="L3" s="1" t="s">
        <v>6</v>
      </c>
      <c r="M3" s="1" t="s">
        <v>5</v>
      </c>
      <c r="N3" s="1" t="s">
        <v>6</v>
      </c>
      <c r="O3" s="3" t="s">
        <v>7</v>
      </c>
      <c r="P3" s="4" t="s">
        <v>8</v>
      </c>
    </row>
    <row r="4" spans="2:16" x14ac:dyDescent="0.25">
      <c r="B4" t="s">
        <v>9</v>
      </c>
      <c r="C4">
        <v>0.60938231065665105</v>
      </c>
      <c r="D4">
        <v>0.23104800675172521</v>
      </c>
      <c r="E4">
        <v>0.60608947261880664</v>
      </c>
      <c r="F4">
        <v>7.009345794392523</v>
      </c>
      <c r="G4">
        <f>AVERAGE(C4:D4)</f>
        <v>0.42021515870418813</v>
      </c>
      <c r="H4">
        <f>HARMEAN(C4:D4)</f>
        <v>0.33505827981349434</v>
      </c>
      <c r="J4" t="s">
        <v>39</v>
      </c>
      <c r="K4">
        <v>0.73937687630868587</v>
      </c>
      <c r="L4">
        <v>0.25745682888540028</v>
      </c>
      <c r="M4">
        <v>15.77489490827093</v>
      </c>
      <c r="N4">
        <v>15.20932697403286</v>
      </c>
      <c r="O4">
        <f t="shared" ref="O4:O36" si="0">AVERAGE(K4:L4)</f>
        <v>0.49841685259704305</v>
      </c>
      <c r="P4">
        <f t="shared" ref="P4:P36" si="1">HARMEAN(K4:L4)</f>
        <v>0.38192453753068872</v>
      </c>
    </row>
    <row r="5" spans="2:16" x14ac:dyDescent="0.25">
      <c r="B5" t="s">
        <v>10</v>
      </c>
      <c r="C5">
        <v>1.5894505363629401</v>
      </c>
      <c r="D5">
        <v>1.83815717619024</v>
      </c>
      <c r="E5">
        <v>12.63100591499426</v>
      </c>
      <c r="F5">
        <v>14.00568181818182</v>
      </c>
      <c r="G5">
        <f t="shared" ref="G5:G36" si="2">AVERAGE(C5:D5)</f>
        <v>1.71380385627659</v>
      </c>
      <c r="H5">
        <f t="shared" ref="H5:H36" si="3">HARMEAN(C5:D5)</f>
        <v>1.7047808002734699</v>
      </c>
      <c r="J5" t="s">
        <v>40</v>
      </c>
      <c r="K5">
        <v>2.368193950402381</v>
      </c>
      <c r="L5">
        <v>2.2828054298642528</v>
      </c>
      <c r="M5">
        <v>2.801966053267118</v>
      </c>
      <c r="N5">
        <v>1.2033494149614601</v>
      </c>
      <c r="O5">
        <f t="shared" si="0"/>
        <v>2.3254996901333169</v>
      </c>
      <c r="P5">
        <f t="shared" si="1"/>
        <v>2.3247158586550087</v>
      </c>
    </row>
    <row r="6" spans="2:16" x14ac:dyDescent="0.25">
      <c r="B6" t="s">
        <v>11</v>
      </c>
      <c r="C6">
        <v>1.614721837046615</v>
      </c>
      <c r="D6">
        <v>3.2570123616144571</v>
      </c>
      <c r="E6">
        <v>3.565610859728507</v>
      </c>
      <c r="F6">
        <v>6.296590007930214</v>
      </c>
      <c r="G6">
        <f t="shared" si="2"/>
        <v>2.4358670993305358</v>
      </c>
      <c r="H6">
        <f t="shared" si="3"/>
        <v>2.1590541558178766</v>
      </c>
      <c r="J6" t="s">
        <v>41</v>
      </c>
      <c r="K6">
        <v>2.6901233633542718</v>
      </c>
      <c r="L6">
        <v>2.9912734324499031</v>
      </c>
      <c r="M6">
        <v>4.4436940675072156</v>
      </c>
      <c r="N6">
        <v>6.9002920317062992</v>
      </c>
      <c r="O6">
        <f t="shared" si="0"/>
        <v>2.8406983979020874</v>
      </c>
      <c r="P6">
        <f t="shared" si="1"/>
        <v>2.8327169659254232</v>
      </c>
    </row>
    <row r="7" spans="2:16" x14ac:dyDescent="0.25">
      <c r="B7" t="s">
        <v>12</v>
      </c>
      <c r="C7">
        <v>1.0360609437605801</v>
      </c>
      <c r="D7">
        <v>0.46869880355458482</v>
      </c>
      <c r="E7">
        <v>11.27498159995471</v>
      </c>
      <c r="F7">
        <v>23.717217787913341</v>
      </c>
      <c r="G7">
        <f t="shared" si="2"/>
        <v>0.75237987365758241</v>
      </c>
      <c r="H7">
        <f t="shared" si="3"/>
        <v>0.64541934433937398</v>
      </c>
      <c r="J7" t="s">
        <v>42</v>
      </c>
      <c r="K7">
        <v>2.1971916546835191</v>
      </c>
      <c r="L7">
        <v>2.565449256625727</v>
      </c>
      <c r="M7">
        <v>0.78920075572234927</v>
      </c>
      <c r="N7">
        <v>4.64035988460222</v>
      </c>
      <c r="O7" s="1">
        <f t="shared" si="0"/>
        <v>2.381320455654623</v>
      </c>
      <c r="P7" s="1">
        <f t="shared" si="1"/>
        <v>2.3670832221623601</v>
      </c>
    </row>
    <row r="8" spans="2:16" x14ac:dyDescent="0.25">
      <c r="B8" t="s">
        <v>13</v>
      </c>
      <c r="C8">
        <v>1.4207336957292289</v>
      </c>
      <c r="D8">
        <v>0.57965546343642949</v>
      </c>
      <c r="E8">
        <v>18.456140350877192</v>
      </c>
      <c r="F8">
        <v>17.723880597014929</v>
      </c>
      <c r="G8">
        <f t="shared" si="2"/>
        <v>1.0001945795828293</v>
      </c>
      <c r="H8">
        <f t="shared" si="3"/>
        <v>0.82337583669086245</v>
      </c>
      <c r="J8" t="s">
        <v>43</v>
      </c>
      <c r="K8">
        <v>1.277361184691844</v>
      </c>
      <c r="L8">
        <v>1.892695539754363</v>
      </c>
      <c r="M8">
        <v>10.72150186938191</v>
      </c>
      <c r="N8">
        <v>7.7013907110994486</v>
      </c>
      <c r="O8">
        <f t="shared" si="0"/>
        <v>1.5850283622231034</v>
      </c>
      <c r="P8">
        <f t="shared" si="1"/>
        <v>1.5253076061873654</v>
      </c>
    </row>
    <row r="9" spans="2:16" x14ac:dyDescent="0.25">
      <c r="B9" t="s">
        <v>14</v>
      </c>
      <c r="C9">
        <v>1.6213459122707019</v>
      </c>
      <c r="D9">
        <v>1.830412550265601</v>
      </c>
      <c r="E9">
        <v>16.544614742420531</v>
      </c>
      <c r="F9">
        <v>4.7205328699681433</v>
      </c>
      <c r="G9">
        <f t="shared" si="2"/>
        <v>1.7258792312681515</v>
      </c>
      <c r="H9">
        <f t="shared" si="3"/>
        <v>1.719547841109065</v>
      </c>
      <c r="J9" t="s">
        <v>44</v>
      </c>
      <c r="K9">
        <v>1.730663235702212</v>
      </c>
      <c r="L9">
        <v>1.4623464770523591</v>
      </c>
      <c r="M9">
        <v>10.72167479572558</v>
      </c>
      <c r="N9">
        <v>14.60885956644675</v>
      </c>
      <c r="O9">
        <f t="shared" si="0"/>
        <v>1.5965048563772855</v>
      </c>
      <c r="P9">
        <f t="shared" si="1"/>
        <v>1.5852311852254597</v>
      </c>
    </row>
    <row r="10" spans="2:16" x14ac:dyDescent="0.25">
      <c r="B10" t="s">
        <v>15</v>
      </c>
      <c r="C10">
        <v>0.66753579297496402</v>
      </c>
      <c r="D10">
        <v>2.9398302139701138</v>
      </c>
      <c r="E10">
        <v>6.6852067434139606</v>
      </c>
      <c r="F10">
        <v>2.9324724239978481</v>
      </c>
      <c r="G10">
        <f t="shared" si="2"/>
        <v>1.8036830034725388</v>
      </c>
      <c r="H10">
        <f t="shared" si="3"/>
        <v>1.0880192857149005</v>
      </c>
      <c r="J10" t="s">
        <v>45</v>
      </c>
      <c r="K10">
        <v>1.494824793763718</v>
      </c>
      <c r="L10">
        <v>0.5303813833225598</v>
      </c>
      <c r="O10">
        <f t="shared" si="0"/>
        <v>1.012603088543139</v>
      </c>
      <c r="P10">
        <f t="shared" si="1"/>
        <v>0.78295953361343595</v>
      </c>
    </row>
    <row r="11" spans="2:16" x14ac:dyDescent="0.25">
      <c r="B11" t="s">
        <v>16</v>
      </c>
      <c r="C11">
        <v>1.392473621378522</v>
      </c>
      <c r="D11">
        <v>2.1516159459861992</v>
      </c>
      <c r="E11">
        <v>1.6260872692523081</v>
      </c>
      <c r="F11">
        <v>5.5012224938875303</v>
      </c>
      <c r="G11">
        <f t="shared" si="2"/>
        <v>1.7720447836823605</v>
      </c>
      <c r="H11">
        <f t="shared" si="3"/>
        <v>1.6907408185797992</v>
      </c>
      <c r="J11" t="s">
        <v>46</v>
      </c>
      <c r="K11">
        <v>0.1106687857917707</v>
      </c>
      <c r="L11">
        <v>0.48723335488041358</v>
      </c>
      <c r="M11">
        <v>5.762742773775873</v>
      </c>
      <c r="N11">
        <v>2.3394723743155801</v>
      </c>
      <c r="O11">
        <f t="shared" si="0"/>
        <v>0.29895107033609214</v>
      </c>
      <c r="P11">
        <f t="shared" si="1"/>
        <v>0.18036906080063755</v>
      </c>
    </row>
    <row r="12" spans="2:16" x14ac:dyDescent="0.25">
      <c r="B12" t="s">
        <v>17</v>
      </c>
      <c r="C12">
        <v>1.815287265385521</v>
      </c>
      <c r="D12">
        <v>2.1982326366479672</v>
      </c>
      <c r="E12">
        <v>20.931839756977411</v>
      </c>
      <c r="F12">
        <v>14.726576965806689</v>
      </c>
      <c r="G12">
        <f t="shared" si="2"/>
        <v>2.0067599510167442</v>
      </c>
      <c r="H12">
        <f t="shared" si="3"/>
        <v>1.9884908056093635</v>
      </c>
      <c r="J12" t="s">
        <v>47</v>
      </c>
      <c r="K12">
        <v>0.91743787683846723</v>
      </c>
      <c r="L12">
        <v>1.658371040723982</v>
      </c>
      <c r="M12">
        <v>1.3469961160234689</v>
      </c>
      <c r="N12">
        <v>5.5082510737698742</v>
      </c>
      <c r="O12">
        <f t="shared" si="0"/>
        <v>1.2879044587812247</v>
      </c>
      <c r="P12">
        <f t="shared" si="1"/>
        <v>1.181339497847532</v>
      </c>
    </row>
    <row r="13" spans="2:16" x14ac:dyDescent="0.25">
      <c r="B13" t="s">
        <v>18</v>
      </c>
      <c r="C13">
        <v>1.860304605376957</v>
      </c>
      <c r="D13">
        <v>2.2915653080474612</v>
      </c>
      <c r="E13">
        <v>16.323981914069261</v>
      </c>
      <c r="F13">
        <v>1.2828198057786839</v>
      </c>
      <c r="G13">
        <f t="shared" si="2"/>
        <v>2.0759349567122092</v>
      </c>
      <c r="H13">
        <f t="shared" si="3"/>
        <v>2.0535371218153955</v>
      </c>
      <c r="J13" t="s">
        <v>48</v>
      </c>
      <c r="K13">
        <v>1.3176750170286839</v>
      </c>
      <c r="L13">
        <v>1.332740788623141</v>
      </c>
      <c r="M13">
        <v>5.3130600682199232</v>
      </c>
      <c r="N13">
        <v>6.6490615863434881</v>
      </c>
      <c r="O13">
        <f t="shared" si="0"/>
        <v>1.3252079028259125</v>
      </c>
      <c r="P13">
        <f t="shared" si="1"/>
        <v>1.3251650836061408</v>
      </c>
    </row>
    <row r="14" spans="2:16" x14ac:dyDescent="0.25">
      <c r="B14" t="s">
        <v>19</v>
      </c>
      <c r="C14">
        <v>1.7143367559612419</v>
      </c>
      <c r="D14">
        <v>4.2732462890334117</v>
      </c>
      <c r="E14">
        <v>9.54773007082402</v>
      </c>
      <c r="F14">
        <v>5.0656897422940874</v>
      </c>
      <c r="G14">
        <f t="shared" si="2"/>
        <v>2.9937915224973271</v>
      </c>
      <c r="H14">
        <f t="shared" si="3"/>
        <v>2.4469917579477998</v>
      </c>
      <c r="J14" t="s">
        <v>49</v>
      </c>
      <c r="K14">
        <v>0.33005474406518831</v>
      </c>
      <c r="L14">
        <v>0.96350078492935631</v>
      </c>
      <c r="M14">
        <v>31.117388767771061</v>
      </c>
      <c r="N14">
        <v>18.196952234601099</v>
      </c>
      <c r="O14">
        <f t="shared" si="0"/>
        <v>0.64677776449727231</v>
      </c>
      <c r="P14">
        <f t="shared" si="1"/>
        <v>0.49168048506375006</v>
      </c>
    </row>
    <row r="15" spans="2:16" x14ac:dyDescent="0.25">
      <c r="B15" t="s">
        <v>20</v>
      </c>
      <c r="C15">
        <v>0.34686079517259172</v>
      </c>
      <c r="D15">
        <v>7.5212232537357898E-2</v>
      </c>
      <c r="E15">
        <v>13.37719298245614</v>
      </c>
      <c r="F15">
        <v>1.428571428571429</v>
      </c>
      <c r="G15" s="1">
        <f t="shared" si="2"/>
        <v>0.21103651385497479</v>
      </c>
      <c r="H15" s="1">
        <f t="shared" si="3"/>
        <v>0.12361924630039019</v>
      </c>
      <c r="J15" t="s">
        <v>67</v>
      </c>
      <c r="K15">
        <v>2.110117813264714</v>
      </c>
      <c r="L15">
        <v>2.1582786960938218</v>
      </c>
      <c r="M15">
        <v>8.4935119006314626</v>
      </c>
      <c r="N15">
        <v>14.449447400736799</v>
      </c>
      <c r="O15">
        <f t="shared" si="0"/>
        <v>2.1341982546792679</v>
      </c>
      <c r="P15">
        <f t="shared" si="1"/>
        <v>2.1339265518712236</v>
      </c>
    </row>
    <row r="16" spans="2:16" x14ac:dyDescent="0.25">
      <c r="B16" t="s">
        <v>21</v>
      </c>
      <c r="C16">
        <v>2.0320229800965821</v>
      </c>
      <c r="D16">
        <v>2.401628357245694</v>
      </c>
      <c r="E16">
        <v>21.32397163019612</v>
      </c>
      <c r="F16">
        <v>28.171995098585271</v>
      </c>
      <c r="G16">
        <f t="shared" si="2"/>
        <v>2.2168256686711381</v>
      </c>
      <c r="H16">
        <f t="shared" si="3"/>
        <v>2.2014198412364276</v>
      </c>
      <c r="J16" t="s">
        <v>68</v>
      </c>
      <c r="K16">
        <v>1.0359070612275789</v>
      </c>
      <c r="L16">
        <v>2.3523409363745489</v>
      </c>
      <c r="O16">
        <f t="shared" si="0"/>
        <v>1.6941239988010639</v>
      </c>
      <c r="P16">
        <f t="shared" si="1"/>
        <v>1.4383873837627144</v>
      </c>
    </row>
    <row r="17" spans="2:16" x14ac:dyDescent="0.25">
      <c r="B17" t="s">
        <v>22</v>
      </c>
      <c r="C17">
        <v>1.265959739460603</v>
      </c>
      <c r="D17">
        <v>0.9623690612123319</v>
      </c>
      <c r="E17">
        <v>2.427762969274434</v>
      </c>
      <c r="F17">
        <v>3.5804905553989288</v>
      </c>
      <c r="G17">
        <f t="shared" si="2"/>
        <v>1.1141644003364675</v>
      </c>
      <c r="H17">
        <f t="shared" si="3"/>
        <v>1.0934835879062257</v>
      </c>
      <c r="J17" t="s">
        <v>69</v>
      </c>
      <c r="K17">
        <v>1.537845051590605</v>
      </c>
      <c r="L17">
        <v>1.3250069258472621</v>
      </c>
      <c r="O17">
        <f t="shared" si="0"/>
        <v>1.4314259887189336</v>
      </c>
      <c r="P17">
        <f t="shared" si="1"/>
        <v>1.4235142859611682</v>
      </c>
    </row>
    <row r="18" spans="2:16" x14ac:dyDescent="0.25">
      <c r="B18" t="s">
        <v>23</v>
      </c>
      <c r="C18">
        <v>0.9593892579958202</v>
      </c>
      <c r="D18">
        <v>1.2396365983219979</v>
      </c>
      <c r="E18">
        <v>4.6167433078539446</v>
      </c>
      <c r="F18">
        <v>8.4263514992339683</v>
      </c>
      <c r="G18">
        <f t="shared" si="2"/>
        <v>1.0995129281589091</v>
      </c>
      <c r="H18">
        <f t="shared" si="3"/>
        <v>1.0816553455538083</v>
      </c>
      <c r="J18" t="s">
        <v>51</v>
      </c>
      <c r="K18">
        <v>2.2345821034839419</v>
      </c>
      <c r="L18">
        <v>1.4942284606150149</v>
      </c>
      <c r="M18">
        <v>1.703831603989977</v>
      </c>
      <c r="N18">
        <v>8.3451674880962319</v>
      </c>
      <c r="O18">
        <f t="shared" si="0"/>
        <v>1.8644052820494785</v>
      </c>
      <c r="P18">
        <f t="shared" si="1"/>
        <v>1.7909068423879639</v>
      </c>
    </row>
    <row r="19" spans="2:16" x14ac:dyDescent="0.25">
      <c r="B19" t="s">
        <v>24</v>
      </c>
      <c r="C19">
        <v>0.96047105795215126</v>
      </c>
      <c r="D19">
        <v>2.6941369210147448</v>
      </c>
      <c r="E19">
        <v>9.6170008404370275</v>
      </c>
      <c r="F19">
        <v>4.3411151842562221</v>
      </c>
      <c r="G19">
        <f t="shared" si="2"/>
        <v>1.827303989483448</v>
      </c>
      <c r="H19">
        <f t="shared" si="3"/>
        <v>1.4160974603500271</v>
      </c>
      <c r="J19" t="s">
        <v>52</v>
      </c>
      <c r="K19">
        <v>0.45201140291127417</v>
      </c>
      <c r="L19">
        <v>1.1186628497552871</v>
      </c>
      <c r="M19">
        <v>1.268970151761214</v>
      </c>
      <c r="N19">
        <v>2.1762785636561479</v>
      </c>
      <c r="O19">
        <f t="shared" si="0"/>
        <v>0.78533712633328068</v>
      </c>
      <c r="P19">
        <f t="shared" si="1"/>
        <v>0.6438615304785994</v>
      </c>
    </row>
    <row r="20" spans="2:16" x14ac:dyDescent="0.25">
      <c r="B20" t="s">
        <v>25</v>
      </c>
      <c r="C20">
        <v>0.65609253288643499</v>
      </c>
      <c r="D20">
        <v>0.26098396465273299</v>
      </c>
      <c r="E20">
        <v>14.237907575790929</v>
      </c>
      <c r="F20">
        <v>17.124735729386892</v>
      </c>
      <c r="G20">
        <f t="shared" si="2"/>
        <v>0.45853824876958399</v>
      </c>
      <c r="H20">
        <f t="shared" si="3"/>
        <v>0.37342496699288114</v>
      </c>
      <c r="J20" t="s">
        <v>53</v>
      </c>
      <c r="K20">
        <v>0.1469673806100053</v>
      </c>
      <c r="L20">
        <v>0.49475944223843382</v>
      </c>
      <c r="M20">
        <v>26.717821097746441</v>
      </c>
      <c r="N20">
        <v>17.860553963705829</v>
      </c>
      <c r="O20">
        <f t="shared" si="0"/>
        <v>0.32086341142421959</v>
      </c>
      <c r="P20">
        <f t="shared" si="1"/>
        <v>0.22661823277105891</v>
      </c>
    </row>
    <row r="21" spans="2:16" x14ac:dyDescent="0.25">
      <c r="B21" t="s">
        <v>26</v>
      </c>
      <c r="C21">
        <v>0.87881430187748288</v>
      </c>
      <c r="D21">
        <v>0.31589137665690309</v>
      </c>
      <c r="E21">
        <v>2.385012811358004</v>
      </c>
      <c r="F21">
        <v>11.002444987775061</v>
      </c>
      <c r="G21">
        <f t="shared" si="2"/>
        <v>0.59735283926719296</v>
      </c>
      <c r="H21">
        <f t="shared" si="3"/>
        <v>0.46473347307834556</v>
      </c>
      <c r="J21" t="s">
        <v>54</v>
      </c>
      <c r="K21">
        <v>0.911743484951689</v>
      </c>
      <c r="L21">
        <v>1.657678455997784</v>
      </c>
      <c r="M21">
        <v>15.721431232851961</v>
      </c>
      <c r="N21">
        <v>7.2555205047318623</v>
      </c>
      <c r="O21">
        <f t="shared" si="0"/>
        <v>1.2847109704747366</v>
      </c>
      <c r="P21">
        <f t="shared" si="1"/>
        <v>1.1764338961332745</v>
      </c>
    </row>
    <row r="22" spans="2:16" x14ac:dyDescent="0.25">
      <c r="B22" t="s">
        <v>27</v>
      </c>
      <c r="C22">
        <v>1.7156893603627359</v>
      </c>
      <c r="D22">
        <v>1.16089956808817</v>
      </c>
      <c r="E22">
        <v>13.18350957596653</v>
      </c>
      <c r="F22">
        <v>9.7968397291196379</v>
      </c>
      <c r="G22">
        <f t="shared" si="2"/>
        <v>1.4382944642254529</v>
      </c>
      <c r="H22">
        <f t="shared" si="3"/>
        <v>1.3847950381225709</v>
      </c>
      <c r="J22" t="s">
        <v>55</v>
      </c>
      <c r="K22">
        <v>0.34183001589343831</v>
      </c>
      <c r="L22">
        <v>0.98026133530335213</v>
      </c>
      <c r="M22">
        <v>12.30152841667903</v>
      </c>
      <c r="N22">
        <v>9.1224590976698057</v>
      </c>
      <c r="O22">
        <f t="shared" si="0"/>
        <v>0.66104567559839522</v>
      </c>
      <c r="P22">
        <f t="shared" si="1"/>
        <v>0.50689802565177144</v>
      </c>
    </row>
    <row r="23" spans="2:16" x14ac:dyDescent="0.25">
      <c r="B23" t="s">
        <v>28</v>
      </c>
      <c r="C23">
        <v>1.689455356965629</v>
      </c>
      <c r="D23">
        <v>2.8994191530556521</v>
      </c>
      <c r="E23">
        <v>1.909003580473321</v>
      </c>
      <c r="F23">
        <v>7.9764599366229074</v>
      </c>
      <c r="G23">
        <f t="shared" si="2"/>
        <v>2.2944372550106404</v>
      </c>
      <c r="H23">
        <f t="shared" si="3"/>
        <v>2.1349196669123565</v>
      </c>
      <c r="J23" t="s">
        <v>56</v>
      </c>
      <c r="K23">
        <v>1.379658417215369</v>
      </c>
      <c r="L23">
        <v>1.4712577338627759</v>
      </c>
      <c r="M23">
        <v>2.2533073560853158</v>
      </c>
      <c r="N23">
        <v>3.5726554448643069</v>
      </c>
      <c r="O23">
        <f t="shared" si="0"/>
        <v>1.4254580755390724</v>
      </c>
      <c r="P23">
        <f t="shared" si="1"/>
        <v>1.4239865424659062</v>
      </c>
    </row>
    <row r="24" spans="2:16" x14ac:dyDescent="0.25">
      <c r="B24" t="s">
        <v>29</v>
      </c>
      <c r="C24">
        <v>1.6008725290866661</v>
      </c>
      <c r="D24">
        <v>1.2574095219182839</v>
      </c>
      <c r="E24">
        <v>7.56168795590008</v>
      </c>
      <c r="F24">
        <v>20.80900750625521</v>
      </c>
      <c r="G24">
        <f t="shared" si="2"/>
        <v>1.429141025502475</v>
      </c>
      <c r="H24">
        <f t="shared" si="3"/>
        <v>1.4085050569052415</v>
      </c>
      <c r="J24" t="s">
        <v>57</v>
      </c>
      <c r="K24">
        <v>1.233448876106864</v>
      </c>
      <c r="L24">
        <v>2.6407101302059282</v>
      </c>
      <c r="M24">
        <v>7.1105627538827934</v>
      </c>
      <c r="N24">
        <v>5.0809810273021752</v>
      </c>
      <c r="O24">
        <f t="shared" si="0"/>
        <v>1.9370795031563961</v>
      </c>
      <c r="P24">
        <f t="shared" si="1"/>
        <v>1.6814905825594986</v>
      </c>
    </row>
    <row r="25" spans="2:16" x14ac:dyDescent="0.25">
      <c r="B25" t="s">
        <v>30</v>
      </c>
      <c r="C25">
        <v>0.90735368761927437</v>
      </c>
      <c r="D25">
        <v>1.605073722881398</v>
      </c>
      <c r="E25">
        <v>5.53770259650324</v>
      </c>
      <c r="F25">
        <v>7.7909270216962518</v>
      </c>
      <c r="G25">
        <f t="shared" si="2"/>
        <v>1.2562137052503362</v>
      </c>
      <c r="H25">
        <f t="shared" si="3"/>
        <v>1.1593326479963939</v>
      </c>
      <c r="J25" t="s">
        <v>58</v>
      </c>
      <c r="K25">
        <v>1.5483680213930719</v>
      </c>
      <c r="L25">
        <v>2.470726752239357</v>
      </c>
      <c r="M25">
        <v>6.9160255360942866</v>
      </c>
      <c r="N25">
        <v>1.245934450838128</v>
      </c>
      <c r="O25">
        <f t="shared" si="0"/>
        <v>2.0095473868162146</v>
      </c>
      <c r="P25">
        <f t="shared" si="1"/>
        <v>1.9037094212686301</v>
      </c>
    </row>
    <row r="26" spans="2:16" x14ac:dyDescent="0.25">
      <c r="B26" t="s">
        <v>31</v>
      </c>
      <c r="C26">
        <v>1.389223968036569</v>
      </c>
      <c r="D26">
        <v>2.3733803306359529</v>
      </c>
      <c r="E26">
        <v>8.3251504931050671E-2</v>
      </c>
      <c r="F26">
        <v>7.0836965998256316</v>
      </c>
      <c r="G26">
        <f t="shared" si="2"/>
        <v>1.8813021493362609</v>
      </c>
      <c r="H26">
        <f t="shared" si="3"/>
        <v>1.752592927058148</v>
      </c>
      <c r="J26" t="s">
        <v>59</v>
      </c>
      <c r="K26">
        <v>2.5080410706627312</v>
      </c>
      <c r="L26">
        <v>2.852756487210268</v>
      </c>
      <c r="M26">
        <v>19.92176159935762</v>
      </c>
      <c r="N26">
        <v>11.23266091979171</v>
      </c>
      <c r="O26">
        <f t="shared" si="0"/>
        <v>2.6803987789364996</v>
      </c>
      <c r="P26">
        <f t="shared" si="1"/>
        <v>2.6693156595757408</v>
      </c>
    </row>
    <row r="27" spans="2:16" x14ac:dyDescent="0.25">
      <c r="B27" t="s">
        <v>32</v>
      </c>
      <c r="C27">
        <v>1.630713477554423</v>
      </c>
      <c r="D27">
        <v>2.420989922057291</v>
      </c>
      <c r="E27">
        <v>14.20160119356858</v>
      </c>
      <c r="F27">
        <v>6.1847742502471714</v>
      </c>
      <c r="G27">
        <f t="shared" si="2"/>
        <v>2.0258516998058571</v>
      </c>
      <c r="H27">
        <f t="shared" si="3"/>
        <v>1.9487807993549571</v>
      </c>
      <c r="J27" t="s">
        <v>60</v>
      </c>
      <c r="K27">
        <v>1.6525250384722121</v>
      </c>
      <c r="L27">
        <v>0.76976175085418785</v>
      </c>
      <c r="M27">
        <v>5.8058015206846703</v>
      </c>
      <c r="N27">
        <v>9.6179624664879348</v>
      </c>
      <c r="O27">
        <f t="shared" si="0"/>
        <v>1.2111433946632</v>
      </c>
      <c r="P27">
        <f t="shared" si="1"/>
        <v>1.0502889852266348</v>
      </c>
    </row>
    <row r="28" spans="2:16" x14ac:dyDescent="0.25">
      <c r="B28" t="s">
        <v>33</v>
      </c>
      <c r="C28">
        <v>0.27492889611034083</v>
      </c>
      <c r="D28">
        <v>1.0409571563322251</v>
      </c>
      <c r="E28">
        <v>21.40252889612908</v>
      </c>
      <c r="F28">
        <v>17.058377558756639</v>
      </c>
      <c r="G28">
        <f t="shared" si="2"/>
        <v>0.65794302622128298</v>
      </c>
      <c r="H28">
        <f t="shared" si="3"/>
        <v>0.43497565971969959</v>
      </c>
      <c r="J28" t="s">
        <v>61</v>
      </c>
      <c r="K28">
        <v>2.4409525971896362</v>
      </c>
      <c r="L28">
        <v>2.351509834703112</v>
      </c>
      <c r="M28">
        <v>1.9470828717451201</v>
      </c>
      <c r="N28">
        <v>12.64441936697297</v>
      </c>
      <c r="O28">
        <f t="shared" si="0"/>
        <v>2.3962312159463739</v>
      </c>
      <c r="P28">
        <f t="shared" si="1"/>
        <v>2.3953965711395639</v>
      </c>
    </row>
    <row r="29" spans="2:16" x14ac:dyDescent="0.25">
      <c r="B29" t="s">
        <v>34</v>
      </c>
      <c r="C29">
        <v>0.6140228496567447</v>
      </c>
      <c r="D29">
        <v>0.87901504244650741</v>
      </c>
      <c r="E29">
        <v>11.16811460929749</v>
      </c>
      <c r="F29">
        <v>7.7338129496402894</v>
      </c>
      <c r="G29">
        <f t="shared" si="2"/>
        <v>0.74651894605162605</v>
      </c>
      <c r="H29">
        <f t="shared" si="3"/>
        <v>0.72300284421290906</v>
      </c>
      <c r="J29" t="s">
        <v>62</v>
      </c>
      <c r="K29">
        <v>1.51848936653296</v>
      </c>
      <c r="L29">
        <v>1.057253670699049</v>
      </c>
      <c r="M29">
        <v>8.9791696245664561</v>
      </c>
      <c r="N29">
        <v>6.9745184830721394</v>
      </c>
      <c r="O29">
        <f t="shared" si="0"/>
        <v>1.2878715186160044</v>
      </c>
      <c r="P29">
        <f t="shared" si="1"/>
        <v>1.2465750142605061</v>
      </c>
    </row>
    <row r="30" spans="2:16" x14ac:dyDescent="0.25">
      <c r="B30" t="s">
        <v>35</v>
      </c>
      <c r="C30">
        <v>1.288616572097784</v>
      </c>
      <c r="D30">
        <v>1.8744476989524901</v>
      </c>
      <c r="E30">
        <v>6.5743025662022641</v>
      </c>
      <c r="F30">
        <v>26.967559943582511</v>
      </c>
      <c r="G30">
        <f t="shared" si="2"/>
        <v>1.5815321355251371</v>
      </c>
      <c r="H30">
        <f t="shared" si="3"/>
        <v>1.5272812446512223</v>
      </c>
      <c r="J30" t="s">
        <v>63</v>
      </c>
      <c r="K30">
        <v>1.397392467014809</v>
      </c>
      <c r="L30">
        <v>1.2340012928248221</v>
      </c>
      <c r="M30">
        <v>1.6720633903212609</v>
      </c>
      <c r="N30">
        <v>1.493447119780555</v>
      </c>
      <c r="O30">
        <f t="shared" si="0"/>
        <v>1.3156968799198157</v>
      </c>
      <c r="P30">
        <f t="shared" si="1"/>
        <v>1.3106241545431296</v>
      </c>
    </row>
    <row r="31" spans="2:16" x14ac:dyDescent="0.25">
      <c r="B31" t="s">
        <v>36</v>
      </c>
      <c r="C31">
        <v>0.36370596592117471</v>
      </c>
      <c r="D31">
        <v>0.19227523209055261</v>
      </c>
      <c r="E31">
        <v>15.19134742534589</v>
      </c>
      <c r="F31">
        <v>8.7136929460580905</v>
      </c>
      <c r="G31">
        <f t="shared" si="2"/>
        <v>0.27799059900586365</v>
      </c>
      <c r="H31">
        <f t="shared" si="3"/>
        <v>0.25156120120715814</v>
      </c>
      <c r="J31" t="s">
        <v>64</v>
      </c>
      <c r="K31">
        <v>0.9240545926991095</v>
      </c>
      <c r="L31">
        <v>2.4347585187921319</v>
      </c>
      <c r="M31">
        <v>3.930791568672916</v>
      </c>
      <c r="N31">
        <v>8.4469795177599174</v>
      </c>
      <c r="O31">
        <f t="shared" si="0"/>
        <v>1.6794065557456208</v>
      </c>
      <c r="P31">
        <f t="shared" si="1"/>
        <v>1.3396695301122397</v>
      </c>
    </row>
    <row r="32" spans="2:16" x14ac:dyDescent="0.25">
      <c r="B32" t="s">
        <v>37</v>
      </c>
      <c r="C32">
        <v>2.1205051424488088</v>
      </c>
      <c r="D32">
        <v>1.671697363848484</v>
      </c>
      <c r="E32">
        <v>7.9512318007861156</v>
      </c>
      <c r="F32">
        <v>4.4525431785770877</v>
      </c>
      <c r="G32">
        <f t="shared" si="2"/>
        <v>1.8961012531486463</v>
      </c>
      <c r="H32">
        <f t="shared" si="3"/>
        <v>1.8695430166360039</v>
      </c>
      <c r="J32" t="s">
        <v>65</v>
      </c>
      <c r="K32">
        <v>2.7937606902293202</v>
      </c>
      <c r="L32">
        <v>3.1983100932680761</v>
      </c>
      <c r="M32">
        <v>5.5408544515527627</v>
      </c>
      <c r="N32">
        <v>4.2372881355932197</v>
      </c>
      <c r="O32">
        <f t="shared" si="0"/>
        <v>2.9960353917486984</v>
      </c>
      <c r="P32">
        <f t="shared" si="1"/>
        <v>2.9823789926996631</v>
      </c>
    </row>
    <row r="33" spans="2:16" x14ac:dyDescent="0.25">
      <c r="B33" t="s">
        <v>38</v>
      </c>
      <c r="C33">
        <v>1.100854097370503</v>
      </c>
      <c r="D33">
        <v>2.517301295735491</v>
      </c>
      <c r="E33">
        <v>2.7638613797299572</v>
      </c>
      <c r="F33">
        <v>6.5844481605351168</v>
      </c>
      <c r="G33">
        <f t="shared" si="2"/>
        <v>1.8090776965529969</v>
      </c>
      <c r="H33">
        <f t="shared" si="3"/>
        <v>1.5318200268604714</v>
      </c>
      <c r="J33" t="s">
        <v>72</v>
      </c>
      <c r="K33">
        <v>1.3691122379474761</v>
      </c>
      <c r="L33">
        <v>1.358320251177394</v>
      </c>
      <c r="M33">
        <v>5.8855430145794898</v>
      </c>
      <c r="N33">
        <v>2.201507338357795</v>
      </c>
      <c r="O33">
        <f t="shared" si="0"/>
        <v>1.3637162445624349</v>
      </c>
      <c r="P33">
        <f t="shared" si="1"/>
        <v>1.3636948935337825</v>
      </c>
    </row>
    <row r="34" spans="2:16" x14ac:dyDescent="0.25">
      <c r="B34" t="s">
        <v>50</v>
      </c>
      <c r="C34">
        <v>1</v>
      </c>
      <c r="D34">
        <v>1</v>
      </c>
      <c r="E34">
        <v>11.97509657335946</v>
      </c>
      <c r="F34">
        <v>0.38649832517392418</v>
      </c>
      <c r="G34">
        <f t="shared" si="2"/>
        <v>1</v>
      </c>
      <c r="H34">
        <f t="shared" si="3"/>
        <v>1</v>
      </c>
      <c r="J34" t="s">
        <v>50</v>
      </c>
      <c r="K34">
        <v>1</v>
      </c>
      <c r="L34">
        <v>1</v>
      </c>
      <c r="M34">
        <v>8.9379995408919228</v>
      </c>
      <c r="N34">
        <v>2.4009603841536622</v>
      </c>
      <c r="O34">
        <f t="shared" si="0"/>
        <v>1</v>
      </c>
      <c r="P34">
        <f t="shared" si="1"/>
        <v>1</v>
      </c>
    </row>
    <row r="35" spans="2:16" x14ac:dyDescent="0.25">
      <c r="B35" t="s">
        <v>66</v>
      </c>
      <c r="C35">
        <v>3.0396055045611412</v>
      </c>
      <c r="D35">
        <v>4.3208062354167698</v>
      </c>
      <c r="E35">
        <v>6.1724252582901453</v>
      </c>
      <c r="F35">
        <v>1.497860199714693</v>
      </c>
      <c r="G35">
        <f t="shared" si="2"/>
        <v>3.6802058699889555</v>
      </c>
      <c r="H35">
        <f t="shared" si="3"/>
        <v>3.5686988394902839</v>
      </c>
      <c r="J35" t="s">
        <v>66</v>
      </c>
      <c r="K35">
        <v>1.086905320517672</v>
      </c>
      <c r="L35">
        <v>2.227698771816419</v>
      </c>
      <c r="M35">
        <v>15.952189132780219</v>
      </c>
      <c r="N35">
        <v>15.505717284427989</v>
      </c>
      <c r="O35">
        <f t="shared" si="0"/>
        <v>1.6573020461670454</v>
      </c>
      <c r="P35">
        <f t="shared" si="1"/>
        <v>1.4609875449064025</v>
      </c>
    </row>
    <row r="36" spans="2:16" x14ac:dyDescent="0.25">
      <c r="B36" t="s">
        <v>70</v>
      </c>
      <c r="C36">
        <v>1.6694073210776601</v>
      </c>
      <c r="D36">
        <v>2.8713697065978261</v>
      </c>
      <c r="E36">
        <v>1.5865484160397541</v>
      </c>
      <c r="F36">
        <v>10.25734623106406</v>
      </c>
      <c r="G36">
        <f t="shared" si="2"/>
        <v>2.2703885138377431</v>
      </c>
      <c r="H36">
        <f t="shared" si="3"/>
        <v>2.1113063162975454</v>
      </c>
      <c r="J36" t="s">
        <v>70</v>
      </c>
      <c r="K36">
        <v>2.434583112591135</v>
      </c>
      <c r="L36">
        <v>3.7446670976082741</v>
      </c>
      <c r="M36">
        <v>4.1941597716269028</v>
      </c>
      <c r="N36">
        <v>8.5849971572857093</v>
      </c>
      <c r="O36">
        <f t="shared" si="0"/>
        <v>3.0896251050997048</v>
      </c>
      <c r="P36">
        <f t="shared" si="1"/>
        <v>2.9507474104430416</v>
      </c>
    </row>
    <row r="37" spans="2:16" x14ac:dyDescent="0.25">
      <c r="B37" t="s">
        <v>71</v>
      </c>
      <c r="C37">
        <v>1.782967960006012</v>
      </c>
      <c r="D37">
        <v>3.0570917936752222</v>
      </c>
      <c r="E37">
        <v>4.9699586780201033</v>
      </c>
      <c r="F37">
        <v>15.666980405578849</v>
      </c>
      <c r="G37">
        <f t="shared" ref="G37" si="4">AVERAGE(C37:D37)</f>
        <v>2.420029876840617</v>
      </c>
      <c r="H37">
        <f t="shared" ref="H37" si="5">HARMEAN(C37:D37)</f>
        <v>2.252326209309528</v>
      </c>
      <c r="J37" t="s">
        <v>71</v>
      </c>
      <c r="K37">
        <v>2.001444032392341</v>
      </c>
      <c r="L37">
        <v>2.6275971927232429</v>
      </c>
      <c r="M37">
        <v>40.354972116047371</v>
      </c>
      <c r="N37">
        <v>35.197049116676368</v>
      </c>
      <c r="O37">
        <f t="shared" ref="O37" si="6">AVERAGE(K37:L37)</f>
        <v>2.314520612557792</v>
      </c>
      <c r="P37">
        <f t="shared" ref="P37" si="7">HARMEAN(K37:L37)</f>
        <v>2.2721719099727782</v>
      </c>
    </row>
  </sheetData>
  <mergeCells count="6">
    <mergeCell ref="C1:H1"/>
    <mergeCell ref="K1:P1"/>
    <mergeCell ref="C2:D2"/>
    <mergeCell ref="E2:F2"/>
    <mergeCell ref="K2:L2"/>
    <mergeCell ref="M2:N2"/>
  </mergeCells>
  <conditionalFormatting sqref="E4:F36 M4:M36 K4:K36">
    <cfRule type="cellIs" dxfId="0" priority="13" operator="greaterThan">
      <formula>33</formula>
    </cfRule>
  </conditionalFormatting>
  <conditionalFormatting sqref="G4:H3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P3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L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2025-06-30T15:47:42Z</dcterms:modified>
</cp:coreProperties>
</file>