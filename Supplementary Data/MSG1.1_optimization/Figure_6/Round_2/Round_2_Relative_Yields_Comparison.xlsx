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2\"/>
    </mc:Choice>
  </mc:AlternateContent>
  <xr:revisionPtr revIDLastSave="0" documentId="13_ncr:1_{656E4FD3-5225-4901-B02A-79EE4A5BDE4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P4" i="1"/>
  <c r="O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4" i="1"/>
</calcChain>
</file>

<file path=xl/sharedStrings.xml><?xml version="1.0" encoding="utf-8"?>
<sst xmlns="http://schemas.openxmlformats.org/spreadsheetml/2006/main" count="115" uniqueCount="102">
  <si>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</si>
  <si>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</si>
  <si>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</si>
  <si>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</si>
  <si>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</si>
  <si>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</si>
  <si>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</si>
  <si>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</si>
  <si>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</si>
  <si>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</si>
  <si>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</si>
  <si>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</si>
  <si>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</si>
  <si>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</si>
  <si>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</si>
  <si>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</si>
  <si>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</si>
  <si>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</si>
  <si>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</si>
  <si>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</si>
  <si>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</si>
  <si>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</si>
  <si>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</si>
  <si>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</si>
  <si>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</si>
  <si>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</si>
  <si>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</si>
  <si>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</si>
  <si>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</si>
  <si>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</si>
  <si>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</si>
  <si>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</si>
  <si>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</si>
  <si>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</si>
  <si>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</si>
  <si>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</si>
  <si>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</si>
  <si>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</si>
  <si>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</si>
  <si>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</si>
  <si>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</si>
  <si>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</si>
  <si>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</si>
  <si>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</si>
  <si>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</si>
  <si>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</si>
  <si>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</si>
  <si>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</si>
  <si>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</si>
  <si>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</si>
  <si>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</si>
  <si>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</si>
  <si>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</si>
  <si>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</si>
  <si>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REF</t>
  </si>
  <si>
    <t>TOP1V</t>
  </si>
  <si>
    <t>TOP1C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</si>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</sst>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Day 2 - Rel. Yield mVenus vs mCherry (0.1 nM)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2.7530510940774315E-3"/>
                  <c:y val="-8.3141582947851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Sheet1!$C$4:$C$51</c:f>
              <c:numCache>
                <c:formatCode>General</c:formatCode>
                <c:ptCount val="48"/>
                <c:pt idx="0">
                  <c:v>1.1238429930957829</c:v>
                </c:pt>
                <c:pt idx="1">
                  <c:v>0.25337383887363429</c:v>
                </c:pt>
                <c:pt idx="2">
                  <c:v>0.16631838493145959</c:v>
                </c:pt>
                <c:pt idx="3">
                  <c:v>2.6391516605923329E-2</c:v>
                </c:pt>
                <c:pt idx="4">
                  <c:v>0.25611665116251198</c:v>
                </c:pt>
                <c:pt idx="5">
                  <c:v>5.581495679059504E-2</c:v>
                </c:pt>
                <c:pt idx="6">
                  <c:v>0.33726105251489369</c:v>
                </c:pt>
                <c:pt idx="7">
                  <c:v>1.869186878242203E-2</c:v>
                </c:pt>
                <c:pt idx="8">
                  <c:v>0.37401713396338621</c:v>
                </c:pt>
                <c:pt idx="9">
                  <c:v>0.77651397695797997</c:v>
                </c:pt>
                <c:pt idx="10">
                  <c:v>2.0110461484534041E-2</c:v>
                </c:pt>
                <c:pt idx="11">
                  <c:v>2.6081433512642249E-2</c:v>
                </c:pt>
                <c:pt idx="12">
                  <c:v>0.1967634515394053</c:v>
                </c:pt>
                <c:pt idx="13">
                  <c:v>0.60972822040766184</c:v>
                </c:pt>
                <c:pt idx="14">
                  <c:v>2.171480444542313E-2</c:v>
                </c:pt>
                <c:pt idx="15">
                  <c:v>0.34015965534339082</c:v>
                </c:pt>
                <c:pt idx="16">
                  <c:v>1.715343720367965E-2</c:v>
                </c:pt>
                <c:pt idx="17">
                  <c:v>7.019711997219738E-2</c:v>
                </c:pt>
                <c:pt idx="18">
                  <c:v>2.1780715827569831E-2</c:v>
                </c:pt>
                <c:pt idx="19">
                  <c:v>1.6970682916818341E-2</c:v>
                </c:pt>
                <c:pt idx="20">
                  <c:v>1.3963041690447191</c:v>
                </c:pt>
                <c:pt idx="21">
                  <c:v>0.1431265663315672</c:v>
                </c:pt>
                <c:pt idx="22">
                  <c:v>1.2070366392385441</c:v>
                </c:pt>
                <c:pt idx="23">
                  <c:v>1.9750944854642929E-2</c:v>
                </c:pt>
                <c:pt idx="24">
                  <c:v>5.6906988553889287E-2</c:v>
                </c:pt>
                <c:pt idx="25">
                  <c:v>0.42416970383319619</c:v>
                </c:pt>
                <c:pt idx="26">
                  <c:v>3.1597017809555053E-2</c:v>
                </c:pt>
                <c:pt idx="27">
                  <c:v>2.3458460100395019E-2</c:v>
                </c:pt>
                <c:pt idx="28">
                  <c:v>1.669355551461061E-2</c:v>
                </c:pt>
                <c:pt idx="29">
                  <c:v>0.25176350396891378</c:v>
                </c:pt>
                <c:pt idx="30">
                  <c:v>0.56085792651779687</c:v>
                </c:pt>
                <c:pt idx="31">
                  <c:v>0.21991332653247711</c:v>
                </c:pt>
                <c:pt idx="32">
                  <c:v>2.914181882459034E-2</c:v>
                </c:pt>
                <c:pt idx="33">
                  <c:v>0.50735735803212578</c:v>
                </c:pt>
                <c:pt idx="34">
                  <c:v>0.68583339699773649</c:v>
                </c:pt>
                <c:pt idx="35">
                  <c:v>2.2770764706851638</c:v>
                </c:pt>
                <c:pt idx="36">
                  <c:v>1.6892787647008599E-2</c:v>
                </c:pt>
                <c:pt idx="37">
                  <c:v>1.128049337665509</c:v>
                </c:pt>
                <c:pt idx="38">
                  <c:v>3.8065021578487719</c:v>
                </c:pt>
                <c:pt idx="39">
                  <c:v>1.1923279151181241</c:v>
                </c:pt>
                <c:pt idx="40">
                  <c:v>0.55938690430715898</c:v>
                </c:pt>
                <c:pt idx="41">
                  <c:v>1.359230514573156</c:v>
                </c:pt>
                <c:pt idx="42">
                  <c:v>0.54210913426897533</c:v>
                </c:pt>
                <c:pt idx="43">
                  <c:v>0.1002946538379149</c:v>
                </c:pt>
                <c:pt idx="44">
                  <c:v>2.4373759480378632</c:v>
                </c:pt>
                <c:pt idx="45">
                  <c:v>1</c:v>
                </c:pt>
                <c:pt idx="46">
                  <c:v>1.914469495762946</c:v>
                </c:pt>
                <c:pt idx="47">
                  <c:v>1.0288826672538769</c:v>
                </c:pt>
              </c:numCache>
            </c:numRef>
          </c:xVal>
          <c:yVal>
            <c:numRef>
              <c:f>Sheet1!$D$4:$D$51</c:f>
              <c:numCache>
                <c:formatCode>General</c:formatCode>
                <c:ptCount val="48"/>
                <c:pt idx="0">
                  <c:v>1.5777937995674121</c:v>
                </c:pt>
                <c:pt idx="1">
                  <c:v>0.38781542898341742</c:v>
                </c:pt>
                <c:pt idx="2">
                  <c:v>0.29264599855803891</c:v>
                </c:pt>
                <c:pt idx="3">
                  <c:v>8.2552271088680601E-2</c:v>
                </c:pt>
                <c:pt idx="4">
                  <c:v>0.25558759913482337</c:v>
                </c:pt>
                <c:pt idx="5">
                  <c:v>0.1377072819033886</c:v>
                </c:pt>
                <c:pt idx="6">
                  <c:v>0.52617159336697905</c:v>
                </c:pt>
                <c:pt idx="7">
                  <c:v>5.3640951694304259E-2</c:v>
                </c:pt>
                <c:pt idx="8">
                  <c:v>0.1137707281903389</c:v>
                </c:pt>
                <c:pt idx="9">
                  <c:v>1.894304253785148</c:v>
                </c:pt>
                <c:pt idx="10">
                  <c:v>5.4073540014419608E-2</c:v>
                </c:pt>
                <c:pt idx="11">
                  <c:v>8.8968997837058403E-2</c:v>
                </c:pt>
                <c:pt idx="12">
                  <c:v>0.24333093006488821</c:v>
                </c:pt>
                <c:pt idx="13">
                  <c:v>0.54895457822638782</c:v>
                </c:pt>
                <c:pt idx="14">
                  <c:v>0.11780821917808219</c:v>
                </c:pt>
                <c:pt idx="15">
                  <c:v>0.31211247296323003</c:v>
                </c:pt>
                <c:pt idx="16">
                  <c:v>5.3640951694304259E-2</c:v>
                </c:pt>
                <c:pt idx="17">
                  <c:v>5.9985580389329489E-2</c:v>
                </c:pt>
                <c:pt idx="18">
                  <c:v>8.6806056236481619E-2</c:v>
                </c:pt>
                <c:pt idx="19">
                  <c:v>5.3857245854361933E-2</c:v>
                </c:pt>
                <c:pt idx="20">
                  <c:v>1.8458543619322281</c:v>
                </c:pt>
                <c:pt idx="21">
                  <c:v>0.1790194664744052</c:v>
                </c:pt>
                <c:pt idx="22">
                  <c:v>0.90764239365537136</c:v>
                </c:pt>
                <c:pt idx="23">
                  <c:v>5.5443403028118253E-2</c:v>
                </c:pt>
                <c:pt idx="24">
                  <c:v>0.17310742609949531</c:v>
                </c:pt>
                <c:pt idx="25">
                  <c:v>0.39120403749098781</c:v>
                </c:pt>
                <c:pt idx="26">
                  <c:v>0.1033886085075703</c:v>
                </c:pt>
                <c:pt idx="27">
                  <c:v>5.1910598413842823E-2</c:v>
                </c:pt>
                <c:pt idx="28">
                  <c:v>6.0346070656092293E-2</c:v>
                </c:pt>
                <c:pt idx="29">
                  <c:v>0.46496034607065612</c:v>
                </c:pt>
                <c:pt idx="30">
                  <c:v>0.23100216294160059</c:v>
                </c:pt>
                <c:pt idx="31">
                  <c:v>0.43395818312905549</c:v>
                </c:pt>
                <c:pt idx="32">
                  <c:v>0.25241528478731068</c:v>
                </c:pt>
                <c:pt idx="33">
                  <c:v>0.66020187454938717</c:v>
                </c:pt>
                <c:pt idx="34">
                  <c:v>0.31276135544340311</c:v>
                </c:pt>
                <c:pt idx="35">
                  <c:v>1.431146359048306</c:v>
                </c:pt>
                <c:pt idx="36">
                  <c:v>5.3640951694304259E-2</c:v>
                </c:pt>
                <c:pt idx="37">
                  <c:v>2.2772891131939441</c:v>
                </c:pt>
                <c:pt idx="38">
                  <c:v>6.7232876712328773</c:v>
                </c:pt>
                <c:pt idx="39">
                  <c:v>5.4057678442682047</c:v>
                </c:pt>
                <c:pt idx="40">
                  <c:v>0.14837779379956739</c:v>
                </c:pt>
                <c:pt idx="41">
                  <c:v>5.0658255227108873</c:v>
                </c:pt>
                <c:pt idx="42">
                  <c:v>2.5433309300648879</c:v>
                </c:pt>
                <c:pt idx="43">
                  <c:v>6.6113914924297051E-2</c:v>
                </c:pt>
                <c:pt idx="44">
                  <c:v>2.1268925739005051</c:v>
                </c:pt>
                <c:pt idx="45">
                  <c:v>1</c:v>
                </c:pt>
                <c:pt idx="46">
                  <c:v>2.652487382840663</c:v>
                </c:pt>
                <c:pt idx="47">
                  <c:v>3.853496755587599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B1-41A4-AF8D-F284634B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989024"/>
        <c:axId val="1572991520"/>
      </c:scatterChart>
      <c:valAx>
        <c:axId val="15729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91520"/>
        <c:crosses val="autoZero"/>
        <c:crossBetween val="midCat"/>
      </c:valAx>
      <c:valAx>
        <c:axId val="157299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890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Day</a:t>
            </a:r>
            <a:r>
              <a:rPr lang="en-GB" sz="1200" baseline="0"/>
              <a:t> 2 - Rel. Yield mVenus vs mCherry (1nM)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2088327707082294"/>
                  <c:y val="-0.15065859209285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Sheet1!$K$4:$K$51</c:f>
              <c:numCache>
                <c:formatCode>General</c:formatCode>
                <c:ptCount val="48"/>
                <c:pt idx="0">
                  <c:v>0.20208995805629951</c:v>
                </c:pt>
                <c:pt idx="1">
                  <c:v>0.493375049770646</c:v>
                </c:pt>
                <c:pt idx="2">
                  <c:v>0.41056351279855569</c:v>
                </c:pt>
                <c:pt idx="3">
                  <c:v>0.52293335915043559</c:v>
                </c:pt>
                <c:pt idx="4">
                  <c:v>0.49282280013744878</c:v>
                </c:pt>
                <c:pt idx="5">
                  <c:v>0.48530947796728502</c:v>
                </c:pt>
                <c:pt idx="6">
                  <c:v>1.75567658079753E-2</c:v>
                </c:pt>
                <c:pt idx="7">
                  <c:v>1.1264528937880779E-2</c:v>
                </c:pt>
                <c:pt idx="8">
                  <c:v>0.57528866974653792</c:v>
                </c:pt>
                <c:pt idx="9">
                  <c:v>1.264378944153245E-2</c:v>
                </c:pt>
                <c:pt idx="10">
                  <c:v>0.86727805019062854</c:v>
                </c:pt>
                <c:pt idx="11">
                  <c:v>1.294923121396742E-2</c:v>
                </c:pt>
                <c:pt idx="12">
                  <c:v>0.84760296387605616</c:v>
                </c:pt>
                <c:pt idx="13">
                  <c:v>0.43676400805057253</c:v>
                </c:pt>
                <c:pt idx="14">
                  <c:v>0.88230333095161473</c:v>
                </c:pt>
                <c:pt idx="15">
                  <c:v>0.47694528228819522</c:v>
                </c:pt>
                <c:pt idx="16">
                  <c:v>0.5461762508113297</c:v>
                </c:pt>
                <c:pt idx="17">
                  <c:v>0.17062331938846201</c:v>
                </c:pt>
                <c:pt idx="18">
                  <c:v>0.21756521999989101</c:v>
                </c:pt>
                <c:pt idx="19">
                  <c:v>0.37158832448824869</c:v>
                </c:pt>
                <c:pt idx="20">
                  <c:v>0.3487122356701447</c:v>
                </c:pt>
                <c:pt idx="21">
                  <c:v>0.26725882372191712</c:v>
                </c:pt>
                <c:pt idx="22">
                  <c:v>0.40055620401328668</c:v>
                </c:pt>
                <c:pt idx="23">
                  <c:v>1.280264643478546E-2</c:v>
                </c:pt>
                <c:pt idx="24">
                  <c:v>0.95332399736011053</c:v>
                </c:pt>
                <c:pt idx="25">
                  <c:v>1.291650530977796E-2</c:v>
                </c:pt>
                <c:pt idx="26">
                  <c:v>9.3786987089630805E-3</c:v>
                </c:pt>
                <c:pt idx="27">
                  <c:v>0.73596467784074493</c:v>
                </c:pt>
                <c:pt idx="28">
                  <c:v>0.66467947704005104</c:v>
                </c:pt>
                <c:pt idx="29">
                  <c:v>4.5720133521689091E-2</c:v>
                </c:pt>
                <c:pt idx="30">
                  <c:v>8.4691912883643056E-3</c:v>
                </c:pt>
                <c:pt idx="31">
                  <c:v>0.89336945909534704</c:v>
                </c:pt>
                <c:pt idx="32">
                  <c:v>0.35475425573112401</c:v>
                </c:pt>
                <c:pt idx="33">
                  <c:v>3.5714870105431958E-2</c:v>
                </c:pt>
                <c:pt idx="34">
                  <c:v>1.457052705068697E-2</c:v>
                </c:pt>
                <c:pt idx="35">
                  <c:v>1.1240666299409299E-2</c:v>
                </c:pt>
                <c:pt idx="36">
                  <c:v>0.62198717144555782</c:v>
                </c:pt>
                <c:pt idx="37">
                  <c:v>1.270855946024075E-2</c:v>
                </c:pt>
                <c:pt idx="38">
                  <c:v>0.32652066368133698</c:v>
                </c:pt>
                <c:pt idx="39">
                  <c:v>1.204945974986501</c:v>
                </c:pt>
                <c:pt idx="40">
                  <c:v>1.29137781510955E-2</c:v>
                </c:pt>
                <c:pt idx="41">
                  <c:v>1.099571290655118</c:v>
                </c:pt>
                <c:pt idx="42">
                  <c:v>9.3793804986336948E-3</c:v>
                </c:pt>
                <c:pt idx="43">
                  <c:v>2.009165980331732E-2</c:v>
                </c:pt>
                <c:pt idx="44">
                  <c:v>0.16448925772194981</c:v>
                </c:pt>
                <c:pt idx="45">
                  <c:v>1</c:v>
                </c:pt>
                <c:pt idx="46">
                  <c:v>1.191330635264344</c:v>
                </c:pt>
                <c:pt idx="47">
                  <c:v>0.78692504677077146</c:v>
                </c:pt>
              </c:numCache>
            </c:numRef>
          </c:xVal>
          <c:yVal>
            <c:numRef>
              <c:f>Sheet1!$L$4:$L$51</c:f>
              <c:numCache>
                <c:formatCode>General</c:formatCode>
                <c:ptCount val="48"/>
                <c:pt idx="0">
                  <c:v>0.37513844550133563</c:v>
                </c:pt>
                <c:pt idx="1">
                  <c:v>0.5357786609333941</c:v>
                </c:pt>
                <c:pt idx="2">
                  <c:v>0.2143896453623472</c:v>
                </c:pt>
                <c:pt idx="3">
                  <c:v>0.34831802288965619</c:v>
                </c:pt>
                <c:pt idx="4">
                  <c:v>0.59482702456186076</c:v>
                </c:pt>
                <c:pt idx="5">
                  <c:v>0.56889699654700632</c:v>
                </c:pt>
                <c:pt idx="6">
                  <c:v>1.8133646057289291E-2</c:v>
                </c:pt>
                <c:pt idx="7">
                  <c:v>1.6504875453341152E-2</c:v>
                </c:pt>
                <c:pt idx="8">
                  <c:v>0.65832736117445223</c:v>
                </c:pt>
                <c:pt idx="9">
                  <c:v>1.7829608877885639E-2</c:v>
                </c:pt>
                <c:pt idx="10">
                  <c:v>1.2320238017677589</c:v>
                </c:pt>
                <c:pt idx="11">
                  <c:v>1.6439724629183229E-2</c:v>
                </c:pt>
                <c:pt idx="12">
                  <c:v>0.53868873107911486</c:v>
                </c:pt>
                <c:pt idx="13">
                  <c:v>0.7558798618802528</c:v>
                </c:pt>
                <c:pt idx="14">
                  <c:v>1.614437422633396</c:v>
                </c:pt>
                <c:pt idx="15">
                  <c:v>0.62518730861945415</c:v>
                </c:pt>
                <c:pt idx="16">
                  <c:v>1.135405129541555</c:v>
                </c:pt>
                <c:pt idx="17">
                  <c:v>0.31103003452993683</c:v>
                </c:pt>
                <c:pt idx="18">
                  <c:v>0.43863878211392709</c:v>
                </c:pt>
                <c:pt idx="19">
                  <c:v>0.57825699828436161</c:v>
                </c:pt>
                <c:pt idx="20">
                  <c:v>0.57528177731448304</c:v>
                </c:pt>
                <c:pt idx="21">
                  <c:v>0.56841922383651489</c:v>
                </c:pt>
                <c:pt idx="22">
                  <c:v>0.88555171889591067</c:v>
                </c:pt>
                <c:pt idx="23">
                  <c:v>3.0729472061154912E-2</c:v>
                </c:pt>
                <c:pt idx="24">
                  <c:v>0.514040002606033</c:v>
                </c:pt>
                <c:pt idx="25">
                  <c:v>1.7308402284622239E-2</c:v>
                </c:pt>
                <c:pt idx="26">
                  <c:v>1.680891263274481E-2</c:v>
                </c:pt>
                <c:pt idx="27">
                  <c:v>0.66849088974308857</c:v>
                </c:pt>
                <c:pt idx="28">
                  <c:v>1.5471366212782589</c:v>
                </c:pt>
                <c:pt idx="29">
                  <c:v>0.33350706886442122</c:v>
                </c:pt>
                <c:pt idx="30">
                  <c:v>1.843768323669295E-2</c:v>
                </c:pt>
                <c:pt idx="31">
                  <c:v>1.345364518861164</c:v>
                </c:pt>
                <c:pt idx="32">
                  <c:v>1.0621756031880469</c:v>
                </c:pt>
                <c:pt idx="33">
                  <c:v>0.40515125849675332</c:v>
                </c:pt>
                <c:pt idx="34">
                  <c:v>1.837253241253502E-2</c:v>
                </c:pt>
                <c:pt idx="35">
                  <c:v>1.6396290746411281E-2</c:v>
                </c:pt>
                <c:pt idx="36">
                  <c:v>0.4241752991508676</c:v>
                </c:pt>
                <c:pt idx="37">
                  <c:v>1.7351836167394191E-2</c:v>
                </c:pt>
                <c:pt idx="38">
                  <c:v>0.20040393510977911</c:v>
                </c:pt>
                <c:pt idx="39">
                  <c:v>2.2635133667774232</c:v>
                </c:pt>
                <c:pt idx="40">
                  <c:v>1.7634156405411858E-2</c:v>
                </c:pt>
                <c:pt idx="41">
                  <c:v>0.84906725736747235</c:v>
                </c:pt>
                <c:pt idx="42">
                  <c:v>1.863313570916672E-2</c:v>
                </c:pt>
                <c:pt idx="43">
                  <c:v>0.1211370990509697</c:v>
                </c:pt>
                <c:pt idx="44">
                  <c:v>0.40465176884487591</c:v>
                </c:pt>
                <c:pt idx="45">
                  <c:v>1</c:v>
                </c:pt>
                <c:pt idx="46">
                  <c:v>1.193476230807653</c:v>
                </c:pt>
                <c:pt idx="47">
                  <c:v>1.715486350902339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0-452A-8B43-D6A13FF12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109152"/>
        <c:axId val="1578182304"/>
      </c:scatterChart>
      <c:valAx>
        <c:axId val="16181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82304"/>
        <c:crosses val="autoZero"/>
        <c:crossBetween val="midCat"/>
      </c:valAx>
      <c:valAx>
        <c:axId val="157818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1091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54</xdr:row>
      <xdr:rowOff>28575</xdr:rowOff>
    </xdr:from>
    <xdr:to>
      <xdr:col>7</xdr:col>
      <xdr:colOff>390525</xdr:colOff>
      <xdr:row>71</xdr:row>
      <xdr:rowOff>104774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DF52E9-6C72-4BAE-A018-F3E14E623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</xdr:colOff>
      <xdr:row>54</xdr:row>
      <xdr:rowOff>9526</xdr:rowOff>
    </xdr:from>
    <xdr:to>
      <xdr:col>15</xdr:col>
      <xdr:colOff>247651</xdr:colOff>
      <xdr:row>71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5C9FFF0-27AA-4196-BC55-804F2C8C4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1"/>
  <sheetViews>
    <sheetView tabSelected="1" topLeftCell="A49" workbookViewId="0">
      <selection activeCell="Q63" sqref="Q63"/>
    </sheetView>
  </sheetViews>
  <sheetFormatPr baseColWidth="10" defaultColWidth="9.140625" defaultRowHeight="15" x14ac:dyDescent="0.25"/>
  <sheetData>
    <row r="1" spans="2:16" x14ac:dyDescent="0.25">
      <c r="C1" s="10" t="s">
        <v>0</v>
      </c>
      <c r="D1" s="10"/>
      <c r="E1" s="10"/>
      <c r="F1" s="10"/>
      <c r="G1" s="10"/>
      <c r="H1" s="10"/>
      <c r="K1" s="10" t="s">
        <v>1</v>
      </c>
      <c r="L1" s="10"/>
      <c r="M1" s="10"/>
      <c r="N1" s="10"/>
      <c r="O1" s="10"/>
      <c r="P1" s="10"/>
    </row>
    <row r="2" spans="2:16" x14ac:dyDescent="0.25">
      <c r="C2" s="11" t="s">
        <v>2</v>
      </c>
      <c r="D2" s="12"/>
      <c r="E2" s="13" t="s">
        <v>3</v>
      </c>
      <c r="F2" s="14"/>
      <c r="G2" s="1"/>
      <c r="H2" s="1"/>
      <c r="K2" s="11" t="s">
        <v>2</v>
      </c>
      <c r="L2" s="12"/>
      <c r="M2" s="13" t="s">
        <v>3</v>
      </c>
      <c r="N2" s="14"/>
      <c r="O2" s="1"/>
      <c r="P2" s="1"/>
    </row>
    <row r="3" spans="2:16" ht="45" x14ac:dyDescent="0.25">
      <c r="B3" s="2" t="s">
        <v>4</v>
      </c>
      <c r="C3" s="1" t="s">
        <v>5</v>
      </c>
      <c r="D3" s="1" t="s">
        <v>6</v>
      </c>
      <c r="E3" s="1" t="s">
        <v>5</v>
      </c>
      <c r="F3" s="1" t="s">
        <v>6</v>
      </c>
      <c r="G3" s="3" t="s">
        <v>7</v>
      </c>
      <c r="H3" s="4" t="s">
        <v>8</v>
      </c>
      <c r="I3" s="5"/>
      <c r="K3" s="1" t="s">
        <v>5</v>
      </c>
      <c r="L3" s="1" t="s">
        <v>6</v>
      </c>
      <c r="M3" s="1" t="s">
        <v>5</v>
      </c>
      <c r="N3" s="1" t="s">
        <v>6</v>
      </c>
      <c r="O3" s="3" t="s">
        <v>7</v>
      </c>
      <c r="P3" s="4" t="s">
        <v>8</v>
      </c>
    </row>
    <row r="4" spans="2:16" x14ac:dyDescent="0.25">
      <c r="B4" t="s">
        <v>9</v>
      </c>
      <c r="C4">
        <v>1.1238429930957829</v>
      </c>
      <c r="D4">
        <v>1.5777937995674121</v>
      </c>
      <c r="G4">
        <f>AVERAGE(C4:D4)</f>
        <v>1.3508183963315976</v>
      </c>
      <c r="H4">
        <f>HARMEAN(C4:D4)</f>
        <v>1.312680158198354</v>
      </c>
      <c r="J4" s="9" t="s">
        <v>57</v>
      </c>
      <c r="K4">
        <v>0.20208995805629951</v>
      </c>
      <c r="L4">
        <v>0.37513844550133563</v>
      </c>
      <c r="M4">
        <v>63.829600966504998</v>
      </c>
      <c r="N4">
        <v>65.28040327662255</v>
      </c>
      <c r="O4">
        <f>AVERAGE(K4:L4)</f>
        <v>0.28861420177881758</v>
      </c>
      <c r="P4">
        <f>HARMEAN(K4:L4)</f>
        <v>0.2626749212250109</v>
      </c>
    </row>
    <row r="5" spans="2:16" x14ac:dyDescent="0.25">
      <c r="B5" t="s">
        <v>10</v>
      </c>
      <c r="C5">
        <v>0.25337383887363429</v>
      </c>
      <c r="D5">
        <v>0.38781542898341742</v>
      </c>
      <c r="E5">
        <v>26.75241738711329</v>
      </c>
      <c r="F5">
        <v>5.0047214353163358</v>
      </c>
      <c r="G5">
        <f t="shared" ref="G5:G51" si="0">AVERAGE(C5:D5)</f>
        <v>0.32059463392852583</v>
      </c>
      <c r="H5">
        <f t="shared" ref="H5:H51" si="1">HARMEAN(C5:D5)</f>
        <v>0.30650008957374064</v>
      </c>
      <c r="J5" t="s">
        <v>58</v>
      </c>
      <c r="K5">
        <v>0.493375049770646</v>
      </c>
      <c r="L5">
        <v>0.5357786609333941</v>
      </c>
      <c r="M5">
        <v>12.522202486678511</v>
      </c>
      <c r="N5">
        <v>3.1007751937984498</v>
      </c>
      <c r="O5">
        <f t="shared" ref="O5:O51" si="2">AVERAGE(K5:L5)</f>
        <v>0.51457685535202002</v>
      </c>
      <c r="P5">
        <f t="shared" ref="P5:P51" si="3">HARMEAN(K5:L5)</f>
        <v>0.51370328990647962</v>
      </c>
    </row>
    <row r="6" spans="2:16" x14ac:dyDescent="0.25">
      <c r="B6" t="s">
        <v>11</v>
      </c>
      <c r="C6">
        <v>0.16631838493145959</v>
      </c>
      <c r="D6">
        <v>0.29264599855803891</v>
      </c>
      <c r="E6">
        <v>28.845970887641521</v>
      </c>
      <c r="F6">
        <v>9.408602150537634</v>
      </c>
      <c r="G6">
        <f t="shared" si="0"/>
        <v>0.22948219174474926</v>
      </c>
      <c r="H6">
        <f t="shared" si="1"/>
        <v>0.21209667498280266</v>
      </c>
      <c r="J6" t="s">
        <v>59</v>
      </c>
      <c r="K6">
        <v>0.41056351279855569</v>
      </c>
      <c r="L6">
        <v>0.2143896453623472</v>
      </c>
      <c r="M6">
        <v>14.14374297723584</v>
      </c>
      <c r="N6">
        <v>20.064205457463881</v>
      </c>
      <c r="O6">
        <f t="shared" si="2"/>
        <v>0.31247657908045146</v>
      </c>
      <c r="P6">
        <f t="shared" si="3"/>
        <v>0.28168692247792348</v>
      </c>
    </row>
    <row r="7" spans="2:16" x14ac:dyDescent="0.25">
      <c r="B7" t="s">
        <v>12</v>
      </c>
      <c r="C7">
        <v>2.6391516605923329E-2</v>
      </c>
      <c r="D7">
        <v>8.2552271088680601E-2</v>
      </c>
      <c r="E7">
        <v>11.42365097588978</v>
      </c>
      <c r="F7">
        <v>32.710280373831772</v>
      </c>
      <c r="G7">
        <f t="shared" si="0"/>
        <v>5.4471893847301965E-2</v>
      </c>
      <c r="H7">
        <f t="shared" si="1"/>
        <v>3.999639960014921E-2</v>
      </c>
      <c r="J7" s="9" t="s">
        <v>60</v>
      </c>
      <c r="K7">
        <v>0.52293335915043559</v>
      </c>
      <c r="L7">
        <v>0.34831802288965619</v>
      </c>
      <c r="M7">
        <v>35.555045118949963</v>
      </c>
      <c r="N7">
        <v>41.453700630600729</v>
      </c>
      <c r="O7">
        <f t="shared" si="2"/>
        <v>0.43562569102004589</v>
      </c>
      <c r="P7">
        <f t="shared" si="3"/>
        <v>0.41812757492749547</v>
      </c>
    </row>
    <row r="8" spans="2:16" x14ac:dyDescent="0.25">
      <c r="B8" s="9" t="s">
        <v>13</v>
      </c>
      <c r="C8">
        <v>0.25611665116251198</v>
      </c>
      <c r="D8">
        <v>0.25558759913482337</v>
      </c>
      <c r="E8">
        <v>28.734136023429869</v>
      </c>
      <c r="F8">
        <v>34.254143646408842</v>
      </c>
      <c r="G8">
        <f t="shared" si="0"/>
        <v>0.25585212514866768</v>
      </c>
      <c r="H8">
        <f t="shared" si="1"/>
        <v>0.25585185165470331</v>
      </c>
      <c r="J8" t="s">
        <v>61</v>
      </c>
      <c r="K8">
        <v>0.49282280013744878</v>
      </c>
      <c r="L8">
        <v>0.59482702456186076</v>
      </c>
      <c r="M8">
        <v>29.53475257295926</v>
      </c>
      <c r="N8">
        <v>27.990571596935769</v>
      </c>
      <c r="O8">
        <f t="shared" si="2"/>
        <v>0.5438249123496548</v>
      </c>
      <c r="P8">
        <f t="shared" si="3"/>
        <v>0.53904172682240925</v>
      </c>
    </row>
    <row r="9" spans="2:16" x14ac:dyDescent="0.25">
      <c r="B9" s="9" t="s">
        <v>14</v>
      </c>
      <c r="C9">
        <v>5.581495679059504E-2</v>
      </c>
      <c r="D9">
        <v>0.1377072819033886</v>
      </c>
      <c r="E9">
        <v>61.582694414019713</v>
      </c>
      <c r="F9">
        <v>60.906515580736539</v>
      </c>
      <c r="G9">
        <f t="shared" si="0"/>
        <v>9.6761119346991817E-2</v>
      </c>
      <c r="H9">
        <f t="shared" si="1"/>
        <v>7.9434033432632847E-2</v>
      </c>
      <c r="J9" s="9" t="s">
        <v>62</v>
      </c>
      <c r="K9">
        <v>0.48530947796728502</v>
      </c>
      <c r="L9">
        <v>0.56889699654700632</v>
      </c>
      <c r="M9">
        <v>38.40095653356817</v>
      </c>
      <c r="N9">
        <v>37.335170242078327</v>
      </c>
      <c r="O9">
        <f t="shared" si="2"/>
        <v>0.5271032372571457</v>
      </c>
      <c r="P9">
        <f t="shared" si="3"/>
        <v>0.52378943041227011</v>
      </c>
    </row>
    <row r="10" spans="2:16" x14ac:dyDescent="0.25">
      <c r="B10" t="s">
        <v>15</v>
      </c>
      <c r="C10">
        <v>0.33726105251489369</v>
      </c>
      <c r="D10">
        <v>0.52617159336697905</v>
      </c>
      <c r="E10">
        <v>12.633722699501391</v>
      </c>
      <c r="F10">
        <v>0.81662954714179659</v>
      </c>
      <c r="G10">
        <f t="shared" si="0"/>
        <v>0.43171632294093637</v>
      </c>
      <c r="H10">
        <f t="shared" si="1"/>
        <v>0.41105044204377728</v>
      </c>
      <c r="J10" t="s">
        <v>63</v>
      </c>
      <c r="K10">
        <v>1.75567658079753E-2</v>
      </c>
      <c r="L10">
        <v>1.8133646057289291E-2</v>
      </c>
      <c r="M10">
        <v>11.85410334346505</v>
      </c>
      <c r="N10">
        <v>7.7922077922077921</v>
      </c>
      <c r="O10">
        <f t="shared" si="2"/>
        <v>1.7845205932632294E-2</v>
      </c>
      <c r="P10">
        <f t="shared" si="3"/>
        <v>1.7840543744601166E-2</v>
      </c>
    </row>
    <row r="11" spans="2:16" x14ac:dyDescent="0.25">
      <c r="B11" t="s">
        <v>16</v>
      </c>
      <c r="C11">
        <v>1.869186878242203E-2</v>
      </c>
      <c r="D11">
        <v>5.3640951694304259E-2</v>
      </c>
      <c r="E11">
        <v>6.4968152866242042</v>
      </c>
      <c r="F11">
        <v>3.8167938931297711</v>
      </c>
      <c r="G11">
        <f t="shared" si="0"/>
        <v>3.6166410238363145E-2</v>
      </c>
      <c r="H11">
        <f t="shared" si="1"/>
        <v>2.7723227819017097E-2</v>
      </c>
      <c r="J11" t="s">
        <v>64</v>
      </c>
      <c r="K11">
        <v>1.1264528937880779E-2</v>
      </c>
      <c r="L11">
        <v>1.6504875453341152E-2</v>
      </c>
      <c r="M11">
        <v>5.2867670618391536</v>
      </c>
      <c r="N11">
        <v>0</v>
      </c>
      <c r="O11">
        <f t="shared" si="2"/>
        <v>1.3884702195610965E-2</v>
      </c>
      <c r="P11">
        <f t="shared" si="3"/>
        <v>1.3390250978450932E-2</v>
      </c>
    </row>
    <row r="12" spans="2:16" x14ac:dyDescent="0.25">
      <c r="B12" t="s">
        <v>17</v>
      </c>
      <c r="C12">
        <v>0.37401713396338621</v>
      </c>
      <c r="D12">
        <v>0.1137707281903389</v>
      </c>
      <c r="E12">
        <v>21.411446754718629</v>
      </c>
      <c r="F12">
        <v>20.68965517241379</v>
      </c>
      <c r="G12">
        <f t="shared" si="0"/>
        <v>0.24389393107686255</v>
      </c>
      <c r="H12">
        <f t="shared" si="1"/>
        <v>0.17447011288389858</v>
      </c>
      <c r="J12" s="9" t="s">
        <v>65</v>
      </c>
      <c r="K12">
        <v>0.57528866974653792</v>
      </c>
      <c r="L12">
        <v>0.65832736117445223</v>
      </c>
      <c r="M12">
        <v>62.41550355979679</v>
      </c>
      <c r="N12">
        <v>59.084302325581397</v>
      </c>
      <c r="O12">
        <f t="shared" si="2"/>
        <v>0.61680801546049513</v>
      </c>
      <c r="P12">
        <f t="shared" si="3"/>
        <v>0.61401321379562357</v>
      </c>
    </row>
    <row r="13" spans="2:16" x14ac:dyDescent="0.25">
      <c r="B13" s="9" t="s">
        <v>18</v>
      </c>
      <c r="C13">
        <v>0.77651397695797997</v>
      </c>
      <c r="D13">
        <v>1.894304253785148</v>
      </c>
      <c r="E13">
        <v>35.838799622876166</v>
      </c>
      <c r="F13">
        <v>34.179726244792697</v>
      </c>
      <c r="G13">
        <f t="shared" si="0"/>
        <v>1.3354091153715639</v>
      </c>
      <c r="H13">
        <f t="shared" si="1"/>
        <v>1.1015004411332374</v>
      </c>
      <c r="J13" t="s">
        <v>66</v>
      </c>
      <c r="K13">
        <v>1.264378944153245E-2</v>
      </c>
      <c r="L13">
        <v>1.7829608877885639E-2</v>
      </c>
      <c r="M13">
        <v>2.7072285794027349</v>
      </c>
      <c r="N13">
        <v>6.3291139240506329</v>
      </c>
      <c r="O13">
        <f t="shared" si="2"/>
        <v>1.5236699159709044E-2</v>
      </c>
      <c r="P13">
        <f t="shared" si="3"/>
        <v>1.4795449993065856E-2</v>
      </c>
    </row>
    <row r="14" spans="2:16" x14ac:dyDescent="0.25">
      <c r="B14" t="s">
        <v>19</v>
      </c>
      <c r="C14">
        <v>2.0110461484534041E-2</v>
      </c>
      <c r="D14">
        <v>5.4073540014419608E-2</v>
      </c>
      <c r="E14">
        <v>2.8661170003926189</v>
      </c>
      <c r="F14">
        <v>2.6086956521739131</v>
      </c>
      <c r="G14">
        <f t="shared" si="0"/>
        <v>3.7092000749476828E-2</v>
      </c>
      <c r="H14">
        <f t="shared" si="1"/>
        <v>2.9317476054664806E-2</v>
      </c>
      <c r="J14" t="s">
        <v>67</v>
      </c>
      <c r="K14">
        <v>0.86727805019062854</v>
      </c>
      <c r="L14">
        <v>1.2320238017677589</v>
      </c>
      <c r="M14">
        <v>27.784215269730911</v>
      </c>
      <c r="N14">
        <v>22.457826783526532</v>
      </c>
      <c r="O14">
        <f t="shared" si="2"/>
        <v>1.0496509259791937</v>
      </c>
      <c r="P14">
        <f t="shared" si="3"/>
        <v>1.017964329035201</v>
      </c>
    </row>
    <row r="15" spans="2:16" x14ac:dyDescent="0.25">
      <c r="B15" t="s">
        <v>20</v>
      </c>
      <c r="C15">
        <v>2.6081433512642249E-2</v>
      </c>
      <c r="D15">
        <v>8.8968997837058403E-2</v>
      </c>
      <c r="E15">
        <v>2.6353895163625829</v>
      </c>
      <c r="F15">
        <v>9.1743119266055047</v>
      </c>
      <c r="G15">
        <f t="shared" si="0"/>
        <v>5.7525215674850326E-2</v>
      </c>
      <c r="H15">
        <f t="shared" si="1"/>
        <v>4.0337771437302633E-2</v>
      </c>
      <c r="J15" t="s">
        <v>68</v>
      </c>
      <c r="K15">
        <v>1.294923121396742E-2</v>
      </c>
      <c r="L15">
        <v>1.6439724629183229E-2</v>
      </c>
      <c r="M15">
        <v>2.4207492795389052</v>
      </c>
      <c r="N15">
        <v>3.8167938931297711</v>
      </c>
      <c r="O15">
        <f t="shared" si="2"/>
        <v>1.4694477921575324E-2</v>
      </c>
      <c r="P15">
        <f t="shared" si="3"/>
        <v>1.4487196922095644E-2</v>
      </c>
    </row>
    <row r="16" spans="2:16" x14ac:dyDescent="0.25">
      <c r="B16" t="s">
        <v>21</v>
      </c>
      <c r="C16">
        <v>0.1967634515394053</v>
      </c>
      <c r="D16">
        <v>0.24333093006488821</v>
      </c>
      <c r="E16">
        <v>3.3493577114035782</v>
      </c>
      <c r="F16">
        <v>12.868217054263569</v>
      </c>
      <c r="G16">
        <f t="shared" si="0"/>
        <v>0.22004719080214674</v>
      </c>
      <c r="H16">
        <f t="shared" si="1"/>
        <v>0.21758348057672161</v>
      </c>
      <c r="J16" s="9" t="s">
        <v>69</v>
      </c>
      <c r="K16">
        <v>0.84760296387605616</v>
      </c>
      <c r="L16">
        <v>0.53868873107911486</v>
      </c>
      <c r="M16">
        <v>41.623793049154663</v>
      </c>
      <c r="N16">
        <v>53.995261684255873</v>
      </c>
      <c r="O16">
        <f t="shared" si="2"/>
        <v>0.69314584747758556</v>
      </c>
      <c r="P16">
        <f t="shared" si="3"/>
        <v>0.65872740452946965</v>
      </c>
    </row>
    <row r="17" spans="2:16" x14ac:dyDescent="0.25">
      <c r="B17" s="9" t="s">
        <v>22</v>
      </c>
      <c r="C17">
        <v>0.60972822040766184</v>
      </c>
      <c r="D17">
        <v>0.54895457822638782</v>
      </c>
      <c r="E17">
        <v>23.180498817458609</v>
      </c>
      <c r="F17">
        <v>35.096497498213012</v>
      </c>
      <c r="G17">
        <f t="shared" si="0"/>
        <v>0.57934139931702489</v>
      </c>
      <c r="H17">
        <f t="shared" si="1"/>
        <v>0.57774759142226206</v>
      </c>
      <c r="J17" s="9" t="s">
        <v>70</v>
      </c>
      <c r="K17">
        <v>0.43676400805057253</v>
      </c>
      <c r="L17">
        <v>0.7558798618802528</v>
      </c>
      <c r="M17">
        <v>62.245100451655411</v>
      </c>
      <c r="N17">
        <v>69.48564215840959</v>
      </c>
      <c r="O17">
        <f t="shared" si="2"/>
        <v>0.59632193496541264</v>
      </c>
      <c r="P17">
        <f t="shared" si="3"/>
        <v>0.55362900259350833</v>
      </c>
    </row>
    <row r="18" spans="2:16" x14ac:dyDescent="0.25">
      <c r="B18" s="9" t="s">
        <v>23</v>
      </c>
      <c r="C18">
        <v>2.171480444542313E-2</v>
      </c>
      <c r="D18">
        <v>0.11780821917808219</v>
      </c>
      <c r="E18">
        <v>23.01013024602026</v>
      </c>
      <c r="F18">
        <v>45.070422535211272</v>
      </c>
      <c r="G18">
        <f t="shared" si="0"/>
        <v>6.9761511811752663E-2</v>
      </c>
      <c r="H18">
        <f t="shared" si="1"/>
        <v>3.6670398548969328E-2</v>
      </c>
      <c r="J18" s="9" t="s">
        <v>71</v>
      </c>
      <c r="K18">
        <v>0.88230333095161473</v>
      </c>
      <c r="L18">
        <v>1.614437422633396</v>
      </c>
      <c r="M18">
        <v>64.900396700263556</v>
      </c>
      <c r="N18">
        <v>69.192510239906383</v>
      </c>
      <c r="O18">
        <f t="shared" si="2"/>
        <v>1.2483703767925054</v>
      </c>
      <c r="P18">
        <f t="shared" si="3"/>
        <v>1.1410263669202252</v>
      </c>
    </row>
    <row r="19" spans="2:16" x14ac:dyDescent="0.25">
      <c r="B19" s="9" t="s">
        <v>24</v>
      </c>
      <c r="C19">
        <v>0.34015965534339082</v>
      </c>
      <c r="D19">
        <v>0.31211247296323003</v>
      </c>
      <c r="E19">
        <v>56.93373619504063</v>
      </c>
      <c r="F19">
        <v>48.409893992932872</v>
      </c>
      <c r="G19">
        <f t="shared" si="0"/>
        <v>0.32613606415331042</v>
      </c>
      <c r="H19">
        <f t="shared" si="1"/>
        <v>0.32553306089337641</v>
      </c>
      <c r="J19" t="s">
        <v>72</v>
      </c>
      <c r="K19">
        <v>0.47694528228819522</v>
      </c>
      <c r="L19">
        <v>0.62518730861945415</v>
      </c>
      <c r="M19">
        <v>19.53475885387568</v>
      </c>
      <c r="N19">
        <v>24.794929157345258</v>
      </c>
      <c r="O19">
        <f t="shared" si="2"/>
        <v>0.55106629545382468</v>
      </c>
      <c r="P19">
        <f t="shared" si="3"/>
        <v>0.5410966699513704</v>
      </c>
    </row>
    <row r="20" spans="2:16" x14ac:dyDescent="0.25">
      <c r="B20" t="s">
        <v>25</v>
      </c>
      <c r="C20">
        <v>1.715343720367965E-2</v>
      </c>
      <c r="D20">
        <v>5.3640951694304259E-2</v>
      </c>
      <c r="E20">
        <v>6.8585131894484412</v>
      </c>
      <c r="F20">
        <v>5.1094890510948909</v>
      </c>
      <c r="G20">
        <f t="shared" si="0"/>
        <v>3.5397194448991955E-2</v>
      </c>
      <c r="H20">
        <f t="shared" si="1"/>
        <v>2.5994339685869235E-2</v>
      </c>
      <c r="J20" t="s">
        <v>73</v>
      </c>
      <c r="K20">
        <v>0.5461762508113297</v>
      </c>
      <c r="L20">
        <v>1.135405129541555</v>
      </c>
      <c r="O20">
        <f t="shared" si="2"/>
        <v>0.84079069017644237</v>
      </c>
      <c r="P20">
        <f t="shared" si="3"/>
        <v>0.73755730653347529</v>
      </c>
    </row>
    <row r="21" spans="2:16" x14ac:dyDescent="0.25">
      <c r="B21" t="s">
        <v>26</v>
      </c>
      <c r="C21">
        <v>7.019711997219738E-2</v>
      </c>
      <c r="D21">
        <v>5.9985580389329489E-2</v>
      </c>
      <c r="E21">
        <v>1.2590695689287239</v>
      </c>
      <c r="F21">
        <v>7.042253521126761</v>
      </c>
      <c r="G21">
        <f t="shared" si="0"/>
        <v>6.5091350180763438E-2</v>
      </c>
      <c r="H21">
        <f t="shared" si="1"/>
        <v>6.4690853262344569E-2</v>
      </c>
      <c r="J21" t="s">
        <v>74</v>
      </c>
      <c r="K21">
        <v>0.17062331938846201</v>
      </c>
      <c r="L21">
        <v>0.31103003452993683</v>
      </c>
      <c r="O21">
        <f t="shared" si="2"/>
        <v>0.2408266769591994</v>
      </c>
      <c r="P21">
        <f t="shared" si="3"/>
        <v>0.22036170407316069</v>
      </c>
    </row>
    <row r="22" spans="2:16" x14ac:dyDescent="0.25">
      <c r="B22" s="9" t="s">
        <v>27</v>
      </c>
      <c r="C22">
        <v>2.1780715827569831E-2</v>
      </c>
      <c r="D22">
        <v>8.6806056236481619E-2</v>
      </c>
      <c r="E22">
        <v>23.317570025463809</v>
      </c>
      <c r="F22">
        <v>38.582677165354333</v>
      </c>
      <c r="G22">
        <f t="shared" si="0"/>
        <v>5.4293386032025728E-2</v>
      </c>
      <c r="H22">
        <f t="shared" si="1"/>
        <v>3.4823726814231057E-2</v>
      </c>
      <c r="J22" t="s">
        <v>75</v>
      </c>
      <c r="K22">
        <v>0.21756521999989101</v>
      </c>
      <c r="L22">
        <v>0.43863878211392709</v>
      </c>
      <c r="M22">
        <v>29.37010104825762</v>
      </c>
      <c r="N22">
        <v>25.560312263913371</v>
      </c>
      <c r="O22">
        <f t="shared" si="2"/>
        <v>0.32810200105690907</v>
      </c>
      <c r="P22">
        <f t="shared" si="3"/>
        <v>0.29086242334300211</v>
      </c>
    </row>
    <row r="23" spans="2:16" x14ac:dyDescent="0.25">
      <c r="B23" t="s">
        <v>28</v>
      </c>
      <c r="C23">
        <v>1.6970682916818341E-2</v>
      </c>
      <c r="D23">
        <v>5.3857245854361933E-2</v>
      </c>
      <c r="E23">
        <v>5.3144375553587242</v>
      </c>
      <c r="F23">
        <v>8.5714285714285712</v>
      </c>
      <c r="G23">
        <f t="shared" si="0"/>
        <v>3.5413964385590135E-2</v>
      </c>
      <c r="H23">
        <f t="shared" si="1"/>
        <v>2.5808865458152648E-2</v>
      </c>
      <c r="J23" t="s">
        <v>76</v>
      </c>
      <c r="K23">
        <v>0.37158832448824869</v>
      </c>
      <c r="L23">
        <v>0.57825699828436161</v>
      </c>
      <c r="M23">
        <v>11.561134356113429</v>
      </c>
      <c r="N23">
        <v>9.5467308463698366</v>
      </c>
      <c r="O23">
        <f t="shared" si="2"/>
        <v>0.47492266138630512</v>
      </c>
      <c r="P23">
        <f t="shared" si="3"/>
        <v>0.45243903183914508</v>
      </c>
    </row>
    <row r="24" spans="2:16" x14ac:dyDescent="0.25">
      <c r="B24" t="s">
        <v>29</v>
      </c>
      <c r="C24">
        <v>1.3963041690447191</v>
      </c>
      <c r="D24">
        <v>1.8458543619322281</v>
      </c>
      <c r="E24">
        <v>0.68577690940992198</v>
      </c>
      <c r="F24">
        <v>0.47510844866763069</v>
      </c>
      <c r="G24">
        <f t="shared" si="0"/>
        <v>1.6210792654884736</v>
      </c>
      <c r="H24">
        <f t="shared" si="1"/>
        <v>1.5899124712070878</v>
      </c>
      <c r="J24" t="s">
        <v>77</v>
      </c>
      <c r="K24">
        <v>0.3487122356701447</v>
      </c>
      <c r="L24">
        <v>0.57528177731448304</v>
      </c>
      <c r="M24">
        <v>6.2473613415675837</v>
      </c>
      <c r="N24">
        <v>10.15748031496063</v>
      </c>
      <c r="O24">
        <f t="shared" si="2"/>
        <v>0.4619970064923139</v>
      </c>
      <c r="P24">
        <f t="shared" si="3"/>
        <v>0.43421881936147388</v>
      </c>
    </row>
    <row r="25" spans="2:16" x14ac:dyDescent="0.25">
      <c r="B25" t="s">
        <v>30</v>
      </c>
      <c r="C25">
        <v>0.1431265663315672</v>
      </c>
      <c r="D25">
        <v>0.1790194664744052</v>
      </c>
      <c r="E25">
        <v>24.654939106901221</v>
      </c>
      <c r="F25">
        <v>12.44813278008299</v>
      </c>
      <c r="G25">
        <f t="shared" si="0"/>
        <v>0.16107301640298621</v>
      </c>
      <c r="H25">
        <f t="shared" si="1"/>
        <v>0.15907345696492278</v>
      </c>
      <c r="J25" t="s">
        <v>78</v>
      </c>
      <c r="K25">
        <v>0.26725882372191712</v>
      </c>
      <c r="L25">
        <v>0.56841922383651489</v>
      </c>
      <c r="M25">
        <v>4.841978830418137</v>
      </c>
      <c r="N25">
        <v>4.9419177003347112</v>
      </c>
      <c r="O25">
        <f t="shared" si="2"/>
        <v>0.417839023779216</v>
      </c>
      <c r="P25">
        <f t="shared" si="3"/>
        <v>0.36357315735962281</v>
      </c>
    </row>
    <row r="26" spans="2:16" x14ac:dyDescent="0.25">
      <c r="B26" t="s">
        <v>31</v>
      </c>
      <c r="C26">
        <v>1.2070366392385441</v>
      </c>
      <c r="D26">
        <v>0.90764239365537136</v>
      </c>
      <c r="E26">
        <v>3.358670340637337</v>
      </c>
      <c r="F26">
        <v>10.738255033557049</v>
      </c>
      <c r="G26">
        <f t="shared" si="0"/>
        <v>1.0573395164469577</v>
      </c>
      <c r="H26">
        <f t="shared" si="1"/>
        <v>1.0361455402231403</v>
      </c>
      <c r="J26" t="s">
        <v>79</v>
      </c>
      <c r="K26">
        <v>0.40055620401328668</v>
      </c>
      <c r="L26">
        <v>0.88555171889591067</v>
      </c>
      <c r="M26">
        <v>6.2865332976454633</v>
      </c>
      <c r="N26">
        <v>1.6606123508043591</v>
      </c>
      <c r="O26">
        <f t="shared" si="2"/>
        <v>0.6430539614545987</v>
      </c>
      <c r="P26">
        <f t="shared" si="3"/>
        <v>0.55160726197226106</v>
      </c>
    </row>
    <row r="27" spans="2:16" x14ac:dyDescent="0.25">
      <c r="B27" t="s">
        <v>32</v>
      </c>
      <c r="C27">
        <v>1.9750944854642929E-2</v>
      </c>
      <c r="D27">
        <v>5.5443403028118253E-2</v>
      </c>
      <c r="E27">
        <v>2.2336140607835961</v>
      </c>
      <c r="F27">
        <v>12.75167785234899</v>
      </c>
      <c r="G27">
        <f t="shared" si="0"/>
        <v>3.7597173941380589E-2</v>
      </c>
      <c r="H27">
        <f t="shared" si="1"/>
        <v>2.9126114570990416E-2</v>
      </c>
      <c r="J27" t="s">
        <v>80</v>
      </c>
      <c r="K27">
        <v>1.280264643478546E-2</v>
      </c>
      <c r="L27">
        <v>3.0729472061154912E-2</v>
      </c>
      <c r="M27">
        <v>9.2669432918395582</v>
      </c>
      <c r="N27">
        <v>1.158301158301158</v>
      </c>
      <c r="O27">
        <f t="shared" si="2"/>
        <v>2.1766059247970187E-2</v>
      </c>
      <c r="P27">
        <f t="shared" si="3"/>
        <v>1.8074864239068584E-2</v>
      </c>
    </row>
    <row r="28" spans="2:16" x14ac:dyDescent="0.25">
      <c r="B28" t="s">
        <v>33</v>
      </c>
      <c r="C28">
        <v>5.6906988553889287E-2</v>
      </c>
      <c r="D28">
        <v>0.17310742609949531</v>
      </c>
      <c r="E28">
        <v>2.63704650791114</v>
      </c>
      <c r="F28">
        <v>10.16949152542373</v>
      </c>
      <c r="G28">
        <f t="shared" si="0"/>
        <v>0.1150072073266923</v>
      </c>
      <c r="H28">
        <f t="shared" si="1"/>
        <v>8.5655695365718765E-2</v>
      </c>
      <c r="J28" t="s">
        <v>81</v>
      </c>
      <c r="K28">
        <v>0.95332399736011053</v>
      </c>
      <c r="L28">
        <v>0.514040002606033</v>
      </c>
      <c r="M28">
        <v>0.40492593305466679</v>
      </c>
      <c r="N28">
        <v>0.9427454587261439</v>
      </c>
      <c r="O28">
        <f t="shared" si="2"/>
        <v>0.73368199998307171</v>
      </c>
      <c r="P28">
        <f t="shared" si="3"/>
        <v>0.66792788987421237</v>
      </c>
    </row>
    <row r="29" spans="2:16" x14ac:dyDescent="0.25">
      <c r="B29" s="9" t="s">
        <v>34</v>
      </c>
      <c r="C29">
        <v>0.42416970383319619</v>
      </c>
      <c r="D29">
        <v>0.39120403749098781</v>
      </c>
      <c r="E29">
        <v>47.643626098131328</v>
      </c>
      <c r="F29">
        <v>52.264150943396217</v>
      </c>
      <c r="G29">
        <f t="shared" si="0"/>
        <v>0.40768687066209197</v>
      </c>
      <c r="H29">
        <f t="shared" si="1"/>
        <v>0.4070204675745821</v>
      </c>
      <c r="J29" t="s">
        <v>82</v>
      </c>
      <c r="K29">
        <v>1.291650530977796E-2</v>
      </c>
      <c r="L29">
        <v>1.7308402284622239E-2</v>
      </c>
      <c r="M29">
        <v>2.1074815595363541</v>
      </c>
      <c r="N29">
        <v>3.4482758620689649</v>
      </c>
      <c r="O29">
        <f t="shared" si="2"/>
        <v>1.5112453797200099E-2</v>
      </c>
      <c r="P29">
        <f t="shared" si="3"/>
        <v>1.4793366650657096E-2</v>
      </c>
    </row>
    <row r="30" spans="2:16" x14ac:dyDescent="0.25">
      <c r="B30" t="s">
        <v>35</v>
      </c>
      <c r="C30">
        <v>3.1597017809555053E-2</v>
      </c>
      <c r="D30">
        <v>0.1033886085075703</v>
      </c>
      <c r="E30">
        <v>20.30470186498555</v>
      </c>
      <c r="F30">
        <v>33.333333333333329</v>
      </c>
      <c r="G30">
        <f t="shared" si="0"/>
        <v>6.7492813158562676E-2</v>
      </c>
      <c r="H30">
        <f t="shared" si="1"/>
        <v>4.8401771261839387E-2</v>
      </c>
      <c r="J30" t="s">
        <v>83</v>
      </c>
      <c r="K30">
        <v>9.3786987089630805E-3</v>
      </c>
      <c r="L30">
        <v>1.680891263274481E-2</v>
      </c>
      <c r="M30">
        <v>0.18594272963927111</v>
      </c>
      <c r="N30">
        <v>9.0909090909090917</v>
      </c>
      <c r="O30">
        <f t="shared" si="2"/>
        <v>1.3093805670853945E-2</v>
      </c>
      <c r="P30">
        <f t="shared" si="3"/>
        <v>1.2039717952948335E-2</v>
      </c>
    </row>
    <row r="31" spans="2:16" x14ac:dyDescent="0.25">
      <c r="B31" t="s">
        <v>36</v>
      </c>
      <c r="C31">
        <v>2.3458460100395019E-2</v>
      </c>
      <c r="D31">
        <v>5.1910598413842823E-2</v>
      </c>
      <c r="E31">
        <v>1.351845085860431</v>
      </c>
      <c r="F31">
        <v>9.8039215686274517</v>
      </c>
      <c r="G31">
        <f t="shared" si="0"/>
        <v>3.7684529257118918E-2</v>
      </c>
      <c r="H31">
        <f t="shared" si="1"/>
        <v>3.2314127990565759E-2</v>
      </c>
      <c r="J31" t="s">
        <v>84</v>
      </c>
      <c r="K31">
        <v>0.73596467784074493</v>
      </c>
      <c r="L31">
        <v>0.66849088974308857</v>
      </c>
      <c r="M31">
        <v>4.3776592278114501</v>
      </c>
      <c r="N31">
        <v>3.602991162474507</v>
      </c>
      <c r="O31">
        <f t="shared" si="2"/>
        <v>0.70222778379191675</v>
      </c>
      <c r="P31">
        <f t="shared" si="3"/>
        <v>0.7006069734988295</v>
      </c>
    </row>
    <row r="32" spans="2:16" x14ac:dyDescent="0.25">
      <c r="B32" t="s">
        <v>37</v>
      </c>
      <c r="C32">
        <v>1.669355551461061E-2</v>
      </c>
      <c r="D32">
        <v>6.0346070656092293E-2</v>
      </c>
      <c r="E32">
        <v>1.1535048802129551</v>
      </c>
      <c r="F32">
        <v>2.3255813953488369</v>
      </c>
      <c r="G32">
        <f t="shared" si="0"/>
        <v>3.8519813085351448E-2</v>
      </c>
      <c r="H32">
        <f t="shared" si="1"/>
        <v>2.6152527748614325E-2</v>
      </c>
      <c r="J32" t="s">
        <v>85</v>
      </c>
      <c r="K32">
        <v>0.66467947704005104</v>
      </c>
      <c r="L32">
        <v>1.5471366212782589</v>
      </c>
      <c r="M32">
        <v>9.2759571336774247</v>
      </c>
      <c r="N32">
        <v>18.28213540113331</v>
      </c>
      <c r="O32">
        <f t="shared" si="2"/>
        <v>1.1059080491591549</v>
      </c>
      <c r="P32">
        <f t="shared" si="3"/>
        <v>0.92986931519543647</v>
      </c>
    </row>
    <row r="33" spans="2:16" x14ac:dyDescent="0.25">
      <c r="B33" t="s">
        <v>38</v>
      </c>
      <c r="C33">
        <v>0.25176350396891378</v>
      </c>
      <c r="D33">
        <v>0.46496034607065612</v>
      </c>
      <c r="E33">
        <v>17.756267366942499</v>
      </c>
      <c r="F33">
        <v>11.83597390493942</v>
      </c>
      <c r="G33">
        <f t="shared" si="0"/>
        <v>0.35836192501978492</v>
      </c>
      <c r="H33">
        <f t="shared" si="1"/>
        <v>0.32665313405402752</v>
      </c>
      <c r="J33" t="s">
        <v>86</v>
      </c>
      <c r="K33">
        <v>4.5720133521689091E-2</v>
      </c>
      <c r="L33">
        <v>0.33350706886442122</v>
      </c>
      <c r="M33">
        <v>2.945853843241196</v>
      </c>
      <c r="N33">
        <v>9.9665551839464879</v>
      </c>
      <c r="O33">
        <f t="shared" si="2"/>
        <v>0.18961360119305515</v>
      </c>
      <c r="P33">
        <f t="shared" si="3"/>
        <v>8.0416107404572487E-2</v>
      </c>
    </row>
    <row r="34" spans="2:16" x14ac:dyDescent="0.25">
      <c r="B34" t="s">
        <v>39</v>
      </c>
      <c r="C34">
        <v>0.56085792651779687</v>
      </c>
      <c r="D34">
        <v>0.23100216294160059</v>
      </c>
      <c r="E34">
        <v>19.57898734520596</v>
      </c>
      <c r="F34">
        <v>6.5454545454545459</v>
      </c>
      <c r="G34">
        <f t="shared" si="0"/>
        <v>0.39593004472969873</v>
      </c>
      <c r="H34">
        <f t="shared" si="1"/>
        <v>0.32722799356386933</v>
      </c>
      <c r="J34" t="s">
        <v>87</v>
      </c>
      <c r="K34">
        <v>8.4691912883643056E-3</v>
      </c>
      <c r="L34">
        <v>1.843768323669295E-2</v>
      </c>
      <c r="M34">
        <v>1.974248927038627</v>
      </c>
      <c r="N34">
        <v>7.9754601226993866</v>
      </c>
      <c r="O34">
        <f t="shared" si="2"/>
        <v>1.3453437262528628E-2</v>
      </c>
      <c r="P34">
        <f t="shared" si="3"/>
        <v>1.1606867687319269E-2</v>
      </c>
    </row>
    <row r="35" spans="2:16" x14ac:dyDescent="0.25">
      <c r="B35" t="s">
        <v>40</v>
      </c>
      <c r="C35">
        <v>0.21991332653247711</v>
      </c>
      <c r="D35">
        <v>0.43395818312905549</v>
      </c>
      <c r="E35">
        <v>26.19047619047619</v>
      </c>
      <c r="F35">
        <v>22.931034482758619</v>
      </c>
      <c r="G35">
        <f t="shared" si="0"/>
        <v>0.32693575483076631</v>
      </c>
      <c r="H35">
        <f t="shared" si="1"/>
        <v>0.29190195999608587</v>
      </c>
      <c r="J35" t="s">
        <v>88</v>
      </c>
      <c r="K35">
        <v>0.89336945909534704</v>
      </c>
      <c r="L35">
        <v>1.345364518861164</v>
      </c>
      <c r="M35">
        <v>6.9244841487460072</v>
      </c>
      <c r="N35">
        <v>1.2326113752421199</v>
      </c>
      <c r="O35">
        <f t="shared" si="2"/>
        <v>1.1193669889782556</v>
      </c>
      <c r="P35">
        <f t="shared" si="3"/>
        <v>1.0737386257907753</v>
      </c>
    </row>
    <row r="36" spans="2:16" x14ac:dyDescent="0.25">
      <c r="B36" s="9" t="s">
        <v>41</v>
      </c>
      <c r="C36">
        <v>2.914181882459034E-2</v>
      </c>
      <c r="D36">
        <v>0.25241528478731068</v>
      </c>
      <c r="E36">
        <v>14.344473007712081</v>
      </c>
      <c r="F36">
        <v>64.02877697841727</v>
      </c>
      <c r="G36">
        <f t="shared" si="0"/>
        <v>0.1407785518059505</v>
      </c>
      <c r="H36">
        <f t="shared" si="1"/>
        <v>5.2251144819052332E-2</v>
      </c>
      <c r="J36" s="9" t="s">
        <v>89</v>
      </c>
      <c r="K36">
        <v>0.35475425573112401</v>
      </c>
      <c r="L36">
        <v>1.0621756031880469</v>
      </c>
      <c r="M36">
        <v>35.062741312741323</v>
      </c>
      <c r="N36">
        <v>30.57331986985302</v>
      </c>
      <c r="O36">
        <f t="shared" si="2"/>
        <v>0.7084649294595855</v>
      </c>
      <c r="P36">
        <f t="shared" si="3"/>
        <v>0.53187010379210109</v>
      </c>
    </row>
    <row r="37" spans="2:16" x14ac:dyDescent="0.25">
      <c r="B37" t="s">
        <v>42</v>
      </c>
      <c r="C37">
        <v>0.50735735803212578</v>
      </c>
      <c r="D37">
        <v>0.66020187454938717</v>
      </c>
      <c r="E37">
        <v>30.341677943166442</v>
      </c>
      <c r="F37">
        <v>25.130586186883338</v>
      </c>
      <c r="G37">
        <f t="shared" si="0"/>
        <v>0.58377961629075648</v>
      </c>
      <c r="H37">
        <f t="shared" si="1"/>
        <v>0.5737752218337222</v>
      </c>
      <c r="J37" t="s">
        <v>90</v>
      </c>
      <c r="K37">
        <v>3.5714870105431958E-2</v>
      </c>
      <c r="L37">
        <v>0.40515125849675332</v>
      </c>
      <c r="M37">
        <v>4.6127067014795484</v>
      </c>
      <c r="N37">
        <v>5.5032791559737673</v>
      </c>
      <c r="O37">
        <f t="shared" si="2"/>
        <v>0.22043306430109263</v>
      </c>
      <c r="P37">
        <f t="shared" si="3"/>
        <v>6.5643167535425428E-2</v>
      </c>
    </row>
    <row r="38" spans="2:16" x14ac:dyDescent="0.25">
      <c r="B38" s="9" t="s">
        <v>43</v>
      </c>
      <c r="C38">
        <v>0.68583339699773649</v>
      </c>
      <c r="D38">
        <v>0.31276135544340311</v>
      </c>
      <c r="E38">
        <v>49.389984162525259</v>
      </c>
      <c r="F38">
        <v>42.189421894218953</v>
      </c>
      <c r="G38">
        <f t="shared" si="0"/>
        <v>0.4992973762205698</v>
      </c>
      <c r="H38">
        <f t="shared" si="1"/>
        <v>0.4296080714003333</v>
      </c>
      <c r="J38" t="s">
        <v>91</v>
      </c>
      <c r="K38">
        <v>1.457052705068697E-2</v>
      </c>
      <c r="L38">
        <v>1.837253241253502E-2</v>
      </c>
      <c r="M38">
        <v>2.8890959925442679</v>
      </c>
      <c r="N38">
        <v>8.75</v>
      </c>
      <c r="O38">
        <f t="shared" si="2"/>
        <v>1.6471529731610996E-2</v>
      </c>
      <c r="P38">
        <f t="shared" si="3"/>
        <v>1.6252132307585165E-2</v>
      </c>
    </row>
    <row r="39" spans="2:16" x14ac:dyDescent="0.25">
      <c r="B39" t="s">
        <v>44</v>
      </c>
      <c r="C39">
        <v>2.2770764706851638</v>
      </c>
      <c r="D39">
        <v>1.431146359048306</v>
      </c>
      <c r="G39">
        <f t="shared" si="0"/>
        <v>1.8541114148667348</v>
      </c>
      <c r="H39">
        <f t="shared" si="1"/>
        <v>1.7576234492520337</v>
      </c>
      <c r="J39" t="s">
        <v>92</v>
      </c>
      <c r="K39">
        <v>1.1240666299409299E-2</v>
      </c>
      <c r="L39">
        <v>1.6396290746411281E-2</v>
      </c>
      <c r="M39">
        <v>7.8239608801955987</v>
      </c>
      <c r="N39">
        <v>1.9867549668874169</v>
      </c>
      <c r="O39">
        <f t="shared" si="2"/>
        <v>1.381847852291029E-2</v>
      </c>
      <c r="P39">
        <f t="shared" si="3"/>
        <v>1.3337592306051187E-2</v>
      </c>
    </row>
    <row r="40" spans="2:16" x14ac:dyDescent="0.25">
      <c r="B40" t="s">
        <v>45</v>
      </c>
      <c r="C40">
        <v>1.6892787647008599E-2</v>
      </c>
      <c r="D40">
        <v>5.3640951694304259E-2</v>
      </c>
      <c r="E40">
        <v>1.696428571428571</v>
      </c>
      <c r="F40">
        <v>5.0359712230215834</v>
      </c>
      <c r="G40">
        <f t="shared" si="0"/>
        <v>3.5266869670656426E-2</v>
      </c>
      <c r="H40">
        <f t="shared" si="1"/>
        <v>2.5693950572235797E-2</v>
      </c>
      <c r="J40" t="s">
        <v>93</v>
      </c>
      <c r="K40">
        <v>0.62198717144555782</v>
      </c>
      <c r="L40">
        <v>0.4241752991508676</v>
      </c>
      <c r="M40">
        <v>0.41362855932392362</v>
      </c>
      <c r="N40">
        <v>9.5789771121785812</v>
      </c>
      <c r="O40">
        <f t="shared" si="2"/>
        <v>0.52308123529821271</v>
      </c>
      <c r="P40">
        <f t="shared" si="3"/>
        <v>0.50437977260933287</v>
      </c>
    </row>
    <row r="41" spans="2:16" ht="15.75" thickBot="1" x14ac:dyDescent="0.3">
      <c r="B41" t="s">
        <v>46</v>
      </c>
      <c r="C41">
        <v>1.128049337665509</v>
      </c>
      <c r="D41">
        <v>2.2772891131939441</v>
      </c>
      <c r="G41">
        <f t="shared" si="0"/>
        <v>1.7026692254297267</v>
      </c>
      <c r="H41">
        <f t="shared" si="1"/>
        <v>1.5087454670844569</v>
      </c>
      <c r="J41" t="s">
        <v>94</v>
      </c>
      <c r="K41">
        <v>1.270855946024075E-2</v>
      </c>
      <c r="L41">
        <v>1.7351836167394191E-2</v>
      </c>
      <c r="M41">
        <v>4.1843541540327456</v>
      </c>
      <c r="N41">
        <v>1.408450704225352</v>
      </c>
      <c r="O41">
        <f t="shared" si="2"/>
        <v>1.503019781381747E-2</v>
      </c>
      <c r="P41">
        <f t="shared" si="3"/>
        <v>1.4671586123434839E-2</v>
      </c>
    </row>
    <row r="42" spans="2:16" ht="15.75" thickBot="1" x14ac:dyDescent="0.3">
      <c r="B42" s="6" t="s">
        <v>47</v>
      </c>
      <c r="C42" s="7">
        <v>3.8065021578487719</v>
      </c>
      <c r="D42" s="7">
        <v>6.7232876712328773</v>
      </c>
      <c r="E42" s="7"/>
      <c r="F42" s="7"/>
      <c r="G42" s="7">
        <f t="shared" si="0"/>
        <v>5.2648949145408244</v>
      </c>
      <c r="H42" s="8">
        <f t="shared" si="1"/>
        <v>4.8609154491772042</v>
      </c>
      <c r="J42" t="s">
        <v>95</v>
      </c>
      <c r="K42">
        <v>0.32652066368133698</v>
      </c>
      <c r="L42">
        <v>0.20040393510977911</v>
      </c>
      <c r="M42">
        <v>7.3230690981530726</v>
      </c>
      <c r="N42">
        <v>7.3260073260073266</v>
      </c>
      <c r="O42">
        <f t="shared" si="2"/>
        <v>0.26346229939555804</v>
      </c>
      <c r="P42">
        <f t="shared" si="3"/>
        <v>0.24836959992576421</v>
      </c>
    </row>
    <row r="43" spans="2:16" ht="15.75" thickBot="1" x14ac:dyDescent="0.3">
      <c r="B43" t="s">
        <v>48</v>
      </c>
      <c r="C43">
        <v>1.1923279151181241</v>
      </c>
      <c r="D43">
        <v>5.4057678442682047</v>
      </c>
      <c r="G43">
        <f t="shared" si="0"/>
        <v>3.2990478796931644</v>
      </c>
      <c r="H43">
        <f t="shared" si="1"/>
        <v>1.9537297239736875</v>
      </c>
      <c r="J43" t="s">
        <v>96</v>
      </c>
      <c r="K43" s="6">
        <v>1.204945974986501</v>
      </c>
      <c r="L43" s="7">
        <v>2.2635133667774232</v>
      </c>
      <c r="M43" s="7"/>
      <c r="N43" s="7"/>
      <c r="O43" s="7">
        <f t="shared" si="2"/>
        <v>1.734229670881962</v>
      </c>
      <c r="P43" s="8">
        <f t="shared" si="3"/>
        <v>1.5726932634242983</v>
      </c>
    </row>
    <row r="44" spans="2:16" x14ac:dyDescent="0.25">
      <c r="B44" t="s">
        <v>49</v>
      </c>
      <c r="C44">
        <v>0.55938690430715898</v>
      </c>
      <c r="D44">
        <v>0.14837779379956739</v>
      </c>
      <c r="G44">
        <f t="shared" si="0"/>
        <v>0.35388234905336319</v>
      </c>
      <c r="H44">
        <f t="shared" si="1"/>
        <v>0.23454290660015373</v>
      </c>
      <c r="J44" t="s">
        <v>97</v>
      </c>
      <c r="K44">
        <v>1.29137781510955E-2</v>
      </c>
      <c r="L44">
        <v>1.7634156405411858E-2</v>
      </c>
      <c r="M44">
        <v>0.61659192825112108</v>
      </c>
      <c r="N44">
        <v>4.225352112676056</v>
      </c>
      <c r="O44">
        <f t="shared" si="2"/>
        <v>1.527396727825368E-2</v>
      </c>
      <c r="P44">
        <f t="shared" si="3"/>
        <v>1.4909262246844671E-2</v>
      </c>
    </row>
    <row r="45" spans="2:16" x14ac:dyDescent="0.25">
      <c r="B45" s="9" t="s">
        <v>50</v>
      </c>
      <c r="C45">
        <v>1.359230514573156</v>
      </c>
      <c r="D45">
        <v>5.0658255227108873</v>
      </c>
      <c r="E45">
        <v>41.547393550845648</v>
      </c>
      <c r="F45">
        <v>63.991195891415998</v>
      </c>
      <c r="G45">
        <f t="shared" si="0"/>
        <v>3.2125280186420215</v>
      </c>
      <c r="H45">
        <f t="shared" si="1"/>
        <v>2.1433664055271935</v>
      </c>
      <c r="J45" s="9" t="s">
        <v>98</v>
      </c>
      <c r="K45">
        <v>1.099571290655118</v>
      </c>
      <c r="L45">
        <v>0.84906725736747235</v>
      </c>
      <c r="M45">
        <v>30.45186381028785</v>
      </c>
      <c r="N45">
        <v>50.258632741507057</v>
      </c>
      <c r="O45">
        <f t="shared" si="2"/>
        <v>0.97431927401129514</v>
      </c>
      <c r="P45">
        <f t="shared" si="3"/>
        <v>0.95821770639192916</v>
      </c>
    </row>
    <row r="46" spans="2:16" x14ac:dyDescent="0.25">
      <c r="B46" t="s">
        <v>51</v>
      </c>
      <c r="C46">
        <v>0.54210913426897533</v>
      </c>
      <c r="D46">
        <v>2.5433309300648879</v>
      </c>
      <c r="G46">
        <f t="shared" si="0"/>
        <v>1.5427200321669317</v>
      </c>
      <c r="H46">
        <f t="shared" si="1"/>
        <v>0.89372206227227735</v>
      </c>
      <c r="J46" t="s">
        <v>99</v>
      </c>
      <c r="K46">
        <v>9.3793804986336948E-3</v>
      </c>
      <c r="L46">
        <v>1.863313570916672E-2</v>
      </c>
      <c r="M46">
        <v>0.88170462894930202</v>
      </c>
      <c r="N46">
        <v>7.2289156626506017</v>
      </c>
      <c r="O46">
        <f t="shared" si="2"/>
        <v>1.4006258103900208E-2</v>
      </c>
      <c r="P46">
        <f t="shared" si="3"/>
        <v>1.247779873842875E-2</v>
      </c>
    </row>
    <row r="47" spans="2:16" x14ac:dyDescent="0.25">
      <c r="B47" s="9" t="s">
        <v>52</v>
      </c>
      <c r="C47">
        <v>0.1002946538379149</v>
      </c>
      <c r="D47">
        <v>6.6113914924297051E-2</v>
      </c>
      <c r="E47">
        <v>62.037108920114903</v>
      </c>
      <c r="F47">
        <v>12.101910828025479</v>
      </c>
      <c r="G47">
        <f t="shared" si="0"/>
        <v>8.320428438110597E-2</v>
      </c>
      <c r="H47">
        <f t="shared" si="1"/>
        <v>7.9693879474161622E-2</v>
      </c>
      <c r="J47" t="s">
        <v>100</v>
      </c>
      <c r="K47">
        <v>2.009165980331732E-2</v>
      </c>
      <c r="L47">
        <v>0.1211370990509697</v>
      </c>
      <c r="M47">
        <v>1.878766394895427</v>
      </c>
      <c r="N47">
        <v>5.8823529411764701</v>
      </c>
      <c r="O47">
        <f t="shared" si="2"/>
        <v>7.0614379427143506E-2</v>
      </c>
      <c r="P47">
        <f t="shared" si="3"/>
        <v>3.4466710653514421E-2</v>
      </c>
    </row>
    <row r="48" spans="2:16" x14ac:dyDescent="0.25">
      <c r="B48" t="s">
        <v>53</v>
      </c>
      <c r="C48">
        <v>2.4373759480378632</v>
      </c>
      <c r="D48">
        <v>2.1268925739005051</v>
      </c>
      <c r="G48">
        <f t="shared" si="0"/>
        <v>2.2821342609691841</v>
      </c>
      <c r="H48">
        <f t="shared" si="1"/>
        <v>2.2715739789489251</v>
      </c>
      <c r="J48" t="s">
        <v>101</v>
      </c>
      <c r="K48">
        <v>0.16448925772194981</v>
      </c>
      <c r="L48">
        <v>0.40465176884487591</v>
      </c>
      <c r="M48">
        <v>1.435605509733447</v>
      </c>
      <c r="N48">
        <v>1.132075471698113</v>
      </c>
      <c r="O48">
        <f t="shared" si="2"/>
        <v>0.28457051328341287</v>
      </c>
      <c r="P48">
        <f t="shared" si="3"/>
        <v>0.23389938867938001</v>
      </c>
    </row>
    <row r="49" spans="2:16" x14ac:dyDescent="0.25">
      <c r="B49" t="s">
        <v>54</v>
      </c>
      <c r="C49">
        <v>1</v>
      </c>
      <c r="D49">
        <v>1</v>
      </c>
      <c r="E49">
        <v>34.40435389692815</v>
      </c>
      <c r="F49">
        <v>37.085582112567458</v>
      </c>
      <c r="G49">
        <f t="shared" si="0"/>
        <v>1</v>
      </c>
      <c r="H49">
        <f t="shared" si="1"/>
        <v>1</v>
      </c>
      <c r="J49" t="s">
        <v>54</v>
      </c>
      <c r="K49">
        <v>1</v>
      </c>
      <c r="L49">
        <v>1</v>
      </c>
      <c r="M49">
        <v>12.450768691286941</v>
      </c>
      <c r="N49">
        <v>12.105388084500349</v>
      </c>
      <c r="O49">
        <f t="shared" si="2"/>
        <v>1</v>
      </c>
      <c r="P49">
        <f t="shared" si="3"/>
        <v>1</v>
      </c>
    </row>
    <row r="50" spans="2:16" x14ac:dyDescent="0.25">
      <c r="B50" t="s">
        <v>55</v>
      </c>
      <c r="C50">
        <v>1.914469495762946</v>
      </c>
      <c r="D50">
        <v>2.652487382840663</v>
      </c>
      <c r="E50">
        <v>14.29154298037812</v>
      </c>
      <c r="F50">
        <v>1.0187975319271061</v>
      </c>
      <c r="G50">
        <f t="shared" si="0"/>
        <v>2.2834784393018044</v>
      </c>
      <c r="H50">
        <f t="shared" si="1"/>
        <v>2.2238467834612967</v>
      </c>
      <c r="J50" t="s">
        <v>55</v>
      </c>
      <c r="K50">
        <v>1.191330635264344</v>
      </c>
      <c r="L50">
        <v>1.193476230807653</v>
      </c>
      <c r="M50">
        <v>6.165515123598956</v>
      </c>
      <c r="N50">
        <v>13.07399824510091</v>
      </c>
      <c r="O50">
        <f t="shared" si="2"/>
        <v>1.1924034330359985</v>
      </c>
      <c r="P50">
        <f t="shared" si="3"/>
        <v>1.1924024678466785</v>
      </c>
    </row>
    <row r="51" spans="2:16" x14ac:dyDescent="0.25">
      <c r="B51" s="9" t="s">
        <v>56</v>
      </c>
      <c r="C51">
        <v>1.0288826672538769</v>
      </c>
      <c r="D51">
        <v>3.853496755587599</v>
      </c>
      <c r="E51">
        <v>52.608229619484312</v>
      </c>
      <c r="F51">
        <v>57.576953433307018</v>
      </c>
      <c r="G51">
        <f t="shared" si="0"/>
        <v>2.4411897114207379</v>
      </c>
      <c r="H51">
        <f t="shared" si="1"/>
        <v>1.6241245002772335</v>
      </c>
      <c r="J51" t="s">
        <v>56</v>
      </c>
      <c r="K51">
        <v>0.78692504677077146</v>
      </c>
      <c r="L51">
        <v>1.715486350902339</v>
      </c>
      <c r="M51">
        <v>1.982544191454602</v>
      </c>
      <c r="N51">
        <v>8.3820093457943923</v>
      </c>
      <c r="O51">
        <f t="shared" si="2"/>
        <v>1.2512056988365552</v>
      </c>
      <c r="P51">
        <f t="shared" si="3"/>
        <v>1.0789266530465094</v>
      </c>
    </row>
  </sheetData>
  <mergeCells count="6">
    <mergeCell ref="C1:H1"/>
    <mergeCell ref="K1:P1"/>
    <mergeCell ref="C2:D2"/>
    <mergeCell ref="E2:F2"/>
    <mergeCell ref="K2:L2"/>
    <mergeCell ref="M2:N2"/>
  </mergeCells>
  <conditionalFormatting sqref="G4:H5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51">
    <cfRule type="cellIs" dxfId="1" priority="5" operator="greaterThan">
      <formula>33</formula>
    </cfRule>
  </conditionalFormatting>
  <conditionalFormatting sqref="C4:D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P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N51">
    <cfRule type="cellIs" dxfId="0" priority="1" operator="greaterThan"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2025-06-30T15:47:25Z</dcterms:modified>
</cp:coreProperties>
</file>