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TBI\ead6\manips\Manip_clario\Yannick EAD11\"/>
    </mc:Choice>
  </mc:AlternateContent>
  <xr:revisionPtr revIDLastSave="0" documentId="13_ncr:1_{DBD311E2-5860-4ECA-A850-E7FCFE10D1DE}" xr6:coauthVersionLast="47" xr6:coauthVersionMax="47" xr10:uidLastSave="{00000000-0000-0000-0000-000000000000}"/>
  <bookViews>
    <workbookView xWindow="-120" yWindow="-120" windowWidth="19440" windowHeight="15000" xr2:uid="{F63F980B-5F12-43C6-9A52-78B83D05EBF3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4" i="1" l="1"/>
  <c r="C25" i="1" s="1"/>
  <c r="C26" i="1" s="1"/>
  <c r="C27" i="1" s="1"/>
  <c r="C28" i="1" s="1"/>
  <c r="C29" i="1" s="1"/>
  <c r="C30" i="1" s="1"/>
  <c r="E35" i="1"/>
  <c r="D35" i="1"/>
  <c r="D22" i="1"/>
</calcChain>
</file>

<file path=xl/sharedStrings.xml><?xml version="1.0" encoding="utf-8"?>
<sst xmlns="http://schemas.openxmlformats.org/spreadsheetml/2006/main" count="33" uniqueCount="24">
  <si>
    <t>User: USER	7829376</t>
  </si>
  <si>
    <t>Path: C:\Program Files (x86)\BMG\CLARIOstar\User\Data\</t>
  </si>
  <si>
    <t>Test ID: 4428</t>
  </si>
  <si>
    <t>Test Name: YFP_YBL</t>
  </si>
  <si>
    <t>Date: 19/05/2026</t>
  </si>
  <si>
    <t>Time: 11:07:51</t>
  </si>
  <si>
    <t>ID1: YFP_Quantif</t>
  </si>
  <si>
    <t>Fluorescence (FI)</t>
  </si>
  <si>
    <t>Well
Row</t>
  </si>
  <si>
    <t>Well
Col</t>
  </si>
  <si>
    <t>Content</t>
  </si>
  <si>
    <t>Raw Data (497-15/540-20)</t>
  </si>
  <si>
    <t>F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</si>
  <si>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</si>
  <si>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</si>
  <si>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</si>
  <si>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</si>
  <si>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</si>
  <si>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</si>
  <si>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</si>
  <si>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</si>
  <si>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Fluorescence (RFU)</t>
  </si>
  <si>
    <t>[mVenus] (nM)</t>
  </si>
  <si>
    <t>[mVenus] (µg/ml)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</si>
</sst>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left"/>
    </xf>
    <xf numFmtId="0" fontId="1" fillId="0" borderId="3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0" xfId="0" applyBorder="1" applyAlignment="1">
      <alignment horizontal="right"/>
    </xf>
    <xf numFmtId="0" fontId="1" fillId="0" borderId="10" xfId="0" applyFont="1" applyBorder="1" applyAlignment="1">
      <alignment horizontal="center" wrapText="1"/>
    </xf>
    <xf numFmtId="0" fontId="0" fillId="0" borderId="11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'End point'!$D$21</c:f>
              <c:strCache>
                <c:ptCount val="1"/>
                <c:pt idx="0">
                  <c:v>Fluorescence (RFU)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5563254593175854"/>
                  <c:y val="-6.4490912273970358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'End point'!$C$22:$C$30</c:f>
              <c:numCache>
                <c:formatCode>General</c:formatCode>
                <c:ptCount val="9"/>
                <c:pt idx="0">
                  <c:v>1.327</c:v>
                </c:pt>
                <c:pt idx="1">
                  <c:v>1.327</c:v>
                </c:pt>
                <c:pt idx="2">
                  <c:v>0.66349999999999998</c:v>
                </c:pt>
                <c:pt idx="3">
                  <c:v>0.33174999999999999</c:v>
                </c:pt>
                <c:pt idx="4">
                  <c:v>0.16587499999999999</c:v>
                </c:pt>
                <c:pt idx="5">
                  <c:v>8.2937499999999997E-2</c:v>
                </c:pt>
                <c:pt idx="6">
                  <c:v>4.1468749999999999E-2</c:v>
                </c:pt>
                <c:pt idx="7">
                  <c:v>2.0734374999999999E-2</c:v>
                </c:pt>
                <c:pt idx="8">
                  <c:v>1.03671875E-2</c:v>
                </c:pt>
              </c:numCache>
            </c:numRef>
          </c:xVal>
          <c:yVal>
            <c:numRef>
              <c:f>'End point'!$D$22:$D$30</c:f>
              <c:numCache>
                <c:formatCode>General</c:formatCode>
                <c:ptCount val="9"/>
                <c:pt idx="0">
                  <c:v>2277727.2727272725</c:v>
                </c:pt>
                <c:pt idx="1">
                  <c:v>1644000</c:v>
                </c:pt>
                <c:pt idx="2">
                  <c:v>946447</c:v>
                </c:pt>
                <c:pt idx="3">
                  <c:v>555777</c:v>
                </c:pt>
                <c:pt idx="4">
                  <c:v>219208</c:v>
                </c:pt>
                <c:pt idx="5">
                  <c:v>91233</c:v>
                </c:pt>
                <c:pt idx="6">
                  <c:v>53221</c:v>
                </c:pt>
                <c:pt idx="7">
                  <c:v>24048</c:v>
                </c:pt>
                <c:pt idx="8">
                  <c:v>14667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6D-43BD-BB7E-4BE22E619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069664"/>
        <c:axId val="472070496"/>
      </c:scatterChart>
      <c:valAx>
        <c:axId val="472069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Concentration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72070496"/>
        <c:crosses val="autoZero"/>
        <c:crossBetween val="midCat"/>
      </c:valAx>
      <c:valAx>
        <c:axId val="472070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Fluorescence (x10</a:t>
                </a:r>
                <a:r>
                  <a:rPr lang="en-GB" baseline="30000"/>
                  <a:t>6</a:t>
                </a:r>
                <a:r>
                  <a:rPr lang="en-GB"/>
                  <a:t> RFU)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72069664"/>
        <c:crosses val="autoZero"/>
        <c:crossBetween val="midCat"/>
        <c:dispUnits>
          <c:builtInUnit val="millions"/>
        </c:dispUnits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76201</xdr:colOff>
      <xdr:row>10</xdr:row>
      <xdr:rowOff>542924</xdr:rowOff>
    </xdr:from>
    <xdr:to>
      <xdr:col>10</xdr:col>
      <xdr:colOff>171451</xdr:colOff>
      <xdr:row>30</xdr:row>
      <xdr:rowOff>28573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CBD26AF-F937-4879-8D4E-79240B9D8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424F-2988-401F-8EB9-D0FC53944319}">
  <dimension ref="A1:E35"/>
  <sheetViews>
    <sheetView tabSelected="1" topLeftCell="A10" workbookViewId="0">
      <selection activeCell="H35" sqref="H35"/>
    </sheetView>
  </sheetViews>
  <sheetFormatPr baseColWidth="10" defaultRowHeight="15" x14ac:dyDescent="0.25"/>
  <sheetData>
    <row r="1" spans="1:4" x14ac:dyDescent="0.25">
      <c r="A1" s="1" t="s">
        <v>0</v>
      </c>
    </row>
    <row r="2" spans="1:4" x14ac:dyDescent="0.25">
      <c r="A2" s="1" t="s">
        <v>1</v>
      </c>
    </row>
    <row r="3" spans="1:4" x14ac:dyDescent="0.25">
      <c r="A3" s="1" t="s">
        <v>2</v>
      </c>
    </row>
    <row r="4" spans="1:4" x14ac:dyDescent="0.25">
      <c r="A4" s="1" t="s">
        <v>3</v>
      </c>
    </row>
    <row r="5" spans="1:4" x14ac:dyDescent="0.25">
      <c r="A5" s="1" t="s">
        <v>4</v>
      </c>
    </row>
    <row r="6" spans="1:4" x14ac:dyDescent="0.25">
      <c r="A6" s="1" t="s">
        <v>5</v>
      </c>
    </row>
    <row r="7" spans="1:4" x14ac:dyDescent="0.25">
      <c r="A7" s="1" t="s">
        <v>6</v>
      </c>
    </row>
    <row r="8" spans="1:4" x14ac:dyDescent="0.25">
      <c r="A8" s="1" t="s">
        <v>7</v>
      </c>
    </row>
    <row r="11" spans="1:4" ht="45.75" thickBot="1" x14ac:dyDescent="0.3">
      <c r="A11" s="2" t="s">
        <v>8</v>
      </c>
      <c r="B11" s="3" t="s">
        <v>9</v>
      </c>
      <c r="C11" s="11" t="s">
        <v>10</v>
      </c>
      <c r="D11" s="8" t="s">
        <v>11</v>
      </c>
    </row>
    <row r="12" spans="1:4" x14ac:dyDescent="0.25">
      <c r="A12" s="4" t="s">
        <v>12</v>
      </c>
      <c r="B12" s="5">
        <v>2</v>
      </c>
      <c r="C12" s="12" t="s">
        <v>13</v>
      </c>
      <c r="D12" s="9">
        <v>1644000</v>
      </c>
    </row>
    <row r="13" spans="1:4" x14ac:dyDescent="0.25">
      <c r="A13" s="6" t="s">
        <v>12</v>
      </c>
      <c r="B13" s="7">
        <v>3</v>
      </c>
      <c r="C13" s="13" t="s">
        <v>14</v>
      </c>
      <c r="D13" s="10">
        <v>946447</v>
      </c>
    </row>
    <row r="14" spans="1:4" x14ac:dyDescent="0.25">
      <c r="A14" s="6" t="s">
        <v>12</v>
      </c>
      <c r="B14" s="7">
        <v>4</v>
      </c>
      <c r="C14" s="13" t="s">
        <v>15</v>
      </c>
      <c r="D14" s="10">
        <v>555777</v>
      </c>
    </row>
    <row r="15" spans="1:4" x14ac:dyDescent="0.25">
      <c r="A15" s="6" t="s">
        <v>12</v>
      </c>
      <c r="B15" s="7">
        <v>5</v>
      </c>
      <c r="C15" s="13" t="s">
        <v>16</v>
      </c>
      <c r="D15" s="10">
        <v>219208</v>
      </c>
    </row>
    <row r="16" spans="1:4" x14ac:dyDescent="0.25">
      <c r="A16" s="6" t="s">
        <v>12</v>
      </c>
      <c r="B16" s="7">
        <v>6</v>
      </c>
      <c r="C16" s="13" t="s">
        <v>17</v>
      </c>
      <c r="D16" s="10">
        <v>91233</v>
      </c>
    </row>
    <row r="17" spans="1:4" x14ac:dyDescent="0.25">
      <c r="A17" s="6" t="s">
        <v>12</v>
      </c>
      <c r="B17" s="7">
        <v>7</v>
      </c>
      <c r="C17" s="13" t="s">
        <v>18</v>
      </c>
      <c r="D17" s="10">
        <v>53221</v>
      </c>
    </row>
    <row r="18" spans="1:4" x14ac:dyDescent="0.25">
      <c r="A18" s="6" t="s">
        <v>12</v>
      </c>
      <c r="B18" s="7">
        <v>8</v>
      </c>
      <c r="C18" s="13" t="s">
        <v>19</v>
      </c>
      <c r="D18" s="10">
        <v>24048</v>
      </c>
    </row>
    <row r="19" spans="1:4" x14ac:dyDescent="0.25">
      <c r="A19" s="6" t="s">
        <v>12</v>
      </c>
      <c r="B19" s="7">
        <v>9</v>
      </c>
      <c r="C19" s="13" t="s">
        <v>20</v>
      </c>
      <c r="D19" s="10">
        <v>14667</v>
      </c>
    </row>
    <row r="21" spans="1:4" x14ac:dyDescent="0.25">
      <c r="C21" s="14" t="s">
        <v>22</v>
      </c>
      <c r="D21" t="s">
        <v>21</v>
      </c>
    </row>
    <row r="22" spans="1:4" ht="15.75" thickBot="1" x14ac:dyDescent="0.3">
      <c r="C22">
        <v>1.327</v>
      </c>
      <c r="D22">
        <f>5011000/2.2</f>
        <v>2277727.2727272725</v>
      </c>
    </row>
    <row r="23" spans="1:4" x14ac:dyDescent="0.25">
      <c r="C23">
        <v>1.327</v>
      </c>
      <c r="D23" s="9">
        <v>1644000</v>
      </c>
    </row>
    <row r="24" spans="1:4" x14ac:dyDescent="0.25">
      <c r="C24">
        <f t="shared" ref="C24:C30" si="0">((C23/2)/1000)*1000</f>
        <v>0.66349999999999998</v>
      </c>
      <c r="D24" s="10">
        <v>946447</v>
      </c>
    </row>
    <row r="25" spans="1:4" x14ac:dyDescent="0.25">
      <c r="C25">
        <f t="shared" si="0"/>
        <v>0.33174999999999999</v>
      </c>
      <c r="D25" s="10">
        <v>555777</v>
      </c>
    </row>
    <row r="26" spans="1:4" x14ac:dyDescent="0.25">
      <c r="C26">
        <f t="shared" si="0"/>
        <v>0.16587499999999999</v>
      </c>
      <c r="D26" s="10">
        <v>219208</v>
      </c>
    </row>
    <row r="27" spans="1:4" x14ac:dyDescent="0.25">
      <c r="C27">
        <f t="shared" si="0"/>
        <v>8.2937499999999997E-2</v>
      </c>
      <c r="D27" s="10">
        <v>91233</v>
      </c>
    </row>
    <row r="28" spans="1:4" x14ac:dyDescent="0.25">
      <c r="C28">
        <f t="shared" si="0"/>
        <v>4.1468749999999999E-2</v>
      </c>
      <c r="D28" s="10">
        <v>53221</v>
      </c>
    </row>
    <row r="29" spans="1:4" x14ac:dyDescent="0.25">
      <c r="C29">
        <f t="shared" si="0"/>
        <v>2.0734374999999999E-2</v>
      </c>
      <c r="D29" s="10">
        <v>24048</v>
      </c>
    </row>
    <row r="30" spans="1:4" x14ac:dyDescent="0.25">
      <c r="C30">
        <f t="shared" si="0"/>
        <v>1.03671875E-2</v>
      </c>
      <c r="D30" s="10">
        <v>14667</v>
      </c>
    </row>
    <row r="32" spans="1:4" x14ac:dyDescent="0.25">
      <c r="C32">
        <v>1000</v>
      </c>
    </row>
    <row r="34" spans="3:5" x14ac:dyDescent="0.25">
      <c r="C34" t="s">
        <v>21</v>
      </c>
      <c r="D34" s="14" t="s">
        <v>22</v>
      </c>
      <c r="E34" t="s">
        <v>23</v>
      </c>
    </row>
    <row r="35" spans="3:5" x14ac:dyDescent="0.25">
      <c r="C35">
        <v>371958</v>
      </c>
      <c r="D35">
        <f>(C35+6401)/1481.9</f>
        <v>255.32019704433495</v>
      </c>
      <c r="E35">
        <f>(D35*10^-9)*26892.1096*1000</f>
        <v>6.8660987220098519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manip_clario</dc:creator>
  <cp:lastModifiedBy>Yannick Bernard-Lapeyre</cp:lastModifiedBy>
  <dcterms:created xsi:type="dcterms:W3CDTF">2026-05-19T09:45:13Z</dcterms:created>
  <dcterms:modified xsi:type="dcterms:W3CDTF">2026-06-19T15:56:55Z</dcterms:modified>
</cp:coreProperties>
</file>