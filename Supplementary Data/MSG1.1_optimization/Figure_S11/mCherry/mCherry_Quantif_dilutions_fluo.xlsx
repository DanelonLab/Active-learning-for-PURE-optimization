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TBI\ead6\manips\Manip_clario\Yannick EAD11\"/>
    </mc:Choice>
  </mc:AlternateContent>
  <xr:revisionPtr revIDLastSave="0" documentId="13_ncr:1_{1EF5CAD4-5D83-4432-85AC-FDE43537C803}" xr6:coauthVersionLast="47" xr6:coauthVersionMax="47" xr10:uidLastSave="{00000000-0000-0000-0000-000000000000}"/>
  <bookViews>
    <workbookView xWindow="1770" yWindow="1335" windowWidth="14400" windowHeight="13425" xr2:uid="{93692F7D-FC6F-4303-BE6E-2A79B0AA6472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C24" i="1" s="1"/>
  <c r="C25" i="1" s="1"/>
  <c r="C26" i="1" s="1"/>
  <c r="C27" i="1" s="1"/>
  <c r="C28" i="1" s="1"/>
  <c r="E31" i="1"/>
  <c r="D31" i="1"/>
  <c r="D21" i="1"/>
</calcChain>
</file>

<file path=xl/sharedStrings.xml><?xml version="1.0" encoding="utf-8"?>
<sst xmlns="http://schemas.openxmlformats.org/spreadsheetml/2006/main" count="32" uniqueCount="24">
  <si>
    <t>User: USER	7829376</t>
  </si>
  <si>
    <t>Path: C:\Program Files (x86)\BMG\CLARIOstar\User\Data\</t>
  </si>
  <si>
    <t>Test ID: 4427</t>
  </si>
  <si>
    <t>Test Name: YBL_mCherry</t>
  </si>
  <si>
    <t>Date: 19/05/2026</t>
  </si>
  <si>
    <t>Time: 11:04:03</t>
  </si>
  <si>
    <t>Fluorescence (FI)</t>
  </si>
  <si>
    <t>Well
Row</t>
  </si>
  <si>
    <t>Well
Col</t>
  </si>
  <si>
    <t>Content</t>
  </si>
  <si>
    <t>Raw Data (570-15/620-20)</t>
  </si>
  <si>
    <t>G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</si>
  <si>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</si>
  <si>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</si>
  <si>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</si>
  <si>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</si>
  <si>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</si>
  <si>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</si>
  <si>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</si>
  <si>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</si>
  <si>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Fluorescence (RFU)</t>
  </si>
  <si>
    <t>[mCherry] (nM)</t>
  </si>
  <si>
    <t>[mCherry] (µg/ml)</t>
  </si>
  <si>
    <t>RFU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</si>
</sst>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'End point'!$D$20</c:f>
              <c:strCache>
                <c:ptCount val="1"/>
                <c:pt idx="0">
                  <c:v>Fluorescence (RFU)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7954645657267069"/>
                  <c:y val="-6.3209656338207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'End point'!$C$21:$C$28</c:f>
              <c:numCache>
                <c:formatCode>General</c:formatCode>
                <c:ptCount val="8"/>
                <c:pt idx="0">
                  <c:v>0.45800000000000002</c:v>
                </c:pt>
                <c:pt idx="1">
                  <c:v>0.45800000000000002</c:v>
                </c:pt>
                <c:pt idx="2">
                  <c:v>0.22900000000000001</c:v>
                </c:pt>
                <c:pt idx="3">
                  <c:v>0.1145</c:v>
                </c:pt>
                <c:pt idx="4">
                  <c:v>5.7250000000000002E-2</c:v>
                </c:pt>
                <c:pt idx="5">
                  <c:v>2.8625000000000001E-2</c:v>
                </c:pt>
                <c:pt idx="6">
                  <c:v>1.4312500000000001E-2</c:v>
                </c:pt>
                <c:pt idx="7">
                  <c:v>7.1562500000000003E-3</c:v>
                </c:pt>
              </c:numCache>
            </c:numRef>
          </c:xVal>
          <c:yVal>
            <c:numRef>
              <c:f>'End point'!$D$21:$D$28</c:f>
              <c:numCache>
                <c:formatCode>General</c:formatCode>
                <c:ptCount val="8"/>
                <c:pt idx="0">
                  <c:v>105473.63636363635</c:v>
                </c:pt>
                <c:pt idx="1">
                  <c:v>80324</c:v>
                </c:pt>
                <c:pt idx="2">
                  <c:v>57260</c:v>
                </c:pt>
                <c:pt idx="3">
                  <c:v>28796</c:v>
                </c:pt>
                <c:pt idx="4">
                  <c:v>10104</c:v>
                </c:pt>
                <c:pt idx="5">
                  <c:v>5865</c:v>
                </c:pt>
                <c:pt idx="6">
                  <c:v>2873</c:v>
                </c:pt>
                <c:pt idx="7">
                  <c:v>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2-4DF5-9B91-C32A9C62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14304"/>
        <c:axId val="533811392"/>
      </c:scatterChart>
      <c:valAx>
        <c:axId val="533814304"/>
        <c:scaling>
          <c:orientation val="minMax"/>
          <c:max val="0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Concentration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3811392"/>
        <c:crosses val="autoZero"/>
        <c:crossBetween val="midCat"/>
      </c:valAx>
      <c:valAx>
        <c:axId val="533811392"/>
        <c:scaling>
          <c:orientation val="minMax"/>
          <c:max val="12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Fluorescence (x10</a:t>
                </a:r>
                <a:r>
                  <a:rPr lang="en-GB" baseline="30000"/>
                  <a:t>5</a:t>
                </a:r>
                <a:r>
                  <a:rPr lang="en-GB"/>
                  <a:t> 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3814304"/>
        <c:crosses val="autoZero"/>
        <c:crossBetween val="midCat"/>
        <c:dispUnits>
          <c:builtInUnit val="hundredThousands"/>
        </c:dispUnits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9</xdr:row>
      <xdr:rowOff>57151</xdr:rowOff>
    </xdr:from>
    <xdr:to>
      <xdr:col>10</xdr:col>
      <xdr:colOff>485774</xdr:colOff>
      <xdr:row>26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8D267F2-A9DC-402D-8532-EBDA81A0C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563E-C376-45E7-A28A-5FD79BCBCC19}">
  <dimension ref="A1:E31"/>
  <sheetViews>
    <sheetView tabSelected="1" topLeftCell="B7" workbookViewId="0">
      <selection activeCell="J38" sqref="J38"/>
    </sheetView>
  </sheetViews>
  <sheetFormatPr baseColWidth="10"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10" spans="1:4" ht="45.75" thickBot="1" x14ac:dyDescent="0.3">
      <c r="A10" s="2" t="s">
        <v>7</v>
      </c>
      <c r="B10" s="3" t="s">
        <v>8</v>
      </c>
      <c r="C10" s="11" t="s">
        <v>9</v>
      </c>
      <c r="D10" s="8" t="s">
        <v>10</v>
      </c>
    </row>
    <row r="11" spans="1:4" x14ac:dyDescent="0.25">
      <c r="A11" s="4" t="s">
        <v>11</v>
      </c>
      <c r="B11" s="5">
        <v>2</v>
      </c>
      <c r="C11" s="12" t="s">
        <v>12</v>
      </c>
      <c r="D11" s="9">
        <v>80324</v>
      </c>
    </row>
    <row r="12" spans="1:4" x14ac:dyDescent="0.25">
      <c r="A12" s="6" t="s">
        <v>11</v>
      </c>
      <c r="B12" s="7">
        <v>3</v>
      </c>
      <c r="C12" s="13" t="s">
        <v>13</v>
      </c>
      <c r="D12" s="10">
        <v>57260</v>
      </c>
    </row>
    <row r="13" spans="1:4" x14ac:dyDescent="0.25">
      <c r="A13" s="6" t="s">
        <v>11</v>
      </c>
      <c r="B13" s="7">
        <v>4</v>
      </c>
      <c r="C13" s="13" t="s">
        <v>14</v>
      </c>
      <c r="D13" s="10">
        <v>28796</v>
      </c>
    </row>
    <row r="14" spans="1:4" x14ac:dyDescent="0.25">
      <c r="A14" s="6" t="s">
        <v>11</v>
      </c>
      <c r="B14" s="7">
        <v>5</v>
      </c>
      <c r="C14" s="13" t="s">
        <v>15</v>
      </c>
      <c r="D14" s="10">
        <v>10104</v>
      </c>
    </row>
    <row r="15" spans="1:4" x14ac:dyDescent="0.25">
      <c r="A15" s="6" t="s">
        <v>11</v>
      </c>
      <c r="B15" s="7">
        <v>6</v>
      </c>
      <c r="C15" s="13" t="s">
        <v>16</v>
      </c>
      <c r="D15" s="10">
        <v>5865</v>
      </c>
    </row>
    <row r="16" spans="1:4" x14ac:dyDescent="0.25">
      <c r="A16" s="6" t="s">
        <v>11</v>
      </c>
      <c r="B16" s="7">
        <v>7</v>
      </c>
      <c r="C16" s="13" t="s">
        <v>17</v>
      </c>
      <c r="D16" s="10">
        <v>2873</v>
      </c>
    </row>
    <row r="17" spans="1:5" x14ac:dyDescent="0.25">
      <c r="A17" s="6" t="s">
        <v>11</v>
      </c>
      <c r="B17" s="7">
        <v>8</v>
      </c>
      <c r="C17" s="13" t="s">
        <v>18</v>
      </c>
      <c r="D17" s="10">
        <v>1336</v>
      </c>
    </row>
    <row r="18" spans="1:5" x14ac:dyDescent="0.25">
      <c r="A18" s="6" t="s">
        <v>11</v>
      </c>
      <c r="B18" s="7">
        <v>9</v>
      </c>
      <c r="C18" s="13" t="s">
        <v>19</v>
      </c>
      <c r="D18" s="10">
        <v>695</v>
      </c>
    </row>
    <row r="20" spans="1:5" x14ac:dyDescent="0.25">
      <c r="C20" s="14" t="s">
        <v>21</v>
      </c>
      <c r="D20" t="s">
        <v>20</v>
      </c>
    </row>
    <row r="21" spans="1:5" ht="15.75" thickBot="1" x14ac:dyDescent="0.3">
      <c r="C21">
        <v>0.45800000000000002</v>
      </c>
      <c r="D21">
        <f>232042/2.2</f>
        <v>105473.63636363635</v>
      </c>
    </row>
    <row r="22" spans="1:5" x14ac:dyDescent="0.25">
      <c r="C22">
        <v>0.45800000000000002</v>
      </c>
      <c r="D22" s="9">
        <v>80324</v>
      </c>
    </row>
    <row r="23" spans="1:5" x14ac:dyDescent="0.25">
      <c r="C23">
        <f t="shared" ref="C23:C28" si="0">((C22/2)/1000)*1000</f>
        <v>0.22900000000000001</v>
      </c>
      <c r="D23" s="10">
        <v>57260</v>
      </c>
    </row>
    <row r="24" spans="1:5" x14ac:dyDescent="0.25">
      <c r="C24">
        <f t="shared" si="0"/>
        <v>0.1145</v>
      </c>
      <c r="D24" s="10">
        <v>28796</v>
      </c>
    </row>
    <row r="25" spans="1:5" x14ac:dyDescent="0.25">
      <c r="C25">
        <f t="shared" si="0"/>
        <v>5.7250000000000002E-2</v>
      </c>
      <c r="D25" s="10">
        <v>10104</v>
      </c>
    </row>
    <row r="26" spans="1:5" x14ac:dyDescent="0.25">
      <c r="C26">
        <f t="shared" si="0"/>
        <v>2.8625000000000001E-2</v>
      </c>
      <c r="D26" s="10">
        <v>5865</v>
      </c>
    </row>
    <row r="27" spans="1:5" x14ac:dyDescent="0.25">
      <c r="B27">
        <v>1000</v>
      </c>
      <c r="C27">
        <f t="shared" si="0"/>
        <v>1.4312500000000001E-2</v>
      </c>
      <c r="D27" s="10">
        <v>2873</v>
      </c>
    </row>
    <row r="28" spans="1:5" x14ac:dyDescent="0.25">
      <c r="C28">
        <f t="shared" si="0"/>
        <v>7.1562500000000003E-3</v>
      </c>
      <c r="D28" s="10">
        <v>1336</v>
      </c>
    </row>
    <row r="29" spans="1:5" x14ac:dyDescent="0.25">
      <c r="D29" s="10"/>
    </row>
    <row r="30" spans="1:5" x14ac:dyDescent="0.25">
      <c r="C30" t="s">
        <v>23</v>
      </c>
      <c r="D30" s="14" t="s">
        <v>21</v>
      </c>
      <c r="E30" s="14" t="s">
        <v>22</v>
      </c>
    </row>
    <row r="31" spans="1:5" x14ac:dyDescent="0.25">
      <c r="C31">
        <v>42892</v>
      </c>
      <c r="D31">
        <f>(C31-1513.7)/204.79</f>
        <v>202.05234630597198</v>
      </c>
      <c r="E31">
        <f>((D31*10^-9)*26922.072)*1000</f>
        <v>5.4396678150183124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Yannick Bernard-Lapeyre</cp:lastModifiedBy>
  <dcterms:created xsi:type="dcterms:W3CDTF">2026-05-19T09:44:01Z</dcterms:created>
  <dcterms:modified xsi:type="dcterms:W3CDTF">2026-06-18T16:34:30Z</dcterms:modified>
</cp:coreProperties>
</file>