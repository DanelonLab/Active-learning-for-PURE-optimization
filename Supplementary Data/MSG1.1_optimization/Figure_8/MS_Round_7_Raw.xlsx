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bernard\Downloads\"/>
    </mc:Choice>
  </mc:AlternateContent>
  <xr:revisionPtr revIDLastSave="0" documentId="13_ncr:1_{0946A07E-A819-4746-909A-D280E911DB0E}" xr6:coauthVersionLast="47" xr6:coauthVersionMax="47" xr10:uidLastSave="{00000000-0000-0000-0000-000000000000}"/>
  <bookViews>
    <workbookView xWindow="19080" yWindow="-120" windowWidth="19440" windowHeight="15000" firstSheet="1" activeTab="5" xr2:uid="{00000000-000D-0000-FFFF-FFFF00000000}"/>
  </bookViews>
  <sheets>
    <sheet name="Search settings and infos" sheetId="1" r:id="rId1"/>
    <sheet name="Import and filters" sheetId="2" r:id="rId2"/>
    <sheet name="Quant config" sheetId="3" r:id="rId3"/>
    <sheet name="Protein sets" sheetId="4" r:id="rId4"/>
    <sheet name="Protein sets (2)" sheetId="5" r:id="rId5"/>
    <sheet name="Histogrammes" sheetId="6" r:id="rId6"/>
  </sheets>
  <definedNames>
    <definedName name="_xlnm._FilterDatabase" localSheetId="5" hidden="1">Histogrammes!$A$1:$BB$312</definedName>
    <definedName name="_xlnm._FilterDatabase" localSheetId="4" hidden="1">'Protein sets (2)'!$A$1:$BB$312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310" i="6" l="1"/>
  <c r="BJ309" i="6"/>
  <c r="BJ158" i="6"/>
  <c r="BJ157" i="6"/>
  <c r="BJ147" i="6"/>
  <c r="BJ146" i="6"/>
  <c r="BJ122" i="6"/>
  <c r="BJ121" i="6"/>
  <c r="BJ52" i="6"/>
  <c r="BJ51" i="6"/>
  <c r="BJ27" i="6"/>
  <c r="BJ3" i="6"/>
  <c r="BG310" i="6"/>
  <c r="BF310" i="6"/>
  <c r="BG309" i="6"/>
  <c r="BF309" i="6"/>
  <c r="BG158" i="6"/>
  <c r="BF158" i="6"/>
  <c r="BG157" i="6"/>
  <c r="BF157" i="6"/>
  <c r="BG147" i="6"/>
  <c r="BF147" i="6"/>
  <c r="BG146" i="6"/>
  <c r="BF146" i="6"/>
  <c r="BG122" i="6"/>
  <c r="BF122" i="6"/>
  <c r="BG121" i="6"/>
  <c r="BF121" i="6"/>
  <c r="BG52" i="6"/>
  <c r="BF52" i="6"/>
  <c r="BG51" i="6"/>
  <c r="BF51" i="6"/>
  <c r="BG27" i="6"/>
  <c r="BF27" i="6"/>
  <c r="BG3" i="6"/>
  <c r="BF3" i="6"/>
  <c r="BG2" i="6"/>
  <c r="BF2" i="6"/>
  <c r="BJ2" i="6" s="1"/>
  <c r="BE310" i="6"/>
  <c r="BE309" i="6"/>
  <c r="BE158" i="6"/>
  <c r="BE157" i="6"/>
  <c r="BE147" i="6"/>
  <c r="BE146" i="6"/>
  <c r="BE122" i="6"/>
  <c r="BE121" i="6"/>
  <c r="BE52" i="6"/>
  <c r="BE51" i="6"/>
  <c r="BE27" i="6"/>
  <c r="BE3" i="6"/>
  <c r="BE2" i="6"/>
  <c r="BD310" i="6"/>
  <c r="BD309" i="6"/>
  <c r="BD158" i="6"/>
  <c r="BI158" i="6" s="1"/>
  <c r="BD157" i="6"/>
  <c r="BD147" i="6"/>
  <c r="BD146" i="6"/>
  <c r="BD122" i="6"/>
  <c r="BI122" i="6" s="1"/>
  <c r="BD121" i="6"/>
  <c r="BD52" i="6"/>
  <c r="BD51" i="6"/>
  <c r="BD27" i="6"/>
  <c r="BI27" i="6" s="1"/>
  <c r="BD3" i="6"/>
  <c r="BD2" i="6"/>
  <c r="BI2" i="6" l="1"/>
  <c r="BI52" i="6"/>
  <c r="BI147" i="6"/>
  <c r="BI310" i="6"/>
  <c r="BI51" i="6"/>
  <c r="BI146" i="6"/>
  <c r="BI309" i="6"/>
  <c r="BI3" i="6"/>
  <c r="BI121" i="6"/>
  <c r="BI157" i="6"/>
</calcChain>
</file>

<file path=xl/sharedStrings.xml><?xml version="1.0" encoding="utf-8"?>
<sst xmlns="http://schemas.openxmlformats.org/spreadsheetml/2006/main" count="6146" uniqueCount="1508">
  <si>
    <t>protein_set_id</t>
  </si>
  <si>
    <t>accession</t>
  </si>
  <si>
    <t>gene_name</t>
  </si>
  <si>
    <t>samesets_accessions</t>
  </si>
  <si>
    <t>subsets_accessions</t>
  </si>
  <si>
    <t>description</t>
  </si>
  <si>
    <t>protein_set_score</t>
  </si>
  <si>
    <t>is_validated</t>
  </si>
  <si>
    <t>selection_level</t>
  </si>
  <si>
    <t>#sameset_protein_matches</t>
  </si>
  <si>
    <t>#subset_protein_matches</t>
  </si>
  <si>
    <t>coverage</t>
  </si>
  <si>
    <t>MW</t>
  </si>
  <si>
    <t>#observable_peptides</t>
  </si>
  <si>
    <t>#sequences</t>
  </si>
  <si>
    <t>#specific_sequences</t>
  </si>
  <si>
    <t>#peptides</t>
  </si>
  <si>
    <t>#specific_peptides</t>
  </si>
  <si>
    <t>spectral_count</t>
  </si>
  <si>
    <t>specific_spectral_count</t>
  </si>
  <si>
    <t>quantified_peptides_count</t>
  </si>
  <si>
    <t>peptides_count_1_Top01nM A</t>
  </si>
  <si>
    <t>peptides_count_2_Top01nM B</t>
  </si>
  <si>
    <t>peptides_count_3_Ref01nM A</t>
  </si>
  <si>
    <t>peptides_count_4_Ref01nM B</t>
  </si>
  <si>
    <t>peptides_count_7_Top1nM A</t>
  </si>
  <si>
    <t>peptides_count_8_Top1nM B</t>
  </si>
  <si>
    <t>peptides_count_9_Ref1nM A</t>
  </si>
  <si>
    <t>peptides_count_10_Ref1nM B</t>
  </si>
  <si>
    <t>psm_count_1_Top01nM A</t>
  </si>
  <si>
    <t>psm_count_2_Top01nM B</t>
  </si>
  <si>
    <t>psm_count_3_Ref01nM A</t>
  </si>
  <si>
    <t>psm_count_4_Ref01nM B</t>
  </si>
  <si>
    <t>psm_count_7_Top1nM A</t>
  </si>
  <si>
    <t>psm_count_8_Top1nM B</t>
  </si>
  <si>
    <t>psm_count_9_Ref1nM A</t>
  </si>
  <si>
    <t>psm_count_10_Ref1nM B</t>
  </si>
  <si>
    <t>raw_abundance_1_Top01nM A</t>
  </si>
  <si>
    <t>raw_abundance_2_Top01nM B</t>
  </si>
  <si>
    <t>raw_abundance_3_Ref01nM A</t>
  </si>
  <si>
    <t>raw_abundance_4_Ref01nM B</t>
  </si>
  <si>
    <t>raw_abundance_7_Top1nM A</t>
  </si>
  <si>
    <t>raw_abundance_8_Top1nM B</t>
  </si>
  <si>
    <t>raw_abundance_9_Ref1nM A</t>
  </si>
  <si>
    <t>raw_abundance_10_Ref1nM B</t>
  </si>
  <si>
    <t>abundance_1_Top01nM A</t>
  </si>
  <si>
    <t>abundance_2_Top01nM B</t>
  </si>
  <si>
    <t>abundance_3_Ref01nM A</t>
  </si>
  <si>
    <t>abundance_4_Ref01nM B</t>
  </si>
  <si>
    <t>abundance_7_Top1nM A</t>
  </si>
  <si>
    <t>abundance_8_Top1nM B</t>
  </si>
  <si>
    <t>abundance_9_Ref1nM A</t>
  </si>
  <si>
    <t>abundance_10_Ref1nM B</t>
  </si>
  <si>
    <t>RS1_ECO57</t>
  </si>
  <si>
    <t>rpsA</t>
  </si>
  <si>
    <t>RS1_ECO57; RS1_ECOL6; RS1_ECOLI</t>
  </si>
  <si>
    <t>sp|P0AG69|RS1_ECO57 30S ribosomal protein S1 OS=Escherichia coli O157:H7 OX=83334 GN=rpsA PE=3 SV=1</t>
  </si>
  <si>
    <t>true</t>
  </si>
  <si>
    <t>IF2_ECO24</t>
  </si>
  <si>
    <t>infB</t>
  </si>
  <si>
    <t>IF2_ECO24; IF2_ECO55; IF2_ECO57; IF2_ECO5E; IF2_ECO7I; IF2_ECO8A; IF2_ECOBW; IF2_ECODH; IF2_ECOHS; IF2_ECOLC; IF2_ECOLI; IF2_ECOLU; IF2_ECOSE</t>
  </si>
  <si>
    <t>IF2_ECO27; IF2_ECO45; IF2_ECO81; IF2_ECOK1; IF2_ECOL5; IF2_ECOL6; IF2_ECOSM; IF2_ECOUT</t>
  </si>
  <si>
    <t>sp|A7ZS65|IF2_ECO24 Translation initiation factor IF-2 OS=Escherichia coli O139:H28 (strain E24377A / ETEC) OX=331111 GN=infB PE=3 SV=1</t>
  </si>
  <si>
    <t>EFG_ECO24</t>
  </si>
  <si>
    <t>fusA</t>
  </si>
  <si>
    <t>EFG_ECO24; EFG_ECO27; EFG_ECO45; EFG_ECO55; EFG_ECO57; EFG_ECO5E; EFG_ECO7I; EFG_ECO81; EFG_ECO8A; EFG_ECOBW; EFG_ECODH; EFG_ECOHS; EFG_ECOK1; EFG_ECOL5; EFG_ECOL6; EFG_ECOLC; EFG_ECOLI; EFG_ECOSE; EFG_ECOSM; EFG_ECOUT</t>
  </si>
  <si>
    <t>EFG_ECOLU</t>
  </si>
  <si>
    <t>sp|A7ZSL5|EFG_ECO24 Elongation factor G OS=Escherichia coli O139:H28 (strain E24377A / ETEC) OX=331111 GN=fusA PE=3 SV=1</t>
  </si>
  <si>
    <t>PLSB_ECOK1</t>
  </si>
  <si>
    <t>plsB</t>
  </si>
  <si>
    <t>PLSB_ECOK1; PLSB_ECOSE; PLSB_ECOUT</t>
  </si>
  <si>
    <t>PLSB_ECO24; PLSB_ECO27; PLSB_ECO45; PLSB_ECO55; PLSB_ECO57; PLSB_ECO5E; PLSB_ECO7I; PLSB_ECO81; PLSB_ECO8A; PLSB_ECOBW; PLSB_ECODH; PLSB_ECOHS; PLSB_ECOL6; PLSB_ECOLC; PLSB_ECOLI; PLSB_ECOLU; PLSB_ECOSM</t>
  </si>
  <si>
    <t>sp|A1AIL8|PLSB_ECOK1 Glycerol-3-phosphate acyltransferase OS=Escherichia coli O1:K1 / APEC OX=405955 GN=plsB PE=3 SV=1</t>
  </si>
  <si>
    <t>DPOL_BPPH2</t>
  </si>
  <si>
    <t>2</t>
  </si>
  <si>
    <t>sp|P03680|DPOL_BPPH2 DNA polymerase OS=Bacillus phage phi29 OX=2884424 GN=2 PE=1 SV=1</t>
  </si>
  <si>
    <t>SYA_ECODH</t>
  </si>
  <si>
    <t>alaS</t>
  </si>
  <si>
    <t>SYA_ECODH; SYA_ECOLC; SYA_ECOLI</t>
  </si>
  <si>
    <t>SYA_ECO24; SYA_ECO57; SYA_ECOHS; SYA_ECOK1; SYA_ECOL5; SYA_ECOSM; SYA_ECOUT</t>
  </si>
  <si>
    <t>sp|B1XCM5|SYA_ECODH Alanine--tRNA ligase OS=Escherichia coli (strain K12 / DH10B) OX=316385 GN=alaS PE=3 SV=1</t>
  </si>
  <si>
    <t>EFTU1_ECO24</t>
  </si>
  <si>
    <t>tuf1</t>
  </si>
  <si>
    <t>EFTU1_ECO24; EFTU1_ECOHS; EFTU1_ECOK1; EFTU1_ECOL5; EFTU1_ECOLC; EFTU1_ECOLI; EFTU1_ECOUT</t>
  </si>
  <si>
    <t>EFTU2_ECO24; EFTU2_ECOHS; EFTU2_ECOK1; EFTU2_ECOL5; EFTU2_ECOLC; EFTU2_ECOLI; EFTU2_ECOUT; EFTU_ECO57; EFTU_ECOL6</t>
  </si>
  <si>
    <t>sp|A7ZSL4|EFTU1_ECO24 Elongation factor Tu 1 OS=Escherichia coli O139:H28 (strain E24377A / ETEC) OX=331111 GN=tuf1 PE=3 SV=1</t>
  </si>
  <si>
    <t>SYGB_ECOBW</t>
  </si>
  <si>
    <t>glyS</t>
  </si>
  <si>
    <t>SYGB_ECOBW; SYGB_ECODH; SYGB_ECOHS; SYGB_ECOLC; SYGB_ECOLI</t>
  </si>
  <si>
    <t>SYGB_ECO24; SYGB_ECO27; SYGB_ECO45; SYGB_ECO55; SYGB_ECO57; SYGB_ECO5E; SYGB_ECO7I; SYGB_ECO81; SYGB_ECO8A; SYGB_ECOK1; SYGB_ECOL5; SYGB_ECOL6; SYGB_ECOLU; SYGB_ECOSE; SYGB_ECOSM; SYGB_ECOUT</t>
  </si>
  <si>
    <t>sp|C4ZXE9|SYGB_ECOBW Glycine--tRNA ligase beta subunit OS=Escherichia coli (strain K12 / MC4100 / BW2952) OX=595496 GN=glyS PE=3 SV=1</t>
  </si>
  <si>
    <t>FTSZ_ECO57</t>
  </si>
  <si>
    <t>ftsZ</t>
  </si>
  <si>
    <t>FTSZ_ECO57; FTSZ_ECOL6; FTSZ_ECOLI</t>
  </si>
  <si>
    <t>sp|P0A9A8|FTSZ_ECO57 Cell division protein FtsZ OS=Escherichia coli O157:H7 OX=83334 GN=ftsZ PE=3 SV=1</t>
  </si>
  <si>
    <t>RL1_ECO27</t>
  </si>
  <si>
    <t>rplA</t>
  </si>
  <si>
    <t>RL1_ECO24; RL1_ECO45; RL1_ECO55; RL1_ECO57; RL1_ECO5E; RL1_ECO7I; RL1_ECO81; RL1_ECO8A; RL1_ECOBW; RL1_ECODH; RL1_ECOHS; RL1_ECOL5; RL1_ECOL6; RL1_ECOLC; RL1_ECOLI; RL1_ECOLU; RL1_ECOSE; RL1_ECOSM; RL1_ECOUT</t>
  </si>
  <si>
    <t>sp|B7UPD9|RL1_ECO27 50S ribosomal protein L1 OS=Escherichia coli O127:H6 (strain E2348/69 / EPEC) OX=574521 GN=rplA PE=3 SV=1</t>
  </si>
  <si>
    <t>PSS_ECOLI</t>
  </si>
  <si>
    <t>pssA</t>
  </si>
  <si>
    <t>sp|P23830|PSS_ECOLI CDP-diacylglycerol--serine O-phosphatidyltransferase OS=Escherichia coli (strain K12) OX=83333 GN=pssA PE=1 SV=2</t>
  </si>
  <si>
    <t>EFTS_ECO24</t>
  </si>
  <si>
    <t>tsf</t>
  </si>
  <si>
    <t>EFTS_ECO24; EFTS_ECO27; EFTS_ECO45; EFTS_ECO55; EFTS_ECO57; EFTS_ECO5E; EFTS_ECO7I; EFTS_ECO81; EFTS_ECO8A; EFTS_ECOBW; EFTS_ECODH; EFTS_ECOHS; EFTS_ECOL5; EFTS_ECOL6; EFTS_ECOLC; EFTS_ECOLI; EFTS_ECOLU; EFTS_ECOSE; EFTS_ECOSM; EFTS_ECOUT</t>
  </si>
  <si>
    <t>sp|A7ZHR0|EFTS_ECO24 Elongation factor Ts OS=Escherichia coli O139:H28 (strain E24377A / ETEC) OX=331111 GN=tsf PE=3 SV=1</t>
  </si>
  <si>
    <t>SYL_ECOBW</t>
  </si>
  <si>
    <t>leuS</t>
  </si>
  <si>
    <t>SYL_ECOBW; SYL_ECOLI</t>
  </si>
  <si>
    <t>SYL_ECO24; SYL_ECO27; SYL_ECO45; SYL_ECO55; SYL_ECO57; SYL_ECO5E; SYL_ECO7I; SYL_ECO81; SYL_ECO8A; SYL_ECOHS; SYL_ECOK1; SYL_ECOL5; SYL_ECOL6; SYL_ECOLC; SYL_ECOLU; SYL_ECOSE; SYL_ECOSM; SYL_ECOUT</t>
  </si>
  <si>
    <t>sp|C4ZWC9|SYL_ECOBW Leucine--tRNA ligase OS=Escherichia coli (strain K12 / MC4100 / BW2952) OX=595496 GN=leuS PE=3 SV=1</t>
  </si>
  <si>
    <t>SYV_ECOLI</t>
  </si>
  <si>
    <t>valS</t>
  </si>
  <si>
    <t>SYV_ECO57; SYV_ECOL6</t>
  </si>
  <si>
    <t>sp|P07118|SYV_ECOLI Valine--tRNA ligase OS=Escherichia coli (strain K12) OX=83333 GN=valS PE=1 SV=2</t>
  </si>
  <si>
    <t>RL7_ECO24</t>
  </si>
  <si>
    <t>rplL</t>
  </si>
  <si>
    <t>RL7_ECO24; RL7_ECO27; RL7_ECO45; RL7_ECO55; RL7_ECO57; RL7_ECO5E; RL7_ECO7I; RL7_ECO8A; RL7_ECOBW; RL7_ECODH; RL7_ECOHS; RL7_ECOL5; RL7_ECOL6; RL7_ECOLC; RL7_ECOLI; RL7_ECOLU; RL7_ECOSE; RL7_ECOSM; RL7_ECOUT</t>
  </si>
  <si>
    <t>RL7_ECO81</t>
  </si>
  <si>
    <t>sp|A7ZUK0|RL7_ECO24 50S ribosomal protein L7/L12 OS=Escherichia coli O139:H28 (strain E24377A / ETEC) OX=331111 GN=rplL PE=3 SV=1</t>
  </si>
  <si>
    <t>ODP1_ECO57</t>
  </si>
  <si>
    <t>aceE</t>
  </si>
  <si>
    <t>ODP1_ECO57; ODP1_ECOLI</t>
  </si>
  <si>
    <t>sp|P0AFG9|ODP1_ECO57 Pyruvate dehydrogenase E1 component OS=Escherichia coli O157:H7 OX=83334 GN=aceE PE=1 SV=2</t>
  </si>
  <si>
    <t>RS5_ECO24</t>
  </si>
  <si>
    <t>rpsE</t>
  </si>
  <si>
    <t>RS5_ECO24; RS5_ECO57; RS5_ECOHS; RS5_ECOK1; RS5_ECOL5; RS5_ECOL6; RS5_ECOLC; RS5_ECOLI; RS5_ECOUT</t>
  </si>
  <si>
    <t>sp|A7ZSJ2|RS5_ECO24 30S ribosomal protein S5 OS=Escherichia coli O139:H28 (strain E24377A / ETEC) OX=331111 GN=rpsE PE=3 SV=1</t>
  </si>
  <si>
    <t>RF3_ECO24</t>
  </si>
  <si>
    <t>prfC</t>
  </si>
  <si>
    <t>RF3_ECO24; RF3_ECO27; RF3_ECO55; RF3_ECO57; RF3_ECO5E; RF3_ECO81; RF3_ECOBW; RF3_ECODH; RF3_ECOHS; RF3_ECOK1; RF3_ECOL6; RF3_ECOLC; RF3_ECOLI; RF3_ECOLU; RF3_ECOSE; RF3_ECOSM; RF3_ECOUT</t>
  </si>
  <si>
    <t>RF3_ECO8A</t>
  </si>
  <si>
    <t>sp|A7ZVR5|RF3_ECO24 Peptide chain release factor 3 OS=Escherichia coli O139:H28 (strain E24377A / ETEC) OX=331111 GN=prfC PE=3 SV=1</t>
  </si>
  <si>
    <t>SYP_ECOBW</t>
  </si>
  <si>
    <t>proS</t>
  </si>
  <si>
    <t>SYP_ECOBW; SYP_ECODH; SYP_ECOLI</t>
  </si>
  <si>
    <t>SYP_ECO24; SYP_ECO27; SYP_ECO45; SYP_ECO55; SYP_ECO57; SYP_ECO5E; SYP_ECO7I; SYP_ECO81; SYP_ECO8A; SYP_ECOHS; SYP_ECOK1; SYP_ECOL5; SYP_ECOL6; SYP_ECOLC; SYP_ECOLU; SYP_ECOSE; SYP_ECOSM; SYP_ECOUT</t>
  </si>
  <si>
    <t>sp|C4ZRT7|SYP_ECOBW Proline--tRNA ligase OS=Escherichia coli (strain K12 / MC4100 / BW2952) OX=595496 GN=proS PE=3 SV=1</t>
  </si>
  <si>
    <t>RS3_ECO24</t>
  </si>
  <si>
    <t>rpsC</t>
  </si>
  <si>
    <t>RS3_ECO24; RS3_ECO27; RS3_ECO45; RS3_ECO55; RS3_ECO57; RS3_ECO5E; RS3_ECO7I; RS3_ECO81; RS3_ECO8A; RS3_ECOBW; RS3_ECOHS; RS3_ECOK1; RS3_ECOL5; RS3_ECOL6; RS3_ECOLC; RS3_ECOLI; RS3_ECOLU; RS3_ECOSE; RS3_ECOSM; RS3_ECOUT</t>
  </si>
  <si>
    <t>sp|A7ZSK3|RS3_ECO24 30S ribosomal protein S3 OS=Escherichia coli O139:H28 (strain E24377A / ETEC) OX=331111 GN=rpsC PE=3 SV=1</t>
  </si>
  <si>
    <t>SYM_ECO24</t>
  </si>
  <si>
    <t>metG</t>
  </si>
  <si>
    <t>SYM_ECO24; SYM_ECO55; SYM_ECO7I; SYM_ECO81; SYM_ECO8A; SYM_ECOBW; SYM_ECODH; SYM_ECOLI; SYM_ECOSE; SYM_ECOSM</t>
  </si>
  <si>
    <t>SYM_ECO27; SYM_ECO45; SYM_ECO57; SYM_ECO5E; SYM_ECOHS; SYM_ECOK1; SYM_ECOL5; SYM_ECOL6; SYM_ECOLC; SYM_ECOLU; SYM_ECOUT</t>
  </si>
  <si>
    <t>sp|A7ZNT3|SYM_ECO24 Methionine--tRNA ligase OS=Escherichia coli O139:H28 (strain E24377A / ETEC) OX=331111 GN=metG PE=3 SV=1</t>
  </si>
  <si>
    <t>MIND_ECO57</t>
  </si>
  <si>
    <t>minD</t>
  </si>
  <si>
    <t>MIND_ECO57; MIND_ECOL6; MIND_ECOLI</t>
  </si>
  <si>
    <t>sp|P0AEZ5|MIND_ECO57 Septum site-determining protein MinD OS=Escherichia coli O157:H7 OX=83334 GN=minD PE=3 SV=2</t>
  </si>
  <si>
    <t>RL5_ECO24</t>
  </si>
  <si>
    <t>rplE</t>
  </si>
  <si>
    <t>RL5_ECO24; RL5_ECO27; RL5_ECO45; RL5_ECO55; RL5_ECO57; RL5_ECO5E; RL5_ECO7I; RL5_ECO81; RL5_ECO8A; RL5_ECOBW; RL5_ECODH; RL5_ECOHS; RL5_ECOK1; RL5_ECOL5; RL5_ECOL6; RL5_ECOLC; RL5_ECOLI; RL5_ECOLU; RL5_ECOSE; RL5_ECOSM; RL5_ECOUT</t>
  </si>
  <si>
    <t>sp|A7ZSJ7|RL5_ECO24 50S ribosomal protein L5 OS=Escherichia coli O139:H28 (strain E24377A / ETEC) OX=331111 GN=rplE PE=3 SV=1</t>
  </si>
  <si>
    <t>TERM_BPPH2</t>
  </si>
  <si>
    <t>3</t>
  </si>
  <si>
    <t>sp|P03681|TERM_BPPH2 Primer terminal protein OS=Bacillus phage phi29 OX=2884424 GN=3 PE=1 SV=1</t>
  </si>
  <si>
    <t>RS2_ECO27</t>
  </si>
  <si>
    <t>rpsB</t>
  </si>
  <si>
    <t>RS2_ECO27; RS2_ECO45; RS2_ECO57; RS2_ECO5E; RS2_ECO7I; RS2_ECO81; RS2_ECOBW; RS2_ECODH; RS2_ECOK1; RS2_ECOL5; RS2_ECOL6; RS2_ECOLC; RS2_ECOLI; RS2_ECOLU; RS2_ECOSM; RS2_ECOUT</t>
  </si>
  <si>
    <t>sp|B7UIL4|RS2_ECO27 30S ribosomal protein S2 OS=Escherichia coli O127:H6 (strain E2348/69 / EPEC) OX=574521 GN=rpsB PE=3 SV=1</t>
  </si>
  <si>
    <t>RL2_ECO24</t>
  </si>
  <si>
    <t>rplB</t>
  </si>
  <si>
    <t>RL2_ECO24; RL2_ECO27; RL2_ECO45; RL2_ECO55; RL2_ECO57; RL2_ECO5E; RL2_ECO7I; RL2_ECO81; RL2_ECO8A; RL2_ECOBW; RL2_ECODH; RL2_ECOHS; RL2_ECOK1; RL2_ECOL5; RL2_ECOL6; RL2_ECOLC; RL2_ECOLI; RL2_ECOLU; RL2_ECOSE; RL2_ECOSM; RL2_ECOUT</t>
  </si>
  <si>
    <t>sp|A7ZSK6|RL2_ECO24 50S ribosomal protein L2 OS=Escherichia coli O139:H28 (strain E24377A / ETEC) OX=331111 GN=rplB PE=3 SV=1</t>
  </si>
  <si>
    <t>SYI_ECO55</t>
  </si>
  <si>
    <t>ileS</t>
  </si>
  <si>
    <t>SYI_ECO55; SYI_ECO8A; SYI_ECOBW; SYI_ECODH; SYI_ECOLI; SYI_ECOSE</t>
  </si>
  <si>
    <t>SYI_ECO24; SYI_ECO27; SYI_ECO45; SYI_ECO57; SYI_ECO5E; SYI_ECO7I; SYI_ECO81; SYI_ECOHS; SYI_ECOK1; SYI_ECOL5; SYI_ECOL6; SYI_ECOLC; SYI_ECOSM; SYI_ECOUT</t>
  </si>
  <si>
    <t>sp|B7L4E8|SYI_ECO55 Isoleucine--tRNA ligase OS=Escherichia coli (strain 55989 / EAEC) OX=585055 GN=ileS PE=3 SV=1</t>
  </si>
  <si>
    <t>SYI_ECOLU</t>
  </si>
  <si>
    <t>sp|B7N7Q0|SYI_ECOLU Isoleucine--tRNA ligase OS=Escherichia coli O17:K52:H18 (strain UMN026 / ExPEC) OX=585056 GN=ileS PE=3 SV=1</t>
  </si>
  <si>
    <t>RS7_ECOBW</t>
  </si>
  <si>
    <t>rpsG</t>
  </si>
  <si>
    <t>RS7_ECOBW; RS7_ECODH; RS7_ECOLI</t>
  </si>
  <si>
    <t>RS7_ECO24; RS7_ECO27; RS7_ECO45; RS7_ECO55; RS7_ECO57; RS7_ECO5E; RS7_ECO7I; RS7_ECO81; RS7_ECO8A; RS7_ECOHS; RS7_ECOK1; RS7_ECOL5; RS7_ECOL6; RS7_ECOLC; RS7_ECOLU; RS7_ECOSE; RS7_ECOSM; RS7_ECOUT</t>
  </si>
  <si>
    <t>sp|C4ZUJ6|RS7_ECOBW 30S ribosomal protein S7 OS=Escherichia coli (strain K12 / MC4100 / BW2952) OX=595496 GN=rpsG PE=3 SV=1</t>
  </si>
  <si>
    <t>PSD_ECO24</t>
  </si>
  <si>
    <t>psd</t>
  </si>
  <si>
    <t>PSD_ECO24; PSD_ECO57; PSD_ECO5E; PSD_ECO81; PSD_ECO8A; PSD_ECOBW; PSD_ECODH; PSD_ECOL5; PSD_ECOL6; PSD_ECOLC; PSD_ECOLI; PSD_ECOLU; PSD_ECOSE; PSD_ECOSM</t>
  </si>
  <si>
    <t>PSD_ECO27; PSD_ECO45; PSD_ECO55; PSD_ECO7I; PSD_ECOHS; PSD_ECOUT</t>
  </si>
  <si>
    <t>sp|A7ZV31|PSD_ECO24 Phosphatidylserine decarboxylase proenzyme OS=Escherichia coli O139:H28 (strain E24377A / ETEC) OX=331111 GN=psd PE=3 SV=1</t>
  </si>
  <si>
    <t>SYFB_ECOL6</t>
  </si>
  <si>
    <t>pheT</t>
  </si>
  <si>
    <t>SYFB_ECOL6; SYFB_ECOLI</t>
  </si>
  <si>
    <t>SYFB_ECO57</t>
  </si>
  <si>
    <t>sp|P59664|SYFB_ECOL6 Phenylalanine--tRNA ligase beta subunit OS=Escherichia coli O6:H1 (strain CFT073 / ATCC 700928 / UPEC) OX=199310 GN=pheT PE=3 SV=1</t>
  </si>
  <si>
    <t>RS4_ECO24</t>
  </si>
  <si>
    <t>rpsD</t>
  </si>
  <si>
    <t>RS4_ECO24; RS4_ECO27; RS4_ECO45; RS4_ECO55; RS4_ECO57; RS4_ECO5E; RS4_ECO7I; RS4_ECO81; RS4_ECO8A; RS4_ECOBW; RS4_ECODH; RS4_ECOHS; RS4_ECOK1; RS4_ECOL5; RS4_ECOL6; RS4_ECOLC; RS4_ECOLI; RS4_ECOLU; RS4_ECOSE; RS4_ECOSM; RS4_ECOUT</t>
  </si>
  <si>
    <t>sp|A7ZSI5|RS4_ECO24 30S ribosomal protein S4 OS=Escherichia coli O139:H28 (strain E24377A / ETEC) OX=331111 GN=rpsD PE=3 SV=1</t>
  </si>
  <si>
    <t>RL4_ECO24</t>
  </si>
  <si>
    <t>rplD</t>
  </si>
  <si>
    <t>RL4_ECO24; RL4_ECO27; RL4_ECO45; RL4_ECO55; RL4_ECO57; RL4_ECO5E; RL4_ECO7I; RL4_ECO81; RL4_ECO8A; RL4_ECOBW; RL4_ECODH; RL4_ECOHS; RL4_ECOK1; RL4_ECOL5; RL4_ECOL6; RL4_ECOLC; RL4_ECOLI; RL4_ECOLU; RL4_ECOSE; RL4_ECOSM; RL4_ECOUT</t>
  </si>
  <si>
    <t>sp|A7ZSK8|RL4_ECO24 50S ribosomal protein L4 OS=Escherichia coli O139:H28 (strain E24377A / ETEC) OX=331111 GN=rplD PE=3 SV=1</t>
  </si>
  <si>
    <t>SYC_ECOBW</t>
  </si>
  <si>
    <t>cysS</t>
  </si>
  <si>
    <t>SYC_ECOBW; SYC_ECODH; SYC_ECOLI</t>
  </si>
  <si>
    <t>SYC_ECO24; SYC_ECO27; SYC_ECO45; SYC_ECO55; SYC_ECO57; SYC_ECO5E; SYC_ECO7I; SYC_ECO81; SYC_ECO8A; SYC_ECOHS; SYC_ECOK1; SYC_ECOL5; SYC_ECOL6; SYC_ECOLC; SYC_ECOLU; SYC_ECOSE; SYC_ECOSM; SYC_ECOUT</t>
  </si>
  <si>
    <t>sp|C4ZUX4|SYC_ECOBW Cysteine--tRNA ligase OS=Escherichia coli (strain K12 / MC4100 / BW2952) OX=595496 GN=cysS PE=3 SV=1</t>
  </si>
  <si>
    <t>SYK1_ECOL6</t>
  </si>
  <si>
    <t>lysS</t>
  </si>
  <si>
    <t>SYK1_ECOL6; SYK1_ECOLI</t>
  </si>
  <si>
    <t>SYK1_ECO57</t>
  </si>
  <si>
    <t>sp|P0A8N4|SYK1_ECOL6 Lysine--tRNA ligase OS=Escherichia coli O6:H1 (strain CFT073 / ATCC 700928 / UPEC) OX=199310 GN=lysS PE=3 SV=2</t>
  </si>
  <si>
    <t>RRF_ECO24</t>
  </si>
  <si>
    <t>frr</t>
  </si>
  <si>
    <t>RRF_ECO24; RRF_ECO27; RRF_ECO45; RRF_ECO55; RRF_ECO57; RRF_ECO5E; RRF_ECO7I; RRF_ECO81; RRF_ECO8A; RRF_ECOBW; RRF_ECODH; RRF_ECOHS; RRF_ECOL5; RRF_ECOL6; RRF_ECOLC; RRF_ECOLI; RRF_ECOLU; RRF_ECOSE; RRF_ECOSM; RRF_ECOUT</t>
  </si>
  <si>
    <t>sp|A7ZHR2|RRF_ECO24 Ribosome-recycling factor OS=Escherichia coli O139:H28 (strain E24377A / ETEC) OX=331111 GN=frr PE=3 SV=1</t>
  </si>
  <si>
    <t>SYH_ECO24</t>
  </si>
  <si>
    <t>hisS</t>
  </si>
  <si>
    <t>SYH_ECO24; SYH_ECO45; SYH_ECO55; SYH_ECO57; SYH_ECO5E; SYH_ECO7I; SYH_ECO81; SYH_ECO8A; SYH_ECOBW; SYH_ECODH; SYH_ECOHS; SYH_ECOK1; SYH_ECOL5; SYH_ECOL6; SYH_ECOLC; SYH_ECOLI; SYH_ECOSM; SYH_ECOUT</t>
  </si>
  <si>
    <t>SYH_ECO27; SYH_ECOLU; SYH_ECOSE</t>
  </si>
  <si>
    <t>sp|A7ZPV7|SYH_ECO24 Histidine--tRNA ligase OS=Escherichia coli O139:H28 (strain E24377A / ETEC) OX=331111 GN=hisS PE=3 SV=1</t>
  </si>
  <si>
    <t>RL3_ECO24</t>
  </si>
  <si>
    <t>rplC</t>
  </si>
  <si>
    <t>RL3_ECO24; RL3_ECO27; RL3_ECO45; RL3_ECO55; RL3_ECO57; RL3_ECO5E; RL3_ECO7I; RL3_ECO81; RL3_ECO8A; RL3_ECOBW; RL3_ECODH; RL3_ECOHS; RL3_ECOK1; RL3_ECOL5; RL3_ECOL6; RL3_ECOLC; RL3_ECOLI; RL3_ECOLU; RL3_ECOSE; RL3_ECOSM; RL3_ECOUT</t>
  </si>
  <si>
    <t>sp|A7ZSK9|RL3_ECO24 50S ribosomal protein L3 OS=Escherichia coli O139:H28 (strain E24377A / ETEC) OX=331111 GN=rplC PE=3 SV=1</t>
  </si>
  <si>
    <t>SYY_ECO24</t>
  </si>
  <si>
    <t>tyrS</t>
  </si>
  <si>
    <t>SYY_ECO24; SYY_ECO57; SYY_ECO5E; SYY_ECO7I; SYY_ECOBW; SYY_ECODH; SYY_ECOHS; SYY_ECOLC; SYY_ECOLI; SYY_ECOLU; SYY_ECOSE; SYY_ECOSM</t>
  </si>
  <si>
    <t>SYY_ECO27; SYY_ECO45; SYY_ECO55; SYY_ECO81; SYY_ECO8A; SYY_ECOK1; SYY_ECOL6; SYY_ECOUT</t>
  </si>
  <si>
    <t>sp|A7ZM99|SYY_ECO24 Tyrosine--tRNA ligase OS=Escherichia coli O139:H28 (strain E24377A / ETEC) OX=331111 GN=tyrS PE=3 SV=1</t>
  </si>
  <si>
    <t>PMT_MYCTU1</t>
  </si>
  <si>
    <t>PMT_MYCTU1; PMT_MYCTU2; PMT_MYCTUmCherry-PMTub-TwinStrep; X5DSL3_ANAMA</t>
  </si>
  <si>
    <t>sp|P9WN05-HIS|PMT_MYCTU1 mCherryNter_TEV_Hisx10_PMTub</t>
  </si>
  <si>
    <t>FTSA_ECO57</t>
  </si>
  <si>
    <t>ftsA</t>
  </si>
  <si>
    <t>FTSA_ECO57; FTSA_ECOL6; FTSA_ECOLI</t>
  </si>
  <si>
    <t>sp|P0ABH2|FTSA_ECO57 Cell division protein FtsA OS=Escherichia coli O157:H7 OX=83334 GN=ftsA PE=3 SV=1</t>
  </si>
  <si>
    <t>SYS_ECO24</t>
  </si>
  <si>
    <t>serS</t>
  </si>
  <si>
    <t>SYS_ECO24; SYS_ECO27; SYS_ECO45; SYS_ECO55; SYS_ECO57; SYS_ECO5E; SYS_ECO7I; SYS_ECO81; SYS_ECO8A; SYS_ECOBW; SYS_ECODH; SYS_ECOHS; SYS_ECOK1; SYS_ECOL5; SYS_ECOL6; SYS_ECOLC; SYS_ECOLI; SYS_ECOLU; SYS_ECOSE; SYS_ECOSM; SYS_ECOUT</t>
  </si>
  <si>
    <t>sp|A7ZJW2|SYS_ECO24 Serine--tRNA ligase OS=Escherichia coli O139:H28 (strain E24377A / ETEC) OX=331111 GN=serS PE=3 SV=1</t>
  </si>
  <si>
    <t>IF3_ECO27</t>
  </si>
  <si>
    <t>infC</t>
  </si>
  <si>
    <t>IF3_ECO27; IF3_ECO57; IF3_ECOBW; IF3_ECOL6; IF3_ECOLC; IF3_ECOLI</t>
  </si>
  <si>
    <t>sp|B7USA1|IF3_ECO27 Translation initiation factor IF-3 OS=Escherichia coli O127:H6 (strain E2348/69 / EPEC) OX=574521 GN=infC PE=3 SV=1</t>
  </si>
  <si>
    <t>RF2_ECO27</t>
  </si>
  <si>
    <t>prfB</t>
  </si>
  <si>
    <t>RF2_ECO27; RF2_ECO45; RF2_ECO55; RF2_ECO57; RF2_ECO7I; RF2_ECO81; RF2_ECOBW; RF2_ECODH; RF2_ECOL6; RF2_ECOLC; RF2_ECOLI; RF2_ECOLU; RF2_ECOSM</t>
  </si>
  <si>
    <t>RF2_ECO8A; RF2_ECOHS</t>
  </si>
  <si>
    <t>sp|B7UHU0|RF2_ECO27 Peptide chain release factor 2 OS=Escherichia coli O127:H6 (strain E2348/69 / EPEC) OX=574521 GN=prfB PE=3 SV=1</t>
  </si>
  <si>
    <t>RS2_ECO24</t>
  </si>
  <si>
    <t>RS2_ECO24; RS2_ECO55; RS2_ECO8A; RS2_ECOHS; RS2_ECOSE</t>
  </si>
  <si>
    <t>sp|A7ZHQ9|RS2_ECO24 30S ribosomal protein S2 OS=Escherichia coli O139:H28 (strain E24377A / ETEC) OX=331111 GN=rpsB PE=3 SV=1</t>
  </si>
  <si>
    <t>RF1_ECO24</t>
  </si>
  <si>
    <t>prfA</t>
  </si>
  <si>
    <t>RF1_ECO24; RF1_ECO45; RF1_ECO55; RF1_ECO57; RF1_ECO5E; RF1_ECO7I; RF1_ECO8A; RF1_ECOBW; RF1_ECODH; RF1_ECOHS; RF1_ECOK1; RF1_ECOL5; RF1_ECOL6; RF1_ECOLC; RF1_ECOLI; RF1_ECOLU; RF1_ECOSE; RF1_ECOSM; RF1_ECOUT</t>
  </si>
  <si>
    <t>RF1_ECO27; RF1_ECO81</t>
  </si>
  <si>
    <t>sp|A7ZKY5|RF1_ECO24 Peptide chain release factor 1 OS=Escherichia coli O139:H28 (strain E24377A / ETEC) OX=331111 GN=prfA PE=3 SV=1</t>
  </si>
  <si>
    <t>RL22_ECO24</t>
  </si>
  <si>
    <t>rplV</t>
  </si>
  <si>
    <t>RL22_ECO24; RL22_ECO27; RL22_ECO45; RL22_ECO55; RL22_ECO57; RL22_ECO5E; RL22_ECO7I; RL22_ECO81; RL22_ECO8A; RL22_ECOBW; RL22_ECODH; RL22_ECOHS; RL22_ECOK1; RL22_ECOL5; RL22_ECOL6; RL22_ECOLC; RL22_ECOLI; RL22_ECOLU; RL22_ECOSE; RL22_ECOSM; RL22_ECOUT</t>
  </si>
  <si>
    <t>sp|A7ZSK4|RL22_ECO24 50S ribosomal protein L22 OS=Escherichia coli O139:H28 (strain E24377A / ETEC) OX=331111 GN=rplV PE=3 SV=1</t>
  </si>
  <si>
    <t>RL6_ECO24</t>
  </si>
  <si>
    <t>rplF</t>
  </si>
  <si>
    <t>RL6_ECO24; RL6_ECO27; RL6_ECO45; RL6_ECO55; RL6_ECO57; RL6_ECO5E; RL6_ECO7I; RL6_ECO81; RL6_ECO8A; RL6_ECOBW; RL6_ECODH; RL6_ECOHS; RL6_ECOK1; RL6_ECOL5; RL6_ECOL6; RL6_ECOLC; RL6_ECOLI; RL6_ECOLU; RL6_ECOSE; RL6_ECOSM; RL6_ECOUT</t>
  </si>
  <si>
    <t>sp|A7ZSJ4|RL6_ECO24 50S ribosomal protein L6 OS=Escherichia coli O139:H28 (strain E24377A / ETEC) OX=331111 GN=rplF PE=3 SV=1</t>
  </si>
  <si>
    <t>SYE_ECO24</t>
  </si>
  <si>
    <t>gltX</t>
  </si>
  <si>
    <t>SYE_ECO24; SYE_ECODH; SYE_ECOHS; SYE_ECOLC; SYE_ECOLI; SYE_ECOSE</t>
  </si>
  <si>
    <t>SYE_ECO57; SYE_ECO5E; SYE_ECOK1; SYE_ECOL5; SYE_ECOL6; SYE_ECOSM; SYE_ECOUT</t>
  </si>
  <si>
    <t>sp|A7ZPK7|SYE_ECO24 Glutamate--tRNA ligase OS=Escherichia coli O139:H28 (strain E24377A / ETEC) OX=331111 GN=gltX PE=3 SV=1</t>
  </si>
  <si>
    <t>SYN_ECO24</t>
  </si>
  <si>
    <t>asnS</t>
  </si>
  <si>
    <t>SYN_ECO24; SYN_ECOHS; SYN_ECOL5; SYN_ECOL6; SYN_ECOLC; SYN_ECOLI; SYN_ECOUT</t>
  </si>
  <si>
    <t>SYN_ECO57</t>
  </si>
  <si>
    <t>sp|A7ZK21|SYN_ECO24 Asparagine--tRNA ligase OS=Escherichia coli O139:H28 (strain E24377A / ETEC) OX=331111 GN=asnS PE=3 SV=1</t>
  </si>
  <si>
    <t>RS6_ECO24</t>
  </si>
  <si>
    <t>rpsF</t>
  </si>
  <si>
    <t>RS6_ECO24; RS6_ECO27; RS6_ECO45; RS6_ECO55; RS6_ECO57; RS6_ECO5E; RS6_ECO7I; RS6_ECO81; RS6_ECO8A; RS6_ECOBW; RS6_ECODH; RS6_ECOHS; RS6_ECOK1; RS6_ECOL6; RS6_ECOLC; RS6_ECOSE; RS6_ECOSM; RS6_ECOUT</t>
  </si>
  <si>
    <t>RS6_ECOLI; RS6_ECOLU</t>
  </si>
  <si>
    <t>sp|A7ZV71|RS6_ECO24 30S ribosomal protein S6 OS=Escherichia coli O139:H28 (strain E24377A / ETEC) OX=331111 GN=rpsF PE=3 SV=1</t>
  </si>
  <si>
    <t>SYR_ECOBW</t>
  </si>
  <si>
    <t>argS</t>
  </si>
  <si>
    <t>SYR_ECOBW; SYR_ECODH; SYR_ECOLI</t>
  </si>
  <si>
    <t>SYR_ECO24; SYR_ECO27; SYR_ECO45; SYR_ECO55; SYR_ECO57; SYR_ECO5E; SYR_ECO7I; SYR_ECO81; SYR_ECO8A; SYR_ECOHS; SYR_ECOK1; SYR_ECOL5; SYR_ECOL6; SYR_ECOLC; SYR_ECOLU; SYR_ECOSE; SYR_ECOSM; SYR_ECOUT</t>
  </si>
  <si>
    <t>sp|C4ZQG0|SYR_ECOBW Arginine--tRNA ligase OS=Escherichia coli (strain K12 / MC4100 / BW2952) OX=595496 GN=argS PE=3 SV=1</t>
  </si>
  <si>
    <t>CON__K1C10_HUMAN</t>
  </si>
  <si>
    <t>KRT10</t>
  </si>
  <si>
    <t>CON__K1C10_MOUSE; CON__K1C10_MOUSE; CON__K1C10_MOUSE; CON__K1C13_HUMAN; CON__K1C13_HUMAN; CON__K1C13_HUMAN; CON__K1C13_MOUSE; CON__K1C13_MOUSE; CON__K1C15_HUMAN; CON__K1C16_HUMAN; CON__K1C16_MOUSE; CON__K1C18_HUMAN; CON__K1C18_MOUSE; CON__K1C19_HUMAN; CON__K1C19_MOUSE; CON__K1C24_HUMAN; CON__K1C25_HUMAN; CON__K1C26_HUMAN; CON__K1C27_HUMAN; CON__K1C28_BOVIN; CON__K1C28_HUMAN; CON__K1C42_MOUSE; CON__K1H1_HUMAN; CON__K1H1_MOUSE; CON__K1H2_HUMAN; CON__KRT35_HUMAN; CON__KRT35_MOUSE; CON__KRT36_HUMAN; CON__KRT36_HUMAN; CON__KRT37_HUMAN; CON__KRT38_HUMAN; CON__KT33B_HUMAN; CON__Q3ZAW8_MOUSE</t>
  </si>
  <si>
    <t>sp|P13645|CON__K1C10_HUMAN Keratin, type I cytoskeletal 10 OS=Homo sapiens OX=9606 GN=KRT10 PE=1 SV=6</t>
  </si>
  <si>
    <t>FMT_ECO27</t>
  </si>
  <si>
    <t>fmt</t>
  </si>
  <si>
    <t>FMT_ECO27; FMT_ECO55; FMT_ECO7I; FMT_ECOBW; FMT_ECODH; FMT_ECOHS; FMT_ECOLC; FMT_ECOLI; FMT_ECOLU</t>
  </si>
  <si>
    <t>FMT_ECO24; FMT_ECO45; FMT_ECO57; FMT_ECO5E; FMT_ECO81; FMT_ECO8A; FMT_ECOK1; FMT_ECOL5; FMT_ECOL6; FMT_ECOSE; FMT_ECOSM; FMT_ECOUT</t>
  </si>
  <si>
    <t>sp|B7UK11|FMT_ECO27 Methionyl-tRNA formyltransferase OS=Escherichia coli O127:H6 (strain E2348/69 / EPEC) OX=574521 GN=fmt PE=3 SV=1</t>
  </si>
  <si>
    <t>RL10_ECO24</t>
  </si>
  <si>
    <t>rplJ</t>
  </si>
  <si>
    <t>RL10_ECO24; RL10_ECO27; RL10_ECO45; RL10_ECO55; RL10_ECO57; RL10_ECO5E; RL10_ECO7I; RL10_ECO81; RL10_ECO8A; RL10_ECOBW; RL10_ECODH; RL10_ECOHS; RL10_ECOK1; RL10_ECOL5; RL10_ECOL6; RL10_ECOLC; RL10_ECOLI; RL10_ECOLU; RL10_ECOSE; RL10_ECOSM; RL10_ECOUT</t>
  </si>
  <si>
    <t>sp|A7ZUJ8|RL10_ECO24 50S ribosomal protein L10 OS=Escherichia coli O139:H28 (strain E24377A / ETEC) OX=331111 GN=rplJ PE=3 SV=1</t>
  </si>
  <si>
    <t>RHLE_ECOLI</t>
  </si>
  <si>
    <t>rhlE</t>
  </si>
  <si>
    <t>sp|P25888|RHLE_ECOLI ATP-dependent RNA helicase RhlE OS=Escherichia coli (strain K12) OX=83333 GN=rhlE PE=1 SV=3</t>
  </si>
  <si>
    <t>RS8_ECO24</t>
  </si>
  <si>
    <t>rpsH</t>
  </si>
  <si>
    <t>RS8_ECO24; RS8_ECO27; RS8_ECO45; RS8_ECO55; RS8_ECO57; RS8_ECO5E; RS8_ECO7I; RS8_ECO81; RS8_ECO8A; RS8_ECOBW; RS8_ECODH; RS8_ECOHS; RS8_ECOK1; RS8_ECOL5; RS8_ECOL6; RS8_ECOLC; RS8_ECOLI; RS8_ECOLU; RS8_ECOSE; RS8_ECOSM; RS8_ECOUT</t>
  </si>
  <si>
    <t>sp|A7ZSJ5|RS8_ECO24 30S ribosomal protein S8 OS=Escherichia coli O139:H28 (strain E24377A / ETEC) OX=331111 GN=rpsH PE=3 SV=1</t>
  </si>
  <si>
    <t>SYGA_ECO24</t>
  </si>
  <si>
    <t>glyQ</t>
  </si>
  <si>
    <t>SYGA_ECO24; SYGA_ECO27; SYGA_ECO45; SYGA_ECO55; SYGA_ECO57; SYGA_ECO5E; SYGA_ECO7I; SYGA_ECO81; SYGA_ECO8A; SYGA_ECOBW; SYGA_ECOHS; SYGA_ECOK1; SYGA_ECOL5; SYGA_ECOL6; SYGA_ECOLC; SYGA_ECOLU; SYGA_ECOSE; SYGA_ECOSM; SYGA_ECOUT</t>
  </si>
  <si>
    <t>SYGA_ECOLI</t>
  </si>
  <si>
    <t>sp|A7ZTA6|SYGA_ECO24 Glycine--tRNA ligase alpha subunit OS=Escherichia coli O139:H28 (strain E24377A / ETEC) OX=331111 GN=glyQ PE=3 SV=1</t>
  </si>
  <si>
    <t>RL9_ECO24</t>
  </si>
  <si>
    <t>rplI</t>
  </si>
  <si>
    <t>RL9_ECO24; RL9_ECO27; RL9_ECO45; RL9_ECO55; RL9_ECO57; RL9_ECO5E; RL9_ECO7I; RL9_ECO81; RL9_ECO8A; RL9_ECOBW; RL9_ECODH; RL9_ECOHS; RL9_ECOK1; RL9_ECOL5; RL9_ECOL6; RL9_ECOLC; RL9_ECOLI; RL9_ECOLU; RL9_ECOSE; RL9_ECOSM; RL9_ECOUT</t>
  </si>
  <si>
    <t>sp|A7ZV74|RL9_ECO24 50S ribosomal protein L9 OS=Escherichia coli O139:H28 (strain E24377A / ETEC) OX=331111 GN=rplI PE=3 SV=1</t>
  </si>
  <si>
    <t>RL15_ECOBW</t>
  </si>
  <si>
    <t>rplO</t>
  </si>
  <si>
    <t>RL15_ECOBW; RL15_ECODH; RL15_ECOHS; RL15_ECOLC; RL15_ECOLI</t>
  </si>
  <si>
    <t>RL15_ECO24; RL15_ECO27; RL15_ECO45; RL15_ECO55; RL15_ECO57; RL15_ECO5E; RL15_ECO7I; RL15_ECO81; RL15_ECO8A; RL15_ECOK1; RL15_ECOL5; RL15_ECOL6; RL15_ECOLU; RL15_ECOSE; RL15_ECOSM; RL15_ECOUT</t>
  </si>
  <si>
    <t>sp|C4ZUF6|RL15_ECOBW 50S ribosomal protein L15 OS=Escherichia coli (strain K12 / MC4100 / BW2952) OX=595496 GN=rplO PE=3 SV=1</t>
  </si>
  <si>
    <t>RL16_ECO24</t>
  </si>
  <si>
    <t>rplP</t>
  </si>
  <si>
    <t>RL16_ECO24; RL16_ECO27; RL16_ECO45; RL16_ECO55; RL16_ECO57; RL16_ECO5E; RL16_ECO7I; RL16_ECO81; RL16_ECO8A; RL16_ECOBW; RL16_ECODH; RL16_ECOHS; RL16_ECOK1; RL16_ECOL5; RL16_ECOL6; RL16_ECOLC; RL16_ECOLI; RL16_ECOLU; RL16_ECOSE; RL16_ECOSM; RL16_ECOUT</t>
  </si>
  <si>
    <t>sp|A7ZSK2|RL16_ECO24 50S ribosomal protein L16 OS=Escherichia coli O139:H28 (strain E24377A / ETEC) OX=331111 GN=rplP PE=3 SV=1</t>
  </si>
  <si>
    <t>GRCA_ECO24</t>
  </si>
  <si>
    <t>grcA</t>
  </si>
  <si>
    <t>GRCA_ECO24; GRCA_ECO55; GRCA_ECO57; GRCA_ECO5E; GRCA_ECO81; GRCA_ECO8A; GRCA_ECOBW; GRCA_ECODH; GRCA_ECOHS; GRCA_ECOLC; GRCA_ECOLI; GRCA_ECOSE</t>
  </si>
  <si>
    <t>GRCA_ECO27; GRCA_ECO45; GRCA_ECO7I; GRCA_ECOK1; GRCA_ECOL5; GRCA_ECOL6; GRCA_ECOLU; GRCA_ECOSM; TDCE_ECOLI</t>
  </si>
  <si>
    <t>sp|A7ZQ24|GRCA_ECO24 Autonomous glycyl radical cofactor OS=Escherichia coli O139:H28 (strain E24377A / ETEC) OX=331111 GN=grcA PE=3 SV=1</t>
  </si>
  <si>
    <t>HIS7_ECOL6</t>
  </si>
  <si>
    <t>hisB</t>
  </si>
  <si>
    <t>HIS7_ECO57</t>
  </si>
  <si>
    <t>sp|Q8FG50|HIS7_ECOL6 Histidine biosynthesis bifunctional protein HisB OS=Escherichia coli O6:H1 (strain CFT073 / ATCC 700928 / UPEC) OX=199310 GN=hisB PE=3 SV=2</t>
  </si>
  <si>
    <t>SYT_ECO27</t>
  </si>
  <si>
    <t>thrS</t>
  </si>
  <si>
    <t>SYT_ECO27; SYT_ECO45; SYT_ECO57; SYT_ECO5E; SYT_ECO7I; SYT_ECO81; SYT_ECOBW; SYT_ECODH; SYT_ECOK1; SYT_ECOL5; SYT_ECOL6; SYT_ECOLI; SYT_ECOLU; SYT_ECOSM; SYT_ECOUT</t>
  </si>
  <si>
    <t>SYT_ECO24; SYT_ECO55; SYT_ECO8A; SYT_ECOHS; SYT_ECOLC; SYT_ECOSE</t>
  </si>
  <si>
    <t>sp|B7USA2|SYT_ECO27 Threonine--tRNA ligase OS=Escherichia coli O127:H6 (strain E2348/69 / EPEC) OX=574521 GN=thrS PE=3 SV=1</t>
  </si>
  <si>
    <t>CON__K22E_HUMAN</t>
  </si>
  <si>
    <t>KRT2</t>
  </si>
  <si>
    <t>CON__K22O_HUMAN; CON__K2C1B_HUMAN; CON__K2C1B_MOUSE; CON__K2C4_HUMAN; CON__K2C6A_HUMAN; CON__K2C6C_HUMAN; CON__K2C71_MOUSE; CON__K2C73_MOUSE; CON__K2C75_HUMAN; CON__K2C79_HUMAN; CON__K2C79_MOUSE</t>
  </si>
  <si>
    <t>sp|P35908|CON__K22E_HUMAN Keratin, type II cytoskeletal 2 epidermal OS=Homo sapiens OX=9606 GN=KRT2 PE=1 SV=2</t>
  </si>
  <si>
    <t>RS13_ECO57</t>
  </si>
  <si>
    <t>rpsM</t>
  </si>
  <si>
    <t>RS13_ECO57; RS13_ECOK1; RS13_ECOL5; RS13_ECOL6; RS13_ECOLI; RS13_ECOUT</t>
  </si>
  <si>
    <t>sp|P0A7T1|RS13_ECO57 30S ribosomal protein S13 OS=Escherichia coli O157:H7 OX=83334 GN=rpsM PE=3 SV=2</t>
  </si>
  <si>
    <t>SYFA_ECO24</t>
  </si>
  <si>
    <t>pheS</t>
  </si>
  <si>
    <t>SYFA_ECO24; SYFA_ECO8A; SYFA_ECOBW; SYFA_ECODH; SYFA_ECOHS; SYFA_ECOLC; SYFA_ECOLI</t>
  </si>
  <si>
    <t>SYFA_ECO27; SYFA_ECO45; SYFA_ECO55; SYFA_ECO57; SYFA_ECO5E; SYFA_ECO7I; SYFA_ECO81; SYFA_ECOL5; SYFA_ECOL6; SYFA_ECOLU; SYFA_ECOSE; SYFA_ECOSM</t>
  </si>
  <si>
    <t>sp|A7ZMI2|SYFA_ECO24 Phenylalanine--tRNA ligase alpha subunit OS=Escherichia coli O139:H28 (strain E24377A / ETEC) OX=331111 GN=pheS PE=3 SV=1</t>
  </si>
  <si>
    <t>RS10_ECO24</t>
  </si>
  <si>
    <t>rpsJ</t>
  </si>
  <si>
    <t>RS10_ECO24; RS10_ECO27; RS10_ECO45; RS10_ECO55; RS10_ECO57; RS10_ECO5E; RS10_ECO7I; RS10_ECO81; RS10_ECO8A; RS10_ECOBW; RS10_ECODH; RS10_ECOHS; RS10_ECOK1; RS10_ECOL5; RS10_ECOL6; RS10_ECOLC; RS10_ECOLI; RS10_ECOLU; RS10_ECOSE; RS10_ECOSM; RS10_ECOUT</t>
  </si>
  <si>
    <t>sp|A7ZSL0|RS10_ECO24 30S ribosomal protein S10 OS=Escherichia coli O139:H28 (strain E24377A / ETEC) OX=331111 GN=rpsJ PE=3 SV=1</t>
  </si>
  <si>
    <t>RSMI_ECO57</t>
  </si>
  <si>
    <t>rsmI</t>
  </si>
  <si>
    <t>RSMI_ECO57; RSMI_ECOLI</t>
  </si>
  <si>
    <t>sp|P67088|RSMI_ECO57 Ribosomal RNA small subunit methyltransferase I OS=Escherichia coli O157:H7 OX=83334 GN=rsmI PE=3 SV=1</t>
  </si>
  <si>
    <t>PLSC_ECOLI</t>
  </si>
  <si>
    <t>plsC</t>
  </si>
  <si>
    <t>sp|P26647|PLSC_ECOLI 1-acyl-sn-glycerol-3-phosphate acyltransferase OS=Escherichia coli (strain K12) OX=83333 GN=plsC PE=1 SV=1</t>
  </si>
  <si>
    <t>RL11_ECO24</t>
  </si>
  <si>
    <t>rplK</t>
  </si>
  <si>
    <t>RL11_ECO24; RL11_ECO27; RL11_ECO45; RL11_ECO55; RL11_ECO57; RL11_ECO5E; RL11_ECO7I; RL11_ECO81; RL11_ECO8A; RL11_ECOBW; RL11_ECODH; RL11_ECOHS; RL11_ECOL5; RL11_ECOL6; RL11_ECOLC; RL11_ECOLI; RL11_ECOLU; RL11_ECOSE; RL11_ECOSM; RL11_ECOUT</t>
  </si>
  <si>
    <t>sp|A7ZUJ6|RL11_ECO24 50S ribosomal protein L11 OS=Escherichia coli O139:H28 (strain E24377A / ETEC) OX=331111 GN=rplK PE=3 SV=1</t>
  </si>
  <si>
    <t>SYW_ECOLI</t>
  </si>
  <si>
    <t>trpS</t>
  </si>
  <si>
    <t>SYW_ECO57; SYW_ECOL6</t>
  </si>
  <si>
    <t>sp|P00954|SYW_ECOLI Tryptophan--tRNA ligase OS=Escherichia coli (strain K12) OX=83333 GN=trpS PE=1 SV=3</t>
  </si>
  <si>
    <t>UPI001D0F4A03_Aequorea</t>
  </si>
  <si>
    <t>A0A059PIR9_AEQVI</t>
  </si>
  <si>
    <t>sp|UPI001D0F4A03|UPI001D0F4A03_Aequorea Aequorea victoria mVenus UniParc</t>
  </si>
  <si>
    <t>PTH_ECO24</t>
  </si>
  <si>
    <t>pth</t>
  </si>
  <si>
    <t>PTH_ECO24; PTH_ECO27; PTH_ECO45; PTH_ECO55; PTH_ECO57; PTH_ECO5E; PTH_ECO7I; PTH_ECO81; PTH_ECO8A; PTH_ECOBW; PTH_ECODH; PTH_ECOHS; PTH_ECOL5; PTH_ECOL6; PTH_ECOLC; PTH_ECOLI; PTH_ECOSE; PTH_ECOSM; PTH_ECOUT</t>
  </si>
  <si>
    <t>PTH_ECOLU</t>
  </si>
  <si>
    <t>sp|A7ZKX7|PTH_ECO24 Peptidyl-tRNA hydrolase OS=Escherichia coli O139:H28 (strain E24377A / ETEC) OX=331111 GN=pth PE=3 SV=1</t>
  </si>
  <si>
    <t>HIS7_ECOLI</t>
  </si>
  <si>
    <t>sp|P06987|HIS7_ECOLI Histidine biosynthesis bifunctional protein HisB OS=Escherichia coli (strain K12) OX=83333 GN=hisB PE=1 SV=1</t>
  </si>
  <si>
    <t>RL25_ECO24</t>
  </si>
  <si>
    <t>rplY</t>
  </si>
  <si>
    <t>RL25_ECO24; RL25_ECO55; RL25_ECO8A; RL25_ECOBW; RL25_ECODH; RL25_ECOHS; RL25_ECOLC; RL25_ECOLI; RL25_ECOSE</t>
  </si>
  <si>
    <t>RL25_ECO27; RL25_ECO45; RL25_ECO57; RL25_ECO5E; RL25_ECO7I; RL25_ECO81; RL25_ECOL5; RL25_ECOL6; RL25_ECOLU; RL25_ECOSM</t>
  </si>
  <si>
    <t>sp|A7ZP09|RL25_ECO24 50S ribosomal protein L25 OS=Escherichia coli O139:H28 (strain E24377A / ETEC) OX=331111 GN=rplY PE=3 SV=1</t>
  </si>
  <si>
    <t>RL18_ECO24</t>
  </si>
  <si>
    <t>rplR</t>
  </si>
  <si>
    <t>RL18_ECO24; RL18_ECO27; RL18_ECO45; RL18_ECO55; RL18_ECO57; RL18_ECO5E; RL18_ECO7I; RL18_ECO81; RL18_ECO8A; RL18_ECOBW; RL18_ECODH; RL18_ECOHS; RL18_ECOK1; RL18_ECOL5; RL18_ECOL6; RL18_ECOLC; RL18_ECOLI; RL18_ECOLU; RL18_ECOSE; RL18_ECOSM; RL18_ECOUT</t>
  </si>
  <si>
    <t>sp|A7ZSJ3|RL18_ECO24 50S ribosomal protein L18 OS=Escherichia coli O139:H28 (strain E24377A / ETEC) OX=331111 GN=rplR PE=3 SV=1</t>
  </si>
  <si>
    <t>CMPDT_ECO57</t>
  </si>
  <si>
    <t>pheA</t>
  </si>
  <si>
    <t>CMPDT_ECO57; CMPDT_ECOLI</t>
  </si>
  <si>
    <t>sp|P0A9J9|CMPDT_ECO57 Bifunctional chorismate mutase/prephenate dehydratase OS=Escherichia coli O157:H7 OX=83334 GN=pheA PE=3 SV=1</t>
  </si>
  <si>
    <t>STHA_ECO24</t>
  </si>
  <si>
    <t>sthA</t>
  </si>
  <si>
    <t>STHA_ECO24; STHA_ECO45; STHA_ECO55; STHA_ECO5E; STHA_ECO7I; STHA_ECO8A; STHA_ECOBW; STHA_ECODH; STHA_ECOHS; STHA_ECOK1; STHA_ECOLC; STHA_ECOLI; STHA_ECOLU; STHA_ECOSE; STHA_ECOUT</t>
  </si>
  <si>
    <t>STHA_ECO27; STHA_ECO57; STHA_ECO81; STHA_ECOL5; STHA_ECOL6; STHA_ECOSM</t>
  </si>
  <si>
    <t>sp|A7ZUI2|STHA_ECO24 Soluble pyridine nucleotide transhydrogenase OS=Escherichia coli O139:H28 (strain E24377A / ETEC) OX=331111 GN=sthA PE=3 SV=1</t>
  </si>
  <si>
    <t>ODO1_ECO57</t>
  </si>
  <si>
    <t>sucA</t>
  </si>
  <si>
    <t>ODO1_ECO57; ODO1_ECOL6; ODO1_ECOLI</t>
  </si>
  <si>
    <t>sp|P0AFG5|ODO1_ECO57 2-oxoglutarate dehydrogenase E1 component OS=Escherichia coli O157:H7 OX=83334 GN=sucA PE=3 SV=1</t>
  </si>
  <si>
    <t>RS9_ECO24</t>
  </si>
  <si>
    <t>rpsI</t>
  </si>
  <si>
    <t>RS9_ECO24; RS9_ECO27; RS9_ECO45; RS9_ECO55; RS9_ECO57; RS9_ECO5E; RS9_ECO7I; RS9_ECO81; RS9_ECO8A; RS9_ECOBW; RS9_ECODH; RS9_ECOHS; RS9_ECOK1; RS9_ECOL5; RS9_ECOL6; RS9_ECOLC; RS9_ECOLI; RS9_ECOLU; RS9_ECOSE; RS9_ECOSM; RS9_ECOUT</t>
  </si>
  <si>
    <t>sp|A7ZSC4|RS9_ECO24 30S ribosomal protein S9 OS=Escherichia coli O139:H28 (strain E24377A / ETEC) OX=331111 GN=rpsI PE=3 SV=1</t>
  </si>
  <si>
    <t>RL13_ECO24</t>
  </si>
  <si>
    <t>rplM</t>
  </si>
  <si>
    <t>RL13_ECO24; RL13_ECO27; RL13_ECO45; RL13_ECO55; RL13_ECO57; RL13_ECO5E; RL13_ECO7I; RL13_ECO81; RL13_ECO8A; RL13_ECOBW; RL13_ECODH; RL13_ECOHS; RL13_ECOK1; RL13_ECOL5; RL13_ECOL6; RL13_ECOLC; RL13_ECOLI; RL13_ECOLU; RL13_ECOSE; RL13_ECOSM; RL13_ECOUT</t>
  </si>
  <si>
    <t>sp|A7ZSC5|RL13_ECO24 50S ribosomal protein L13 OS=Escherichia coli O139:H28 (strain E24377A / ETEC) OX=331111 GN=rplM PE=3 SV=1</t>
  </si>
  <si>
    <t>RS20_ECO24</t>
  </si>
  <si>
    <t>rpsT</t>
  </si>
  <si>
    <t>RS20_ECO24; RS20_ECO27; RS20_ECO45; RS20_ECO55; RS20_ECO57; RS20_ECO5E; RS20_ECO7I; RS20_ECO81; RS20_ECO8A; RS20_ECOBW; RS20_ECODH; RS20_ECOHS; RS20_ECOL5; RS20_ECOL6; RS20_ECOLC; RS20_ECOLI; RS20_ECOLU; RS20_ECOSE; RS20_ECOSM; RS20_ECOUT</t>
  </si>
  <si>
    <t>sp|A7ZHB2|RS20_ECO24 30S ribosomal protein S20 OS=Escherichia coli O139:H28 (strain E24377A / ETEC) OX=331111 GN=rpsT PE=3 SV=1</t>
  </si>
  <si>
    <t>MINE_ECO24</t>
  </si>
  <si>
    <t>minE</t>
  </si>
  <si>
    <t>MINE_ECO24; MINE_ECO27; MINE_ECO45; MINE_ECO55; MINE_ECO57; MINE_ECO5E; MINE_ECO7I; MINE_ECO81; MINE_ECO8A; MINE_ECOBW; MINE_ECODH; MINE_ECOHS; MINE_ECOK1; MINE_ECOL5; MINE_ECOL6; MINE_ECOLC; MINE_ECOLI; MINE_ECOLU; MINE_ECOSE; MINE_ECOSM; MINE_ECOUT</t>
  </si>
  <si>
    <t>sp|A7ZKU5|MINE_ECO24 Cell division topological specificity factor OS=Escherichia coli O139:H28 (strain E24377A / ETEC) OX=331111 GN=minE PE=3 SV=1</t>
  </si>
  <si>
    <t>IF1_ECO24</t>
  </si>
  <si>
    <t>infA</t>
  </si>
  <si>
    <t>IF1_ECO24; IF1_ECO57; IF1_ECOHS; IF1_ECOL5; IF1_ECOL6; IF1_ECOLI; IF1_ECOUT</t>
  </si>
  <si>
    <t>sp|A7ZJV1|IF1_ECO24 Translation initiation factor IF-1 OS=Escherichia coli O139:H28 (strain E24377A / ETEC) OX=331111 GN=infA PE=3 SV=1</t>
  </si>
  <si>
    <t>CON__K2C1_HUMAN</t>
  </si>
  <si>
    <t>KRT1</t>
  </si>
  <si>
    <t>CON__G3N0V2_BOVIN; CON__K22E_MOUSE; CON__K2C1B_HUMAN; CON__K2C1B_MOUSE; CON__K2C6B_HUMAN; CON__K2C71_MOUSE; CON__K2C73_MOUSE</t>
  </si>
  <si>
    <t>sp|P04264|CON__K2C1_HUMAN Keratin, type II cytoskeletal 1 OS=Homo sapiens OX=9606 GN=KRT1 PE=1 SV=6</t>
  </si>
  <si>
    <t>AROG_ECO57</t>
  </si>
  <si>
    <t>aroG</t>
  </si>
  <si>
    <t>AROG_ECO57; AROG_ECOLI</t>
  </si>
  <si>
    <t>AROF_ECOLI</t>
  </si>
  <si>
    <t>sp|P0AB92|AROG_ECO57 Phospho-2-dehydro-3-deoxyheptonate aldolase, Phe-sensitive OS=Escherichia coli O157:H7 OX=83334 GN=aroG PE=3 SV=1</t>
  </si>
  <si>
    <t>RS11_ECO24</t>
  </si>
  <si>
    <t>rpsK</t>
  </si>
  <si>
    <t>RS11_ECO24; RS11_ECO27; RS11_ECO45; RS11_ECO55; RS11_ECO57; RS11_ECO5E; RS11_ECO7I; RS11_ECO81; RS11_ECO8A; RS11_ECOBW; RS11_ECODH; RS11_ECOHS; RS11_ECOK1; RS11_ECOL5; RS11_ECOL6; RS11_ECOLC; RS11_ECOLI; RS11_ECOLU; RS11_ECOSE; RS11_ECOSM; RS11_ECOUT</t>
  </si>
  <si>
    <t>sp|A7ZSI6|RS11_ECO24 30S ribosomal protein S11 OS=Escherichia coli O139:H28 (strain E24377A / ETEC) OX=331111 GN=rpsK PE=3 SV=1</t>
  </si>
  <si>
    <t>RS16_ECO24</t>
  </si>
  <si>
    <t>rpsP</t>
  </si>
  <si>
    <t>RS16_ECO24; RS16_ECO27; RS16_ECO45; RS16_ECO55; RS16_ECO57; RS16_ECO5E; RS16_ECO7I; RS16_ECO81; RS16_ECO8A; RS16_ECOBW; RS16_ECODH; RS16_ECOHS; RS16_ECOL5; RS16_ECOL6; RS16_ECOLC; RS16_ECOLI; RS16_ECOLU; RS16_ECOSE; RS16_ECOSM</t>
  </si>
  <si>
    <t>sp|A7ZQ49|RS16_ECO24 30S ribosomal protein S16 OS=Escherichia coli O139:H28 (strain E24377A / ETEC) OX=331111 GN=rpsP PE=3 SV=1</t>
  </si>
  <si>
    <t>RL19_ECO24</t>
  </si>
  <si>
    <t>rplS</t>
  </si>
  <si>
    <t>RL19_ECO24; RL19_ECO27; RL19_ECO45; RL19_ECO55; RL19_ECO57; RL19_ECO5E; RL19_ECO7I; RL19_ECO81; RL19_ECO8A; RL19_ECOBW; RL19_ECODH; RL19_ECOHS; RL19_ECOK1; RL19_ECOL5; RL19_ECOL6; RL19_ECOLC; RL19_ECOLI; RL19_ECOLU; RL19_ECOSE; RL19_ECOSM; RL19_ECOUT</t>
  </si>
  <si>
    <t>sp|A7ZQ46|RL19_ECO24 50S ribosomal protein L19 OS=Escherichia coli O139:H28 (strain E24377A / ETEC) OX=331111 GN=rplS PE=3 SV=1</t>
  </si>
  <si>
    <t>RL14_ECO24</t>
  </si>
  <si>
    <t>rplN</t>
  </si>
  <si>
    <t>RL14_ECO24; RL14_ECO27; RL14_ECO45; RL14_ECO55; RL14_ECO57; RL14_ECO5E; RL14_ECO7I; RL14_ECO81; RL14_ECO8A; RL14_ECOBW; RL14_ECODH; RL14_ECOHS; RL14_ECOK1; RL14_ECOL6; RL14_ECOLC; RL14_ECOLI; RL14_ECOLU; RL14_ECOSE; RL14_ECOSM; RL14_ECOUT</t>
  </si>
  <si>
    <t>RL14_ECOL5</t>
  </si>
  <si>
    <t>sp|A7ZSJ9|RL14_ECO24 50S ribosomal protein L14 OS=Escherichia coli O139:H28 (strain E24377A / ETEC) OX=331111 GN=rplN PE=3 SV=1</t>
  </si>
  <si>
    <t>RL24_ECO24</t>
  </si>
  <si>
    <t>rplX</t>
  </si>
  <si>
    <t>RL24_ECO24; RL24_ECO55; RL24_ECO57; RL24_ECO5E; RL24_ECO7I; RL24_ECO8A; RL24_ECOBW; RL24_ECODH; RL24_ECOHS; RL24_ECOLC; RL24_ECOLI; RL24_ECOLU; RL24_ECOSE; RL24_ECOSM</t>
  </si>
  <si>
    <t>RL24_ECO27; RL24_ECO45; RL24_ECO81; RL24_ECOK1; RL24_ECOL5; RL24_ECOL6; RL24_ECOUT</t>
  </si>
  <si>
    <t>sp|A7ZSJ8|RL24_ECO24 50S ribosomal protein L24 OS=Escherichia coli O139:H28 (strain E24377A / ETEC) OX=331111 GN=rplX PE=3 SV=1</t>
  </si>
  <si>
    <t>RS19_ECO24</t>
  </si>
  <si>
    <t>rpsS</t>
  </si>
  <si>
    <t>RS19_ECO24; RS19_ECO27; RS19_ECO45; RS19_ECO55; RS19_ECO57; RS19_ECO5E; RS19_ECO7I; RS19_ECO81; RS19_ECO8A; RS19_ECOBW; RS19_ECODH; RS19_ECOHS; RS19_ECOK1; RS19_ECOL5; RS19_ECOL6; RS19_ECOLC; RS19_ECOLI; RS19_ECOLU; RS19_ECOSE; RS19_ECOSM; RS19_ECOUT</t>
  </si>
  <si>
    <t>sp|A7ZSK5|RS19_ECO24 30S ribosomal protein S19 OS=Escherichia coli O139:H28 (strain E24377A / ETEC) OX=331111 GN=rpsS PE=3 SV=1</t>
  </si>
  <si>
    <t>SYD_ECOBW</t>
  </si>
  <si>
    <t>aspS</t>
  </si>
  <si>
    <t>SYD_ECOBW; SYD_ECODH; SYD_ECOHS; SYD_ECOLI</t>
  </si>
  <si>
    <t>SYD_ECO24; SYD_ECO27; SYD_ECO45; SYD_ECO55; SYD_ECO57; SYD_ECO5E; SYD_ECO7I; SYD_ECO81; SYD_ECO8A; SYD_ECOK1; SYD_ECOL5; SYD_ECOL6; SYD_ECOLC; SYD_ECOLU; SYD_ECOSE; SYD_ECOSM; SYD_ECOUT</t>
  </si>
  <si>
    <t>sp|C4ZQF0|SYD_ECOBW Aspartate--tRNA ligase OS=Escherichia coli (strain K12 / MC4100 / BW2952) OX=595496 GN=aspS PE=3 SV=1</t>
  </si>
  <si>
    <t>RS18_ECO24</t>
  </si>
  <si>
    <t>rpsR</t>
  </si>
  <si>
    <t>RS18_ECO24; RS18_ECO27; RS18_ECO45; RS18_ECO55; RS18_ECO57; RS18_ECO5E; RS18_ECO7I; RS18_ECO81; RS18_ECO8A; RS18_ECOBW; RS18_ECODH; RS18_ECOHS; RS18_ECOL5; RS18_ECOL6; RS18_ECOLC; RS18_ECOLI; RS18_ECOLU; RS18_ECOSE; RS18_ECOSM; RS18_ECOUT</t>
  </si>
  <si>
    <t>sp|A7ZV73|RS18_ECO24 30S ribosomal protein S18 OS=Escherichia coli O139:H28 (strain E24377A / ETEC) OX=331111 GN=rpsR PE=3 SV=1</t>
  </si>
  <si>
    <t>NDK_ECO24</t>
  </si>
  <si>
    <t>ndk</t>
  </si>
  <si>
    <t>NDK_ECO24; NDK_ECO55; NDK_ECO57; NDK_ECO5E; NDK_ECO8A; NDK_ECOBW; NDK_ECODH; NDK_ECOHS; NDK_ECOLC; NDK_ECOLI; NDK_ECOLU; NDK_ECOSE</t>
  </si>
  <si>
    <t>NDK_ECO27; NDK_ECO45; NDK_ECO7I; NDK_ECO81; NDK_ECOK1; NDK_ECOL5; NDK_ECOL6; NDK_ECOSM; NDK_ECOUT</t>
  </si>
  <si>
    <t>sp|A7ZPW1|NDK_ECO24 Nucleoside diphosphate kinase OS=Escherichia coli O139:H28 (strain E24377A / ETEC) OX=331111 GN=ndk PE=3 SV=1</t>
  </si>
  <si>
    <t>DNAK_ECO24</t>
  </si>
  <si>
    <t>dnaK</t>
  </si>
  <si>
    <t>DNAK_ECO24; DNAK_ECO57; DNAK_ECOHS; DNAK_ECOK1; DNAK_ECOL5; DNAK_ECOL6; DNAK_ECOLC; DNAK_ECOLI; DNAK_ECOUT</t>
  </si>
  <si>
    <t>sp|A7ZHA4|DNAK_ECO24 Chaperone protein DnaK OS=Escherichia coli O139:H28 (strain E24377A / ETEC) OX=331111 GN=dnaK PE=3 SV=1</t>
  </si>
  <si>
    <t>RS14_ECO24</t>
  </si>
  <si>
    <t>rpsN</t>
  </si>
  <si>
    <t>RS14_ECO24; RS14_ECO45; RS14_ECO57; RS14_ECO5E; RS14_ECO7I; RS14_ECODH; RS14_ECOHS; RS14_ECOK1; RS14_ECOL5; RS14_ECOL6; RS14_ECOLC; RS14_ECOLI; RS14_ECOLU; RS14_ECOSE; RS14_ECOSM; RS14_ECOUT</t>
  </si>
  <si>
    <t>sp|A7ZSJ6|RS14_ECO24 30S ribosomal protein S14 OS=Escherichia coli O139:H28 (strain E24377A / ETEC) OX=331111 GN=rpsN PE=3 SV=1</t>
  </si>
  <si>
    <t>SLYD_ECO57</t>
  </si>
  <si>
    <t>slyD</t>
  </si>
  <si>
    <t>SLYD_ECO57; SLYD_ECOL6; SLYD_ECOLI</t>
  </si>
  <si>
    <t>sp|P0A9L1|SLYD_ECO57 FKBP-type peptidyl-prolyl cis-trans isomerase SlyD OS=Escherichia coli O157:H7 OX=83334 GN=slyD PE=3 SV=1</t>
  </si>
  <si>
    <t>RL23_ECO57</t>
  </si>
  <si>
    <t>rplW</t>
  </si>
  <si>
    <t>RL23_ECO57; RL23_ECOL5; RL23_ECOL6; RL23_ECOLI; RL23_ECOUT</t>
  </si>
  <si>
    <t>sp|P0ADZ2|RL23_ECO57 50S ribosomal protein L23 OS=Escherichia coli O157:H7 OX=83334 GN=rplW PE=3 SV=1</t>
  </si>
  <si>
    <t>HNS_ECO57</t>
  </si>
  <si>
    <t>hns</t>
  </si>
  <si>
    <t>HNS_ECO57; HNS_ECOL6; HNS_ECOLI</t>
  </si>
  <si>
    <t>sp|P0ACG0|HNS_ECO57 DNA-binding protein H-NS OS=Escherichia coli O157:H7 OX=83334 GN=hns PE=3 SV=2</t>
  </si>
  <si>
    <t>FLAV_ECO57</t>
  </si>
  <si>
    <t>fldA</t>
  </si>
  <si>
    <t>FLAV_ECO57; FLAV_ECOL6; FLAV_ECOLI</t>
  </si>
  <si>
    <t>sp|P61951|FLAV_ECO57 Flavodoxin 1 OS=Escherichia coli O157:H7 OX=83334 GN=fldA PE=3 SV=2</t>
  </si>
  <si>
    <t>SYQ_ECO24</t>
  </si>
  <si>
    <t>glnS</t>
  </si>
  <si>
    <t>SYQ_ECO24; SYQ_ECO27; SYQ_ECO45; SYQ_ECO55; SYQ_ECO57; SYQ_ECO5E; SYQ_ECO7I; SYQ_ECO81; SYQ_ECO8A; SYQ_ECOBW; SYQ_ECODH; SYQ_ECOHS; SYQ_ECOK1; SYQ_ECOL5; SYQ_ECOL6; SYQ_ECOLC; SYQ_ECOLI; SYQ_ECOLU; SYQ_ECOSE; SYQ_ECOSM; SYQ_ECOUT</t>
  </si>
  <si>
    <t>sp|A7ZJ63|SYQ_ECO24 Glutamine--tRNA ligase OS=Escherichia coli O139:H28 (strain E24377A / ETEC) OX=331111 GN=glnS PE=3 SV=1</t>
  </si>
  <si>
    <t>RBFA_ECO24</t>
  </si>
  <si>
    <t>rbfA</t>
  </si>
  <si>
    <t>RBFA_ECO24; RBFA_ECO27; RBFA_ECO45; RBFA_ECO55; RBFA_ECO57; RBFA_ECO5E; RBFA_ECO7I; RBFA_ECO81; RBFA_ECO8A; RBFA_ECOBW; RBFA_ECODH; RBFA_ECOHS; RBFA_ECOK1; RBFA_ECOL5; RBFA_ECOL6; RBFA_ECOLC; RBFA_ECOLI; RBFA_ECOLU; RBFA_ECOSE; RBFA_ECOSM; RBFA_ECOUT</t>
  </si>
  <si>
    <t>sp|A7ZS64|RBFA_ECO24 Ribosome-binding factor A OS=Escherichia coli O139:H28 (strain E24377A / ETEC) OX=331111 GN=rbfA PE=3 SV=1</t>
  </si>
  <si>
    <t>SOPA_ECO57</t>
  </si>
  <si>
    <t>sopA</t>
  </si>
  <si>
    <t>SOPA_ECO57; SOPA_ECOLI</t>
  </si>
  <si>
    <t>sp|P62557|SOPA_ECO57 Protein SopA OS=Escherichia coli O157:H7 OX=83334 GN=sopA PE=3 SV=1</t>
  </si>
  <si>
    <t>ZAPB_ECO5E</t>
  </si>
  <si>
    <t>zapB</t>
  </si>
  <si>
    <t>ZAPB_ECO5E; ZAPB_ECOLC; ZAPB_ECOSE</t>
  </si>
  <si>
    <t>ZAPB_ECO24; ZAPB_ECO27; ZAPB_ECO45; ZAPB_ECO55; ZAPB_ECO57; ZAPB_ECO7I; ZAPB_ECO81; ZAPB_ECO8A; ZAPB_ECOBW; ZAPB_ECODH; ZAPB_ECOHS; ZAPB_ECOL5; ZAPB_ECOL6; ZAPB_ECOLI; ZAPB_ECOLU; ZAPB_ECOSM; ZAPB_ECOUT</t>
  </si>
  <si>
    <t>sp|B5YZ66|ZAPB_ECO5E Cell division protein ZapB OS=Escherichia coli O157:H7 (strain EC4115 / EHEC) OX=444450 GN=zapB PE=3 SV=1</t>
  </si>
  <si>
    <t>RL29_ECO24</t>
  </si>
  <si>
    <t>rpmC</t>
  </si>
  <si>
    <t>RL29_ECO24; RL29_ECO27; RL29_ECO45; RL29_ECO55; RL29_ECO57; RL29_ECO5E; RL29_ECO7I; RL29_ECO81; RL29_ECO8A; RL29_ECOBW; RL29_ECODH; RL29_ECOHS; RL29_ECOL5; RL29_ECOL6; RL29_ECOLC; RL29_ECOLI; RL29_ECOLU; RL29_ECOSE; RL29_ECOSM; RL29_ECOUT</t>
  </si>
  <si>
    <t>sp|A7ZSK1|RL29_ECO24 50S ribosomal protein L29 OS=Escherichia coli O139:H28 (strain E24377A / ETEC) OX=331111 GN=rpmC PE=3 SV=1</t>
  </si>
  <si>
    <t>MURC_ECO24</t>
  </si>
  <si>
    <t>murC</t>
  </si>
  <si>
    <t>MURC_ECO24; MURC_ECO27; MURC_ECO45; MURC_ECO55; MURC_ECO57; MURC_ECO5E; MURC_ECO81; MURC_ECO8A; MURC_ECOBW; MURC_ECODH; MURC_ECOHS; MURC_ECOL6; MURC_ECOLC; MURC_ECOLI; MURC_ECOSM; MURC_ECOUT</t>
  </si>
  <si>
    <t>MURC_ECO7I; MURC_ECOK1; MURC_ECOL5; MURC_ECOLU; MURC_ECOSE</t>
  </si>
  <si>
    <t>sp|A7ZHI2|MURC_ECO24 UDP-N-acetylmuramate--L-alanine ligase OS=Escherichia coli O139:H28 (strain E24377A / ETEC) OX=331111 GN=murC PE=3 SV=1</t>
  </si>
  <si>
    <t>FUR_ECO57</t>
  </si>
  <si>
    <t>fur</t>
  </si>
  <si>
    <t>FUR_ECO57; FUR_ECOL6; FUR_ECOLI</t>
  </si>
  <si>
    <t>sp|P0A9B1|FUR_ECO57 Ferric uptake regulation protein OS=Escherichia coli O157:H7 OX=83334 GN=fur PE=3 SV=1</t>
  </si>
  <si>
    <t>DPO3X_ECOLI</t>
  </si>
  <si>
    <t>dnaX</t>
  </si>
  <si>
    <t>sp|P06710|DPO3X_ECOLI DNA polymerase III subunit tau OS=Escherichia coli (strain K12) OX=83333 GN=dnaX PE=1 SV=1</t>
  </si>
  <si>
    <t>GALR_ECOLI</t>
  </si>
  <si>
    <t>galR</t>
  </si>
  <si>
    <t>sp|P03024|GALR_ECOLI HTH-type transcriptional regulator GalR OS=Escherichia coli (strain K12) OX=83333 GN=galR PE=1 SV=1</t>
  </si>
  <si>
    <t>ALAC_ECOLI</t>
  </si>
  <si>
    <t>alaC</t>
  </si>
  <si>
    <t>sp|P77434|ALAC_ECOLI Glutamate-pyruvate aminotransferase AlaC OS=Escherichia coli (strain K12) OX=83333 GN=alaC PE=1 SV=1</t>
  </si>
  <si>
    <t>AHPF_ECOLI</t>
  </si>
  <si>
    <t>ahpF</t>
  </si>
  <si>
    <t>sp|P35340|AHPF_ECOLI Alkyl hydroperoxide reductase subunit F OS=Escherichia coli (strain K12) OX=83333 GN=ahpF PE=1 SV=2</t>
  </si>
  <si>
    <t>THID_ECOLI</t>
  </si>
  <si>
    <t>thiD</t>
  </si>
  <si>
    <t>sp|P76422|THID_ECOLI Hydroxymethylpyrimidine/phosphomethylpyrimidine kinase OS=Escherichia coli (strain K12) OX=83333 GN=thiD PE=1 SV=1</t>
  </si>
  <si>
    <t>THIM_ECO24</t>
  </si>
  <si>
    <t>thiM</t>
  </si>
  <si>
    <t>THIM_ECO24; THIM_ECOBW; THIM_ECODH; THIM_ECOHS; THIM_ECOLC; THIM_ECOLI</t>
  </si>
  <si>
    <t>THIM_ECO27; THIM_ECO45; THIM_ECO55; THIM_ECO57; THIM_ECO5E; THIM_ECO7I; THIM_ECO81; THIM_ECO8A; THIM_ECOK1; THIM_ECOL5; THIM_ECOL6; THIM_ECOLU; THIM_ECOSE; THIM_ECOSM; THIM_ECOUT</t>
  </si>
  <si>
    <t>sp|A7ZNS3|THIM_ECO24 Hydroxyethylthiazole kinase OS=Escherichia coli O139:H28 (strain E24377A / ETEC) OX=331111 GN=thiM PE=3 SV=1</t>
  </si>
  <si>
    <t>OMPC_ECOLI</t>
  </si>
  <si>
    <t>ompC</t>
  </si>
  <si>
    <t>OMPC_ECO57; OMPC_ECOL5; OMPC_ECOL6; OMPN_ECOLI; YDDL_ECOLI; YEDS_ECOLI</t>
  </si>
  <si>
    <t>sp|P06996|OMPC_ECOLI Outer membrane porin C OS=Escherichia coli (strain K12) OX=83333 GN=ompC PE=1 SV=1</t>
  </si>
  <si>
    <t>RS12_ECO24</t>
  </si>
  <si>
    <t>rpsL</t>
  </si>
  <si>
    <t>RS12_ECO24; RS12_ECO27; RS12_ECO45; RS12_ECO55; RS12_ECO57; RS12_ECO5E; RS12_ECO7I; RS12_ECO81; RS12_ECO8A; RS12_ECOHS; RS12_ECOK1; RS12_ECOL6; RS12_ECOLC; RS12_ECOLI; RS12_ECOLU; RS12_ECOSE; RS12_ECOSM; RS12_ECOUT</t>
  </si>
  <si>
    <t>RS12_ECOBW; RS12_ECOL5</t>
  </si>
  <si>
    <t>sp|A7ZSL7|RS12_ECO24 30S ribosomal protein S12 OS=Escherichia coli O139:H28 (strain E24377A / ETEC) OX=331111 GN=rpsL PE=3 SV=1</t>
  </si>
  <si>
    <t>SDHA_ECO57</t>
  </si>
  <si>
    <t>sdhA</t>
  </si>
  <si>
    <t>SDHA_ECO57; SDHA_ECOL6; SDHA_ECOLI</t>
  </si>
  <si>
    <t>sp|P0AC43|SDHA_ECO57 Succinate dehydrogenase flavoprotein subunit OS=Escherichia coli O157:H7 OX=83334 GN=sdhA PE=3 SV=1</t>
  </si>
  <si>
    <t>RS15_ECO24</t>
  </si>
  <si>
    <t>rpsO</t>
  </si>
  <si>
    <t>RS15_ECO24; RS15_ECO27; RS15_ECO45; RS15_ECO55; RS15_ECO7I; RS15_ECO81; RS15_ECO8A; RS15_ECOBW; RS15_ECODH; RS15_ECOHS; RS15_ECOK1; RS15_ECOL5; RS15_ECOL6; RS15_ECOLC; RS15_ECOLI; RS15_ECOLU; RS15_ECOSE; RS15_ECOSM; RS15_ECOUT</t>
  </si>
  <si>
    <t>RS15_ECO57; RS15_ECO5E</t>
  </si>
  <si>
    <t>sp|A7ZS62|RS15_ECO24 30S ribosomal protein S15 OS=Escherichia coli O139:H28 (strain E24377A / ETEC) OX=331111 GN=rpsO PE=3 SV=1</t>
  </si>
  <si>
    <t>RL30_ECO24</t>
  </si>
  <si>
    <t>rpmD</t>
  </si>
  <si>
    <t>RL30_ECO24; RL30_ECO27; RL30_ECO45; RL30_ECO55; RL30_ECO57; RL30_ECO5E; RL30_ECO7I; RL30_ECO81; RL30_ECO8A; RL30_ECOBW; RL30_ECODH; RL30_ECOHS; RL30_ECOL5; RL30_ECOL6; RL30_ECOLC; RL30_ECOLI; RL30_ECOLU; RL30_ECOSE; RL30_ECOSM; RL30_ECOUT</t>
  </si>
  <si>
    <t>sp|A7ZSJ1|RL30_ECO24 50S ribosomal protein L30 OS=Escherichia coli O139:H28 (strain E24377A / ETEC) OX=331111 GN=rpmD PE=3 SV=1</t>
  </si>
  <si>
    <t>RL32_ECO27</t>
  </si>
  <si>
    <t>rpmF</t>
  </si>
  <si>
    <t>RL32_ECO27; RL32_ECO45; RL32_ECO55; RL32_ECO57; RL32_ECO5E; RL32_ECO7I; RL32_ECO81; RL32_ECO8A; RL32_ECOBW; RL32_ECODH; RL32_ECOHS; RL32_ECOL5; RL32_ECOLC; RL32_ECOLI; RL32_ECOLU; RL32_ECOSE; RL32_ECOSM; RL32_ECOUT</t>
  </si>
  <si>
    <t>sp|B7UPA5|RL32_ECO27 50S ribosomal protein L32 OS=Escherichia coli O127:H6 (strain E2348/69 / EPEC) OX=574521 GN=rpmF PE=3 SV=1</t>
  </si>
  <si>
    <t>OXYR_ECO57</t>
  </si>
  <si>
    <t>oxyR</t>
  </si>
  <si>
    <t>OXYR_ECO57; OXYR_ECOL6; OXYR_ECOLI</t>
  </si>
  <si>
    <t>sp|P0ACQ6|OXYR_ECO57 Hydrogen peroxide-inducible genes activator OS=Escherichia coli O157:H7 OX=83334 GN=oxyR PE=3 SV=1</t>
  </si>
  <si>
    <t>CON__TRYP_PIG</t>
  </si>
  <si>
    <t>sp|P00761|CON__TRYP_PIG Trypsin OS=Sus scrofa OX=9823 PE=1 SV=1</t>
  </si>
  <si>
    <t>RS14_ECO8A</t>
  </si>
  <si>
    <t>sp|B7M1M1|RS14_ECO8A 30S ribosomal protein S14 OS=Escherichia coli O8 (strain IAI1) OX=585034 GN=rpsN PE=3 SV=1</t>
  </si>
  <si>
    <t>RL17_ECO24</t>
  </si>
  <si>
    <t>rplQ</t>
  </si>
  <si>
    <t>RL17_ECO24; RL17_ECO27; RL17_ECO45; RL17_ECO55; RL17_ECO57; RL17_ECO5E; RL17_ECO7I; RL17_ECO8A; RL17_ECOBW; RL17_ECODH; RL17_ECOHS; RL17_ECOK1; RL17_ECOL5; RL17_ECOL6; RL17_ECOLC; RL17_ECOLI; RL17_ECOLU; RL17_ECOSE; RL17_ECOSM; RL17_ECOUT</t>
  </si>
  <si>
    <t>RL17_ECO81</t>
  </si>
  <si>
    <t>sp|A7ZSI3|RL17_ECO24 50S ribosomal protein L17 OS=Escherichia coli O139:H28 (strain E24377A / ETEC) OX=331111 GN=rplQ PE=3 SV=1</t>
  </si>
  <si>
    <t>HSLV_ECO24</t>
  </si>
  <si>
    <t>hslV</t>
  </si>
  <si>
    <t>HSLV_ECO24; HSLV_ECO27; HSLV_ECO45; HSLV_ECO55; HSLV_ECO57; HSLV_ECO5E; HSLV_ECO7I; HSLV_ECO81; HSLV_ECO8A; HSLV_ECOBW; HSLV_ECODH; HSLV_ECOHS; HSLV_ECOK1; HSLV_ECOL5; HSLV_ECOL6; HSLV_ECOLC; HSLV_ECOLI; HSLV_ECOLU; HSLV_ECOSE; HSLV_ECOSM; HSLV_ECOUT</t>
  </si>
  <si>
    <t>RPIR_ECOL6; RPIR_ECOLI</t>
  </si>
  <si>
    <t>sp|A7ZUE7|HSLV_ECO24 ATP-dependent protease subunit HslV OS=Escherichia coli O139:H28 (strain E24377A / ETEC) OX=331111 GN=hslV PE=3 SV=1</t>
  </si>
  <si>
    <t>CAN_ECOLI</t>
  </si>
  <si>
    <t>can</t>
  </si>
  <si>
    <t>sp|P61517|CAN_ECOLI Carbonic anhydrase 2 OS=Escherichia coli (strain K12) OX=83333 GN=can PE=1 SV=1</t>
  </si>
  <si>
    <t>RS21_ECO24</t>
  </si>
  <si>
    <t>rpsU</t>
  </si>
  <si>
    <t>RS21_ECO24; RS21_ECO27; RS21_ECO45; RS21_ECO55; RS21_ECO57; RS21_ECO5E; RS21_ECO7I; RS21_ECO81; RS21_ECO8A; RS21_ECOBW; RS21_ECODH; RS21_ECOHS; RS21_ECOL5; RS21_ECOL6; RS21_ECOLC; RS21_ECOLI; RS21_ECOLU; RS21_ECOSE; RS21_ECOSM; RS21_ECOUT</t>
  </si>
  <si>
    <t>sp|A7ZRU7|RS21_ECO24 30S ribosomal protein S21 OS=Escherichia coli O139:H28 (strain E24377A / ETEC) OX=331111 GN=rpsU PE=3 SV=1</t>
  </si>
  <si>
    <t>SYK2_ECO57</t>
  </si>
  <si>
    <t>lysU</t>
  </si>
  <si>
    <t>SYK2_ECO57; SYK2_ECOL6; SYK2_ECOLI</t>
  </si>
  <si>
    <t>sp|P0A8N6|SYK2_ECO57 Lysine--tRNA ligase, heat inducible OS=Escherichia coli O157:H7 OX=83334 GN=lysU PE=3 SV=2</t>
  </si>
  <si>
    <t>RL21_ECO24</t>
  </si>
  <si>
    <t>rplU</t>
  </si>
  <si>
    <t>RL21_ECO24; RL21_ECO27; RL21_ECO45; RL21_ECO55; RL21_ECO57; RL21_ECO5E; RL21_ECO7I; RL21_ECO81; RL21_ECO8A; RL21_ECOBW; RL21_ECODH; RL21_ECOHS; RL21_ECOL5; RL21_ECOLC; RL21_ECOLI; RL21_ECOLU; RL21_ECOSE; RL21_ECOSM; RL21_ECOUT</t>
  </si>
  <si>
    <t>sp|A7ZS83|RL21_ECO24 50S ribosomal protein L21 OS=Escherichia coli O139:H28 (strain E24377A / ETEC) OX=331111 GN=rplU PE=3 SV=1</t>
  </si>
  <si>
    <t>CRA_ECO57</t>
  </si>
  <si>
    <t>cra</t>
  </si>
  <si>
    <t>CRA_ECO57; CRA_ECOL6; CRA_ECOLI</t>
  </si>
  <si>
    <t>sp|P0ACP3|CRA_ECO57 Catabolite repressor/activator OS=Escherichia coli O157:H7 OX=83334 GN=cra PE=3 SV=1</t>
  </si>
  <si>
    <t>YCHF_ECO57</t>
  </si>
  <si>
    <t>ychF</t>
  </si>
  <si>
    <t>YCHF_ECO57; YCHF_ECOLI</t>
  </si>
  <si>
    <t>sp|P0ABU3|YCHF_ECO57 Ribosome-binding ATPase YchF OS=Escherichia coli O157:H7 OX=83334 GN=ychF PE=3 SV=2</t>
  </si>
  <si>
    <t>OBG_ECODH</t>
  </si>
  <si>
    <t>obg</t>
  </si>
  <si>
    <t>OBG_ECODH; OBG_ECOLI</t>
  </si>
  <si>
    <t>OBG_ECO24; OBG_ECO27; OBG_ECO45; OBG_ECO55; OBG_ECO57; OBG_ECO5E; OBG_ECO7I; OBG_ECO81; OBG_ECO8A; OBG_ECOHS; OBG_ECOK1; OBG_ECOL5; OBG_ECOL6; OBG_ECOLC; OBG_ECOLU; OBG_ECOSE; OBG_ECOSM; OBG_ECOUT</t>
  </si>
  <si>
    <t>sp|B1XHF9|OBG_ECODH GTPase Obg OS=Escherichia coli (strain K12 / DH10B) OX=316385 GN=obg PE=3 SV=1</t>
  </si>
  <si>
    <t>LPP_ECO57</t>
  </si>
  <si>
    <t>lpp</t>
  </si>
  <si>
    <t>LPP_ECO57; LPP_ECOL6; LPP_ECOLI</t>
  </si>
  <si>
    <t>sp|P69778|LPP_ECO57 Major outer membrane lipoprotein Lpp OS=Escherichia coli O157:H7 OX=83334 GN=lpp PE=3 SV=1</t>
  </si>
  <si>
    <t>RL33_ECO24</t>
  </si>
  <si>
    <t>rpmG</t>
  </si>
  <si>
    <t>RL33_ECO24; RL33_ECO27; RL33_ECO45; RL33_ECO55; RL33_ECO57; RL33_ECO5E; RL33_ECO7I; RL33_ECO81; RL33_ECO8A; RL33_ECOBW; RL33_ECODH; RL33_ECOHS; RL33_ECOL5; RL33_ECOL6; RL33_ECOLC; RL33_ECOLI; RL33_ECOLU; RL33_ECOSE; RL33_ECOSM; RL33_ECOUT</t>
  </si>
  <si>
    <t>sp|A7ZTI7|RL33_ECO24 50S ribosomal protein L33 OS=Escherichia coli O139:H28 (strain E24377A / ETEC) OX=331111 GN=rpmG PE=3 SV=1</t>
  </si>
  <si>
    <t>TRMD_ECO24</t>
  </si>
  <si>
    <t>trmD</t>
  </si>
  <si>
    <t>TRMD_ECO24; TRMD_ECO27; TRMD_ECO45; TRMD_ECO55; TRMD_ECO57; TRMD_ECO5E; TRMD_ECO7I; TRMD_ECO81; TRMD_ECO8A; TRMD_ECOBW; TRMD_ECODH; TRMD_ECOHS; TRMD_ECOL5; TRMD_ECOL6; TRMD_ECOLC; TRMD_ECOLI; TRMD_ECOLU; TRMD_ECOSE; TRMD_ECOSM; TRMD_ECOUT</t>
  </si>
  <si>
    <t>sp|A7ZQ47|TRMD_ECO24 tRNA (guanine-N(1)-)-methyltransferase OS=Escherichia coli O139:H28 (strain E24377A / ETEC) OX=331111 GN=trmD PE=3 SV=1</t>
  </si>
  <si>
    <t>RLMG_ECOK1</t>
  </si>
  <si>
    <t>rlmG</t>
  </si>
  <si>
    <t>RLMG_ECOK1; RLMG_ECOL5; RLMG_ECOL6; RLMG_ECOSM; RLMG_ECOUT</t>
  </si>
  <si>
    <t>RLMG_ECO24; RLMG_ECO57; RLMG_ECO5E; RLMG_ECODH; RLMG_ECOHS; RLMG_ECOLC; RLMG_ECOLI</t>
  </si>
  <si>
    <t>sp|A1AG02|RLMG_ECOK1 Ribosomal RNA large subunit methyltransferase G OS=Escherichia coli O1:K1 / APEC OX=405955 GN=rlmG PE=3 SV=1</t>
  </si>
  <si>
    <t>GLPR_ECOLI</t>
  </si>
  <si>
    <t>glpR</t>
  </si>
  <si>
    <t>sp|P0ACL0|GLPR_ECOLI Glycerol-3-phosphate regulon repressor OS=Escherichia coli (strain K12) OX=83333 GN=glpR PE=1 SV=1</t>
  </si>
  <si>
    <t>YFIA_ECO57</t>
  </si>
  <si>
    <t>yfiA</t>
  </si>
  <si>
    <t>YFIA_ECO57; YFIA_ECOL6; YFIA_ECOLI</t>
  </si>
  <si>
    <t>sp|P0AD51|YFIA_ECO57 Ribosome-associated factor Y OS=Escherichia coli O157:H7 OX=83334 GN=yfiA PE=3 SV=2</t>
  </si>
  <si>
    <t>RL27_ECO24</t>
  </si>
  <si>
    <t>rpmA</t>
  </si>
  <si>
    <t>RL27_ECO24; RL27_ECO27; RL27_ECO45; RL27_ECO55; RL27_ECO57; RL27_ECO5E; RL27_ECO7I; RL27_ECO81; RL27_ECO8A; RL27_ECOBW; RL27_ECODH; RL27_ECOHS; RL27_ECOL6; RL27_ECOLC; RL27_ECOLI; RL27_ECOLU; RL27_ECOSE; RL27_ECOSM; RL27_ECOUT</t>
  </si>
  <si>
    <t>RL27_ECOL5</t>
  </si>
  <si>
    <t>sp|A7ZS81|RL27_ECO24 50S ribosomal protein L27 OS=Escherichia coli O139:H28 (strain E24377A / ETEC) OX=331111 GN=rpmA PE=3 SV=1</t>
  </si>
  <si>
    <t>ILVI_ECOLI</t>
  </si>
  <si>
    <t>ilvI</t>
  </si>
  <si>
    <t>sp|P00893|ILVI_ECOLI Acetolactate synthase isozyme 3 large subunit OS=Escherichia coli (strain K12) OX=83333 GN=ilvI PE=1 SV=2</t>
  </si>
  <si>
    <t>ICLR_ECOLI</t>
  </si>
  <si>
    <t>iclR</t>
  </si>
  <si>
    <t>sp|P16528|ICLR_ECOLI Transcriptional repressor IclR OS=Escherichia coli (strain K12) OX=83333 GN=iclR PE=1 SV=1</t>
  </si>
  <si>
    <t>SSRP_ECO24</t>
  </si>
  <si>
    <t>smpB</t>
  </si>
  <si>
    <t>SSRP_ECO24; SSRP_ECO27; SSRP_ECO45; SSRP_ECO55; SSRP_ECO57; SSRP_ECO5E; SSRP_ECO7I; SSRP_ECO81; SSRP_ECO8A; SSRP_ECOBW; SSRP_ECODH; SSRP_ECOHS; SSRP_ECOK1; SSRP_ECOL5; SSRP_ECOL6; SSRP_ECOLC; SSRP_ECOLI; SSRP_ECOLU; SSRP_ECOSE; SSRP_ECOSM; SSRP_ECOUT</t>
  </si>
  <si>
    <t>sp|A7ZQ60|SSRP_ECO24 SsrA-binding protein OS=Escherichia coli O139:H28 (strain E24377A / ETEC) OX=331111 GN=smpB PE=3 SV=1</t>
  </si>
  <si>
    <t>PGK_ECO24</t>
  </si>
  <si>
    <t>pgk</t>
  </si>
  <si>
    <t>PGK_ECO24; PGK_ECO57; PGK_ECOHS; PGK_ECOK1; PGK_ECOL5; PGK_ECOL6; PGK_ECOLC; PGK_ECOLI</t>
  </si>
  <si>
    <t>sp|A7ZR34|PGK_ECO24 Phosphoglycerate kinase OS=Escherichia coli O139:H28 (strain E24377A / ETEC) OX=331111 GN=pgk PE=3 SV=1</t>
  </si>
  <si>
    <t>YBED_ECO24</t>
  </si>
  <si>
    <t>ybeD</t>
  </si>
  <si>
    <t>YBED_ECO24; YBED_ECO27; YBED_ECO45; YBED_ECO55; YBED_ECO57; YBED_ECO5E; YBED_ECO7I; YBED_ECO81; YBED_ECO8A; YBED_ECOBW; YBED_ECOHS; YBED_ECOK1; YBED_ECOL5; YBED_ECOL6; YBED_ECOLC; YBED_ECOLI; YBED_ECOLU; YBED_ECOSE; YBED_ECOSM; YBED_ECOUT</t>
  </si>
  <si>
    <t>sp|A7ZJ19|YBED_ECO24 UPF0250 protein YbeD OS=Escherichia coli O139:H28 (strain E24377A / ETEC) OX=331111 GN=ybeD PE=3 SV=1</t>
  </si>
  <si>
    <t>PUR8_ECOL6</t>
  </si>
  <si>
    <t>purB</t>
  </si>
  <si>
    <t>PUR8_ECOL6; PUR8_ECOLI</t>
  </si>
  <si>
    <t>sp|P0AB90|PUR8_ECOL6 Adenylosuccinate lyase OS=Escherichia coli O6:H1 (strain CFT073 / ATCC 700928 / UPEC) OX=199310 GN=purB PE=3 SV=1</t>
  </si>
  <si>
    <t>ODO2_ECO57</t>
  </si>
  <si>
    <t>sucB</t>
  </si>
  <si>
    <t>ODO2_ECO57; ODO2_ECOLI</t>
  </si>
  <si>
    <t>sp|P0AFG7|ODO2_ECO57 Dihydrolipoyllysine-residue succinyltransferase component of 2-oxoglutarate dehydrogenase complex OS=Escherichia coli O157:H7 OX=83334 GN=sucB PE=1 SV=2</t>
  </si>
  <si>
    <t>MPL_ECOLI</t>
  </si>
  <si>
    <t>mpl</t>
  </si>
  <si>
    <t>sp|P37773|MPL_ECOLI UDP-N-acetylmuramate--L-alanyl-gamma-D-glutamyl-meso-2,6-diaminoheptandioate ligase OS=Escherichia coli (strain K12) OX=83333 GN=mpl PE=1 SV=3</t>
  </si>
  <si>
    <t>DPS_ECO24</t>
  </si>
  <si>
    <t>dps</t>
  </si>
  <si>
    <t>DPS_ECO24; DPS_ECO27; DPS_ECO45; DPS_ECO55; DPS_ECO57; DPS_ECO5E; DPS_ECO7I; DPS_ECO81; DPS_ECO8A; DPS_ECOBW; DPS_ECODH; DPS_ECOHS; DPS_ECOL5; DPS_ECOL6; DPS_ECOLC; DPS_ECOLI; DPS_ECOLU; DPS_ECOSE; DPS_ECOSM; DPS_ECOUT</t>
  </si>
  <si>
    <t>sp|A7ZJM7|DPS_ECO24 DNA protection during starvation protein OS=Escherichia coli O139:H28 (strain E24377A / ETEC) OX=331111 GN=dps PE=3 SV=1</t>
  </si>
  <si>
    <t>YDFZ_ECO57</t>
  </si>
  <si>
    <t>ydfZ</t>
  </si>
  <si>
    <t>YDFZ_ECO57; YDFZ_ECOL6; YDFZ_ECOLI</t>
  </si>
  <si>
    <t>sp|P64465|YDFZ_ECO57 Putative selenoprotein YdfZ OS=Escherichia coli O157:H7 OX=83334 GN=ydfZ PE=3 SV=1</t>
  </si>
  <si>
    <t>RIMM_ECO24</t>
  </si>
  <si>
    <t>rimM</t>
  </si>
  <si>
    <t>RIMM_ECO24; RIMM_ECO27; RIMM_ECO45; RIMM_ECO55; RIMM_ECO57; RIMM_ECO5E; RIMM_ECO7I; RIMM_ECO81; RIMM_ECO8A; RIMM_ECOBW; RIMM_ECODH; RIMM_ECOHS; RIMM_ECOK1; RIMM_ECOL5; RIMM_ECOL6; RIMM_ECOLC; RIMM_ECOLI; RIMM_ECOLU; RIMM_ECOSE; RIMM_ECOSM; RIMM_ECOUT</t>
  </si>
  <si>
    <t>sp|A7ZQ48|RIMM_ECO24 Ribosome maturation factor RimM OS=Escherichia coli O139:H28 (strain E24377A / ETEC) OX=331111 GN=rimM PE=3 SV=1</t>
  </si>
  <si>
    <t>DBHB_ECO57</t>
  </si>
  <si>
    <t>hupB</t>
  </si>
  <si>
    <t>DBHB_ECO57; DBHB_ECOL6; DBHB_ECOLI</t>
  </si>
  <si>
    <t>sp|P0ACF6|DBHB_ECO57 DNA-binding protein HU-beta OS=Escherichia coli O157:H7 OX=83334 GN=hupB PE=3 SV=1</t>
  </si>
  <si>
    <t>PFLB_ECOLI</t>
  </si>
  <si>
    <t>pflB</t>
  </si>
  <si>
    <t>TDCE_ECOLI</t>
  </si>
  <si>
    <t>sp|P09373|PFLB_ECOLI Formate acetyltransferase 1 OS=Escherichia coli (strain K12) OX=83333 GN=pflB PE=1 SV=2</t>
  </si>
  <si>
    <t>SKP_ECO57</t>
  </si>
  <si>
    <t>skp</t>
  </si>
  <si>
    <t>SKP_ECO57; SKP_ECOL6; SKP_ECOLI</t>
  </si>
  <si>
    <t>sp|P0AEU9|SKP_ECO57 Chaperone protein Skp OS=Escherichia coli O157:H7 OX=83334 GN=skp PE=3 SV=1</t>
  </si>
  <si>
    <t>ABGA_ECOLI</t>
  </si>
  <si>
    <t>abgA</t>
  </si>
  <si>
    <t>sp|P77357|ABGA_ECOLI p-aminobenzoyl-glutamate hydrolase subunit A OS=Escherichia coli (strain K12) OX=83333 GN=abgA PE=1 SV=2</t>
  </si>
  <si>
    <t>ARGE_ECO24</t>
  </si>
  <si>
    <t>argE</t>
  </si>
  <si>
    <t>ARGE_ECO24; ARGE_ECO27; ARGE_ECO45; ARGE_ECO55; ARGE_ECO57; ARGE_ECO5E; ARGE_ECO7I; ARGE_ECO81; ARGE_ECO8A; ARGE_ECOBW; ARGE_ECODH; ARGE_ECOHS; ARGE_ECOL5; ARGE_ECOL6; ARGE_ECOLC; ARGE_ECOLI; ARGE_ECOLU; ARGE_ECOSE; ARGE_ECOSM</t>
  </si>
  <si>
    <t>sp|A7ZUH5|ARGE_ECO24 Acetylornithine deacetylase OS=Escherichia coli O139:H28 (strain E24377A / ETEC) OX=331111 GN=argE PE=3 SV=1</t>
  </si>
  <si>
    <t>IOJAP_ECOL6</t>
  </si>
  <si>
    <t>rsfS</t>
  </si>
  <si>
    <t>IOJAP_ECOL6; IOJAP_ECOLI</t>
  </si>
  <si>
    <t>sp|P0AAT7|IOJAP_ECOL6 Ribosomal silencing factor RsfS OS=Escherichia coli O6:H1 (strain CFT073 / ATCC 700928 / UPEC) OX=199310 GN=rsfS PE=3 SV=1</t>
  </si>
  <si>
    <t>PUR7_ECO24</t>
  </si>
  <si>
    <t>purC</t>
  </si>
  <si>
    <t>PUR7_ECO24; PUR7_ECO27; PUR7_ECO45; PUR7_ECO55; PUR7_ECO57; PUR7_ECO5E; PUR7_ECO7I; PUR7_ECO81; PUR7_ECO8A; PUR7_ECOBW; PUR7_ECODH; PUR7_ECOHS; PUR7_ECOL5; PUR7_ECOL6; PUR7_ECOLC; PUR7_ECOLI; PUR7_ECOLU; PUR7_ECOSE; PUR7_ECOSM</t>
  </si>
  <si>
    <t>sp|A7ZPS1|PUR7_ECO24 Phosphoribosylaminoimidazole-succinocarboxamide synthase OS=Escherichia coli O139:H28 (strain E24377A / ETEC) OX=331111 GN=purC PE=3 SV=1</t>
  </si>
  <si>
    <t>PT1_ECOLI</t>
  </si>
  <si>
    <t>ptsI</t>
  </si>
  <si>
    <t>sp|P08839|PT1_ECOLI Phosphoenolpyruvate-protein phosphotransferase OS=Escherichia coli (strain K12) OX=83333 GN=ptsI PE=1 SV=1</t>
  </si>
  <si>
    <t>EX7S_ECO24</t>
  </si>
  <si>
    <t>xseB</t>
  </si>
  <si>
    <t>EX7S_ECO24; EX7S_ECO27; EX7S_ECO45; EX7S_ECO55; EX7S_ECO57; EX7S_ECO5E; EX7S_ECO7I; EX7S_ECO81; EX7S_ECO8A; EX7S_ECOBW; EX7S_ECODH; EX7S_ECOHS; EX7S_ECOL6; EX7S_ECOLC; EX7S_ECOLI; EX7S_ECOLU; EX7S_ECOSE; EX7S_ECOSM; EX7S_ECOUT</t>
  </si>
  <si>
    <t>EX7S_ECOL5</t>
  </si>
  <si>
    <t>sp|A7ZIH5|EX7S_ECO24 Exodeoxyribonuclease 7 small subunit OS=Escherichia coli O139:H28 (strain E24377A / ETEC) OX=331111 GN=xseB PE=3 SV=1</t>
  </si>
  <si>
    <t>KATG1_ECO57</t>
  </si>
  <si>
    <t>katG1</t>
  </si>
  <si>
    <t>KATG1_ECO57; KATG_ECO24; KATG_ECODH; KATG_ECOHS; KATG_ECOK1; KATG_ECOL5; KATG_ECOL6; KATG_ECOLC; KATG_ECOLI; KATG_ECOSM; KATG_ECOUT</t>
  </si>
  <si>
    <t>sp|Q7A978|KATG1_ECO57 Catalase-peroxidase 1 OS=Escherichia coli O157:H7 OX=83334 GN=katG1 PE=3 SV=1</t>
  </si>
  <si>
    <t>RL28_ECO24</t>
  </si>
  <si>
    <t>rpmB</t>
  </si>
  <si>
    <t>RL28_ECO24; RL28_ECO27; RL28_ECO45; RL28_ECO55; RL28_ECO57; RL28_ECO5E; RL28_ECO7I; RL28_ECO81; RL28_ECO8A; RL28_ECOBW; RL28_ECODH; RL28_ECOHS; RL28_ECOL5; RL28_ECOL6; RL28_ECOLC; RL28_ECOLI; RL28_ECOLU; RL28_ECOSE; RL28_ECOSM; RL28_ECOUT</t>
  </si>
  <si>
    <t>sp|A7ZTI8|RL28_ECO24 50S ribosomal protein L28 OS=Escherichia coli O139:H28 (strain E24377A / ETEC) OX=331111 GN=rpmB PE=3 SV=1</t>
  </si>
  <si>
    <t>DNAJ_ECO24</t>
  </si>
  <si>
    <t>dnaJ</t>
  </si>
  <si>
    <t>DNAJ_ECO24; DNAJ_ECO27; DNAJ_ECO45; DNAJ_ECO55; DNAJ_ECO57; DNAJ_ECO5E; DNAJ_ECO7I; DNAJ_ECO81; DNAJ_ECO8A; DNAJ_ECOHS; DNAJ_ECOL6; DNAJ_ECOLC; DNAJ_ECOLU; DNAJ_ECOSE; DNAJ_ECOSM; DNAJ_ECOUT</t>
  </si>
  <si>
    <t>DNAJ_ECOBW; DNAJ_ECODH; DNAJ_ECOLI</t>
  </si>
  <si>
    <t>sp|A7ZHA5|DNAJ_ECO24 Chaperone protein DnaJ OS=Escherichia coli O139:H28 (strain E24377A / ETEC) OX=331111 GN=dnaJ PE=3 SV=1</t>
  </si>
  <si>
    <t>STPA_ECO57</t>
  </si>
  <si>
    <t>stpA</t>
  </si>
  <si>
    <t>STPA_ECO57; STPA_ECOLI</t>
  </si>
  <si>
    <t>sp|P0ACG2|STPA_ECO57 DNA-binding protein StpA OS=Escherichia coli O157:H7 OX=83334 GN=stpA PE=3 SV=1</t>
  </si>
  <si>
    <t>GNSB_ECOLI</t>
  </si>
  <si>
    <t>gnsB</t>
  </si>
  <si>
    <t>GNSA_ECOL6; GNSA_ECOLI</t>
  </si>
  <si>
    <t>sp|P77695|GNSB_ECOLI Protein GnsB OS=Escherichia coli (strain K12) OX=83333 GN=gnsB PE=3 SV=2</t>
  </si>
  <si>
    <t>HSLO_ECO27</t>
  </si>
  <si>
    <t>hslO</t>
  </si>
  <si>
    <t>HSLO_ECO27; HSLO_ECO45; HSLO_ECO55; HSLO_ECO57; HSLO_ECO7I; HSLO_ECO81; HSLO_ECO8A; HSLO_ECOBW; HSLO_ECODH; HSLO_ECOL6; HSLO_ECOLI; HSLO_ECOLU; HSLO_ECOSM</t>
  </si>
  <si>
    <t>sp|B7UKA5|HSLO_ECO27 33 kDa chaperonin OS=Escherichia coli O127:H6 (strain E2348/69 / EPEC) OX=574521 GN=hslO PE=3 SV=1</t>
  </si>
  <si>
    <t>ASPG1_ECO57</t>
  </si>
  <si>
    <t>ansA</t>
  </si>
  <si>
    <t>ASPG1_ECO57; ASPG1_ECOLI</t>
  </si>
  <si>
    <t>sp|P0A963|ASPG1_ECO57 L-asparaginase 1 OS=Escherichia coli O157:H7 OX=83334 GN=ansA PE=3 SV=1</t>
  </si>
  <si>
    <t>RL20_ECO24</t>
  </si>
  <si>
    <t>rplT</t>
  </si>
  <si>
    <t>RL20_ECO24; RL20_ECO27; RL20_ECO45; RL20_ECO55; RL20_ECO57; RL20_ECO5E; RL20_ECO7I; RL20_ECO81; RL20_ECO8A; RL20_ECOBW; RL20_ECODH; RL20_ECOHS; RL20_ECOK1; RL20_ECOL5; RL20_ECOL6; RL20_ECOLC; RL20_ECOLI; RL20_ECOLU; RL20_ECOSE; RL20_ECOSM; RL20_ECOUT</t>
  </si>
  <si>
    <t>sp|A7ZMI4|RL20_ECO24 50S ribosomal protein L20 OS=Escherichia coli O139:H28 (strain E24377A / ETEC) OX=331111 GN=rplT PE=3 SV=1</t>
  </si>
  <si>
    <t>CON__K1C9_HUMAN</t>
  </si>
  <si>
    <t>KRT9</t>
  </si>
  <si>
    <t>sp|P35527|CON__K1C9_HUMAN Keratin, type I cytoskeletal 9 OS=Homo sapiens OX=9606 GN=KRT9 PE=1 SV=3</t>
  </si>
  <si>
    <t>SOPB_ECO57</t>
  </si>
  <si>
    <t>sopB</t>
  </si>
  <si>
    <t>SOPB_ECO57; SOPB_ECOLI</t>
  </si>
  <si>
    <t>sp|P62559|SOPB_ECO57 Protein SopB OS=Escherichia coli O157:H7 OX=83334 GN=sopB PE=3 SV=1</t>
  </si>
  <si>
    <t>YIID_ECO57</t>
  </si>
  <si>
    <t>yiiD</t>
  </si>
  <si>
    <t>YIID_ECO57; YIID_ECOL6; YIID_ECOLI</t>
  </si>
  <si>
    <t>sp|P0ADQ4|YIID_ECO57 Uncharacterized protein YiiD OS=Escherichia coli O157:H7 OX=83334 GN=yiiD PE=4 SV=1</t>
  </si>
  <si>
    <t>ADHE_ECO57</t>
  </si>
  <si>
    <t>adhE</t>
  </si>
  <si>
    <t>ADHE_ECO57; ADHE_ECOLI</t>
  </si>
  <si>
    <t>sp|P0A9Q8|ADHE_ECO57 Aldehyde-alcohol dehydrogenase OS=Escherichia coli O157:H7 OX=83334 GN=adhE PE=3 SV=2</t>
  </si>
  <si>
    <t>GLMS_ECO57</t>
  </si>
  <si>
    <t>glmS</t>
  </si>
  <si>
    <t>GLMS_ECO57; GLMS_ECOL6; GLMS_ECOLI</t>
  </si>
  <si>
    <t>sp|Q8XEG2|GLMS_ECO57 Glutamine--fructose-6-phosphate aminotransferase [isomerizing] OS=Escherichia coli O157:H7 OX=83334 GN=glmS PE=3 SV=3</t>
  </si>
  <si>
    <t>GLYA_ECO24</t>
  </si>
  <si>
    <t>glyA</t>
  </si>
  <si>
    <t>GLYA_ECO24; GLYA_ECO27; GLYA_ECO45; GLYA_ECO55; GLYA_ECO57; GLYA_ECO5E; GLYA_ECO7I; GLYA_ECO81; GLYA_ECO8A; GLYA_ECOBW; GLYA_ECODH; GLYA_ECOHS; GLYA_ECOK1; GLYA_ECOL5; GLYA_ECOL6; GLYA_ECOLC; GLYA_ECOLI; GLYA_ECOLU; GLYA_ECOSE; GLYA_ECOSM; GLYA_ECOUT</t>
  </si>
  <si>
    <t>sp|A7ZPZ4|GLYA_ECO24 Serine hydroxymethyltransferase OS=Escherichia coli O139:H28 (strain E24377A / ETEC) OX=331111 GN=glyA PE=3 SV=1</t>
  </si>
  <si>
    <t>G3P1_ECO57</t>
  </si>
  <si>
    <t>gapA</t>
  </si>
  <si>
    <t>G3P1_ECO57; G3P1_ECOLI; G3P_ECOL6</t>
  </si>
  <si>
    <t>G3P2_ECO57</t>
  </si>
  <si>
    <t>sp|P0A9B4|G3P1_ECO57 Glyceraldehyde-3-phosphate dehydrogenase A OS=Escherichia coli O157:H7 OX=83334 GN=gapA PE=3 SV=2</t>
  </si>
  <si>
    <t>G6PI_ECO24</t>
  </si>
  <si>
    <t>pgi</t>
  </si>
  <si>
    <t>G6PI_ECO24; G6PI_ECO27; G6PI_ECO45; G6PI_ECO55; G6PI_ECO57; G6PI_ECO5E; G6PI_ECO7I; G6PI_ECO81; G6PI_ECO8A; G6PI_ECOBW; G6PI_ECODH; G6PI_ECOHS; G6PI_ECOK1; G6PI_ECOL5; G6PI_ECOL6; G6PI_ECOLC; G6PI_ECOLI; G6PI_ECOLU; G6PI_ECOSE; G6PI_ECOSM; G6PI_ECOUT</t>
  </si>
  <si>
    <t>sp|A7ZUP3|G6PI_ECO24 Glucose-6-phosphate isomerase OS=Escherichia coli O139:H28 (strain E24377A / ETEC) OX=331111 GN=pgi PE=3 SV=1</t>
  </si>
  <si>
    <t>CSPE_ECO57</t>
  </si>
  <si>
    <t>cspE</t>
  </si>
  <si>
    <t>CSPE_ECO57; CSPE_ECOL6; CSPE_ECOLI; CSPE_ECOLW</t>
  </si>
  <si>
    <t>sp|P0A974|CSPE_ECO57 Cold shock-like protein CspE OS=Escherichia coli O157:H7 OX=83334 GN=cspE PE=3 SV=2</t>
  </si>
  <si>
    <t>PFKA_ECO24</t>
  </si>
  <si>
    <t>pfkA</t>
  </si>
  <si>
    <t>PFKA_ECO24; PFKA_ECO27; PFKA_ECO45; PFKA_ECO55; PFKA_ECO57; PFKA_ECO5E; PFKA_ECO7I; PFKA_ECO81; PFKA_ECO8A; PFKA_ECOBW; PFKA_ECODH; PFKA_ECOHS; PFKA_ECOL5; PFKA_ECOL6; PFKA_ECOLC; PFKA_ECOLI; PFKA_ECOLU; PFKA_ECOSE; PFKA_ECOSM</t>
  </si>
  <si>
    <t>sp|A7ZUC9|PFKA_ECO24 ATP-dependent 6-phosphofructokinase isozyme 1 OS=Escherichia coli O139:H28 (strain E24377A / ETEC) OX=331111 GN=pfkA PE=3 SV=1</t>
  </si>
  <si>
    <t>GRPE_ECO24</t>
  </si>
  <si>
    <t>grpE</t>
  </si>
  <si>
    <t>GRPE_ECO24; GRPE_ECO27; GRPE_ECO45; GRPE_ECO55; GRPE_ECO57; GRPE_ECO5E; GRPE_ECO7I; GRPE_ECO81; GRPE_ECO8A; GRPE_ECOHS; GRPE_ECOL5; GRPE_ECOL6; GRPE_ECOLC; GRPE_ECOLU; GRPE_ECOSE; GRPE_ECOSM; GRPE_ECOUT</t>
  </si>
  <si>
    <t>GRPE_ECOBW; GRPE_ECODH; GRPE_ECOLI</t>
  </si>
  <si>
    <t>sp|A7ZQ54|GRPE_ECO24 Protein GrpE OS=Escherichia coli O139:H28 (strain E24377A / ETEC) OX=331111 GN=grpE PE=3 SV=1</t>
  </si>
  <si>
    <t>OMPX_ECO57</t>
  </si>
  <si>
    <t>ompX</t>
  </si>
  <si>
    <t>OMPX_ECO57; OMPX_ECOL6; OMPX_ECOLI</t>
  </si>
  <si>
    <t>sp|P0A919|OMPX_ECO57 Outer membrane protein X OS=Escherichia coli O157:H7 OX=83334 GN=ompX PE=3 SV=1</t>
  </si>
  <si>
    <t>ACP_ECO24</t>
  </si>
  <si>
    <t>acpP</t>
  </si>
  <si>
    <t>ACP_ECO24; ACP_ECO27; ACP_ECO45; ACP_ECO55; ACP_ECO57; ACP_ECO7I; ACP_ECO81; ACP_ECO8A; ACP_ECOBW; ACP_ECODH; ACP_ECOHS; ACP_ECOL5; ACP_ECOL6; ACP_ECOLC; ACP_ECOLI; ACP_ECOSE; ACP_ECOSM; ACP_ECOUT</t>
  </si>
  <si>
    <t>sp|A7ZKJ7|ACP_ECO24 Acyl carrier protein OS=Escherichia coli O139:H28 (strain E24377A / ETEC) OX=331111 GN=acpP PE=3 SV=1</t>
  </si>
  <si>
    <t>ECNB_ECO57</t>
  </si>
  <si>
    <t>ecnB</t>
  </si>
  <si>
    <t>ECNB_ECO57; ECNB_ECOL6; ECNB_ECOLI</t>
  </si>
  <si>
    <t>sp|P0ADB9|ECNB_ECO57 Entericidin B OS=Escherichia coli O157:H7 OX=83334 GN=ecnB PE=3 SV=1</t>
  </si>
  <si>
    <t>FIMA1_ECOLI</t>
  </si>
  <si>
    <t>fimA</t>
  </si>
  <si>
    <t>FIMA1_ECOLI; FIMA1_ECOLX</t>
  </si>
  <si>
    <t>sp|P04128|FIMA1_ECOLI Type-1 fimbrial protein, A chain OS=Escherichia coli (strain K12) OX=83333 GN=fimA PE=1 SV=2</t>
  </si>
  <si>
    <t>RS17_ECO24</t>
  </si>
  <si>
    <t>rpsQ</t>
  </si>
  <si>
    <t>RS17_ECO24; RS17_ECO27; RS17_ECO45; RS17_ECO55; RS17_ECO57; RS17_ECO5E; RS17_ECO7I; RS17_ECO81; RS17_ECO8A; RS17_ECOBW; RS17_ECODH; RS17_ECOHS; RS17_ECOK1; RS17_ECOL5; RS17_ECOL6; RS17_ECOLC; RS17_ECOLI; RS17_ECOLU; RS17_ECOSE; RS17_ECOSM; RS17_ECOUT</t>
  </si>
  <si>
    <t>sp|A7ZSK0|RS17_ECO24 30S ribosomal protein S17 OS=Escherichia coli O139:H28 (strain E24377A / ETEC) OX=331111 GN=rpsQ PE=3 SV=1</t>
  </si>
  <si>
    <t>HDEB_ECOL6</t>
  </si>
  <si>
    <t>hdeB</t>
  </si>
  <si>
    <t>HDEB_ECOL6; HDEB_ECOLI</t>
  </si>
  <si>
    <t>sp|P0AET3|HDEB_ECOL6 Acid stress chaperone HdeB OS=Escherichia coli O6:H1 (strain CFT073 / ATCC 700928 / UPEC) OX=199310 GN=hdeB PE=3 SV=1</t>
  </si>
  <si>
    <t>RAPZ_ECO24</t>
  </si>
  <si>
    <t>rapZ</t>
  </si>
  <si>
    <t>RAPZ_ECO24; RAPZ_ECO27; RAPZ_ECO45; RAPZ_ECO55; RAPZ_ECO57; RAPZ_ECO5E; RAPZ_ECO7I; RAPZ_ECO81; RAPZ_ECO8A; RAPZ_ECOBW; RAPZ_ECODH; RAPZ_ECOHS; RAPZ_ECOK1; RAPZ_ECOL5; RAPZ_ECOL6; RAPZ_ECOLC; RAPZ_ECOLI; RAPZ_ECOLU; RAPZ_ECOSE; RAPZ_ECOSM; RAPZ_ECOUT</t>
  </si>
  <si>
    <t>sp|A7ZSA4|RAPZ_ECO24 RNase adapter protein RapZ OS=Escherichia coli O139:H28 (strain E24377A / ETEC) OX=331111 GN=rapZ PE=3 SV=1</t>
  </si>
  <si>
    <t>PPK1_ECO57</t>
  </si>
  <si>
    <t>ppk</t>
  </si>
  <si>
    <t>PPK1_ECO57; PPK1_ECOL6; PPK1_ECOLI</t>
  </si>
  <si>
    <t>sp|P0A7B2|PPK1_ECO57 Polyphosphate kinase OS=Escherichia coli O157:H7 OX=83334 GN=ppk PE=3 SV=2</t>
  </si>
  <si>
    <t>CON__K1C14_HUMAN</t>
  </si>
  <si>
    <t>KRT14</t>
  </si>
  <si>
    <t>CON__K1C15_HUMAN; CON__K1C16_HUMAN; CON__K1C16_MOUSE; CON__K1C17_HUMAN; CON__K1C17_MOUSE; CON__K1C18_HUMAN; CON__K1C18_MOUSE; CON__K1C19_HUMAN; CON__K1C19_MOUSE; CON__K1C24_HUMAN; CON__K1C26_HUMAN; CON__K1C42_MOUSE; CON__K1H1_HUMAN; CON__K1H1_MOUSE; CON__K1H2_HUMAN; CON__KRT35_HUMAN; CON__KRT35_MOUSE; CON__KRT36_HUMAN; CON__KRT36_HUMAN; CON__KRT37_HUMAN; CON__KRT38_HUMAN; CON__KT33B_HUMAN; CON__Q3ZAW8_MOUSE</t>
  </si>
  <si>
    <t>sp|P02533|CON__K1C14_HUMAN Keratin, type I cytoskeletal 14 OS=Homo sapiens OX=9606 GN=KRT14 PE=1 SV=4</t>
  </si>
  <si>
    <t>UDP_ECOLI</t>
  </si>
  <si>
    <t>udp</t>
  </si>
  <si>
    <t>sp|P12758|UDP_ECOLI Uridine phosphorylase OS=Escherichia coli (strain K12) OX=83333 GN=udp PE=1 SV=3</t>
  </si>
  <si>
    <t>MSYB_ECOLI</t>
  </si>
  <si>
    <t>msyB</t>
  </si>
  <si>
    <t>sp|P25738|MSYB_ECOLI Acidic protein MsyB OS=Escherichia coli (strain K12) OX=83333 GN=msyB PE=4 SV=1</t>
  </si>
  <si>
    <t>OMPA_ECO57</t>
  </si>
  <si>
    <t>ompA</t>
  </si>
  <si>
    <t>OMPA_ECO57; OMPA_ECOLI</t>
  </si>
  <si>
    <t>sp|P0A911|OMPA_ECO57 Outer membrane protein A OS=Escherichia coli O157:H7 OX=83334 GN=ompA PE=3 SV=1</t>
  </si>
  <si>
    <t>ARNA_ECO27</t>
  </si>
  <si>
    <t>arnA</t>
  </si>
  <si>
    <t>ARNA_ECO27; ARNA_ECO45; ARNA_ECO57; ARNA_ECO5E; ARNA_ECOBW; ARNA_ECODH; ARNA_ECOK1; ARNA_ECOL5; ARNA_ECOL6; ARNA_ECOLC; ARNA_ECOLI; ARNA_ECOUT</t>
  </si>
  <si>
    <t>ARNA_ECO24; ARNA_ECO55; ARNA_ECO7I; ARNA_ECO81; ARNA_ECO8A; ARNA_ECOHS; ARNA_ECOLU; ARNA_ECOSE; ARNA_ECOSM</t>
  </si>
  <si>
    <t>sp|B7UFR7|ARNA_ECO27 Bifunctional polymyxin resistance protein ArnA OS=Escherichia coli O127:H6 (strain E2348/69 / EPEC) OX=574521 GN=arnA PE=3 SV=1</t>
  </si>
  <si>
    <t>HDEA_ECO57</t>
  </si>
  <si>
    <t>hdeA</t>
  </si>
  <si>
    <t>HDEA_ECO57; HDEA_ECOLI</t>
  </si>
  <si>
    <t>sp|P0AET0|HDEA_ECO57 Acid stress chaperone HdeA OS=Escherichia coli O157:H7 OX=83334 GN=hdeA PE=3 SV=1</t>
  </si>
  <si>
    <t>LAST_ECOLI</t>
  </si>
  <si>
    <t>lasT</t>
  </si>
  <si>
    <t>sp|P37005|LAST_ECOLI Uncharacterized tRNA/rRNA methyltransferase LasT OS=Escherichia coli (strain K12) OX=83333 GN=lasT PE=3 SV=2</t>
  </si>
  <si>
    <t>KPYK2_ECOLI</t>
  </si>
  <si>
    <t>pykA</t>
  </si>
  <si>
    <t>sp|P21599|KPYK2_ECOLI Pyruvate kinase II OS=Escherichia coli (strain K12) OX=83333 GN=pykA PE=1 SV=3</t>
  </si>
  <si>
    <t>USPF_ECOLI</t>
  </si>
  <si>
    <t>uspF</t>
  </si>
  <si>
    <t>USPF_ECO57; USPF_ECOL5; USPF_ECOL6</t>
  </si>
  <si>
    <t>sp|P37903|USPF_ECOLI Universal stress protein F OS=Escherichia coli (strain K12) OX=83333 GN=uspF PE=1 SV=2</t>
  </si>
  <si>
    <t>CSPA_ECO57</t>
  </si>
  <si>
    <t>cspA</t>
  </si>
  <si>
    <t>CSPA_ECO57; CSPA_ECOL6; CSPA_ECOLI</t>
  </si>
  <si>
    <t>sp|P0A9Y1|CSPA_ECO57 Cold shock protein CspA OS=Escherichia coli O157:H7 OX=83334 GN=cspA PE=3 SV=2</t>
  </si>
  <si>
    <t>TIG_ECO24</t>
  </si>
  <si>
    <t>tig</t>
  </si>
  <si>
    <t>TIG_ECO24; TIG_ECO27; TIG_ECO45; TIG_ECO55; TIG_ECO57; TIG_ECO5E; TIG_ECO7I; TIG_ECO81; TIG_ECO8A; TIG_ECOBW; TIG_ECODH; TIG_ECOHS; TIG_ECOK1; TIG_ECOLC; TIG_ECOLI; TIG_ECOLU; TIG_ECOSE; TIG_ECOSM; TIG_ECOUT</t>
  </si>
  <si>
    <t>TIG_ECOL5; TIG_ECOL6</t>
  </si>
  <si>
    <t>sp|A7ZIJ4|TIG_ECO24 Trigger factor OS=Escherichia coli O139:H28 (strain E24377A / ETEC) OX=331111 GN=tig PE=3 SV=1</t>
  </si>
  <si>
    <t>YFCZ_ECOL6</t>
  </si>
  <si>
    <t>yfcZ</t>
  </si>
  <si>
    <t>YFCZ_ECOL6; YFCZ_ECOLI</t>
  </si>
  <si>
    <t>sp|P0AD34|YFCZ_ECOL6 UPF0381 protein YfcZ OS=Escherichia coli O6:H1 (strain CFT073 / ATCC 700928 / UPEC) OX=199310 GN=yfcZ PE=3 SV=1</t>
  </si>
  <si>
    <t>CH601_ECOK1</t>
  </si>
  <si>
    <t>groL1</t>
  </si>
  <si>
    <t>CH601_ECOK1; CH60_ECO24; CH60_ECO27; CH60_ECO45; CH60_ECO55; CH60_ECO57; CH60_ECO5E; CH60_ECO7I; CH60_ECO81; CH60_ECO8A; CH60_ECOBW; CH60_ECODH; CH60_ECOHS; CH60_ECOL5; CH60_ECOL6; CH60_ECOLC; CH60_ECOLI; CH60_ECOLU; CH60_ECOSE; CH60_ECOSM; CH60_ECOUT</t>
  </si>
  <si>
    <t>CH602_ECOK1</t>
  </si>
  <si>
    <t>sp|A1AJ51|CH601_ECOK1 60 kDa chaperonin 1 OS=Escherichia coli O1:K1 / APEC OX=405955 GN=groL1 PE=3 SV=1</t>
  </si>
  <si>
    <t>KPPR_ECOLI</t>
  </si>
  <si>
    <t>prkB</t>
  </si>
  <si>
    <t>sp|P0AEX5|KPPR_ECOLI Probable phosphoribulokinase OS=Escherichia coli (strain K12) OX=83333 GN=prkB PE=3 SV=1</t>
  </si>
  <si>
    <t>EX7L_ECO55</t>
  </si>
  <si>
    <t>xseA</t>
  </si>
  <si>
    <t>EX7L_ECO55; EX7L_ECO8A; EX7L_ECOBW; EX7L_ECODH; EX7L_ECOHS; EX7L_ECOLC; EX7L_ECOLI; EX7L_ECOSE</t>
  </si>
  <si>
    <t>EX7L_ECO45; EX7L_ECO57; EX7L_ECO5E; EX7L_ECO7I; EX7L_ECO81; EX7L_ECOK1; EX7L_ECOL5; EX7L_ECOL6; EX7L_ECOLU; EX7L_ECOSM; EX7L_ECOUT</t>
  </si>
  <si>
    <t>sp|B7LCP9|EX7L_ECO55 Exodeoxyribonuclease 7 large subunit OS=Escherichia coli (strain 55989 / EAEC) OX=585055 GN=xseA PE=3 SV=1</t>
  </si>
  <si>
    <t>RIDA_ECOL6</t>
  </si>
  <si>
    <t>yjgF</t>
  </si>
  <si>
    <t>RIDA_ECOL6; RIDA_ECOLI</t>
  </si>
  <si>
    <t>sp|P0AF94|RIDA_ECOL6 2-iminobutanoate/2-iminopropanoate deaminase OS=Escherichia coli O6:H1 (strain CFT073 / ATCC 700928 / UPEC) OX=199310 GN=yjgF PE=3 SV=2</t>
  </si>
  <si>
    <t>ALF_ECO57</t>
  </si>
  <si>
    <t>fbaA</t>
  </si>
  <si>
    <t>ALF_ECO57; ALF_ECOLI</t>
  </si>
  <si>
    <t>sp|P0AB72|ALF_ECO57 Fructose-bisphosphate aldolase class 2 OS=Escherichia coli O157:H7 OX=83334 GN=fbaA PE=3 SV=2</t>
  </si>
  <si>
    <t>CYSB_ECO57</t>
  </si>
  <si>
    <t>cysB</t>
  </si>
  <si>
    <t>CYSB_ECO57; CYSB_ECOL6; CYSB_ECOLI</t>
  </si>
  <si>
    <t>sp|P0A9F5|CYSB_ECO57 HTH-type transcriptional regulator CysB OS=Escherichia coli O157:H7 OX=83334 GN=cysB PE=3 SV=1</t>
  </si>
  <si>
    <t>DCDA_ECOLI</t>
  </si>
  <si>
    <t>lysA</t>
  </si>
  <si>
    <t>DCDA_ECOLI; DCDA_ECOLW</t>
  </si>
  <si>
    <t>sp|P00861|DCDA_ECOLI Diaminopimelate decarboxylase OS=Escherichia coli (strain K12) OX=83333 GN=lysA PE=1 SV=1</t>
  </si>
  <si>
    <t>RL34_ECO24</t>
  </si>
  <si>
    <t>rpmH</t>
  </si>
  <si>
    <t>RL34_ECO24; RL34_ECO27; RL34_ECO45; RL34_ECO55; RL34_ECO57; RL34_ECO5E; RL34_ECO7I; RL34_ECO81; RL34_ECO8A; RL34_ECOBW; RL34_ECODH; RL34_ECOHS; RL34_ECOL6; RL34_ECOLC; RL34_ECOLI; RL34_ECOLU; RL34_ECOSE; RL34_ECOSM; RL34_ECOUT</t>
  </si>
  <si>
    <t>sp|A7ZTQ9|RL34_ECO24 50S ribosomal protein L34 OS=Escherichia coli O139:H28 (strain E24377A / ETEC) OX=331111 GN=rpmH PE=3 SV=1</t>
  </si>
  <si>
    <t>PFLA_ECO57</t>
  </si>
  <si>
    <t>pflA</t>
  </si>
  <si>
    <t>PFLA_ECO57; PFLA_ECOL6; PFLA_ECOLI</t>
  </si>
  <si>
    <t>sp|P0A9N6|PFLA_ECO57 Pyruvate formate-lyase 1-activating enzyme OS=Escherichia coli O157:H7 OX=83334 GN=pflA PE=3 SV=2</t>
  </si>
  <si>
    <t>SSB_ECO57</t>
  </si>
  <si>
    <t>ssb</t>
  </si>
  <si>
    <t>SSB_ECO57; SSB_ECOL6; SSB_ECOLI</t>
  </si>
  <si>
    <t>sp|P0AGE2|SSB_ECO57 Single-stranded DNA-binding protein OS=Escherichia coli O157:H7 OX=83334 GN=ssb PE=3 SV=2</t>
  </si>
  <si>
    <t>PTHP_ECO57</t>
  </si>
  <si>
    <t>ptsH</t>
  </si>
  <si>
    <t>PTHP_ECO57; PTHP_ECOL6; PTHP_ECOLI</t>
  </si>
  <si>
    <t>sp|P0AA06|PTHP_ECO57 Phosphocarrier protein HPr OS=Escherichia coli O157:H7 OX=83334 GN=ptsH PE=3 SV=1</t>
  </si>
  <si>
    <t>HTPG_ECO24</t>
  </si>
  <si>
    <t>htpG</t>
  </si>
  <si>
    <t>HTPG_ECO24; HTPG_ECO57; HTPG_ECOHS; HTPG_ECOK1; HTPG_ECOL5; HTPG_ECOL6; HTPG_ECOLC; HTPG_ECOLI; HTPG_ECOUT</t>
  </si>
  <si>
    <t>sp|A7ZIN3|HTPG_ECO24 Chaperone protein HtpG OS=Escherichia coli O139:H28 (strain E24377A / ETEC) OX=331111 GN=htpG PE=3 SV=1</t>
  </si>
  <si>
    <t>6PGD_ECOLI</t>
  </si>
  <si>
    <t>gnd</t>
  </si>
  <si>
    <t>6PGD9_ECOLX</t>
  </si>
  <si>
    <t>sp|P00350|6PGD_ECOLI 6-phosphogluconate dehydrogenase, decarboxylating OS=Escherichia coli (strain K12) OX=83333 GN=gnd PE=1 SV=2</t>
  </si>
  <si>
    <t>ATDA_ECO57</t>
  </si>
  <si>
    <t>speG</t>
  </si>
  <si>
    <t>ATDA_ECO57; ATDA_ECOLI</t>
  </si>
  <si>
    <t>sp|P0A952|ATDA_ECO57 Spermidine N(1)-acetyltransferase OS=Escherichia coli O157:H7 OX=83334 GN=speG PE=3 SV=2</t>
  </si>
  <si>
    <t>YJDM_ECO57</t>
  </si>
  <si>
    <t>yjdM</t>
  </si>
  <si>
    <t>YJDM_ECO57; YJDM_ECOL6; YJDM_ECOLI</t>
  </si>
  <si>
    <t>sp|P0AFJ3|YJDM_ECO57 Protein YjdM OS=Escherichia coli O157:H7 OX=83334 GN=yjdM PE=3 SV=1</t>
  </si>
  <si>
    <t>MURE_ECO57</t>
  </si>
  <si>
    <t>murE</t>
  </si>
  <si>
    <t>MURE_ECO57; MURE_ECOLI</t>
  </si>
  <si>
    <t>MURE_ECOL6</t>
  </si>
  <si>
    <t>sp|Q8X9Z2|MURE_ECO57 UDP-N-acetylmuramoyl-L-alanyl-D-glutamate--2,6-diaminopimelate ligase OS=Escherichia coli O157:H7 OX=83334 GN=murE PE=3 SV=3</t>
  </si>
  <si>
    <t>CDSA_ECO57</t>
  </si>
  <si>
    <t>cdsA</t>
  </si>
  <si>
    <t>CDSA_ECO57; CDSA_ECOLI</t>
  </si>
  <si>
    <t>sp|P0ABG2|CDSA_ECO57 Phosphatidate cytidylyltransferase OS=Escherichia coli O157:H7 OX=83334 GN=cdsA PE=3 SV=2</t>
  </si>
  <si>
    <t>RL31_ECO24</t>
  </si>
  <si>
    <t>rpmE</t>
  </si>
  <si>
    <t>RL31_ECO24; RL31_ECO27; RL31_ECO45; RL31_ECO55; RL31_ECO57; RL31_ECO5E; RL31_ECO7I; RL31_ECO81; RL31_ECO8A; RL31_ECOBW; RL31_ECODH; RL31_ECOHS; RL31_ECOL5; RL31_ECOL6; RL31_ECOLC; RL31_ECOLI; RL31_ECOLU; RL31_ECOSE; RL31_ECOSM; RL31_ECOUT</t>
  </si>
  <si>
    <t>sp|A7ZUF1|RL31_ECO24 50S ribosomal protein L31 OS=Escherichia coli O139:H28 (strain E24377A / ETEC) OX=331111 GN=rpmE PE=3 SV=1</t>
  </si>
  <si>
    <t>SRA_ECO57</t>
  </si>
  <si>
    <t>sra</t>
  </si>
  <si>
    <t>SRA_ECO57; SRA_ECOL5; SRA_ECOL6; SRA_ECOLI; SRA_ECOUT</t>
  </si>
  <si>
    <t>sp|P68193|SRA_ECO57 Stationary-phase-induced ribosome-associated protein OS=Escherichia coli O157:H7 OX=83334 GN=sra PE=3 SV=1</t>
  </si>
  <si>
    <t>CYSK_ECO57</t>
  </si>
  <si>
    <t>cysK</t>
  </si>
  <si>
    <t>CYSK_ECO57; CYSK_ECOLI</t>
  </si>
  <si>
    <t>sp|P0ABK6|CYSK_ECO57 Cysteine synthase A OS=Escherichia coli O157:H7 OX=83334 GN=cysK PE=3 SV=2</t>
  </si>
  <si>
    <t>RNR_ECOLI</t>
  </si>
  <si>
    <t>rnr</t>
  </si>
  <si>
    <t>sp|P21499|RNR_ECOLI Ribonuclease R OS=Escherichia coli (strain K12) OX=83333 GN=rnr PE=1 SV=2</t>
  </si>
  <si>
    <t>CON__SAV_STRAV</t>
  </si>
  <si>
    <t>sp|P22629|CON__SAV_STRAV Streptavidin OS=Streptomyces avidinii OX=1895 PE=1 SV=1 [Streptavidin (S.avidinii)]</t>
  </si>
  <si>
    <t>CON__K2C5_HUMAN</t>
  </si>
  <si>
    <t>KRT5</t>
  </si>
  <si>
    <t>CON__K2C5_BOVIN; CON__K2C5_MOUSE; CON__K2C75_HUMAN; CON__K2C79_HUMAN; CON__K2C79_MOUSE</t>
  </si>
  <si>
    <t>sp|P13647|CON__K2C5_HUMAN Keratin, type II cytoskeletal 5 OS=Homo sapiens OX=9606 GN=KRT5 PE=1 SV=3</t>
  </si>
  <si>
    <t>IHFB_ECO24</t>
  </si>
  <si>
    <t>ihfB</t>
  </si>
  <si>
    <t>IHFB_ECO24; IHFB_ECO27; IHFB_ECO45; IHFB_ECO55; IHFB_ECO57; IHFB_ECO5E; IHFB_ECO7I; IHFB_ECO81; IHFB_ECO8A; IHFB_ECOBW; IHFB_ECODH; IHFB_ECOHS; IHFB_ECOL5; IHFB_ECOL6; IHFB_ECOLC; IHFB_ECOLI; IHFB_ECOLU; IHFB_ECOSE; IHFB_ECOSM; IHFB_ECOUT</t>
  </si>
  <si>
    <t>sp|A7ZK01|IHFB_ECO24 Integration host factor subunit beta OS=Escherichia coli O139:H28 (strain E24377A / ETEC) OX=331111 GN=ihfB PE=3 SV=1</t>
  </si>
  <si>
    <t>DPO3A_ECO57</t>
  </si>
  <si>
    <t>dnaE</t>
  </si>
  <si>
    <t>DPO3A_ECO57; DPO3A_ECOL6; DPO3A_ECOLI</t>
  </si>
  <si>
    <t>sp|Q8X8X5|DPO3A_ECO57 DNA polymerase III subunit alpha OS=Escherichia coli O157:H7 OX=83334 GN=dnaE PE=3 SV=1</t>
  </si>
  <si>
    <t>PURU_ECOL6</t>
  </si>
  <si>
    <t>purU</t>
  </si>
  <si>
    <t>PURU_ECOL6; PURU_ECOLI</t>
  </si>
  <si>
    <t>sp|P0A440|PURU_ECOL6 Formyltetrahydrofolate deformylase OS=Escherichia coli O6:H1 (strain CFT073 / ATCC 700928 / UPEC) OX=199310 GN=purU PE=3 SV=1</t>
  </si>
  <si>
    <t>TPX_ECO57</t>
  </si>
  <si>
    <t>tpx</t>
  </si>
  <si>
    <t>TPX_ECO57; TPX_ECOL6; TPX_ECOLI</t>
  </si>
  <si>
    <t>sp|P0A864|TPX_ECO57 Thiol peroxidase OS=Escherichia coli O157:H7 OX=83334 GN=tpx PE=3 SV=2</t>
  </si>
  <si>
    <t>YHCN_ECOL6</t>
  </si>
  <si>
    <t>yhcN</t>
  </si>
  <si>
    <t>YHCN_ECOL6; YHCN_ECOLI</t>
  </si>
  <si>
    <t>sp|P64615|YHCN_ECOL6 Uncharacterized protein YhcN OS=Escherichia coli O6:H1 (strain CFT073 / ATCC 700928 / UPEC) OX=199310 GN=yhcN PE=3 SV=1</t>
  </si>
  <si>
    <t>KPYK1_ECO57</t>
  </si>
  <si>
    <t>pykF</t>
  </si>
  <si>
    <t>KPYK1_ECO57; KPYK1_ECOLI</t>
  </si>
  <si>
    <t>sp|P0AD62|KPYK1_ECO57 Pyruvate kinase I OS=Escherichia coli O157:H7 OX=83334 GN=pykF PE=3 SV=1</t>
  </si>
  <si>
    <t>DEAD_ECO57</t>
  </si>
  <si>
    <t>deaD</t>
  </si>
  <si>
    <t>DEAD_ECO57; DEAD_ECOL6; DEAD_ECOLI</t>
  </si>
  <si>
    <t>sp|Q8XA87|DEAD_ECO57 ATP-dependent RNA helicase DeaD OS=Escherichia coli O157:H7 OX=83334 GN=deaD PE=3 SV=3</t>
  </si>
  <si>
    <t>MRR_ECOLI</t>
  </si>
  <si>
    <t>mrr</t>
  </si>
  <si>
    <t>sp|P24202|MRR_ECOLI Mrr restriction system protein OS=Escherichia coli (strain K12) OX=83333 GN=mrr PE=1 SV=1</t>
  </si>
  <si>
    <t>NQOR_ECO24</t>
  </si>
  <si>
    <t>EcE24377A_1122</t>
  </si>
  <si>
    <t>NQOR_ECO24; NQOR_ECO27; NQOR_ECO45; NQOR_ECO55; NQOR_ECO57; NQOR_ECO5E; NQOR_ECO7I; NQOR_ECO8A; NQOR_ECOBW; NQOR_ECODH; NQOR_ECOHS; NQOR_ECOK1; NQOR_ECOL5; NQOR_ECOL6; NQOR_ECOLC; NQOR_ECOLI; NQOR_ECOLU; NQOR_ECOSE; NQOR_ECOSM; NQOR_ECOUT</t>
  </si>
  <si>
    <t>sp|A7ZKA9|NQOR_ECO24 NAD(P)H dehydrogenase (quinone) OS=Escherichia coli O139:H28 (strain E24377A / ETEC) OX=331111 GN=EcE24377A_1122 PE=3 SV=1</t>
  </si>
  <si>
    <t>PTA_ECOLI</t>
  </si>
  <si>
    <t>pta</t>
  </si>
  <si>
    <t>sp|P0A9M8|PTA_ECOLI Phosphate acetyltransferase OS=Escherichia coli (strain K12) OX=83333 GN=pta PE=1 SV=2</t>
  </si>
  <si>
    <t>UBIK_ECOLI</t>
  </si>
  <si>
    <t>ubiK</t>
  </si>
  <si>
    <t>sp|Q46868|UBIK_ECOLI Ubiquinone biosynthesis accessory factor UbiK OS=Escherichia coli (strain K12) OX=83333 GN=ubiK PE=1 SV=2</t>
  </si>
  <si>
    <t>DBHA_ECO57</t>
  </si>
  <si>
    <t>hupA</t>
  </si>
  <si>
    <t>DBHA_ECO57; DBHA_ECOL6; DBHA_ECOLI; DBHA_ECOLW</t>
  </si>
  <si>
    <t>sp|P0ACF2|DBHA_ECO57 DNA-binding protein HU-alpha OS=Escherichia coli O157:H7 OX=83334 GN=hupA PE=3 SV=1</t>
  </si>
  <si>
    <t>SERA_ECO57</t>
  </si>
  <si>
    <t>serA</t>
  </si>
  <si>
    <t>SERA_ECO57; SERA_ECOL6; SERA_ECOLI</t>
  </si>
  <si>
    <t>sp|P0A9T2|SERA_ECO57 D-3-phosphoglycerate dehydrogenase OS=Escherichia coli O157:H7 OX=83334 GN=serA PE=3 SV=2</t>
  </si>
  <si>
    <t>METE_ECO24</t>
  </si>
  <si>
    <t>metE</t>
  </si>
  <si>
    <t>METE_ECO24; METE_ECO45; METE_ECO57; METE_ECO5E; METE_ECO7I; METE_ECO8A; METE_ECODH; METE_ECOHS; METE_ECOK1; METE_ECOL5; METE_ECOL6; METE_ECOLC; METE_ECOLI; METE_ECOLU; METE_ECOSE; METE_ECOSM; METE_ECOUT</t>
  </si>
  <si>
    <t>sp|A7ZU36|METE_ECO24 5-methyltetrahydropteroyltriglutamate--homocysteine methyltransferase OS=Escherichia coli O139:H28 (strain E24377A / ETEC) OX=331111 GN=metE PE=3 SV=1</t>
  </si>
  <si>
    <t>PYRB_ECO24</t>
  </si>
  <si>
    <t>pyrB</t>
  </si>
  <si>
    <t>PYRB_ECO24; PYRB_ECO27; PYRB_ECO45; PYRB_ECO55; PYRB_ECO57; PYRB_ECO5E; PYRB_ECO7I; PYRB_ECO81; PYRB_ECO8A; PYRB_ECOBW; PYRB_ECODH; PYRB_ECOHS; PYRB_ECOK1; PYRB_ECOL5; PYRB_ECOL6; PYRB_ECOLC; PYRB_ECOLI; PYRB_ECOLU; PYRB_ECOSE; PYRB_ECOSM; PYRB_ECOUT</t>
  </si>
  <si>
    <t>sp|A7ZVC7|PYRB_ECO24 Aspartate carbamoyltransferase OS=Escherichia coli O139:H28 (strain E24377A / ETEC) OX=331111 GN=pyrB PE=3 SV=1</t>
  </si>
  <si>
    <t>YDCY_ECO57</t>
  </si>
  <si>
    <t>ydcY</t>
  </si>
  <si>
    <t>YDCY_ECO57; YDCY_ECOL6; YDCY_ECOLI</t>
  </si>
  <si>
    <t>sp|P64457|YDCY_ECO57 Uncharacterized protein YdcY OS=Escherichia coli O157:H7 OX=83334 GN=ydcY PE=4 SV=1</t>
  </si>
  <si>
    <t>DCEB_ECO57</t>
  </si>
  <si>
    <t>gadB</t>
  </si>
  <si>
    <t>DCEB_ECO57; DCEB_ECOL6; DCEB_ECOLI</t>
  </si>
  <si>
    <t>sp|P69911|DCEB_ECO57 Glutamate decarboxylase beta OS=Escherichia coli O157:H7 OX=83334 GN=gadB PE=3 SV=1</t>
  </si>
  <si>
    <t>YAHO_ECOLI</t>
  </si>
  <si>
    <t>yahO</t>
  </si>
  <si>
    <t>sp|P75694|YAHO_ECOLI Uncharacterized protein YahO OS=Escherichia coli (strain K12) OX=83333 GN=yahO PE=3 SV=1</t>
  </si>
  <si>
    <t>OMPT_ECO57</t>
  </si>
  <si>
    <t>ompT</t>
  </si>
  <si>
    <t>OMPT_ECO57; OMPT_ECOLI</t>
  </si>
  <si>
    <t>sp|P58603|OMPT_ECO57 Protease 7 OS=Escherichia coli O157:H7 OX=83334 GN=ompT PE=3 SV=1</t>
  </si>
  <si>
    <t>YHJA_ECOLI</t>
  </si>
  <si>
    <t>yhjA</t>
  </si>
  <si>
    <t>sp|P37197|YHJA_ECOLI Probable cytochrome c peroxidase OS=Escherichia coli (strain K12) OX=83333 GN=yhjA PE=4 SV=1</t>
  </si>
  <si>
    <t>YBFA_ECO57</t>
  </si>
  <si>
    <t>ybfA</t>
  </si>
  <si>
    <t>YBFA_ECO57; YBFA_ECOLI</t>
  </si>
  <si>
    <t>sp|P0AAU3|YBFA_ECO57 Uncharacterized protein YbfA OS=Escherichia coli O157:H7 OX=83334 GN=ybfA PE=3 SV=1</t>
  </si>
  <si>
    <t>KAD_ECO24</t>
  </si>
  <si>
    <t>adk</t>
  </si>
  <si>
    <t>KAD_ECO24; KAD_ECO27; KAD_ECO45; KAD_ECO55; KAD_ECO57; KAD_ECO7I; KAD_ECO81; KAD_ECO8A; KAD_ECOBW; KAD_ECODH; KAD_ECOHS; KAD_ECOL5; KAD_ECOL6; KAD_ECOLC; KAD_ECOLI; KAD_ECOLU; KAD_ECOSE; KAD_ECOSM</t>
  </si>
  <si>
    <t>sp|A7ZIN4|KAD_ECO24 Adenylate kinase OS=Escherichia coli O139:H28 (strain E24377A / ETEC) OX=331111 GN=adk PE=3 SV=1</t>
  </si>
  <si>
    <t>RRAA_ECO24</t>
  </si>
  <si>
    <t>rraA</t>
  </si>
  <si>
    <t>RRAA_ECO24; RRAA_ECO27; RRAA_ECO45; RRAA_ECO55; RRAA_ECO57; RRAA_ECO5E; RRAA_ECO7I; RRAA_ECO81; RRAA_ECO8A; RRAA_ECOBW; RRAA_ECODH; RRAA_ECOHS; RRAA_ECOL5; RRAA_ECOL6; RRAA_ECOLC; RRAA_ECOLI; RRAA_ECOLU; RRAA_ECOSE; RRAA_ECOSM; RRAA_ECOUT</t>
  </si>
  <si>
    <t>sp|A7ZUE4|RRAA_ECO24 Regulator of ribonuclease activity A OS=Escherichia coli O139:H28 (strain E24377A / ETEC) OX=331111 GN=rraA PE=3 SV=1</t>
  </si>
  <si>
    <t>GCSH_ECO24</t>
  </si>
  <si>
    <t>gcvH</t>
  </si>
  <si>
    <t>GCSH_ECO24; GCSH_ECO27; GCSH_ECO55; GCSH_ECO57; GCSH_ECO5E; GCSH_ECO7I; GCSH_ECO8A; GCSH_ECOBW; GCSH_ECODH; GCSH_ECOHS; GCSH_ECOL5; GCSH_ECOLC; GCSH_ECOLI; GCSH_ECOLU; GCSH_ECOSE; GCSH_ECOSM</t>
  </si>
  <si>
    <t>sp|A7ZR13|GCSH_ECO24 Glycine cleavage system H protein OS=Escherichia coli O139:H28 (strain E24377A / ETEC) OX=331111 GN=gcvH PE=3 SV=1</t>
  </si>
  <si>
    <t>RIBB_ECO24</t>
  </si>
  <si>
    <t>ribB</t>
  </si>
  <si>
    <t>RIBB_ECO24; RIBB_ECO27; RIBB_ECO45; RIBB_ECO55; RIBB_ECO57; RIBB_ECO5E; RIBB_ECO7I; RIBB_ECO81; RIBB_ECO8A; RIBB_ECOBW; RIBB_ECODH; RIBB_ECOHS; RIBB_ECOK1; RIBB_ECOL5; RIBB_ECOL6; RIBB_ECOLC; RIBB_ECOLI; RIBB_ECOLU; RIBB_ECOSE; RIBB_ECOSM; RIBB_ECOUT</t>
  </si>
  <si>
    <t>sp|A7ZRS4|RIBB_ECO24 3,4-dihydroxy-2-butanone 4-phosphate synthase OS=Escherichia coli O139:H28 (strain E24377A / ETEC) OX=331111 GN=ribB PE=3 SV=1</t>
  </si>
  <si>
    <t>RL35_ECO27</t>
  </si>
  <si>
    <t>rpmI</t>
  </si>
  <si>
    <t>RL35_ECO27; RL35_ECO45; RL35_ECO55; RL35_ECO57; RL35_ECO5E; RL35_ECO7I; RL35_ECO81; RL35_ECO8A; RL35_ECOBW; RL35_ECODH; RL35_ECOHS; RL35_ECOL5; RL35_ECOLC; RL35_ECOLI; RL35_ECOLU; RL35_ECOSE; RL35_ECOSM; RL35_ECOUT</t>
  </si>
  <si>
    <t>sp|B7USA0|RL35_ECO27 50S ribosomal protein L35 OS=Escherichia coli O127:H6 (strain E2348/69 / EPEC) OX=574521 GN=rpmI PE=3 SV=1</t>
  </si>
  <si>
    <t>HDFR_ECO24</t>
  </si>
  <si>
    <t>hdfR</t>
  </si>
  <si>
    <t>HDFR_ECO24; HDFR_ECO27; HDFR_ECO45; HDFR_ECO55; HDFR_ECO57; HDFR_ECO5E; HDFR_ECO7I; HDFR_ECO81; HDFR_ECO8A; HDFR_ECOBW; HDFR_ECODH; HDFR_ECOHS; HDFR_ECOL5; HDFR_ECOL6; HDFR_ECOLC; HDFR_ECOLI; HDFR_ECOLU; HDFR_ECOSE; HDFR_ECOSM; HDFR_ECOUT</t>
  </si>
  <si>
    <t>sp|A7ZTW7|HDFR_ECO24 HTH-type transcriptional regulator HdfR OS=Escherichia coli O139:H28 (strain E24377A / ETEC) OX=331111 GN=hdfR PE=3 SV=1</t>
  </si>
  <si>
    <t>YIGA_ECOLI</t>
  </si>
  <si>
    <t>yigA</t>
  </si>
  <si>
    <t>sp|P23305|YIGA_ECOLI Uncharacterized protein YigA OS=Escherichia coli (strain K12) OX=83333 GN=yigA PE=4 SV=1</t>
  </si>
  <si>
    <t>YEAD_ECOLI</t>
  </si>
  <si>
    <t>yeaD</t>
  </si>
  <si>
    <t>sp|P39173|YEAD_ECOLI Putative glucose-6-phosphate 1-epimerase OS=Escherichia coli (strain K12) OX=83333 GN=yeaD PE=1 SV=2</t>
  </si>
  <si>
    <t>YBIB_ECOLI</t>
  </si>
  <si>
    <t>ybiB</t>
  </si>
  <si>
    <t>sp|P30177|YBIB_ECOLI Uncharacterized protein YbiB OS=Escherichia coli (strain K12) OX=83333 GN=ybiB PE=1 SV=1</t>
  </si>
  <si>
    <t>VIOB_ECOLX</t>
  </si>
  <si>
    <t>vioB</t>
  </si>
  <si>
    <t>sp|Q9XCW3|VIOB_ECOLX dTDP-4-amino-4,6-dideoxy-D-glucose acyltransferase OS=Escherichia coli OX=562 GN=vioB PE=1 SV=1</t>
  </si>
  <si>
    <t>HFQ_ECO24</t>
  </si>
  <si>
    <t>hfq</t>
  </si>
  <si>
    <t>HFQ_ECO24; HFQ_ECO27; HFQ_ECO45; HFQ_ECO55; HFQ_ECO57; HFQ_ECO5E; HFQ_ECO7I; HFQ_ECO81; HFQ_ECO8A; HFQ_ECOBW; HFQ_ECODH; HFQ_ECOHS; HFQ_ECOK1; HFQ_ECOL5; HFQ_ECOL6; HFQ_ECOLC; HFQ_ECOLI; HFQ_ECOLU; HFQ_ECOSE; HFQ_ECOSM; HFQ_ECOUT</t>
  </si>
  <si>
    <t>sp|A7ZV41|HFQ_ECO24 RNA-binding protein Hfq OS=Escherichia coli O139:H28 (strain E24377A / ETEC) OX=331111 GN=hfq PE=3 SV=1</t>
  </si>
  <si>
    <t>CBPA_ECO24</t>
  </si>
  <si>
    <t>cbpA</t>
  </si>
  <si>
    <t>CBPA_ECO24; CBPA_ECO27; CBPA_ECO45; CBPA_ECO55; CBPA_ECO57; CBPA_ECO5E; CBPA_ECO7I; CBPA_ECO81; CBPA_ECO8A; CBPA_ECOBW; CBPA_ECODH; CBPA_ECOHS; CBPA_ECOK1; CBPA_ECOL5; CBPA_ECOL6; CBPA_ECOLC; CBPA_ECOLI; CBPA_ECOLU; CBPA_ECOSE; CBPA_ECOSM; CBPA_ECOUT</t>
  </si>
  <si>
    <t>sp|A7ZKA5|CBPA_ECO24 Curved DNA-binding protein OS=Escherichia coli O139:H28 (strain E24377A / ETEC) OX=331111 GN=cbpA PE=3 SV=1</t>
  </si>
  <si>
    <t>ISCS_ECO24</t>
  </si>
  <si>
    <t>iscS</t>
  </si>
  <si>
    <t>ISCS_ECO24; ISCS_ECO27; ISCS_ECO45; ISCS_ECO55; ISCS_ECO57; ISCS_ECO5E; ISCS_ECO7I; ISCS_ECO81; ISCS_ECO8A; ISCS_ECOBW; ISCS_ECODH; ISCS_ECOHS; ISCS_ECOL5; ISCS_ECOL6; ISCS_ECOLC; ISCS_ECOLI; ISCS_ECOLU; ISCS_ECOSE; ISCS_ECOSM</t>
  </si>
  <si>
    <t>sp|A7ZPX4|ISCS_ECO24 Cysteine desulfurase IscS OS=Escherichia coli O139:H28 (strain E24377A / ETEC) OX=331111 GN=iscS PE=3 SV=1</t>
  </si>
  <si>
    <t>GLDA_ECOL6</t>
  </si>
  <si>
    <t>gldA</t>
  </si>
  <si>
    <t>GLDA_ECOL6; GLDA_ECOLI</t>
  </si>
  <si>
    <t>sp|P0A9S6|GLDA_ECOL6 Glycerol dehydrogenase OS=Escherichia coli O6:H1 (strain CFT073 / ATCC 700928 / UPEC) OX=199310 GN=gldA PE=3 SV=1</t>
  </si>
  <si>
    <t>IBPB_ECO24</t>
  </si>
  <si>
    <t>ibpB</t>
  </si>
  <si>
    <t>IBPB_ECO24; IBPB_ECO27; IBPB_ECO45; IBPB_ECO55; IBPB_ECO57; IBPB_ECO5E; IBPB_ECO7I; IBPB_ECO81; IBPB_ECO8A; IBPB_ECOBW; IBPB_ECODH; IBPB_ECOHS; IBPB_ECOL6; IBPB_ECOLC; IBPB_ECOLI; IBPB_ECOLU; IBPB_ECOSE; IBPB_ECOSM</t>
  </si>
  <si>
    <t>sp|A7ZTP0|IBPB_ECO24 Small heat shock protein IbpB OS=Escherichia coli O139:H28 (strain E24377A / ETEC) OX=331111 GN=ibpB PE=3 SV=1</t>
  </si>
  <si>
    <t>BLAT_ECOLX</t>
  </si>
  <si>
    <t>bla</t>
  </si>
  <si>
    <t>sp|P62593|BLAT_ECOLX Beta-lactamase TEM OS=Escherichia coli OX=562 GN=bla PE=1 SV=1</t>
  </si>
  <si>
    <t>JAYE_ECOLI</t>
  </si>
  <si>
    <t>jayE</t>
  </si>
  <si>
    <t>sp|P75981|JAYE_ECOLI Putative protein JayE OS=Escherichia coli (strain K12) OX=83333 GN=jayE PE=5 SV=1</t>
  </si>
  <si>
    <t>AHPC_ECO57</t>
  </si>
  <si>
    <t>ahpC</t>
  </si>
  <si>
    <t>AHPC_ECO57; AHPC_ECOL6; AHPC_ECOLI</t>
  </si>
  <si>
    <t>sp|P0AE10|AHPC_ECO57 Alkyl hydroperoxide reductase C OS=Escherichia coli O157:H7 OX=83334 GN=ahpC PE=3 SV=2</t>
  </si>
  <si>
    <t>BETB_ECO24</t>
  </si>
  <si>
    <t>betB</t>
  </si>
  <si>
    <t>BETB_ECO24; BETB_ECO27; BETB_ECO45; BETB_ECO55; BETB_ECO57; BETB_ECO5E; BETB_ECO7I; BETB_ECO8A; BETB_ECODH; BETB_ECOHS; BETB_ECOL5; BETB_ECOL6; BETB_ECOLC; BETB_ECOLI; BETB_ECOLU; BETB_ECOSE; BETB_ECOSM</t>
  </si>
  <si>
    <t>sp|A7ZI51|BETB_ECO24 NAD/NADP-dependent betaine aldehyde dehydrogenase OS=Escherichia coli O139:H28 (strain E24377A / ETEC) OX=331111 GN=betB PE=3 SV=1</t>
  </si>
  <si>
    <t>YQJD_ECO57</t>
  </si>
  <si>
    <t>yqjD</t>
  </si>
  <si>
    <t>YQJD_ECO57; YQJD_ECOL6; YQJD_ECOLI</t>
  </si>
  <si>
    <t>sp|P64583|YQJD_ECO57 Uncharacterized protein YqjD OS=Escherichia coli O157:H7 OX=83334 GN=yqjD PE=3 SV=1</t>
  </si>
  <si>
    <t>IBPA_ECO24</t>
  </si>
  <si>
    <t>ibpA</t>
  </si>
  <si>
    <t>IBPA_ECO24; IBPA_ECO27; IBPA_ECO45; IBPA_ECO55; IBPA_ECO57; IBPA_ECO5E; IBPA_ECO7I; IBPA_ECO81; IBPA_ECO8A; IBPA_ECOBW; IBPA_ECODH; IBPA_ECOHS; IBPA_ECOK1; IBPA_ECOL5; IBPA_ECOL6; IBPA_ECOLC; IBPA_ECOLI; IBPA_ECOLU; IBPA_ECOSE; IBPA_ECOSM</t>
  </si>
  <si>
    <t>sp|A7ZTP1|IBPA_ECO24 Small heat shock protein IbpA OS=Escherichia coli O139:H28 (strain E24377A / ETEC) OX=331111 GN=ibpA PE=3 SV=1</t>
  </si>
  <si>
    <t>PYRI_ECO24</t>
  </si>
  <si>
    <t>pyrI</t>
  </si>
  <si>
    <t>PYRI_ECO24; PYRI_ECO27; PYRI_ECO45; PYRI_ECO55; PYRI_ECO57; PYRI_ECO5E; PYRI_ECO7I; PYRI_ECO81; PYRI_ECO8A; PYRI_ECOBW; PYRI_ECODH; PYRI_ECOHS; PYRI_ECOK1; PYRI_ECOL5; PYRI_ECOL6; PYRI_ECOLC; PYRI_ECOLI; PYRI_ECOLU; PYRI_ECOSE; PYRI_ECOSM; PYRI_ECOUT</t>
  </si>
  <si>
    <t>sp|A7ZVC6|PYRI_ECO24 Aspartate carbamoyltransferase regulatory chain OS=Escherichia coli O139:H28 (strain E24377A / ETEC) OX=331111 GN=pyrI PE=3 SV=1</t>
  </si>
  <si>
    <t>IPYR_ECO57</t>
  </si>
  <si>
    <t>ppa</t>
  </si>
  <si>
    <t>IPYR_ECO57; IPYR_ECOL6; IPYR_ECOLI</t>
  </si>
  <si>
    <t>sp|P0A7B0|IPYR_ECO57 Inorganic pyrophosphatase OS=Escherichia coli O157:H7 OX=83334 GN=ppa PE=3 SV=2</t>
  </si>
  <si>
    <t>CON__FILA2_HUMAN</t>
  </si>
  <si>
    <t>FLG2</t>
  </si>
  <si>
    <t>sp|Q5D862|CON__FILA2_HUMAN Filaggrin-2 OS=Homo sapiens OX=9606 GN=FLG2 PE=1 SV=1</t>
  </si>
  <si>
    <t>R31B1_ECO57</t>
  </si>
  <si>
    <t>rpmE2-1</t>
  </si>
  <si>
    <t>R31B1_ECO57; R31B2_ECO57; RL31B_ECO27; RL31B_ECO45; RL31B_ECO55; RL31B_ECO7I; RL31B_ECO8A; RL31B_ECODH; RL31B_ECOHS; RL31B_ECOL6; RL31B_ECOLI; RL31B_ECOLU; RL31B_ECOSE; RL31B_ECOSM; RL31B_ECOUT</t>
  </si>
  <si>
    <t>sp|P0A7N3|R31B1_ECO57 50S ribosomal protein L31 type B 1 OS=Escherichia coli O157:H7 OX=83334 GN=rpmE2-1 PE=3 SV=1</t>
  </si>
  <si>
    <t>HPF_ECO57</t>
  </si>
  <si>
    <t>hpf</t>
  </si>
  <si>
    <t>HPF_ECO57; HPF_ECOL6; HPF_ECOLI</t>
  </si>
  <si>
    <t>sp|P0AFX2|HPF_ECO57 Ribosome hibernation promoting factor OS=Escherichia coli O157:H7 OX=83334 GN=hpf PE=3 SV=1</t>
  </si>
  <si>
    <t>YAJQ_ECO24</t>
  </si>
  <si>
    <t>yajQ</t>
  </si>
  <si>
    <t>YAJQ_ECO24; YAJQ_ECO27; YAJQ_ECO45; YAJQ_ECO55; YAJQ_ECO57; YAJQ_ECO5E; YAJQ_ECO7I; YAJQ_ECO81; YAJQ_ECO8A; YAJQ_ECOBW; YAJQ_ECODH; YAJQ_ECOHS; YAJQ_ECOL5; YAJQ_ECOL6; YAJQ_ECOLC; YAJQ_ECOLI; YAJQ_ECOLU; YAJQ_ECOSE; YAJQ_ECOSM; YAJQ_ECOUT</t>
  </si>
  <si>
    <t>sp|A7ZII0|YAJQ_ECO24 UPF0234 protein YajQ OS=Escherichia coli O139:H28 (strain E24377A / ETEC) OX=331111 GN=yajQ PE=3 SV=1</t>
  </si>
  <si>
    <t>YGDI_ECOL6</t>
  </si>
  <si>
    <t>ygdI</t>
  </si>
  <si>
    <t>YGDI_ECOL6; YGDI_ECOLI</t>
  </si>
  <si>
    <t>sp|P65293|YGDI_ECOL6 Uncharacterized lipoprotein YgdI OS=Escherichia coli O6:H1 (strain CFT073 / ATCC 700928 / UPEC) OX=199310 GN=ygdI PE=3 SV=1</t>
  </si>
  <si>
    <t>FRDA_ECOLI</t>
  </si>
  <si>
    <t>frdA</t>
  </si>
  <si>
    <t>sp|P00363|FRDA_ECOLI Fumarate reductase flavoprotein subunit OS=Escherichia coli (strain K12) OX=83333 GN=frdA PE=1 SV=3</t>
  </si>
  <si>
    <t>GYRB_ECO57</t>
  </si>
  <si>
    <t>gyrB</t>
  </si>
  <si>
    <t>GYRB_ECO57; GYRB_ECOLI</t>
  </si>
  <si>
    <t>sp|P0AES7|GYRB_ECO57 DNA gyrase subunit B OS=Escherichia coli O157:H7 OX=83334 GN=gyrB PE=3 SV=2</t>
  </si>
  <si>
    <t>PROV_ECOLI</t>
  </si>
  <si>
    <t>proV</t>
  </si>
  <si>
    <t>sp|P14175|PROV_ECOLI Glycine betaine/proline betaine transport system ATP-binding protein ProV OS=Escherichia coli (strain K12) OX=83333 GN=proV PE=1 SV=1</t>
  </si>
  <si>
    <t>ZNTR_ECO57</t>
  </si>
  <si>
    <t>zntR</t>
  </si>
  <si>
    <t>ZNTR_ECO57; ZNTR_ECOLI</t>
  </si>
  <si>
    <t>sp|P0ACS6|ZNTR_ECO57 HTH-type transcriptional regulator ZntR OS=Escherichia coli O157:H7 OX=83334 GN=zntR PE=3 SV=1</t>
  </si>
  <si>
    <t>GLND_ECO24</t>
  </si>
  <si>
    <t>glnD</t>
  </si>
  <si>
    <t>GLND_ECO24; GLND_ECO27; GLND_ECO45; GLND_ECO55; GLND_ECO57; GLND_ECO5E; GLND_ECO7I; GLND_ECO81; GLND_ECO8A; GLND_ECOBW; GLND_ECODH; GLND_ECOHS; GLND_ECOK1; GLND_ECOL5; GLND_ECOL6; GLND_ECOLC; GLND_ECOLI; GLND_ECOLU; GLND_ECOSE; GLND_ECOSM; GLND_ECOUT</t>
  </si>
  <si>
    <t>sp|A7ZHQ7|GLND_ECO24 Bifunctional uridylyltransferase/uridylyl-removing enzyme OS=Escherichia coli O139:H28 (strain E24377A / ETEC) OX=331111 GN=glnD PE=3 SV=1</t>
  </si>
  <si>
    <t>YPFM_ECOLI</t>
  </si>
  <si>
    <t>ypfM</t>
  </si>
  <si>
    <t>sp|A5A621|YPFM_ECOLI Uncharacterized protein YpfM OS=Escherichia coli (strain K12) OX=83333 GN=ypfM PE=1 SV=1</t>
  </si>
  <si>
    <t>TKT2_ECOLI</t>
  </si>
  <si>
    <t>tktB</t>
  </si>
  <si>
    <t>sp|P33570|TKT2_ECOLI Transketolase 2 OS=Escherichia coli (strain K12) OX=83333 GN=tktB PE=1 SV=1</t>
  </si>
  <si>
    <t>TKT1_ECOLI</t>
  </si>
  <si>
    <t>tktA</t>
  </si>
  <si>
    <t>sp|P27302|TKT1_ECOLI Transketolase 1 OS=Escherichia coli (strain K12) OX=83333 GN=tktA PE=1 SV=5</t>
  </si>
  <si>
    <t>YNFE_ECOLI</t>
  </si>
  <si>
    <t>ynfE</t>
  </si>
  <si>
    <t>sp|P77374|YNFE_ECOLI Putative dimethyl sulfoxide reductase chain YnfE OS=Escherichia coli (strain K12) OX=83333 GN=ynfE PE=1 SV=1</t>
  </si>
  <si>
    <t>LUXS_ECO24</t>
  </si>
  <si>
    <t>luxS</t>
  </si>
  <si>
    <t>LUXS_ECO24; LUXS_ECO27; LUXS_ECO45; LUXS_ECO57; LUXS_ECO5E; LUXS_ECO7I; LUXS_ECO81; LUXS_ECOBW; LUXS_ECODH; LUXS_ECOHS; LUXS_ECOK1; LUXS_ECOL5; LUXS_ECOL6; LUXS_ECOLC; LUXS_ECOLI; LUXS_ECOLU; LUXS_ECOSM; LUXS_ECOUT</t>
  </si>
  <si>
    <t>sp|A7ZQC0|LUXS_ECO24 S-ribosylhomocysteine lyase OS=Escherichia coli O139:H28 (strain E24377A / ETEC) OX=331111 GN=luxS PE=3 SV=1</t>
  </si>
  <si>
    <t>GUTQ_ECO57</t>
  </si>
  <si>
    <t>gutQ</t>
  </si>
  <si>
    <t>GUTQ_ECO57; GUTQ_ECOL6; GUTQ_ECOLI</t>
  </si>
  <si>
    <t>sp|Q8X4S5|GUTQ_ECO57 Arabinose 5-phosphate isomerase GutQ OS=Escherichia coli O157:H7 OX=83334 GN=gutQ PE=3 SV=3</t>
  </si>
  <si>
    <t>HDED_ECO57</t>
  </si>
  <si>
    <t>hdeD</t>
  </si>
  <si>
    <t>HDED_ECO57; HDED_ECOLI</t>
  </si>
  <si>
    <t>sp|P0AET6|HDED_ECO57 Protein HdeD OS=Escherichia coli O157:H7 OX=83334 GN=hdeD PE=3 SV=1</t>
  </si>
  <si>
    <t>YIFE_ECO57</t>
  </si>
  <si>
    <t>yifE</t>
  </si>
  <si>
    <t>YIFE_ECO57; YIFE_ECOL6; YIFE_ECOLI</t>
  </si>
  <si>
    <t>sp|P0ADN4|YIFE_ECO57 UPF0438 protein YifE OS=Escherichia coli O157:H7 OX=83334 GN=yifE PE=3 SV=2</t>
  </si>
  <si>
    <t>YHBY_ECO57</t>
  </si>
  <si>
    <t>yhbY</t>
  </si>
  <si>
    <t>YHBY_ECO57; YHBY_ECOL6; YHBY_ECOLI</t>
  </si>
  <si>
    <t>sp|P0AGK6|YHBY_ECO57 RNA-binding protein YhbY OS=Escherichia coli O157:H7 OX=83334 GN=yhbY PE=4 SV=1</t>
  </si>
  <si>
    <t>AVTA_ECOLI</t>
  </si>
  <si>
    <t>avtA</t>
  </si>
  <si>
    <t>sp|P09053|AVTA_ECOLI Valine--pyruvate aminotransferase OS=Escherichia coli (strain K12) OX=83333 GN=avtA PE=1 SV=3</t>
  </si>
  <si>
    <t>PURR_ECO27</t>
  </si>
  <si>
    <t>purR</t>
  </si>
  <si>
    <t>PURR_ECO27; PURR_ECO45; PURR_ECO55; PURR_ECO57; PURR_ECO5E; PURR_ECO7I; PURR_ECO81; PURR_ECO8A; PURR_ECOBW; PURR_ECOHS; PURR_ECOK1; PURR_ECOL5; PURR_ECOL6; PURR_ECOLC; PURR_ECOLI; PURR_ECOLU; PURR_ECOSE; PURR_ECOSM; PURR_ECOUT</t>
  </si>
  <si>
    <t>PURR_ECO24</t>
  </si>
  <si>
    <t>sp|B7URZ9|PURR_ECO27 HTH-type transcriptional repressor PurR OS=Escherichia coli O127:H6 (strain E2348/69 / EPEC) OX=574521 GN=purR PE=3 SV=1</t>
  </si>
  <si>
    <t>RECA_ECO24</t>
  </si>
  <si>
    <t>recA</t>
  </si>
  <si>
    <t>RECA_ECO24; RECA_ECO27; RECA_ECO45; RECA_ECO55; RECA_ECO57; RECA_ECO5E; RECA_ECO7I; RECA_ECO81; RECA_ECO8A; RECA_ECOBW; RECA_ECOHS; RECA_ECOL5; RECA_ECOL6; RECA_ECOLC; RECA_ECOLI; RECA_ECOLU; RECA_ECOSE; RECA_ECOSM; RECA_ECOUT</t>
  </si>
  <si>
    <t>sp|A7ZQC8|RECA_ECO24 Protein RecA OS=Escherichia coli O139:H28 (strain E24377A / ETEC) OX=331111 GN=recA PE=3 SV=1</t>
  </si>
  <si>
    <t>PPIB_ECOLI</t>
  </si>
  <si>
    <t>ppiB</t>
  </si>
  <si>
    <t>sp|P23869|PPIB_ECOLI Peptidyl-prolyl cis-trans isomerase B OS=Escherichia coli (strain K12) OX=83333 GN=ppiB PE=1 SV=2</t>
  </si>
  <si>
    <t>PTRA_ECO57</t>
  </si>
  <si>
    <t>ptrA</t>
  </si>
  <si>
    <t>PTRA_ECO57; PTRA_ECOL6; PTRA_ECOLI</t>
  </si>
  <si>
    <t>sp|Q8X6M8|PTRA_ECO57 Protease 3 OS=Escherichia coli O157:H7 OX=83334 GN=ptrA PE=3 SV=1</t>
  </si>
  <si>
    <t>ISPH_ECO24</t>
  </si>
  <si>
    <t>ispH</t>
  </si>
  <si>
    <t>ISPH_ECO24; ISPH_ECO27; ISPH_ECO45; ISPH_ECO55; ISPH_ECO57; ISPH_ECO5E; ISPH_ECO7I; ISPH_ECO81; ISPH_ECO8A; ISPH_ECOBW; ISPH_ECODH; ISPH_ECOHS; ISPH_ECOK1; ISPH_ECOL5; ISPH_ECOL6; ISPH_ECOLC; ISPH_ECOLI; ISPH_ECOLU; ISPH_ECOSE; ISPH_ECOSM; ISPH_ECOUT</t>
  </si>
  <si>
    <t>sp|A7ZHB8|ISPH_ECO24 4-hydroxy-3-methylbut-2-enyl diphosphate reductase OS=Escherichia coli O139:H28 (strain E24377A / ETEC) OX=331111 GN=ispH PE=3 SV=1</t>
  </si>
  <si>
    <t>TYPA_ECO27</t>
  </si>
  <si>
    <t>typA</t>
  </si>
  <si>
    <t>TYPA_ECO27; TYPA_ECO57; TYPA_ECOL6; TYPA_ECOLI</t>
  </si>
  <si>
    <t>sp|P0A3B2|TYPA_ECO27 GTP-binding protein TypA/BipA OS=Escherichia coli O127:H6 (strain E2348/69 / EPEC) OX=574521 GN=typA PE=3 SV=1</t>
  </si>
  <si>
    <t>SEQA_ECOL6</t>
  </si>
  <si>
    <t>seqA</t>
  </si>
  <si>
    <t>SEQA_ECOL6; SEQA_ECOLI</t>
  </si>
  <si>
    <t>sp|P0AFY9|SEQA_ECOL6 Negative modulator of initiation of replication OS=Escherichia coli O6:H1 (strain CFT073 / ATCC 700928 / UPEC) OX=199310 GN=seqA PE=3 SV=1</t>
  </si>
  <si>
    <t>OSME_ECO57</t>
  </si>
  <si>
    <t>osmE</t>
  </si>
  <si>
    <t>OSME_ECO57; OSME_ECOLI</t>
  </si>
  <si>
    <t>sp|P0ADB2|OSME_ECO57 Osmotically-inducible putative lipoprotein OsmE OS=Escherichia coli O157:H7 OX=83334 GN=osmE PE=3 SV=1</t>
  </si>
  <si>
    <t>SPOT_ECO57</t>
  </si>
  <si>
    <t>spoT</t>
  </si>
  <si>
    <t>SPOT_ECO57; SPOT_ECOLI</t>
  </si>
  <si>
    <t>sp|P0AG25|SPOT_ECO57 Guanosine-3',5'-bis(diphosphate) 3'-pyrophosphohydrolase OS=Escherichia coli O157:H7 OX=83334 GN=spoT PE=3 SV=1</t>
  </si>
  <si>
    <t>PHOQ_ECOL6</t>
  </si>
  <si>
    <t>phoQ</t>
  </si>
  <si>
    <t>PHOQ_ECOL6; PHOQ_ECOLI</t>
  </si>
  <si>
    <t>sp|Q8FIB8|PHOQ_ECOL6 Sensor protein PhoQ OS=Escherichia coli O6:H1 (strain CFT073 / ATCC 700928 / UPEC) OX=199310 GN=phoQ PE=3 SV=1</t>
  </si>
  <si>
    <t>PCNB_ECO57</t>
  </si>
  <si>
    <t>pcnB</t>
  </si>
  <si>
    <t>PCNB_ECO57; PCNB_ECOL6; PCNB_ECOLI</t>
  </si>
  <si>
    <t>sp|P0ABF3|PCNB_ECO57 Poly(A) polymerase I OS=Escherichia coli O157:H7 OX=83334 GN=pcnB PE=3 SV=2</t>
  </si>
  <si>
    <t>YEEN_ECO57</t>
  </si>
  <si>
    <t>yeeN</t>
  </si>
  <si>
    <t>YEEN_ECO57; YEEN_ECOL5; YEEN_ECOL6; YEEN_ECOLI; YEEN_ECOUT</t>
  </si>
  <si>
    <t>sp|Q8X8V5|YEEN_ECO57 Probable transcriptional regulatory protein YeeN OS=Escherichia coli O157:H7 OX=83334 GN=yeeN PE=3 SV=1</t>
  </si>
  <si>
    <t>YNFB_ECO24</t>
  </si>
  <si>
    <t>ynfB</t>
  </si>
  <si>
    <t>YNFB_ECO24; YNFB_ECO27; YNFB_ECO45; YNFB_ECO55; YNFB_ECO57; YNFB_ECO5E; YNFB_ECO7I; YNFB_ECO81; YNFB_ECO8A; YNFB_ECOBW; YNFB_ECODH; YNFB_ECOHS; YNFB_ECOK1; YNFB_ECOL5; YNFB_ECOL6; YNFB_ECOLC; YNFB_ECOLI; YNFB_ECOLU; YNFB_ECOSE; YNFB_ECOSM; YNFB_ECOUT</t>
  </si>
  <si>
    <t>sp|A7ZM42|YNFB_ECO24 UPF0482 protein YnfB OS=Escherichia coli O139:H28 (strain E24377A / ETEC) OX=331111 GN=ynfB PE=3 SV=1</t>
  </si>
  <si>
    <t>ATPB_ECO24</t>
  </si>
  <si>
    <t>atpD</t>
  </si>
  <si>
    <t>ATPB_ECO24; ATPB_ECO27; ATPB_ECO45; ATPB_ECO55; ATPB_ECO57; ATPB_ECO5E; ATPB_ECO7I; ATPB_ECO81; ATPB_ECO8A; ATPB_ECOBW; ATPB_ECODH; ATPB_ECOHS; ATPB_ECOK1; ATPB_ECOL5; ATPB_ECOL6; ATPB_ECOLC; ATPB_ECOLI; ATPB_ECOLU; ATPB_ECOSE; ATPB_ECOSM; ATPB_ECOUT</t>
  </si>
  <si>
    <t>sp|A7ZTU4|ATPB_ECO24 ATP synthase subunit beta OS=Escherichia coli O139:H28 (strain E24377A / ETEC) OX=331111 GN=atpD PE=3 SV=1</t>
  </si>
  <si>
    <t>CLPB_ECO57</t>
  </si>
  <si>
    <t>clpB</t>
  </si>
  <si>
    <t>CLPB_ECO57; CLPB_ECOL6; CLPB_ECOLI</t>
  </si>
  <si>
    <t>sp|P63285|CLPB_ECO57 Chaperone protein ClpB OS=Escherichia coli O157:H7 OX=83334 GN=clpB PE=3 SV=1</t>
  </si>
  <si>
    <t>version</t>
  </si>
  <si>
    <t>2.0</t>
  </si>
  <si>
    <t>use last peakel detection</t>
  </si>
  <si>
    <t>false</t>
  </si>
  <si>
    <t>detection method name</t>
  </si>
  <si>
    <t>DETECT_PEAKELS</t>
  </si>
  <si>
    <t>alignment smoothing method window size</t>
  </si>
  <si>
    <t>50</t>
  </si>
  <si>
    <t>alignment smoothing method window overlap</t>
  </si>
  <si>
    <t>alignment smoothing method min window landmarks</t>
  </si>
  <si>
    <t>alignment smoothing method name</t>
  </si>
  <si>
    <t>LANDMARK_RANGE</t>
  </si>
  <si>
    <t>alignment method max iterations</t>
  </si>
  <si>
    <t>alignment method mass interval</t>
  </si>
  <si>
    <t>20000</t>
  </si>
  <si>
    <t>alignment method name</t>
  </si>
  <si>
    <t>ITERATIVE</t>
  </si>
  <si>
    <t>alignment ignore errors</t>
  </si>
  <si>
    <t>alignment feature mapping method time tolerance</t>
  </si>
  <si>
    <t>600</t>
  </si>
  <si>
    <t>alignment feature mapping method moz tolerance</t>
  </si>
  <si>
    <t>5 ppm</t>
  </si>
  <si>
    <t>alignment feature mapping method name</t>
  </si>
  <si>
    <t>PEPTIDE_IDENTITY</t>
  </si>
  <si>
    <t>cross assignment restrain to reliable features</t>
  </si>
  <si>
    <t>cross assignment method name</t>
  </si>
  <si>
    <t>BETWEEN_ALL_RUNS</t>
  </si>
  <si>
    <t>cross assignment feature filter operator</t>
  </si>
  <si>
    <t>GT</t>
  </si>
  <si>
    <t>cross assignment feature filter value</t>
  </si>
  <si>
    <t>0</t>
  </si>
  <si>
    <t>cross assignment feature filter name</t>
  </si>
  <si>
    <t>INTENSITY</t>
  </si>
  <si>
    <t>cross assignment feature mapping time tolerance</t>
  </si>
  <si>
    <t>60</t>
  </si>
  <si>
    <t>cross assignment feature mapping moz tolerance</t>
  </si>
  <si>
    <t>extraction moz tolerance</t>
  </si>
  <si>
    <t>detection start from validated peptides</t>
  </si>
  <si>
    <t>detection isotope matching moz tolerance</t>
  </si>
  <si>
    <t>detection min peakel duration</t>
  </si>
  <si>
    <t>15</t>
  </si>
  <si>
    <t>detection psm matching moz tolerance</t>
  </si>
  <si>
    <t>clustering time computation</t>
  </si>
  <si>
    <t>MOST_INTENSE</t>
  </si>
  <si>
    <t>clustering time tolerance</t>
  </si>
  <si>
    <t>clustering moz tolerance</t>
  </si>
  <si>
    <t>clustering intensity computation</t>
  </si>
  <si>
    <t>discard peptides sharing peakels</t>
  </si>
  <si>
    <t>use only specific peptides</t>
  </si>
  <si>
    <t>peptide stat apply miss val inference</t>
  </si>
  <si>
    <t>peptide stat min psm count per ratio</t>
  </si>
  <si>
    <t>peptide stat min zscore</t>
  </si>
  <si>
    <t>0.04</t>
  </si>
  <si>
    <t>peptide stat stat tests alpha</t>
  </si>
  <si>
    <t>0.01</t>
  </si>
  <si>
    <t>peptide stat apply ttest</t>
  </si>
  <si>
    <t>peptide stat apply variance correction</t>
  </si>
  <si>
    <t>peptide stat apply ztest</t>
  </si>
  <si>
    <t>peptide stat apply normalization</t>
  </si>
  <si>
    <t>peptide stat miss val inference method</t>
  </si>
  <si>
    <t>GAUSSIAN_MODEL</t>
  </si>
  <si>
    <t>discard missed cleaved peptides</t>
  </si>
  <si>
    <t>oxidized peptide filtering method</t>
  </si>
  <si>
    <t>DISCARD_ALL_FORMS</t>
  </si>
  <si>
    <t>apply profile clustering</t>
  </si>
  <si>
    <t>protein stat apply miss val inference</t>
  </si>
  <si>
    <t>protein stat min psm count per ratio</t>
  </si>
  <si>
    <t>protein stat min zscore</t>
  </si>
  <si>
    <t>protein stat stat tests alpha</t>
  </si>
  <si>
    <t>protein stat apply ttest</t>
  </si>
  <si>
    <t>protein stat apply variance correction</t>
  </si>
  <si>
    <t>protein stat miss val inference noise percentile</t>
  </si>
  <si>
    <t>5</t>
  </si>
  <si>
    <t>protein stat apply ztest</t>
  </si>
  <si>
    <t>protein stat apply normalization</t>
  </si>
  <si>
    <t>protein stat miss val inference method</t>
  </si>
  <si>
    <t>PERCENTILE</t>
  </si>
  <si>
    <t>abundance summarizer method</t>
  </si>
  <si>
    <t>LFQ</t>
  </si>
  <si>
    <t>miss cleaved peptide filtering method</t>
  </si>
  <si>
    <t>discard oxidized peptides</t>
  </si>
  <si>
    <t>summarizing based on</t>
  </si>
  <si>
    <t>QUANT_PEPTIDE_IONS</t>
  </si>
  <si>
    <t>profile clustering method</t>
  </si>
  <si>
    <t>QUANT_PROFILE</t>
  </si>
  <si>
    <t>GLRR_ECOLI</t>
  </si>
  <si>
    <t>glrR</t>
  </si>
  <si>
    <t>GLRR_ECOLI; QSEF_ECO57</t>
  </si>
  <si>
    <t>sp|P0AFU4|GLRR_ECOLI Transcriptional regulatory protein GlrR OS=Escherichia coli (strain K12) OX=83333 GN=glrR PE=1 SV=1</t>
  </si>
  <si>
    <t>YEGQ_ECOLI</t>
  </si>
  <si>
    <t>yegQ</t>
  </si>
  <si>
    <t>sp|P76403|YEGQ_ECOLI Uncharacterized protease YegQ OS=Escherichia coli (strain K12) OX=83333 GN=yegQ PE=3 SV=1</t>
  </si>
  <si>
    <t>YFBU_ECO24</t>
  </si>
  <si>
    <t>yfbU</t>
  </si>
  <si>
    <t>YFBU_ECO24; YFBU_ECO27; YFBU_ECO45; YFBU_ECO55; YFBU_ECO57; YFBU_ECO5E; YFBU_ECO7I; YFBU_ECO81; YFBU_ECO8A; YFBU_ECOBW; YFBU_ECODH; YFBU_ECOL5; YFBU_ECOL6; YFBU_ECOLC; YFBU_ECOLI; YFBU_ECOLU; YFBU_ECOSE; YFBU_ECOSM</t>
  </si>
  <si>
    <t>sp|A7ZPA8|YFBU_ECO24 UPF0304 protein YfbU OS=Escherichia coli O139:H28 (strain E24377A / ETEC) OX=331111 GN=yfbU PE=3 SV=1</t>
  </si>
  <si>
    <t>IDND_ECOLI</t>
  </si>
  <si>
    <t>idnD</t>
  </si>
  <si>
    <t>sp|P39346|IDND_ECOLI L-idonate 5-dehydrogenase (NAD(P)(+)) OS=Escherichia coli (strain K12) OX=83333 GN=idnD PE=1 SV=1</t>
  </si>
  <si>
    <t>YQIK_ECOLI</t>
  </si>
  <si>
    <t>yqiK</t>
  </si>
  <si>
    <t>sp|P77306|YQIK_ECOLI Inner membrane protein YqiK OS=Escherichia coli (strain K12) OX=83333 GN=yqiK PE=1 SV=1</t>
  </si>
  <si>
    <t>RMUC_ECO57</t>
  </si>
  <si>
    <t>rmuC</t>
  </si>
  <si>
    <t>RMUC_ECO57; RMUC_ECOLI</t>
  </si>
  <si>
    <t>sp|P0AG72|RMUC_ECO57 DNA recombination protein RmuC OS=Escherichia coli O157:H7 OX=83334 GN=rmuC PE=3 SV=1</t>
  </si>
  <si>
    <t>YEGI_ECO57</t>
  </si>
  <si>
    <t>yegI</t>
  </si>
  <si>
    <t>YEGI_ECOLI</t>
  </si>
  <si>
    <t>sp|Q8X7J8|YEGI_ECO57 Protein kinase YegI OS=Escherichia coli O157:H7 OX=83334 GN=yegI PE=3 SV=1</t>
  </si>
  <si>
    <t>CFAD_ECOLX</t>
  </si>
  <si>
    <t>cfaD</t>
  </si>
  <si>
    <t>RNS_ECOLX</t>
  </si>
  <si>
    <t>sp|P25393|CFAD_ECOLX CFA/I fimbrial subunit D OS=Escherichia coli OX=562 GN=cfaD PE=1 SV=2</t>
  </si>
  <si>
    <t>CON__TPM2_BOVIN</t>
  </si>
  <si>
    <t>TPM2</t>
  </si>
  <si>
    <t>CON__TPM2_BOVIN; CON__TPM2_BOVIN</t>
  </si>
  <si>
    <t>sp|Q5KR48-2|CON__TPM2_BOVIN Isoform 2 of Tropomyosin beta chain OS=Bos taurus OX=9913 GN=TPM2</t>
  </si>
  <si>
    <t>CON__CO3_BOVIN</t>
  </si>
  <si>
    <t>C3</t>
  </si>
  <si>
    <t>sp|Q2UVX4|CON__CO3_BOVIN Complement C3 OS=Bos taurus OX=9913 GN=C3 PE=1 SV=2</t>
  </si>
  <si>
    <t>project_name</t>
  </si>
  <si>
    <t>Christophe Danelon</t>
  </si>
  <si>
    <t>quant_channel_name</t>
  </si>
  <si>
    <t>1_Top01nM A</t>
  </si>
  <si>
    <t>2_Top01nM B</t>
  </si>
  <si>
    <t>3_Ref01nM A</t>
  </si>
  <si>
    <t>4_Ref01nM B</t>
  </si>
  <si>
    <t>7_Top1nM A</t>
  </si>
  <si>
    <t>8_Top1nM B</t>
  </si>
  <si>
    <t>9_Ref1nM A</t>
  </si>
  <si>
    <t>10_Ref1nM B</t>
  </si>
  <si>
    <t>result_set_name</t>
  </si>
  <si>
    <t>AJS Christophe Danelon 240625 [Mascot] QEAJS250620_03.raw.mgf</t>
  </si>
  <si>
    <t>AJS Christophe Danelon 240625 [Mascot] QEAJS250620_05.raw.mgf</t>
  </si>
  <si>
    <t>AJS Christophe Danelon 240625 [Mascot] QEAJS250620_07.raw.mgf</t>
  </si>
  <si>
    <t>AJS Christophe Danelon 240625 [Mascot] QEAJS250620_09.raw.mgf</t>
  </si>
  <si>
    <t>AJS Christophe Danelon 240625 [Mascot] QEAJS250620_11.raw.mgf</t>
  </si>
  <si>
    <t>AJS Christophe Danelon 240625 [Mascot] QEAJS250620_13.raw.mgf</t>
  </si>
  <si>
    <t>AJS Christophe Danelon 240625 [Mascot] QEAJS250620_15.raw.mgf</t>
  </si>
  <si>
    <t>AJS Christophe Danelon 240625 [Mascot] QEAJS250620_17b.raw.mgf</t>
  </si>
  <si>
    <t>search_title</t>
  </si>
  <si>
    <t>search_date</t>
  </si>
  <si>
    <t>2025:06:24 10:49:21</t>
  </si>
  <si>
    <t>2025:06:24 10:51:39</t>
  </si>
  <si>
    <t>2025:06:24 10:50:47</t>
  </si>
  <si>
    <t>2025:06:24 10:51:36</t>
  </si>
  <si>
    <t>2025:06:24 10:53:09</t>
  </si>
  <si>
    <t>raw_file_name</t>
  </si>
  <si>
    <t>QEAJS250620_03</t>
  </si>
  <si>
    <t>QEAJS250620_05</t>
  </si>
  <si>
    <t>QEAJS250620_07</t>
  </si>
  <si>
    <t>QEAJS250620_09</t>
  </si>
  <si>
    <t>QEAJS250620_11</t>
  </si>
  <si>
    <t>QEAJS250620_13</t>
  </si>
  <si>
    <t>QEAJS250620_15</t>
  </si>
  <si>
    <t>QEAJS250620_17b</t>
  </si>
  <si>
    <t>peaklist_file_path</t>
  </si>
  <si>
    <t>QEAJS250620_03.raw.mgf</t>
  </si>
  <si>
    <t>QEAJS250620_05.raw.mgf</t>
  </si>
  <si>
    <t>QEAJS250620_07.raw.mgf</t>
  </si>
  <si>
    <t>QEAJS250620_09.raw.mgf</t>
  </si>
  <si>
    <t>QEAJS250620_11.raw.mgf</t>
  </si>
  <si>
    <t>QEAJS250620_13.raw.mgf</t>
  </si>
  <si>
    <t>QEAJS250620_15.raw.mgf</t>
  </si>
  <si>
    <t>QEAJS250620_17b.raw.mgf</t>
  </si>
  <si>
    <t>result_file_name</t>
  </si>
  <si>
    <t>F148375.dat</t>
  </si>
  <si>
    <t>F148376.dat</t>
  </si>
  <si>
    <t>F148377.dat</t>
  </si>
  <si>
    <t>F148378.dat</t>
  </si>
  <si>
    <t>F148379.dat</t>
  </si>
  <si>
    <t>F148380.dat</t>
  </si>
  <si>
    <t>F148381.dat</t>
  </si>
  <si>
    <t>F148382.dat</t>
  </si>
  <si>
    <t>result_file_directory</t>
  </si>
  <si>
    <t>G:\Mascot\data\20250624</t>
  </si>
  <si>
    <t>job_number</t>
  </si>
  <si>
    <t>user_name</t>
  </si>
  <si>
    <t>stella</t>
  </si>
  <si>
    <t>user_email</t>
  </si>
  <si>
    <t>queries_count</t>
  </si>
  <si>
    <t>searched_sequences_count</t>
  </si>
  <si>
    <t>software_name</t>
  </si>
  <si>
    <t>Mascot</t>
  </si>
  <si>
    <t>software_version</t>
  </si>
  <si>
    <t>2.8.3</t>
  </si>
  <si>
    <t>instrument_config</t>
  </si>
  <si>
    <t>Q-EXACTIVE (A1=FTMS F=HCD A2=FTMS)</t>
  </si>
  <si>
    <t>database_names</t>
  </si>
  <si>
    <t>D:/Sequences/Alexandre/current/Alex_20191003.fasta; D:/Sequences/contaminants/current/contaminants_20220223.fasta; D:/Sequences/Sprot_Ecoli/current/Sprot_Ecoli_20191105.fasta</t>
  </si>
  <si>
    <t>database_releases</t>
  </si>
  <si>
    <t>2024:11:19 15:07:18; 2025:01:20 16:08:51; 2025:01:20 16:08:51</t>
  </si>
  <si>
    <t>database_sequences_count</t>
  </si>
  <si>
    <t>29; 364; 23135</t>
  </si>
  <si>
    <t>taxonomy</t>
  </si>
  <si>
    <t>All entries</t>
  </si>
  <si>
    <t>enzymes</t>
  </si>
  <si>
    <t>Trypsin/P</t>
  </si>
  <si>
    <t>max_missed_cleavages</t>
  </si>
  <si>
    <t>fixed_ptms</t>
  </si>
  <si>
    <t>Carbamidomethyl (C)</t>
  </si>
  <si>
    <t>variable_ptms</t>
  </si>
  <si>
    <t>Oxidation (M)</t>
  </si>
  <si>
    <t>peptide_charge_states</t>
  </si>
  <si>
    <t>2+ and 3+</t>
  </si>
  <si>
    <t>peptide_mass_error_tolerance</t>
  </si>
  <si>
    <t>10.0 ppm</t>
  </si>
  <si>
    <t>fragment_mass_error_tolerance</t>
  </si>
  <si>
    <t>20.0 mmu</t>
  </si>
  <si>
    <t>is_decoy</t>
  </si>
  <si>
    <t>-</t>
  </si>
  <si>
    <t>DATASET_IdentSummary_Id134</t>
  </si>
  <si>
    <t>import_params</t>
  </si>
  <si>
    <t>Target-Decoy Mode: SEPARATED</t>
  </si>
  <si>
    <t>psm_filter_expected_fdr</t>
  </si>
  <si>
    <t>psm_filter_1</t>
  </si>
  <si>
    <t>PSM FILTER: PRETTY_RANK; Description: peptide match rank filter; Properties: [threshold_value=1]</t>
  </si>
  <si>
    <t>psm_filter_2</t>
  </si>
  <si>
    <t>PSM FILTER: PEP_SEQ_LENGTH; Description: peptide sequence length filter; Properties: [threshold_value=7]</t>
  </si>
  <si>
    <t>psm_filter_3</t>
  </si>
  <si>
    <t>PSM FILTER: MASCOT_ADJUSTED_EVALUE; Description: peptide match mascot adjusted e-value filter; Properties: [threshold_value=0.21994884128941639]</t>
  </si>
  <si>
    <t>PSM FILTER: MASCOT_ADJUSTED_EVALUE; Description: peptide match mascot adjusted e-value filter; Properties: [threshold_value=0.2063572370969387]</t>
  </si>
  <si>
    <t>PSM FILTER: MASCOT_ADJUSTED_EVALUE; Description: peptide match mascot adjusted e-value filter; Properties: [threshold_value=0.492532903955975]</t>
  </si>
  <si>
    <t>PSM FILTER: MASCOT_ADJUSTED_EVALUE; Description: peptide match mascot adjusted e-value filter; Properties: [threshold_value=0.33179263094257805]</t>
  </si>
  <si>
    <t>PSM FILTER: MASCOT_ADJUSTED_EVALUE; Description: peptide match mascot adjusted e-value filter; Properties: [threshold_value=0.23086381047182597]</t>
  </si>
  <si>
    <t>PSM FILTER: MASCOT_ADJUSTED_EVALUE; Description: peptide match mascot adjusted e-value filter; Properties: [threshold_value=0.3212127005292242]</t>
  </si>
  <si>
    <t>PSM FILTER: MASCOT_ADJUSTED_EVALUE; Description: peptide match mascot adjusted e-value filter; Properties: [threshold_value=0.44978187298916555]</t>
  </si>
  <si>
    <t>PSM FILTER: MASCOT_ADJUSTED_EVALUE; Description: peptide match mascot adjusted e-value filter; Properties: [threshold_value=0.709386520585258]</t>
  </si>
  <si>
    <t>prot_filter_expected_fdr</t>
  </si>
  <si>
    <t>import_prot_filter_1</t>
  </si>
  <si>
    <t>Protein FILTER: SPECIFIC_PEP; Description: protein set filter on specific peptide (protein set context); Properties: [threshold_value=1]</t>
  </si>
  <si>
    <t>import_prot_filter_2</t>
  </si>
  <si>
    <t>Protein FILTER: SCORE; Description: protein set score filter; Properties: [rule_1_threshold_value=6.4034104, rule_2_threshold_value=0.0]</t>
  </si>
  <si>
    <t>Protein FILTER: SCORE; Description: protein set score filter; Properties: [rule_1_threshold_value=7.324288, rule_2_threshold_value=2.5187721]</t>
  </si>
  <si>
    <t>Protein FILTER: SCORE; Description: protein set score filter; Properties: [rule_1_threshold_value=7.5500007, rule_2_threshold_value=0.0]</t>
  </si>
  <si>
    <t>Protein FILTER: SCORE; Description: protein set score filter; Properties: [rule_1_threshold_value=4.359157, rule_2_threshold_value=3.5965052]</t>
  </si>
  <si>
    <t>Protein FILTER: SCORE; Description: protein set score filter; Properties: [rule_1_threshold_value=3.7209907, rule_2_threshold_value=0.1]</t>
  </si>
  <si>
    <t>Protein FILTER: SCORE; Description: protein set score filter; Properties: [rule_1_threshold_value=3.8700004, rule_2_threshold_value=0.0]</t>
  </si>
  <si>
    <t>Protein FILTER: SCORE; Description: protein set score filter; Properties: [rule_1_threshold_value=2.9455972, rule_2_threshold_value=0.0]</t>
  </si>
  <si>
    <t>Protein FILTER: SCORE; Description: protein set score filter; Properties: [rule_1_threshold_value=8.141647, rule_2_threshold_value=0.0]</t>
  </si>
  <si>
    <t>import_prot_filter_3</t>
  </si>
  <si>
    <t>Mean_Top7_0.1</t>
  </si>
  <si>
    <t>Mean_REF_0.1</t>
  </si>
  <si>
    <t>Mean_Top7_1</t>
  </si>
  <si>
    <t>Mean_REF_1</t>
  </si>
  <si>
    <t>(Top-REF)/REF_Top7_0.1</t>
  </si>
  <si>
    <t>(Top-REF)/REF_Top7_1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</si>
</sst>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</font>
    <font>
      <b/>
      <sz val="11"/>
      <color rgb="FFFF0000"/>
      <name val="Calibri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/>
    <xf numFmtId="11" fontId="4" fillId="3" borderId="0" xfId="0" applyNumberFormat="1" applyFont="1" applyFill="1"/>
    <xf numFmtId="11" fontId="4" fillId="4" borderId="0" xfId="0" applyNumberFormat="1" applyFont="1" applyFill="1"/>
    <xf numFmtId="11" fontId="4" fillId="5" borderId="0" xfId="0" applyNumberFormat="1" applyFont="1" applyFill="1"/>
    <xf numFmtId="11" fontId="4" fillId="6" borderId="0" xfId="0" applyNumberFormat="1" applyFont="1" applyFill="1"/>
    <xf numFmtId="11" fontId="0" fillId="3" borderId="0" xfId="0" applyNumberFormat="1" applyFill="1"/>
    <xf numFmtId="11" fontId="0" fillId="4" borderId="0" xfId="0" applyNumberFormat="1" applyFill="1"/>
    <xf numFmtId="11" fontId="0" fillId="5" borderId="0" xfId="0" applyNumberFormat="1" applyFill="1"/>
    <xf numFmtId="11" fontId="0" fillId="6" borderId="0" xfId="0" applyNumberFormat="1" applyFill="1"/>
    <xf numFmtId="0" fontId="6" fillId="2" borderId="0" xfId="0" applyFont="1" applyFill="1"/>
    <xf numFmtId="0" fontId="5" fillId="0" borderId="0" xfId="0" applyFont="1"/>
    <xf numFmtId="11" fontId="0" fillId="0" borderId="0" xfId="0" applyNumberFormat="1"/>
    <xf numFmtId="0" fontId="7" fillId="7" borderId="0" xfId="0" applyFont="1" applyFill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'Protein sets (2)'!$AT$2</c:f>
              <c:strCache>
                <c:ptCount val="1"/>
                <c:pt idx="0">
                  <c:v>DPOL_BPPH2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'Protein sets (2)'!$AU$1:$BB$1</c:f>
              <c:strCache>
                <c:ptCount val="8"/>
                <c:pt idx="0">
                  <c:v>abundance_1_Top01nM A</c:v>
                </c:pt>
                <c:pt idx="1">
                  <c:v>abundance_2_Top01nM B</c:v>
                </c:pt>
                <c:pt idx="2">
                  <c:v>abundance_3_Ref01nM A</c:v>
                </c:pt>
                <c:pt idx="3">
                  <c:v>abundance_4_Ref01nM B</c:v>
                </c:pt>
                <c:pt idx="4">
                  <c:v>abundance_7_Top1nM A</c:v>
                </c:pt>
                <c:pt idx="5">
                  <c:v>abundance_8_Top1nM B</c:v>
                </c:pt>
                <c:pt idx="6">
                  <c:v>abundance_9_Ref1nM A</c:v>
                </c:pt>
                <c:pt idx="7">
                  <c:v>abundance_10_Ref1nM B</c:v>
                </c:pt>
              </c:strCache>
            </c:strRef>
          </c:cat>
          <c:val>
            <c:numRef>
              <c:f>'Protein sets (2)'!$AU$2:$BB$2</c:f>
              <c:numCache>
                <c:formatCode>0.00E+00</c:formatCode>
                <c:ptCount val="8"/>
                <c:pt idx="0">
                  <c:v>3556477184</c:v>
                </c:pt>
                <c:pt idx="1">
                  <c:v>3597851648</c:v>
                </c:pt>
                <c:pt idx="2">
                  <c:v>3297831168</c:v>
                </c:pt>
                <c:pt idx="3">
                  <c:v>4066207488</c:v>
                </c:pt>
                <c:pt idx="4">
                  <c:v>5413147648</c:v>
                </c:pt>
                <c:pt idx="5">
                  <c:v>6560602112</c:v>
                </c:pt>
                <c:pt idx="6">
                  <c:v>8187294720</c:v>
                </c:pt>
                <c:pt idx="7">
                  <c:v>8480015360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E-40F6-862D-F5A6A1BFD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143328"/>
        <c:axId val="234141888"/>
      </c:barChart>
      <c:catAx>
        <c:axId val="23414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141888"/>
        <c:crosses val="autoZero"/>
        <c:auto val="1"/>
        <c:lblAlgn val="ctr"/>
        <c:lblOffset val="100"/>
        <c:noMultiLvlLbl val="0"/>
      </c:catAx>
      <c:valAx>
        <c:axId val="2341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14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Histogrammes!$AT$147</c:f>
              <c:strCache>
                <c:ptCount val="1"/>
                <c:pt idx="0">
                  <c:v>plsC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Histogrammes!$AU$1:$BB$1</c:f>
              <c:strCache>
                <c:ptCount val="8"/>
                <c:pt idx="0">
                  <c:v>abundance_1_Top01nM A</c:v>
                </c:pt>
                <c:pt idx="1">
                  <c:v>abundance_2_Top01nM B</c:v>
                </c:pt>
                <c:pt idx="2">
                  <c:v>abundance_3_Ref01nM A</c:v>
                </c:pt>
                <c:pt idx="3">
                  <c:v>abundance_4_Ref01nM B</c:v>
                </c:pt>
                <c:pt idx="4">
                  <c:v>abundance_7_Top1nM A</c:v>
                </c:pt>
                <c:pt idx="5">
                  <c:v>abundance_8_Top1nM B</c:v>
                </c:pt>
                <c:pt idx="6">
                  <c:v>abundance_9_Ref1nM A</c:v>
                </c:pt>
                <c:pt idx="7">
                  <c:v>abundance_10_Ref1nM B</c:v>
                </c:pt>
              </c:strCache>
            </c:strRef>
          </c:cat>
          <c:val>
            <c:numRef>
              <c:f>Histogrammes!$AU$147:$BB$147</c:f>
              <c:numCache>
                <c:formatCode>0.00E+00</c:formatCode>
                <c:ptCount val="8"/>
                <c:pt idx="0">
                  <c:v>2191307264</c:v>
                </c:pt>
                <c:pt idx="1">
                  <c:v>2680437248</c:v>
                </c:pt>
                <c:pt idx="2">
                  <c:v>1494492160</c:v>
                </c:pt>
                <c:pt idx="3">
                  <c:v>1811916160</c:v>
                </c:pt>
                <c:pt idx="4">
                  <c:v>1794449408</c:v>
                </c:pt>
                <c:pt idx="5">
                  <c:v>2273659136</c:v>
                </c:pt>
                <c:pt idx="6">
                  <c:v>2260351232</c:v>
                </c:pt>
                <c:pt idx="7">
                  <c:v>2888054784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6-420C-8257-489ED477C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707840"/>
        <c:axId val="403709280"/>
      </c:barChart>
      <c:catAx>
        <c:axId val="40370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09280"/>
        <c:crosses val="autoZero"/>
        <c:auto val="1"/>
        <c:lblAlgn val="ctr"/>
        <c:lblOffset val="100"/>
        <c:noMultiLvlLbl val="0"/>
      </c:catAx>
      <c:valAx>
        <c:axId val="4037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0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1660524</xdr:colOff>
      <xdr:row>21</xdr:row>
      <xdr:rowOff>57150</xdr:rowOff>
    </xdr:from>
    <xdr:to>
      <xdr:col>53</xdr:col>
      <xdr:colOff>260349</xdr:colOff>
      <xdr:row>36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91E05A-4E19-0A08-DF19-A60070FB5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1606550</xdr:colOff>
      <xdr:row>326</xdr:row>
      <xdr:rowOff>44450</xdr:rowOff>
    </xdr:from>
    <xdr:to>
      <xdr:col>52</xdr:col>
      <xdr:colOff>146049</xdr:colOff>
      <xdr:row>341</xdr:row>
      <xdr:rowOff>133350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BBCE543-0A22-16CD-7FA7-0BDA7541F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/>
  </sheetViews>
  <sheetFormatPr baseColWidth="10" defaultColWidth="8.75" defaultRowHeight="14.25"/>
  <cols>
    <col min="1" max="1" width="30" customWidth="1"/>
    <col min="2" max="9" width="175" customWidth="1"/>
  </cols>
  <sheetData>
    <row r="1" spans="1:9" ht="15">
      <c r="A1" s="1" t="s">
        <v>1381</v>
      </c>
      <c r="B1" s="3" t="s">
        <v>1382</v>
      </c>
      <c r="C1" s="3" t="s">
        <v>1382</v>
      </c>
      <c r="D1" s="3" t="s">
        <v>1382</v>
      </c>
      <c r="E1" s="3" t="s">
        <v>1382</v>
      </c>
      <c r="F1" s="3" t="s">
        <v>1382</v>
      </c>
      <c r="G1" s="3" t="s">
        <v>1382</v>
      </c>
      <c r="H1" s="3" t="s">
        <v>1382</v>
      </c>
      <c r="I1" s="3" t="s">
        <v>1382</v>
      </c>
    </row>
    <row r="2" spans="1:9" ht="15">
      <c r="A2" s="2" t="s">
        <v>1383</v>
      </c>
      <c r="B2" s="4" t="s">
        <v>1384</v>
      </c>
      <c r="C2" s="4" t="s">
        <v>1385</v>
      </c>
      <c r="D2" s="4" t="s">
        <v>1386</v>
      </c>
      <c r="E2" s="4" t="s">
        <v>1387</v>
      </c>
      <c r="F2" s="4" t="s">
        <v>1388</v>
      </c>
      <c r="G2" s="4" t="s">
        <v>1389</v>
      </c>
      <c r="H2" s="4" t="s">
        <v>1390</v>
      </c>
      <c r="I2" s="4" t="s">
        <v>1391</v>
      </c>
    </row>
    <row r="3" spans="1:9" ht="15">
      <c r="A3" s="1" t="s">
        <v>1392</v>
      </c>
      <c r="B3" s="3" t="s">
        <v>1393</v>
      </c>
      <c r="C3" s="3" t="s">
        <v>1394</v>
      </c>
      <c r="D3" s="3" t="s">
        <v>1395</v>
      </c>
      <c r="E3" s="3" t="s">
        <v>1396</v>
      </c>
      <c r="F3" s="3" t="s">
        <v>1397</v>
      </c>
      <c r="G3" s="3" t="s">
        <v>1398</v>
      </c>
      <c r="H3" s="3" t="s">
        <v>1399</v>
      </c>
      <c r="I3" s="3" t="s">
        <v>1400</v>
      </c>
    </row>
    <row r="4" spans="1:9" ht="15">
      <c r="A4" s="2" t="s">
        <v>1401</v>
      </c>
      <c r="B4" s="4" t="s">
        <v>1393</v>
      </c>
      <c r="C4" s="4" t="s">
        <v>1394</v>
      </c>
      <c r="D4" s="4" t="s">
        <v>1395</v>
      </c>
      <c r="E4" s="4" t="s">
        <v>1396</v>
      </c>
      <c r="F4" s="4" t="s">
        <v>1397</v>
      </c>
      <c r="G4" s="4" t="s">
        <v>1398</v>
      </c>
      <c r="H4" s="4" t="s">
        <v>1399</v>
      </c>
      <c r="I4" s="4" t="s">
        <v>1400</v>
      </c>
    </row>
    <row r="5" spans="1:9" ht="15">
      <c r="A5" s="1" t="s">
        <v>1402</v>
      </c>
      <c r="B5" s="3" t="s">
        <v>1403</v>
      </c>
      <c r="C5" s="3" t="s">
        <v>1404</v>
      </c>
      <c r="D5" s="3" t="s">
        <v>1404</v>
      </c>
      <c r="E5" s="3" t="s">
        <v>1405</v>
      </c>
      <c r="F5" s="3" t="s">
        <v>1404</v>
      </c>
      <c r="G5" s="3" t="s">
        <v>1404</v>
      </c>
      <c r="H5" s="3" t="s">
        <v>1406</v>
      </c>
      <c r="I5" s="3" t="s">
        <v>1407</v>
      </c>
    </row>
    <row r="6" spans="1:9" ht="15">
      <c r="A6" s="2" t="s">
        <v>1408</v>
      </c>
      <c r="B6" s="4" t="s">
        <v>1409</v>
      </c>
      <c r="C6" s="4" t="s">
        <v>1410</v>
      </c>
      <c r="D6" s="4" t="s">
        <v>1411</v>
      </c>
      <c r="E6" s="4" t="s">
        <v>1412</v>
      </c>
      <c r="F6" s="4" t="s">
        <v>1413</v>
      </c>
      <c r="G6" s="4" t="s">
        <v>1414</v>
      </c>
      <c r="H6" s="4" t="s">
        <v>1415</v>
      </c>
      <c r="I6" s="4" t="s">
        <v>1416</v>
      </c>
    </row>
    <row r="7" spans="1:9" ht="15">
      <c r="A7" s="1" t="s">
        <v>1417</v>
      </c>
      <c r="B7" s="3" t="s">
        <v>1418</v>
      </c>
      <c r="C7" s="3" t="s">
        <v>1419</v>
      </c>
      <c r="D7" s="3" t="s">
        <v>1420</v>
      </c>
      <c r="E7" s="3" t="s">
        <v>1421</v>
      </c>
      <c r="F7" s="3" t="s">
        <v>1422</v>
      </c>
      <c r="G7" s="3" t="s">
        <v>1423</v>
      </c>
      <c r="H7" s="3" t="s">
        <v>1424</v>
      </c>
      <c r="I7" s="3" t="s">
        <v>1425</v>
      </c>
    </row>
    <row r="8" spans="1:9" ht="15">
      <c r="A8" s="2" t="s">
        <v>1426</v>
      </c>
      <c r="B8" s="4" t="s">
        <v>1427</v>
      </c>
      <c r="C8" s="4" t="s">
        <v>1428</v>
      </c>
      <c r="D8" s="4" t="s">
        <v>1429</v>
      </c>
      <c r="E8" s="4" t="s">
        <v>1430</v>
      </c>
      <c r="F8" s="4" t="s">
        <v>1431</v>
      </c>
      <c r="G8" s="4" t="s">
        <v>1432</v>
      </c>
      <c r="H8" s="4" t="s">
        <v>1433</v>
      </c>
      <c r="I8" s="4" t="s">
        <v>1434</v>
      </c>
    </row>
    <row r="9" spans="1:9" ht="15">
      <c r="A9" s="1" t="s">
        <v>1435</v>
      </c>
      <c r="B9" s="3" t="s">
        <v>1436</v>
      </c>
      <c r="C9" s="3" t="s">
        <v>1436</v>
      </c>
      <c r="D9" s="3" t="s">
        <v>1436</v>
      </c>
      <c r="E9" s="3" t="s">
        <v>1436</v>
      </c>
      <c r="F9" s="3" t="s">
        <v>1436</v>
      </c>
      <c r="G9" s="3" t="s">
        <v>1436</v>
      </c>
      <c r="H9" s="3" t="s">
        <v>1436</v>
      </c>
      <c r="I9" s="3" t="s">
        <v>1436</v>
      </c>
    </row>
    <row r="10" spans="1:9" ht="15">
      <c r="A10" s="2" t="s">
        <v>1437</v>
      </c>
      <c r="B10" s="4">
        <v>148375</v>
      </c>
      <c r="C10" s="4">
        <v>148376</v>
      </c>
      <c r="D10" s="4">
        <v>148377</v>
      </c>
      <c r="E10" s="4">
        <v>148378</v>
      </c>
      <c r="F10" s="4">
        <v>148379</v>
      </c>
      <c r="G10" s="4">
        <v>148380</v>
      </c>
      <c r="H10" s="4">
        <v>148381</v>
      </c>
      <c r="I10" s="4">
        <v>148382</v>
      </c>
    </row>
    <row r="11" spans="1:9" ht="15">
      <c r="A11" s="1" t="s">
        <v>1438</v>
      </c>
      <c r="B11" s="3" t="s">
        <v>1439</v>
      </c>
      <c r="C11" s="3" t="s">
        <v>1439</v>
      </c>
      <c r="D11" s="3" t="s">
        <v>1439</v>
      </c>
      <c r="E11" s="3" t="s">
        <v>1439</v>
      </c>
      <c r="F11" s="3" t="s">
        <v>1439</v>
      </c>
      <c r="G11" s="3" t="s">
        <v>1439</v>
      </c>
      <c r="H11" s="3" t="s">
        <v>1439</v>
      </c>
      <c r="I11" s="3" t="s">
        <v>1439</v>
      </c>
    </row>
    <row r="12" spans="1:9" ht="15">
      <c r="A12" s="2" t="s">
        <v>1440</v>
      </c>
      <c r="B12" s="4"/>
      <c r="C12" s="4"/>
      <c r="D12" s="4"/>
      <c r="E12" s="4"/>
      <c r="F12" s="4"/>
      <c r="G12" s="4"/>
      <c r="H12" s="4"/>
      <c r="I12" s="4"/>
    </row>
    <row r="13" spans="1:9" ht="15">
      <c r="A13" s="1" t="s">
        <v>1441</v>
      </c>
      <c r="B13" s="3">
        <v>21811</v>
      </c>
      <c r="C13" s="3">
        <v>22118</v>
      </c>
      <c r="D13" s="3">
        <v>22684</v>
      </c>
      <c r="E13" s="3">
        <v>22233</v>
      </c>
      <c r="F13" s="3">
        <v>23636</v>
      </c>
      <c r="G13" s="3">
        <v>23684</v>
      </c>
      <c r="H13" s="3">
        <v>23154</v>
      </c>
      <c r="I13" s="3">
        <v>22995</v>
      </c>
    </row>
    <row r="14" spans="1:9" ht="15">
      <c r="A14" s="2" t="s">
        <v>1442</v>
      </c>
      <c r="B14" s="4">
        <v>23530</v>
      </c>
      <c r="C14" s="4">
        <v>23530</v>
      </c>
      <c r="D14" s="4">
        <v>23530</v>
      </c>
      <c r="E14" s="4">
        <v>23530</v>
      </c>
      <c r="F14" s="4">
        <v>23530</v>
      </c>
      <c r="G14" s="4">
        <v>23530</v>
      </c>
      <c r="H14" s="4">
        <v>23530</v>
      </c>
      <c r="I14" s="4">
        <v>23530</v>
      </c>
    </row>
    <row r="15" spans="1:9" ht="15">
      <c r="A15" s="1" t="s">
        <v>1443</v>
      </c>
      <c r="B15" s="3" t="s">
        <v>1444</v>
      </c>
      <c r="C15" s="3" t="s">
        <v>1444</v>
      </c>
      <c r="D15" s="3" t="s">
        <v>1444</v>
      </c>
      <c r="E15" s="3" t="s">
        <v>1444</v>
      </c>
      <c r="F15" s="3" t="s">
        <v>1444</v>
      </c>
      <c r="G15" s="3" t="s">
        <v>1444</v>
      </c>
      <c r="H15" s="3" t="s">
        <v>1444</v>
      </c>
      <c r="I15" s="3" t="s">
        <v>1444</v>
      </c>
    </row>
    <row r="16" spans="1:9" ht="15">
      <c r="A16" s="2" t="s">
        <v>1445</v>
      </c>
      <c r="B16" s="4" t="s">
        <v>1446</v>
      </c>
      <c r="C16" s="4" t="s">
        <v>1446</v>
      </c>
      <c r="D16" s="4" t="s">
        <v>1446</v>
      </c>
      <c r="E16" s="4" t="s">
        <v>1446</v>
      </c>
      <c r="F16" s="4" t="s">
        <v>1446</v>
      </c>
      <c r="G16" s="4" t="s">
        <v>1446</v>
      </c>
      <c r="H16" s="4" t="s">
        <v>1446</v>
      </c>
      <c r="I16" s="4" t="s">
        <v>1446</v>
      </c>
    </row>
    <row r="17" spans="1:9" ht="15">
      <c r="A17" s="1" t="s">
        <v>1447</v>
      </c>
      <c r="B17" s="3" t="s">
        <v>1448</v>
      </c>
      <c r="C17" s="3" t="s">
        <v>1448</v>
      </c>
      <c r="D17" s="3" t="s">
        <v>1448</v>
      </c>
      <c r="E17" s="3" t="s">
        <v>1448</v>
      </c>
      <c r="F17" s="3" t="s">
        <v>1448</v>
      </c>
      <c r="G17" s="3" t="s">
        <v>1448</v>
      </c>
      <c r="H17" s="3" t="s">
        <v>1448</v>
      </c>
      <c r="I17" s="3" t="s">
        <v>1448</v>
      </c>
    </row>
    <row r="18" spans="1:9" ht="15">
      <c r="A18" s="2" t="s">
        <v>1449</v>
      </c>
      <c r="B18" s="4" t="s">
        <v>1450</v>
      </c>
      <c r="C18" s="4" t="s">
        <v>1450</v>
      </c>
      <c r="D18" s="4" t="s">
        <v>1450</v>
      </c>
      <c r="E18" s="4" t="s">
        <v>1450</v>
      </c>
      <c r="F18" s="4" t="s">
        <v>1450</v>
      </c>
      <c r="G18" s="4" t="s">
        <v>1450</v>
      </c>
      <c r="H18" s="4" t="s">
        <v>1450</v>
      </c>
      <c r="I18" s="4" t="s">
        <v>1450</v>
      </c>
    </row>
    <row r="19" spans="1:9" ht="15">
      <c r="A19" s="1" t="s">
        <v>1451</v>
      </c>
      <c r="B19" s="3" t="s">
        <v>1452</v>
      </c>
      <c r="C19" s="3" t="s">
        <v>1452</v>
      </c>
      <c r="D19" s="3" t="s">
        <v>1452</v>
      </c>
      <c r="E19" s="3" t="s">
        <v>1452</v>
      </c>
      <c r="F19" s="3" t="s">
        <v>1452</v>
      </c>
      <c r="G19" s="3" t="s">
        <v>1452</v>
      </c>
      <c r="H19" s="3" t="s">
        <v>1452</v>
      </c>
      <c r="I19" s="3" t="s">
        <v>1452</v>
      </c>
    </row>
    <row r="20" spans="1:9" ht="15">
      <c r="A20" s="2" t="s">
        <v>1453</v>
      </c>
      <c r="B20" s="4" t="s">
        <v>1454</v>
      </c>
      <c r="C20" s="4" t="s">
        <v>1454</v>
      </c>
      <c r="D20" s="4" t="s">
        <v>1454</v>
      </c>
      <c r="E20" s="4" t="s">
        <v>1454</v>
      </c>
      <c r="F20" s="4" t="s">
        <v>1454</v>
      </c>
      <c r="G20" s="4" t="s">
        <v>1454</v>
      </c>
      <c r="H20" s="4" t="s">
        <v>1454</v>
      </c>
      <c r="I20" s="4" t="s">
        <v>1454</v>
      </c>
    </row>
    <row r="21" spans="1:9" ht="15">
      <c r="A21" s="1" t="s">
        <v>1455</v>
      </c>
      <c r="B21" s="3" t="s">
        <v>1456</v>
      </c>
      <c r="C21" s="3" t="s">
        <v>1456</v>
      </c>
      <c r="D21" s="3" t="s">
        <v>1456</v>
      </c>
      <c r="E21" s="3" t="s">
        <v>1456</v>
      </c>
      <c r="F21" s="3" t="s">
        <v>1456</v>
      </c>
      <c r="G21" s="3" t="s">
        <v>1456</v>
      </c>
      <c r="H21" s="3" t="s">
        <v>1456</v>
      </c>
      <c r="I21" s="3" t="s">
        <v>1456</v>
      </c>
    </row>
    <row r="22" spans="1:9" ht="15">
      <c r="A22" s="2" t="s">
        <v>1457</v>
      </c>
      <c r="B22" s="4" t="s">
        <v>1458</v>
      </c>
      <c r="C22" s="4" t="s">
        <v>1458</v>
      </c>
      <c r="D22" s="4" t="s">
        <v>1458</v>
      </c>
      <c r="E22" s="4" t="s">
        <v>1458</v>
      </c>
      <c r="F22" s="4" t="s">
        <v>1458</v>
      </c>
      <c r="G22" s="4" t="s">
        <v>1458</v>
      </c>
      <c r="H22" s="4" t="s">
        <v>1458</v>
      </c>
      <c r="I22" s="4" t="s">
        <v>1458</v>
      </c>
    </row>
    <row r="23" spans="1:9" ht="15">
      <c r="A23" s="1" t="s">
        <v>1459</v>
      </c>
      <c r="B23" s="3">
        <v>2</v>
      </c>
      <c r="C23" s="3">
        <v>2</v>
      </c>
      <c r="D23" s="3">
        <v>2</v>
      </c>
      <c r="E23" s="3">
        <v>2</v>
      </c>
      <c r="F23" s="3">
        <v>2</v>
      </c>
      <c r="G23" s="3">
        <v>2</v>
      </c>
      <c r="H23" s="3">
        <v>2</v>
      </c>
      <c r="I23" s="3">
        <v>2</v>
      </c>
    </row>
    <row r="24" spans="1:9" ht="15">
      <c r="A24" s="2" t="s">
        <v>1460</v>
      </c>
      <c r="B24" s="4" t="s">
        <v>1461</v>
      </c>
      <c r="C24" s="4" t="s">
        <v>1461</v>
      </c>
      <c r="D24" s="4" t="s">
        <v>1461</v>
      </c>
      <c r="E24" s="4" t="s">
        <v>1461</v>
      </c>
      <c r="F24" s="4" t="s">
        <v>1461</v>
      </c>
      <c r="G24" s="4" t="s">
        <v>1461</v>
      </c>
      <c r="H24" s="4" t="s">
        <v>1461</v>
      </c>
      <c r="I24" s="4" t="s">
        <v>1461</v>
      </c>
    </row>
    <row r="25" spans="1:9" ht="15">
      <c r="A25" s="1" t="s">
        <v>1462</v>
      </c>
      <c r="B25" s="3" t="s">
        <v>1463</v>
      </c>
      <c r="C25" s="3" t="s">
        <v>1463</v>
      </c>
      <c r="D25" s="3" t="s">
        <v>1463</v>
      </c>
      <c r="E25" s="3" t="s">
        <v>1463</v>
      </c>
      <c r="F25" s="3" t="s">
        <v>1463</v>
      </c>
      <c r="G25" s="3" t="s">
        <v>1463</v>
      </c>
      <c r="H25" s="3" t="s">
        <v>1463</v>
      </c>
      <c r="I25" s="3" t="s">
        <v>1463</v>
      </c>
    </row>
    <row r="26" spans="1:9" ht="15">
      <c r="A26" s="2" t="s">
        <v>1464</v>
      </c>
      <c r="B26" s="4" t="s">
        <v>1465</v>
      </c>
      <c r="C26" s="4" t="s">
        <v>1465</v>
      </c>
      <c r="D26" s="4" t="s">
        <v>1465</v>
      </c>
      <c r="E26" s="4" t="s">
        <v>1465</v>
      </c>
      <c r="F26" s="4" t="s">
        <v>1465</v>
      </c>
      <c r="G26" s="4" t="s">
        <v>1465</v>
      </c>
      <c r="H26" s="4" t="s">
        <v>1465</v>
      </c>
      <c r="I26" s="4" t="s">
        <v>1465</v>
      </c>
    </row>
    <row r="27" spans="1:9" ht="15">
      <c r="A27" s="1" t="s">
        <v>1466</v>
      </c>
      <c r="B27" s="3" t="s">
        <v>1467</v>
      </c>
      <c r="C27" s="3" t="s">
        <v>1467</v>
      </c>
      <c r="D27" s="3" t="s">
        <v>1467</v>
      </c>
      <c r="E27" s="3" t="s">
        <v>1467</v>
      </c>
      <c r="F27" s="3" t="s">
        <v>1467</v>
      </c>
      <c r="G27" s="3" t="s">
        <v>1467</v>
      </c>
      <c r="H27" s="3" t="s">
        <v>1467</v>
      </c>
      <c r="I27" s="3" t="s">
        <v>1467</v>
      </c>
    </row>
    <row r="28" spans="1:9" ht="15">
      <c r="A28" s="2" t="s">
        <v>1468</v>
      </c>
      <c r="B28" s="4" t="s">
        <v>1469</v>
      </c>
      <c r="C28" s="4" t="s">
        <v>1469</v>
      </c>
      <c r="D28" s="4" t="s">
        <v>1469</v>
      </c>
      <c r="E28" s="4" t="s">
        <v>1469</v>
      </c>
      <c r="F28" s="4" t="s">
        <v>1469</v>
      </c>
      <c r="G28" s="4" t="s">
        <v>1469</v>
      </c>
      <c r="H28" s="4" t="s">
        <v>1469</v>
      </c>
      <c r="I28" s="4" t="s">
        <v>1469</v>
      </c>
    </row>
    <row r="29" spans="1:9" ht="15">
      <c r="A29" s="1" t="s">
        <v>1470</v>
      </c>
      <c r="B29" s="3" t="s">
        <v>1263</v>
      </c>
      <c r="C29" s="3" t="s">
        <v>1263</v>
      </c>
      <c r="D29" s="3" t="s">
        <v>1263</v>
      </c>
      <c r="E29" s="3" t="s">
        <v>1263</v>
      </c>
      <c r="F29" s="3" t="s">
        <v>1263</v>
      </c>
      <c r="G29" s="3" t="s">
        <v>1263</v>
      </c>
      <c r="H29" s="3" t="s">
        <v>1263</v>
      </c>
      <c r="I29" s="3" t="s">
        <v>1263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baseColWidth="10" defaultColWidth="8.75" defaultRowHeight="14.25"/>
  <cols>
    <col min="1" max="1" width="25" customWidth="1"/>
    <col min="2" max="2" width="27" customWidth="1"/>
    <col min="3" max="3" width="145" customWidth="1"/>
    <col min="4" max="4" width="144" customWidth="1"/>
    <col min="5" max="5" width="143" customWidth="1"/>
    <col min="6" max="7" width="145" customWidth="1"/>
    <col min="8" max="8" width="144" customWidth="1"/>
    <col min="9" max="9" width="145" customWidth="1"/>
    <col min="10" max="10" width="143" customWidth="1"/>
  </cols>
  <sheetData>
    <row r="1" spans="1:10" ht="15">
      <c r="A1" s="5" t="s">
        <v>1383</v>
      </c>
      <c r="B1" s="7" t="s">
        <v>1471</v>
      </c>
      <c r="C1" s="7" t="s">
        <v>1384</v>
      </c>
      <c r="D1" s="7" t="s">
        <v>1385</v>
      </c>
      <c r="E1" s="7" t="s">
        <v>1386</v>
      </c>
      <c r="F1" s="7" t="s">
        <v>1387</v>
      </c>
      <c r="G1" s="7" t="s">
        <v>1388</v>
      </c>
      <c r="H1" s="7" t="s">
        <v>1389</v>
      </c>
      <c r="I1" s="7" t="s">
        <v>1390</v>
      </c>
      <c r="J1" s="7" t="s">
        <v>1391</v>
      </c>
    </row>
    <row r="2" spans="1:10" ht="15">
      <c r="A2" s="6" t="s">
        <v>1426</v>
      </c>
      <c r="B2" s="8" t="s">
        <v>1472</v>
      </c>
      <c r="C2" s="8" t="s">
        <v>1427</v>
      </c>
      <c r="D2" s="8" t="s">
        <v>1428</v>
      </c>
      <c r="E2" s="8" t="s">
        <v>1429</v>
      </c>
      <c r="F2" s="8" t="s">
        <v>1430</v>
      </c>
      <c r="G2" s="8" t="s">
        <v>1431</v>
      </c>
      <c r="H2" s="8" t="s">
        <v>1432</v>
      </c>
      <c r="I2" s="8" t="s">
        <v>1433</v>
      </c>
      <c r="J2" s="8" t="s">
        <v>1434</v>
      </c>
    </row>
    <row r="3" spans="1:10" ht="15">
      <c r="A3" s="5" t="s">
        <v>1473</v>
      </c>
      <c r="B3" s="7"/>
      <c r="C3" s="7" t="s">
        <v>1474</v>
      </c>
      <c r="D3" s="7" t="s">
        <v>1474</v>
      </c>
      <c r="E3" s="7" t="s">
        <v>1474</v>
      </c>
      <c r="F3" s="7" t="s">
        <v>1474</v>
      </c>
      <c r="G3" s="7" t="s">
        <v>1474</v>
      </c>
      <c r="H3" s="7" t="s">
        <v>1474</v>
      </c>
      <c r="I3" s="7" t="s">
        <v>1474</v>
      </c>
      <c r="J3" s="7" t="s">
        <v>1474</v>
      </c>
    </row>
    <row r="4" spans="1:10" ht="15">
      <c r="A4" s="6" t="s">
        <v>1475</v>
      </c>
      <c r="B4" s="8" t="s">
        <v>1471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</row>
    <row r="5" spans="1:10" ht="15">
      <c r="A5" s="5" t="s">
        <v>1476</v>
      </c>
      <c r="B5" s="7"/>
      <c r="C5" s="7" t="s">
        <v>1477</v>
      </c>
      <c r="D5" s="7" t="s">
        <v>1477</v>
      </c>
      <c r="E5" s="7" t="s">
        <v>1477</v>
      </c>
      <c r="F5" s="7" t="s">
        <v>1477</v>
      </c>
      <c r="G5" s="7" t="s">
        <v>1477</v>
      </c>
      <c r="H5" s="7" t="s">
        <v>1477</v>
      </c>
      <c r="I5" s="7" t="s">
        <v>1477</v>
      </c>
      <c r="J5" s="7" t="s">
        <v>1477</v>
      </c>
    </row>
    <row r="6" spans="1:10" ht="15">
      <c r="A6" s="6" t="s">
        <v>1478</v>
      </c>
      <c r="B6" s="8"/>
      <c r="C6" s="8" t="s">
        <v>1479</v>
      </c>
      <c r="D6" s="8" t="s">
        <v>1479</v>
      </c>
      <c r="E6" s="8" t="s">
        <v>1479</v>
      </c>
      <c r="F6" s="8" t="s">
        <v>1479</v>
      </c>
      <c r="G6" s="8" t="s">
        <v>1479</v>
      </c>
      <c r="H6" s="8" t="s">
        <v>1479</v>
      </c>
      <c r="I6" s="8" t="s">
        <v>1479</v>
      </c>
      <c r="J6" s="8" t="s">
        <v>1479</v>
      </c>
    </row>
    <row r="7" spans="1:10" ht="15">
      <c r="A7" s="5" t="s">
        <v>1480</v>
      </c>
      <c r="B7" s="7"/>
      <c r="C7" s="7" t="s">
        <v>1481</v>
      </c>
      <c r="D7" s="7" t="s">
        <v>1482</v>
      </c>
      <c r="E7" s="7" t="s">
        <v>1483</v>
      </c>
      <c r="F7" s="7" t="s">
        <v>1484</v>
      </c>
      <c r="G7" s="7" t="s">
        <v>1485</v>
      </c>
      <c r="H7" s="7" t="s">
        <v>1486</v>
      </c>
      <c r="I7" s="7" t="s">
        <v>1487</v>
      </c>
      <c r="J7" s="7" t="s">
        <v>1488</v>
      </c>
    </row>
    <row r="8" spans="1:10" ht="15">
      <c r="A8" s="6" t="s">
        <v>1489</v>
      </c>
      <c r="B8" s="8" t="s">
        <v>1471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</row>
    <row r="9" spans="1:10" ht="15">
      <c r="A9" s="5" t="s">
        <v>1490</v>
      </c>
      <c r="B9" s="7"/>
      <c r="C9" s="7" t="s">
        <v>1491</v>
      </c>
      <c r="D9" s="7" t="s">
        <v>1491</v>
      </c>
      <c r="E9" s="7" t="s">
        <v>1491</v>
      </c>
      <c r="F9" s="7" t="s">
        <v>1491</v>
      </c>
      <c r="G9" s="7" t="s">
        <v>1491</v>
      </c>
      <c r="H9" s="7" t="s">
        <v>1491</v>
      </c>
      <c r="I9" s="7" t="s">
        <v>1491</v>
      </c>
      <c r="J9" s="7" t="s">
        <v>1491</v>
      </c>
    </row>
    <row r="10" spans="1:10" ht="15">
      <c r="A10" s="6" t="s">
        <v>1492</v>
      </c>
      <c r="B10" s="8"/>
      <c r="C10" s="8" t="s">
        <v>1493</v>
      </c>
      <c r="D10" s="8" t="s">
        <v>1494</v>
      </c>
      <c r="E10" s="8" t="s">
        <v>1495</v>
      </c>
      <c r="F10" s="8" t="s">
        <v>1496</v>
      </c>
      <c r="G10" s="8" t="s">
        <v>1497</v>
      </c>
      <c r="H10" s="8" t="s">
        <v>1498</v>
      </c>
      <c r="I10" s="8" t="s">
        <v>1499</v>
      </c>
      <c r="J10" s="8" t="s">
        <v>1500</v>
      </c>
    </row>
    <row r="11" spans="1:10" ht="15">
      <c r="A11" s="5" t="s">
        <v>1501</v>
      </c>
      <c r="B11" s="7"/>
      <c r="C11" s="7"/>
      <c r="D11" s="7"/>
      <c r="E11" s="7"/>
      <c r="F11" s="7"/>
      <c r="G11" s="7"/>
      <c r="H11" s="7"/>
      <c r="I11" s="7"/>
      <c r="J1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"/>
  <sheetViews>
    <sheetView workbookViewId="0"/>
  </sheetViews>
  <sheetFormatPr baseColWidth="10" defaultColWidth="8.75" defaultRowHeight="14.25"/>
  <cols>
    <col min="1" max="1" width="49" customWidth="1"/>
    <col min="2" max="2" width="19" customWidth="1"/>
  </cols>
  <sheetData>
    <row r="1" spans="1:2" ht="15">
      <c r="A1" s="9" t="s">
        <v>1260</v>
      </c>
      <c r="B1" s="11" t="s">
        <v>1261</v>
      </c>
    </row>
    <row r="2" spans="1:2" ht="15">
      <c r="A2" s="10" t="s">
        <v>1262</v>
      </c>
      <c r="B2" s="12" t="s">
        <v>1263</v>
      </c>
    </row>
    <row r="3" spans="1:2" ht="15">
      <c r="A3" s="9" t="s">
        <v>1264</v>
      </c>
      <c r="B3" s="11" t="s">
        <v>1265</v>
      </c>
    </row>
    <row r="4" spans="1:2" ht="15">
      <c r="A4" s="10" t="s">
        <v>1266</v>
      </c>
      <c r="B4" s="12" t="s">
        <v>1267</v>
      </c>
    </row>
    <row r="5" spans="1:2" ht="15">
      <c r="A5" s="9" t="s">
        <v>1268</v>
      </c>
      <c r="B5" s="11" t="s">
        <v>1267</v>
      </c>
    </row>
    <row r="6" spans="1:2" ht="15">
      <c r="A6" s="10" t="s">
        <v>1269</v>
      </c>
      <c r="B6" s="12" t="s">
        <v>1267</v>
      </c>
    </row>
    <row r="7" spans="1:2" ht="15">
      <c r="A7" s="9" t="s">
        <v>1270</v>
      </c>
      <c r="B7" s="11" t="s">
        <v>1271</v>
      </c>
    </row>
    <row r="8" spans="1:2" ht="15">
      <c r="A8" s="10" t="s">
        <v>1272</v>
      </c>
      <c r="B8" s="12" t="s">
        <v>156</v>
      </c>
    </row>
    <row r="9" spans="1:2" ht="15">
      <c r="A9" s="9" t="s">
        <v>1273</v>
      </c>
      <c r="B9" s="11" t="s">
        <v>1274</v>
      </c>
    </row>
    <row r="10" spans="1:2" ht="15">
      <c r="A10" s="10" t="s">
        <v>1275</v>
      </c>
      <c r="B10" s="12" t="s">
        <v>1276</v>
      </c>
    </row>
    <row r="11" spans="1:2" ht="15">
      <c r="A11" s="9" t="s">
        <v>1277</v>
      </c>
      <c r="B11" s="11" t="s">
        <v>1263</v>
      </c>
    </row>
    <row r="12" spans="1:2" ht="15">
      <c r="A12" s="10" t="s">
        <v>1278</v>
      </c>
      <c r="B12" s="12" t="s">
        <v>1279</v>
      </c>
    </row>
    <row r="13" spans="1:2" ht="15">
      <c r="A13" s="9" t="s">
        <v>1280</v>
      </c>
      <c r="B13" s="11" t="s">
        <v>1281</v>
      </c>
    </row>
    <row r="14" spans="1:2" ht="15">
      <c r="A14" s="10" t="s">
        <v>1282</v>
      </c>
      <c r="B14" s="12" t="s">
        <v>1283</v>
      </c>
    </row>
    <row r="15" spans="1:2" ht="15">
      <c r="A15" s="9" t="s">
        <v>1284</v>
      </c>
      <c r="B15" s="11" t="s">
        <v>1263</v>
      </c>
    </row>
    <row r="16" spans="1:2" ht="15">
      <c r="A16" s="10" t="s">
        <v>1285</v>
      </c>
      <c r="B16" s="12" t="s">
        <v>1286</v>
      </c>
    </row>
    <row r="17" spans="1:2" ht="15">
      <c r="A17" s="9" t="s">
        <v>1287</v>
      </c>
      <c r="B17" s="11" t="s">
        <v>1288</v>
      </c>
    </row>
    <row r="18" spans="1:2" ht="15">
      <c r="A18" s="10" t="s">
        <v>1289</v>
      </c>
      <c r="B18" s="12" t="s">
        <v>1290</v>
      </c>
    </row>
    <row r="19" spans="1:2" ht="15">
      <c r="A19" s="9" t="s">
        <v>1291</v>
      </c>
      <c r="B19" s="11" t="s">
        <v>1292</v>
      </c>
    </row>
    <row r="20" spans="1:2" ht="15">
      <c r="A20" s="10" t="s">
        <v>1293</v>
      </c>
      <c r="B20" s="12" t="s">
        <v>1294</v>
      </c>
    </row>
    <row r="21" spans="1:2" ht="15">
      <c r="A21" s="9" t="s">
        <v>1295</v>
      </c>
      <c r="B21" s="11" t="s">
        <v>1281</v>
      </c>
    </row>
    <row r="22" spans="1:2" ht="15">
      <c r="A22" s="10" t="s">
        <v>1296</v>
      </c>
      <c r="B22" s="12" t="s">
        <v>1281</v>
      </c>
    </row>
    <row r="23" spans="1:2" ht="15">
      <c r="A23" s="9" t="s">
        <v>1297</v>
      </c>
      <c r="B23" s="11" t="s">
        <v>1263</v>
      </c>
    </row>
    <row r="24" spans="1:2" ht="15">
      <c r="A24" s="10" t="s">
        <v>1298</v>
      </c>
      <c r="B24" s="12" t="s">
        <v>1281</v>
      </c>
    </row>
    <row r="25" spans="1:2" ht="15">
      <c r="A25" s="9" t="s">
        <v>1299</v>
      </c>
      <c r="B25" s="11" t="s">
        <v>1300</v>
      </c>
    </row>
    <row r="26" spans="1:2" ht="15">
      <c r="A26" s="10" t="s">
        <v>1301</v>
      </c>
      <c r="B26" s="12" t="s">
        <v>1281</v>
      </c>
    </row>
    <row r="27" spans="1:2" ht="15">
      <c r="A27" s="9" t="s">
        <v>1302</v>
      </c>
      <c r="B27" s="11" t="s">
        <v>1303</v>
      </c>
    </row>
    <row r="28" spans="1:2" ht="15">
      <c r="A28" s="10" t="s">
        <v>1304</v>
      </c>
      <c r="B28" s="12" t="s">
        <v>1300</v>
      </c>
    </row>
    <row r="29" spans="1:2" ht="15">
      <c r="A29" s="9" t="s">
        <v>1305</v>
      </c>
      <c r="B29" s="11" t="s">
        <v>1281</v>
      </c>
    </row>
    <row r="30" spans="1:2" ht="15">
      <c r="A30" s="10" t="s">
        <v>1306</v>
      </c>
      <c r="B30" s="12" t="s">
        <v>1303</v>
      </c>
    </row>
    <row r="31" spans="1:2" ht="15">
      <c r="A31" s="9" t="s">
        <v>1307</v>
      </c>
      <c r="B31" s="11" t="s">
        <v>1263</v>
      </c>
    </row>
    <row r="32" spans="1:2" ht="15">
      <c r="A32" s="10" t="s">
        <v>1308</v>
      </c>
      <c r="B32" s="12" t="s">
        <v>57</v>
      </c>
    </row>
    <row r="33" spans="1:2" ht="15">
      <c r="A33" s="9" t="s">
        <v>1309</v>
      </c>
      <c r="B33" s="11" t="s">
        <v>1263</v>
      </c>
    </row>
    <row r="34" spans="1:2" ht="15">
      <c r="A34" s="10" t="s">
        <v>1310</v>
      </c>
      <c r="B34" s="12" t="s">
        <v>1290</v>
      </c>
    </row>
    <row r="35" spans="1:2" ht="15">
      <c r="A35" s="9" t="s">
        <v>1311</v>
      </c>
      <c r="B35" s="11" t="s">
        <v>1312</v>
      </c>
    </row>
    <row r="36" spans="1:2" ht="15">
      <c r="A36" s="10" t="s">
        <v>1313</v>
      </c>
      <c r="B36" s="12" t="s">
        <v>1314</v>
      </c>
    </row>
    <row r="37" spans="1:2" ht="15">
      <c r="A37" s="9" t="s">
        <v>1315</v>
      </c>
      <c r="B37" s="11" t="s">
        <v>1263</v>
      </c>
    </row>
    <row r="38" spans="1:2" ht="15">
      <c r="A38" s="10" t="s">
        <v>1316</v>
      </c>
      <c r="B38" s="12" t="s">
        <v>1263</v>
      </c>
    </row>
    <row r="39" spans="1:2" ht="15">
      <c r="A39" s="9" t="s">
        <v>1317</v>
      </c>
      <c r="B39" s="11" t="s">
        <v>1263</v>
      </c>
    </row>
    <row r="40" spans="1:2" ht="15">
      <c r="A40" s="10" t="s">
        <v>1318</v>
      </c>
      <c r="B40" s="12" t="s">
        <v>57</v>
      </c>
    </row>
    <row r="41" spans="1:2" ht="15">
      <c r="A41" s="9" t="s">
        <v>1319</v>
      </c>
      <c r="B41" s="11" t="s">
        <v>1320</v>
      </c>
    </row>
    <row r="42" spans="1:2" ht="15">
      <c r="A42" s="10" t="s">
        <v>1321</v>
      </c>
      <c r="B42" s="12" t="s">
        <v>1263</v>
      </c>
    </row>
    <row r="43" spans="1:2" ht="15">
      <c r="A43" s="9" t="s">
        <v>1322</v>
      </c>
      <c r="B43" s="11" t="s">
        <v>1323</v>
      </c>
    </row>
    <row r="44" spans="1:2" ht="15">
      <c r="A44" s="10" t="s">
        <v>1324</v>
      </c>
      <c r="B44" s="12" t="s">
        <v>1263</v>
      </c>
    </row>
    <row r="45" spans="1:2" ht="15">
      <c r="A45" s="9" t="s">
        <v>1325</v>
      </c>
      <c r="B45" s="11" t="s">
        <v>57</v>
      </c>
    </row>
    <row r="46" spans="1:2" ht="15">
      <c r="A46" s="10" t="s">
        <v>1326</v>
      </c>
      <c r="B46" s="12" t="s">
        <v>1290</v>
      </c>
    </row>
    <row r="47" spans="1:2" ht="15">
      <c r="A47" s="9" t="s">
        <v>1327</v>
      </c>
      <c r="B47" s="11" t="s">
        <v>1312</v>
      </c>
    </row>
    <row r="48" spans="1:2" ht="15">
      <c r="A48" s="10" t="s">
        <v>1328</v>
      </c>
      <c r="B48" s="12" t="s">
        <v>1314</v>
      </c>
    </row>
    <row r="49" spans="1:2" ht="15">
      <c r="A49" s="9" t="s">
        <v>1329</v>
      </c>
      <c r="B49" s="11" t="s">
        <v>1263</v>
      </c>
    </row>
    <row r="50" spans="1:2" ht="15">
      <c r="A50" s="10" t="s">
        <v>1330</v>
      </c>
      <c r="B50" s="12" t="s">
        <v>1263</v>
      </c>
    </row>
    <row r="51" spans="1:2" ht="15">
      <c r="A51" s="9" t="s">
        <v>1331</v>
      </c>
      <c r="B51" s="11" t="s">
        <v>1332</v>
      </c>
    </row>
    <row r="52" spans="1:2" ht="15">
      <c r="A52" s="10" t="s">
        <v>1333</v>
      </c>
      <c r="B52" s="12" t="s">
        <v>1263</v>
      </c>
    </row>
    <row r="53" spans="1:2" ht="15">
      <c r="A53" s="9" t="s">
        <v>1334</v>
      </c>
      <c r="B53" s="11" t="s">
        <v>57</v>
      </c>
    </row>
    <row r="54" spans="1:2" ht="15">
      <c r="A54" s="10" t="s">
        <v>1335</v>
      </c>
      <c r="B54" s="12" t="s">
        <v>1336</v>
      </c>
    </row>
    <row r="55" spans="1:2" ht="15">
      <c r="A55" s="9" t="s">
        <v>1337</v>
      </c>
      <c r="B55" s="11" t="s">
        <v>1338</v>
      </c>
    </row>
    <row r="56" spans="1:2" ht="15">
      <c r="A56" s="10" t="s">
        <v>1339</v>
      </c>
      <c r="B56" s="12" t="s">
        <v>1323</v>
      </c>
    </row>
    <row r="57" spans="1:2" ht="15">
      <c r="A57" s="9" t="s">
        <v>1340</v>
      </c>
      <c r="B57" s="11" t="s">
        <v>1263</v>
      </c>
    </row>
    <row r="58" spans="1:2" ht="15">
      <c r="A58" s="10" t="s">
        <v>1341</v>
      </c>
      <c r="B58" s="12" t="s">
        <v>1342</v>
      </c>
    </row>
    <row r="59" spans="1:2" ht="15">
      <c r="A59" s="9" t="s">
        <v>1343</v>
      </c>
      <c r="B59" s="11" t="s">
        <v>1344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312"/>
  <sheetViews>
    <sheetView workbookViewId="0"/>
  </sheetViews>
  <sheetFormatPr baseColWidth="10" defaultColWidth="8.75" defaultRowHeight="14.25"/>
  <cols>
    <col min="1" max="1" width="15" customWidth="1"/>
    <col min="2" max="2" width="23" customWidth="1"/>
    <col min="3" max="3" width="15" customWidth="1"/>
    <col min="4" max="6" width="3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5" width="27" customWidth="1"/>
    <col min="26" max="28" width="26" customWidth="1"/>
    <col min="29" max="29" width="27" customWidth="1"/>
    <col min="30" max="33" width="22" customWidth="1"/>
    <col min="34" max="36" width="21" customWidth="1"/>
    <col min="37" max="37" width="22" customWidth="1"/>
    <col min="38" max="41" width="26" customWidth="1"/>
    <col min="42" max="44" width="25" customWidth="1"/>
    <col min="45" max="45" width="26" customWidth="1"/>
    <col min="46" max="49" width="22" customWidth="1"/>
    <col min="50" max="52" width="21" customWidth="1"/>
    <col min="53" max="53" width="22" customWidth="1"/>
  </cols>
  <sheetData>
    <row r="1" spans="1:53" ht="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</row>
    <row r="2" spans="1:53">
      <c r="A2">
        <v>20180</v>
      </c>
      <c r="B2" t="s">
        <v>53</v>
      </c>
      <c r="C2" t="s">
        <v>54</v>
      </c>
      <c r="D2" t="s">
        <v>55</v>
      </c>
      <c r="F2" t="s">
        <v>56</v>
      </c>
      <c r="G2">
        <v>3539.2159999999999</v>
      </c>
      <c r="H2" t="s">
        <v>57</v>
      </c>
      <c r="I2">
        <v>2</v>
      </c>
      <c r="J2">
        <v>3</v>
      </c>
      <c r="K2">
        <v>0</v>
      </c>
      <c r="L2">
        <v>83.48</v>
      </c>
      <c r="M2">
        <v>61157</v>
      </c>
      <c r="N2">
        <v>35</v>
      </c>
      <c r="O2">
        <v>60</v>
      </c>
      <c r="P2">
        <v>60</v>
      </c>
      <c r="Q2">
        <v>66</v>
      </c>
      <c r="R2">
        <v>66</v>
      </c>
      <c r="S2">
        <v>6106</v>
      </c>
      <c r="T2">
        <v>6106</v>
      </c>
      <c r="U2">
        <v>66</v>
      </c>
      <c r="V2">
        <v>49</v>
      </c>
      <c r="W2">
        <v>58</v>
      </c>
      <c r="X2">
        <v>55</v>
      </c>
      <c r="Y2">
        <v>60</v>
      </c>
      <c r="Z2">
        <v>63</v>
      </c>
      <c r="AA2">
        <v>62</v>
      </c>
      <c r="AB2">
        <v>65</v>
      </c>
      <c r="AC2">
        <v>63</v>
      </c>
      <c r="AD2">
        <v>568</v>
      </c>
      <c r="AE2">
        <v>643</v>
      </c>
      <c r="AF2">
        <v>737</v>
      </c>
      <c r="AG2">
        <v>734</v>
      </c>
      <c r="AH2">
        <v>956</v>
      </c>
      <c r="AI2">
        <v>974</v>
      </c>
      <c r="AJ2">
        <v>800</v>
      </c>
      <c r="AK2">
        <v>694</v>
      </c>
      <c r="AL2">
        <v>7309627904</v>
      </c>
      <c r="AM2">
        <v>8898011136</v>
      </c>
      <c r="AN2">
        <v>9314343936</v>
      </c>
      <c r="AO2">
        <v>9532409856</v>
      </c>
      <c r="AP2">
        <v>19003705344</v>
      </c>
      <c r="AQ2">
        <v>17092458496</v>
      </c>
      <c r="AR2">
        <v>11668918272</v>
      </c>
      <c r="AS2">
        <v>8183412224</v>
      </c>
      <c r="AT2">
        <v>5412142080</v>
      </c>
      <c r="AU2">
        <v>6736160768</v>
      </c>
      <c r="AV2">
        <v>7152666112</v>
      </c>
      <c r="AW2">
        <v>8680291328</v>
      </c>
      <c r="AX2">
        <v>9583460352</v>
      </c>
      <c r="AY2">
        <v>9623705600</v>
      </c>
      <c r="AZ2">
        <v>8809013248</v>
      </c>
      <c r="BA2">
        <v>7907022848</v>
      </c>
    </row>
    <row r="3" spans="1:53">
      <c r="A3">
        <v>20092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>
        <v>3240.4749999999999</v>
      </c>
      <c r="H3" t="s">
        <v>57</v>
      </c>
      <c r="I3">
        <v>2</v>
      </c>
      <c r="J3">
        <v>13</v>
      </c>
      <c r="K3">
        <v>8</v>
      </c>
      <c r="L3">
        <v>69.099999999999994</v>
      </c>
      <c r="M3">
        <v>97348</v>
      </c>
      <c r="N3">
        <v>59</v>
      </c>
      <c r="O3">
        <v>60</v>
      </c>
      <c r="P3">
        <v>60</v>
      </c>
      <c r="Q3">
        <v>67</v>
      </c>
      <c r="R3">
        <v>67</v>
      </c>
      <c r="S3">
        <v>2162</v>
      </c>
      <c r="T3">
        <v>2162</v>
      </c>
      <c r="U3">
        <v>67</v>
      </c>
      <c r="V3">
        <v>58</v>
      </c>
      <c r="W3">
        <v>62</v>
      </c>
      <c r="X3">
        <v>58</v>
      </c>
      <c r="Y3">
        <v>60</v>
      </c>
      <c r="Z3">
        <v>65</v>
      </c>
      <c r="AA3">
        <v>67</v>
      </c>
      <c r="AB3">
        <v>62</v>
      </c>
      <c r="AC3">
        <v>63</v>
      </c>
      <c r="AD3">
        <v>392</v>
      </c>
      <c r="AE3">
        <v>382</v>
      </c>
      <c r="AF3">
        <v>206</v>
      </c>
      <c r="AG3">
        <v>199</v>
      </c>
      <c r="AH3">
        <v>296</v>
      </c>
      <c r="AI3">
        <v>329</v>
      </c>
      <c r="AJ3">
        <v>171</v>
      </c>
      <c r="AK3">
        <v>187</v>
      </c>
      <c r="AL3">
        <v>3776912128</v>
      </c>
      <c r="AM3">
        <v>4708155904</v>
      </c>
      <c r="AN3">
        <v>1370369536</v>
      </c>
      <c r="AO3">
        <v>1217561472</v>
      </c>
      <c r="AP3">
        <v>5642521088</v>
      </c>
      <c r="AQ3">
        <v>6265753600</v>
      </c>
      <c r="AR3">
        <v>2069606272</v>
      </c>
      <c r="AS3">
        <v>1764136064</v>
      </c>
      <c r="AT3">
        <v>3297481216</v>
      </c>
      <c r="AU3">
        <v>3417762816</v>
      </c>
      <c r="AV3">
        <v>1153212288</v>
      </c>
      <c r="AW3">
        <v>1230068352</v>
      </c>
      <c r="AX3">
        <v>3343286272</v>
      </c>
      <c r="AY3">
        <v>3989498368</v>
      </c>
      <c r="AZ3">
        <v>1738594816</v>
      </c>
      <c r="BA3">
        <v>1895304064</v>
      </c>
    </row>
    <row r="4" spans="1:53">
      <c r="A4">
        <v>20122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>
        <v>3176.04</v>
      </c>
      <c r="H4" t="s">
        <v>57</v>
      </c>
      <c r="I4">
        <v>2</v>
      </c>
      <c r="J4">
        <v>20</v>
      </c>
      <c r="K4">
        <v>1</v>
      </c>
      <c r="L4">
        <v>82.24</v>
      </c>
      <c r="M4">
        <v>77580</v>
      </c>
      <c r="N4">
        <v>43</v>
      </c>
      <c r="O4">
        <v>56</v>
      </c>
      <c r="P4">
        <v>56</v>
      </c>
      <c r="Q4">
        <v>67</v>
      </c>
      <c r="R4">
        <v>67</v>
      </c>
      <c r="S4">
        <v>3298</v>
      </c>
      <c r="T4">
        <v>3298</v>
      </c>
      <c r="U4">
        <v>67</v>
      </c>
      <c r="V4">
        <v>53</v>
      </c>
      <c r="W4">
        <v>55</v>
      </c>
      <c r="X4">
        <v>64</v>
      </c>
      <c r="Y4">
        <v>65</v>
      </c>
      <c r="Z4">
        <v>62</v>
      </c>
      <c r="AA4">
        <v>60</v>
      </c>
      <c r="AB4">
        <v>62</v>
      </c>
      <c r="AC4">
        <v>62</v>
      </c>
      <c r="AD4">
        <v>321</v>
      </c>
      <c r="AE4">
        <v>309</v>
      </c>
      <c r="AF4">
        <v>514</v>
      </c>
      <c r="AG4">
        <v>501</v>
      </c>
      <c r="AH4">
        <v>365</v>
      </c>
      <c r="AI4">
        <v>394</v>
      </c>
      <c r="AJ4">
        <v>446</v>
      </c>
      <c r="AK4">
        <v>447</v>
      </c>
      <c r="AL4">
        <v>3296783872</v>
      </c>
      <c r="AM4">
        <v>3460004096</v>
      </c>
      <c r="AN4">
        <v>6232353280</v>
      </c>
      <c r="AO4">
        <v>6322582528</v>
      </c>
      <c r="AP4">
        <v>6252636160</v>
      </c>
      <c r="AQ4">
        <v>6726343680</v>
      </c>
      <c r="AR4">
        <v>6962091008</v>
      </c>
      <c r="AS4">
        <v>5051504128</v>
      </c>
      <c r="AT4">
        <v>2412592640</v>
      </c>
      <c r="AU4">
        <v>2412592640</v>
      </c>
      <c r="AV4">
        <v>5222230016</v>
      </c>
      <c r="AW4">
        <v>5893990400</v>
      </c>
      <c r="AX4">
        <v>3071336448</v>
      </c>
      <c r="AY4">
        <v>3641678592</v>
      </c>
      <c r="AZ4">
        <v>5305633280</v>
      </c>
      <c r="BA4">
        <v>5375531520</v>
      </c>
    </row>
    <row r="5" spans="1:53">
      <c r="A5">
        <v>20042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>
        <v>3114.7310000000002</v>
      </c>
      <c r="H5" t="s">
        <v>57</v>
      </c>
      <c r="I5">
        <v>2</v>
      </c>
      <c r="J5">
        <v>3</v>
      </c>
      <c r="K5">
        <v>17</v>
      </c>
      <c r="L5">
        <v>73.52</v>
      </c>
      <c r="M5">
        <v>93695</v>
      </c>
      <c r="N5">
        <v>51</v>
      </c>
      <c r="O5">
        <v>57</v>
      </c>
      <c r="P5">
        <v>57</v>
      </c>
      <c r="Q5">
        <v>74</v>
      </c>
      <c r="R5">
        <v>74</v>
      </c>
      <c r="S5">
        <v>3767</v>
      </c>
      <c r="T5">
        <v>3767</v>
      </c>
      <c r="U5">
        <v>74</v>
      </c>
      <c r="V5">
        <v>64</v>
      </c>
      <c r="W5">
        <v>69</v>
      </c>
      <c r="X5">
        <v>69</v>
      </c>
      <c r="Y5">
        <v>69</v>
      </c>
      <c r="Z5">
        <v>69</v>
      </c>
      <c r="AA5">
        <v>69</v>
      </c>
      <c r="AB5">
        <v>71</v>
      </c>
      <c r="AC5">
        <v>73</v>
      </c>
      <c r="AD5">
        <v>394</v>
      </c>
      <c r="AE5">
        <v>409</v>
      </c>
      <c r="AF5">
        <v>441</v>
      </c>
      <c r="AG5">
        <v>400</v>
      </c>
      <c r="AH5">
        <v>342</v>
      </c>
      <c r="AI5">
        <v>433</v>
      </c>
      <c r="AJ5">
        <v>567</v>
      </c>
      <c r="AK5">
        <v>781</v>
      </c>
      <c r="AL5">
        <v>13368733696</v>
      </c>
      <c r="AM5">
        <v>15030872064</v>
      </c>
      <c r="AN5">
        <v>10578987008</v>
      </c>
      <c r="AO5">
        <v>11228256256</v>
      </c>
      <c r="AP5">
        <v>16080482304</v>
      </c>
      <c r="AQ5">
        <v>20537350144</v>
      </c>
      <c r="AR5">
        <v>33873577984</v>
      </c>
      <c r="AS5">
        <v>23677270016</v>
      </c>
      <c r="AT5">
        <v>9978921984</v>
      </c>
      <c r="AU5">
        <v>9867794432</v>
      </c>
      <c r="AV5">
        <v>7135065088</v>
      </c>
      <c r="AW5">
        <v>8926118912</v>
      </c>
      <c r="AX5">
        <v>7189866496</v>
      </c>
      <c r="AY5">
        <v>10566246400</v>
      </c>
      <c r="AZ5">
        <v>21554415616</v>
      </c>
      <c r="BA5">
        <v>25109669888</v>
      </c>
    </row>
    <row r="6" spans="1:53">
      <c r="A6">
        <v>20250</v>
      </c>
      <c r="B6" t="s">
        <v>73</v>
      </c>
      <c r="C6" t="s">
        <v>74</v>
      </c>
      <c r="D6" t="s">
        <v>73</v>
      </c>
      <c r="F6" t="s">
        <v>75</v>
      </c>
      <c r="G6">
        <v>2784.471</v>
      </c>
      <c r="H6" t="s">
        <v>57</v>
      </c>
      <c r="I6">
        <v>2</v>
      </c>
      <c r="J6">
        <v>1</v>
      </c>
      <c r="K6">
        <v>0</v>
      </c>
      <c r="L6">
        <v>76</v>
      </c>
      <c r="M6">
        <v>66713</v>
      </c>
      <c r="N6">
        <v>40</v>
      </c>
      <c r="O6">
        <v>59</v>
      </c>
      <c r="P6">
        <v>59</v>
      </c>
      <c r="Q6">
        <v>65</v>
      </c>
      <c r="R6">
        <v>65</v>
      </c>
      <c r="S6">
        <v>3207</v>
      </c>
      <c r="T6">
        <v>3207</v>
      </c>
      <c r="U6">
        <v>65</v>
      </c>
      <c r="V6">
        <v>51</v>
      </c>
      <c r="W6">
        <v>53</v>
      </c>
      <c r="X6">
        <v>52</v>
      </c>
      <c r="Y6">
        <v>57</v>
      </c>
      <c r="Z6">
        <v>62</v>
      </c>
      <c r="AA6">
        <v>62</v>
      </c>
      <c r="AB6">
        <v>64</v>
      </c>
      <c r="AC6">
        <v>64</v>
      </c>
      <c r="AD6">
        <v>348</v>
      </c>
      <c r="AE6">
        <v>385</v>
      </c>
      <c r="AF6">
        <v>353</v>
      </c>
      <c r="AG6">
        <v>326</v>
      </c>
      <c r="AH6">
        <v>410</v>
      </c>
      <c r="AI6">
        <v>426</v>
      </c>
      <c r="AJ6">
        <v>442</v>
      </c>
      <c r="AK6">
        <v>514</v>
      </c>
      <c r="AL6">
        <v>5467235328</v>
      </c>
      <c r="AM6">
        <v>6261265920</v>
      </c>
      <c r="AN6">
        <v>4886194176</v>
      </c>
      <c r="AO6">
        <v>4717083648</v>
      </c>
      <c r="AP6">
        <v>11030105088</v>
      </c>
      <c r="AQ6">
        <v>11841957888</v>
      </c>
      <c r="AR6">
        <v>10495655936</v>
      </c>
      <c r="AS6">
        <v>8645220352</v>
      </c>
      <c r="AT6">
        <v>3556477184</v>
      </c>
      <c r="AU6">
        <v>3597851648</v>
      </c>
      <c r="AV6">
        <v>3297831168</v>
      </c>
      <c r="AW6">
        <v>4066207488</v>
      </c>
      <c r="AX6">
        <v>5413147648</v>
      </c>
      <c r="AY6">
        <v>6560602112</v>
      </c>
      <c r="AZ6">
        <v>8187294720</v>
      </c>
      <c r="BA6">
        <v>8480015360</v>
      </c>
    </row>
    <row r="7" spans="1:53">
      <c r="A7">
        <v>20164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>
        <v>2745.395</v>
      </c>
      <c r="H7" t="s">
        <v>57</v>
      </c>
      <c r="I7">
        <v>2</v>
      </c>
      <c r="J7">
        <v>3</v>
      </c>
      <c r="K7">
        <v>7</v>
      </c>
      <c r="L7">
        <v>66.78</v>
      </c>
      <c r="M7">
        <v>96031</v>
      </c>
      <c r="N7">
        <v>59</v>
      </c>
      <c r="O7">
        <v>57</v>
      </c>
      <c r="P7">
        <v>57</v>
      </c>
      <c r="Q7">
        <v>61</v>
      </c>
      <c r="R7">
        <v>61</v>
      </c>
      <c r="S7">
        <v>1115</v>
      </c>
      <c r="T7">
        <v>1115</v>
      </c>
      <c r="U7">
        <v>61</v>
      </c>
      <c r="V7">
        <v>54</v>
      </c>
      <c r="W7">
        <v>53</v>
      </c>
      <c r="X7">
        <v>59</v>
      </c>
      <c r="Y7">
        <v>59</v>
      </c>
      <c r="Z7">
        <v>56</v>
      </c>
      <c r="AA7">
        <v>55</v>
      </c>
      <c r="AB7">
        <v>60</v>
      </c>
      <c r="AC7">
        <v>59</v>
      </c>
      <c r="AD7">
        <v>159</v>
      </c>
      <c r="AE7">
        <v>153</v>
      </c>
      <c r="AF7">
        <v>170</v>
      </c>
      <c r="AG7">
        <v>179</v>
      </c>
      <c r="AH7">
        <v>77</v>
      </c>
      <c r="AI7">
        <v>87</v>
      </c>
      <c r="AJ7">
        <v>144</v>
      </c>
      <c r="AK7">
        <v>145</v>
      </c>
      <c r="AL7">
        <v>1936718080</v>
      </c>
      <c r="AM7">
        <v>4393303040</v>
      </c>
      <c r="AN7">
        <v>3799403264</v>
      </c>
      <c r="AO7">
        <v>3351048192</v>
      </c>
      <c r="AP7">
        <v>4022245376</v>
      </c>
      <c r="AQ7">
        <v>3865703680</v>
      </c>
      <c r="AR7">
        <v>3934773248</v>
      </c>
      <c r="AS7">
        <v>3153837568</v>
      </c>
      <c r="AT7">
        <v>3016878592</v>
      </c>
      <c r="AU7">
        <v>3167813632</v>
      </c>
      <c r="AV7">
        <v>3127595520</v>
      </c>
      <c r="AW7">
        <v>3195326464</v>
      </c>
      <c r="AX7">
        <v>1031015040</v>
      </c>
      <c r="AY7">
        <v>1176395648</v>
      </c>
      <c r="AZ7">
        <v>2652162560</v>
      </c>
      <c r="BA7">
        <v>2753293312</v>
      </c>
    </row>
    <row r="8" spans="1:53">
      <c r="A8">
        <v>19971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>
        <v>2456.125</v>
      </c>
      <c r="H8" t="s">
        <v>57</v>
      </c>
      <c r="I8">
        <v>2</v>
      </c>
      <c r="J8">
        <v>7</v>
      </c>
      <c r="K8">
        <v>9</v>
      </c>
      <c r="L8">
        <v>85.53</v>
      </c>
      <c r="M8">
        <v>43283</v>
      </c>
      <c r="N8">
        <v>26</v>
      </c>
      <c r="O8">
        <v>42</v>
      </c>
      <c r="P8">
        <v>42</v>
      </c>
      <c r="Q8">
        <v>50</v>
      </c>
      <c r="R8">
        <v>50</v>
      </c>
      <c r="S8">
        <v>5127</v>
      </c>
      <c r="T8">
        <v>5127</v>
      </c>
      <c r="U8">
        <v>50</v>
      </c>
      <c r="V8">
        <v>39</v>
      </c>
      <c r="W8">
        <v>42</v>
      </c>
      <c r="X8">
        <v>44</v>
      </c>
      <c r="Y8">
        <v>43</v>
      </c>
      <c r="Z8">
        <v>46</v>
      </c>
      <c r="AA8">
        <v>45</v>
      </c>
      <c r="AB8">
        <v>49</v>
      </c>
      <c r="AC8">
        <v>47</v>
      </c>
      <c r="AD8">
        <v>509</v>
      </c>
      <c r="AE8">
        <v>453</v>
      </c>
      <c r="AF8">
        <v>659</v>
      </c>
      <c r="AG8">
        <v>721</v>
      </c>
      <c r="AH8">
        <v>655</v>
      </c>
      <c r="AI8">
        <v>604</v>
      </c>
      <c r="AJ8">
        <v>663</v>
      </c>
      <c r="AK8">
        <v>863</v>
      </c>
      <c r="AL8">
        <v>8997977088</v>
      </c>
      <c r="AM8">
        <v>8942587904</v>
      </c>
      <c r="AN8">
        <v>11964743680</v>
      </c>
      <c r="AO8">
        <v>10853673984</v>
      </c>
      <c r="AP8">
        <v>12881625088</v>
      </c>
      <c r="AQ8">
        <v>13981803520</v>
      </c>
      <c r="AR8">
        <v>14822415360</v>
      </c>
      <c r="AS8">
        <v>11803324416</v>
      </c>
      <c r="AT8">
        <v>7777034752</v>
      </c>
      <c r="AU8">
        <v>6644984832</v>
      </c>
      <c r="AV8">
        <v>9140657152</v>
      </c>
      <c r="AW8">
        <v>9839272960</v>
      </c>
      <c r="AX8">
        <v>6118230528</v>
      </c>
      <c r="AY8">
        <v>7397501440</v>
      </c>
      <c r="AZ8">
        <v>10111890432</v>
      </c>
      <c r="BA8">
        <v>12299078656</v>
      </c>
    </row>
    <row r="9" spans="1:53">
      <c r="A9">
        <v>19974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>
        <v>2366.85</v>
      </c>
      <c r="H9" t="s">
        <v>57</v>
      </c>
      <c r="I9">
        <v>2</v>
      </c>
      <c r="J9">
        <v>5</v>
      </c>
      <c r="K9">
        <v>16</v>
      </c>
      <c r="L9">
        <v>77.790000000000006</v>
      </c>
      <c r="M9">
        <v>76812</v>
      </c>
      <c r="N9">
        <v>46</v>
      </c>
      <c r="O9">
        <v>53</v>
      </c>
      <c r="P9">
        <v>53</v>
      </c>
      <c r="Q9">
        <v>56</v>
      </c>
      <c r="R9">
        <v>56</v>
      </c>
      <c r="S9">
        <v>850</v>
      </c>
      <c r="T9">
        <v>850</v>
      </c>
      <c r="U9">
        <v>56</v>
      </c>
      <c r="V9">
        <v>47</v>
      </c>
      <c r="W9">
        <v>51</v>
      </c>
      <c r="X9">
        <v>51</v>
      </c>
      <c r="Y9">
        <v>53</v>
      </c>
      <c r="Z9">
        <v>53</v>
      </c>
      <c r="AA9">
        <v>52</v>
      </c>
      <c r="AB9">
        <v>52</v>
      </c>
      <c r="AC9">
        <v>55</v>
      </c>
      <c r="AD9">
        <v>117</v>
      </c>
      <c r="AE9">
        <v>135</v>
      </c>
      <c r="AF9">
        <v>129</v>
      </c>
      <c r="AG9">
        <v>124</v>
      </c>
      <c r="AH9">
        <v>70</v>
      </c>
      <c r="AI9">
        <v>65</v>
      </c>
      <c r="AJ9">
        <v>104</v>
      </c>
      <c r="AK9">
        <v>106</v>
      </c>
      <c r="AL9">
        <v>706761408</v>
      </c>
      <c r="AM9">
        <v>900879808</v>
      </c>
      <c r="AN9">
        <v>898374976</v>
      </c>
      <c r="AO9">
        <v>850958848</v>
      </c>
      <c r="AP9">
        <v>484086048</v>
      </c>
      <c r="AQ9">
        <v>493854112</v>
      </c>
      <c r="AR9">
        <v>1031793408</v>
      </c>
      <c r="AS9">
        <v>672865536</v>
      </c>
      <c r="AT9">
        <v>762377216</v>
      </c>
      <c r="AU9">
        <v>744302592</v>
      </c>
      <c r="AV9">
        <v>791326464</v>
      </c>
      <c r="AW9">
        <v>855218880</v>
      </c>
      <c r="AX9">
        <v>236219920</v>
      </c>
      <c r="AY9">
        <v>255417360</v>
      </c>
      <c r="AZ9">
        <v>655711104</v>
      </c>
      <c r="BA9">
        <v>638819328</v>
      </c>
    </row>
    <row r="10" spans="1:53">
      <c r="A10">
        <v>20139</v>
      </c>
      <c r="B10" t="s">
        <v>91</v>
      </c>
      <c r="C10" t="s">
        <v>92</v>
      </c>
      <c r="D10" t="s">
        <v>93</v>
      </c>
      <c r="F10" t="s">
        <v>94</v>
      </c>
      <c r="G10">
        <v>2168.558</v>
      </c>
      <c r="H10" t="s">
        <v>57</v>
      </c>
      <c r="I10">
        <v>2</v>
      </c>
      <c r="J10">
        <v>3</v>
      </c>
      <c r="K10">
        <v>0</v>
      </c>
      <c r="L10">
        <v>92.95</v>
      </c>
      <c r="M10">
        <v>40323</v>
      </c>
      <c r="N10">
        <v>24</v>
      </c>
      <c r="O10">
        <v>34</v>
      </c>
      <c r="P10">
        <v>34</v>
      </c>
      <c r="Q10">
        <v>41</v>
      </c>
      <c r="R10">
        <v>41</v>
      </c>
      <c r="S10">
        <v>1525</v>
      </c>
      <c r="T10">
        <v>1525</v>
      </c>
      <c r="U10">
        <v>40</v>
      </c>
      <c r="V10">
        <v>37</v>
      </c>
      <c r="W10">
        <v>37</v>
      </c>
      <c r="X10">
        <v>37</v>
      </c>
      <c r="Y10">
        <v>38</v>
      </c>
      <c r="Z10">
        <v>40</v>
      </c>
      <c r="AA10">
        <v>40</v>
      </c>
      <c r="AB10">
        <v>40</v>
      </c>
      <c r="AC10">
        <v>40</v>
      </c>
      <c r="AD10">
        <v>215</v>
      </c>
      <c r="AE10">
        <v>202</v>
      </c>
      <c r="AF10">
        <v>163</v>
      </c>
      <c r="AG10">
        <v>153</v>
      </c>
      <c r="AH10">
        <v>223</v>
      </c>
      <c r="AI10">
        <v>212</v>
      </c>
      <c r="AJ10">
        <v>162</v>
      </c>
      <c r="AK10">
        <v>193</v>
      </c>
      <c r="AL10">
        <v>2060228736</v>
      </c>
      <c r="AM10">
        <v>2904388096</v>
      </c>
      <c r="AN10">
        <v>1871960960</v>
      </c>
      <c r="AO10">
        <v>1929468288</v>
      </c>
      <c r="AP10">
        <v>6745964544</v>
      </c>
      <c r="AQ10">
        <v>6984459264</v>
      </c>
      <c r="AR10">
        <v>3949890048</v>
      </c>
      <c r="AS10">
        <v>3225436160</v>
      </c>
      <c r="AT10">
        <v>2272049920</v>
      </c>
      <c r="AU10">
        <v>2395785472</v>
      </c>
      <c r="AV10">
        <v>1646196864</v>
      </c>
      <c r="AW10">
        <v>1920960640</v>
      </c>
      <c r="AX10">
        <v>3033626112</v>
      </c>
      <c r="AY10">
        <v>3492357632</v>
      </c>
      <c r="AZ10">
        <v>2645876224</v>
      </c>
      <c r="BA10">
        <v>3060478464</v>
      </c>
    </row>
    <row r="11" spans="1:53">
      <c r="A11">
        <v>20125</v>
      </c>
      <c r="B11" t="s">
        <v>95</v>
      </c>
      <c r="C11" t="s">
        <v>96</v>
      </c>
      <c r="D11" t="s">
        <v>95</v>
      </c>
      <c r="E11" t="s">
        <v>97</v>
      </c>
      <c r="F11" t="s">
        <v>98</v>
      </c>
      <c r="G11">
        <v>2038.5840000000001</v>
      </c>
      <c r="H11" t="s">
        <v>57</v>
      </c>
      <c r="I11">
        <v>2</v>
      </c>
      <c r="J11">
        <v>1</v>
      </c>
      <c r="K11">
        <v>19</v>
      </c>
      <c r="L11">
        <v>88.89</v>
      </c>
      <c r="M11">
        <v>24743</v>
      </c>
      <c r="N11">
        <v>15</v>
      </c>
      <c r="O11">
        <v>31</v>
      </c>
      <c r="P11">
        <v>31</v>
      </c>
      <c r="Q11">
        <v>38</v>
      </c>
      <c r="R11">
        <v>38</v>
      </c>
      <c r="S11">
        <v>3678</v>
      </c>
      <c r="T11">
        <v>3678</v>
      </c>
      <c r="U11">
        <v>37</v>
      </c>
      <c r="V11">
        <v>30</v>
      </c>
      <c r="W11">
        <v>33</v>
      </c>
      <c r="X11">
        <v>33</v>
      </c>
      <c r="Y11">
        <v>34</v>
      </c>
      <c r="Z11">
        <v>36</v>
      </c>
      <c r="AA11">
        <v>37</v>
      </c>
      <c r="AB11">
        <v>36</v>
      </c>
      <c r="AC11">
        <v>34</v>
      </c>
      <c r="AD11">
        <v>371</v>
      </c>
      <c r="AE11">
        <v>431</v>
      </c>
      <c r="AF11">
        <v>488</v>
      </c>
      <c r="AG11">
        <v>461</v>
      </c>
      <c r="AH11">
        <v>541</v>
      </c>
      <c r="AI11">
        <v>530</v>
      </c>
      <c r="AJ11">
        <v>469</v>
      </c>
      <c r="AK11">
        <v>386</v>
      </c>
      <c r="AL11">
        <v>10547123200</v>
      </c>
      <c r="AM11">
        <v>11396372480</v>
      </c>
      <c r="AN11">
        <v>10523552768</v>
      </c>
      <c r="AO11">
        <v>10584364032</v>
      </c>
      <c r="AP11">
        <v>18355470336</v>
      </c>
      <c r="AQ11">
        <v>17108591616</v>
      </c>
      <c r="AR11">
        <v>11598326784</v>
      </c>
      <c r="AS11">
        <v>8836291584</v>
      </c>
      <c r="AT11">
        <v>7310047744</v>
      </c>
      <c r="AU11">
        <v>8660091904</v>
      </c>
      <c r="AV11">
        <v>8718371840</v>
      </c>
      <c r="AW11">
        <v>10651386880</v>
      </c>
      <c r="AX11">
        <v>9672096768</v>
      </c>
      <c r="AY11">
        <v>10155130880</v>
      </c>
      <c r="AZ11">
        <v>8904524800</v>
      </c>
      <c r="BA11">
        <v>8930555904</v>
      </c>
    </row>
    <row r="12" spans="1:53">
      <c r="A12">
        <v>20251</v>
      </c>
      <c r="B12" t="s">
        <v>99</v>
      </c>
      <c r="C12" t="s">
        <v>100</v>
      </c>
      <c r="D12" t="s">
        <v>99</v>
      </c>
      <c r="F12" t="s">
        <v>101</v>
      </c>
      <c r="G12">
        <v>1703.2639999999999</v>
      </c>
      <c r="H12" t="s">
        <v>57</v>
      </c>
      <c r="I12">
        <v>2</v>
      </c>
      <c r="J12">
        <v>1</v>
      </c>
      <c r="K12">
        <v>0</v>
      </c>
      <c r="L12">
        <v>66.739999999999995</v>
      </c>
      <c r="M12">
        <v>52801</v>
      </c>
      <c r="N12">
        <v>29</v>
      </c>
      <c r="O12">
        <v>31</v>
      </c>
      <c r="P12">
        <v>31</v>
      </c>
      <c r="Q12">
        <v>37</v>
      </c>
      <c r="R12">
        <v>37</v>
      </c>
      <c r="S12">
        <v>1753</v>
      </c>
      <c r="T12">
        <v>1753</v>
      </c>
      <c r="U12">
        <v>36</v>
      </c>
      <c r="V12">
        <v>33</v>
      </c>
      <c r="W12">
        <v>34</v>
      </c>
      <c r="X12">
        <v>33</v>
      </c>
      <c r="Y12">
        <v>33</v>
      </c>
      <c r="Z12">
        <v>36</v>
      </c>
      <c r="AA12">
        <v>36</v>
      </c>
      <c r="AB12">
        <v>36</v>
      </c>
      <c r="AC12">
        <v>36</v>
      </c>
      <c r="AD12">
        <v>251</v>
      </c>
      <c r="AE12">
        <v>252</v>
      </c>
      <c r="AF12">
        <v>217</v>
      </c>
      <c r="AG12">
        <v>190</v>
      </c>
      <c r="AH12">
        <v>197</v>
      </c>
      <c r="AI12">
        <v>194</v>
      </c>
      <c r="AJ12">
        <v>209</v>
      </c>
      <c r="AK12">
        <v>241</v>
      </c>
      <c r="AL12">
        <v>3494991616</v>
      </c>
      <c r="AM12">
        <v>4571990528</v>
      </c>
      <c r="AN12">
        <v>2581673216</v>
      </c>
      <c r="AO12">
        <v>2674437888</v>
      </c>
      <c r="AP12">
        <v>5577135104</v>
      </c>
      <c r="AQ12">
        <v>5715003392</v>
      </c>
      <c r="AR12">
        <v>5031807488</v>
      </c>
      <c r="AS12">
        <v>3955810816</v>
      </c>
      <c r="AT12">
        <v>3408620544</v>
      </c>
      <c r="AU12">
        <v>3567621888</v>
      </c>
      <c r="AV12">
        <v>2039275008</v>
      </c>
      <c r="AW12">
        <v>2288376832</v>
      </c>
      <c r="AX12">
        <v>2761734912</v>
      </c>
      <c r="AY12">
        <v>3002144512</v>
      </c>
      <c r="AZ12">
        <v>3286767872</v>
      </c>
      <c r="BA12">
        <v>3639740416</v>
      </c>
    </row>
    <row r="13" spans="1:53">
      <c r="A13">
        <v>19970</v>
      </c>
      <c r="B13" t="s">
        <v>102</v>
      </c>
      <c r="C13" t="s">
        <v>103</v>
      </c>
      <c r="D13" t="s">
        <v>104</v>
      </c>
      <c r="F13" t="s">
        <v>105</v>
      </c>
      <c r="G13">
        <v>1602.2090000000001</v>
      </c>
      <c r="H13" t="s">
        <v>57</v>
      </c>
      <c r="I13">
        <v>2</v>
      </c>
      <c r="J13">
        <v>20</v>
      </c>
      <c r="K13">
        <v>0</v>
      </c>
      <c r="L13">
        <v>79.510000000000005</v>
      </c>
      <c r="M13">
        <v>30422</v>
      </c>
      <c r="N13">
        <v>22</v>
      </c>
      <c r="O13">
        <v>32</v>
      </c>
      <c r="P13">
        <v>32</v>
      </c>
      <c r="Q13">
        <v>36</v>
      </c>
      <c r="R13">
        <v>36</v>
      </c>
      <c r="S13">
        <v>1857</v>
      </c>
      <c r="T13">
        <v>1857</v>
      </c>
      <c r="U13">
        <v>36</v>
      </c>
      <c r="V13">
        <v>24</v>
      </c>
      <c r="W13">
        <v>29</v>
      </c>
      <c r="X13">
        <v>34</v>
      </c>
      <c r="Y13">
        <v>34</v>
      </c>
      <c r="Z13">
        <v>35</v>
      </c>
      <c r="AA13">
        <v>34</v>
      </c>
      <c r="AB13">
        <v>35</v>
      </c>
      <c r="AC13">
        <v>33</v>
      </c>
      <c r="AD13">
        <v>162</v>
      </c>
      <c r="AE13">
        <v>147</v>
      </c>
      <c r="AF13">
        <v>268</v>
      </c>
      <c r="AG13">
        <v>242</v>
      </c>
      <c r="AH13">
        <v>245</v>
      </c>
      <c r="AI13">
        <v>241</v>
      </c>
      <c r="AJ13">
        <v>287</v>
      </c>
      <c r="AK13">
        <v>265</v>
      </c>
      <c r="AL13">
        <v>2432948992</v>
      </c>
      <c r="AM13">
        <v>2416085504</v>
      </c>
      <c r="AN13">
        <v>4452716544</v>
      </c>
      <c r="AO13">
        <v>3916259840</v>
      </c>
      <c r="AP13">
        <v>4567101440</v>
      </c>
      <c r="AQ13">
        <v>4530392576</v>
      </c>
      <c r="AR13">
        <v>4773047296</v>
      </c>
      <c r="AS13">
        <v>3276695040</v>
      </c>
      <c r="AT13">
        <v>1225031552</v>
      </c>
      <c r="AU13">
        <v>1620341888</v>
      </c>
      <c r="AV13">
        <v>3399326208</v>
      </c>
      <c r="AW13">
        <v>3589280256</v>
      </c>
      <c r="AX13">
        <v>2216979968</v>
      </c>
      <c r="AY13">
        <v>2488537088</v>
      </c>
      <c r="AZ13">
        <v>3363970560</v>
      </c>
      <c r="BA13">
        <v>3153223168</v>
      </c>
    </row>
    <row r="14" spans="1:53">
      <c r="A14">
        <v>19979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>
        <v>1580.2760000000001</v>
      </c>
      <c r="H14" t="s">
        <v>57</v>
      </c>
      <c r="I14">
        <v>2</v>
      </c>
      <c r="J14">
        <v>2</v>
      </c>
      <c r="K14">
        <v>18</v>
      </c>
      <c r="L14">
        <v>56.05</v>
      </c>
      <c r="M14">
        <v>97232</v>
      </c>
      <c r="N14">
        <v>52</v>
      </c>
      <c r="O14">
        <v>41</v>
      </c>
      <c r="P14">
        <v>41</v>
      </c>
      <c r="Q14">
        <v>43</v>
      </c>
      <c r="R14">
        <v>43</v>
      </c>
      <c r="S14">
        <v>378</v>
      </c>
      <c r="T14">
        <v>378</v>
      </c>
      <c r="U14">
        <v>43</v>
      </c>
      <c r="V14">
        <v>41</v>
      </c>
      <c r="W14">
        <v>38</v>
      </c>
      <c r="X14">
        <v>36</v>
      </c>
      <c r="Y14">
        <v>37</v>
      </c>
      <c r="Z14">
        <v>38</v>
      </c>
      <c r="AA14">
        <v>37</v>
      </c>
      <c r="AB14">
        <v>39</v>
      </c>
      <c r="AC14">
        <v>41</v>
      </c>
      <c r="AD14">
        <v>58</v>
      </c>
      <c r="AE14">
        <v>53</v>
      </c>
      <c r="AF14">
        <v>54</v>
      </c>
      <c r="AG14">
        <v>58</v>
      </c>
      <c r="AH14">
        <v>25</v>
      </c>
      <c r="AI14">
        <v>34</v>
      </c>
      <c r="AJ14">
        <v>52</v>
      </c>
      <c r="AK14">
        <v>44</v>
      </c>
      <c r="AL14">
        <v>385828576</v>
      </c>
      <c r="AM14">
        <v>395787808</v>
      </c>
      <c r="AN14">
        <v>396333952</v>
      </c>
      <c r="AO14">
        <v>380150400</v>
      </c>
      <c r="AP14">
        <v>164242960</v>
      </c>
      <c r="AQ14">
        <v>190092656</v>
      </c>
      <c r="AR14">
        <v>383967296</v>
      </c>
      <c r="AS14">
        <v>279133024</v>
      </c>
      <c r="AT14">
        <v>414175488</v>
      </c>
      <c r="AU14">
        <v>328556768</v>
      </c>
      <c r="AV14">
        <v>321516576</v>
      </c>
      <c r="AW14">
        <v>347052864</v>
      </c>
      <c r="AX14">
        <v>76933040</v>
      </c>
      <c r="AY14">
        <v>88130344</v>
      </c>
      <c r="AZ14">
        <v>219809776</v>
      </c>
      <c r="BA14">
        <v>231998656</v>
      </c>
    </row>
    <row r="15" spans="1:53">
      <c r="A15">
        <v>20142</v>
      </c>
      <c r="B15" t="s">
        <v>111</v>
      </c>
      <c r="C15" t="s">
        <v>112</v>
      </c>
      <c r="D15" t="s">
        <v>111</v>
      </c>
      <c r="E15" t="s">
        <v>113</v>
      </c>
      <c r="F15" t="s">
        <v>114</v>
      </c>
      <c r="G15">
        <v>1513.8130000000001</v>
      </c>
      <c r="H15" t="s">
        <v>57</v>
      </c>
      <c r="I15">
        <v>2</v>
      </c>
      <c r="J15">
        <v>1</v>
      </c>
      <c r="K15">
        <v>2</v>
      </c>
      <c r="L15">
        <v>52.89</v>
      </c>
      <c r="M15">
        <v>108191</v>
      </c>
      <c r="N15">
        <v>64</v>
      </c>
      <c r="O15">
        <v>49</v>
      </c>
      <c r="P15">
        <v>49</v>
      </c>
      <c r="Q15">
        <v>49</v>
      </c>
      <c r="R15">
        <v>49</v>
      </c>
      <c r="S15">
        <v>447</v>
      </c>
      <c r="T15">
        <v>447</v>
      </c>
      <c r="U15">
        <v>49</v>
      </c>
      <c r="V15">
        <v>37</v>
      </c>
      <c r="W15">
        <v>43</v>
      </c>
      <c r="X15">
        <v>44</v>
      </c>
      <c r="Y15">
        <v>46</v>
      </c>
      <c r="Z15">
        <v>42</v>
      </c>
      <c r="AA15">
        <v>41</v>
      </c>
      <c r="AB15">
        <v>45</v>
      </c>
      <c r="AC15">
        <v>47</v>
      </c>
      <c r="AD15">
        <v>58</v>
      </c>
      <c r="AE15">
        <v>68</v>
      </c>
      <c r="AF15">
        <v>67</v>
      </c>
      <c r="AG15">
        <v>63</v>
      </c>
      <c r="AH15">
        <v>33</v>
      </c>
      <c r="AI15">
        <v>35</v>
      </c>
      <c r="AJ15">
        <v>63</v>
      </c>
      <c r="AK15">
        <v>60</v>
      </c>
      <c r="AL15">
        <v>420561824</v>
      </c>
      <c r="AM15">
        <v>506586752</v>
      </c>
      <c r="AN15">
        <v>460575040</v>
      </c>
      <c r="AO15">
        <v>434456640</v>
      </c>
      <c r="AP15">
        <v>369346912</v>
      </c>
      <c r="AQ15">
        <v>428982112</v>
      </c>
      <c r="AR15">
        <v>694914304</v>
      </c>
      <c r="AS15">
        <v>462072928</v>
      </c>
      <c r="AT15">
        <v>504175040</v>
      </c>
      <c r="AU15">
        <v>472743008</v>
      </c>
      <c r="AV15">
        <v>420094144</v>
      </c>
      <c r="AW15">
        <v>464730528</v>
      </c>
      <c r="AX15">
        <v>128213104</v>
      </c>
      <c r="AY15">
        <v>155848432</v>
      </c>
      <c r="AZ15">
        <v>347794080</v>
      </c>
      <c r="BA15">
        <v>387836928</v>
      </c>
    </row>
    <row r="16" spans="1:53">
      <c r="A16">
        <v>19977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>
        <v>1442.482</v>
      </c>
      <c r="H16" t="s">
        <v>57</v>
      </c>
      <c r="I16">
        <v>2</v>
      </c>
      <c r="J16">
        <v>19</v>
      </c>
      <c r="K16">
        <v>1</v>
      </c>
      <c r="L16">
        <v>96.69</v>
      </c>
      <c r="M16">
        <v>12295</v>
      </c>
      <c r="N16">
        <v>8</v>
      </c>
      <c r="O16">
        <v>19</v>
      </c>
      <c r="P16">
        <v>19</v>
      </c>
      <c r="Q16">
        <v>30</v>
      </c>
      <c r="R16">
        <v>30</v>
      </c>
      <c r="S16">
        <v>3722</v>
      </c>
      <c r="T16">
        <v>3722</v>
      </c>
      <c r="U16">
        <v>30</v>
      </c>
      <c r="V16">
        <v>19</v>
      </c>
      <c r="W16">
        <v>21</v>
      </c>
      <c r="X16">
        <v>25</v>
      </c>
      <c r="Y16">
        <v>25</v>
      </c>
      <c r="Z16">
        <v>26</v>
      </c>
      <c r="AA16">
        <v>26</v>
      </c>
      <c r="AB16">
        <v>26</v>
      </c>
      <c r="AC16">
        <v>30</v>
      </c>
      <c r="AD16">
        <v>384</v>
      </c>
      <c r="AE16">
        <v>412</v>
      </c>
      <c r="AF16">
        <v>456</v>
      </c>
      <c r="AG16">
        <v>465</v>
      </c>
      <c r="AH16">
        <v>499</v>
      </c>
      <c r="AI16">
        <v>503</v>
      </c>
      <c r="AJ16">
        <v>484</v>
      </c>
      <c r="AK16">
        <v>519</v>
      </c>
      <c r="AL16">
        <v>7422026752</v>
      </c>
      <c r="AM16">
        <v>8368109568</v>
      </c>
      <c r="AN16">
        <v>9131651072</v>
      </c>
      <c r="AO16">
        <v>9722706944</v>
      </c>
      <c r="AP16">
        <v>16224403456</v>
      </c>
      <c r="AQ16">
        <v>15522568192</v>
      </c>
      <c r="AR16">
        <v>11975379968</v>
      </c>
      <c r="AS16">
        <v>8397680640</v>
      </c>
      <c r="AT16">
        <v>585694080</v>
      </c>
      <c r="AU16">
        <v>3997719808</v>
      </c>
      <c r="AV16">
        <v>6859300864</v>
      </c>
      <c r="AW16">
        <v>8781181952</v>
      </c>
      <c r="AX16">
        <v>5183546368</v>
      </c>
      <c r="AY16">
        <v>7029316096</v>
      </c>
      <c r="AZ16">
        <v>9416752128</v>
      </c>
      <c r="BA16">
        <v>16386581504</v>
      </c>
    </row>
    <row r="17" spans="1:53">
      <c r="A17">
        <v>20222</v>
      </c>
      <c r="B17" t="s">
        <v>120</v>
      </c>
      <c r="C17" t="s">
        <v>121</v>
      </c>
      <c r="D17" t="s">
        <v>122</v>
      </c>
      <c r="F17" t="s">
        <v>123</v>
      </c>
      <c r="G17">
        <v>1374.2719999999999</v>
      </c>
      <c r="H17" t="s">
        <v>57</v>
      </c>
      <c r="I17">
        <v>2</v>
      </c>
      <c r="J17">
        <v>2</v>
      </c>
      <c r="K17">
        <v>0</v>
      </c>
      <c r="L17">
        <v>57.72</v>
      </c>
      <c r="M17">
        <v>99667</v>
      </c>
      <c r="N17">
        <v>55</v>
      </c>
      <c r="O17">
        <v>41</v>
      </c>
      <c r="P17">
        <v>41</v>
      </c>
      <c r="Q17">
        <v>41</v>
      </c>
      <c r="R17">
        <v>41</v>
      </c>
      <c r="S17">
        <v>282</v>
      </c>
      <c r="T17">
        <v>282</v>
      </c>
      <c r="U17">
        <v>41</v>
      </c>
      <c r="V17">
        <v>29</v>
      </c>
      <c r="W17">
        <v>34</v>
      </c>
      <c r="X17">
        <v>38</v>
      </c>
      <c r="Y17">
        <v>39</v>
      </c>
      <c r="Z17">
        <v>39</v>
      </c>
      <c r="AA17">
        <v>39</v>
      </c>
      <c r="AB17">
        <v>40</v>
      </c>
      <c r="AC17">
        <v>40</v>
      </c>
      <c r="AD17">
        <v>23</v>
      </c>
      <c r="AE17">
        <v>25</v>
      </c>
      <c r="AF17">
        <v>44</v>
      </c>
      <c r="AG17">
        <v>45</v>
      </c>
      <c r="AH17">
        <v>32</v>
      </c>
      <c r="AI17">
        <v>34</v>
      </c>
      <c r="AJ17">
        <v>45</v>
      </c>
      <c r="AK17">
        <v>32</v>
      </c>
      <c r="AL17">
        <v>117895784</v>
      </c>
      <c r="AM17">
        <v>132127064</v>
      </c>
      <c r="AN17">
        <v>247481536</v>
      </c>
      <c r="AO17">
        <v>236125952</v>
      </c>
      <c r="AP17">
        <v>274383360</v>
      </c>
      <c r="AQ17">
        <v>268043904</v>
      </c>
      <c r="AR17">
        <v>295705376</v>
      </c>
      <c r="AS17">
        <v>176141616</v>
      </c>
      <c r="AT17">
        <v>110101648</v>
      </c>
      <c r="AU17">
        <v>103446048</v>
      </c>
      <c r="AV17">
        <v>196495552</v>
      </c>
      <c r="AW17">
        <v>224101040</v>
      </c>
      <c r="AX17">
        <v>112826832</v>
      </c>
      <c r="AY17">
        <v>117625712</v>
      </c>
      <c r="AZ17">
        <v>168484240</v>
      </c>
      <c r="BA17">
        <v>153518400</v>
      </c>
    </row>
    <row r="18" spans="1:53">
      <c r="A18">
        <v>20060</v>
      </c>
      <c r="B18" t="s">
        <v>124</v>
      </c>
      <c r="C18" t="s">
        <v>125</v>
      </c>
      <c r="D18" t="s">
        <v>126</v>
      </c>
      <c r="F18" t="s">
        <v>127</v>
      </c>
      <c r="G18">
        <v>1351.13</v>
      </c>
      <c r="H18" t="s">
        <v>57</v>
      </c>
      <c r="I18">
        <v>2</v>
      </c>
      <c r="J18">
        <v>9</v>
      </c>
      <c r="K18">
        <v>0</v>
      </c>
      <c r="L18">
        <v>89.22</v>
      </c>
      <c r="M18">
        <v>17603</v>
      </c>
      <c r="N18">
        <v>13</v>
      </c>
      <c r="O18">
        <v>17</v>
      </c>
      <c r="P18">
        <v>17</v>
      </c>
      <c r="Q18">
        <v>24</v>
      </c>
      <c r="R18">
        <v>24</v>
      </c>
      <c r="S18">
        <v>1713</v>
      </c>
      <c r="T18">
        <v>1713</v>
      </c>
      <c r="U18">
        <v>24</v>
      </c>
      <c r="V18">
        <v>21</v>
      </c>
      <c r="W18">
        <v>20</v>
      </c>
      <c r="X18">
        <v>22</v>
      </c>
      <c r="Y18">
        <v>23</v>
      </c>
      <c r="Z18">
        <v>23</v>
      </c>
      <c r="AA18">
        <v>22</v>
      </c>
      <c r="AB18">
        <v>22</v>
      </c>
      <c r="AC18">
        <v>23</v>
      </c>
      <c r="AD18">
        <v>231</v>
      </c>
      <c r="AE18">
        <v>205</v>
      </c>
      <c r="AF18">
        <v>193</v>
      </c>
      <c r="AG18">
        <v>177</v>
      </c>
      <c r="AH18">
        <v>260</v>
      </c>
      <c r="AI18">
        <v>236</v>
      </c>
      <c r="AJ18">
        <v>182</v>
      </c>
      <c r="AK18">
        <v>229</v>
      </c>
      <c r="AL18">
        <v>8613956608</v>
      </c>
      <c r="AM18">
        <v>8969890816</v>
      </c>
      <c r="AN18">
        <v>7412240896</v>
      </c>
      <c r="AO18">
        <v>6881017856</v>
      </c>
      <c r="AP18">
        <v>14061840384</v>
      </c>
      <c r="AQ18">
        <v>12634175488</v>
      </c>
      <c r="AR18">
        <v>8492853248</v>
      </c>
      <c r="AS18">
        <v>6822824960</v>
      </c>
      <c r="AT18">
        <v>8683662336</v>
      </c>
      <c r="AU18">
        <v>7869022208</v>
      </c>
      <c r="AV18">
        <v>7344981504</v>
      </c>
      <c r="AW18">
        <v>7710939648</v>
      </c>
      <c r="AX18">
        <v>9059637248</v>
      </c>
      <c r="AY18">
        <v>8409992192</v>
      </c>
      <c r="AZ18">
        <v>6328027648</v>
      </c>
      <c r="BA18">
        <v>7345336832</v>
      </c>
    </row>
    <row r="19" spans="1:53">
      <c r="A19">
        <v>19984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>
        <v>1351.077</v>
      </c>
      <c r="H19" t="s">
        <v>57</v>
      </c>
      <c r="I19">
        <v>2</v>
      </c>
      <c r="J19">
        <v>17</v>
      </c>
      <c r="K19">
        <v>1</v>
      </c>
      <c r="L19">
        <v>54.25</v>
      </c>
      <c r="M19">
        <v>59589</v>
      </c>
      <c r="N19">
        <v>28</v>
      </c>
      <c r="O19">
        <v>31</v>
      </c>
      <c r="P19">
        <v>31</v>
      </c>
      <c r="Q19">
        <v>32</v>
      </c>
      <c r="R19">
        <v>32</v>
      </c>
      <c r="S19">
        <v>452</v>
      </c>
      <c r="T19">
        <v>452</v>
      </c>
      <c r="U19">
        <v>32</v>
      </c>
      <c r="V19">
        <v>18</v>
      </c>
      <c r="W19">
        <v>24</v>
      </c>
      <c r="X19">
        <v>24</v>
      </c>
      <c r="Y19">
        <v>27</v>
      </c>
      <c r="Z19">
        <v>31</v>
      </c>
      <c r="AA19">
        <v>31</v>
      </c>
      <c r="AB19">
        <v>32</v>
      </c>
      <c r="AC19">
        <v>29</v>
      </c>
      <c r="AD19">
        <v>27</v>
      </c>
      <c r="AE19">
        <v>18</v>
      </c>
      <c r="AF19">
        <v>51</v>
      </c>
      <c r="AG19">
        <v>75</v>
      </c>
      <c r="AH19">
        <v>72</v>
      </c>
      <c r="AI19">
        <v>83</v>
      </c>
      <c r="AJ19">
        <v>72</v>
      </c>
      <c r="AK19">
        <v>52</v>
      </c>
      <c r="AL19">
        <v>79334160</v>
      </c>
      <c r="AM19">
        <v>98117032</v>
      </c>
      <c r="AN19">
        <v>375250880</v>
      </c>
      <c r="AO19">
        <v>370291968</v>
      </c>
      <c r="AP19">
        <v>772654272</v>
      </c>
      <c r="AQ19">
        <v>1014362496</v>
      </c>
      <c r="AR19">
        <v>651965312</v>
      </c>
      <c r="AS19">
        <v>375420128</v>
      </c>
      <c r="AT19">
        <v>72473632</v>
      </c>
      <c r="AU19">
        <v>87328464</v>
      </c>
      <c r="AV19">
        <v>289748064</v>
      </c>
      <c r="AW19">
        <v>368354912</v>
      </c>
      <c r="AX19">
        <v>445528960</v>
      </c>
      <c r="AY19">
        <v>655766720</v>
      </c>
      <c r="AZ19">
        <v>526747936</v>
      </c>
      <c r="BA19">
        <v>417476608</v>
      </c>
    </row>
    <row r="20" spans="1:53">
      <c r="A20">
        <v>20112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>
        <v>1327.376</v>
      </c>
      <c r="H20" t="s">
        <v>57</v>
      </c>
      <c r="I20">
        <v>2</v>
      </c>
      <c r="J20">
        <v>3</v>
      </c>
      <c r="K20">
        <v>18</v>
      </c>
      <c r="L20">
        <v>63.81</v>
      </c>
      <c r="M20">
        <v>63691</v>
      </c>
      <c r="N20">
        <v>33</v>
      </c>
      <c r="O20">
        <v>28</v>
      </c>
      <c r="P20">
        <v>28</v>
      </c>
      <c r="Q20">
        <v>28</v>
      </c>
      <c r="R20">
        <v>28</v>
      </c>
      <c r="S20">
        <v>354</v>
      </c>
      <c r="T20">
        <v>354</v>
      </c>
      <c r="U20">
        <v>28</v>
      </c>
      <c r="V20">
        <v>24</v>
      </c>
      <c r="W20">
        <v>26</v>
      </c>
      <c r="X20">
        <v>28</v>
      </c>
      <c r="Y20">
        <v>27</v>
      </c>
      <c r="Z20">
        <v>26</v>
      </c>
      <c r="AA20">
        <v>27</v>
      </c>
      <c r="AB20">
        <v>28</v>
      </c>
      <c r="AC20">
        <v>27</v>
      </c>
      <c r="AD20">
        <v>50</v>
      </c>
      <c r="AE20">
        <v>56</v>
      </c>
      <c r="AF20">
        <v>57</v>
      </c>
      <c r="AG20">
        <v>55</v>
      </c>
      <c r="AH20">
        <v>28</v>
      </c>
      <c r="AI20">
        <v>27</v>
      </c>
      <c r="AJ20">
        <v>40</v>
      </c>
      <c r="AK20">
        <v>40</v>
      </c>
      <c r="AL20">
        <v>349682016</v>
      </c>
      <c r="AM20">
        <v>406205056</v>
      </c>
      <c r="AN20">
        <v>366943328</v>
      </c>
      <c r="AO20">
        <v>350612704</v>
      </c>
      <c r="AP20">
        <v>216238864</v>
      </c>
      <c r="AQ20">
        <v>230075568</v>
      </c>
      <c r="AR20">
        <v>369101696</v>
      </c>
      <c r="AS20">
        <v>299015168</v>
      </c>
      <c r="AT20">
        <v>393893984</v>
      </c>
      <c r="AU20">
        <v>350773984</v>
      </c>
      <c r="AV20">
        <v>316584896</v>
      </c>
      <c r="AW20">
        <v>339344000</v>
      </c>
      <c r="AX20">
        <v>95420056</v>
      </c>
      <c r="AY20">
        <v>108191736</v>
      </c>
      <c r="AZ20">
        <v>237735744</v>
      </c>
      <c r="BA20">
        <v>259477232</v>
      </c>
    </row>
    <row r="21" spans="1:53">
      <c r="A21">
        <v>20065</v>
      </c>
      <c r="B21" t="s">
        <v>138</v>
      </c>
      <c r="C21" t="s">
        <v>139</v>
      </c>
      <c r="D21" t="s">
        <v>140</v>
      </c>
      <c r="F21" t="s">
        <v>141</v>
      </c>
      <c r="G21">
        <v>1322.8630000000001</v>
      </c>
      <c r="H21" t="s">
        <v>57</v>
      </c>
      <c r="I21">
        <v>2</v>
      </c>
      <c r="J21">
        <v>20</v>
      </c>
      <c r="K21">
        <v>0</v>
      </c>
      <c r="L21">
        <v>86.7</v>
      </c>
      <c r="M21">
        <v>25982</v>
      </c>
      <c r="N21">
        <v>16</v>
      </c>
      <c r="O21">
        <v>33</v>
      </c>
      <c r="P21">
        <v>33</v>
      </c>
      <c r="Q21">
        <v>34</v>
      </c>
      <c r="R21">
        <v>34</v>
      </c>
      <c r="S21">
        <v>1773</v>
      </c>
      <c r="T21">
        <v>1773</v>
      </c>
      <c r="U21">
        <v>34</v>
      </c>
      <c r="V21">
        <v>24</v>
      </c>
      <c r="W21">
        <v>27</v>
      </c>
      <c r="X21">
        <v>34</v>
      </c>
      <c r="Y21">
        <v>34</v>
      </c>
      <c r="Z21">
        <v>33</v>
      </c>
      <c r="AA21">
        <v>33</v>
      </c>
      <c r="AB21">
        <v>33</v>
      </c>
      <c r="AC21">
        <v>32</v>
      </c>
      <c r="AD21">
        <v>237</v>
      </c>
      <c r="AE21">
        <v>188</v>
      </c>
      <c r="AF21">
        <v>273</v>
      </c>
      <c r="AG21">
        <v>260</v>
      </c>
      <c r="AH21">
        <v>233</v>
      </c>
      <c r="AI21">
        <v>213</v>
      </c>
      <c r="AJ21">
        <v>184</v>
      </c>
      <c r="AK21">
        <v>185</v>
      </c>
      <c r="AL21">
        <v>6876911104</v>
      </c>
      <c r="AM21">
        <v>7784473600</v>
      </c>
      <c r="AN21">
        <v>7208879104</v>
      </c>
      <c r="AO21">
        <v>6632539136</v>
      </c>
      <c r="AP21">
        <v>14317442048</v>
      </c>
      <c r="AQ21">
        <v>12510676992</v>
      </c>
      <c r="AR21">
        <v>8558078976</v>
      </c>
      <c r="AS21">
        <v>6871955456</v>
      </c>
      <c r="AT21">
        <v>3597435904</v>
      </c>
      <c r="AU21">
        <v>4001790720</v>
      </c>
      <c r="AV21">
        <v>5925957632</v>
      </c>
      <c r="AW21">
        <v>5651542016</v>
      </c>
      <c r="AX21">
        <v>9149697024</v>
      </c>
      <c r="AY21">
        <v>8455099392</v>
      </c>
      <c r="AZ21">
        <v>6869596160</v>
      </c>
      <c r="BA21">
        <v>5598789632</v>
      </c>
    </row>
    <row r="22" spans="1:53">
      <c r="A22">
        <v>20057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>
        <v>1308.684</v>
      </c>
      <c r="H22" t="s">
        <v>57</v>
      </c>
      <c r="I22">
        <v>2</v>
      </c>
      <c r="J22">
        <v>10</v>
      </c>
      <c r="K22">
        <v>11</v>
      </c>
      <c r="L22">
        <v>57.16</v>
      </c>
      <c r="M22">
        <v>76239</v>
      </c>
      <c r="N22">
        <v>41</v>
      </c>
      <c r="O22">
        <v>31</v>
      </c>
      <c r="P22">
        <v>31</v>
      </c>
      <c r="Q22">
        <v>31</v>
      </c>
      <c r="R22">
        <v>31</v>
      </c>
      <c r="S22">
        <v>336</v>
      </c>
      <c r="T22">
        <v>336</v>
      </c>
      <c r="U22">
        <v>31</v>
      </c>
      <c r="V22">
        <v>25</v>
      </c>
      <c r="W22">
        <v>27</v>
      </c>
      <c r="X22">
        <v>27</v>
      </c>
      <c r="Y22">
        <v>28</v>
      </c>
      <c r="Z22">
        <v>30</v>
      </c>
      <c r="AA22">
        <v>29</v>
      </c>
      <c r="AB22">
        <v>29</v>
      </c>
      <c r="AC22">
        <v>31</v>
      </c>
      <c r="AD22">
        <v>48</v>
      </c>
      <c r="AE22">
        <v>51</v>
      </c>
      <c r="AF22">
        <v>52</v>
      </c>
      <c r="AG22">
        <v>49</v>
      </c>
      <c r="AH22">
        <v>23</v>
      </c>
      <c r="AI22">
        <v>28</v>
      </c>
      <c r="AJ22">
        <v>43</v>
      </c>
      <c r="AK22">
        <v>42</v>
      </c>
      <c r="AL22">
        <v>324568736</v>
      </c>
      <c r="AM22">
        <v>299328736</v>
      </c>
      <c r="AN22">
        <v>307498272</v>
      </c>
      <c r="AO22">
        <v>300342432</v>
      </c>
      <c r="AP22">
        <v>139346928</v>
      </c>
      <c r="AQ22">
        <v>154342992</v>
      </c>
      <c r="AR22">
        <v>317767360</v>
      </c>
      <c r="AS22">
        <v>233846848</v>
      </c>
      <c r="AT22">
        <v>349593952</v>
      </c>
      <c r="AU22">
        <v>283731904</v>
      </c>
      <c r="AV22">
        <v>286865120</v>
      </c>
      <c r="AW22">
        <v>301813920</v>
      </c>
      <c r="AX22">
        <v>69849888</v>
      </c>
      <c r="AY22">
        <v>87661864</v>
      </c>
      <c r="AZ22">
        <v>201648304</v>
      </c>
      <c r="BA22">
        <v>219159872</v>
      </c>
    </row>
    <row r="23" spans="1:53">
      <c r="A23">
        <v>19983</v>
      </c>
      <c r="B23" t="s">
        <v>147</v>
      </c>
      <c r="C23" t="s">
        <v>148</v>
      </c>
      <c r="D23" t="s">
        <v>149</v>
      </c>
      <c r="F23" t="s">
        <v>150</v>
      </c>
      <c r="G23">
        <v>1221.0840000000001</v>
      </c>
      <c r="H23" t="s">
        <v>57</v>
      </c>
      <c r="I23">
        <v>2</v>
      </c>
      <c r="J23">
        <v>3</v>
      </c>
      <c r="K23">
        <v>0</v>
      </c>
      <c r="L23">
        <v>67.41</v>
      </c>
      <c r="M23">
        <v>29613</v>
      </c>
      <c r="N23">
        <v>16</v>
      </c>
      <c r="O23">
        <v>26</v>
      </c>
      <c r="P23">
        <v>26</v>
      </c>
      <c r="Q23">
        <v>28</v>
      </c>
      <c r="R23">
        <v>28</v>
      </c>
      <c r="S23">
        <v>2934</v>
      </c>
      <c r="T23">
        <v>2934</v>
      </c>
      <c r="U23">
        <v>28</v>
      </c>
      <c r="V23">
        <v>23</v>
      </c>
      <c r="W23">
        <v>26</v>
      </c>
      <c r="X23">
        <v>27</v>
      </c>
      <c r="Y23">
        <v>27</v>
      </c>
      <c r="Z23">
        <v>28</v>
      </c>
      <c r="AA23">
        <v>27</v>
      </c>
      <c r="AB23">
        <v>28</v>
      </c>
      <c r="AC23">
        <v>28</v>
      </c>
      <c r="AD23">
        <v>274</v>
      </c>
      <c r="AE23">
        <v>334</v>
      </c>
      <c r="AF23">
        <v>405</v>
      </c>
      <c r="AG23">
        <v>335</v>
      </c>
      <c r="AH23">
        <v>281</v>
      </c>
      <c r="AI23">
        <v>328</v>
      </c>
      <c r="AJ23">
        <v>452</v>
      </c>
      <c r="AK23">
        <v>525</v>
      </c>
      <c r="AL23">
        <v>7965608960</v>
      </c>
      <c r="AM23">
        <v>8799005696</v>
      </c>
      <c r="AN23">
        <v>8940572672</v>
      </c>
      <c r="AO23">
        <v>7892573696</v>
      </c>
      <c r="AP23">
        <v>10751102976</v>
      </c>
      <c r="AQ23">
        <v>11348226048</v>
      </c>
      <c r="AR23">
        <v>14820665344</v>
      </c>
      <c r="AS23">
        <v>12295263232</v>
      </c>
      <c r="AT23">
        <v>6483794432</v>
      </c>
      <c r="AU23">
        <v>5833820672</v>
      </c>
      <c r="AV23">
        <v>5955674112</v>
      </c>
      <c r="AW23">
        <v>6893689856</v>
      </c>
      <c r="AX23">
        <v>4879346688</v>
      </c>
      <c r="AY23">
        <v>5769380864</v>
      </c>
      <c r="AZ23">
        <v>11455106048</v>
      </c>
      <c r="BA23">
        <v>13247745024</v>
      </c>
    </row>
    <row r="24" spans="1:53">
      <c r="A24">
        <v>20084</v>
      </c>
      <c r="B24" t="s">
        <v>151</v>
      </c>
      <c r="C24" t="s">
        <v>152</v>
      </c>
      <c r="D24" t="s">
        <v>153</v>
      </c>
      <c r="F24" t="s">
        <v>154</v>
      </c>
      <c r="G24">
        <v>1212.8409999999999</v>
      </c>
      <c r="H24" t="s">
        <v>57</v>
      </c>
      <c r="I24">
        <v>2</v>
      </c>
      <c r="J24">
        <v>21</v>
      </c>
      <c r="K24">
        <v>0</v>
      </c>
      <c r="L24">
        <v>92.74</v>
      </c>
      <c r="M24">
        <v>20301</v>
      </c>
      <c r="N24">
        <v>13</v>
      </c>
      <c r="O24">
        <v>27</v>
      </c>
      <c r="P24">
        <v>27</v>
      </c>
      <c r="Q24">
        <v>31</v>
      </c>
      <c r="R24">
        <v>31</v>
      </c>
      <c r="S24">
        <v>841</v>
      </c>
      <c r="T24">
        <v>841</v>
      </c>
      <c r="U24">
        <v>31</v>
      </c>
      <c r="V24">
        <v>21</v>
      </c>
      <c r="W24">
        <v>27</v>
      </c>
      <c r="X24">
        <v>27</v>
      </c>
      <c r="Y24">
        <v>25</v>
      </c>
      <c r="Z24">
        <v>30</v>
      </c>
      <c r="AA24">
        <v>30</v>
      </c>
      <c r="AB24">
        <v>29</v>
      </c>
      <c r="AC24">
        <v>27</v>
      </c>
      <c r="AD24">
        <v>113</v>
      </c>
      <c r="AE24">
        <v>115</v>
      </c>
      <c r="AF24">
        <v>127</v>
      </c>
      <c r="AG24">
        <v>94</v>
      </c>
      <c r="AH24">
        <v>110</v>
      </c>
      <c r="AI24">
        <v>105</v>
      </c>
      <c r="AJ24">
        <v>82</v>
      </c>
      <c r="AK24">
        <v>95</v>
      </c>
      <c r="AL24">
        <v>1427732352</v>
      </c>
      <c r="AM24">
        <v>1523295616</v>
      </c>
      <c r="AN24">
        <v>1223908736</v>
      </c>
      <c r="AO24">
        <v>845043712</v>
      </c>
      <c r="AP24">
        <v>2475184640</v>
      </c>
      <c r="AQ24">
        <v>2384209920</v>
      </c>
      <c r="AR24">
        <v>1262738176</v>
      </c>
      <c r="AS24">
        <v>1395899264</v>
      </c>
      <c r="AT24">
        <v>1351694336</v>
      </c>
      <c r="AU24">
        <v>1318155264</v>
      </c>
      <c r="AV24">
        <v>1168056576</v>
      </c>
      <c r="AW24">
        <v>882884032</v>
      </c>
      <c r="AX24">
        <v>1162579328</v>
      </c>
      <c r="AY24">
        <v>1184834944</v>
      </c>
      <c r="AZ24">
        <v>798975872</v>
      </c>
      <c r="BA24">
        <v>1255579392</v>
      </c>
    </row>
    <row r="25" spans="1:53">
      <c r="A25">
        <v>20187</v>
      </c>
      <c r="B25" t="s">
        <v>155</v>
      </c>
      <c r="C25" t="s">
        <v>156</v>
      </c>
      <c r="D25" t="s">
        <v>155</v>
      </c>
      <c r="F25" t="s">
        <v>157</v>
      </c>
      <c r="G25">
        <v>1209.4000000000001</v>
      </c>
      <c r="H25" t="s">
        <v>57</v>
      </c>
      <c r="I25">
        <v>2</v>
      </c>
      <c r="J25">
        <v>1</v>
      </c>
      <c r="K25">
        <v>0</v>
      </c>
      <c r="L25">
        <v>73.31</v>
      </c>
      <c r="M25">
        <v>31048</v>
      </c>
      <c r="N25">
        <v>16</v>
      </c>
      <c r="O25">
        <v>23</v>
      </c>
      <c r="P25">
        <v>23</v>
      </c>
      <c r="Q25">
        <v>26</v>
      </c>
      <c r="R25">
        <v>26</v>
      </c>
      <c r="S25">
        <v>1213</v>
      </c>
      <c r="T25">
        <v>1213</v>
      </c>
      <c r="U25">
        <v>26</v>
      </c>
      <c r="V25">
        <v>25</v>
      </c>
      <c r="W25">
        <v>26</v>
      </c>
      <c r="X25">
        <v>26</v>
      </c>
      <c r="Y25">
        <v>26</v>
      </c>
      <c r="Z25">
        <v>26</v>
      </c>
      <c r="AA25">
        <v>26</v>
      </c>
      <c r="AB25">
        <v>26</v>
      </c>
      <c r="AC25">
        <v>26</v>
      </c>
      <c r="AD25">
        <v>157</v>
      </c>
      <c r="AE25">
        <v>136</v>
      </c>
      <c r="AF25">
        <v>151</v>
      </c>
      <c r="AG25">
        <v>151</v>
      </c>
      <c r="AH25">
        <v>119</v>
      </c>
      <c r="AI25">
        <v>130</v>
      </c>
      <c r="AJ25">
        <v>170</v>
      </c>
      <c r="AK25">
        <v>199</v>
      </c>
      <c r="AL25">
        <v>817894272</v>
      </c>
      <c r="AM25">
        <v>952473728</v>
      </c>
      <c r="AN25">
        <v>1059456704</v>
      </c>
      <c r="AO25">
        <v>1051098496</v>
      </c>
      <c r="AP25">
        <v>2986709504</v>
      </c>
      <c r="AQ25">
        <v>3021337600</v>
      </c>
      <c r="AR25">
        <v>3153860608</v>
      </c>
      <c r="AS25">
        <v>1891885056</v>
      </c>
      <c r="AT25">
        <v>680942400</v>
      </c>
      <c r="AU25">
        <v>781715520</v>
      </c>
      <c r="AV25">
        <v>880583168</v>
      </c>
      <c r="AW25">
        <v>1033139008</v>
      </c>
      <c r="AX25">
        <v>1248250112</v>
      </c>
      <c r="AY25">
        <v>1523752704</v>
      </c>
      <c r="AZ25">
        <v>2062135808</v>
      </c>
      <c r="BA25">
        <v>1858248704</v>
      </c>
    </row>
    <row r="26" spans="1:53">
      <c r="A26">
        <v>19985</v>
      </c>
      <c r="B26" t="s">
        <v>158</v>
      </c>
      <c r="C26" t="s">
        <v>159</v>
      </c>
      <c r="D26" t="s">
        <v>160</v>
      </c>
      <c r="F26" t="s">
        <v>161</v>
      </c>
      <c r="G26">
        <v>1205.2280000000001</v>
      </c>
      <c r="H26" t="s">
        <v>57</v>
      </c>
      <c r="I26">
        <v>2</v>
      </c>
      <c r="J26">
        <v>16</v>
      </c>
      <c r="K26">
        <v>0</v>
      </c>
      <c r="L26">
        <v>82.16</v>
      </c>
      <c r="M26">
        <v>26743</v>
      </c>
      <c r="N26">
        <v>14</v>
      </c>
      <c r="O26">
        <v>25</v>
      </c>
      <c r="P26">
        <v>5</v>
      </c>
      <c r="Q26">
        <v>29</v>
      </c>
      <c r="R26">
        <v>5</v>
      </c>
      <c r="S26">
        <v>2358</v>
      </c>
      <c r="T26">
        <v>303</v>
      </c>
      <c r="U26">
        <v>5</v>
      </c>
      <c r="V26">
        <v>4</v>
      </c>
      <c r="W26">
        <v>4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52</v>
      </c>
      <c r="AE26">
        <v>40</v>
      </c>
      <c r="AF26">
        <v>45</v>
      </c>
      <c r="AG26">
        <v>36</v>
      </c>
      <c r="AH26">
        <v>33</v>
      </c>
      <c r="AI26">
        <v>32</v>
      </c>
      <c r="AJ26">
        <v>27</v>
      </c>
      <c r="AK26">
        <v>38</v>
      </c>
      <c r="AL26">
        <v>5949499392</v>
      </c>
      <c r="AM26">
        <v>6616920064</v>
      </c>
      <c r="AN26">
        <v>6290901504</v>
      </c>
      <c r="AO26">
        <v>5901172736</v>
      </c>
      <c r="AP26">
        <v>12326180864</v>
      </c>
      <c r="AQ26">
        <v>10955528192</v>
      </c>
      <c r="AR26">
        <v>6731212800</v>
      </c>
      <c r="AS26">
        <v>5097117696</v>
      </c>
      <c r="AT26">
        <v>431972672</v>
      </c>
      <c r="AU26">
        <v>606553472</v>
      </c>
      <c r="AV26">
        <v>665437056</v>
      </c>
      <c r="AW26">
        <v>692120960</v>
      </c>
      <c r="AX26">
        <v>1564700928</v>
      </c>
      <c r="AY26">
        <v>1144950272</v>
      </c>
      <c r="AZ26">
        <v>863586688</v>
      </c>
      <c r="BA26">
        <v>689842176</v>
      </c>
    </row>
    <row r="27" spans="1:53">
      <c r="A27">
        <v>20113</v>
      </c>
      <c r="B27" t="s">
        <v>162</v>
      </c>
      <c r="C27" t="s">
        <v>163</v>
      </c>
      <c r="D27" t="s">
        <v>164</v>
      </c>
      <c r="F27" t="s">
        <v>165</v>
      </c>
      <c r="G27">
        <v>1199.692</v>
      </c>
      <c r="H27" t="s">
        <v>57</v>
      </c>
      <c r="I27">
        <v>2</v>
      </c>
      <c r="J27">
        <v>21</v>
      </c>
      <c r="K27">
        <v>0</v>
      </c>
      <c r="L27">
        <v>73.63</v>
      </c>
      <c r="M27">
        <v>29860</v>
      </c>
      <c r="N27">
        <v>18</v>
      </c>
      <c r="O27">
        <v>30</v>
      </c>
      <c r="P27">
        <v>30</v>
      </c>
      <c r="Q27">
        <v>34</v>
      </c>
      <c r="R27">
        <v>34</v>
      </c>
      <c r="S27">
        <v>1355</v>
      </c>
      <c r="T27">
        <v>1355</v>
      </c>
      <c r="U27">
        <v>34</v>
      </c>
      <c r="V27">
        <v>22</v>
      </c>
      <c r="W27">
        <v>29</v>
      </c>
      <c r="X27">
        <v>27</v>
      </c>
      <c r="Y27">
        <v>27</v>
      </c>
      <c r="Z27">
        <v>34</v>
      </c>
      <c r="AA27">
        <v>34</v>
      </c>
      <c r="AB27">
        <v>34</v>
      </c>
      <c r="AC27">
        <v>33</v>
      </c>
      <c r="AD27">
        <v>223</v>
      </c>
      <c r="AE27">
        <v>223</v>
      </c>
      <c r="AF27">
        <v>200</v>
      </c>
      <c r="AG27">
        <v>110</v>
      </c>
      <c r="AH27">
        <v>162</v>
      </c>
      <c r="AI27">
        <v>158</v>
      </c>
      <c r="AJ27">
        <v>131</v>
      </c>
      <c r="AK27">
        <v>148</v>
      </c>
      <c r="AL27">
        <v>993649920</v>
      </c>
      <c r="AM27">
        <v>1851504512</v>
      </c>
      <c r="AN27">
        <v>1187464832</v>
      </c>
      <c r="AO27">
        <v>830914688</v>
      </c>
      <c r="AP27">
        <v>4155383552</v>
      </c>
      <c r="AQ27">
        <v>3685877760</v>
      </c>
      <c r="AR27">
        <v>1940815360</v>
      </c>
      <c r="AS27">
        <v>2028811008</v>
      </c>
      <c r="AT27">
        <v>1015049792</v>
      </c>
      <c r="AU27">
        <v>1383228544</v>
      </c>
      <c r="AV27">
        <v>909391424</v>
      </c>
      <c r="AW27">
        <v>621974208</v>
      </c>
      <c r="AX27">
        <v>2185104384</v>
      </c>
      <c r="AY27">
        <v>2145564160</v>
      </c>
      <c r="AZ27">
        <v>1486115840</v>
      </c>
      <c r="BA27">
        <v>2036148224</v>
      </c>
    </row>
    <row r="28" spans="1:53">
      <c r="A28">
        <v>20017</v>
      </c>
      <c r="B28" t="s">
        <v>166</v>
      </c>
      <c r="C28" t="s">
        <v>167</v>
      </c>
      <c r="D28" t="s">
        <v>168</v>
      </c>
      <c r="E28" t="s">
        <v>169</v>
      </c>
      <c r="F28" t="s">
        <v>170</v>
      </c>
      <c r="G28">
        <v>1186.0219999999999</v>
      </c>
      <c r="H28" t="s">
        <v>57</v>
      </c>
      <c r="I28">
        <v>2</v>
      </c>
      <c r="J28">
        <v>6</v>
      </c>
      <c r="K28">
        <v>14</v>
      </c>
      <c r="L28">
        <v>43.6</v>
      </c>
      <c r="M28">
        <v>104295</v>
      </c>
      <c r="N28">
        <v>58</v>
      </c>
      <c r="O28">
        <v>33</v>
      </c>
      <c r="P28">
        <v>2</v>
      </c>
      <c r="Q28">
        <v>33</v>
      </c>
      <c r="R28">
        <v>2</v>
      </c>
      <c r="S28">
        <v>231</v>
      </c>
      <c r="T28">
        <v>12</v>
      </c>
      <c r="U28">
        <v>2</v>
      </c>
      <c r="V28">
        <v>1</v>
      </c>
      <c r="W28">
        <v>2</v>
      </c>
      <c r="X28">
        <v>2</v>
      </c>
      <c r="Y28">
        <v>2</v>
      </c>
      <c r="Z28">
        <v>1</v>
      </c>
      <c r="AA28">
        <v>1</v>
      </c>
      <c r="AB28">
        <v>2</v>
      </c>
      <c r="AC28">
        <v>2</v>
      </c>
      <c r="AD28">
        <v>1</v>
      </c>
      <c r="AE28">
        <v>2</v>
      </c>
      <c r="AF28">
        <v>2</v>
      </c>
      <c r="AG28">
        <v>2</v>
      </c>
      <c r="AH28">
        <v>1</v>
      </c>
      <c r="AI28">
        <v>1</v>
      </c>
      <c r="AJ28">
        <v>2</v>
      </c>
      <c r="AK28">
        <v>1</v>
      </c>
      <c r="AL28">
        <v>224656928</v>
      </c>
      <c r="AM28">
        <v>230567984</v>
      </c>
      <c r="AN28">
        <v>240408400</v>
      </c>
      <c r="AO28">
        <v>203085872</v>
      </c>
      <c r="AP28">
        <v>118192952</v>
      </c>
      <c r="AQ28">
        <v>129978560</v>
      </c>
      <c r="AR28">
        <v>269509920</v>
      </c>
      <c r="AS28">
        <v>179848864</v>
      </c>
      <c r="AT28">
        <v>291714.28000000003</v>
      </c>
      <c r="AU28">
        <v>4103744.25</v>
      </c>
      <c r="AV28">
        <v>4878631.5</v>
      </c>
      <c r="AW28">
        <v>4610242.5</v>
      </c>
      <c r="AX28">
        <v>220408.45</v>
      </c>
      <c r="AY28">
        <v>241917.09</v>
      </c>
      <c r="AZ28">
        <v>8063389.5</v>
      </c>
      <c r="BA28">
        <v>14950107</v>
      </c>
    </row>
    <row r="29" spans="1:53">
      <c r="A29">
        <v>20016</v>
      </c>
      <c r="B29" t="s">
        <v>171</v>
      </c>
      <c r="C29" t="s">
        <v>167</v>
      </c>
      <c r="D29" t="s">
        <v>171</v>
      </c>
      <c r="F29" t="s">
        <v>172</v>
      </c>
      <c r="G29">
        <v>1170.5219999999999</v>
      </c>
      <c r="H29" t="s">
        <v>57</v>
      </c>
      <c r="I29">
        <v>2</v>
      </c>
      <c r="J29">
        <v>1</v>
      </c>
      <c r="K29">
        <v>0</v>
      </c>
      <c r="L29">
        <v>41.47</v>
      </c>
      <c r="M29">
        <v>104263</v>
      </c>
      <c r="N29">
        <v>58</v>
      </c>
      <c r="O29">
        <v>32</v>
      </c>
      <c r="P29">
        <v>1</v>
      </c>
      <c r="Q29">
        <v>32</v>
      </c>
      <c r="R29">
        <v>1</v>
      </c>
      <c r="S29">
        <v>230</v>
      </c>
      <c r="T29">
        <v>11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2</v>
      </c>
      <c r="AF29">
        <v>1</v>
      </c>
      <c r="AG29">
        <v>2</v>
      </c>
      <c r="AH29">
        <v>1</v>
      </c>
      <c r="AI29">
        <v>1</v>
      </c>
      <c r="AJ29">
        <v>2</v>
      </c>
      <c r="AK29">
        <v>1</v>
      </c>
      <c r="AL29">
        <v>224656928</v>
      </c>
      <c r="AM29">
        <v>229979136</v>
      </c>
      <c r="AN29">
        <v>239656160</v>
      </c>
      <c r="AO29">
        <v>202522592</v>
      </c>
      <c r="AP29">
        <v>118192944</v>
      </c>
      <c r="AQ29">
        <v>129978560</v>
      </c>
      <c r="AR29">
        <v>268823744</v>
      </c>
      <c r="AS29">
        <v>178756800</v>
      </c>
      <c r="AT29">
        <v>7415340.5</v>
      </c>
      <c r="AU29">
        <v>4527848</v>
      </c>
      <c r="AV29">
        <v>5072106.5</v>
      </c>
      <c r="AW29">
        <v>5160881.5</v>
      </c>
      <c r="AX29">
        <v>1688038.75</v>
      </c>
      <c r="AY29">
        <v>1866738.62</v>
      </c>
      <c r="AZ29">
        <v>4337752.5</v>
      </c>
      <c r="BA29">
        <v>4302956.5</v>
      </c>
    </row>
    <row r="30" spans="1:53">
      <c r="A30">
        <v>19962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>
        <v>1139.337</v>
      </c>
      <c r="H30" t="s">
        <v>57</v>
      </c>
      <c r="I30">
        <v>2</v>
      </c>
      <c r="J30">
        <v>3</v>
      </c>
      <c r="K30">
        <v>18</v>
      </c>
      <c r="L30">
        <v>78.209999999999994</v>
      </c>
      <c r="M30">
        <v>20018</v>
      </c>
      <c r="N30">
        <v>14</v>
      </c>
      <c r="O30">
        <v>24</v>
      </c>
      <c r="P30">
        <v>24</v>
      </c>
      <c r="Q30">
        <v>27</v>
      </c>
      <c r="R30">
        <v>27</v>
      </c>
      <c r="S30">
        <v>1780</v>
      </c>
      <c r="T30">
        <v>1780</v>
      </c>
      <c r="U30">
        <v>27</v>
      </c>
      <c r="V30">
        <v>23</v>
      </c>
      <c r="W30">
        <v>24</v>
      </c>
      <c r="X30">
        <v>26</v>
      </c>
      <c r="Y30">
        <v>26</v>
      </c>
      <c r="Z30">
        <v>25</v>
      </c>
      <c r="AA30">
        <v>25</v>
      </c>
      <c r="AB30">
        <v>25</v>
      </c>
      <c r="AC30">
        <v>25</v>
      </c>
      <c r="AD30">
        <v>180</v>
      </c>
      <c r="AE30">
        <v>262</v>
      </c>
      <c r="AF30">
        <v>260</v>
      </c>
      <c r="AG30">
        <v>260</v>
      </c>
      <c r="AH30">
        <v>275</v>
      </c>
      <c r="AI30">
        <v>215</v>
      </c>
      <c r="AJ30">
        <v>146</v>
      </c>
      <c r="AK30">
        <v>182</v>
      </c>
      <c r="AL30">
        <v>7874042880</v>
      </c>
      <c r="AM30">
        <v>9175818240</v>
      </c>
      <c r="AN30">
        <v>6634945536</v>
      </c>
      <c r="AO30">
        <v>6214667264</v>
      </c>
      <c r="AP30">
        <v>13732892672</v>
      </c>
      <c r="AQ30">
        <v>12526416896</v>
      </c>
      <c r="AR30">
        <v>7677069312</v>
      </c>
      <c r="AS30">
        <v>6341817856</v>
      </c>
      <c r="AT30">
        <v>5728802816</v>
      </c>
      <c r="AU30">
        <v>5826307584</v>
      </c>
      <c r="AV30">
        <v>5022211584</v>
      </c>
      <c r="AW30">
        <v>5766903296</v>
      </c>
      <c r="AX30">
        <v>8636633088</v>
      </c>
      <c r="AY30">
        <v>7899057664</v>
      </c>
      <c r="AZ30">
        <v>6399143424</v>
      </c>
      <c r="BA30">
        <v>6374024192</v>
      </c>
    </row>
    <row r="31" spans="1:53">
      <c r="A31">
        <v>20095</v>
      </c>
      <c r="B31" t="s">
        <v>178</v>
      </c>
      <c r="C31" t="s">
        <v>179</v>
      </c>
      <c r="D31" t="s">
        <v>180</v>
      </c>
      <c r="E31" t="s">
        <v>181</v>
      </c>
      <c r="F31" t="s">
        <v>182</v>
      </c>
      <c r="G31">
        <v>1089.425</v>
      </c>
      <c r="H31" t="s">
        <v>57</v>
      </c>
      <c r="I31">
        <v>2</v>
      </c>
      <c r="J31">
        <v>14</v>
      </c>
      <c r="K31">
        <v>6</v>
      </c>
      <c r="L31">
        <v>76.09</v>
      </c>
      <c r="M31">
        <v>35933</v>
      </c>
      <c r="N31">
        <v>16</v>
      </c>
      <c r="O31">
        <v>22</v>
      </c>
      <c r="P31">
        <v>22</v>
      </c>
      <c r="Q31">
        <v>23</v>
      </c>
      <c r="R31">
        <v>23</v>
      </c>
      <c r="S31">
        <v>747</v>
      </c>
      <c r="T31">
        <v>747</v>
      </c>
      <c r="U31">
        <v>23</v>
      </c>
      <c r="V31">
        <v>19</v>
      </c>
      <c r="W31">
        <v>20</v>
      </c>
      <c r="X31">
        <v>21</v>
      </c>
      <c r="Y31">
        <v>21</v>
      </c>
      <c r="Z31">
        <v>23</v>
      </c>
      <c r="AA31">
        <v>23</v>
      </c>
      <c r="AB31">
        <v>23</v>
      </c>
      <c r="AC31">
        <v>23</v>
      </c>
      <c r="AD31">
        <v>93</v>
      </c>
      <c r="AE31">
        <v>80</v>
      </c>
      <c r="AF31">
        <v>73</v>
      </c>
      <c r="AG31">
        <v>92</v>
      </c>
      <c r="AH31">
        <v>106</v>
      </c>
      <c r="AI31">
        <v>116</v>
      </c>
      <c r="AJ31">
        <v>86</v>
      </c>
      <c r="AK31">
        <v>100</v>
      </c>
      <c r="AL31">
        <v>1893066624</v>
      </c>
      <c r="AM31">
        <v>2549821952</v>
      </c>
      <c r="AN31">
        <v>1215999104</v>
      </c>
      <c r="AO31">
        <v>1566769792</v>
      </c>
      <c r="AP31">
        <v>4413591552</v>
      </c>
      <c r="AQ31">
        <v>5166119936</v>
      </c>
      <c r="AR31">
        <v>3684414464</v>
      </c>
      <c r="AS31">
        <v>3083155968</v>
      </c>
      <c r="AT31">
        <v>1340785408</v>
      </c>
      <c r="AU31">
        <v>1712228352</v>
      </c>
      <c r="AV31">
        <v>957224704</v>
      </c>
      <c r="AW31">
        <v>1387743232</v>
      </c>
      <c r="AX31">
        <v>2081105792</v>
      </c>
      <c r="AY31">
        <v>2713315584</v>
      </c>
      <c r="AZ31">
        <v>2512185344</v>
      </c>
      <c r="BA31">
        <v>2899082240</v>
      </c>
    </row>
    <row r="32" spans="1:53">
      <c r="A32">
        <v>20171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  <c r="G32">
        <v>1057.17</v>
      </c>
      <c r="H32" t="s">
        <v>57</v>
      </c>
      <c r="I32">
        <v>2</v>
      </c>
      <c r="J32">
        <v>2</v>
      </c>
      <c r="K32">
        <v>1</v>
      </c>
      <c r="L32">
        <v>45.66</v>
      </c>
      <c r="M32">
        <v>87361</v>
      </c>
      <c r="N32">
        <v>44</v>
      </c>
      <c r="O32">
        <v>29</v>
      </c>
      <c r="P32">
        <v>29</v>
      </c>
      <c r="Q32">
        <v>29</v>
      </c>
      <c r="R32">
        <v>29</v>
      </c>
      <c r="S32">
        <v>334</v>
      </c>
      <c r="T32">
        <v>334</v>
      </c>
      <c r="U32">
        <v>29</v>
      </c>
      <c r="V32">
        <v>26</v>
      </c>
      <c r="W32">
        <v>29</v>
      </c>
      <c r="X32">
        <v>29</v>
      </c>
      <c r="Y32">
        <v>28</v>
      </c>
      <c r="Z32">
        <v>27</v>
      </c>
      <c r="AA32">
        <v>29</v>
      </c>
      <c r="AB32">
        <v>29</v>
      </c>
      <c r="AC32">
        <v>29</v>
      </c>
      <c r="AD32">
        <v>57</v>
      </c>
      <c r="AE32">
        <v>56</v>
      </c>
      <c r="AF32">
        <v>57</v>
      </c>
      <c r="AG32">
        <v>49</v>
      </c>
      <c r="AH32">
        <v>21</v>
      </c>
      <c r="AI32">
        <v>21</v>
      </c>
      <c r="AJ32">
        <v>37</v>
      </c>
      <c r="AK32">
        <v>36</v>
      </c>
      <c r="AL32">
        <v>308391776</v>
      </c>
      <c r="AM32">
        <v>435960256</v>
      </c>
      <c r="AN32">
        <v>457242560</v>
      </c>
      <c r="AO32">
        <v>427280448</v>
      </c>
      <c r="AP32">
        <v>244020448</v>
      </c>
      <c r="AQ32">
        <v>257711280</v>
      </c>
      <c r="AR32">
        <v>544076352</v>
      </c>
      <c r="AS32">
        <v>332548512</v>
      </c>
      <c r="AT32">
        <v>313915712</v>
      </c>
      <c r="AU32">
        <v>375631360</v>
      </c>
      <c r="AV32">
        <v>413266592</v>
      </c>
      <c r="AW32">
        <v>453418400</v>
      </c>
      <c r="AX32">
        <v>119681712</v>
      </c>
      <c r="AY32">
        <v>135455280</v>
      </c>
      <c r="AZ32">
        <v>330857984</v>
      </c>
      <c r="BA32">
        <v>307270592</v>
      </c>
    </row>
    <row r="33" spans="1:53">
      <c r="A33">
        <v>20077</v>
      </c>
      <c r="B33" t="s">
        <v>188</v>
      </c>
      <c r="C33" t="s">
        <v>189</v>
      </c>
      <c r="D33" t="s">
        <v>190</v>
      </c>
      <c r="F33" t="s">
        <v>191</v>
      </c>
      <c r="G33">
        <v>1048.481</v>
      </c>
      <c r="H33" t="s">
        <v>57</v>
      </c>
      <c r="I33">
        <v>2</v>
      </c>
      <c r="J33">
        <v>21</v>
      </c>
      <c r="K33">
        <v>0</v>
      </c>
      <c r="L33">
        <v>81.55</v>
      </c>
      <c r="M33">
        <v>23468</v>
      </c>
      <c r="N33">
        <v>14</v>
      </c>
      <c r="O33">
        <v>25</v>
      </c>
      <c r="P33">
        <v>25</v>
      </c>
      <c r="Q33">
        <v>28</v>
      </c>
      <c r="R33">
        <v>28</v>
      </c>
      <c r="S33">
        <v>1561</v>
      </c>
      <c r="T33">
        <v>1561</v>
      </c>
      <c r="U33">
        <v>28</v>
      </c>
      <c r="V33">
        <v>22</v>
      </c>
      <c r="W33">
        <v>24</v>
      </c>
      <c r="X33">
        <v>27</v>
      </c>
      <c r="Y33">
        <v>27</v>
      </c>
      <c r="Z33">
        <v>27</v>
      </c>
      <c r="AA33">
        <v>27</v>
      </c>
      <c r="AB33">
        <v>27</v>
      </c>
      <c r="AC33">
        <v>26</v>
      </c>
      <c r="AD33">
        <v>184</v>
      </c>
      <c r="AE33">
        <v>195</v>
      </c>
      <c r="AF33">
        <v>167</v>
      </c>
      <c r="AG33">
        <v>154</v>
      </c>
      <c r="AH33">
        <v>225</v>
      </c>
      <c r="AI33">
        <v>233</v>
      </c>
      <c r="AJ33">
        <v>179</v>
      </c>
      <c r="AK33">
        <v>224</v>
      </c>
      <c r="AL33">
        <v>10392297472</v>
      </c>
      <c r="AM33">
        <v>11651079168</v>
      </c>
      <c r="AN33">
        <v>3456958464</v>
      </c>
      <c r="AO33">
        <v>4144638464</v>
      </c>
      <c r="AP33">
        <v>14658176000</v>
      </c>
      <c r="AQ33">
        <v>13119557632</v>
      </c>
      <c r="AR33">
        <v>4042459904</v>
      </c>
      <c r="AS33">
        <v>5172328960</v>
      </c>
      <c r="AT33">
        <v>7188687872</v>
      </c>
      <c r="AU33">
        <v>6255472128</v>
      </c>
      <c r="AV33">
        <v>3359211264</v>
      </c>
      <c r="AW33">
        <v>4375516672</v>
      </c>
      <c r="AX33">
        <v>8425944064</v>
      </c>
      <c r="AY33">
        <v>7822871552</v>
      </c>
      <c r="AZ33">
        <v>3973091328</v>
      </c>
      <c r="BA33">
        <v>4579374592</v>
      </c>
    </row>
    <row r="34" spans="1:53">
      <c r="A34">
        <v>19989</v>
      </c>
      <c r="B34" t="s">
        <v>192</v>
      </c>
      <c r="C34" t="s">
        <v>193</v>
      </c>
      <c r="D34" t="s">
        <v>194</v>
      </c>
      <c r="F34" t="s">
        <v>195</v>
      </c>
      <c r="G34">
        <v>1043.558</v>
      </c>
      <c r="H34" t="s">
        <v>57</v>
      </c>
      <c r="I34">
        <v>2</v>
      </c>
      <c r="J34">
        <v>21</v>
      </c>
      <c r="K34">
        <v>0</v>
      </c>
      <c r="L34">
        <v>92.04</v>
      </c>
      <c r="M34">
        <v>22086</v>
      </c>
      <c r="N34">
        <v>13</v>
      </c>
      <c r="O34">
        <v>29</v>
      </c>
      <c r="P34">
        <v>29</v>
      </c>
      <c r="Q34">
        <v>31</v>
      </c>
      <c r="R34">
        <v>31</v>
      </c>
      <c r="S34">
        <v>716</v>
      </c>
      <c r="T34">
        <v>716</v>
      </c>
      <c r="U34">
        <v>31</v>
      </c>
      <c r="V34">
        <v>22</v>
      </c>
      <c r="W34">
        <v>22</v>
      </c>
      <c r="X34">
        <v>27</v>
      </c>
      <c r="Y34">
        <v>22</v>
      </c>
      <c r="Z34">
        <v>28</v>
      </c>
      <c r="AA34">
        <v>27</v>
      </c>
      <c r="AB34">
        <v>28</v>
      </c>
      <c r="AC34">
        <v>26</v>
      </c>
      <c r="AD34">
        <v>91</v>
      </c>
      <c r="AE34">
        <v>83</v>
      </c>
      <c r="AF34">
        <v>95</v>
      </c>
      <c r="AG34">
        <v>59</v>
      </c>
      <c r="AH34">
        <v>93</v>
      </c>
      <c r="AI34">
        <v>96</v>
      </c>
      <c r="AJ34">
        <v>100</v>
      </c>
      <c r="AK34">
        <v>99</v>
      </c>
      <c r="AL34">
        <v>782863808</v>
      </c>
      <c r="AM34">
        <v>989644608</v>
      </c>
      <c r="AN34">
        <v>736328192</v>
      </c>
      <c r="AO34">
        <v>623618368</v>
      </c>
      <c r="AP34">
        <v>1896844672</v>
      </c>
      <c r="AQ34">
        <v>1626431232</v>
      </c>
      <c r="AR34">
        <v>855488320</v>
      </c>
      <c r="AS34">
        <v>974184832</v>
      </c>
      <c r="AT34">
        <v>608295424</v>
      </c>
      <c r="AU34">
        <v>556325056</v>
      </c>
      <c r="AV34">
        <v>612666560</v>
      </c>
      <c r="AW34">
        <v>392783776</v>
      </c>
      <c r="AX34">
        <v>1023378112</v>
      </c>
      <c r="AY34">
        <v>1053526080</v>
      </c>
      <c r="AZ34">
        <v>699385472</v>
      </c>
      <c r="BA34">
        <v>969831744</v>
      </c>
    </row>
    <row r="35" spans="1:53">
      <c r="A35">
        <v>19996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>
        <v>1027.5229999999999</v>
      </c>
      <c r="H35" t="s">
        <v>57</v>
      </c>
      <c r="I35">
        <v>2</v>
      </c>
      <c r="J35">
        <v>3</v>
      </c>
      <c r="K35">
        <v>18</v>
      </c>
      <c r="L35">
        <v>61.82</v>
      </c>
      <c r="M35">
        <v>52201</v>
      </c>
      <c r="N35">
        <v>25</v>
      </c>
      <c r="O35">
        <v>24</v>
      </c>
      <c r="P35">
        <v>24</v>
      </c>
      <c r="Q35">
        <v>25</v>
      </c>
      <c r="R35">
        <v>25</v>
      </c>
      <c r="S35">
        <v>352</v>
      </c>
      <c r="T35">
        <v>352</v>
      </c>
      <c r="U35">
        <v>25</v>
      </c>
      <c r="V35">
        <v>23</v>
      </c>
      <c r="W35">
        <v>23</v>
      </c>
      <c r="X35">
        <v>23</v>
      </c>
      <c r="Y35">
        <v>24</v>
      </c>
      <c r="Z35">
        <v>23</v>
      </c>
      <c r="AA35">
        <v>24</v>
      </c>
      <c r="AB35">
        <v>23</v>
      </c>
      <c r="AC35">
        <v>24</v>
      </c>
      <c r="AD35">
        <v>43</v>
      </c>
      <c r="AE35">
        <v>50</v>
      </c>
      <c r="AF35">
        <v>47</v>
      </c>
      <c r="AG35">
        <v>51</v>
      </c>
      <c r="AH35">
        <v>28</v>
      </c>
      <c r="AI35">
        <v>29</v>
      </c>
      <c r="AJ35">
        <v>54</v>
      </c>
      <c r="AK35">
        <v>49</v>
      </c>
      <c r="AL35">
        <v>364794784</v>
      </c>
      <c r="AM35">
        <v>389742752</v>
      </c>
      <c r="AN35">
        <v>384095968</v>
      </c>
      <c r="AO35">
        <v>364033216</v>
      </c>
      <c r="AP35">
        <v>201508832</v>
      </c>
      <c r="AQ35">
        <v>186846896</v>
      </c>
      <c r="AR35">
        <v>390247072</v>
      </c>
      <c r="AS35">
        <v>244338992</v>
      </c>
      <c r="AT35">
        <v>367360320</v>
      </c>
      <c r="AU35">
        <v>320793440</v>
      </c>
      <c r="AV35">
        <v>320747776</v>
      </c>
      <c r="AW35">
        <v>364503552</v>
      </c>
      <c r="AX35">
        <v>86800304</v>
      </c>
      <c r="AY35">
        <v>98168608</v>
      </c>
      <c r="AZ35">
        <v>244094896</v>
      </c>
      <c r="BA35">
        <v>244247184</v>
      </c>
    </row>
    <row r="36" spans="1:53">
      <c r="A36">
        <v>20062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>
        <v>995.75599999999997</v>
      </c>
      <c r="H36" t="s">
        <v>57</v>
      </c>
      <c r="I36">
        <v>2</v>
      </c>
      <c r="J36">
        <v>2</v>
      </c>
      <c r="K36">
        <v>1</v>
      </c>
      <c r="L36">
        <v>75.64</v>
      </c>
      <c r="M36">
        <v>57602</v>
      </c>
      <c r="N36">
        <v>32</v>
      </c>
      <c r="O36">
        <v>36</v>
      </c>
      <c r="P36">
        <v>25</v>
      </c>
      <c r="Q36">
        <v>36</v>
      </c>
      <c r="R36">
        <v>25</v>
      </c>
      <c r="S36">
        <v>368</v>
      </c>
      <c r="T36">
        <v>294</v>
      </c>
      <c r="U36">
        <v>25</v>
      </c>
      <c r="V36">
        <v>21</v>
      </c>
      <c r="W36">
        <v>22</v>
      </c>
      <c r="X36">
        <v>22</v>
      </c>
      <c r="Y36">
        <v>22</v>
      </c>
      <c r="Z36">
        <v>21</v>
      </c>
      <c r="AA36">
        <v>22</v>
      </c>
      <c r="AB36">
        <v>23</v>
      </c>
      <c r="AC36">
        <v>24</v>
      </c>
      <c r="AD36">
        <v>53</v>
      </c>
      <c r="AE36">
        <v>45</v>
      </c>
      <c r="AF36">
        <v>43</v>
      </c>
      <c r="AG36">
        <v>46</v>
      </c>
      <c r="AH36">
        <v>18</v>
      </c>
      <c r="AI36">
        <v>20</v>
      </c>
      <c r="AJ36">
        <v>39</v>
      </c>
      <c r="AK36">
        <v>30</v>
      </c>
      <c r="AL36">
        <v>410326336</v>
      </c>
      <c r="AM36">
        <v>511614528</v>
      </c>
      <c r="AN36">
        <v>480549472</v>
      </c>
      <c r="AO36">
        <v>449039968</v>
      </c>
      <c r="AP36">
        <v>220541856</v>
      </c>
      <c r="AQ36">
        <v>238118560</v>
      </c>
      <c r="AR36">
        <v>466254112</v>
      </c>
      <c r="AS36">
        <v>309535328</v>
      </c>
      <c r="AT36">
        <v>299589760</v>
      </c>
      <c r="AU36">
        <v>266378224</v>
      </c>
      <c r="AV36">
        <v>266835488</v>
      </c>
      <c r="AW36">
        <v>277921504</v>
      </c>
      <c r="AX36">
        <v>69720648</v>
      </c>
      <c r="AY36">
        <v>80224344</v>
      </c>
      <c r="AZ36">
        <v>192106384</v>
      </c>
      <c r="BA36">
        <v>218787040</v>
      </c>
    </row>
    <row r="37" spans="1:53">
      <c r="A37">
        <v>20133</v>
      </c>
      <c r="B37" t="s">
        <v>206</v>
      </c>
      <c r="C37" t="s">
        <v>207</v>
      </c>
      <c r="D37" t="s">
        <v>208</v>
      </c>
      <c r="F37" t="s">
        <v>209</v>
      </c>
      <c r="G37">
        <v>950.93799999999999</v>
      </c>
      <c r="H37" t="s">
        <v>57</v>
      </c>
      <c r="I37">
        <v>2</v>
      </c>
      <c r="J37">
        <v>20</v>
      </c>
      <c r="K37">
        <v>0</v>
      </c>
      <c r="L37">
        <v>61.08</v>
      </c>
      <c r="M37">
        <v>20638</v>
      </c>
      <c r="N37">
        <v>14</v>
      </c>
      <c r="O37">
        <v>17</v>
      </c>
      <c r="P37">
        <v>17</v>
      </c>
      <c r="Q37">
        <v>21</v>
      </c>
      <c r="R37">
        <v>21</v>
      </c>
      <c r="S37">
        <v>736</v>
      </c>
      <c r="T37">
        <v>736</v>
      </c>
      <c r="U37">
        <v>21</v>
      </c>
      <c r="V37">
        <v>19</v>
      </c>
      <c r="W37">
        <v>18</v>
      </c>
      <c r="X37">
        <v>20</v>
      </c>
      <c r="Y37">
        <v>21</v>
      </c>
      <c r="Z37">
        <v>21</v>
      </c>
      <c r="AA37">
        <v>21</v>
      </c>
      <c r="AB37">
        <v>21</v>
      </c>
      <c r="AC37">
        <v>21</v>
      </c>
      <c r="AD37">
        <v>67</v>
      </c>
      <c r="AE37">
        <v>58</v>
      </c>
      <c r="AF37">
        <v>106</v>
      </c>
      <c r="AG37">
        <v>99</v>
      </c>
      <c r="AH37">
        <v>111</v>
      </c>
      <c r="AI37">
        <v>118</v>
      </c>
      <c r="AJ37">
        <v>94</v>
      </c>
      <c r="AK37">
        <v>82</v>
      </c>
      <c r="AL37">
        <v>936381952</v>
      </c>
      <c r="AM37">
        <v>1174530048</v>
      </c>
      <c r="AN37">
        <v>4264150272</v>
      </c>
      <c r="AO37">
        <v>4001084416</v>
      </c>
      <c r="AP37">
        <v>8166968320</v>
      </c>
      <c r="AQ37">
        <v>9071500288</v>
      </c>
      <c r="AR37">
        <v>5923218432</v>
      </c>
      <c r="AS37">
        <v>3174955776</v>
      </c>
      <c r="AT37">
        <v>933659200</v>
      </c>
      <c r="AU37">
        <v>922804160</v>
      </c>
      <c r="AV37">
        <v>3208828928</v>
      </c>
      <c r="AW37">
        <v>3282298368</v>
      </c>
      <c r="AX37">
        <v>3527198464</v>
      </c>
      <c r="AY37">
        <v>4507006976</v>
      </c>
      <c r="AZ37">
        <v>3655296768</v>
      </c>
      <c r="BA37">
        <v>2883181824</v>
      </c>
    </row>
    <row r="38" spans="1:53">
      <c r="A38">
        <v>19982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  <c r="G38">
        <v>943.21400000000006</v>
      </c>
      <c r="H38" t="s">
        <v>57</v>
      </c>
      <c r="I38">
        <v>2</v>
      </c>
      <c r="J38">
        <v>18</v>
      </c>
      <c r="K38">
        <v>3</v>
      </c>
      <c r="L38">
        <v>61.56</v>
      </c>
      <c r="M38">
        <v>47028</v>
      </c>
      <c r="N38">
        <v>29</v>
      </c>
      <c r="O38">
        <v>21</v>
      </c>
      <c r="P38">
        <v>21</v>
      </c>
      <c r="Q38">
        <v>22</v>
      </c>
      <c r="R38">
        <v>22</v>
      </c>
      <c r="S38">
        <v>337</v>
      </c>
      <c r="T38">
        <v>337</v>
      </c>
      <c r="U38">
        <v>22</v>
      </c>
      <c r="V38">
        <v>21</v>
      </c>
      <c r="W38">
        <v>22</v>
      </c>
      <c r="X38">
        <v>22</v>
      </c>
      <c r="Y38">
        <v>21</v>
      </c>
      <c r="Z38">
        <v>21</v>
      </c>
      <c r="AA38">
        <v>21</v>
      </c>
      <c r="AB38">
        <v>22</v>
      </c>
      <c r="AC38">
        <v>22</v>
      </c>
      <c r="AD38">
        <v>59</v>
      </c>
      <c r="AE38">
        <v>49</v>
      </c>
      <c r="AF38">
        <v>50</v>
      </c>
      <c r="AG38">
        <v>48</v>
      </c>
      <c r="AH38">
        <v>21</v>
      </c>
      <c r="AI38">
        <v>25</v>
      </c>
      <c r="AJ38">
        <v>41</v>
      </c>
      <c r="AK38">
        <v>44</v>
      </c>
      <c r="AL38">
        <v>320332896</v>
      </c>
      <c r="AM38">
        <v>495805344</v>
      </c>
      <c r="AN38">
        <v>480618368</v>
      </c>
      <c r="AO38">
        <v>458123552</v>
      </c>
      <c r="AP38">
        <v>289863584</v>
      </c>
      <c r="AQ38">
        <v>296777120</v>
      </c>
      <c r="AR38">
        <v>569007296</v>
      </c>
      <c r="AS38">
        <v>350119424</v>
      </c>
      <c r="AT38">
        <v>398838240</v>
      </c>
      <c r="AU38">
        <v>430730432</v>
      </c>
      <c r="AV38">
        <v>445143296</v>
      </c>
      <c r="AW38">
        <v>498067360</v>
      </c>
      <c r="AX38">
        <v>134790016</v>
      </c>
      <c r="AY38">
        <v>146954368</v>
      </c>
      <c r="AZ38">
        <v>367741216</v>
      </c>
      <c r="BA38">
        <v>335633856</v>
      </c>
    </row>
    <row r="39" spans="1:53">
      <c r="A39">
        <v>20031</v>
      </c>
      <c r="B39" t="s">
        <v>215</v>
      </c>
      <c r="C39" t="s">
        <v>216</v>
      </c>
      <c r="D39" t="s">
        <v>217</v>
      </c>
      <c r="F39" t="s">
        <v>218</v>
      </c>
      <c r="G39">
        <v>916.14400000000001</v>
      </c>
      <c r="H39" t="s">
        <v>57</v>
      </c>
      <c r="I39">
        <v>2</v>
      </c>
      <c r="J39">
        <v>21</v>
      </c>
      <c r="K39">
        <v>0</v>
      </c>
      <c r="L39">
        <v>89.47</v>
      </c>
      <c r="M39">
        <v>22243</v>
      </c>
      <c r="N39">
        <v>16</v>
      </c>
      <c r="O39">
        <v>31</v>
      </c>
      <c r="P39">
        <v>31</v>
      </c>
      <c r="Q39">
        <v>33</v>
      </c>
      <c r="R39">
        <v>33</v>
      </c>
      <c r="S39">
        <v>704</v>
      </c>
      <c r="T39">
        <v>704</v>
      </c>
      <c r="U39">
        <v>33</v>
      </c>
      <c r="V39">
        <v>23</v>
      </c>
      <c r="W39">
        <v>30</v>
      </c>
      <c r="X39">
        <v>28</v>
      </c>
      <c r="Y39">
        <v>29</v>
      </c>
      <c r="Z39">
        <v>30</v>
      </c>
      <c r="AA39">
        <v>28</v>
      </c>
      <c r="AB39">
        <v>28</v>
      </c>
      <c r="AC39">
        <v>27</v>
      </c>
      <c r="AD39">
        <v>145</v>
      </c>
      <c r="AE39">
        <v>102</v>
      </c>
      <c r="AF39">
        <v>104</v>
      </c>
      <c r="AG39">
        <v>61</v>
      </c>
      <c r="AH39">
        <v>84</v>
      </c>
      <c r="AI39">
        <v>68</v>
      </c>
      <c r="AJ39">
        <v>75</v>
      </c>
      <c r="AK39">
        <v>64</v>
      </c>
      <c r="AL39">
        <v>1036462528</v>
      </c>
      <c r="AM39">
        <v>1304613760</v>
      </c>
      <c r="AN39">
        <v>973015424</v>
      </c>
      <c r="AO39">
        <v>456779008</v>
      </c>
      <c r="AP39">
        <v>2433765632</v>
      </c>
      <c r="AQ39">
        <v>2002620672</v>
      </c>
      <c r="AR39">
        <v>903758784</v>
      </c>
      <c r="AS39">
        <v>1025769344</v>
      </c>
      <c r="AT39">
        <v>818432192</v>
      </c>
      <c r="AU39">
        <v>1118832896</v>
      </c>
      <c r="AV39">
        <v>868533696</v>
      </c>
      <c r="AW39">
        <v>392855104</v>
      </c>
      <c r="AX39">
        <v>1220939648</v>
      </c>
      <c r="AY39">
        <v>1057215936</v>
      </c>
      <c r="AZ39">
        <v>585833472</v>
      </c>
      <c r="BA39">
        <v>583814400</v>
      </c>
    </row>
    <row r="40" spans="1:53">
      <c r="A40">
        <v>20040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>
        <v>910.452</v>
      </c>
      <c r="H40" t="s">
        <v>57</v>
      </c>
      <c r="I40">
        <v>2</v>
      </c>
      <c r="J40">
        <v>12</v>
      </c>
      <c r="K40">
        <v>8</v>
      </c>
      <c r="L40">
        <v>45.99</v>
      </c>
      <c r="M40">
        <v>47526</v>
      </c>
      <c r="N40">
        <v>18</v>
      </c>
      <c r="O40">
        <v>16</v>
      </c>
      <c r="P40">
        <v>16</v>
      </c>
      <c r="Q40">
        <v>16</v>
      </c>
      <c r="R40">
        <v>16</v>
      </c>
      <c r="S40">
        <v>218</v>
      </c>
      <c r="T40">
        <v>218</v>
      </c>
      <c r="U40">
        <v>16</v>
      </c>
      <c r="V40">
        <v>13</v>
      </c>
      <c r="W40">
        <v>16</v>
      </c>
      <c r="X40">
        <v>15</v>
      </c>
      <c r="Y40">
        <v>15</v>
      </c>
      <c r="Z40">
        <v>15</v>
      </c>
      <c r="AA40">
        <v>15</v>
      </c>
      <c r="AB40">
        <v>15</v>
      </c>
      <c r="AC40">
        <v>15</v>
      </c>
      <c r="AD40">
        <v>33</v>
      </c>
      <c r="AE40">
        <v>28</v>
      </c>
      <c r="AF40">
        <v>27</v>
      </c>
      <c r="AG40">
        <v>28</v>
      </c>
      <c r="AH40">
        <v>22</v>
      </c>
      <c r="AI40">
        <v>21</v>
      </c>
      <c r="AJ40">
        <v>30</v>
      </c>
      <c r="AK40">
        <v>28</v>
      </c>
      <c r="AL40">
        <v>156765536</v>
      </c>
      <c r="AM40">
        <v>184683152</v>
      </c>
      <c r="AN40">
        <v>194107920</v>
      </c>
      <c r="AO40">
        <v>174056256</v>
      </c>
      <c r="AP40">
        <v>117424928</v>
      </c>
      <c r="AQ40">
        <v>122621720</v>
      </c>
      <c r="AR40">
        <v>241598192</v>
      </c>
      <c r="AS40">
        <v>157443152</v>
      </c>
      <c r="AT40">
        <v>182156416</v>
      </c>
      <c r="AU40">
        <v>201262560</v>
      </c>
      <c r="AV40">
        <v>185451808</v>
      </c>
      <c r="AW40">
        <v>210692816</v>
      </c>
      <c r="AX40">
        <v>71413056</v>
      </c>
      <c r="AY40">
        <v>77761968</v>
      </c>
      <c r="AZ40">
        <v>190680080</v>
      </c>
      <c r="BA40">
        <v>177393312</v>
      </c>
    </row>
    <row r="41" spans="1:53">
      <c r="A41">
        <v>20150</v>
      </c>
      <c r="B41" t="s">
        <v>224</v>
      </c>
      <c r="D41" t="s">
        <v>225</v>
      </c>
      <c r="F41" t="s">
        <v>226</v>
      </c>
      <c r="G41">
        <v>895.40499999999997</v>
      </c>
      <c r="H41" t="s">
        <v>57</v>
      </c>
      <c r="I41">
        <v>2</v>
      </c>
      <c r="J41">
        <v>4</v>
      </c>
      <c r="K41">
        <v>0</v>
      </c>
      <c r="L41">
        <v>26.35</v>
      </c>
      <c r="M41">
        <v>84600</v>
      </c>
      <c r="N41">
        <v>34</v>
      </c>
      <c r="O41">
        <v>18</v>
      </c>
      <c r="P41">
        <v>18</v>
      </c>
      <c r="Q41">
        <v>24</v>
      </c>
      <c r="R41">
        <v>24</v>
      </c>
      <c r="S41">
        <v>304</v>
      </c>
      <c r="T41">
        <v>304</v>
      </c>
      <c r="U41">
        <v>24</v>
      </c>
      <c r="V41">
        <v>16</v>
      </c>
      <c r="W41">
        <v>20</v>
      </c>
      <c r="X41">
        <v>15</v>
      </c>
      <c r="Y41">
        <v>14</v>
      </c>
      <c r="Z41">
        <v>22</v>
      </c>
      <c r="AA41">
        <v>22</v>
      </c>
      <c r="AB41">
        <v>20</v>
      </c>
      <c r="AC41">
        <v>19</v>
      </c>
      <c r="AD41">
        <v>56</v>
      </c>
      <c r="AE41">
        <v>62</v>
      </c>
      <c r="AF41">
        <v>16</v>
      </c>
      <c r="AG41">
        <v>19</v>
      </c>
      <c r="AH41">
        <v>47</v>
      </c>
      <c r="AI41">
        <v>52</v>
      </c>
      <c r="AJ41">
        <v>31</v>
      </c>
      <c r="AK41">
        <v>21</v>
      </c>
      <c r="AL41">
        <v>711875712</v>
      </c>
      <c r="AM41">
        <v>781310080</v>
      </c>
      <c r="AN41">
        <v>135677344</v>
      </c>
      <c r="AO41">
        <v>116176824</v>
      </c>
      <c r="AP41">
        <v>944991296</v>
      </c>
      <c r="AQ41">
        <v>712457856</v>
      </c>
      <c r="AR41">
        <v>311107520</v>
      </c>
      <c r="AS41">
        <v>179457136</v>
      </c>
      <c r="AT41">
        <v>522967776</v>
      </c>
      <c r="AU41">
        <v>633046464</v>
      </c>
      <c r="AV41">
        <v>114818200</v>
      </c>
      <c r="AW41">
        <v>113220800</v>
      </c>
      <c r="AX41">
        <v>460591744</v>
      </c>
      <c r="AY41">
        <v>401651872</v>
      </c>
      <c r="AZ41">
        <v>225142624</v>
      </c>
      <c r="BA41">
        <v>192217808</v>
      </c>
    </row>
    <row r="42" spans="1:53">
      <c r="A42">
        <v>20100</v>
      </c>
      <c r="B42" t="s">
        <v>227</v>
      </c>
      <c r="C42" t="s">
        <v>228</v>
      </c>
      <c r="D42" t="s">
        <v>229</v>
      </c>
      <c r="F42" t="s">
        <v>230</v>
      </c>
      <c r="G42">
        <v>860.92100000000005</v>
      </c>
      <c r="H42" t="s">
        <v>57</v>
      </c>
      <c r="I42">
        <v>2</v>
      </c>
      <c r="J42">
        <v>3</v>
      </c>
      <c r="K42">
        <v>0</v>
      </c>
      <c r="L42">
        <v>49.76</v>
      </c>
      <c r="M42">
        <v>45329</v>
      </c>
      <c r="N42">
        <v>20</v>
      </c>
      <c r="O42">
        <v>17</v>
      </c>
      <c r="P42">
        <v>17</v>
      </c>
      <c r="Q42">
        <v>17</v>
      </c>
      <c r="R42">
        <v>17</v>
      </c>
      <c r="S42">
        <v>537</v>
      </c>
      <c r="T42">
        <v>537</v>
      </c>
      <c r="U42">
        <v>17</v>
      </c>
      <c r="V42">
        <v>14</v>
      </c>
      <c r="W42">
        <v>17</v>
      </c>
      <c r="X42">
        <v>15</v>
      </c>
      <c r="Y42">
        <v>17</v>
      </c>
      <c r="Z42">
        <v>17</v>
      </c>
      <c r="AA42">
        <v>17</v>
      </c>
      <c r="AB42">
        <v>17</v>
      </c>
      <c r="AC42">
        <v>17</v>
      </c>
      <c r="AD42">
        <v>54</v>
      </c>
      <c r="AE42">
        <v>61</v>
      </c>
      <c r="AF42">
        <v>43</v>
      </c>
      <c r="AG42">
        <v>42</v>
      </c>
      <c r="AH42">
        <v>107</v>
      </c>
      <c r="AI42">
        <v>116</v>
      </c>
      <c r="AJ42">
        <v>62</v>
      </c>
      <c r="AK42">
        <v>52</v>
      </c>
      <c r="AL42">
        <v>324227072</v>
      </c>
      <c r="AM42">
        <v>446503072</v>
      </c>
      <c r="AN42">
        <v>200503392</v>
      </c>
      <c r="AO42">
        <v>213686656</v>
      </c>
      <c r="AP42">
        <v>1659179904</v>
      </c>
      <c r="AQ42">
        <v>1774159744</v>
      </c>
      <c r="AR42">
        <v>453315744</v>
      </c>
      <c r="AS42">
        <v>378083008</v>
      </c>
      <c r="AT42">
        <v>265915264</v>
      </c>
      <c r="AU42">
        <v>379152832</v>
      </c>
      <c r="AV42">
        <v>194095664</v>
      </c>
      <c r="AW42">
        <v>224627536</v>
      </c>
      <c r="AX42">
        <v>885325312</v>
      </c>
      <c r="AY42">
        <v>990522496</v>
      </c>
      <c r="AZ42">
        <v>380585024</v>
      </c>
      <c r="BA42">
        <v>431795232</v>
      </c>
    </row>
    <row r="43" spans="1:53">
      <c r="A43">
        <v>20083</v>
      </c>
      <c r="B43" t="s">
        <v>231</v>
      </c>
      <c r="C43" t="s">
        <v>232</v>
      </c>
      <c r="D43" t="s">
        <v>233</v>
      </c>
      <c r="F43" t="s">
        <v>234</v>
      </c>
      <c r="G43">
        <v>859.05899999999997</v>
      </c>
      <c r="H43" t="s">
        <v>57</v>
      </c>
      <c r="I43">
        <v>2</v>
      </c>
      <c r="J43">
        <v>21</v>
      </c>
      <c r="K43">
        <v>0</v>
      </c>
      <c r="L43">
        <v>66.739999999999995</v>
      </c>
      <c r="M43">
        <v>48413</v>
      </c>
      <c r="N43">
        <v>28</v>
      </c>
      <c r="O43">
        <v>25</v>
      </c>
      <c r="P43">
        <v>25</v>
      </c>
      <c r="Q43">
        <v>25</v>
      </c>
      <c r="R43">
        <v>25</v>
      </c>
      <c r="S43">
        <v>380</v>
      </c>
      <c r="T43">
        <v>380</v>
      </c>
      <c r="U43">
        <v>25</v>
      </c>
      <c r="V43">
        <v>22</v>
      </c>
      <c r="W43">
        <v>24</v>
      </c>
      <c r="X43">
        <v>23</v>
      </c>
      <c r="Y43">
        <v>25</v>
      </c>
      <c r="Z43">
        <v>23</v>
      </c>
      <c r="AA43">
        <v>23</v>
      </c>
      <c r="AB43">
        <v>24</v>
      </c>
      <c r="AC43">
        <v>24</v>
      </c>
      <c r="AD43">
        <v>55</v>
      </c>
      <c r="AE43">
        <v>57</v>
      </c>
      <c r="AF43">
        <v>58</v>
      </c>
      <c r="AG43">
        <v>60</v>
      </c>
      <c r="AH43">
        <v>28</v>
      </c>
      <c r="AI43">
        <v>30</v>
      </c>
      <c r="AJ43">
        <v>47</v>
      </c>
      <c r="AK43">
        <v>45</v>
      </c>
      <c r="AL43">
        <v>821212224</v>
      </c>
      <c r="AM43">
        <v>902442816</v>
      </c>
      <c r="AN43">
        <v>940716544</v>
      </c>
      <c r="AO43">
        <v>897058368</v>
      </c>
      <c r="AP43">
        <v>470684800</v>
      </c>
      <c r="AQ43">
        <v>469154464</v>
      </c>
      <c r="AR43">
        <v>975671744</v>
      </c>
      <c r="AS43">
        <v>624926784</v>
      </c>
      <c r="AT43">
        <v>796694208</v>
      </c>
      <c r="AU43">
        <v>722260736</v>
      </c>
      <c r="AV43">
        <v>766122496</v>
      </c>
      <c r="AW43">
        <v>855291072</v>
      </c>
      <c r="AX43">
        <v>191084768</v>
      </c>
      <c r="AY43">
        <v>209773840</v>
      </c>
      <c r="AZ43">
        <v>577447680</v>
      </c>
      <c r="BA43">
        <v>544570624</v>
      </c>
    </row>
    <row r="44" spans="1:53">
      <c r="A44">
        <v>20132</v>
      </c>
      <c r="B44" t="s">
        <v>235</v>
      </c>
      <c r="C44" t="s">
        <v>236</v>
      </c>
      <c r="D44" t="s">
        <v>237</v>
      </c>
      <c r="F44" t="s">
        <v>238</v>
      </c>
      <c r="G44">
        <v>854.33799999999997</v>
      </c>
      <c r="H44" t="s">
        <v>57</v>
      </c>
      <c r="I44">
        <v>2</v>
      </c>
      <c r="J44">
        <v>6</v>
      </c>
      <c r="K44">
        <v>0</v>
      </c>
      <c r="L44">
        <v>55</v>
      </c>
      <c r="M44">
        <v>20563</v>
      </c>
      <c r="N44">
        <v>9</v>
      </c>
      <c r="O44">
        <v>13</v>
      </c>
      <c r="P44">
        <v>13</v>
      </c>
      <c r="Q44">
        <v>17</v>
      </c>
      <c r="R44">
        <v>17</v>
      </c>
      <c r="S44">
        <v>1261</v>
      </c>
      <c r="T44">
        <v>1261</v>
      </c>
      <c r="U44">
        <v>17</v>
      </c>
      <c r="V44">
        <v>14</v>
      </c>
      <c r="W44">
        <v>13</v>
      </c>
      <c r="X44">
        <v>12</v>
      </c>
      <c r="Y44">
        <v>13</v>
      </c>
      <c r="Z44">
        <v>16</v>
      </c>
      <c r="AA44">
        <v>17</v>
      </c>
      <c r="AB44">
        <v>15</v>
      </c>
      <c r="AC44">
        <v>15</v>
      </c>
      <c r="AD44">
        <v>302</v>
      </c>
      <c r="AE44">
        <v>222</v>
      </c>
      <c r="AF44">
        <v>106</v>
      </c>
      <c r="AG44">
        <v>105</v>
      </c>
      <c r="AH44">
        <v>163</v>
      </c>
      <c r="AI44">
        <v>162</v>
      </c>
      <c r="AJ44">
        <v>87</v>
      </c>
      <c r="AK44">
        <v>114</v>
      </c>
      <c r="AL44">
        <v>4608114176</v>
      </c>
      <c r="AM44">
        <v>6765865984</v>
      </c>
      <c r="AN44">
        <v>2180360704</v>
      </c>
      <c r="AO44">
        <v>2323242752</v>
      </c>
      <c r="AP44">
        <v>8305416192</v>
      </c>
      <c r="AQ44">
        <v>8708434944</v>
      </c>
      <c r="AR44">
        <v>3776138752</v>
      </c>
      <c r="AS44">
        <v>2934048512</v>
      </c>
      <c r="AT44">
        <v>5018095104</v>
      </c>
      <c r="AU44">
        <v>5568946688</v>
      </c>
      <c r="AV44">
        <v>1620770432</v>
      </c>
      <c r="AW44">
        <v>1814537216</v>
      </c>
      <c r="AX44">
        <v>4195574016</v>
      </c>
      <c r="AY44">
        <v>4901918208</v>
      </c>
      <c r="AZ44">
        <v>2078656896</v>
      </c>
      <c r="BA44">
        <v>2529978368</v>
      </c>
    </row>
    <row r="45" spans="1:53">
      <c r="A45">
        <v>19975</v>
      </c>
      <c r="B45" t="s">
        <v>239</v>
      </c>
      <c r="C45" t="s">
        <v>240</v>
      </c>
      <c r="D45" t="s">
        <v>241</v>
      </c>
      <c r="E45" t="s">
        <v>242</v>
      </c>
      <c r="F45" t="s">
        <v>243</v>
      </c>
      <c r="G45">
        <v>842.79200000000003</v>
      </c>
      <c r="H45" t="s">
        <v>57</v>
      </c>
      <c r="I45">
        <v>2</v>
      </c>
      <c r="J45">
        <v>13</v>
      </c>
      <c r="K45">
        <v>2</v>
      </c>
      <c r="L45">
        <v>52.33</v>
      </c>
      <c r="M45">
        <v>41220</v>
      </c>
      <c r="N45">
        <v>21</v>
      </c>
      <c r="O45">
        <v>18</v>
      </c>
      <c r="P45">
        <v>18</v>
      </c>
      <c r="Q45">
        <v>18</v>
      </c>
      <c r="R45">
        <v>18</v>
      </c>
      <c r="S45">
        <v>214</v>
      </c>
      <c r="T45">
        <v>214</v>
      </c>
      <c r="U45">
        <v>18</v>
      </c>
      <c r="V45">
        <v>14</v>
      </c>
      <c r="W45">
        <v>17</v>
      </c>
      <c r="X45">
        <v>17</v>
      </c>
      <c r="Y45">
        <v>17</v>
      </c>
      <c r="Z45">
        <v>18</v>
      </c>
      <c r="AA45">
        <v>17</v>
      </c>
      <c r="AB45">
        <v>17</v>
      </c>
      <c r="AC45">
        <v>17</v>
      </c>
      <c r="AD45">
        <v>23</v>
      </c>
      <c r="AE45">
        <v>16</v>
      </c>
      <c r="AF45">
        <v>29</v>
      </c>
      <c r="AG45">
        <v>27</v>
      </c>
      <c r="AH45">
        <v>31</v>
      </c>
      <c r="AI45">
        <v>37</v>
      </c>
      <c r="AJ45">
        <v>25</v>
      </c>
      <c r="AK45">
        <v>26</v>
      </c>
      <c r="AL45">
        <v>113175496</v>
      </c>
      <c r="AM45">
        <v>142512832</v>
      </c>
      <c r="AN45">
        <v>522226720</v>
      </c>
      <c r="AO45">
        <v>455610752</v>
      </c>
      <c r="AP45">
        <v>971059008</v>
      </c>
      <c r="AQ45">
        <v>1087972608</v>
      </c>
      <c r="AR45">
        <v>689468160</v>
      </c>
      <c r="AS45">
        <v>350640096</v>
      </c>
      <c r="AT45">
        <v>95217496</v>
      </c>
      <c r="AU45">
        <v>99984096</v>
      </c>
      <c r="AV45">
        <v>385252288</v>
      </c>
      <c r="AW45">
        <v>425945984</v>
      </c>
      <c r="AX45">
        <v>398717760</v>
      </c>
      <c r="AY45">
        <v>506911424</v>
      </c>
      <c r="AZ45">
        <v>426686240</v>
      </c>
      <c r="BA45">
        <v>324686272</v>
      </c>
    </row>
    <row r="46" spans="1:53">
      <c r="A46">
        <v>19986</v>
      </c>
      <c r="B46" t="s">
        <v>244</v>
      </c>
      <c r="C46" t="s">
        <v>159</v>
      </c>
      <c r="D46" t="s">
        <v>245</v>
      </c>
      <c r="F46" t="s">
        <v>246</v>
      </c>
      <c r="G46">
        <v>837.74300000000005</v>
      </c>
      <c r="H46" t="s">
        <v>57</v>
      </c>
      <c r="I46">
        <v>2</v>
      </c>
      <c r="J46">
        <v>5</v>
      </c>
      <c r="K46">
        <v>0</v>
      </c>
      <c r="L46">
        <v>80.5</v>
      </c>
      <c r="M46">
        <v>26757</v>
      </c>
      <c r="N46">
        <v>14</v>
      </c>
      <c r="O46">
        <v>21</v>
      </c>
      <c r="P46">
        <v>1</v>
      </c>
      <c r="Q46">
        <v>25</v>
      </c>
      <c r="R46">
        <v>1</v>
      </c>
      <c r="S46">
        <v>2056</v>
      </c>
      <c r="T46">
        <v>1</v>
      </c>
      <c r="U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5419309568</v>
      </c>
      <c r="AM46">
        <v>5829684224</v>
      </c>
      <c r="AN46">
        <v>5640120320</v>
      </c>
      <c r="AO46">
        <v>5185590784</v>
      </c>
      <c r="AP46">
        <v>10327418880</v>
      </c>
      <c r="AQ46">
        <v>9169611776</v>
      </c>
      <c r="AR46">
        <v>5515290112</v>
      </c>
      <c r="AS46">
        <v>4293542656</v>
      </c>
      <c r="AT46">
        <v>49505.43</v>
      </c>
      <c r="AU46">
        <v>111774.65</v>
      </c>
      <c r="AV46">
        <v>213953.23</v>
      </c>
      <c r="AW46">
        <v>620633.06000000006</v>
      </c>
      <c r="AX46">
        <v>576503.68999999994</v>
      </c>
      <c r="AY46">
        <v>264737.40999999997</v>
      </c>
      <c r="AZ46">
        <v>285111.90999999997</v>
      </c>
      <c r="BA46">
        <v>249785.08</v>
      </c>
    </row>
    <row r="47" spans="1:53">
      <c r="A47">
        <v>20136</v>
      </c>
      <c r="B47" t="s">
        <v>247</v>
      </c>
      <c r="C47" t="s">
        <v>248</v>
      </c>
      <c r="D47" t="s">
        <v>249</v>
      </c>
      <c r="E47" t="s">
        <v>250</v>
      </c>
      <c r="F47" t="s">
        <v>251</v>
      </c>
      <c r="G47">
        <v>814.428</v>
      </c>
      <c r="H47" t="s">
        <v>57</v>
      </c>
      <c r="I47">
        <v>2</v>
      </c>
      <c r="J47">
        <v>19</v>
      </c>
      <c r="K47">
        <v>2</v>
      </c>
      <c r="L47">
        <v>57.5</v>
      </c>
      <c r="M47">
        <v>40516</v>
      </c>
      <c r="N47">
        <v>25</v>
      </c>
      <c r="O47">
        <v>20</v>
      </c>
      <c r="P47">
        <v>20</v>
      </c>
      <c r="Q47">
        <v>21</v>
      </c>
      <c r="R47">
        <v>21</v>
      </c>
      <c r="S47">
        <v>334</v>
      </c>
      <c r="T47">
        <v>334</v>
      </c>
      <c r="U47">
        <v>21</v>
      </c>
      <c r="V47">
        <v>16</v>
      </c>
      <c r="W47">
        <v>18</v>
      </c>
      <c r="X47">
        <v>20</v>
      </c>
      <c r="Y47">
        <v>20</v>
      </c>
      <c r="Z47">
        <v>21</v>
      </c>
      <c r="AA47">
        <v>21</v>
      </c>
      <c r="AB47">
        <v>21</v>
      </c>
      <c r="AC47">
        <v>21</v>
      </c>
      <c r="AD47">
        <v>20</v>
      </c>
      <c r="AE47">
        <v>26</v>
      </c>
      <c r="AF47">
        <v>50</v>
      </c>
      <c r="AG47">
        <v>49</v>
      </c>
      <c r="AH47">
        <v>47</v>
      </c>
      <c r="AI47">
        <v>49</v>
      </c>
      <c r="AJ47">
        <v>47</v>
      </c>
      <c r="AK47">
        <v>46</v>
      </c>
      <c r="AL47">
        <v>124031504</v>
      </c>
      <c r="AM47">
        <v>204364208</v>
      </c>
      <c r="AN47">
        <v>609647424</v>
      </c>
      <c r="AO47">
        <v>509343168</v>
      </c>
      <c r="AP47">
        <v>1633192960</v>
      </c>
      <c r="AQ47">
        <v>1633259008</v>
      </c>
      <c r="AR47">
        <v>979847744</v>
      </c>
      <c r="AS47">
        <v>548266432</v>
      </c>
      <c r="AT47">
        <v>121807280</v>
      </c>
      <c r="AU47">
        <v>141976144</v>
      </c>
      <c r="AV47">
        <v>505322336</v>
      </c>
      <c r="AW47">
        <v>536007040</v>
      </c>
      <c r="AX47">
        <v>669822784</v>
      </c>
      <c r="AY47">
        <v>787916096</v>
      </c>
      <c r="AZ47">
        <v>588350336</v>
      </c>
      <c r="BA47">
        <v>483563808</v>
      </c>
    </row>
    <row r="48" spans="1:53">
      <c r="A48">
        <v>20051</v>
      </c>
      <c r="B48" t="s">
        <v>252</v>
      </c>
      <c r="C48" t="s">
        <v>253</v>
      </c>
      <c r="D48" t="s">
        <v>254</v>
      </c>
      <c r="F48" t="s">
        <v>255</v>
      </c>
      <c r="G48">
        <v>810.93499999999995</v>
      </c>
      <c r="H48" t="s">
        <v>57</v>
      </c>
      <c r="I48">
        <v>2</v>
      </c>
      <c r="J48">
        <v>21</v>
      </c>
      <c r="K48">
        <v>0</v>
      </c>
      <c r="L48">
        <v>77.27</v>
      </c>
      <c r="M48">
        <v>12226</v>
      </c>
      <c r="N48">
        <v>7</v>
      </c>
      <c r="O48">
        <v>16</v>
      </c>
      <c r="P48">
        <v>16</v>
      </c>
      <c r="Q48">
        <v>18</v>
      </c>
      <c r="R48">
        <v>18</v>
      </c>
      <c r="S48">
        <v>890</v>
      </c>
      <c r="T48">
        <v>890</v>
      </c>
      <c r="U48">
        <v>18</v>
      </c>
      <c r="V48">
        <v>15</v>
      </c>
      <c r="W48">
        <v>17</v>
      </c>
      <c r="X48">
        <v>17</v>
      </c>
      <c r="Y48">
        <v>12</v>
      </c>
      <c r="Z48">
        <v>17</v>
      </c>
      <c r="AA48">
        <v>17</v>
      </c>
      <c r="AB48">
        <v>17</v>
      </c>
      <c r="AC48">
        <v>17</v>
      </c>
      <c r="AD48">
        <v>116</v>
      </c>
      <c r="AE48">
        <v>139</v>
      </c>
      <c r="AF48">
        <v>124</v>
      </c>
      <c r="AG48">
        <v>88</v>
      </c>
      <c r="AH48">
        <v>140</v>
      </c>
      <c r="AI48">
        <v>120</v>
      </c>
      <c r="AJ48">
        <v>73</v>
      </c>
      <c r="AK48">
        <v>90</v>
      </c>
      <c r="AL48">
        <v>786498560</v>
      </c>
      <c r="AM48">
        <v>847803520</v>
      </c>
      <c r="AN48">
        <v>542687680</v>
      </c>
      <c r="AO48">
        <v>252406464</v>
      </c>
      <c r="AP48">
        <v>1401013376</v>
      </c>
      <c r="AQ48">
        <v>1205614464</v>
      </c>
      <c r="AR48">
        <v>539531776</v>
      </c>
      <c r="AS48">
        <v>602401728</v>
      </c>
      <c r="AT48">
        <v>727570944</v>
      </c>
      <c r="AU48">
        <v>739363648</v>
      </c>
      <c r="AV48">
        <v>489028544</v>
      </c>
      <c r="AW48">
        <v>222565968</v>
      </c>
      <c r="AX48">
        <v>783830080</v>
      </c>
      <c r="AY48">
        <v>758962688</v>
      </c>
      <c r="AZ48">
        <v>365060416</v>
      </c>
      <c r="BA48">
        <v>718472320</v>
      </c>
    </row>
    <row r="49" spans="1:53">
      <c r="A49">
        <v>19988</v>
      </c>
      <c r="B49" t="s">
        <v>256</v>
      </c>
      <c r="C49" t="s">
        <v>257</v>
      </c>
      <c r="D49" t="s">
        <v>258</v>
      </c>
      <c r="F49" t="s">
        <v>259</v>
      </c>
      <c r="G49">
        <v>804.72</v>
      </c>
      <c r="H49" t="s">
        <v>57</v>
      </c>
      <c r="I49">
        <v>2</v>
      </c>
      <c r="J49">
        <v>21</v>
      </c>
      <c r="K49">
        <v>0</v>
      </c>
      <c r="L49">
        <v>68.36</v>
      </c>
      <c r="M49">
        <v>18903</v>
      </c>
      <c r="N49">
        <v>10</v>
      </c>
      <c r="O49">
        <v>18</v>
      </c>
      <c r="P49">
        <v>18</v>
      </c>
      <c r="Q49">
        <v>19</v>
      </c>
      <c r="R49">
        <v>19</v>
      </c>
      <c r="S49">
        <v>758</v>
      </c>
      <c r="T49">
        <v>758</v>
      </c>
      <c r="U49">
        <v>19</v>
      </c>
      <c r="V49">
        <v>17</v>
      </c>
      <c r="W49">
        <v>18</v>
      </c>
      <c r="X49">
        <v>17</v>
      </c>
      <c r="Y49">
        <v>17</v>
      </c>
      <c r="Z49">
        <v>18</v>
      </c>
      <c r="AA49">
        <v>16</v>
      </c>
      <c r="AB49">
        <v>17</v>
      </c>
      <c r="AC49">
        <v>17</v>
      </c>
      <c r="AD49">
        <v>124</v>
      </c>
      <c r="AE49">
        <v>110</v>
      </c>
      <c r="AF49">
        <v>101</v>
      </c>
      <c r="AG49">
        <v>84</v>
      </c>
      <c r="AH49">
        <v>78</v>
      </c>
      <c r="AI49">
        <v>70</v>
      </c>
      <c r="AJ49">
        <v>70</v>
      </c>
      <c r="AK49">
        <v>121</v>
      </c>
      <c r="AL49">
        <v>2719585280</v>
      </c>
      <c r="AM49">
        <v>3298373120</v>
      </c>
      <c r="AN49">
        <v>2884464384</v>
      </c>
      <c r="AO49">
        <v>2401855488</v>
      </c>
      <c r="AP49">
        <v>4801744896</v>
      </c>
      <c r="AQ49">
        <v>4512610304</v>
      </c>
      <c r="AR49">
        <v>3368031744</v>
      </c>
      <c r="AS49">
        <v>2691014144</v>
      </c>
      <c r="AT49">
        <v>2644429056</v>
      </c>
      <c r="AU49">
        <v>2873621760</v>
      </c>
      <c r="AV49">
        <v>2614212096</v>
      </c>
      <c r="AW49">
        <v>2385190144</v>
      </c>
      <c r="AX49">
        <v>1945952896</v>
      </c>
      <c r="AY49">
        <v>1971788672</v>
      </c>
      <c r="AZ49">
        <v>2141708160</v>
      </c>
      <c r="BA49">
        <v>2337634816</v>
      </c>
    </row>
    <row r="50" spans="1:53">
      <c r="A50">
        <v>20022</v>
      </c>
      <c r="B50" t="s">
        <v>260</v>
      </c>
      <c r="C50" t="s">
        <v>261</v>
      </c>
      <c r="D50" t="s">
        <v>262</v>
      </c>
      <c r="E50" t="s">
        <v>263</v>
      </c>
      <c r="F50" t="s">
        <v>264</v>
      </c>
      <c r="G50">
        <v>779.96400000000006</v>
      </c>
      <c r="H50" t="s">
        <v>57</v>
      </c>
      <c r="I50">
        <v>2</v>
      </c>
      <c r="J50">
        <v>6</v>
      </c>
      <c r="K50">
        <v>7</v>
      </c>
      <c r="L50">
        <v>57.75</v>
      </c>
      <c r="M50">
        <v>53815</v>
      </c>
      <c r="N50">
        <v>27</v>
      </c>
      <c r="O50">
        <v>21</v>
      </c>
      <c r="P50">
        <v>21</v>
      </c>
      <c r="Q50">
        <v>21</v>
      </c>
      <c r="R50">
        <v>21</v>
      </c>
      <c r="S50">
        <v>151</v>
      </c>
      <c r="T50">
        <v>151</v>
      </c>
      <c r="U50">
        <v>21</v>
      </c>
      <c r="V50">
        <v>18</v>
      </c>
      <c r="W50">
        <v>18</v>
      </c>
      <c r="X50">
        <v>18</v>
      </c>
      <c r="Y50">
        <v>19</v>
      </c>
      <c r="Z50">
        <v>18</v>
      </c>
      <c r="AA50">
        <v>18</v>
      </c>
      <c r="AB50">
        <v>20</v>
      </c>
      <c r="AC50">
        <v>18</v>
      </c>
      <c r="AD50">
        <v>26</v>
      </c>
      <c r="AE50">
        <v>24</v>
      </c>
      <c r="AF50">
        <v>20</v>
      </c>
      <c r="AG50">
        <v>22</v>
      </c>
      <c r="AH50">
        <v>9</v>
      </c>
      <c r="AI50">
        <v>16</v>
      </c>
      <c r="AJ50">
        <v>19</v>
      </c>
      <c r="AK50">
        <v>15</v>
      </c>
      <c r="AL50">
        <v>137781440</v>
      </c>
      <c r="AM50">
        <v>125166984</v>
      </c>
      <c r="AN50">
        <v>85135064</v>
      </c>
      <c r="AO50">
        <v>79319480</v>
      </c>
      <c r="AP50">
        <v>58404232</v>
      </c>
      <c r="AQ50">
        <v>66640012</v>
      </c>
      <c r="AR50">
        <v>85083856</v>
      </c>
      <c r="AS50">
        <v>67142496</v>
      </c>
      <c r="AT50">
        <v>138791072</v>
      </c>
      <c r="AU50">
        <v>97819240</v>
      </c>
      <c r="AV50">
        <v>70281824</v>
      </c>
      <c r="AW50">
        <v>70369328</v>
      </c>
      <c r="AX50">
        <v>24472340</v>
      </c>
      <c r="AY50">
        <v>28414326</v>
      </c>
      <c r="AZ50">
        <v>52208272</v>
      </c>
      <c r="BA50">
        <v>54657344</v>
      </c>
    </row>
    <row r="51" spans="1:53">
      <c r="A51">
        <v>20121</v>
      </c>
      <c r="B51" t="s">
        <v>265</v>
      </c>
      <c r="C51" t="s">
        <v>266</v>
      </c>
      <c r="D51" t="s">
        <v>267</v>
      </c>
      <c r="E51" t="s">
        <v>268</v>
      </c>
      <c r="F51" t="s">
        <v>269</v>
      </c>
      <c r="G51">
        <v>773.47500000000002</v>
      </c>
      <c r="H51" t="s">
        <v>57</v>
      </c>
      <c r="I51">
        <v>2</v>
      </c>
      <c r="J51">
        <v>7</v>
      </c>
      <c r="K51">
        <v>1</v>
      </c>
      <c r="L51">
        <v>55.79</v>
      </c>
      <c r="M51">
        <v>52569</v>
      </c>
      <c r="N51">
        <v>28</v>
      </c>
      <c r="O51">
        <v>20</v>
      </c>
      <c r="P51">
        <v>20</v>
      </c>
      <c r="Q51">
        <v>20</v>
      </c>
      <c r="R51">
        <v>20</v>
      </c>
      <c r="S51">
        <v>280</v>
      </c>
      <c r="T51">
        <v>280</v>
      </c>
      <c r="U51">
        <v>20</v>
      </c>
      <c r="V51">
        <v>17</v>
      </c>
      <c r="W51">
        <v>16</v>
      </c>
      <c r="X51">
        <v>19</v>
      </c>
      <c r="Y51">
        <v>19</v>
      </c>
      <c r="Z51">
        <v>19</v>
      </c>
      <c r="AA51">
        <v>19</v>
      </c>
      <c r="AB51">
        <v>20</v>
      </c>
      <c r="AC51">
        <v>20</v>
      </c>
      <c r="AD51">
        <v>32</v>
      </c>
      <c r="AE51">
        <v>37</v>
      </c>
      <c r="AF51">
        <v>46</v>
      </c>
      <c r="AG51">
        <v>48</v>
      </c>
      <c r="AH51">
        <v>22</v>
      </c>
      <c r="AI51">
        <v>22</v>
      </c>
      <c r="AJ51">
        <v>36</v>
      </c>
      <c r="AK51">
        <v>37</v>
      </c>
      <c r="AL51">
        <v>491229184</v>
      </c>
      <c r="AM51">
        <v>467081792</v>
      </c>
      <c r="AN51">
        <v>493781568</v>
      </c>
      <c r="AO51">
        <v>459105920</v>
      </c>
      <c r="AP51">
        <v>246754496</v>
      </c>
      <c r="AQ51">
        <v>260934320</v>
      </c>
      <c r="AR51">
        <v>542954176</v>
      </c>
      <c r="AS51">
        <v>345602752</v>
      </c>
      <c r="AT51">
        <v>436944224</v>
      </c>
      <c r="AU51">
        <v>391022464</v>
      </c>
      <c r="AV51">
        <v>411415232</v>
      </c>
      <c r="AW51">
        <v>454109568</v>
      </c>
      <c r="AX51">
        <v>104762072</v>
      </c>
      <c r="AY51">
        <v>118759848</v>
      </c>
      <c r="AZ51">
        <v>325366368</v>
      </c>
      <c r="BA51">
        <v>302569440</v>
      </c>
    </row>
    <row r="52" spans="1:53">
      <c r="A52">
        <v>19993</v>
      </c>
      <c r="B52" t="s">
        <v>270</v>
      </c>
      <c r="C52" t="s">
        <v>271</v>
      </c>
      <c r="D52" t="s">
        <v>272</v>
      </c>
      <c r="E52" t="s">
        <v>273</v>
      </c>
      <c r="F52" t="s">
        <v>274</v>
      </c>
      <c r="G52">
        <v>756.86400000000003</v>
      </c>
      <c r="H52" t="s">
        <v>57</v>
      </c>
      <c r="I52">
        <v>2</v>
      </c>
      <c r="J52">
        <v>18</v>
      </c>
      <c r="K52">
        <v>2</v>
      </c>
      <c r="L52">
        <v>91.6</v>
      </c>
      <c r="M52">
        <v>15186</v>
      </c>
      <c r="N52">
        <v>8</v>
      </c>
      <c r="O52">
        <v>16</v>
      </c>
      <c r="P52">
        <v>16</v>
      </c>
      <c r="Q52">
        <v>20</v>
      </c>
      <c r="R52">
        <v>20</v>
      </c>
      <c r="S52">
        <v>1250</v>
      </c>
      <c r="T52">
        <v>1250</v>
      </c>
      <c r="U52">
        <v>20</v>
      </c>
      <c r="V52">
        <v>15</v>
      </c>
      <c r="W52">
        <v>17</v>
      </c>
      <c r="X52">
        <v>18</v>
      </c>
      <c r="Y52">
        <v>15</v>
      </c>
      <c r="Z52">
        <v>14</v>
      </c>
      <c r="AA52">
        <v>15</v>
      </c>
      <c r="AB52">
        <v>15</v>
      </c>
      <c r="AC52">
        <v>13</v>
      </c>
      <c r="AD52">
        <v>90</v>
      </c>
      <c r="AE52">
        <v>213</v>
      </c>
      <c r="AF52">
        <v>215</v>
      </c>
      <c r="AG52">
        <v>153</v>
      </c>
      <c r="AH52">
        <v>171</v>
      </c>
      <c r="AI52">
        <v>140</v>
      </c>
      <c r="AJ52">
        <v>112</v>
      </c>
      <c r="AK52">
        <v>155</v>
      </c>
      <c r="AL52">
        <v>2607904512</v>
      </c>
      <c r="AM52">
        <v>4490289152</v>
      </c>
      <c r="AN52">
        <v>2204466688</v>
      </c>
      <c r="AO52">
        <v>1723194368</v>
      </c>
      <c r="AP52">
        <v>6698370560</v>
      </c>
      <c r="AQ52">
        <v>5782870016</v>
      </c>
      <c r="AR52">
        <v>3351313920</v>
      </c>
      <c r="AS52">
        <v>2140300544</v>
      </c>
      <c r="AT52">
        <v>1816076416</v>
      </c>
      <c r="AU52">
        <v>2753684224</v>
      </c>
      <c r="AV52">
        <v>1862478720</v>
      </c>
      <c r="AW52">
        <v>1319223680</v>
      </c>
      <c r="AX52">
        <v>3319244288</v>
      </c>
      <c r="AY52">
        <v>3334323456</v>
      </c>
      <c r="AZ52">
        <v>2282012160</v>
      </c>
      <c r="BA52">
        <v>1614250752</v>
      </c>
    </row>
    <row r="53" spans="1:53">
      <c r="A53">
        <v>20004</v>
      </c>
      <c r="B53" t="s">
        <v>275</v>
      </c>
      <c r="C53" t="s">
        <v>276</v>
      </c>
      <c r="D53" t="s">
        <v>277</v>
      </c>
      <c r="E53" t="s">
        <v>278</v>
      </c>
      <c r="F53" t="s">
        <v>279</v>
      </c>
      <c r="G53">
        <v>753.51800000000003</v>
      </c>
      <c r="H53" t="s">
        <v>57</v>
      </c>
      <c r="I53">
        <v>2</v>
      </c>
      <c r="J53">
        <v>3</v>
      </c>
      <c r="K53">
        <v>18</v>
      </c>
      <c r="L53">
        <v>48.18</v>
      </c>
      <c r="M53">
        <v>64682</v>
      </c>
      <c r="N53">
        <v>37</v>
      </c>
      <c r="O53">
        <v>21</v>
      </c>
      <c r="P53">
        <v>21</v>
      </c>
      <c r="Q53">
        <v>21</v>
      </c>
      <c r="R53">
        <v>21</v>
      </c>
      <c r="S53">
        <v>79</v>
      </c>
      <c r="T53">
        <v>79</v>
      </c>
      <c r="U53">
        <v>21</v>
      </c>
      <c r="V53">
        <v>18</v>
      </c>
      <c r="W53">
        <v>19</v>
      </c>
      <c r="X53">
        <v>20</v>
      </c>
      <c r="Y53">
        <v>19</v>
      </c>
      <c r="Z53">
        <v>14</v>
      </c>
      <c r="AA53">
        <v>18</v>
      </c>
      <c r="AB53">
        <v>18</v>
      </c>
      <c r="AC53">
        <v>21</v>
      </c>
      <c r="AD53">
        <v>12</v>
      </c>
      <c r="AE53">
        <v>11</v>
      </c>
      <c r="AF53">
        <v>12</v>
      </c>
      <c r="AG53">
        <v>12</v>
      </c>
      <c r="AH53">
        <v>4</v>
      </c>
      <c r="AI53">
        <v>3</v>
      </c>
      <c r="AJ53">
        <v>13</v>
      </c>
      <c r="AK53">
        <v>12</v>
      </c>
      <c r="AL53">
        <v>60970704</v>
      </c>
      <c r="AM53">
        <v>66535728</v>
      </c>
      <c r="AN53">
        <v>67788016</v>
      </c>
      <c r="AO53">
        <v>47842112</v>
      </c>
      <c r="AP53">
        <v>31021902</v>
      </c>
      <c r="AQ53">
        <v>35840472</v>
      </c>
      <c r="AR53">
        <v>63496132</v>
      </c>
      <c r="AS53">
        <v>62088136</v>
      </c>
      <c r="AT53">
        <v>65614136</v>
      </c>
      <c r="AU53">
        <v>54191964</v>
      </c>
      <c r="AV53">
        <v>50291432</v>
      </c>
      <c r="AW53">
        <v>44991916</v>
      </c>
      <c r="AX53">
        <v>12136709</v>
      </c>
      <c r="AY53">
        <v>14709024</v>
      </c>
      <c r="AZ53">
        <v>32819116</v>
      </c>
      <c r="BA53">
        <v>46047936</v>
      </c>
    </row>
    <row r="54" spans="1:53">
      <c r="A54">
        <v>20127</v>
      </c>
      <c r="B54" t="s">
        <v>280</v>
      </c>
      <c r="C54" t="s">
        <v>281</v>
      </c>
      <c r="D54" t="s">
        <v>280</v>
      </c>
      <c r="E54" t="s">
        <v>282</v>
      </c>
      <c r="F54" t="s">
        <v>283</v>
      </c>
      <c r="G54">
        <v>733.48</v>
      </c>
      <c r="H54" t="s">
        <v>57</v>
      </c>
      <c r="I54">
        <v>2</v>
      </c>
      <c r="J54">
        <v>1</v>
      </c>
      <c r="K54">
        <v>33</v>
      </c>
      <c r="L54">
        <v>35.270000000000003</v>
      </c>
      <c r="M54">
        <v>58826</v>
      </c>
      <c r="N54">
        <v>28</v>
      </c>
      <c r="O54">
        <v>19</v>
      </c>
      <c r="P54">
        <v>17</v>
      </c>
      <c r="Q54">
        <v>19</v>
      </c>
      <c r="R54">
        <v>17</v>
      </c>
      <c r="S54">
        <v>44</v>
      </c>
      <c r="T54">
        <v>38</v>
      </c>
      <c r="U54">
        <v>17</v>
      </c>
      <c r="V54">
        <v>12</v>
      </c>
      <c r="W54">
        <v>3</v>
      </c>
      <c r="X54">
        <v>17</v>
      </c>
      <c r="Y54">
        <v>3</v>
      </c>
      <c r="Z54">
        <v>4</v>
      </c>
      <c r="AA54">
        <v>3</v>
      </c>
      <c r="AB54">
        <v>9</v>
      </c>
      <c r="AC54">
        <v>4</v>
      </c>
      <c r="AD54">
        <v>2</v>
      </c>
      <c r="AE54">
        <v>0</v>
      </c>
      <c r="AF54">
        <v>32</v>
      </c>
      <c r="AG54">
        <v>0</v>
      </c>
      <c r="AH54">
        <v>0</v>
      </c>
      <c r="AI54">
        <v>0</v>
      </c>
      <c r="AJ54">
        <v>4</v>
      </c>
      <c r="AK54">
        <v>0</v>
      </c>
      <c r="AL54">
        <v>14556163</v>
      </c>
      <c r="AM54">
        <v>2972041</v>
      </c>
      <c r="AN54">
        <v>180286160</v>
      </c>
      <c r="AO54">
        <v>1941227</v>
      </c>
      <c r="AP54">
        <v>5720681.5</v>
      </c>
      <c r="AQ54">
        <v>6900721</v>
      </c>
      <c r="AR54">
        <v>15088635</v>
      </c>
      <c r="AS54">
        <v>4909925.5</v>
      </c>
      <c r="AT54">
        <v>14436288</v>
      </c>
      <c r="AU54">
        <v>78364.070000000007</v>
      </c>
      <c r="AV54">
        <v>111434008</v>
      </c>
      <c r="AW54">
        <v>75129.48</v>
      </c>
      <c r="AX54">
        <v>66945.66</v>
      </c>
      <c r="AY54">
        <v>77594.759999999995</v>
      </c>
      <c r="AZ54">
        <v>7391512.5</v>
      </c>
      <c r="BA54">
        <v>105139.74</v>
      </c>
    </row>
    <row r="55" spans="1:53">
      <c r="A55">
        <v>20007</v>
      </c>
      <c r="B55" t="s">
        <v>284</v>
      </c>
      <c r="C55" t="s">
        <v>285</v>
      </c>
      <c r="D55" t="s">
        <v>286</v>
      </c>
      <c r="E55" t="s">
        <v>287</v>
      </c>
      <c r="F55" t="s">
        <v>288</v>
      </c>
      <c r="G55">
        <v>730.28</v>
      </c>
      <c r="H55" t="s">
        <v>57</v>
      </c>
      <c r="I55">
        <v>2</v>
      </c>
      <c r="J55">
        <v>9</v>
      </c>
      <c r="K55">
        <v>12</v>
      </c>
      <c r="L55">
        <v>57.46</v>
      </c>
      <c r="M55">
        <v>34154</v>
      </c>
      <c r="N55">
        <v>21</v>
      </c>
      <c r="O55">
        <v>15</v>
      </c>
      <c r="P55">
        <v>15</v>
      </c>
      <c r="Q55">
        <v>15</v>
      </c>
      <c r="R55">
        <v>15</v>
      </c>
      <c r="S55">
        <v>183</v>
      </c>
      <c r="T55">
        <v>183</v>
      </c>
      <c r="U55">
        <v>15</v>
      </c>
      <c r="V55">
        <v>11</v>
      </c>
      <c r="W55">
        <v>13</v>
      </c>
      <c r="X55">
        <v>15</v>
      </c>
      <c r="Y55">
        <v>15</v>
      </c>
      <c r="Z55">
        <v>15</v>
      </c>
      <c r="AA55">
        <v>14</v>
      </c>
      <c r="AB55">
        <v>14</v>
      </c>
      <c r="AC55">
        <v>15</v>
      </c>
      <c r="AD55">
        <v>22</v>
      </c>
      <c r="AE55">
        <v>23</v>
      </c>
      <c r="AF55">
        <v>28</v>
      </c>
      <c r="AG55">
        <v>32</v>
      </c>
      <c r="AH55">
        <v>16</v>
      </c>
      <c r="AI55">
        <v>16</v>
      </c>
      <c r="AJ55">
        <v>25</v>
      </c>
      <c r="AK55">
        <v>21</v>
      </c>
      <c r="AL55">
        <v>302988896</v>
      </c>
      <c r="AM55">
        <v>335861696</v>
      </c>
      <c r="AN55">
        <v>335197504</v>
      </c>
      <c r="AO55">
        <v>306491808</v>
      </c>
      <c r="AP55">
        <v>146185712</v>
      </c>
      <c r="AQ55">
        <v>157623504</v>
      </c>
      <c r="AR55">
        <v>321977984</v>
      </c>
      <c r="AS55">
        <v>229600896</v>
      </c>
      <c r="AT55">
        <v>304632384</v>
      </c>
      <c r="AU55">
        <v>275401536</v>
      </c>
      <c r="AV55">
        <v>286426944</v>
      </c>
      <c r="AW55">
        <v>299290080</v>
      </c>
      <c r="AX55">
        <v>66975656</v>
      </c>
      <c r="AY55">
        <v>80516872</v>
      </c>
      <c r="AZ55">
        <v>199240144</v>
      </c>
      <c r="BA55">
        <v>202909424</v>
      </c>
    </row>
    <row r="56" spans="1:53">
      <c r="A56">
        <v>20073</v>
      </c>
      <c r="B56" t="s">
        <v>289</v>
      </c>
      <c r="C56" t="s">
        <v>290</v>
      </c>
      <c r="D56" t="s">
        <v>291</v>
      </c>
      <c r="F56" t="s">
        <v>292</v>
      </c>
      <c r="G56">
        <v>715.255</v>
      </c>
      <c r="H56" t="s">
        <v>57</v>
      </c>
      <c r="I56">
        <v>2</v>
      </c>
      <c r="J56">
        <v>21</v>
      </c>
      <c r="K56">
        <v>0</v>
      </c>
      <c r="L56">
        <v>83.64</v>
      </c>
      <c r="M56">
        <v>17711</v>
      </c>
      <c r="N56">
        <v>12</v>
      </c>
      <c r="O56">
        <v>16</v>
      </c>
      <c r="P56">
        <v>16</v>
      </c>
      <c r="Q56">
        <v>18</v>
      </c>
      <c r="R56">
        <v>18</v>
      </c>
      <c r="S56">
        <v>351</v>
      </c>
      <c r="T56">
        <v>351</v>
      </c>
      <c r="U56">
        <v>18</v>
      </c>
      <c r="V56">
        <v>14</v>
      </c>
      <c r="W56">
        <v>17</v>
      </c>
      <c r="X56">
        <v>16</v>
      </c>
      <c r="Y56">
        <v>18</v>
      </c>
      <c r="Z56">
        <v>18</v>
      </c>
      <c r="AA56">
        <v>18</v>
      </c>
      <c r="AB56">
        <v>18</v>
      </c>
      <c r="AC56">
        <v>18</v>
      </c>
      <c r="AD56">
        <v>43</v>
      </c>
      <c r="AE56">
        <v>49</v>
      </c>
      <c r="AF56">
        <v>48</v>
      </c>
      <c r="AG56">
        <v>53</v>
      </c>
      <c r="AH56">
        <v>40</v>
      </c>
      <c r="AI56">
        <v>39</v>
      </c>
      <c r="AJ56">
        <v>39</v>
      </c>
      <c r="AK56">
        <v>40</v>
      </c>
      <c r="AL56">
        <v>2284014592</v>
      </c>
      <c r="AM56">
        <v>2624120320</v>
      </c>
      <c r="AN56">
        <v>1918119296</v>
      </c>
      <c r="AO56">
        <v>1657765248</v>
      </c>
      <c r="AP56">
        <v>3062149888</v>
      </c>
      <c r="AQ56">
        <v>2868337152</v>
      </c>
      <c r="AR56">
        <v>2287473920</v>
      </c>
      <c r="AS56">
        <v>1717167616</v>
      </c>
      <c r="AT56">
        <v>1769244416</v>
      </c>
      <c r="AU56">
        <v>1930584448</v>
      </c>
      <c r="AV56">
        <v>1581310464</v>
      </c>
      <c r="AW56">
        <v>1549177472</v>
      </c>
      <c r="AX56">
        <v>1505490048</v>
      </c>
      <c r="AY56">
        <v>1479593344</v>
      </c>
      <c r="AZ56">
        <v>1391244544</v>
      </c>
      <c r="BA56">
        <v>1393004672</v>
      </c>
    </row>
    <row r="57" spans="1:53">
      <c r="A57">
        <v>20255</v>
      </c>
      <c r="B57" t="s">
        <v>293</v>
      </c>
      <c r="C57" t="s">
        <v>294</v>
      </c>
      <c r="D57" t="s">
        <v>293</v>
      </c>
      <c r="F57" t="s">
        <v>295</v>
      </c>
      <c r="G57">
        <v>706.32500000000005</v>
      </c>
      <c r="H57" t="s">
        <v>57</v>
      </c>
      <c r="I57">
        <v>2</v>
      </c>
      <c r="J57">
        <v>1</v>
      </c>
      <c r="K57">
        <v>0</v>
      </c>
      <c r="L57">
        <v>51.1</v>
      </c>
      <c r="M57">
        <v>49988</v>
      </c>
      <c r="N57">
        <v>29</v>
      </c>
      <c r="O57">
        <v>18</v>
      </c>
      <c r="P57">
        <v>18</v>
      </c>
      <c r="Q57">
        <v>18</v>
      </c>
      <c r="R57">
        <v>18</v>
      </c>
      <c r="S57">
        <v>163</v>
      </c>
      <c r="T57">
        <v>163</v>
      </c>
      <c r="U57">
        <v>18</v>
      </c>
      <c r="V57">
        <v>15</v>
      </c>
      <c r="W57">
        <v>12</v>
      </c>
      <c r="X57">
        <v>15</v>
      </c>
      <c r="Y57">
        <v>14</v>
      </c>
      <c r="Z57">
        <v>16</v>
      </c>
      <c r="AA57">
        <v>18</v>
      </c>
      <c r="AB57">
        <v>17</v>
      </c>
      <c r="AC57">
        <v>17</v>
      </c>
      <c r="AD57">
        <v>14</v>
      </c>
      <c r="AE57">
        <v>9</v>
      </c>
      <c r="AF57">
        <v>19</v>
      </c>
      <c r="AG57">
        <v>21</v>
      </c>
      <c r="AH57">
        <v>25</v>
      </c>
      <c r="AI57">
        <v>26</v>
      </c>
      <c r="AJ57">
        <v>26</v>
      </c>
      <c r="AK57">
        <v>23</v>
      </c>
      <c r="AL57">
        <v>36013348</v>
      </c>
      <c r="AM57">
        <v>38076944</v>
      </c>
      <c r="AN57">
        <v>74211256</v>
      </c>
      <c r="AO57">
        <v>68804872</v>
      </c>
      <c r="AP57">
        <v>117664936</v>
      </c>
      <c r="AQ57">
        <v>119213616</v>
      </c>
      <c r="AR57">
        <v>136809600</v>
      </c>
      <c r="AS57">
        <v>92551184</v>
      </c>
      <c r="AT57">
        <v>39316120</v>
      </c>
      <c r="AU57">
        <v>36903444</v>
      </c>
      <c r="AV57">
        <v>65083368</v>
      </c>
      <c r="AW57">
        <v>72865632</v>
      </c>
      <c r="AX57">
        <v>58540212</v>
      </c>
      <c r="AY57">
        <v>66413856</v>
      </c>
      <c r="AZ57">
        <v>89588776</v>
      </c>
      <c r="BA57">
        <v>84657424</v>
      </c>
    </row>
    <row r="58" spans="1:53">
      <c r="A58">
        <v>20052</v>
      </c>
      <c r="B58" t="s">
        <v>296</v>
      </c>
      <c r="C58" t="s">
        <v>297</v>
      </c>
      <c r="D58" t="s">
        <v>298</v>
      </c>
      <c r="F58" t="s">
        <v>299</v>
      </c>
      <c r="G58">
        <v>700.44500000000005</v>
      </c>
      <c r="H58" t="s">
        <v>57</v>
      </c>
      <c r="I58">
        <v>2</v>
      </c>
      <c r="J58">
        <v>21</v>
      </c>
      <c r="K58">
        <v>0</v>
      </c>
      <c r="L58">
        <v>73.849999999999994</v>
      </c>
      <c r="M58">
        <v>14126</v>
      </c>
      <c r="N58">
        <v>11</v>
      </c>
      <c r="O58">
        <v>13</v>
      </c>
      <c r="P58">
        <v>13</v>
      </c>
      <c r="Q58">
        <v>16</v>
      </c>
      <c r="R58">
        <v>16</v>
      </c>
      <c r="S58">
        <v>822</v>
      </c>
      <c r="T58">
        <v>822</v>
      </c>
      <c r="U58">
        <v>16</v>
      </c>
      <c r="V58">
        <v>16</v>
      </c>
      <c r="W58">
        <v>16</v>
      </c>
      <c r="X58">
        <v>16</v>
      </c>
      <c r="Y58">
        <v>16</v>
      </c>
      <c r="Z58">
        <v>16</v>
      </c>
      <c r="AA58">
        <v>14</v>
      </c>
      <c r="AB58">
        <v>16</v>
      </c>
      <c r="AC58">
        <v>15</v>
      </c>
      <c r="AD58">
        <v>100</v>
      </c>
      <c r="AE58">
        <v>118</v>
      </c>
      <c r="AF58">
        <v>108</v>
      </c>
      <c r="AG58">
        <v>94</v>
      </c>
      <c r="AH58">
        <v>96</v>
      </c>
      <c r="AI58">
        <v>104</v>
      </c>
      <c r="AJ58">
        <v>88</v>
      </c>
      <c r="AK58">
        <v>113</v>
      </c>
      <c r="AL58">
        <v>3450688768</v>
      </c>
      <c r="AM58">
        <v>3779899648</v>
      </c>
      <c r="AN58">
        <v>1670974336</v>
      </c>
      <c r="AO58">
        <v>1291947008</v>
      </c>
      <c r="AP58">
        <v>3336931328</v>
      </c>
      <c r="AQ58">
        <v>3059270400</v>
      </c>
      <c r="AR58">
        <v>1787239424</v>
      </c>
      <c r="AS58">
        <v>1688622080</v>
      </c>
      <c r="AT58">
        <v>2761544448</v>
      </c>
      <c r="AU58">
        <v>3031801088</v>
      </c>
      <c r="AV58">
        <v>1480446592</v>
      </c>
      <c r="AW58">
        <v>1400136448</v>
      </c>
      <c r="AX58">
        <v>1127303936</v>
      </c>
      <c r="AY58">
        <v>1245532800</v>
      </c>
      <c r="AZ58">
        <v>1113303552</v>
      </c>
      <c r="BA58">
        <v>1636331904</v>
      </c>
    </row>
    <row r="59" spans="1:53">
      <c r="A59">
        <v>20038</v>
      </c>
      <c r="B59" t="s">
        <v>300</v>
      </c>
      <c r="C59" t="s">
        <v>301</v>
      </c>
      <c r="D59" t="s">
        <v>302</v>
      </c>
      <c r="E59" t="s">
        <v>303</v>
      </c>
      <c r="F59" t="s">
        <v>304</v>
      </c>
      <c r="G59">
        <v>693.74400000000003</v>
      </c>
      <c r="H59" t="s">
        <v>57</v>
      </c>
      <c r="I59">
        <v>2</v>
      </c>
      <c r="J59">
        <v>19</v>
      </c>
      <c r="K59">
        <v>1</v>
      </c>
      <c r="L59">
        <v>50.5</v>
      </c>
      <c r="M59">
        <v>34715</v>
      </c>
      <c r="N59">
        <v>14</v>
      </c>
      <c r="O59">
        <v>12</v>
      </c>
      <c r="P59">
        <v>12</v>
      </c>
      <c r="Q59">
        <v>13</v>
      </c>
      <c r="R59">
        <v>13</v>
      </c>
      <c r="S59">
        <v>222</v>
      </c>
      <c r="T59">
        <v>222</v>
      </c>
      <c r="U59">
        <v>13</v>
      </c>
      <c r="V59">
        <v>12</v>
      </c>
      <c r="W59">
        <v>11</v>
      </c>
      <c r="X59">
        <v>13</v>
      </c>
      <c r="Y59">
        <v>13</v>
      </c>
      <c r="Z59">
        <v>12</v>
      </c>
      <c r="AA59">
        <v>12</v>
      </c>
      <c r="AB59">
        <v>11</v>
      </c>
      <c r="AC59">
        <v>11</v>
      </c>
      <c r="AD59">
        <v>36</v>
      </c>
      <c r="AE59">
        <v>32</v>
      </c>
      <c r="AF59">
        <v>29</v>
      </c>
      <c r="AG59">
        <v>30</v>
      </c>
      <c r="AH59">
        <v>17</v>
      </c>
      <c r="AI59">
        <v>19</v>
      </c>
      <c r="AJ59">
        <v>30</v>
      </c>
      <c r="AK59">
        <v>29</v>
      </c>
      <c r="AL59">
        <v>231100768</v>
      </c>
      <c r="AM59">
        <v>289091296</v>
      </c>
      <c r="AN59">
        <v>284345120</v>
      </c>
      <c r="AO59">
        <v>288822848</v>
      </c>
      <c r="AP59">
        <v>191300960</v>
      </c>
      <c r="AQ59">
        <v>172637600</v>
      </c>
      <c r="AR59">
        <v>411465696</v>
      </c>
      <c r="AS59">
        <v>232464864</v>
      </c>
      <c r="AT59">
        <v>285765600</v>
      </c>
      <c r="AU59">
        <v>251160816</v>
      </c>
      <c r="AV59">
        <v>293901248</v>
      </c>
      <c r="AW59">
        <v>343899232</v>
      </c>
      <c r="AX59">
        <v>87104752</v>
      </c>
      <c r="AY59">
        <v>89930600</v>
      </c>
      <c r="AZ59">
        <v>236132896</v>
      </c>
      <c r="BA59">
        <v>239063152</v>
      </c>
    </row>
    <row r="60" spans="1:53">
      <c r="A60">
        <v>20161</v>
      </c>
      <c r="B60" t="s">
        <v>305</v>
      </c>
      <c r="C60" t="s">
        <v>306</v>
      </c>
      <c r="D60" t="s">
        <v>307</v>
      </c>
      <c r="F60" t="s">
        <v>308</v>
      </c>
      <c r="G60">
        <v>690.76</v>
      </c>
      <c r="H60" t="s">
        <v>57</v>
      </c>
      <c r="I60">
        <v>2</v>
      </c>
      <c r="J60">
        <v>21</v>
      </c>
      <c r="K60">
        <v>0</v>
      </c>
      <c r="L60">
        <v>92.62</v>
      </c>
      <c r="M60">
        <v>15768</v>
      </c>
      <c r="N60">
        <v>14</v>
      </c>
      <c r="O60">
        <v>18</v>
      </c>
      <c r="P60">
        <v>18</v>
      </c>
      <c r="Q60">
        <v>19</v>
      </c>
      <c r="R60">
        <v>19</v>
      </c>
      <c r="S60">
        <v>1447</v>
      </c>
      <c r="T60">
        <v>1447</v>
      </c>
      <c r="U60">
        <v>19</v>
      </c>
      <c r="V60">
        <v>15</v>
      </c>
      <c r="W60">
        <v>19</v>
      </c>
      <c r="X60">
        <v>19</v>
      </c>
      <c r="Y60">
        <v>19</v>
      </c>
      <c r="Z60">
        <v>19</v>
      </c>
      <c r="AA60">
        <v>19</v>
      </c>
      <c r="AB60">
        <v>19</v>
      </c>
      <c r="AC60">
        <v>19</v>
      </c>
      <c r="AD60">
        <v>105</v>
      </c>
      <c r="AE60">
        <v>142</v>
      </c>
      <c r="AF60">
        <v>185</v>
      </c>
      <c r="AG60">
        <v>181</v>
      </c>
      <c r="AH60">
        <v>216</v>
      </c>
      <c r="AI60">
        <v>234</v>
      </c>
      <c r="AJ60">
        <v>193</v>
      </c>
      <c r="AK60">
        <v>191</v>
      </c>
      <c r="AL60">
        <v>4878218240</v>
      </c>
      <c r="AM60">
        <v>5715364352</v>
      </c>
      <c r="AN60">
        <v>5809709056</v>
      </c>
      <c r="AO60">
        <v>5607243264</v>
      </c>
      <c r="AP60">
        <v>8608840704</v>
      </c>
      <c r="AQ60">
        <v>8287457280</v>
      </c>
      <c r="AR60">
        <v>5336660480</v>
      </c>
      <c r="AS60">
        <v>4268685568</v>
      </c>
      <c r="AT60">
        <v>3825860352</v>
      </c>
      <c r="AU60">
        <v>4077630976</v>
      </c>
      <c r="AV60">
        <v>4627655680</v>
      </c>
      <c r="AW60">
        <v>4764429824</v>
      </c>
      <c r="AX60">
        <v>3871464960</v>
      </c>
      <c r="AY60">
        <v>4285649152</v>
      </c>
      <c r="AZ60">
        <v>3622643456</v>
      </c>
      <c r="BA60">
        <v>3584937984</v>
      </c>
    </row>
    <row r="61" spans="1:53">
      <c r="A61">
        <v>20151</v>
      </c>
      <c r="B61" t="s">
        <v>309</v>
      </c>
      <c r="C61" t="s">
        <v>310</v>
      </c>
      <c r="D61" t="s">
        <v>311</v>
      </c>
      <c r="E61" t="s">
        <v>312</v>
      </c>
      <c r="F61" t="s">
        <v>313</v>
      </c>
      <c r="G61">
        <v>665.24</v>
      </c>
      <c r="H61" t="s">
        <v>57</v>
      </c>
      <c r="I61">
        <v>2</v>
      </c>
      <c r="J61">
        <v>5</v>
      </c>
      <c r="K61">
        <v>16</v>
      </c>
      <c r="L61">
        <v>87.5</v>
      </c>
      <c r="M61">
        <v>14980</v>
      </c>
      <c r="N61">
        <v>11</v>
      </c>
      <c r="O61">
        <v>21</v>
      </c>
      <c r="P61">
        <v>21</v>
      </c>
      <c r="Q61">
        <v>23</v>
      </c>
      <c r="R61">
        <v>23</v>
      </c>
      <c r="S61">
        <v>581</v>
      </c>
      <c r="T61">
        <v>581</v>
      </c>
      <c r="U61">
        <v>23</v>
      </c>
      <c r="V61">
        <v>14</v>
      </c>
      <c r="W61">
        <v>18</v>
      </c>
      <c r="X61">
        <v>20</v>
      </c>
      <c r="Y61">
        <v>20</v>
      </c>
      <c r="Z61">
        <v>19</v>
      </c>
      <c r="AA61">
        <v>19</v>
      </c>
      <c r="AB61">
        <v>18</v>
      </c>
      <c r="AC61">
        <v>16</v>
      </c>
      <c r="AD61">
        <v>81</v>
      </c>
      <c r="AE61">
        <v>106</v>
      </c>
      <c r="AF61">
        <v>78</v>
      </c>
      <c r="AG61">
        <v>66</v>
      </c>
      <c r="AH61">
        <v>76</v>
      </c>
      <c r="AI61">
        <v>64</v>
      </c>
      <c r="AJ61">
        <v>42</v>
      </c>
      <c r="AK61">
        <v>68</v>
      </c>
      <c r="AL61">
        <v>1273917952</v>
      </c>
      <c r="AM61">
        <v>1452439424</v>
      </c>
      <c r="AN61">
        <v>1069109184</v>
      </c>
      <c r="AO61">
        <v>656350784</v>
      </c>
      <c r="AP61">
        <v>2131341952</v>
      </c>
      <c r="AQ61">
        <v>1983912960</v>
      </c>
      <c r="AR61">
        <v>1182091648</v>
      </c>
      <c r="AS61">
        <v>1134246144</v>
      </c>
      <c r="AT61">
        <v>894403584</v>
      </c>
      <c r="AU61">
        <v>1134862720</v>
      </c>
      <c r="AV61">
        <v>907895552</v>
      </c>
      <c r="AW61">
        <v>654002752</v>
      </c>
      <c r="AX61">
        <v>1079989888</v>
      </c>
      <c r="AY61">
        <v>990000896</v>
      </c>
      <c r="AZ61">
        <v>737851200</v>
      </c>
      <c r="BA61">
        <v>818973568</v>
      </c>
    </row>
    <row r="62" spans="1:53">
      <c r="A62">
        <v>20097</v>
      </c>
      <c r="B62" t="s">
        <v>314</v>
      </c>
      <c r="C62" t="s">
        <v>315</v>
      </c>
      <c r="D62" t="s">
        <v>316</v>
      </c>
      <c r="F62" t="s">
        <v>317</v>
      </c>
      <c r="G62">
        <v>653.83100000000002</v>
      </c>
      <c r="H62" t="s">
        <v>57</v>
      </c>
      <c r="I62">
        <v>2</v>
      </c>
      <c r="J62">
        <v>21</v>
      </c>
      <c r="K62">
        <v>0</v>
      </c>
      <c r="L62">
        <v>60.29</v>
      </c>
      <c r="M62">
        <v>15281</v>
      </c>
      <c r="N62">
        <v>5</v>
      </c>
      <c r="O62">
        <v>11</v>
      </c>
      <c r="P62">
        <v>11</v>
      </c>
      <c r="Q62">
        <v>12</v>
      </c>
      <c r="R62">
        <v>12</v>
      </c>
      <c r="S62">
        <v>433</v>
      </c>
      <c r="T62">
        <v>433</v>
      </c>
      <c r="U62">
        <v>12</v>
      </c>
      <c r="V62">
        <v>9</v>
      </c>
      <c r="W62">
        <v>10</v>
      </c>
      <c r="X62">
        <v>11</v>
      </c>
      <c r="Y62">
        <v>11</v>
      </c>
      <c r="Z62">
        <v>12</v>
      </c>
      <c r="AA62">
        <v>12</v>
      </c>
      <c r="AB62">
        <v>12</v>
      </c>
      <c r="AC62">
        <v>12</v>
      </c>
      <c r="AD62">
        <v>59</v>
      </c>
      <c r="AE62">
        <v>74</v>
      </c>
      <c r="AF62">
        <v>74</v>
      </c>
      <c r="AG62">
        <v>54</v>
      </c>
      <c r="AH62">
        <v>44</v>
      </c>
      <c r="AI62">
        <v>43</v>
      </c>
      <c r="AJ62">
        <v>38</v>
      </c>
      <c r="AK62">
        <v>47</v>
      </c>
      <c r="AL62">
        <v>945784064</v>
      </c>
      <c r="AM62">
        <v>1013484096</v>
      </c>
      <c r="AN62">
        <v>870566592</v>
      </c>
      <c r="AO62">
        <v>732476160</v>
      </c>
      <c r="AP62">
        <v>1534000384</v>
      </c>
      <c r="AQ62">
        <v>1425395584</v>
      </c>
      <c r="AR62">
        <v>951376896</v>
      </c>
      <c r="AS62">
        <v>935424192</v>
      </c>
      <c r="AT62">
        <v>764308864</v>
      </c>
      <c r="AU62">
        <v>701931520</v>
      </c>
      <c r="AV62">
        <v>749518912</v>
      </c>
      <c r="AW62">
        <v>494218336</v>
      </c>
      <c r="AX62">
        <v>871073024</v>
      </c>
      <c r="AY62">
        <v>855195712</v>
      </c>
      <c r="AZ62">
        <v>851118720</v>
      </c>
      <c r="BA62">
        <v>1063034240</v>
      </c>
    </row>
    <row r="63" spans="1:53">
      <c r="A63">
        <v>20138</v>
      </c>
      <c r="B63" t="s">
        <v>318</v>
      </c>
      <c r="C63" t="s">
        <v>319</v>
      </c>
      <c r="D63" t="s">
        <v>320</v>
      </c>
      <c r="E63" t="s">
        <v>321</v>
      </c>
      <c r="F63" t="s">
        <v>322</v>
      </c>
      <c r="G63">
        <v>653.702</v>
      </c>
      <c r="H63" t="s">
        <v>57</v>
      </c>
      <c r="I63">
        <v>2</v>
      </c>
      <c r="J63">
        <v>12</v>
      </c>
      <c r="K63">
        <v>9</v>
      </c>
      <c r="L63">
        <v>87.4</v>
      </c>
      <c r="M63">
        <v>14284</v>
      </c>
      <c r="N63">
        <v>11</v>
      </c>
      <c r="O63">
        <v>14</v>
      </c>
      <c r="P63">
        <v>12</v>
      </c>
      <c r="Q63">
        <v>15</v>
      </c>
      <c r="R63">
        <v>13</v>
      </c>
      <c r="S63">
        <v>246</v>
      </c>
      <c r="T63">
        <v>224</v>
      </c>
      <c r="U63">
        <v>13</v>
      </c>
      <c r="V63">
        <v>12</v>
      </c>
      <c r="W63">
        <v>13</v>
      </c>
      <c r="X63">
        <v>12</v>
      </c>
      <c r="Y63">
        <v>12</v>
      </c>
      <c r="Z63">
        <v>12</v>
      </c>
      <c r="AA63">
        <v>12</v>
      </c>
      <c r="AB63">
        <v>11</v>
      </c>
      <c r="AC63">
        <v>12</v>
      </c>
      <c r="AD63">
        <v>45</v>
      </c>
      <c r="AE63">
        <v>38</v>
      </c>
      <c r="AF63">
        <v>25</v>
      </c>
      <c r="AG63">
        <v>24</v>
      </c>
      <c r="AH63">
        <v>30</v>
      </c>
      <c r="AI63">
        <v>26</v>
      </c>
      <c r="AJ63">
        <v>15</v>
      </c>
      <c r="AK63">
        <v>21</v>
      </c>
      <c r="AL63">
        <v>714070784</v>
      </c>
      <c r="AM63">
        <v>886224576</v>
      </c>
      <c r="AN63">
        <v>293202464</v>
      </c>
      <c r="AO63">
        <v>282424608</v>
      </c>
      <c r="AP63">
        <v>1235075712</v>
      </c>
      <c r="AQ63">
        <v>1092827136</v>
      </c>
      <c r="AR63">
        <v>179089328</v>
      </c>
      <c r="AS63">
        <v>140222048</v>
      </c>
      <c r="AT63">
        <v>567296960</v>
      </c>
      <c r="AU63">
        <v>539643392</v>
      </c>
      <c r="AV63">
        <v>192830256</v>
      </c>
      <c r="AW63">
        <v>220169536</v>
      </c>
      <c r="AX63">
        <v>470657216</v>
      </c>
      <c r="AY63">
        <v>440154080</v>
      </c>
      <c r="AZ63">
        <v>106795312</v>
      </c>
      <c r="BA63">
        <v>141373696</v>
      </c>
    </row>
    <row r="64" spans="1:53">
      <c r="A64">
        <v>20227</v>
      </c>
      <c r="B64" t="s">
        <v>323</v>
      </c>
      <c r="C64" t="s">
        <v>324</v>
      </c>
      <c r="D64" t="s">
        <v>323</v>
      </c>
      <c r="E64" t="s">
        <v>325</v>
      </c>
      <c r="F64" t="s">
        <v>326</v>
      </c>
      <c r="G64">
        <v>651.91499999999996</v>
      </c>
      <c r="H64" t="s">
        <v>57</v>
      </c>
      <c r="I64">
        <v>2</v>
      </c>
      <c r="J64">
        <v>1</v>
      </c>
      <c r="K64">
        <v>1</v>
      </c>
      <c r="L64">
        <v>46.48</v>
      </c>
      <c r="M64">
        <v>40302</v>
      </c>
      <c r="N64">
        <v>21</v>
      </c>
      <c r="O64">
        <v>14</v>
      </c>
      <c r="P64">
        <v>3</v>
      </c>
      <c r="Q64">
        <v>17</v>
      </c>
      <c r="R64">
        <v>3</v>
      </c>
      <c r="S64">
        <v>265</v>
      </c>
      <c r="T64">
        <v>36</v>
      </c>
      <c r="U64">
        <v>3</v>
      </c>
      <c r="V64">
        <v>2</v>
      </c>
      <c r="W64">
        <v>2</v>
      </c>
      <c r="X64">
        <v>2</v>
      </c>
      <c r="Y64">
        <v>3</v>
      </c>
      <c r="Z64">
        <v>3</v>
      </c>
      <c r="AA64">
        <v>3</v>
      </c>
      <c r="AB64">
        <v>3</v>
      </c>
      <c r="AC64">
        <v>3</v>
      </c>
      <c r="AD64">
        <v>5</v>
      </c>
      <c r="AE64">
        <v>4</v>
      </c>
      <c r="AF64">
        <v>4</v>
      </c>
      <c r="AG64">
        <v>5</v>
      </c>
      <c r="AH64">
        <v>6</v>
      </c>
      <c r="AI64">
        <v>5</v>
      </c>
      <c r="AJ64">
        <v>4</v>
      </c>
      <c r="AK64">
        <v>3</v>
      </c>
      <c r="AL64">
        <v>189628944</v>
      </c>
      <c r="AM64">
        <v>226627072</v>
      </c>
      <c r="AN64">
        <v>374958080</v>
      </c>
      <c r="AO64">
        <v>381343904</v>
      </c>
      <c r="AP64">
        <v>344575104</v>
      </c>
      <c r="AQ64">
        <v>351815232</v>
      </c>
      <c r="AR64">
        <v>432860704</v>
      </c>
      <c r="AS64">
        <v>266753088</v>
      </c>
      <c r="AT64">
        <v>27668910</v>
      </c>
      <c r="AU64">
        <v>27936132</v>
      </c>
      <c r="AV64">
        <v>54265564</v>
      </c>
      <c r="AW64">
        <v>65931208</v>
      </c>
      <c r="AX64">
        <v>21361900</v>
      </c>
      <c r="AY64">
        <v>25272084</v>
      </c>
      <c r="AZ64">
        <v>45634984</v>
      </c>
      <c r="BA64">
        <v>43472044</v>
      </c>
    </row>
    <row r="65" spans="1:53">
      <c r="A65">
        <v>20001</v>
      </c>
      <c r="B65" t="s">
        <v>327</v>
      </c>
      <c r="C65" t="s">
        <v>328</v>
      </c>
      <c r="D65" t="s">
        <v>329</v>
      </c>
      <c r="E65" t="s">
        <v>330</v>
      </c>
      <c r="F65" t="s">
        <v>331</v>
      </c>
      <c r="G65">
        <v>650.00300000000004</v>
      </c>
      <c r="H65" t="s">
        <v>57</v>
      </c>
      <c r="I65">
        <v>2</v>
      </c>
      <c r="J65">
        <v>15</v>
      </c>
      <c r="K65">
        <v>6</v>
      </c>
      <c r="L65">
        <v>31.93</v>
      </c>
      <c r="M65">
        <v>74013</v>
      </c>
      <c r="N65">
        <v>46</v>
      </c>
      <c r="O65">
        <v>25</v>
      </c>
      <c r="P65">
        <v>25</v>
      </c>
      <c r="Q65">
        <v>25</v>
      </c>
      <c r="R65">
        <v>25</v>
      </c>
      <c r="S65">
        <v>136</v>
      </c>
      <c r="T65">
        <v>136</v>
      </c>
      <c r="U65">
        <v>25</v>
      </c>
      <c r="V65">
        <v>19</v>
      </c>
      <c r="W65">
        <v>20</v>
      </c>
      <c r="X65">
        <v>22</v>
      </c>
      <c r="Y65">
        <v>21</v>
      </c>
      <c r="Z65">
        <v>22</v>
      </c>
      <c r="AA65">
        <v>22</v>
      </c>
      <c r="AB65">
        <v>23</v>
      </c>
      <c r="AC65">
        <v>23</v>
      </c>
      <c r="AD65">
        <v>22</v>
      </c>
      <c r="AE65">
        <v>20</v>
      </c>
      <c r="AF65">
        <v>21</v>
      </c>
      <c r="AG65">
        <v>21</v>
      </c>
      <c r="AH65">
        <v>8</v>
      </c>
      <c r="AI65">
        <v>12</v>
      </c>
      <c r="AJ65">
        <v>21</v>
      </c>
      <c r="AK65">
        <v>11</v>
      </c>
      <c r="AL65">
        <v>128720408</v>
      </c>
      <c r="AM65">
        <v>166876304</v>
      </c>
      <c r="AN65">
        <v>164124112</v>
      </c>
      <c r="AO65">
        <v>130365184</v>
      </c>
      <c r="AP65">
        <v>184433408</v>
      </c>
      <c r="AQ65">
        <v>99062616</v>
      </c>
      <c r="AR65">
        <v>186082976</v>
      </c>
      <c r="AS65">
        <v>114906688</v>
      </c>
      <c r="AT65">
        <v>138947552</v>
      </c>
      <c r="AU65">
        <v>133280232</v>
      </c>
      <c r="AV65">
        <v>126228704</v>
      </c>
      <c r="AW65">
        <v>121761200</v>
      </c>
      <c r="AX65">
        <v>46516492</v>
      </c>
      <c r="AY65">
        <v>48645384</v>
      </c>
      <c r="AZ65">
        <v>109309864</v>
      </c>
      <c r="BA65">
        <v>108350320</v>
      </c>
    </row>
    <row r="66" spans="1:53">
      <c r="A66">
        <v>20117</v>
      </c>
      <c r="B66" t="s">
        <v>332</v>
      </c>
      <c r="C66" t="s">
        <v>333</v>
      </c>
      <c r="D66" t="s">
        <v>332</v>
      </c>
      <c r="E66" t="s">
        <v>334</v>
      </c>
      <c r="F66" t="s">
        <v>335</v>
      </c>
      <c r="G66">
        <v>642.298</v>
      </c>
      <c r="H66" t="s">
        <v>57</v>
      </c>
      <c r="I66">
        <v>2</v>
      </c>
      <c r="J66">
        <v>1</v>
      </c>
      <c r="K66">
        <v>11</v>
      </c>
      <c r="L66">
        <v>47.26</v>
      </c>
      <c r="M66">
        <v>65432</v>
      </c>
      <c r="N66">
        <v>43</v>
      </c>
      <c r="O66">
        <v>20</v>
      </c>
      <c r="P66">
        <v>17</v>
      </c>
      <c r="Q66">
        <v>20</v>
      </c>
      <c r="R66">
        <v>17</v>
      </c>
      <c r="S66">
        <v>39</v>
      </c>
      <c r="T66">
        <v>32</v>
      </c>
      <c r="U66">
        <v>17</v>
      </c>
      <c r="V66">
        <v>4</v>
      </c>
      <c r="W66">
        <v>2</v>
      </c>
      <c r="X66">
        <v>17</v>
      </c>
      <c r="Y66">
        <v>4</v>
      </c>
      <c r="Z66">
        <v>3</v>
      </c>
      <c r="AA66">
        <v>2</v>
      </c>
      <c r="AB66">
        <v>6</v>
      </c>
      <c r="AC66">
        <v>2</v>
      </c>
      <c r="AD66">
        <v>0</v>
      </c>
      <c r="AE66">
        <v>0</v>
      </c>
      <c r="AF66">
        <v>31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31978148</v>
      </c>
      <c r="AM66">
        <v>21697730</v>
      </c>
      <c r="AN66">
        <v>173138224</v>
      </c>
      <c r="AO66">
        <v>23136626</v>
      </c>
      <c r="AP66">
        <v>32318144</v>
      </c>
      <c r="AQ66">
        <v>26823436</v>
      </c>
      <c r="AR66">
        <v>42188328</v>
      </c>
      <c r="AS66">
        <v>11725799</v>
      </c>
      <c r="AT66">
        <v>804703.5</v>
      </c>
      <c r="AU66">
        <v>106992.79</v>
      </c>
      <c r="AV66">
        <v>200088752</v>
      </c>
      <c r="AW66">
        <v>648312.56000000006</v>
      </c>
      <c r="AX66">
        <v>218868.17</v>
      </c>
      <c r="AY66">
        <v>102203.63</v>
      </c>
      <c r="AZ66">
        <v>4677342</v>
      </c>
      <c r="BA66">
        <v>144189.69</v>
      </c>
    </row>
    <row r="67" spans="1:53">
      <c r="A67">
        <v>20169</v>
      </c>
      <c r="B67" t="s">
        <v>336</v>
      </c>
      <c r="C67" t="s">
        <v>337</v>
      </c>
      <c r="D67" t="s">
        <v>338</v>
      </c>
      <c r="F67" t="s">
        <v>339</v>
      </c>
      <c r="G67">
        <v>633</v>
      </c>
      <c r="H67" t="s">
        <v>57</v>
      </c>
      <c r="I67">
        <v>2</v>
      </c>
      <c r="J67">
        <v>6</v>
      </c>
      <c r="K67">
        <v>0</v>
      </c>
      <c r="L67">
        <v>71.19</v>
      </c>
      <c r="M67">
        <v>13099</v>
      </c>
      <c r="N67">
        <v>7</v>
      </c>
      <c r="O67">
        <v>15</v>
      </c>
      <c r="P67">
        <v>15</v>
      </c>
      <c r="Q67">
        <v>18</v>
      </c>
      <c r="R67">
        <v>18</v>
      </c>
      <c r="S67">
        <v>1607</v>
      </c>
      <c r="T67">
        <v>1607</v>
      </c>
      <c r="U67">
        <v>18</v>
      </c>
      <c r="V67">
        <v>14</v>
      </c>
      <c r="W67">
        <v>15</v>
      </c>
      <c r="X67">
        <v>16</v>
      </c>
      <c r="Y67">
        <v>16</v>
      </c>
      <c r="Z67">
        <v>18</v>
      </c>
      <c r="AA67">
        <v>16</v>
      </c>
      <c r="AB67">
        <v>18</v>
      </c>
      <c r="AC67">
        <v>16</v>
      </c>
      <c r="AD67">
        <v>249</v>
      </c>
      <c r="AE67">
        <v>223</v>
      </c>
      <c r="AF67">
        <v>204</v>
      </c>
      <c r="AG67">
        <v>184</v>
      </c>
      <c r="AH67">
        <v>239</v>
      </c>
      <c r="AI67">
        <v>226</v>
      </c>
      <c r="AJ67">
        <v>140</v>
      </c>
      <c r="AK67">
        <v>142</v>
      </c>
      <c r="AL67">
        <v>2685934848</v>
      </c>
      <c r="AM67">
        <v>4191150592</v>
      </c>
      <c r="AN67">
        <v>2899766016</v>
      </c>
      <c r="AO67">
        <v>2961686528</v>
      </c>
      <c r="AP67">
        <v>6493814784</v>
      </c>
      <c r="AQ67">
        <v>5699543040</v>
      </c>
      <c r="AR67">
        <v>3559460864</v>
      </c>
      <c r="AS67">
        <v>2966063616</v>
      </c>
      <c r="AT67">
        <v>2060531584</v>
      </c>
      <c r="AU67">
        <v>3084792320</v>
      </c>
      <c r="AV67">
        <v>2863852288</v>
      </c>
      <c r="AW67">
        <v>3462209536</v>
      </c>
      <c r="AX67">
        <v>4722862080</v>
      </c>
      <c r="AY67">
        <v>4627465728</v>
      </c>
      <c r="AZ67">
        <v>3933507840</v>
      </c>
      <c r="BA67">
        <v>3781873920</v>
      </c>
    </row>
    <row r="68" spans="1:53">
      <c r="A68">
        <v>19987</v>
      </c>
      <c r="B68" t="s">
        <v>340</v>
      </c>
      <c r="C68" t="s">
        <v>341</v>
      </c>
      <c r="D68" t="s">
        <v>342</v>
      </c>
      <c r="E68" t="s">
        <v>343</v>
      </c>
      <c r="F68" t="s">
        <v>344</v>
      </c>
      <c r="G68">
        <v>630.62400000000002</v>
      </c>
      <c r="H68" t="s">
        <v>57</v>
      </c>
      <c r="I68">
        <v>2</v>
      </c>
      <c r="J68">
        <v>7</v>
      </c>
      <c r="K68">
        <v>12</v>
      </c>
      <c r="L68">
        <v>59.02</v>
      </c>
      <c r="M68">
        <v>36831</v>
      </c>
      <c r="N68">
        <v>22</v>
      </c>
      <c r="O68">
        <v>18</v>
      </c>
      <c r="P68">
        <v>18</v>
      </c>
      <c r="Q68">
        <v>18</v>
      </c>
      <c r="R68">
        <v>18</v>
      </c>
      <c r="S68">
        <v>238</v>
      </c>
      <c r="T68">
        <v>238</v>
      </c>
      <c r="U68">
        <v>18</v>
      </c>
      <c r="V68">
        <v>15</v>
      </c>
      <c r="W68">
        <v>16</v>
      </c>
      <c r="X68">
        <v>16</v>
      </c>
      <c r="Y68">
        <v>16</v>
      </c>
      <c r="Z68">
        <v>13</v>
      </c>
      <c r="AA68">
        <v>15</v>
      </c>
      <c r="AB68">
        <v>16</v>
      </c>
      <c r="AC68">
        <v>15</v>
      </c>
      <c r="AD68">
        <v>34</v>
      </c>
      <c r="AE68">
        <v>33</v>
      </c>
      <c r="AF68">
        <v>39</v>
      </c>
      <c r="AG68">
        <v>39</v>
      </c>
      <c r="AH68">
        <v>14</v>
      </c>
      <c r="AI68">
        <v>18</v>
      </c>
      <c r="AJ68">
        <v>34</v>
      </c>
      <c r="AK68">
        <v>27</v>
      </c>
      <c r="AL68">
        <v>170847072</v>
      </c>
      <c r="AM68">
        <v>215585888</v>
      </c>
      <c r="AN68">
        <v>210865952</v>
      </c>
      <c r="AO68">
        <v>202520224</v>
      </c>
      <c r="AP68">
        <v>107873016</v>
      </c>
      <c r="AQ68">
        <v>121700056</v>
      </c>
      <c r="AR68">
        <v>245296688</v>
      </c>
      <c r="AS68">
        <v>149700816</v>
      </c>
      <c r="AT68">
        <v>207390192</v>
      </c>
      <c r="AU68">
        <v>191446816</v>
      </c>
      <c r="AV68">
        <v>181596640</v>
      </c>
      <c r="AW68">
        <v>201432784</v>
      </c>
      <c r="AX68">
        <v>55144784</v>
      </c>
      <c r="AY68">
        <v>65225300</v>
      </c>
      <c r="AZ68">
        <v>145386304</v>
      </c>
      <c r="BA68">
        <v>150596528</v>
      </c>
    </row>
    <row r="69" spans="1:53">
      <c r="A69">
        <v>19978</v>
      </c>
      <c r="B69" t="s">
        <v>345</v>
      </c>
      <c r="C69" t="s">
        <v>346</v>
      </c>
      <c r="D69" t="s">
        <v>347</v>
      </c>
      <c r="F69" t="s">
        <v>348</v>
      </c>
      <c r="G69">
        <v>602.12900000000002</v>
      </c>
      <c r="H69" t="s">
        <v>57</v>
      </c>
      <c r="I69">
        <v>2</v>
      </c>
      <c r="J69">
        <v>21</v>
      </c>
      <c r="K69">
        <v>0</v>
      </c>
      <c r="L69">
        <v>81.55</v>
      </c>
      <c r="M69">
        <v>11735</v>
      </c>
      <c r="N69">
        <v>8</v>
      </c>
      <c r="O69">
        <v>13</v>
      </c>
      <c r="P69">
        <v>13</v>
      </c>
      <c r="Q69">
        <v>14</v>
      </c>
      <c r="R69">
        <v>14</v>
      </c>
      <c r="S69">
        <v>1732</v>
      </c>
      <c r="T69">
        <v>1732</v>
      </c>
      <c r="U69">
        <v>14</v>
      </c>
      <c r="V69">
        <v>11</v>
      </c>
      <c r="W69">
        <v>12</v>
      </c>
      <c r="X69">
        <v>14</v>
      </c>
      <c r="Y69">
        <v>13</v>
      </c>
      <c r="Z69">
        <v>14</v>
      </c>
      <c r="AA69">
        <v>14</v>
      </c>
      <c r="AB69">
        <v>14</v>
      </c>
      <c r="AC69">
        <v>14</v>
      </c>
      <c r="AD69">
        <v>187</v>
      </c>
      <c r="AE69">
        <v>173</v>
      </c>
      <c r="AF69">
        <v>208</v>
      </c>
      <c r="AG69">
        <v>171</v>
      </c>
      <c r="AH69">
        <v>317</v>
      </c>
      <c r="AI69">
        <v>278</v>
      </c>
      <c r="AJ69">
        <v>193</v>
      </c>
      <c r="AK69">
        <v>205</v>
      </c>
      <c r="AL69">
        <v>5612685312</v>
      </c>
      <c r="AM69">
        <v>6074046464</v>
      </c>
      <c r="AN69">
        <v>5013151232</v>
      </c>
      <c r="AO69">
        <v>4393778176</v>
      </c>
      <c r="AP69">
        <v>9908874240</v>
      </c>
      <c r="AQ69">
        <v>8623049728</v>
      </c>
      <c r="AR69">
        <v>5614265344</v>
      </c>
      <c r="AS69">
        <v>4321063936</v>
      </c>
      <c r="AT69">
        <v>2860532736</v>
      </c>
      <c r="AU69">
        <v>2314444800</v>
      </c>
      <c r="AV69">
        <v>3928973312</v>
      </c>
      <c r="AW69">
        <v>3773369344</v>
      </c>
      <c r="AX69">
        <v>5083961344</v>
      </c>
      <c r="AY69">
        <v>5525322752</v>
      </c>
      <c r="AZ69">
        <v>5269319168</v>
      </c>
      <c r="BA69">
        <v>4623606784</v>
      </c>
    </row>
    <row r="70" spans="1:53">
      <c r="A70">
        <v>20140</v>
      </c>
      <c r="B70" t="s">
        <v>349</v>
      </c>
      <c r="C70" t="s">
        <v>350</v>
      </c>
      <c r="D70" t="s">
        <v>351</v>
      </c>
      <c r="F70" t="s">
        <v>352</v>
      </c>
      <c r="G70">
        <v>598.99699999999996</v>
      </c>
      <c r="H70" t="s">
        <v>57</v>
      </c>
      <c r="I70">
        <v>2</v>
      </c>
      <c r="J70">
        <v>2</v>
      </c>
      <c r="K70">
        <v>0</v>
      </c>
      <c r="L70">
        <v>55.59</v>
      </c>
      <c r="M70">
        <v>31347</v>
      </c>
      <c r="N70">
        <v>18</v>
      </c>
      <c r="O70">
        <v>12</v>
      </c>
      <c r="P70">
        <v>12</v>
      </c>
      <c r="Q70">
        <v>12</v>
      </c>
      <c r="R70">
        <v>12</v>
      </c>
      <c r="S70">
        <v>211</v>
      </c>
      <c r="T70">
        <v>211</v>
      </c>
      <c r="U70">
        <v>12</v>
      </c>
      <c r="V70">
        <v>8</v>
      </c>
      <c r="W70">
        <v>9</v>
      </c>
      <c r="X70">
        <v>10</v>
      </c>
      <c r="Y70">
        <v>11</v>
      </c>
      <c r="Z70">
        <v>12</v>
      </c>
      <c r="AA70">
        <v>12</v>
      </c>
      <c r="AB70">
        <v>12</v>
      </c>
      <c r="AC70">
        <v>12</v>
      </c>
      <c r="AD70">
        <v>11</v>
      </c>
      <c r="AE70">
        <v>17</v>
      </c>
      <c r="AF70">
        <v>29</v>
      </c>
      <c r="AG70">
        <v>30</v>
      </c>
      <c r="AH70">
        <v>25</v>
      </c>
      <c r="AI70">
        <v>28</v>
      </c>
      <c r="AJ70">
        <v>37</v>
      </c>
      <c r="AK70">
        <v>34</v>
      </c>
      <c r="AL70">
        <v>37643640</v>
      </c>
      <c r="AM70">
        <v>46334288</v>
      </c>
      <c r="AN70">
        <v>94798968</v>
      </c>
      <c r="AO70">
        <v>93244000</v>
      </c>
      <c r="AP70">
        <v>138272016</v>
      </c>
      <c r="AQ70">
        <v>147556352</v>
      </c>
      <c r="AR70">
        <v>146959712</v>
      </c>
      <c r="AS70">
        <v>99963176</v>
      </c>
      <c r="AT70">
        <v>36210096</v>
      </c>
      <c r="AU70">
        <v>43718948</v>
      </c>
      <c r="AV70">
        <v>88805256</v>
      </c>
      <c r="AW70">
        <v>94048696</v>
      </c>
      <c r="AX70">
        <v>70331368</v>
      </c>
      <c r="AY70">
        <v>81667152</v>
      </c>
      <c r="AZ70">
        <v>105518352</v>
      </c>
      <c r="BA70">
        <v>115898376</v>
      </c>
    </row>
    <row r="71" spans="1:53">
      <c r="A71">
        <v>20266</v>
      </c>
      <c r="B71" t="s">
        <v>353</v>
      </c>
      <c r="C71" t="s">
        <v>354</v>
      </c>
      <c r="D71" t="s">
        <v>353</v>
      </c>
      <c r="F71" t="s">
        <v>355</v>
      </c>
      <c r="G71">
        <v>598.33399999999995</v>
      </c>
      <c r="H71" t="s">
        <v>57</v>
      </c>
      <c r="I71">
        <v>2</v>
      </c>
      <c r="J71">
        <v>1</v>
      </c>
      <c r="K71">
        <v>0</v>
      </c>
      <c r="L71">
        <v>42.04</v>
      </c>
      <c r="M71">
        <v>27452</v>
      </c>
      <c r="N71">
        <v>13</v>
      </c>
      <c r="O71">
        <v>11</v>
      </c>
      <c r="P71">
        <v>11</v>
      </c>
      <c r="Q71">
        <v>14</v>
      </c>
      <c r="R71">
        <v>14</v>
      </c>
      <c r="S71">
        <v>1373</v>
      </c>
      <c r="T71">
        <v>1373</v>
      </c>
      <c r="U71">
        <v>14</v>
      </c>
      <c r="V71">
        <v>11</v>
      </c>
      <c r="W71">
        <v>10</v>
      </c>
      <c r="X71">
        <v>11</v>
      </c>
      <c r="Y71">
        <v>13</v>
      </c>
      <c r="Z71">
        <v>13</v>
      </c>
      <c r="AA71">
        <v>14</v>
      </c>
      <c r="AB71">
        <v>14</v>
      </c>
      <c r="AC71">
        <v>13</v>
      </c>
      <c r="AD71">
        <v>192</v>
      </c>
      <c r="AE71">
        <v>221</v>
      </c>
      <c r="AF71">
        <v>167</v>
      </c>
      <c r="AG71">
        <v>173</v>
      </c>
      <c r="AH71">
        <v>132</v>
      </c>
      <c r="AI71">
        <v>156</v>
      </c>
      <c r="AJ71">
        <v>134</v>
      </c>
      <c r="AK71">
        <v>198</v>
      </c>
      <c r="AL71">
        <v>2591675136</v>
      </c>
      <c r="AM71">
        <v>3503254528</v>
      </c>
      <c r="AN71">
        <v>1700710016</v>
      </c>
      <c r="AO71">
        <v>1736159488</v>
      </c>
      <c r="AP71">
        <v>3580801024</v>
      </c>
      <c r="AQ71">
        <v>3764242688</v>
      </c>
      <c r="AR71">
        <v>2332215552</v>
      </c>
      <c r="AS71">
        <v>1942255488</v>
      </c>
      <c r="AT71">
        <v>2191307264</v>
      </c>
      <c r="AU71">
        <v>2680437248</v>
      </c>
      <c r="AV71">
        <v>1494492160</v>
      </c>
      <c r="AW71">
        <v>1811916160</v>
      </c>
      <c r="AX71">
        <v>1794449408</v>
      </c>
      <c r="AY71">
        <v>2273659136</v>
      </c>
      <c r="AZ71">
        <v>2260351232</v>
      </c>
      <c r="BA71">
        <v>2888054784</v>
      </c>
    </row>
    <row r="72" spans="1:53">
      <c r="A72">
        <v>19968</v>
      </c>
      <c r="B72" t="s">
        <v>356</v>
      </c>
      <c r="C72" t="s">
        <v>357</v>
      </c>
      <c r="D72" t="s">
        <v>358</v>
      </c>
      <c r="F72" t="s">
        <v>359</v>
      </c>
      <c r="G72">
        <v>594.16600000000005</v>
      </c>
      <c r="H72" t="s">
        <v>57</v>
      </c>
      <c r="I72">
        <v>2</v>
      </c>
      <c r="J72">
        <v>20</v>
      </c>
      <c r="K72">
        <v>0</v>
      </c>
      <c r="L72">
        <v>59.86</v>
      </c>
      <c r="M72">
        <v>14875</v>
      </c>
      <c r="N72">
        <v>10</v>
      </c>
      <c r="O72">
        <v>14</v>
      </c>
      <c r="P72">
        <v>14</v>
      </c>
      <c r="Q72">
        <v>18</v>
      </c>
      <c r="R72">
        <v>18</v>
      </c>
      <c r="S72">
        <v>396</v>
      </c>
      <c r="T72">
        <v>396</v>
      </c>
      <c r="U72">
        <v>18</v>
      </c>
      <c r="V72">
        <v>13</v>
      </c>
      <c r="W72">
        <v>15</v>
      </c>
      <c r="X72">
        <v>15</v>
      </c>
      <c r="Y72">
        <v>15</v>
      </c>
      <c r="Z72">
        <v>16</v>
      </c>
      <c r="AA72">
        <v>17</v>
      </c>
      <c r="AB72">
        <v>18</v>
      </c>
      <c r="AC72">
        <v>18</v>
      </c>
      <c r="AD72">
        <v>50</v>
      </c>
      <c r="AE72">
        <v>55</v>
      </c>
      <c r="AF72">
        <v>49</v>
      </c>
      <c r="AG72">
        <v>41</v>
      </c>
      <c r="AH72">
        <v>48</v>
      </c>
      <c r="AI72">
        <v>46</v>
      </c>
      <c r="AJ72">
        <v>46</v>
      </c>
      <c r="AK72">
        <v>61</v>
      </c>
      <c r="AL72">
        <v>2153531904</v>
      </c>
      <c r="AM72">
        <v>2236870912</v>
      </c>
      <c r="AN72">
        <v>2137909760</v>
      </c>
      <c r="AO72">
        <v>1815072000</v>
      </c>
      <c r="AP72">
        <v>2680274176</v>
      </c>
      <c r="AQ72">
        <v>2559346944</v>
      </c>
      <c r="AR72">
        <v>2123275776</v>
      </c>
      <c r="AS72">
        <v>1607012992</v>
      </c>
      <c r="AT72">
        <v>1901127040</v>
      </c>
      <c r="AU72">
        <v>1631463936</v>
      </c>
      <c r="AV72">
        <v>1572577408</v>
      </c>
      <c r="AW72">
        <v>1529005568</v>
      </c>
      <c r="AX72">
        <v>1113904000</v>
      </c>
      <c r="AY72">
        <v>1229115520</v>
      </c>
      <c r="AZ72">
        <v>1422934912</v>
      </c>
      <c r="BA72">
        <v>1548800256</v>
      </c>
    </row>
    <row r="73" spans="1:53">
      <c r="A73">
        <v>20115</v>
      </c>
      <c r="B73" t="s">
        <v>360</v>
      </c>
      <c r="C73" t="s">
        <v>361</v>
      </c>
      <c r="D73" t="s">
        <v>360</v>
      </c>
      <c r="E73" t="s">
        <v>362</v>
      </c>
      <c r="F73" t="s">
        <v>363</v>
      </c>
      <c r="G73">
        <v>588.46900000000005</v>
      </c>
      <c r="H73" t="s">
        <v>57</v>
      </c>
      <c r="I73">
        <v>2</v>
      </c>
      <c r="J73">
        <v>1</v>
      </c>
      <c r="K73">
        <v>2</v>
      </c>
      <c r="L73">
        <v>54.49</v>
      </c>
      <c r="M73">
        <v>37437</v>
      </c>
      <c r="N73">
        <v>17</v>
      </c>
      <c r="O73">
        <v>15</v>
      </c>
      <c r="P73">
        <v>15</v>
      </c>
      <c r="Q73">
        <v>15</v>
      </c>
      <c r="R73">
        <v>15</v>
      </c>
      <c r="S73">
        <v>156</v>
      </c>
      <c r="T73">
        <v>156</v>
      </c>
      <c r="U73">
        <v>15</v>
      </c>
      <c r="V73">
        <v>14</v>
      </c>
      <c r="W73">
        <v>14</v>
      </c>
      <c r="X73">
        <v>14</v>
      </c>
      <c r="Y73">
        <v>15</v>
      </c>
      <c r="Z73">
        <v>15</v>
      </c>
      <c r="AA73">
        <v>15</v>
      </c>
      <c r="AB73">
        <v>14</v>
      </c>
      <c r="AC73">
        <v>14</v>
      </c>
      <c r="AD73">
        <v>23</v>
      </c>
      <c r="AE73">
        <v>23</v>
      </c>
      <c r="AF73">
        <v>18</v>
      </c>
      <c r="AG73">
        <v>21</v>
      </c>
      <c r="AH73">
        <v>15</v>
      </c>
      <c r="AI73">
        <v>16</v>
      </c>
      <c r="AJ73">
        <v>22</v>
      </c>
      <c r="AK73">
        <v>18</v>
      </c>
      <c r="AL73">
        <v>191399456</v>
      </c>
      <c r="AM73">
        <v>206419552</v>
      </c>
      <c r="AN73">
        <v>219228672</v>
      </c>
      <c r="AO73">
        <v>212647808</v>
      </c>
      <c r="AP73">
        <v>126855808</v>
      </c>
      <c r="AQ73">
        <v>131060896</v>
      </c>
      <c r="AR73">
        <v>254428544</v>
      </c>
      <c r="AS73">
        <v>159284480</v>
      </c>
      <c r="AT73">
        <v>187884912</v>
      </c>
      <c r="AU73">
        <v>169683136</v>
      </c>
      <c r="AV73">
        <v>191125584</v>
      </c>
      <c r="AW73">
        <v>215567056</v>
      </c>
      <c r="AX73">
        <v>61601072</v>
      </c>
      <c r="AY73">
        <v>69102392</v>
      </c>
      <c r="AZ73">
        <v>154779232</v>
      </c>
      <c r="BA73">
        <v>147608560</v>
      </c>
    </row>
    <row r="74" spans="1:53">
      <c r="A74">
        <v>20078</v>
      </c>
      <c r="B74" t="s">
        <v>364</v>
      </c>
      <c r="D74" t="s">
        <v>364</v>
      </c>
      <c r="E74" t="s">
        <v>365</v>
      </c>
      <c r="F74" t="s">
        <v>366</v>
      </c>
      <c r="G74">
        <v>558.63800000000003</v>
      </c>
      <c r="H74" t="s">
        <v>57</v>
      </c>
      <c r="I74">
        <v>2</v>
      </c>
      <c r="J74">
        <v>1</v>
      </c>
      <c r="K74">
        <v>1</v>
      </c>
      <c r="L74">
        <v>66.94</v>
      </c>
      <c r="M74">
        <v>27714</v>
      </c>
      <c r="N74">
        <v>13</v>
      </c>
      <c r="O74">
        <v>11</v>
      </c>
      <c r="P74">
        <v>11</v>
      </c>
      <c r="Q74">
        <v>12</v>
      </c>
      <c r="R74">
        <v>12</v>
      </c>
      <c r="S74">
        <v>469</v>
      </c>
      <c r="T74">
        <v>469</v>
      </c>
      <c r="U74">
        <v>12</v>
      </c>
      <c r="V74">
        <v>8</v>
      </c>
      <c r="W74">
        <v>9</v>
      </c>
      <c r="X74">
        <v>9</v>
      </c>
      <c r="Y74">
        <v>11</v>
      </c>
      <c r="Z74">
        <v>11</v>
      </c>
      <c r="AA74">
        <v>11</v>
      </c>
      <c r="AB74">
        <v>12</v>
      </c>
      <c r="AC74">
        <v>12</v>
      </c>
      <c r="AD74">
        <v>69</v>
      </c>
      <c r="AE74">
        <v>71</v>
      </c>
      <c r="AF74">
        <v>41</v>
      </c>
      <c r="AG74">
        <v>39</v>
      </c>
      <c r="AH74">
        <v>77</v>
      </c>
      <c r="AI74">
        <v>67</v>
      </c>
      <c r="AJ74">
        <v>43</v>
      </c>
      <c r="AK74">
        <v>62</v>
      </c>
      <c r="AL74">
        <v>460645600</v>
      </c>
      <c r="AM74">
        <v>678849728</v>
      </c>
      <c r="AN74">
        <v>242221440</v>
      </c>
      <c r="AO74">
        <v>271669152</v>
      </c>
      <c r="AP74">
        <v>1554415488</v>
      </c>
      <c r="AQ74">
        <v>1334275072</v>
      </c>
      <c r="AR74">
        <v>457079744</v>
      </c>
      <c r="AS74">
        <v>403346112</v>
      </c>
      <c r="AT74">
        <v>284390336</v>
      </c>
      <c r="AU74">
        <v>371244096</v>
      </c>
      <c r="AV74">
        <v>144580032</v>
      </c>
      <c r="AW74">
        <v>189679680</v>
      </c>
      <c r="AX74">
        <v>752762304</v>
      </c>
      <c r="AY74">
        <v>702680640</v>
      </c>
      <c r="AZ74">
        <v>391209056</v>
      </c>
      <c r="BA74">
        <v>458612832</v>
      </c>
    </row>
    <row r="75" spans="1:53">
      <c r="A75">
        <v>20126</v>
      </c>
      <c r="B75" t="s">
        <v>367</v>
      </c>
      <c r="C75" t="s">
        <v>368</v>
      </c>
      <c r="D75" t="s">
        <v>369</v>
      </c>
      <c r="E75" t="s">
        <v>370</v>
      </c>
      <c r="F75" t="s">
        <v>371</v>
      </c>
      <c r="G75">
        <v>548.88900000000001</v>
      </c>
      <c r="H75" t="s">
        <v>57</v>
      </c>
      <c r="I75">
        <v>2</v>
      </c>
      <c r="J75">
        <v>19</v>
      </c>
      <c r="K75">
        <v>1</v>
      </c>
      <c r="L75">
        <v>81.44</v>
      </c>
      <c r="M75">
        <v>21082</v>
      </c>
      <c r="N75">
        <v>14</v>
      </c>
      <c r="O75">
        <v>14</v>
      </c>
      <c r="P75">
        <v>14</v>
      </c>
      <c r="Q75">
        <v>14</v>
      </c>
      <c r="R75">
        <v>14</v>
      </c>
      <c r="S75">
        <v>380</v>
      </c>
      <c r="T75">
        <v>380</v>
      </c>
      <c r="U75">
        <v>14</v>
      </c>
      <c r="V75">
        <v>12</v>
      </c>
      <c r="W75">
        <v>14</v>
      </c>
      <c r="X75">
        <v>13</v>
      </c>
      <c r="Y75">
        <v>13</v>
      </c>
      <c r="Z75">
        <v>13</v>
      </c>
      <c r="AA75">
        <v>13</v>
      </c>
      <c r="AB75">
        <v>14</v>
      </c>
      <c r="AC75">
        <v>12</v>
      </c>
      <c r="AD75">
        <v>53</v>
      </c>
      <c r="AE75">
        <v>55</v>
      </c>
      <c r="AF75">
        <v>70</v>
      </c>
      <c r="AG75">
        <v>48</v>
      </c>
      <c r="AH75">
        <v>38</v>
      </c>
      <c r="AI75">
        <v>40</v>
      </c>
      <c r="AJ75">
        <v>37</v>
      </c>
      <c r="AK75">
        <v>38</v>
      </c>
      <c r="AL75">
        <v>1235063296</v>
      </c>
      <c r="AM75">
        <v>1588040320</v>
      </c>
      <c r="AN75">
        <v>685770880</v>
      </c>
      <c r="AO75">
        <v>660173312</v>
      </c>
      <c r="AP75">
        <v>638396032</v>
      </c>
      <c r="AQ75">
        <v>712425920</v>
      </c>
      <c r="AR75">
        <v>665305984</v>
      </c>
      <c r="AS75">
        <v>468033280</v>
      </c>
      <c r="AT75">
        <v>1325269632</v>
      </c>
      <c r="AU75">
        <v>1315071872</v>
      </c>
      <c r="AV75">
        <v>597005440</v>
      </c>
      <c r="AW75">
        <v>641541952</v>
      </c>
      <c r="AX75">
        <v>296747040</v>
      </c>
      <c r="AY75">
        <v>346763200</v>
      </c>
      <c r="AZ75">
        <v>391818688</v>
      </c>
      <c r="BA75">
        <v>401432768</v>
      </c>
    </row>
    <row r="76" spans="1:53">
      <c r="A76">
        <v>20228</v>
      </c>
      <c r="B76" t="s">
        <v>372</v>
      </c>
      <c r="C76" t="s">
        <v>324</v>
      </c>
      <c r="D76" t="s">
        <v>372</v>
      </c>
      <c r="F76" t="s">
        <v>373</v>
      </c>
      <c r="G76">
        <v>542.524</v>
      </c>
      <c r="H76" t="s">
        <v>57</v>
      </c>
      <c r="I76">
        <v>2</v>
      </c>
      <c r="J76">
        <v>1</v>
      </c>
      <c r="K76">
        <v>0</v>
      </c>
      <c r="L76">
        <v>40.85</v>
      </c>
      <c r="M76">
        <v>40277</v>
      </c>
      <c r="N76">
        <v>21</v>
      </c>
      <c r="O76">
        <v>13</v>
      </c>
      <c r="P76">
        <v>2</v>
      </c>
      <c r="Q76">
        <v>16</v>
      </c>
      <c r="R76">
        <v>2</v>
      </c>
      <c r="S76">
        <v>242</v>
      </c>
      <c r="T76">
        <v>13</v>
      </c>
      <c r="U76">
        <v>2</v>
      </c>
      <c r="V76">
        <v>1</v>
      </c>
      <c r="W76">
        <v>1</v>
      </c>
      <c r="X76">
        <v>1</v>
      </c>
      <c r="Y76">
        <v>1</v>
      </c>
      <c r="Z76">
        <v>2</v>
      </c>
      <c r="AA76">
        <v>2</v>
      </c>
      <c r="AB76">
        <v>2</v>
      </c>
      <c r="AC76">
        <v>2</v>
      </c>
      <c r="AD76">
        <v>1</v>
      </c>
      <c r="AE76">
        <v>1</v>
      </c>
      <c r="AF76">
        <v>2</v>
      </c>
      <c r="AG76">
        <v>2</v>
      </c>
      <c r="AH76">
        <v>1</v>
      </c>
      <c r="AI76">
        <v>1</v>
      </c>
      <c r="AJ76">
        <v>3</v>
      </c>
      <c r="AK76">
        <v>2</v>
      </c>
      <c r="AL76">
        <v>192935456</v>
      </c>
      <c r="AM76">
        <v>221768960</v>
      </c>
      <c r="AN76">
        <v>366446752</v>
      </c>
      <c r="AO76">
        <v>370738528</v>
      </c>
      <c r="AP76">
        <v>336596992</v>
      </c>
      <c r="AQ76">
        <v>343951616</v>
      </c>
      <c r="AR76">
        <v>427424256</v>
      </c>
      <c r="AS76">
        <v>260765520</v>
      </c>
      <c r="AT76">
        <v>29525620</v>
      </c>
      <c r="AU76">
        <v>21680704</v>
      </c>
      <c r="AV76">
        <v>39574688</v>
      </c>
      <c r="AW76">
        <v>32897502</v>
      </c>
      <c r="AX76">
        <v>15968349</v>
      </c>
      <c r="AY76">
        <v>23164370</v>
      </c>
      <c r="AZ76">
        <v>40996256</v>
      </c>
      <c r="BA76">
        <v>29821804</v>
      </c>
    </row>
    <row r="77" spans="1:53">
      <c r="A77">
        <v>20085</v>
      </c>
      <c r="B77" t="s">
        <v>374</v>
      </c>
      <c r="C77" t="s">
        <v>375</v>
      </c>
      <c r="D77" t="s">
        <v>376</v>
      </c>
      <c r="E77" t="s">
        <v>377</v>
      </c>
      <c r="F77" t="s">
        <v>378</v>
      </c>
      <c r="G77">
        <v>533.28800000000001</v>
      </c>
      <c r="H77" t="s">
        <v>57</v>
      </c>
      <c r="I77">
        <v>2</v>
      </c>
      <c r="J77">
        <v>9</v>
      </c>
      <c r="K77">
        <v>10</v>
      </c>
      <c r="L77">
        <v>70.209999999999994</v>
      </c>
      <c r="M77">
        <v>10693</v>
      </c>
      <c r="N77">
        <v>7</v>
      </c>
      <c r="O77">
        <v>10</v>
      </c>
      <c r="P77">
        <v>10</v>
      </c>
      <c r="Q77">
        <v>12</v>
      </c>
      <c r="R77">
        <v>12</v>
      </c>
      <c r="S77">
        <v>881</v>
      </c>
      <c r="T77">
        <v>881</v>
      </c>
      <c r="U77">
        <v>12</v>
      </c>
      <c r="V77">
        <v>12</v>
      </c>
      <c r="W77">
        <v>9</v>
      </c>
      <c r="X77">
        <v>9</v>
      </c>
      <c r="Y77">
        <v>11</v>
      </c>
      <c r="Z77">
        <v>12</v>
      </c>
      <c r="AA77">
        <v>12</v>
      </c>
      <c r="AB77">
        <v>11</v>
      </c>
      <c r="AC77">
        <v>12</v>
      </c>
      <c r="AD77">
        <v>99</v>
      </c>
      <c r="AE77">
        <v>103</v>
      </c>
      <c r="AF77">
        <v>128</v>
      </c>
      <c r="AG77">
        <v>113</v>
      </c>
      <c r="AH77">
        <v>111</v>
      </c>
      <c r="AI77">
        <v>115</v>
      </c>
      <c r="AJ77">
        <v>95</v>
      </c>
      <c r="AK77">
        <v>117</v>
      </c>
      <c r="AL77">
        <v>467453568</v>
      </c>
      <c r="AM77">
        <v>618883392</v>
      </c>
      <c r="AN77">
        <v>682453888</v>
      </c>
      <c r="AO77">
        <v>581320512</v>
      </c>
      <c r="AP77">
        <v>1241952000</v>
      </c>
      <c r="AQ77">
        <v>1340390656</v>
      </c>
      <c r="AR77">
        <v>1189421312</v>
      </c>
      <c r="AS77">
        <v>873340544</v>
      </c>
      <c r="AT77">
        <v>661338688</v>
      </c>
      <c r="AU77">
        <v>589004416</v>
      </c>
      <c r="AV77">
        <v>594023296</v>
      </c>
      <c r="AW77">
        <v>745455040</v>
      </c>
      <c r="AX77">
        <v>580836352</v>
      </c>
      <c r="AY77">
        <v>790519616</v>
      </c>
      <c r="AZ77">
        <v>752213120</v>
      </c>
      <c r="BA77">
        <v>711310272</v>
      </c>
    </row>
    <row r="78" spans="1:53">
      <c r="A78">
        <v>20096</v>
      </c>
      <c r="B78" t="s">
        <v>379</v>
      </c>
      <c r="C78" t="s">
        <v>380</v>
      </c>
      <c r="D78" t="s">
        <v>381</v>
      </c>
      <c r="F78" t="s">
        <v>382</v>
      </c>
      <c r="G78">
        <v>529.78399999999999</v>
      </c>
      <c r="H78" t="s">
        <v>57</v>
      </c>
      <c r="I78">
        <v>2</v>
      </c>
      <c r="J78">
        <v>21</v>
      </c>
      <c r="K78">
        <v>0</v>
      </c>
      <c r="L78">
        <v>87.18</v>
      </c>
      <c r="M78">
        <v>12769</v>
      </c>
      <c r="N78">
        <v>8</v>
      </c>
      <c r="O78">
        <v>15</v>
      </c>
      <c r="P78">
        <v>15</v>
      </c>
      <c r="Q78">
        <v>15</v>
      </c>
      <c r="R78">
        <v>15</v>
      </c>
      <c r="S78">
        <v>523</v>
      </c>
      <c r="T78">
        <v>523</v>
      </c>
      <c r="U78">
        <v>15</v>
      </c>
      <c r="V78">
        <v>13</v>
      </c>
      <c r="W78">
        <v>14</v>
      </c>
      <c r="X78">
        <v>15</v>
      </c>
      <c r="Y78">
        <v>13</v>
      </c>
      <c r="Z78">
        <v>14</v>
      </c>
      <c r="AA78">
        <v>14</v>
      </c>
      <c r="AB78">
        <v>14</v>
      </c>
      <c r="AC78">
        <v>14</v>
      </c>
      <c r="AD78">
        <v>81</v>
      </c>
      <c r="AE78">
        <v>85</v>
      </c>
      <c r="AF78">
        <v>93</v>
      </c>
      <c r="AG78">
        <v>48</v>
      </c>
      <c r="AH78">
        <v>61</v>
      </c>
      <c r="AI78">
        <v>53</v>
      </c>
      <c r="AJ78">
        <v>44</v>
      </c>
      <c r="AK78">
        <v>58</v>
      </c>
      <c r="AL78">
        <v>591740160</v>
      </c>
      <c r="AM78">
        <v>898070080</v>
      </c>
      <c r="AN78">
        <v>774051584</v>
      </c>
      <c r="AO78">
        <v>452140736</v>
      </c>
      <c r="AP78">
        <v>1327900160</v>
      </c>
      <c r="AQ78">
        <v>1268600576</v>
      </c>
      <c r="AR78">
        <v>750231168</v>
      </c>
      <c r="AS78">
        <v>714720576</v>
      </c>
      <c r="AT78">
        <v>450583808</v>
      </c>
      <c r="AU78">
        <v>666447488</v>
      </c>
      <c r="AV78">
        <v>646486848</v>
      </c>
      <c r="AW78">
        <v>257497536</v>
      </c>
      <c r="AX78">
        <v>727511744</v>
      </c>
      <c r="AY78">
        <v>725138176</v>
      </c>
      <c r="AZ78">
        <v>511018848</v>
      </c>
      <c r="BA78">
        <v>387668160</v>
      </c>
    </row>
    <row r="79" spans="1:53">
      <c r="A79">
        <v>20176</v>
      </c>
      <c r="B79" t="s">
        <v>383</v>
      </c>
      <c r="C79" t="s">
        <v>384</v>
      </c>
      <c r="D79" t="s">
        <v>385</v>
      </c>
      <c r="F79" t="s">
        <v>386</v>
      </c>
      <c r="G79">
        <v>500.279</v>
      </c>
      <c r="H79" t="s">
        <v>57</v>
      </c>
      <c r="I79">
        <v>2</v>
      </c>
      <c r="J79">
        <v>2</v>
      </c>
      <c r="K79">
        <v>0</v>
      </c>
      <c r="L79">
        <v>41.19</v>
      </c>
      <c r="M79">
        <v>43110</v>
      </c>
      <c r="N79">
        <v>21</v>
      </c>
      <c r="O79">
        <v>15</v>
      </c>
      <c r="P79">
        <v>15</v>
      </c>
      <c r="Q79">
        <v>15</v>
      </c>
      <c r="R79">
        <v>15</v>
      </c>
      <c r="S79">
        <v>134</v>
      </c>
      <c r="T79">
        <v>134</v>
      </c>
      <c r="U79">
        <v>15</v>
      </c>
      <c r="V79">
        <v>8</v>
      </c>
      <c r="W79">
        <v>14</v>
      </c>
      <c r="X79">
        <v>15</v>
      </c>
      <c r="Y79">
        <v>15</v>
      </c>
      <c r="Z79">
        <v>14</v>
      </c>
      <c r="AA79">
        <v>15</v>
      </c>
      <c r="AB79">
        <v>15</v>
      </c>
      <c r="AC79">
        <v>15</v>
      </c>
      <c r="AD79">
        <v>7</v>
      </c>
      <c r="AE79">
        <v>13</v>
      </c>
      <c r="AF79">
        <v>22</v>
      </c>
      <c r="AG79">
        <v>22</v>
      </c>
      <c r="AH79">
        <v>17</v>
      </c>
      <c r="AI79">
        <v>14</v>
      </c>
      <c r="AJ79">
        <v>21</v>
      </c>
      <c r="AK79">
        <v>18</v>
      </c>
      <c r="AL79">
        <v>53949004</v>
      </c>
      <c r="AM79">
        <v>59704656</v>
      </c>
      <c r="AN79">
        <v>123003896</v>
      </c>
      <c r="AO79">
        <v>112520832</v>
      </c>
      <c r="AP79">
        <v>148432032</v>
      </c>
      <c r="AQ79">
        <v>157035488</v>
      </c>
      <c r="AR79">
        <v>143182560</v>
      </c>
      <c r="AS79">
        <v>93205800</v>
      </c>
      <c r="AT79">
        <v>14276073</v>
      </c>
      <c r="AU79">
        <v>48009112</v>
      </c>
      <c r="AV79">
        <v>98726072</v>
      </c>
      <c r="AW79">
        <v>112288752</v>
      </c>
      <c r="AX79">
        <v>61374420</v>
      </c>
      <c r="AY79">
        <v>88164920</v>
      </c>
      <c r="AZ79">
        <v>91726976</v>
      </c>
      <c r="BA79">
        <v>87630760</v>
      </c>
    </row>
    <row r="80" spans="1:53">
      <c r="A80">
        <v>20053</v>
      </c>
      <c r="B80" t="s">
        <v>387</v>
      </c>
      <c r="C80" t="s">
        <v>388</v>
      </c>
      <c r="D80" t="s">
        <v>389</v>
      </c>
      <c r="E80" t="s">
        <v>390</v>
      </c>
      <c r="F80" t="s">
        <v>391</v>
      </c>
      <c r="G80">
        <v>488.82499999999999</v>
      </c>
      <c r="H80" t="s">
        <v>57</v>
      </c>
      <c r="I80">
        <v>2</v>
      </c>
      <c r="J80">
        <v>15</v>
      </c>
      <c r="K80">
        <v>6</v>
      </c>
      <c r="L80">
        <v>46.78</v>
      </c>
      <c r="M80">
        <v>51559</v>
      </c>
      <c r="N80">
        <v>27</v>
      </c>
      <c r="O80">
        <v>14</v>
      </c>
      <c r="P80">
        <v>14</v>
      </c>
      <c r="Q80">
        <v>14</v>
      </c>
      <c r="R80">
        <v>14</v>
      </c>
      <c r="S80">
        <v>77</v>
      </c>
      <c r="T80">
        <v>77</v>
      </c>
      <c r="U80">
        <v>14</v>
      </c>
      <c r="V80">
        <v>9</v>
      </c>
      <c r="W80">
        <v>10</v>
      </c>
      <c r="X80">
        <v>11</v>
      </c>
      <c r="Y80">
        <v>14</v>
      </c>
      <c r="Z80">
        <v>14</v>
      </c>
      <c r="AA80">
        <v>14</v>
      </c>
      <c r="AB80">
        <v>14</v>
      </c>
      <c r="AC80">
        <v>14</v>
      </c>
      <c r="AD80">
        <v>3</v>
      </c>
      <c r="AE80">
        <v>4</v>
      </c>
      <c r="AF80">
        <v>9</v>
      </c>
      <c r="AG80">
        <v>17</v>
      </c>
      <c r="AH80">
        <v>8</v>
      </c>
      <c r="AI80">
        <v>8</v>
      </c>
      <c r="AJ80">
        <v>17</v>
      </c>
      <c r="AK80">
        <v>11</v>
      </c>
      <c r="AL80">
        <v>24137116</v>
      </c>
      <c r="AM80">
        <v>30087926</v>
      </c>
      <c r="AN80">
        <v>55162984</v>
      </c>
      <c r="AO80">
        <v>55637560</v>
      </c>
      <c r="AP80">
        <v>71182336</v>
      </c>
      <c r="AQ80">
        <v>71743184</v>
      </c>
      <c r="AR80">
        <v>82303896</v>
      </c>
      <c r="AS80">
        <v>55196668</v>
      </c>
      <c r="AT80">
        <v>14258093</v>
      </c>
      <c r="AU80">
        <v>24124366</v>
      </c>
      <c r="AV80">
        <v>43266204</v>
      </c>
      <c r="AW80">
        <v>54827332</v>
      </c>
      <c r="AX80">
        <v>33681756</v>
      </c>
      <c r="AY80">
        <v>36924992</v>
      </c>
      <c r="AZ80">
        <v>52247224</v>
      </c>
      <c r="BA80">
        <v>53632420</v>
      </c>
    </row>
    <row r="81" spans="1:53">
      <c r="A81">
        <v>20025</v>
      </c>
      <c r="B81" t="s">
        <v>392</v>
      </c>
      <c r="C81" t="s">
        <v>393</v>
      </c>
      <c r="D81" t="s">
        <v>394</v>
      </c>
      <c r="F81" t="s">
        <v>395</v>
      </c>
      <c r="G81">
        <v>484.34800000000001</v>
      </c>
      <c r="H81" t="s">
        <v>57</v>
      </c>
      <c r="I81">
        <v>2</v>
      </c>
      <c r="J81">
        <v>3</v>
      </c>
      <c r="K81">
        <v>0</v>
      </c>
      <c r="L81">
        <v>24.65</v>
      </c>
      <c r="M81">
        <v>105060</v>
      </c>
      <c r="N81">
        <v>51</v>
      </c>
      <c r="O81">
        <v>18</v>
      </c>
      <c r="P81">
        <v>18</v>
      </c>
      <c r="Q81">
        <v>18</v>
      </c>
      <c r="R81">
        <v>18</v>
      </c>
      <c r="S81">
        <v>68</v>
      </c>
      <c r="T81">
        <v>68</v>
      </c>
      <c r="U81">
        <v>18</v>
      </c>
      <c r="V81">
        <v>8</v>
      </c>
      <c r="W81">
        <v>13</v>
      </c>
      <c r="X81">
        <v>17</v>
      </c>
      <c r="Y81">
        <v>17</v>
      </c>
      <c r="Z81">
        <v>18</v>
      </c>
      <c r="AA81">
        <v>18</v>
      </c>
      <c r="AB81">
        <v>18</v>
      </c>
      <c r="AC81">
        <v>18</v>
      </c>
      <c r="AD81">
        <v>2</v>
      </c>
      <c r="AE81">
        <v>2</v>
      </c>
      <c r="AF81">
        <v>10</v>
      </c>
      <c r="AG81">
        <v>9</v>
      </c>
      <c r="AH81">
        <v>11</v>
      </c>
      <c r="AI81">
        <v>10</v>
      </c>
      <c r="AJ81">
        <v>13</v>
      </c>
      <c r="AK81">
        <v>11</v>
      </c>
      <c r="AL81">
        <v>8032933</v>
      </c>
      <c r="AM81">
        <v>13518410</v>
      </c>
      <c r="AN81">
        <v>27554024</v>
      </c>
      <c r="AO81">
        <v>23748672</v>
      </c>
      <c r="AP81">
        <v>33955224</v>
      </c>
      <c r="AQ81">
        <v>34869684</v>
      </c>
      <c r="AR81">
        <v>38851344</v>
      </c>
      <c r="AS81">
        <v>23482966</v>
      </c>
      <c r="AT81">
        <v>1027757.44</v>
      </c>
      <c r="AU81">
        <v>8882716</v>
      </c>
      <c r="AV81">
        <v>22954322</v>
      </c>
      <c r="AW81">
        <v>22498836</v>
      </c>
      <c r="AX81">
        <v>15831409</v>
      </c>
      <c r="AY81">
        <v>17100352</v>
      </c>
      <c r="AZ81">
        <v>22614964</v>
      </c>
      <c r="BA81">
        <v>19771512</v>
      </c>
    </row>
    <row r="82" spans="1:53">
      <c r="A82">
        <v>19967</v>
      </c>
      <c r="B82" t="s">
        <v>396</v>
      </c>
      <c r="C82" t="s">
        <v>397</v>
      </c>
      <c r="D82" t="s">
        <v>398</v>
      </c>
      <c r="F82" t="s">
        <v>399</v>
      </c>
      <c r="G82">
        <v>469.08199999999999</v>
      </c>
      <c r="H82" t="s">
        <v>57</v>
      </c>
      <c r="I82">
        <v>2</v>
      </c>
      <c r="J82">
        <v>21</v>
      </c>
      <c r="K82">
        <v>0</v>
      </c>
      <c r="L82">
        <v>75.38</v>
      </c>
      <c r="M82">
        <v>14856</v>
      </c>
      <c r="N82">
        <v>8</v>
      </c>
      <c r="O82">
        <v>16</v>
      </c>
      <c r="P82">
        <v>16</v>
      </c>
      <c r="Q82">
        <v>18</v>
      </c>
      <c r="R82">
        <v>18</v>
      </c>
      <c r="S82">
        <v>968</v>
      </c>
      <c r="T82">
        <v>968</v>
      </c>
      <c r="U82">
        <v>18</v>
      </c>
      <c r="V82">
        <v>13</v>
      </c>
      <c r="W82">
        <v>14</v>
      </c>
      <c r="X82">
        <v>16</v>
      </c>
      <c r="Y82">
        <v>16</v>
      </c>
      <c r="Z82">
        <v>15</v>
      </c>
      <c r="AA82">
        <v>16</v>
      </c>
      <c r="AB82">
        <v>16</v>
      </c>
      <c r="AC82">
        <v>15</v>
      </c>
      <c r="AD82">
        <v>130</v>
      </c>
      <c r="AE82">
        <v>116</v>
      </c>
      <c r="AF82">
        <v>136</v>
      </c>
      <c r="AG82">
        <v>119</v>
      </c>
      <c r="AH82">
        <v>139</v>
      </c>
      <c r="AI82">
        <v>126</v>
      </c>
      <c r="AJ82">
        <v>96</v>
      </c>
      <c r="AK82">
        <v>106</v>
      </c>
      <c r="AL82">
        <v>7093572608</v>
      </c>
      <c r="AM82">
        <v>7468241920</v>
      </c>
      <c r="AN82">
        <v>6219577344</v>
      </c>
      <c r="AO82">
        <v>5650538496</v>
      </c>
      <c r="AP82">
        <v>9657040896</v>
      </c>
      <c r="AQ82">
        <v>8697819136</v>
      </c>
      <c r="AR82">
        <v>5897227264</v>
      </c>
      <c r="AS82">
        <v>4595175936</v>
      </c>
      <c r="AT82">
        <v>4373073408</v>
      </c>
      <c r="AU82">
        <v>4931235840</v>
      </c>
      <c r="AV82">
        <v>4872453632</v>
      </c>
      <c r="AW82">
        <v>5667603456</v>
      </c>
      <c r="AX82">
        <v>4467407872</v>
      </c>
      <c r="AY82">
        <v>4981185536</v>
      </c>
      <c r="AZ82">
        <v>3816803328</v>
      </c>
      <c r="BA82">
        <v>3389443840</v>
      </c>
    </row>
    <row r="83" spans="1:53">
      <c r="A83">
        <v>20044</v>
      </c>
      <c r="B83" t="s">
        <v>400</v>
      </c>
      <c r="C83" t="s">
        <v>401</v>
      </c>
      <c r="D83" t="s">
        <v>402</v>
      </c>
      <c r="F83" t="s">
        <v>403</v>
      </c>
      <c r="G83">
        <v>465.673</v>
      </c>
      <c r="H83" t="s">
        <v>57</v>
      </c>
      <c r="I83">
        <v>2</v>
      </c>
      <c r="J83">
        <v>21</v>
      </c>
      <c r="K83">
        <v>0</v>
      </c>
      <c r="L83">
        <v>80.989999999999995</v>
      </c>
      <c r="M83">
        <v>16018</v>
      </c>
      <c r="N83">
        <v>8</v>
      </c>
      <c r="O83">
        <v>14</v>
      </c>
      <c r="P83">
        <v>14</v>
      </c>
      <c r="Q83">
        <v>15</v>
      </c>
      <c r="R83">
        <v>15</v>
      </c>
      <c r="S83">
        <v>286</v>
      </c>
      <c r="T83">
        <v>286</v>
      </c>
      <c r="U83">
        <v>15</v>
      </c>
      <c r="V83">
        <v>10</v>
      </c>
      <c r="W83">
        <v>12</v>
      </c>
      <c r="X83">
        <v>14</v>
      </c>
      <c r="Y83">
        <v>12</v>
      </c>
      <c r="Z83">
        <v>14</v>
      </c>
      <c r="AA83">
        <v>14</v>
      </c>
      <c r="AB83">
        <v>13</v>
      </c>
      <c r="AC83">
        <v>13</v>
      </c>
      <c r="AD83">
        <v>39</v>
      </c>
      <c r="AE83">
        <v>40</v>
      </c>
      <c r="AF83">
        <v>36</v>
      </c>
      <c r="AG83">
        <v>28</v>
      </c>
      <c r="AH83">
        <v>28</v>
      </c>
      <c r="AI83">
        <v>29</v>
      </c>
      <c r="AJ83">
        <v>30</v>
      </c>
      <c r="AK83">
        <v>56</v>
      </c>
      <c r="AL83">
        <v>486568864</v>
      </c>
      <c r="AM83">
        <v>702782592</v>
      </c>
      <c r="AN83">
        <v>311698880</v>
      </c>
      <c r="AO83">
        <v>257456528</v>
      </c>
      <c r="AP83">
        <v>763546048</v>
      </c>
      <c r="AQ83">
        <v>763064640</v>
      </c>
      <c r="AR83">
        <v>358371456</v>
      </c>
      <c r="AS83">
        <v>603398144</v>
      </c>
      <c r="AT83">
        <v>330565760</v>
      </c>
      <c r="AU83">
        <v>478701792</v>
      </c>
      <c r="AV83">
        <v>283923840</v>
      </c>
      <c r="AW83">
        <v>274324544</v>
      </c>
      <c r="AX83">
        <v>387574464</v>
      </c>
      <c r="AY83">
        <v>429386592</v>
      </c>
      <c r="AZ83">
        <v>247810592</v>
      </c>
      <c r="BA83">
        <v>548967232</v>
      </c>
    </row>
    <row r="84" spans="1:53">
      <c r="A84">
        <v>20090</v>
      </c>
      <c r="B84" t="s">
        <v>404</v>
      </c>
      <c r="C84" t="s">
        <v>405</v>
      </c>
      <c r="D84" t="s">
        <v>406</v>
      </c>
      <c r="F84" t="s">
        <v>407</v>
      </c>
      <c r="G84">
        <v>435.94600000000003</v>
      </c>
      <c r="H84" t="s">
        <v>57</v>
      </c>
      <c r="I84">
        <v>2</v>
      </c>
      <c r="J84">
        <v>20</v>
      </c>
      <c r="K84">
        <v>0</v>
      </c>
      <c r="L84">
        <v>50.57</v>
      </c>
      <c r="M84">
        <v>9684</v>
      </c>
      <c r="N84">
        <v>4</v>
      </c>
      <c r="O84">
        <v>10</v>
      </c>
      <c r="P84">
        <v>10</v>
      </c>
      <c r="Q84">
        <v>11</v>
      </c>
      <c r="R84">
        <v>11</v>
      </c>
      <c r="S84">
        <v>830</v>
      </c>
      <c r="T84">
        <v>830</v>
      </c>
      <c r="U84">
        <v>11</v>
      </c>
      <c r="V84">
        <v>9</v>
      </c>
      <c r="W84">
        <v>9</v>
      </c>
      <c r="X84">
        <v>9</v>
      </c>
      <c r="Y84">
        <v>10</v>
      </c>
      <c r="Z84">
        <v>10</v>
      </c>
      <c r="AA84">
        <v>11</v>
      </c>
      <c r="AB84">
        <v>11</v>
      </c>
      <c r="AC84">
        <v>9</v>
      </c>
      <c r="AD84">
        <v>141</v>
      </c>
      <c r="AE84">
        <v>136</v>
      </c>
      <c r="AF84">
        <v>48</v>
      </c>
      <c r="AG84">
        <v>69</v>
      </c>
      <c r="AH84">
        <v>158</v>
      </c>
      <c r="AI84">
        <v>127</v>
      </c>
      <c r="AJ84">
        <v>52</v>
      </c>
      <c r="AK84">
        <v>98</v>
      </c>
      <c r="AL84">
        <v>2534528000</v>
      </c>
      <c r="AM84">
        <v>3140916224</v>
      </c>
      <c r="AN84">
        <v>757045504</v>
      </c>
      <c r="AO84">
        <v>991432384</v>
      </c>
      <c r="AP84">
        <v>2976256256</v>
      </c>
      <c r="AQ84">
        <v>2773338112</v>
      </c>
      <c r="AR84">
        <v>900335552</v>
      </c>
      <c r="AS84">
        <v>1376781312</v>
      </c>
      <c r="AT84">
        <v>1730709504</v>
      </c>
      <c r="AU84">
        <v>1328628608</v>
      </c>
      <c r="AV84">
        <v>551839168</v>
      </c>
      <c r="AW84">
        <v>869402432</v>
      </c>
      <c r="AX84">
        <v>1913682048</v>
      </c>
      <c r="AY84">
        <v>1793014784</v>
      </c>
      <c r="AZ84">
        <v>839552704</v>
      </c>
      <c r="BA84">
        <v>1111224064</v>
      </c>
    </row>
    <row r="85" spans="1:53">
      <c r="A85">
        <v>20010</v>
      </c>
      <c r="B85" t="s">
        <v>408</v>
      </c>
      <c r="C85" t="s">
        <v>409</v>
      </c>
      <c r="D85" t="s">
        <v>410</v>
      </c>
      <c r="F85" t="s">
        <v>411</v>
      </c>
      <c r="G85">
        <v>434.77499999999998</v>
      </c>
      <c r="H85" t="s">
        <v>57</v>
      </c>
      <c r="I85">
        <v>2</v>
      </c>
      <c r="J85">
        <v>21</v>
      </c>
      <c r="K85">
        <v>0</v>
      </c>
      <c r="L85">
        <v>76.14</v>
      </c>
      <c r="M85">
        <v>10234</v>
      </c>
      <c r="N85">
        <v>7</v>
      </c>
      <c r="O85">
        <v>7</v>
      </c>
      <c r="P85">
        <v>7</v>
      </c>
      <c r="Q85">
        <v>9</v>
      </c>
      <c r="R85">
        <v>9</v>
      </c>
      <c r="S85">
        <v>706</v>
      </c>
      <c r="T85">
        <v>706</v>
      </c>
      <c r="U85">
        <v>9</v>
      </c>
      <c r="V85">
        <v>9</v>
      </c>
      <c r="W85">
        <v>8</v>
      </c>
      <c r="X85">
        <v>9</v>
      </c>
      <c r="Y85">
        <v>9</v>
      </c>
      <c r="Z85">
        <v>9</v>
      </c>
      <c r="AA85">
        <v>9</v>
      </c>
      <c r="AB85">
        <v>9</v>
      </c>
      <c r="AC85">
        <v>9</v>
      </c>
      <c r="AD85">
        <v>105</v>
      </c>
      <c r="AE85">
        <v>89</v>
      </c>
      <c r="AF85">
        <v>82</v>
      </c>
      <c r="AG85">
        <v>58</v>
      </c>
      <c r="AH85">
        <v>108</v>
      </c>
      <c r="AI85">
        <v>99</v>
      </c>
      <c r="AJ85">
        <v>74</v>
      </c>
      <c r="AK85">
        <v>91</v>
      </c>
      <c r="AL85">
        <v>508145792</v>
      </c>
      <c r="AM85">
        <v>722618880</v>
      </c>
      <c r="AN85">
        <v>688815552</v>
      </c>
      <c r="AO85">
        <v>544619392</v>
      </c>
      <c r="AP85">
        <v>1328345856</v>
      </c>
      <c r="AQ85">
        <v>1169685376</v>
      </c>
      <c r="AR85">
        <v>1375498752</v>
      </c>
      <c r="AS85">
        <v>802876352</v>
      </c>
      <c r="AT85">
        <v>682695104</v>
      </c>
      <c r="AU85">
        <v>824711360</v>
      </c>
      <c r="AV85">
        <v>689388672</v>
      </c>
      <c r="AW85">
        <v>673372224</v>
      </c>
      <c r="AX85">
        <v>781237568</v>
      </c>
      <c r="AY85">
        <v>787860352</v>
      </c>
      <c r="AZ85">
        <v>985203776</v>
      </c>
      <c r="BA85">
        <v>873574784</v>
      </c>
    </row>
    <row r="86" spans="1:53">
      <c r="A86">
        <v>20200</v>
      </c>
      <c r="B86" t="s">
        <v>412</v>
      </c>
      <c r="C86" t="s">
        <v>413</v>
      </c>
      <c r="D86" t="s">
        <v>414</v>
      </c>
      <c r="F86" t="s">
        <v>415</v>
      </c>
      <c r="G86">
        <v>432.70299999999997</v>
      </c>
      <c r="H86" t="s">
        <v>57</v>
      </c>
      <c r="I86">
        <v>2</v>
      </c>
      <c r="J86">
        <v>7</v>
      </c>
      <c r="K86">
        <v>0</v>
      </c>
      <c r="L86">
        <v>75</v>
      </c>
      <c r="M86">
        <v>8249</v>
      </c>
      <c r="N86">
        <v>4</v>
      </c>
      <c r="O86">
        <v>4</v>
      </c>
      <c r="P86">
        <v>4</v>
      </c>
      <c r="Q86">
        <v>6</v>
      </c>
      <c r="R86">
        <v>6</v>
      </c>
      <c r="S86">
        <v>220</v>
      </c>
      <c r="T86">
        <v>220</v>
      </c>
      <c r="U86">
        <v>6</v>
      </c>
      <c r="V86">
        <v>5</v>
      </c>
      <c r="W86">
        <v>6</v>
      </c>
      <c r="X86">
        <v>5</v>
      </c>
      <c r="Y86">
        <v>5</v>
      </c>
      <c r="Z86">
        <v>6</v>
      </c>
      <c r="AA86">
        <v>6</v>
      </c>
      <c r="AB86">
        <v>4</v>
      </c>
      <c r="AC86">
        <v>5</v>
      </c>
      <c r="AD86">
        <v>50</v>
      </c>
      <c r="AE86">
        <v>43</v>
      </c>
      <c r="AF86">
        <v>22</v>
      </c>
      <c r="AG86">
        <v>18</v>
      </c>
      <c r="AH86">
        <v>28</v>
      </c>
      <c r="AI86">
        <v>27</v>
      </c>
      <c r="AJ86">
        <v>14</v>
      </c>
      <c r="AK86">
        <v>18</v>
      </c>
      <c r="AL86">
        <v>325564896</v>
      </c>
      <c r="AM86">
        <v>404661472</v>
      </c>
      <c r="AN86">
        <v>117835352</v>
      </c>
      <c r="AO86">
        <v>114713280</v>
      </c>
      <c r="AP86">
        <v>504122656</v>
      </c>
      <c r="AQ86">
        <v>536534400</v>
      </c>
      <c r="AR86">
        <v>163878048</v>
      </c>
      <c r="AS86">
        <v>128260624</v>
      </c>
      <c r="AT86">
        <v>343979008</v>
      </c>
      <c r="AU86">
        <v>320137216</v>
      </c>
      <c r="AV86">
        <v>96733296</v>
      </c>
      <c r="AW86">
        <v>86356120</v>
      </c>
      <c r="AX86">
        <v>275443232</v>
      </c>
      <c r="AY86">
        <v>309719744</v>
      </c>
      <c r="AZ86">
        <v>139293968</v>
      </c>
      <c r="BA86">
        <v>164785792</v>
      </c>
    </row>
    <row r="87" spans="1:53">
      <c r="A87">
        <v>20119</v>
      </c>
      <c r="B87" t="s">
        <v>416</v>
      </c>
      <c r="C87" t="s">
        <v>417</v>
      </c>
      <c r="D87" t="s">
        <v>416</v>
      </c>
      <c r="E87" t="s">
        <v>418</v>
      </c>
      <c r="F87" t="s">
        <v>419</v>
      </c>
      <c r="G87">
        <v>428.27600000000001</v>
      </c>
      <c r="H87" t="s">
        <v>57</v>
      </c>
      <c r="I87">
        <v>2</v>
      </c>
      <c r="J87">
        <v>1</v>
      </c>
      <c r="K87">
        <v>7</v>
      </c>
      <c r="L87">
        <v>24.53</v>
      </c>
      <c r="M87">
        <v>66037</v>
      </c>
      <c r="N87">
        <v>35</v>
      </c>
      <c r="O87">
        <v>16</v>
      </c>
      <c r="P87">
        <v>14</v>
      </c>
      <c r="Q87">
        <v>16</v>
      </c>
      <c r="R87">
        <v>14</v>
      </c>
      <c r="S87">
        <v>36</v>
      </c>
      <c r="T87">
        <v>30</v>
      </c>
      <c r="U87">
        <v>13</v>
      </c>
      <c r="V87">
        <v>9</v>
      </c>
      <c r="W87">
        <v>4</v>
      </c>
      <c r="X87">
        <v>13</v>
      </c>
      <c r="Y87">
        <v>4</v>
      </c>
      <c r="Z87">
        <v>1</v>
      </c>
      <c r="AA87">
        <v>5</v>
      </c>
      <c r="AB87">
        <v>7</v>
      </c>
      <c r="AC87">
        <v>10</v>
      </c>
      <c r="AD87">
        <v>4</v>
      </c>
      <c r="AE87">
        <v>0</v>
      </c>
      <c r="AF87">
        <v>24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23957706</v>
      </c>
      <c r="AM87">
        <v>1700010.12</v>
      </c>
      <c r="AN87">
        <v>126481272</v>
      </c>
      <c r="AO87">
        <v>1479149.75</v>
      </c>
      <c r="AP87">
        <v>1222742.6200000001</v>
      </c>
      <c r="AQ87">
        <v>3645866.25</v>
      </c>
      <c r="AR87">
        <v>18329054</v>
      </c>
      <c r="AS87">
        <v>10393239</v>
      </c>
      <c r="AT87">
        <v>13002566</v>
      </c>
      <c r="AU87">
        <v>94776.45</v>
      </c>
      <c r="AV87">
        <v>89376832</v>
      </c>
      <c r="AW87">
        <v>126241.93</v>
      </c>
      <c r="AX87">
        <v>9354.23</v>
      </c>
      <c r="AY87">
        <v>190151.25</v>
      </c>
      <c r="AZ87">
        <v>1490181.1200000001</v>
      </c>
      <c r="BA87">
        <v>7060920</v>
      </c>
    </row>
    <row r="88" spans="1:53">
      <c r="A88">
        <v>20233</v>
      </c>
      <c r="B88" t="s">
        <v>420</v>
      </c>
      <c r="C88" t="s">
        <v>421</v>
      </c>
      <c r="D88" t="s">
        <v>422</v>
      </c>
      <c r="E88" t="s">
        <v>423</v>
      </c>
      <c r="F88" t="s">
        <v>424</v>
      </c>
      <c r="G88">
        <v>424.55900000000003</v>
      </c>
      <c r="H88" t="s">
        <v>57</v>
      </c>
      <c r="I88">
        <v>2</v>
      </c>
      <c r="J88">
        <v>2</v>
      </c>
      <c r="K88">
        <v>1</v>
      </c>
      <c r="L88">
        <v>30.57</v>
      </c>
      <c r="M88">
        <v>38009</v>
      </c>
      <c r="N88">
        <v>19</v>
      </c>
      <c r="O88">
        <v>7</v>
      </c>
      <c r="P88">
        <v>7</v>
      </c>
      <c r="Q88">
        <v>7</v>
      </c>
      <c r="R88">
        <v>7</v>
      </c>
      <c r="S88">
        <v>95</v>
      </c>
      <c r="T88">
        <v>95</v>
      </c>
      <c r="U88">
        <v>7</v>
      </c>
      <c r="V88">
        <v>6</v>
      </c>
      <c r="W88">
        <v>6</v>
      </c>
      <c r="X88">
        <v>7</v>
      </c>
      <c r="Y88">
        <v>7</v>
      </c>
      <c r="Z88">
        <v>7</v>
      </c>
      <c r="AA88">
        <v>7</v>
      </c>
      <c r="AB88">
        <v>7</v>
      </c>
      <c r="AC88">
        <v>7</v>
      </c>
      <c r="AD88">
        <v>7</v>
      </c>
      <c r="AE88">
        <v>8</v>
      </c>
      <c r="AF88">
        <v>17</v>
      </c>
      <c r="AG88">
        <v>13</v>
      </c>
      <c r="AH88">
        <v>10</v>
      </c>
      <c r="AI88">
        <v>11</v>
      </c>
      <c r="AJ88">
        <v>14</v>
      </c>
      <c r="AK88">
        <v>15</v>
      </c>
      <c r="AL88">
        <v>51117696</v>
      </c>
      <c r="AM88">
        <v>59887856</v>
      </c>
      <c r="AN88">
        <v>121139608</v>
      </c>
      <c r="AO88">
        <v>114226720</v>
      </c>
      <c r="AP88">
        <v>160365536</v>
      </c>
      <c r="AQ88">
        <v>174278064</v>
      </c>
      <c r="AR88">
        <v>167353456</v>
      </c>
      <c r="AS88">
        <v>111595792</v>
      </c>
      <c r="AT88">
        <v>47958408</v>
      </c>
      <c r="AU88">
        <v>48005448</v>
      </c>
      <c r="AV88">
        <v>96366648</v>
      </c>
      <c r="AW88">
        <v>103702736</v>
      </c>
      <c r="AX88">
        <v>67849304</v>
      </c>
      <c r="AY88">
        <v>76605648</v>
      </c>
      <c r="AZ88">
        <v>101683864</v>
      </c>
      <c r="BA88">
        <v>107210192</v>
      </c>
    </row>
    <row r="89" spans="1:53">
      <c r="A89">
        <v>20146</v>
      </c>
      <c r="B89" t="s">
        <v>425</v>
      </c>
      <c r="C89" t="s">
        <v>426</v>
      </c>
      <c r="D89" t="s">
        <v>427</v>
      </c>
      <c r="F89" t="s">
        <v>428</v>
      </c>
      <c r="G89">
        <v>424.10599999999999</v>
      </c>
      <c r="H89" t="s">
        <v>57</v>
      </c>
      <c r="I89">
        <v>2</v>
      </c>
      <c r="J89">
        <v>21</v>
      </c>
      <c r="K89">
        <v>0</v>
      </c>
      <c r="L89">
        <v>52.71</v>
      </c>
      <c r="M89">
        <v>13844</v>
      </c>
      <c r="N89">
        <v>8</v>
      </c>
      <c r="O89">
        <v>7</v>
      </c>
      <c r="P89">
        <v>7</v>
      </c>
      <c r="Q89">
        <v>8</v>
      </c>
      <c r="R89">
        <v>8</v>
      </c>
      <c r="S89">
        <v>960</v>
      </c>
      <c r="T89">
        <v>960</v>
      </c>
      <c r="U89">
        <v>8</v>
      </c>
      <c r="V89">
        <v>6</v>
      </c>
      <c r="W89">
        <v>8</v>
      </c>
      <c r="X89">
        <v>8</v>
      </c>
      <c r="Y89">
        <v>8</v>
      </c>
      <c r="Z89">
        <v>8</v>
      </c>
      <c r="AA89">
        <v>8</v>
      </c>
      <c r="AB89">
        <v>8</v>
      </c>
      <c r="AC89">
        <v>8</v>
      </c>
      <c r="AD89">
        <v>43</v>
      </c>
      <c r="AE89">
        <v>55</v>
      </c>
      <c r="AF89">
        <v>85</v>
      </c>
      <c r="AG89">
        <v>105</v>
      </c>
      <c r="AH89">
        <v>137</v>
      </c>
      <c r="AI89">
        <v>156</v>
      </c>
      <c r="AJ89">
        <v>208</v>
      </c>
      <c r="AK89">
        <v>171</v>
      </c>
      <c r="AL89">
        <v>4193289728</v>
      </c>
      <c r="AM89">
        <v>4699016192</v>
      </c>
      <c r="AN89">
        <v>4616720896</v>
      </c>
      <c r="AO89">
        <v>4348672000</v>
      </c>
      <c r="AP89">
        <v>7255373824</v>
      </c>
      <c r="AQ89">
        <v>6385309184</v>
      </c>
      <c r="AR89">
        <v>4332526592</v>
      </c>
      <c r="AS89">
        <v>3187996928</v>
      </c>
      <c r="AT89">
        <v>2646715136</v>
      </c>
      <c r="AU89">
        <v>2500477952</v>
      </c>
      <c r="AV89">
        <v>2960327168</v>
      </c>
      <c r="AW89">
        <v>3878685440</v>
      </c>
      <c r="AX89">
        <v>3840947200</v>
      </c>
      <c r="AY89">
        <v>3893894144</v>
      </c>
      <c r="AZ89">
        <v>3033917696</v>
      </c>
      <c r="BA89">
        <v>3061139712</v>
      </c>
    </row>
    <row r="90" spans="1:53">
      <c r="A90">
        <v>20009</v>
      </c>
      <c r="B90" t="s">
        <v>429</v>
      </c>
      <c r="C90" t="s">
        <v>430</v>
      </c>
      <c r="D90" t="s">
        <v>431</v>
      </c>
      <c r="F90" t="s">
        <v>432</v>
      </c>
      <c r="G90">
        <v>423.56200000000001</v>
      </c>
      <c r="H90" t="s">
        <v>57</v>
      </c>
      <c r="I90">
        <v>2</v>
      </c>
      <c r="J90">
        <v>19</v>
      </c>
      <c r="K90">
        <v>0</v>
      </c>
      <c r="L90">
        <v>73.17</v>
      </c>
      <c r="M90">
        <v>9190</v>
      </c>
      <c r="N90">
        <v>4</v>
      </c>
      <c r="O90">
        <v>10</v>
      </c>
      <c r="P90">
        <v>10</v>
      </c>
      <c r="Q90">
        <v>10</v>
      </c>
      <c r="R90">
        <v>10</v>
      </c>
      <c r="S90">
        <v>983</v>
      </c>
      <c r="T90">
        <v>983</v>
      </c>
      <c r="U90">
        <v>10</v>
      </c>
      <c r="V90">
        <v>8</v>
      </c>
      <c r="W90">
        <v>8</v>
      </c>
      <c r="X90">
        <v>9</v>
      </c>
      <c r="Y90">
        <v>9</v>
      </c>
      <c r="Z90">
        <v>10</v>
      </c>
      <c r="AA90">
        <v>10</v>
      </c>
      <c r="AB90">
        <v>10</v>
      </c>
      <c r="AC90">
        <v>9</v>
      </c>
      <c r="AD90">
        <v>146</v>
      </c>
      <c r="AE90">
        <v>151</v>
      </c>
      <c r="AF90">
        <v>98</v>
      </c>
      <c r="AG90">
        <v>92</v>
      </c>
      <c r="AH90">
        <v>141</v>
      </c>
      <c r="AI90">
        <v>125</v>
      </c>
      <c r="AJ90">
        <v>84</v>
      </c>
      <c r="AK90">
        <v>146</v>
      </c>
      <c r="AL90">
        <v>1602563456</v>
      </c>
      <c r="AM90">
        <v>2306500608</v>
      </c>
      <c r="AN90">
        <v>591206272</v>
      </c>
      <c r="AO90">
        <v>777903104</v>
      </c>
      <c r="AP90">
        <v>3339402240</v>
      </c>
      <c r="AQ90">
        <v>2958905856</v>
      </c>
      <c r="AR90">
        <v>943557120</v>
      </c>
      <c r="AS90">
        <v>1388160000</v>
      </c>
      <c r="AT90">
        <v>1884943104</v>
      </c>
      <c r="AU90">
        <v>2306015232</v>
      </c>
      <c r="AV90">
        <v>724101568</v>
      </c>
      <c r="AW90">
        <v>991135360</v>
      </c>
      <c r="AX90">
        <v>2522881536</v>
      </c>
      <c r="AY90">
        <v>2220320512</v>
      </c>
      <c r="AZ90">
        <v>916314816</v>
      </c>
      <c r="BA90">
        <v>1599673856</v>
      </c>
    </row>
    <row r="91" spans="1:53">
      <c r="A91">
        <v>19965</v>
      </c>
      <c r="B91" t="s">
        <v>433</v>
      </c>
      <c r="C91" t="s">
        <v>434</v>
      </c>
      <c r="D91" t="s">
        <v>435</v>
      </c>
      <c r="F91" t="s">
        <v>436</v>
      </c>
      <c r="G91">
        <v>416.62700000000001</v>
      </c>
      <c r="H91" t="s">
        <v>57</v>
      </c>
      <c r="I91">
        <v>2</v>
      </c>
      <c r="J91">
        <v>21</v>
      </c>
      <c r="K91">
        <v>0</v>
      </c>
      <c r="L91">
        <v>82.61</v>
      </c>
      <c r="M91">
        <v>13133</v>
      </c>
      <c r="N91">
        <v>9</v>
      </c>
      <c r="O91">
        <v>17</v>
      </c>
      <c r="P91">
        <v>17</v>
      </c>
      <c r="Q91">
        <v>17</v>
      </c>
      <c r="R91">
        <v>17</v>
      </c>
      <c r="S91">
        <v>384</v>
      </c>
      <c r="T91">
        <v>384</v>
      </c>
      <c r="U91">
        <v>17</v>
      </c>
      <c r="V91">
        <v>10</v>
      </c>
      <c r="W91">
        <v>13</v>
      </c>
      <c r="X91">
        <v>10</v>
      </c>
      <c r="Y91">
        <v>9</v>
      </c>
      <c r="Z91">
        <v>16</v>
      </c>
      <c r="AA91">
        <v>16</v>
      </c>
      <c r="AB91">
        <v>15</v>
      </c>
      <c r="AC91">
        <v>14</v>
      </c>
      <c r="AD91">
        <v>85</v>
      </c>
      <c r="AE91">
        <v>54</v>
      </c>
      <c r="AF91">
        <v>40</v>
      </c>
      <c r="AG91">
        <v>22</v>
      </c>
      <c r="AH91">
        <v>38</v>
      </c>
      <c r="AI91">
        <v>47</v>
      </c>
      <c r="AJ91">
        <v>35</v>
      </c>
      <c r="AK91">
        <v>63</v>
      </c>
      <c r="AL91">
        <v>172114896</v>
      </c>
      <c r="AM91">
        <v>422825408</v>
      </c>
      <c r="AN91">
        <v>212814112</v>
      </c>
      <c r="AO91">
        <v>153947568</v>
      </c>
      <c r="AP91">
        <v>481564448</v>
      </c>
      <c r="AQ91">
        <v>520336032</v>
      </c>
      <c r="AR91">
        <v>280180320</v>
      </c>
      <c r="AS91">
        <v>445167680</v>
      </c>
      <c r="AT91">
        <v>216507088</v>
      </c>
      <c r="AU91">
        <v>378220608</v>
      </c>
      <c r="AV91">
        <v>184916336</v>
      </c>
      <c r="AW91">
        <v>120284384</v>
      </c>
      <c r="AX91">
        <v>312344448</v>
      </c>
      <c r="AY91">
        <v>418551328</v>
      </c>
      <c r="AZ91">
        <v>247592032</v>
      </c>
      <c r="BA91">
        <v>429073312</v>
      </c>
    </row>
    <row r="92" spans="1:53">
      <c r="A92">
        <v>19966</v>
      </c>
      <c r="B92" t="s">
        <v>437</v>
      </c>
      <c r="C92" t="s">
        <v>438</v>
      </c>
      <c r="D92" t="s">
        <v>439</v>
      </c>
      <c r="E92" t="s">
        <v>440</v>
      </c>
      <c r="F92" t="s">
        <v>441</v>
      </c>
      <c r="G92">
        <v>410.59800000000001</v>
      </c>
      <c r="H92" t="s">
        <v>57</v>
      </c>
      <c r="I92">
        <v>2</v>
      </c>
      <c r="J92">
        <v>20</v>
      </c>
      <c r="K92">
        <v>1</v>
      </c>
      <c r="L92">
        <v>64.23</v>
      </c>
      <c r="M92">
        <v>13540</v>
      </c>
      <c r="N92">
        <v>7</v>
      </c>
      <c r="O92">
        <v>11</v>
      </c>
      <c r="P92">
        <v>11</v>
      </c>
      <c r="Q92">
        <v>13</v>
      </c>
      <c r="R92">
        <v>13</v>
      </c>
      <c r="S92">
        <v>267</v>
      </c>
      <c r="T92">
        <v>267</v>
      </c>
      <c r="U92">
        <v>13</v>
      </c>
      <c r="V92">
        <v>12</v>
      </c>
      <c r="W92">
        <v>12</v>
      </c>
      <c r="X92">
        <v>13</v>
      </c>
      <c r="Y92">
        <v>10</v>
      </c>
      <c r="Z92">
        <v>13</v>
      </c>
      <c r="AA92">
        <v>13</v>
      </c>
      <c r="AB92">
        <v>13</v>
      </c>
      <c r="AC92">
        <v>12</v>
      </c>
      <c r="AD92">
        <v>55</v>
      </c>
      <c r="AE92">
        <v>37</v>
      </c>
      <c r="AF92">
        <v>37</v>
      </c>
      <c r="AG92">
        <v>15</v>
      </c>
      <c r="AH92">
        <v>30</v>
      </c>
      <c r="AI92">
        <v>29</v>
      </c>
      <c r="AJ92">
        <v>22</v>
      </c>
      <c r="AK92">
        <v>42</v>
      </c>
      <c r="AL92">
        <v>668275840</v>
      </c>
      <c r="AM92">
        <v>1048708288</v>
      </c>
      <c r="AN92">
        <v>613179904</v>
      </c>
      <c r="AO92">
        <v>281548256</v>
      </c>
      <c r="AP92">
        <v>1282721408</v>
      </c>
      <c r="AQ92">
        <v>1200856832</v>
      </c>
      <c r="AR92">
        <v>560205888</v>
      </c>
      <c r="AS92">
        <v>600098368</v>
      </c>
      <c r="AT92">
        <v>842444160</v>
      </c>
      <c r="AU92">
        <v>711587968</v>
      </c>
      <c r="AV92">
        <v>451726368</v>
      </c>
      <c r="AW92">
        <v>253315120</v>
      </c>
      <c r="AX92">
        <v>632465600</v>
      </c>
      <c r="AY92">
        <v>558027520</v>
      </c>
      <c r="AZ92">
        <v>344132608</v>
      </c>
      <c r="BA92">
        <v>548567488</v>
      </c>
    </row>
    <row r="93" spans="1:53">
      <c r="A93">
        <v>20036</v>
      </c>
      <c r="B93" t="s">
        <v>442</v>
      </c>
      <c r="C93" t="s">
        <v>443</v>
      </c>
      <c r="D93" t="s">
        <v>444</v>
      </c>
      <c r="E93" t="s">
        <v>445</v>
      </c>
      <c r="F93" t="s">
        <v>446</v>
      </c>
      <c r="G93">
        <v>393.78699999999998</v>
      </c>
      <c r="H93" t="s">
        <v>57</v>
      </c>
      <c r="I93">
        <v>2</v>
      </c>
      <c r="J93">
        <v>14</v>
      </c>
      <c r="K93">
        <v>7</v>
      </c>
      <c r="L93">
        <v>86.54</v>
      </c>
      <c r="M93">
        <v>11316</v>
      </c>
      <c r="N93">
        <v>6</v>
      </c>
      <c r="O93">
        <v>14</v>
      </c>
      <c r="P93">
        <v>14</v>
      </c>
      <c r="Q93">
        <v>14</v>
      </c>
      <c r="R93">
        <v>14</v>
      </c>
      <c r="S93">
        <v>289</v>
      </c>
      <c r="T93">
        <v>289</v>
      </c>
      <c r="U93">
        <v>14</v>
      </c>
      <c r="V93">
        <v>11</v>
      </c>
      <c r="W93">
        <v>13</v>
      </c>
      <c r="X93">
        <v>13</v>
      </c>
      <c r="Y93">
        <v>11</v>
      </c>
      <c r="Z93">
        <v>13</v>
      </c>
      <c r="AA93">
        <v>13</v>
      </c>
      <c r="AB93">
        <v>12</v>
      </c>
      <c r="AC93">
        <v>12</v>
      </c>
      <c r="AD93">
        <v>62</v>
      </c>
      <c r="AE93">
        <v>52</v>
      </c>
      <c r="AF93">
        <v>30</v>
      </c>
      <c r="AG93">
        <v>25</v>
      </c>
      <c r="AH93">
        <v>30</v>
      </c>
      <c r="AI93">
        <v>22</v>
      </c>
      <c r="AJ93">
        <v>22</v>
      </c>
      <c r="AK93">
        <v>46</v>
      </c>
      <c r="AL93">
        <v>298859424</v>
      </c>
      <c r="AM93">
        <v>419785952</v>
      </c>
      <c r="AN93">
        <v>153839552</v>
      </c>
      <c r="AO93">
        <v>145080368</v>
      </c>
      <c r="AP93">
        <v>309121792</v>
      </c>
      <c r="AQ93">
        <v>336540128</v>
      </c>
      <c r="AR93">
        <v>186702112</v>
      </c>
      <c r="AS93">
        <v>312163264</v>
      </c>
      <c r="AT93">
        <v>191622112</v>
      </c>
      <c r="AU93">
        <v>228854160</v>
      </c>
      <c r="AV93">
        <v>127468216</v>
      </c>
      <c r="AW93">
        <v>121135248</v>
      </c>
      <c r="AX93">
        <v>215632928</v>
      </c>
      <c r="AY93">
        <v>242376256</v>
      </c>
      <c r="AZ93">
        <v>175096656</v>
      </c>
      <c r="BA93">
        <v>241244752</v>
      </c>
    </row>
    <row r="94" spans="1:53">
      <c r="A94">
        <v>20144</v>
      </c>
      <c r="B94" t="s">
        <v>447</v>
      </c>
      <c r="C94" t="s">
        <v>448</v>
      </c>
      <c r="D94" t="s">
        <v>449</v>
      </c>
      <c r="F94" t="s">
        <v>450</v>
      </c>
      <c r="G94">
        <v>390.65100000000001</v>
      </c>
      <c r="H94" t="s">
        <v>57</v>
      </c>
      <c r="I94">
        <v>2</v>
      </c>
      <c r="J94">
        <v>21</v>
      </c>
      <c r="K94">
        <v>0</v>
      </c>
      <c r="L94">
        <v>70.650000000000006</v>
      </c>
      <c r="M94">
        <v>10430</v>
      </c>
      <c r="N94">
        <v>6</v>
      </c>
      <c r="O94">
        <v>8</v>
      </c>
      <c r="P94">
        <v>8</v>
      </c>
      <c r="Q94">
        <v>9</v>
      </c>
      <c r="R94">
        <v>9</v>
      </c>
      <c r="S94">
        <v>1577</v>
      </c>
      <c r="T94">
        <v>1577</v>
      </c>
      <c r="U94">
        <v>9</v>
      </c>
      <c r="V94">
        <v>5</v>
      </c>
      <c r="W94">
        <v>7</v>
      </c>
      <c r="X94">
        <v>7</v>
      </c>
      <c r="Y94">
        <v>8</v>
      </c>
      <c r="Z94">
        <v>8</v>
      </c>
      <c r="AA94">
        <v>9</v>
      </c>
      <c r="AB94">
        <v>8</v>
      </c>
      <c r="AC94">
        <v>8</v>
      </c>
      <c r="AD94">
        <v>140</v>
      </c>
      <c r="AE94">
        <v>217</v>
      </c>
      <c r="AF94">
        <v>241</v>
      </c>
      <c r="AG94">
        <v>225</v>
      </c>
      <c r="AH94">
        <v>227</v>
      </c>
      <c r="AI94">
        <v>198</v>
      </c>
      <c r="AJ94">
        <v>154</v>
      </c>
      <c r="AK94">
        <v>175</v>
      </c>
      <c r="AL94">
        <v>2343406592</v>
      </c>
      <c r="AM94">
        <v>2308364544</v>
      </c>
      <c r="AN94">
        <v>1906861440</v>
      </c>
      <c r="AO94">
        <v>1736401920</v>
      </c>
      <c r="AP94">
        <v>3010696960</v>
      </c>
      <c r="AQ94">
        <v>2848722688</v>
      </c>
      <c r="AR94">
        <v>1921215104</v>
      </c>
      <c r="AS94">
        <v>1595166464</v>
      </c>
      <c r="AT94">
        <v>1555860352</v>
      </c>
      <c r="AU94">
        <v>1443448832</v>
      </c>
      <c r="AV94">
        <v>1209174400</v>
      </c>
      <c r="AW94">
        <v>1615952000</v>
      </c>
      <c r="AX94">
        <v>1747656320</v>
      </c>
      <c r="AY94">
        <v>1873372416</v>
      </c>
      <c r="AZ94">
        <v>1419498880</v>
      </c>
      <c r="BA94">
        <v>1540559744</v>
      </c>
    </row>
    <row r="95" spans="1:53">
      <c r="A95">
        <v>19959</v>
      </c>
      <c r="B95" t="s">
        <v>451</v>
      </c>
      <c r="C95" t="s">
        <v>452</v>
      </c>
      <c r="D95" t="s">
        <v>453</v>
      </c>
      <c r="E95" t="s">
        <v>454</v>
      </c>
      <c r="F95" t="s">
        <v>455</v>
      </c>
      <c r="G95">
        <v>382.41199999999998</v>
      </c>
      <c r="H95" t="s">
        <v>57</v>
      </c>
      <c r="I95">
        <v>2</v>
      </c>
      <c r="J95">
        <v>4</v>
      </c>
      <c r="K95">
        <v>17</v>
      </c>
      <c r="L95">
        <v>36.270000000000003</v>
      </c>
      <c r="M95">
        <v>65912</v>
      </c>
      <c r="N95">
        <v>38</v>
      </c>
      <c r="O95">
        <v>19</v>
      </c>
      <c r="P95">
        <v>19</v>
      </c>
      <c r="Q95">
        <v>19</v>
      </c>
      <c r="R95">
        <v>19</v>
      </c>
      <c r="S95">
        <v>77</v>
      </c>
      <c r="T95">
        <v>77</v>
      </c>
      <c r="U95">
        <v>19</v>
      </c>
      <c r="V95">
        <v>15</v>
      </c>
      <c r="W95">
        <v>17</v>
      </c>
      <c r="X95">
        <v>19</v>
      </c>
      <c r="Y95">
        <v>15</v>
      </c>
      <c r="Z95">
        <v>17</v>
      </c>
      <c r="AA95">
        <v>17</v>
      </c>
      <c r="AB95">
        <v>18</v>
      </c>
      <c r="AC95">
        <v>17</v>
      </c>
      <c r="AD95">
        <v>15</v>
      </c>
      <c r="AE95">
        <v>11</v>
      </c>
      <c r="AF95">
        <v>8</v>
      </c>
      <c r="AG95">
        <v>7</v>
      </c>
      <c r="AH95">
        <v>6</v>
      </c>
      <c r="AI95">
        <v>8</v>
      </c>
      <c r="AJ95">
        <v>15</v>
      </c>
      <c r="AK95">
        <v>7</v>
      </c>
      <c r="AL95">
        <v>58300920</v>
      </c>
      <c r="AM95">
        <v>50520292</v>
      </c>
      <c r="AN95">
        <v>51910652</v>
      </c>
      <c r="AO95">
        <v>36618276</v>
      </c>
      <c r="AP95">
        <v>34543416</v>
      </c>
      <c r="AQ95">
        <v>35934652</v>
      </c>
      <c r="AR95">
        <v>54124704</v>
      </c>
      <c r="AS95">
        <v>31350352</v>
      </c>
      <c r="AT95">
        <v>58744884</v>
      </c>
      <c r="AU95">
        <v>40300912</v>
      </c>
      <c r="AV95">
        <v>34854852</v>
      </c>
      <c r="AW95">
        <v>29530342</v>
      </c>
      <c r="AX95">
        <v>14925116</v>
      </c>
      <c r="AY95">
        <v>16184646</v>
      </c>
      <c r="AZ95">
        <v>29248912</v>
      </c>
      <c r="BA95">
        <v>32044766</v>
      </c>
    </row>
    <row r="96" spans="1:53">
      <c r="A96">
        <v>20081</v>
      </c>
      <c r="B96" t="s">
        <v>456</v>
      </c>
      <c r="C96" t="s">
        <v>457</v>
      </c>
      <c r="D96" t="s">
        <v>458</v>
      </c>
      <c r="F96" t="s">
        <v>459</v>
      </c>
      <c r="G96">
        <v>378.09500000000003</v>
      </c>
      <c r="H96" t="s">
        <v>57</v>
      </c>
      <c r="I96">
        <v>2</v>
      </c>
      <c r="J96">
        <v>20</v>
      </c>
      <c r="K96">
        <v>0</v>
      </c>
      <c r="L96">
        <v>66.67</v>
      </c>
      <c r="M96">
        <v>8986</v>
      </c>
      <c r="N96">
        <v>4</v>
      </c>
      <c r="O96">
        <v>9</v>
      </c>
      <c r="P96">
        <v>9</v>
      </c>
      <c r="Q96">
        <v>9</v>
      </c>
      <c r="R96">
        <v>9</v>
      </c>
      <c r="S96">
        <v>520</v>
      </c>
      <c r="T96">
        <v>520</v>
      </c>
      <c r="U96">
        <v>9</v>
      </c>
      <c r="V96">
        <v>6</v>
      </c>
      <c r="W96">
        <v>7</v>
      </c>
      <c r="X96">
        <v>7</v>
      </c>
      <c r="Y96">
        <v>8</v>
      </c>
      <c r="Z96">
        <v>8</v>
      </c>
      <c r="AA96">
        <v>8</v>
      </c>
      <c r="AB96">
        <v>8</v>
      </c>
      <c r="AC96">
        <v>8</v>
      </c>
      <c r="AD96">
        <v>92</v>
      </c>
      <c r="AE96">
        <v>89</v>
      </c>
      <c r="AF96">
        <v>63</v>
      </c>
      <c r="AG96">
        <v>48</v>
      </c>
      <c r="AH96">
        <v>70</v>
      </c>
      <c r="AI96">
        <v>60</v>
      </c>
      <c r="AJ96">
        <v>45</v>
      </c>
      <c r="AK96">
        <v>53</v>
      </c>
      <c r="AL96">
        <v>1702863488</v>
      </c>
      <c r="AM96">
        <v>2353023232</v>
      </c>
      <c r="AN96">
        <v>1233986816</v>
      </c>
      <c r="AO96">
        <v>897659392</v>
      </c>
      <c r="AP96">
        <v>2334435072</v>
      </c>
      <c r="AQ96">
        <v>1736480512</v>
      </c>
      <c r="AR96">
        <v>1214803840</v>
      </c>
      <c r="AS96">
        <v>858250816</v>
      </c>
      <c r="AT96">
        <v>626370432</v>
      </c>
      <c r="AU96">
        <v>1190230144</v>
      </c>
      <c r="AV96">
        <v>1183418624</v>
      </c>
      <c r="AW96">
        <v>1092243968</v>
      </c>
      <c r="AX96">
        <v>1194032256</v>
      </c>
      <c r="AY96">
        <v>1025853888</v>
      </c>
      <c r="AZ96">
        <v>1011673856</v>
      </c>
      <c r="BA96">
        <v>828938944</v>
      </c>
    </row>
    <row r="97" spans="1:53">
      <c r="A97">
        <v>20015</v>
      </c>
      <c r="B97" t="s">
        <v>460</v>
      </c>
      <c r="C97" t="s">
        <v>461</v>
      </c>
      <c r="D97" t="s">
        <v>462</v>
      </c>
      <c r="E97" t="s">
        <v>463</v>
      </c>
      <c r="F97" t="s">
        <v>464</v>
      </c>
      <c r="G97">
        <v>376.55</v>
      </c>
      <c r="H97" t="s">
        <v>57</v>
      </c>
      <c r="I97">
        <v>2</v>
      </c>
      <c r="J97">
        <v>12</v>
      </c>
      <c r="K97">
        <v>9</v>
      </c>
      <c r="L97">
        <v>80.42</v>
      </c>
      <c r="M97">
        <v>15463</v>
      </c>
      <c r="N97">
        <v>10</v>
      </c>
      <c r="O97">
        <v>7</v>
      </c>
      <c r="P97">
        <v>7</v>
      </c>
      <c r="Q97">
        <v>7</v>
      </c>
      <c r="R97">
        <v>7</v>
      </c>
      <c r="S97">
        <v>116</v>
      </c>
      <c r="T97">
        <v>116</v>
      </c>
      <c r="U97">
        <v>7</v>
      </c>
      <c r="V97">
        <v>5</v>
      </c>
      <c r="W97">
        <v>6</v>
      </c>
      <c r="X97">
        <v>6</v>
      </c>
      <c r="Y97">
        <v>6</v>
      </c>
      <c r="Z97">
        <v>6</v>
      </c>
      <c r="AA97">
        <v>6</v>
      </c>
      <c r="AB97">
        <v>7</v>
      </c>
      <c r="AC97">
        <v>7</v>
      </c>
      <c r="AD97">
        <v>14</v>
      </c>
      <c r="AE97">
        <v>18</v>
      </c>
      <c r="AF97">
        <v>16</v>
      </c>
      <c r="AG97">
        <v>14</v>
      </c>
      <c r="AH97">
        <v>9</v>
      </c>
      <c r="AI97">
        <v>9</v>
      </c>
      <c r="AJ97">
        <v>20</v>
      </c>
      <c r="AK97">
        <v>16</v>
      </c>
      <c r="AL97">
        <v>176675872</v>
      </c>
      <c r="AM97">
        <v>234778560</v>
      </c>
      <c r="AN97">
        <v>230194208</v>
      </c>
      <c r="AO97">
        <v>215219424</v>
      </c>
      <c r="AP97">
        <v>184192080</v>
      </c>
      <c r="AQ97">
        <v>171883792</v>
      </c>
      <c r="AR97">
        <v>381113184</v>
      </c>
      <c r="AS97">
        <v>200118928</v>
      </c>
      <c r="AT97">
        <v>153395680</v>
      </c>
      <c r="AU97">
        <v>209449952</v>
      </c>
      <c r="AV97">
        <v>198754992</v>
      </c>
      <c r="AW97">
        <v>207299664</v>
      </c>
      <c r="AX97">
        <v>83369312</v>
      </c>
      <c r="AY97">
        <v>83229144</v>
      </c>
      <c r="AZ97">
        <v>210039904</v>
      </c>
      <c r="BA97">
        <v>186095520</v>
      </c>
    </row>
    <row r="98" spans="1:53">
      <c r="A98">
        <v>20134</v>
      </c>
      <c r="B98" t="s">
        <v>465</v>
      </c>
      <c r="C98" t="s">
        <v>466</v>
      </c>
      <c r="D98" t="s">
        <v>467</v>
      </c>
      <c r="F98" t="s">
        <v>468</v>
      </c>
      <c r="G98">
        <v>343.70400000000001</v>
      </c>
      <c r="H98" t="s">
        <v>57</v>
      </c>
      <c r="I98">
        <v>2</v>
      </c>
      <c r="J98">
        <v>9</v>
      </c>
      <c r="K98">
        <v>0</v>
      </c>
      <c r="L98">
        <v>24.14</v>
      </c>
      <c r="M98">
        <v>69114</v>
      </c>
      <c r="N98">
        <v>39</v>
      </c>
      <c r="O98">
        <v>13</v>
      </c>
      <c r="P98">
        <v>13</v>
      </c>
      <c r="Q98">
        <v>13</v>
      </c>
      <c r="R98">
        <v>13</v>
      </c>
      <c r="S98">
        <v>84</v>
      </c>
      <c r="T98">
        <v>84</v>
      </c>
      <c r="U98">
        <v>13</v>
      </c>
      <c r="V98">
        <v>9</v>
      </c>
      <c r="W98">
        <v>12</v>
      </c>
      <c r="X98">
        <v>12</v>
      </c>
      <c r="Y98">
        <v>12</v>
      </c>
      <c r="Z98">
        <v>11</v>
      </c>
      <c r="AA98">
        <v>11</v>
      </c>
      <c r="AB98">
        <v>10</v>
      </c>
      <c r="AC98">
        <v>9</v>
      </c>
      <c r="AD98">
        <v>9</v>
      </c>
      <c r="AE98">
        <v>8</v>
      </c>
      <c r="AF98">
        <v>14</v>
      </c>
      <c r="AG98">
        <v>13</v>
      </c>
      <c r="AH98">
        <v>8</v>
      </c>
      <c r="AI98">
        <v>10</v>
      </c>
      <c r="AJ98">
        <v>14</v>
      </c>
      <c r="AK98">
        <v>8</v>
      </c>
      <c r="AL98">
        <v>28500220</v>
      </c>
      <c r="AM98">
        <v>31860988</v>
      </c>
      <c r="AN98">
        <v>42649144</v>
      </c>
      <c r="AO98">
        <v>54952504</v>
      </c>
      <c r="AP98">
        <v>47856004</v>
      </c>
      <c r="AQ98">
        <v>54353728</v>
      </c>
      <c r="AR98">
        <v>52905868</v>
      </c>
      <c r="AS98">
        <v>39480100</v>
      </c>
      <c r="AT98">
        <v>27818362</v>
      </c>
      <c r="AU98">
        <v>24963328</v>
      </c>
      <c r="AV98">
        <v>41549440</v>
      </c>
      <c r="AW98">
        <v>48471784</v>
      </c>
      <c r="AX98">
        <v>17575826</v>
      </c>
      <c r="AY98">
        <v>22426912</v>
      </c>
      <c r="AZ98">
        <v>29559868</v>
      </c>
      <c r="BA98">
        <v>32995710</v>
      </c>
    </row>
    <row r="99" spans="1:53">
      <c r="A99">
        <v>20047</v>
      </c>
      <c r="B99" t="s">
        <v>469</v>
      </c>
      <c r="C99" t="s">
        <v>470</v>
      </c>
      <c r="D99" t="s">
        <v>471</v>
      </c>
      <c r="F99" t="s">
        <v>472</v>
      </c>
      <c r="G99">
        <v>342.88799999999998</v>
      </c>
      <c r="H99" t="s">
        <v>57</v>
      </c>
      <c r="I99">
        <v>2</v>
      </c>
      <c r="J99">
        <v>16</v>
      </c>
      <c r="K99">
        <v>0</v>
      </c>
      <c r="L99">
        <v>57.43</v>
      </c>
      <c r="M99">
        <v>11580</v>
      </c>
      <c r="N99">
        <v>7</v>
      </c>
      <c r="O99">
        <v>13</v>
      </c>
      <c r="P99">
        <v>2</v>
      </c>
      <c r="Q99">
        <v>13</v>
      </c>
      <c r="R99">
        <v>2</v>
      </c>
      <c r="S99">
        <v>1041</v>
      </c>
      <c r="T99">
        <v>546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80</v>
      </c>
      <c r="AE99">
        <v>64</v>
      </c>
      <c r="AF99">
        <v>65</v>
      </c>
      <c r="AG99">
        <v>50</v>
      </c>
      <c r="AH99">
        <v>100</v>
      </c>
      <c r="AI99">
        <v>96</v>
      </c>
      <c r="AJ99">
        <v>52</v>
      </c>
      <c r="AK99">
        <v>39</v>
      </c>
      <c r="AL99">
        <v>672298432</v>
      </c>
      <c r="AM99">
        <v>949983616</v>
      </c>
      <c r="AN99">
        <v>937564608</v>
      </c>
      <c r="AO99">
        <v>956669824</v>
      </c>
      <c r="AP99">
        <v>3487603968</v>
      </c>
      <c r="AQ99">
        <v>2986215168</v>
      </c>
      <c r="AR99">
        <v>1492400256</v>
      </c>
      <c r="AS99">
        <v>980557632</v>
      </c>
      <c r="AT99">
        <v>83226296</v>
      </c>
      <c r="AU99">
        <v>152477680</v>
      </c>
      <c r="AV99">
        <v>219362160</v>
      </c>
      <c r="AW99">
        <v>298973408</v>
      </c>
      <c r="AX99">
        <v>270843392</v>
      </c>
      <c r="AY99">
        <v>361853472</v>
      </c>
      <c r="AZ99">
        <v>320317856</v>
      </c>
      <c r="BA99">
        <v>392924160</v>
      </c>
    </row>
    <row r="100" spans="1:53">
      <c r="A100">
        <v>20035</v>
      </c>
      <c r="B100" t="s">
        <v>473</v>
      </c>
      <c r="C100" t="s">
        <v>474</v>
      </c>
      <c r="D100" t="s">
        <v>475</v>
      </c>
      <c r="F100" t="s">
        <v>476</v>
      </c>
      <c r="G100">
        <v>339.31599999999997</v>
      </c>
      <c r="H100" t="s">
        <v>57</v>
      </c>
      <c r="I100">
        <v>2</v>
      </c>
      <c r="J100">
        <v>3</v>
      </c>
      <c r="K100">
        <v>0</v>
      </c>
      <c r="L100">
        <v>67.349999999999994</v>
      </c>
      <c r="M100">
        <v>20852</v>
      </c>
      <c r="N100">
        <v>5</v>
      </c>
      <c r="O100">
        <v>6</v>
      </c>
      <c r="P100">
        <v>6</v>
      </c>
      <c r="Q100">
        <v>6</v>
      </c>
      <c r="R100">
        <v>6</v>
      </c>
      <c r="S100">
        <v>120</v>
      </c>
      <c r="T100">
        <v>120</v>
      </c>
      <c r="U100">
        <v>6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6</v>
      </c>
      <c r="AB100">
        <v>6</v>
      </c>
      <c r="AC100">
        <v>4</v>
      </c>
      <c r="AD100">
        <v>9</v>
      </c>
      <c r="AE100">
        <v>8</v>
      </c>
      <c r="AF100">
        <v>23</v>
      </c>
      <c r="AG100">
        <v>19</v>
      </c>
      <c r="AH100">
        <v>14</v>
      </c>
      <c r="AI100">
        <v>16</v>
      </c>
      <c r="AJ100">
        <v>23</v>
      </c>
      <c r="AK100">
        <v>8</v>
      </c>
      <c r="AL100">
        <v>27026676</v>
      </c>
      <c r="AM100">
        <v>40801852</v>
      </c>
      <c r="AN100">
        <v>87579472</v>
      </c>
      <c r="AO100">
        <v>88651344</v>
      </c>
      <c r="AP100">
        <v>76064680</v>
      </c>
      <c r="AQ100">
        <v>87345728</v>
      </c>
      <c r="AR100">
        <v>131869816</v>
      </c>
      <c r="AS100">
        <v>83721552</v>
      </c>
      <c r="AT100">
        <v>22502754</v>
      </c>
      <c r="AU100">
        <v>29570104</v>
      </c>
      <c r="AV100">
        <v>68883912</v>
      </c>
      <c r="AW100">
        <v>80717096</v>
      </c>
      <c r="AX100">
        <v>32525066</v>
      </c>
      <c r="AY100">
        <v>44708856</v>
      </c>
      <c r="AZ100">
        <v>80709592</v>
      </c>
      <c r="BA100">
        <v>64732224</v>
      </c>
    </row>
    <row r="101" spans="1:53">
      <c r="A101">
        <v>20116</v>
      </c>
      <c r="B101" t="s">
        <v>477</v>
      </c>
      <c r="C101" t="s">
        <v>478</v>
      </c>
      <c r="D101" t="s">
        <v>479</v>
      </c>
      <c r="F101" t="s">
        <v>480</v>
      </c>
      <c r="G101">
        <v>330.93</v>
      </c>
      <c r="H101" t="s">
        <v>57</v>
      </c>
      <c r="I101">
        <v>2</v>
      </c>
      <c r="J101">
        <v>5</v>
      </c>
      <c r="K101">
        <v>0</v>
      </c>
      <c r="L101">
        <v>83</v>
      </c>
      <c r="M101">
        <v>11198</v>
      </c>
      <c r="N101">
        <v>6</v>
      </c>
      <c r="O101">
        <v>14</v>
      </c>
      <c r="P101">
        <v>14</v>
      </c>
      <c r="Q101">
        <v>14</v>
      </c>
      <c r="R101">
        <v>14</v>
      </c>
      <c r="S101">
        <v>387</v>
      </c>
      <c r="T101">
        <v>387</v>
      </c>
      <c r="U101">
        <v>14</v>
      </c>
      <c r="V101">
        <v>11</v>
      </c>
      <c r="W101">
        <v>9</v>
      </c>
      <c r="X101">
        <v>10</v>
      </c>
      <c r="Y101">
        <v>10</v>
      </c>
      <c r="Z101">
        <v>13</v>
      </c>
      <c r="AA101">
        <v>11</v>
      </c>
      <c r="AB101">
        <v>12</v>
      </c>
      <c r="AC101">
        <v>10</v>
      </c>
      <c r="AD101">
        <v>62</v>
      </c>
      <c r="AE101">
        <v>35</v>
      </c>
      <c r="AF101">
        <v>75</v>
      </c>
      <c r="AG101">
        <v>38</v>
      </c>
      <c r="AH101">
        <v>52</v>
      </c>
      <c r="AI101">
        <v>40</v>
      </c>
      <c r="AJ101">
        <v>51</v>
      </c>
      <c r="AK101">
        <v>34</v>
      </c>
      <c r="AL101">
        <v>268216928</v>
      </c>
      <c r="AM101">
        <v>233174576</v>
      </c>
      <c r="AN101">
        <v>184001472</v>
      </c>
      <c r="AO101">
        <v>66833520</v>
      </c>
      <c r="AP101">
        <v>529832192</v>
      </c>
      <c r="AQ101">
        <v>402385056</v>
      </c>
      <c r="AR101">
        <v>193294144</v>
      </c>
      <c r="AS101">
        <v>214653824</v>
      </c>
      <c r="AT101">
        <v>218394912</v>
      </c>
      <c r="AU101">
        <v>107975952</v>
      </c>
      <c r="AV101">
        <v>134198072</v>
      </c>
      <c r="AW101">
        <v>44280204</v>
      </c>
      <c r="AX101">
        <v>420659616</v>
      </c>
      <c r="AY101">
        <v>176615136</v>
      </c>
      <c r="AZ101">
        <v>96664208</v>
      </c>
      <c r="BA101">
        <v>90725304</v>
      </c>
    </row>
    <row r="102" spans="1:53">
      <c r="A102">
        <v>20159</v>
      </c>
      <c r="B102" t="s">
        <v>481</v>
      </c>
      <c r="C102" t="s">
        <v>482</v>
      </c>
      <c r="D102" t="s">
        <v>483</v>
      </c>
      <c r="F102" t="s">
        <v>484</v>
      </c>
      <c r="G102">
        <v>327.31200000000001</v>
      </c>
      <c r="H102" t="s">
        <v>57</v>
      </c>
      <c r="I102">
        <v>2</v>
      </c>
      <c r="J102">
        <v>3</v>
      </c>
      <c r="K102">
        <v>0</v>
      </c>
      <c r="L102">
        <v>45.99</v>
      </c>
      <c r="M102">
        <v>15539</v>
      </c>
      <c r="N102">
        <v>11</v>
      </c>
      <c r="O102">
        <v>6</v>
      </c>
      <c r="P102">
        <v>6</v>
      </c>
      <c r="Q102">
        <v>6</v>
      </c>
      <c r="R102">
        <v>6</v>
      </c>
      <c r="S102">
        <v>68</v>
      </c>
      <c r="T102">
        <v>68</v>
      </c>
      <c r="U102">
        <v>6</v>
      </c>
      <c r="V102">
        <v>6</v>
      </c>
      <c r="W102">
        <v>6</v>
      </c>
      <c r="X102">
        <v>6</v>
      </c>
      <c r="Y102">
        <v>6</v>
      </c>
      <c r="Z102">
        <v>6</v>
      </c>
      <c r="AA102">
        <v>6</v>
      </c>
      <c r="AB102">
        <v>5</v>
      </c>
      <c r="AC102">
        <v>5</v>
      </c>
      <c r="AD102">
        <v>13</v>
      </c>
      <c r="AE102">
        <v>11</v>
      </c>
      <c r="AF102">
        <v>9</v>
      </c>
      <c r="AG102">
        <v>10</v>
      </c>
      <c r="AH102">
        <v>11</v>
      </c>
      <c r="AI102">
        <v>10</v>
      </c>
      <c r="AJ102">
        <v>2</v>
      </c>
      <c r="AK102">
        <v>2</v>
      </c>
      <c r="AL102">
        <v>32692664</v>
      </c>
      <c r="AM102">
        <v>38124476</v>
      </c>
      <c r="AN102">
        <v>27546256</v>
      </c>
      <c r="AO102">
        <v>23193028</v>
      </c>
      <c r="AP102">
        <v>47300004</v>
      </c>
      <c r="AQ102">
        <v>45712620</v>
      </c>
      <c r="AR102">
        <v>12678615</v>
      </c>
      <c r="AS102">
        <v>11760939</v>
      </c>
      <c r="AT102">
        <v>41865804</v>
      </c>
      <c r="AU102">
        <v>34290240</v>
      </c>
      <c r="AV102">
        <v>22019688</v>
      </c>
      <c r="AW102">
        <v>22178804</v>
      </c>
      <c r="AX102">
        <v>19152752</v>
      </c>
      <c r="AY102">
        <v>19124070</v>
      </c>
      <c r="AZ102">
        <v>6057964</v>
      </c>
      <c r="BA102">
        <v>8394233</v>
      </c>
    </row>
    <row r="103" spans="1:53">
      <c r="A103">
        <v>20201</v>
      </c>
      <c r="B103" t="s">
        <v>485</v>
      </c>
      <c r="C103" t="s">
        <v>486</v>
      </c>
      <c r="D103" t="s">
        <v>487</v>
      </c>
      <c r="F103" t="s">
        <v>488</v>
      </c>
      <c r="G103">
        <v>326.56200000000001</v>
      </c>
      <c r="H103" t="s">
        <v>57</v>
      </c>
      <c r="I103">
        <v>2</v>
      </c>
      <c r="J103">
        <v>3</v>
      </c>
      <c r="K103">
        <v>0</v>
      </c>
      <c r="L103">
        <v>49.43</v>
      </c>
      <c r="M103">
        <v>19736</v>
      </c>
      <c r="N103">
        <v>8</v>
      </c>
      <c r="O103">
        <v>7</v>
      </c>
      <c r="P103">
        <v>7</v>
      </c>
      <c r="Q103">
        <v>7</v>
      </c>
      <c r="R103">
        <v>7</v>
      </c>
      <c r="S103">
        <v>115</v>
      </c>
      <c r="T103">
        <v>115</v>
      </c>
      <c r="U103">
        <v>7</v>
      </c>
      <c r="V103">
        <v>7</v>
      </c>
      <c r="W103">
        <v>7</v>
      </c>
      <c r="X103">
        <v>6</v>
      </c>
      <c r="Y103">
        <v>6</v>
      </c>
      <c r="Z103">
        <v>6</v>
      </c>
      <c r="AA103">
        <v>5</v>
      </c>
      <c r="AB103">
        <v>5</v>
      </c>
      <c r="AC103">
        <v>6</v>
      </c>
      <c r="AD103">
        <v>26</v>
      </c>
      <c r="AE103">
        <v>26</v>
      </c>
      <c r="AF103">
        <v>14</v>
      </c>
      <c r="AG103">
        <v>11</v>
      </c>
      <c r="AH103">
        <v>13</v>
      </c>
      <c r="AI103">
        <v>9</v>
      </c>
      <c r="AJ103">
        <v>9</v>
      </c>
      <c r="AK103">
        <v>7</v>
      </c>
      <c r="AL103">
        <v>66202152</v>
      </c>
      <c r="AM103">
        <v>95335904</v>
      </c>
      <c r="AN103">
        <v>37141644</v>
      </c>
      <c r="AO103">
        <v>35459392</v>
      </c>
      <c r="AP103">
        <v>103679640</v>
      </c>
      <c r="AQ103">
        <v>118975728</v>
      </c>
      <c r="AR103">
        <v>53703480</v>
      </c>
      <c r="AS103">
        <v>41692008</v>
      </c>
      <c r="AT103">
        <v>69166192</v>
      </c>
      <c r="AU103">
        <v>109690752</v>
      </c>
      <c r="AV103">
        <v>41211416</v>
      </c>
      <c r="AW103">
        <v>48385752</v>
      </c>
      <c r="AX103">
        <v>90021968</v>
      </c>
      <c r="AY103">
        <v>102236496</v>
      </c>
      <c r="AZ103">
        <v>53938132</v>
      </c>
      <c r="BA103">
        <v>65293592</v>
      </c>
    </row>
    <row r="104" spans="1:53">
      <c r="A104">
        <v>19973</v>
      </c>
      <c r="B104" t="s">
        <v>489</v>
      </c>
      <c r="C104" t="s">
        <v>490</v>
      </c>
      <c r="D104" t="s">
        <v>491</v>
      </c>
      <c r="F104" t="s">
        <v>492</v>
      </c>
      <c r="G104">
        <v>325.50099999999998</v>
      </c>
      <c r="H104" t="s">
        <v>57</v>
      </c>
      <c r="I104">
        <v>2</v>
      </c>
      <c r="J104">
        <v>21</v>
      </c>
      <c r="K104">
        <v>0</v>
      </c>
      <c r="L104">
        <v>23.83</v>
      </c>
      <c r="M104">
        <v>63477</v>
      </c>
      <c r="N104">
        <v>41</v>
      </c>
      <c r="O104">
        <v>13</v>
      </c>
      <c r="P104">
        <v>13</v>
      </c>
      <c r="Q104">
        <v>13</v>
      </c>
      <c r="R104">
        <v>13</v>
      </c>
      <c r="S104">
        <v>39</v>
      </c>
      <c r="T104">
        <v>39</v>
      </c>
      <c r="U104">
        <v>13</v>
      </c>
      <c r="V104">
        <v>10</v>
      </c>
      <c r="W104">
        <v>11</v>
      </c>
      <c r="X104">
        <v>10</v>
      </c>
      <c r="Y104">
        <v>10</v>
      </c>
      <c r="Z104">
        <v>7</v>
      </c>
      <c r="AA104">
        <v>11</v>
      </c>
      <c r="AB104">
        <v>11</v>
      </c>
      <c r="AC104">
        <v>11</v>
      </c>
      <c r="AD104">
        <v>9</v>
      </c>
      <c r="AE104">
        <v>5</v>
      </c>
      <c r="AF104">
        <v>8</v>
      </c>
      <c r="AG104">
        <v>6</v>
      </c>
      <c r="AH104">
        <v>0</v>
      </c>
      <c r="AI104">
        <v>1</v>
      </c>
      <c r="AJ104">
        <v>8</v>
      </c>
      <c r="AK104">
        <v>3</v>
      </c>
      <c r="AL104">
        <v>28810924</v>
      </c>
      <c r="AM104">
        <v>22490638</v>
      </c>
      <c r="AN104">
        <v>30658154</v>
      </c>
      <c r="AO104">
        <v>22691874</v>
      </c>
      <c r="AP104">
        <v>7647988</v>
      </c>
      <c r="AQ104">
        <v>13431511</v>
      </c>
      <c r="AR104">
        <v>22976504</v>
      </c>
      <c r="AS104">
        <v>14388911</v>
      </c>
      <c r="AT104">
        <v>29865310</v>
      </c>
      <c r="AU104">
        <v>17008638</v>
      </c>
      <c r="AV104">
        <v>23880520</v>
      </c>
      <c r="AW104">
        <v>22535224</v>
      </c>
      <c r="AX104">
        <v>3939314</v>
      </c>
      <c r="AY104">
        <v>5609726.5</v>
      </c>
      <c r="AZ104">
        <v>12557919</v>
      </c>
      <c r="BA104">
        <v>13822428</v>
      </c>
    </row>
    <row r="105" spans="1:53">
      <c r="A105">
        <v>20103</v>
      </c>
      <c r="B105" t="s">
        <v>493</v>
      </c>
      <c r="C105" t="s">
        <v>494</v>
      </c>
      <c r="D105" t="s">
        <v>495</v>
      </c>
      <c r="F105" t="s">
        <v>496</v>
      </c>
      <c r="G105">
        <v>317.74200000000002</v>
      </c>
      <c r="H105" t="s">
        <v>57</v>
      </c>
      <c r="I105">
        <v>2</v>
      </c>
      <c r="J105">
        <v>21</v>
      </c>
      <c r="K105">
        <v>0</v>
      </c>
      <c r="L105">
        <v>63.16</v>
      </c>
      <c r="M105">
        <v>15154</v>
      </c>
      <c r="N105">
        <v>10</v>
      </c>
      <c r="O105">
        <v>7</v>
      </c>
      <c r="P105">
        <v>7</v>
      </c>
      <c r="Q105">
        <v>7</v>
      </c>
      <c r="R105">
        <v>7</v>
      </c>
      <c r="S105">
        <v>98</v>
      </c>
      <c r="T105">
        <v>98</v>
      </c>
      <c r="U105">
        <v>7</v>
      </c>
      <c r="V105">
        <v>6</v>
      </c>
      <c r="W105">
        <v>6</v>
      </c>
      <c r="X105">
        <v>6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8</v>
      </c>
      <c r="AE105">
        <v>14</v>
      </c>
      <c r="AF105">
        <v>12</v>
      </c>
      <c r="AG105">
        <v>13</v>
      </c>
      <c r="AH105">
        <v>16</v>
      </c>
      <c r="AI105">
        <v>13</v>
      </c>
      <c r="AJ105">
        <v>11</v>
      </c>
      <c r="AK105">
        <v>11</v>
      </c>
      <c r="AL105">
        <v>131438640</v>
      </c>
      <c r="AM105">
        <v>130739568</v>
      </c>
      <c r="AN105">
        <v>145224864</v>
      </c>
      <c r="AO105">
        <v>138650832</v>
      </c>
      <c r="AP105">
        <v>308187712</v>
      </c>
      <c r="AQ105">
        <v>271813376</v>
      </c>
      <c r="AR105">
        <v>157586096</v>
      </c>
      <c r="AS105">
        <v>97146304</v>
      </c>
      <c r="AT105">
        <v>127695496</v>
      </c>
      <c r="AU105">
        <v>109527168</v>
      </c>
      <c r="AV105">
        <v>129892632</v>
      </c>
      <c r="AW105">
        <v>153732800</v>
      </c>
      <c r="AX105">
        <v>151075168</v>
      </c>
      <c r="AY105">
        <v>151221968</v>
      </c>
      <c r="AZ105">
        <v>116923848</v>
      </c>
      <c r="BA105">
        <v>109185048</v>
      </c>
    </row>
    <row r="106" spans="1:53">
      <c r="A106">
        <v>20162</v>
      </c>
      <c r="B106" t="s">
        <v>497</v>
      </c>
      <c r="C106" t="s">
        <v>498</v>
      </c>
      <c r="D106" t="s">
        <v>499</v>
      </c>
      <c r="F106" t="s">
        <v>500</v>
      </c>
      <c r="G106">
        <v>317.69400000000002</v>
      </c>
      <c r="H106" t="s">
        <v>57</v>
      </c>
      <c r="I106">
        <v>2</v>
      </c>
      <c r="J106">
        <v>2</v>
      </c>
      <c r="K106">
        <v>0</v>
      </c>
      <c r="L106">
        <v>24.74</v>
      </c>
      <c r="M106">
        <v>43659</v>
      </c>
      <c r="N106">
        <v>19</v>
      </c>
      <c r="O106">
        <v>7</v>
      </c>
      <c r="P106">
        <v>7</v>
      </c>
      <c r="Q106">
        <v>7</v>
      </c>
      <c r="R106">
        <v>7</v>
      </c>
      <c r="S106">
        <v>16</v>
      </c>
      <c r="T106">
        <v>16</v>
      </c>
      <c r="U106">
        <v>7</v>
      </c>
      <c r="V106">
        <v>4</v>
      </c>
      <c r="W106">
        <v>4</v>
      </c>
      <c r="X106">
        <v>1</v>
      </c>
      <c r="Y106">
        <v>3</v>
      </c>
      <c r="Z106">
        <v>7</v>
      </c>
      <c r="AA106">
        <v>7</v>
      </c>
      <c r="AB106">
        <v>4</v>
      </c>
      <c r="AC106">
        <v>3</v>
      </c>
      <c r="AD106">
        <v>1</v>
      </c>
      <c r="AE106">
        <v>1</v>
      </c>
      <c r="AF106">
        <v>0</v>
      </c>
      <c r="AG106">
        <v>0</v>
      </c>
      <c r="AH106">
        <v>8</v>
      </c>
      <c r="AI106">
        <v>6</v>
      </c>
      <c r="AJ106">
        <v>0</v>
      </c>
      <c r="AK106">
        <v>0</v>
      </c>
      <c r="AL106">
        <v>5018908</v>
      </c>
      <c r="AM106">
        <v>3267186</v>
      </c>
      <c r="AN106">
        <v>619508.88</v>
      </c>
      <c r="AO106">
        <v>1424178.88</v>
      </c>
      <c r="AP106">
        <v>31475514</v>
      </c>
      <c r="AQ106">
        <v>26676012</v>
      </c>
      <c r="AR106">
        <v>2047005.25</v>
      </c>
      <c r="AS106">
        <v>1555547.5</v>
      </c>
      <c r="AT106">
        <v>2711086.75</v>
      </c>
      <c r="AU106">
        <v>3987404.5</v>
      </c>
      <c r="AV106">
        <v>20692.05</v>
      </c>
      <c r="AW106">
        <v>363888.56</v>
      </c>
      <c r="AX106">
        <v>18043556</v>
      </c>
      <c r="AY106">
        <v>14632340</v>
      </c>
      <c r="AZ106">
        <v>511733.56</v>
      </c>
      <c r="BA106">
        <v>199918.95</v>
      </c>
    </row>
    <row r="107" spans="1:53">
      <c r="A107">
        <v>20003</v>
      </c>
      <c r="B107" t="s">
        <v>501</v>
      </c>
      <c r="C107" t="s">
        <v>502</v>
      </c>
      <c r="D107" t="s">
        <v>503</v>
      </c>
      <c r="E107" t="s">
        <v>504</v>
      </c>
      <c r="F107" t="s">
        <v>505</v>
      </c>
      <c r="G107">
        <v>313.19900000000001</v>
      </c>
      <c r="H107" t="s">
        <v>57</v>
      </c>
      <c r="I107">
        <v>2</v>
      </c>
      <c r="J107">
        <v>3</v>
      </c>
      <c r="K107">
        <v>17</v>
      </c>
      <c r="L107">
        <v>67.09</v>
      </c>
      <c r="M107">
        <v>9402</v>
      </c>
      <c r="N107">
        <v>6</v>
      </c>
      <c r="O107">
        <v>5</v>
      </c>
      <c r="P107">
        <v>5</v>
      </c>
      <c r="Q107">
        <v>5</v>
      </c>
      <c r="R107">
        <v>5</v>
      </c>
      <c r="S107">
        <v>61</v>
      </c>
      <c r="T107">
        <v>61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4</v>
      </c>
      <c r="AC107">
        <v>4</v>
      </c>
      <c r="AD107">
        <v>13</v>
      </c>
      <c r="AE107">
        <v>7</v>
      </c>
      <c r="AF107">
        <v>8</v>
      </c>
      <c r="AG107">
        <v>9</v>
      </c>
      <c r="AH107">
        <v>7</v>
      </c>
      <c r="AI107">
        <v>8</v>
      </c>
      <c r="AJ107">
        <v>4</v>
      </c>
      <c r="AK107">
        <v>5</v>
      </c>
      <c r="AL107">
        <v>39744640</v>
      </c>
      <c r="AM107">
        <v>65379588</v>
      </c>
      <c r="AN107">
        <v>49219800</v>
      </c>
      <c r="AO107">
        <v>49597948</v>
      </c>
      <c r="AP107">
        <v>88146584</v>
      </c>
      <c r="AQ107">
        <v>85272792</v>
      </c>
      <c r="AR107">
        <v>29522544</v>
      </c>
      <c r="AS107">
        <v>22468784</v>
      </c>
      <c r="AT107">
        <v>43460636</v>
      </c>
      <c r="AU107">
        <v>52686592</v>
      </c>
      <c r="AV107">
        <v>39009608</v>
      </c>
      <c r="AW107">
        <v>46004340</v>
      </c>
      <c r="AX107">
        <v>41719540</v>
      </c>
      <c r="AY107">
        <v>39460932</v>
      </c>
      <c r="AZ107">
        <v>19260206</v>
      </c>
      <c r="BA107">
        <v>23748616</v>
      </c>
    </row>
    <row r="108" spans="1:53">
      <c r="A108">
        <v>20026</v>
      </c>
      <c r="B108" t="s">
        <v>506</v>
      </c>
      <c r="C108" t="s">
        <v>507</v>
      </c>
      <c r="D108" t="s">
        <v>508</v>
      </c>
      <c r="F108" t="s">
        <v>509</v>
      </c>
      <c r="G108">
        <v>312.39600000000002</v>
      </c>
      <c r="H108" t="s">
        <v>57</v>
      </c>
      <c r="I108">
        <v>2</v>
      </c>
      <c r="J108">
        <v>20</v>
      </c>
      <c r="K108">
        <v>0</v>
      </c>
      <c r="L108">
        <v>80.95</v>
      </c>
      <c r="M108">
        <v>7273</v>
      </c>
      <c r="N108">
        <v>4</v>
      </c>
      <c r="O108">
        <v>7</v>
      </c>
      <c r="P108">
        <v>7</v>
      </c>
      <c r="Q108">
        <v>8</v>
      </c>
      <c r="R108">
        <v>8</v>
      </c>
      <c r="S108">
        <v>117</v>
      </c>
      <c r="T108">
        <v>117</v>
      </c>
      <c r="U108">
        <v>7</v>
      </c>
      <c r="V108">
        <v>4</v>
      </c>
      <c r="W108">
        <v>6</v>
      </c>
      <c r="X108">
        <v>7</v>
      </c>
      <c r="Y108">
        <v>6</v>
      </c>
      <c r="Z108">
        <v>5</v>
      </c>
      <c r="AA108">
        <v>6</v>
      </c>
      <c r="AB108">
        <v>6</v>
      </c>
      <c r="AC108">
        <v>6</v>
      </c>
      <c r="AD108">
        <v>16</v>
      </c>
      <c r="AE108">
        <v>21</v>
      </c>
      <c r="AF108">
        <v>10</v>
      </c>
      <c r="AG108">
        <v>14</v>
      </c>
      <c r="AH108">
        <v>10</v>
      </c>
      <c r="AI108">
        <v>12</v>
      </c>
      <c r="AJ108">
        <v>12</v>
      </c>
      <c r="AK108">
        <v>21</v>
      </c>
      <c r="AL108">
        <v>156624624</v>
      </c>
      <c r="AM108">
        <v>278187040</v>
      </c>
      <c r="AN108">
        <v>192158640</v>
      </c>
      <c r="AO108">
        <v>145761376</v>
      </c>
      <c r="AP108">
        <v>428713984</v>
      </c>
      <c r="AQ108">
        <v>344076544</v>
      </c>
      <c r="AR108">
        <v>240697264</v>
      </c>
      <c r="AS108">
        <v>280285664</v>
      </c>
      <c r="AT108">
        <v>203977296</v>
      </c>
      <c r="AU108">
        <v>253347280</v>
      </c>
      <c r="AV108">
        <v>192435552</v>
      </c>
      <c r="AW108">
        <v>158291760</v>
      </c>
      <c r="AX108">
        <v>132789576</v>
      </c>
      <c r="AY108">
        <v>169102464</v>
      </c>
      <c r="AZ108">
        <v>140138304</v>
      </c>
      <c r="BA108">
        <v>253248752</v>
      </c>
    </row>
    <row r="109" spans="1:53">
      <c r="A109">
        <v>20037</v>
      </c>
      <c r="B109" t="s">
        <v>510</v>
      </c>
      <c r="C109" t="s">
        <v>511</v>
      </c>
      <c r="D109" t="s">
        <v>512</v>
      </c>
      <c r="E109" t="s">
        <v>513</v>
      </c>
      <c r="F109" t="s">
        <v>514</v>
      </c>
      <c r="G109">
        <v>310.13400000000001</v>
      </c>
      <c r="H109" t="s">
        <v>57</v>
      </c>
      <c r="I109">
        <v>2</v>
      </c>
      <c r="J109">
        <v>16</v>
      </c>
      <c r="K109">
        <v>5</v>
      </c>
      <c r="L109">
        <v>23.01</v>
      </c>
      <c r="M109">
        <v>53597</v>
      </c>
      <c r="N109">
        <v>20</v>
      </c>
      <c r="O109">
        <v>9</v>
      </c>
      <c r="P109">
        <v>9</v>
      </c>
      <c r="Q109">
        <v>9</v>
      </c>
      <c r="R109">
        <v>9</v>
      </c>
      <c r="S109">
        <v>45</v>
      </c>
      <c r="T109">
        <v>45</v>
      </c>
      <c r="U109">
        <v>9</v>
      </c>
      <c r="V109">
        <v>7</v>
      </c>
      <c r="W109">
        <v>7</v>
      </c>
      <c r="X109">
        <v>9</v>
      </c>
      <c r="Y109">
        <v>9</v>
      </c>
      <c r="Z109">
        <v>7</v>
      </c>
      <c r="AA109">
        <v>7</v>
      </c>
      <c r="AB109">
        <v>7</v>
      </c>
      <c r="AC109">
        <v>8</v>
      </c>
      <c r="AD109">
        <v>4</v>
      </c>
      <c r="AE109">
        <v>2</v>
      </c>
      <c r="AF109">
        <v>7</v>
      </c>
      <c r="AG109">
        <v>6</v>
      </c>
      <c r="AH109">
        <v>5</v>
      </c>
      <c r="AI109">
        <v>7</v>
      </c>
      <c r="AJ109">
        <v>10</v>
      </c>
      <c r="AK109">
        <v>6</v>
      </c>
      <c r="AL109">
        <v>7827860.5</v>
      </c>
      <c r="AM109">
        <v>12532996</v>
      </c>
      <c r="AN109">
        <v>25027728</v>
      </c>
      <c r="AO109">
        <v>25936920</v>
      </c>
      <c r="AP109">
        <v>29509176</v>
      </c>
      <c r="AQ109">
        <v>29612732</v>
      </c>
      <c r="AR109">
        <v>34421436</v>
      </c>
      <c r="AS109">
        <v>23252826</v>
      </c>
      <c r="AT109">
        <v>5357466</v>
      </c>
      <c r="AU109">
        <v>9776355</v>
      </c>
      <c r="AV109">
        <v>20848430</v>
      </c>
      <c r="AW109">
        <v>24037518</v>
      </c>
      <c r="AX109">
        <v>12473406</v>
      </c>
      <c r="AY109">
        <v>13996621</v>
      </c>
      <c r="AZ109">
        <v>22470692</v>
      </c>
      <c r="BA109">
        <v>21643632</v>
      </c>
    </row>
    <row r="110" spans="1:53">
      <c r="A110">
        <v>20177</v>
      </c>
      <c r="B110" t="s">
        <v>515</v>
      </c>
      <c r="C110" t="s">
        <v>516</v>
      </c>
      <c r="D110" t="s">
        <v>517</v>
      </c>
      <c r="F110" t="s">
        <v>518</v>
      </c>
      <c r="G110">
        <v>303.51799999999997</v>
      </c>
      <c r="H110" t="s">
        <v>57</v>
      </c>
      <c r="I110">
        <v>2</v>
      </c>
      <c r="J110">
        <v>3</v>
      </c>
      <c r="K110">
        <v>0</v>
      </c>
      <c r="L110">
        <v>40.54</v>
      </c>
      <c r="M110">
        <v>16794</v>
      </c>
      <c r="N110">
        <v>9</v>
      </c>
      <c r="O110">
        <v>4</v>
      </c>
      <c r="P110">
        <v>4</v>
      </c>
      <c r="Q110">
        <v>4</v>
      </c>
      <c r="R110">
        <v>4</v>
      </c>
      <c r="S110">
        <v>74</v>
      </c>
      <c r="T110">
        <v>74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5</v>
      </c>
      <c r="AE110">
        <v>7</v>
      </c>
      <c r="AF110">
        <v>11</v>
      </c>
      <c r="AG110">
        <v>13</v>
      </c>
      <c r="AH110">
        <v>7</v>
      </c>
      <c r="AI110">
        <v>8</v>
      </c>
      <c r="AJ110">
        <v>11</v>
      </c>
      <c r="AK110">
        <v>12</v>
      </c>
      <c r="AL110">
        <v>27006440</v>
      </c>
      <c r="AM110">
        <v>35457304</v>
      </c>
      <c r="AN110">
        <v>75072680</v>
      </c>
      <c r="AO110">
        <v>69348240</v>
      </c>
      <c r="AP110">
        <v>88494408</v>
      </c>
      <c r="AQ110">
        <v>91849400</v>
      </c>
      <c r="AR110">
        <v>90529432</v>
      </c>
      <c r="AS110">
        <v>63045920</v>
      </c>
      <c r="AT110">
        <v>29115236</v>
      </c>
      <c r="AU110">
        <v>30114724</v>
      </c>
      <c r="AV110">
        <v>66900220</v>
      </c>
      <c r="AW110">
        <v>72125848</v>
      </c>
      <c r="AX110">
        <v>35746752</v>
      </c>
      <c r="AY110">
        <v>42549624</v>
      </c>
      <c r="AZ110">
        <v>59006728</v>
      </c>
      <c r="BA110">
        <v>56988356</v>
      </c>
    </row>
    <row r="111" spans="1:53">
      <c r="A111">
        <v>20217</v>
      </c>
      <c r="B111" t="s">
        <v>519</v>
      </c>
      <c r="C111" t="s">
        <v>520</v>
      </c>
      <c r="D111" t="s">
        <v>519</v>
      </c>
      <c r="F111" t="s">
        <v>521</v>
      </c>
      <c r="G111">
        <v>296.31</v>
      </c>
      <c r="H111" t="s">
        <v>57</v>
      </c>
      <c r="I111">
        <v>2</v>
      </c>
      <c r="J111">
        <v>1</v>
      </c>
      <c r="K111">
        <v>0</v>
      </c>
      <c r="L111">
        <v>25.35</v>
      </c>
      <c r="M111">
        <v>71136</v>
      </c>
      <c r="N111">
        <v>44</v>
      </c>
      <c r="O111">
        <v>15</v>
      </c>
      <c r="P111">
        <v>15</v>
      </c>
      <c r="Q111">
        <v>15</v>
      </c>
      <c r="R111">
        <v>15</v>
      </c>
      <c r="S111">
        <v>55</v>
      </c>
      <c r="T111">
        <v>55</v>
      </c>
      <c r="U111">
        <v>14</v>
      </c>
      <c r="V111">
        <v>9</v>
      </c>
      <c r="W111">
        <v>12</v>
      </c>
      <c r="X111">
        <v>13</v>
      </c>
      <c r="Y111">
        <v>13</v>
      </c>
      <c r="Z111">
        <v>13</v>
      </c>
      <c r="AA111">
        <v>14</v>
      </c>
      <c r="AB111">
        <v>13</v>
      </c>
      <c r="AC111">
        <v>14</v>
      </c>
      <c r="AD111">
        <v>3</v>
      </c>
      <c r="AE111">
        <v>6</v>
      </c>
      <c r="AF111">
        <v>10</v>
      </c>
      <c r="AG111">
        <v>8</v>
      </c>
      <c r="AH111">
        <v>5</v>
      </c>
      <c r="AI111">
        <v>5</v>
      </c>
      <c r="AJ111">
        <v>10</v>
      </c>
      <c r="AK111">
        <v>7</v>
      </c>
      <c r="AL111">
        <v>11288192</v>
      </c>
      <c r="AM111">
        <v>13054560</v>
      </c>
      <c r="AN111">
        <v>29333650</v>
      </c>
      <c r="AO111">
        <v>25049384</v>
      </c>
      <c r="AP111">
        <v>36582120</v>
      </c>
      <c r="AQ111">
        <v>36205872</v>
      </c>
      <c r="AR111">
        <v>35744156</v>
      </c>
      <c r="AS111">
        <v>24925068</v>
      </c>
      <c r="AT111">
        <v>12539183</v>
      </c>
      <c r="AU111">
        <v>11958857</v>
      </c>
      <c r="AV111">
        <v>23484362</v>
      </c>
      <c r="AW111">
        <v>22951728</v>
      </c>
      <c r="AX111">
        <v>16160017</v>
      </c>
      <c r="AY111">
        <v>16635954</v>
      </c>
      <c r="AZ111">
        <v>20613614</v>
      </c>
      <c r="BA111">
        <v>21205398</v>
      </c>
    </row>
    <row r="112" spans="1:53">
      <c r="A112">
        <v>20185</v>
      </c>
      <c r="B112" t="s">
        <v>522</v>
      </c>
      <c r="C112" t="s">
        <v>523</v>
      </c>
      <c r="D112" t="s">
        <v>522</v>
      </c>
      <c r="F112" t="s">
        <v>524</v>
      </c>
      <c r="G112">
        <v>294.20499999999998</v>
      </c>
      <c r="H112" t="s">
        <v>57</v>
      </c>
      <c r="I112">
        <v>2</v>
      </c>
      <c r="J112">
        <v>1</v>
      </c>
      <c r="K112">
        <v>0</v>
      </c>
      <c r="L112">
        <v>30.61</v>
      </c>
      <c r="M112">
        <v>37093</v>
      </c>
      <c r="N112">
        <v>20</v>
      </c>
      <c r="O112">
        <v>9</v>
      </c>
      <c r="P112">
        <v>9</v>
      </c>
      <c r="Q112">
        <v>9</v>
      </c>
      <c r="R112">
        <v>9</v>
      </c>
      <c r="S112">
        <v>49</v>
      </c>
      <c r="T112">
        <v>49</v>
      </c>
      <c r="U112">
        <v>9</v>
      </c>
      <c r="V112">
        <v>5</v>
      </c>
      <c r="W112">
        <v>6</v>
      </c>
      <c r="X112">
        <v>8</v>
      </c>
      <c r="Y112">
        <v>7</v>
      </c>
      <c r="Z112">
        <v>9</v>
      </c>
      <c r="AA112">
        <v>9</v>
      </c>
      <c r="AB112">
        <v>8</v>
      </c>
      <c r="AC112">
        <v>9</v>
      </c>
      <c r="AD112">
        <v>1</v>
      </c>
      <c r="AE112">
        <v>2</v>
      </c>
      <c r="AF112">
        <v>6</v>
      </c>
      <c r="AG112">
        <v>7</v>
      </c>
      <c r="AH112">
        <v>8</v>
      </c>
      <c r="AI112">
        <v>7</v>
      </c>
      <c r="AJ112">
        <v>10</v>
      </c>
      <c r="AK112">
        <v>8</v>
      </c>
      <c r="AL112">
        <v>14374616</v>
      </c>
      <c r="AM112">
        <v>18962492</v>
      </c>
      <c r="AN112">
        <v>34098160</v>
      </c>
      <c r="AO112">
        <v>29398316</v>
      </c>
      <c r="AP112">
        <v>47578476</v>
      </c>
      <c r="AQ112">
        <v>48082948</v>
      </c>
      <c r="AR112">
        <v>44065144</v>
      </c>
      <c r="AS112">
        <v>30364266</v>
      </c>
      <c r="AT112">
        <v>14938877</v>
      </c>
      <c r="AU112">
        <v>15982361</v>
      </c>
      <c r="AV112">
        <v>28332632</v>
      </c>
      <c r="AW112">
        <v>26762834</v>
      </c>
      <c r="AX112">
        <v>18454806</v>
      </c>
      <c r="AY112">
        <v>20837542</v>
      </c>
      <c r="AZ112">
        <v>25482104</v>
      </c>
      <c r="BA112">
        <v>25493312</v>
      </c>
    </row>
    <row r="113" spans="1:53">
      <c r="A113">
        <v>20182</v>
      </c>
      <c r="B113" t="s">
        <v>525</v>
      </c>
      <c r="C113" t="s">
        <v>526</v>
      </c>
      <c r="D113" t="s">
        <v>525</v>
      </c>
      <c r="F113" t="s">
        <v>527</v>
      </c>
      <c r="G113">
        <v>288.12299999999999</v>
      </c>
      <c r="H113" t="s">
        <v>57</v>
      </c>
      <c r="I113">
        <v>2</v>
      </c>
      <c r="J113">
        <v>1</v>
      </c>
      <c r="K113">
        <v>0</v>
      </c>
      <c r="L113">
        <v>27.67</v>
      </c>
      <c r="M113">
        <v>46215</v>
      </c>
      <c r="N113">
        <v>24</v>
      </c>
      <c r="O113">
        <v>13</v>
      </c>
      <c r="P113">
        <v>13</v>
      </c>
      <c r="Q113">
        <v>13</v>
      </c>
      <c r="R113">
        <v>13</v>
      </c>
      <c r="S113">
        <v>44</v>
      </c>
      <c r="T113">
        <v>44</v>
      </c>
      <c r="U113">
        <v>13</v>
      </c>
      <c r="V113">
        <v>7</v>
      </c>
      <c r="W113">
        <v>12</v>
      </c>
      <c r="X113">
        <v>12</v>
      </c>
      <c r="Y113">
        <v>12</v>
      </c>
      <c r="Z113">
        <v>12</v>
      </c>
      <c r="AA113">
        <v>12</v>
      </c>
      <c r="AB113">
        <v>12</v>
      </c>
      <c r="AC113">
        <v>12</v>
      </c>
      <c r="AD113">
        <v>0</v>
      </c>
      <c r="AE113">
        <v>3</v>
      </c>
      <c r="AF113">
        <v>10</v>
      </c>
      <c r="AG113">
        <v>3</v>
      </c>
      <c r="AH113">
        <v>6</v>
      </c>
      <c r="AI113">
        <v>7</v>
      </c>
      <c r="AJ113">
        <v>10</v>
      </c>
      <c r="AK113">
        <v>5</v>
      </c>
      <c r="AL113">
        <v>6629210</v>
      </c>
      <c r="AM113">
        <v>20437998</v>
      </c>
      <c r="AN113">
        <v>33012648</v>
      </c>
      <c r="AO113">
        <v>27284032</v>
      </c>
      <c r="AP113">
        <v>32954930</v>
      </c>
      <c r="AQ113">
        <v>29720366</v>
      </c>
      <c r="AR113">
        <v>28646038</v>
      </c>
      <c r="AS113">
        <v>17857152</v>
      </c>
      <c r="AT113">
        <v>6892046.5</v>
      </c>
      <c r="AU113">
        <v>13711373</v>
      </c>
      <c r="AV113">
        <v>22332558</v>
      </c>
      <c r="AW113">
        <v>23262274</v>
      </c>
      <c r="AX113">
        <v>14451925</v>
      </c>
      <c r="AY113">
        <v>14627497</v>
      </c>
      <c r="AZ113">
        <v>18223250</v>
      </c>
      <c r="BA113">
        <v>16666993</v>
      </c>
    </row>
    <row r="114" spans="1:53">
      <c r="A114">
        <v>20204</v>
      </c>
      <c r="B114" t="s">
        <v>528</v>
      </c>
      <c r="C114" t="s">
        <v>529</v>
      </c>
      <c r="D114" t="s">
        <v>528</v>
      </c>
      <c r="F114" t="s">
        <v>530</v>
      </c>
      <c r="G114">
        <v>285.63499999999999</v>
      </c>
      <c r="H114" t="s">
        <v>57</v>
      </c>
      <c r="I114">
        <v>2</v>
      </c>
      <c r="J114">
        <v>1</v>
      </c>
      <c r="K114">
        <v>0</v>
      </c>
      <c r="L114">
        <v>32.44</v>
      </c>
      <c r="M114">
        <v>56176</v>
      </c>
      <c r="N114">
        <v>30</v>
      </c>
      <c r="O114">
        <v>14</v>
      </c>
      <c r="P114">
        <v>14</v>
      </c>
      <c r="Q114">
        <v>14</v>
      </c>
      <c r="R114">
        <v>14</v>
      </c>
      <c r="S114">
        <v>58</v>
      </c>
      <c r="T114">
        <v>58</v>
      </c>
      <c r="U114">
        <v>13</v>
      </c>
      <c r="V114">
        <v>7</v>
      </c>
      <c r="W114">
        <v>10</v>
      </c>
      <c r="X114">
        <v>13</v>
      </c>
      <c r="Y114">
        <v>13</v>
      </c>
      <c r="Z114">
        <v>13</v>
      </c>
      <c r="AA114">
        <v>13</v>
      </c>
      <c r="AB114">
        <v>12</v>
      </c>
      <c r="AC114">
        <v>13</v>
      </c>
      <c r="AD114">
        <v>2</v>
      </c>
      <c r="AE114">
        <v>3</v>
      </c>
      <c r="AF114">
        <v>8</v>
      </c>
      <c r="AG114">
        <v>9</v>
      </c>
      <c r="AH114">
        <v>10</v>
      </c>
      <c r="AI114">
        <v>7</v>
      </c>
      <c r="AJ114">
        <v>8</v>
      </c>
      <c r="AK114">
        <v>10</v>
      </c>
      <c r="AL114">
        <v>15549959</v>
      </c>
      <c r="AM114">
        <v>21028760</v>
      </c>
      <c r="AN114">
        <v>38508988</v>
      </c>
      <c r="AO114">
        <v>38586872</v>
      </c>
      <c r="AP114">
        <v>40689188</v>
      </c>
      <c r="AQ114">
        <v>45237364</v>
      </c>
      <c r="AR114">
        <v>41382420</v>
      </c>
      <c r="AS114">
        <v>33874468</v>
      </c>
      <c r="AT114">
        <v>17139614</v>
      </c>
      <c r="AU114">
        <v>17165442</v>
      </c>
      <c r="AV114">
        <v>31641504</v>
      </c>
      <c r="AW114">
        <v>32347302</v>
      </c>
      <c r="AX114">
        <v>15758737</v>
      </c>
      <c r="AY114">
        <v>17997536</v>
      </c>
      <c r="AZ114">
        <v>22222782</v>
      </c>
      <c r="BA114">
        <v>26555638</v>
      </c>
    </row>
    <row r="115" spans="1:53">
      <c r="A115">
        <v>20002</v>
      </c>
      <c r="B115" t="s">
        <v>531</v>
      </c>
      <c r="C115" t="s">
        <v>532</v>
      </c>
      <c r="D115" t="s">
        <v>531</v>
      </c>
      <c r="F115" t="s">
        <v>533</v>
      </c>
      <c r="G115">
        <v>282.86599999999999</v>
      </c>
      <c r="H115" t="s">
        <v>57</v>
      </c>
      <c r="I115">
        <v>2</v>
      </c>
      <c r="J115">
        <v>1</v>
      </c>
      <c r="K115">
        <v>0</v>
      </c>
      <c r="L115">
        <v>46.99</v>
      </c>
      <c r="M115">
        <v>28633</v>
      </c>
      <c r="N115">
        <v>14</v>
      </c>
      <c r="O115">
        <v>8</v>
      </c>
      <c r="P115">
        <v>8</v>
      </c>
      <c r="Q115">
        <v>8</v>
      </c>
      <c r="R115">
        <v>8</v>
      </c>
      <c r="S115">
        <v>49</v>
      </c>
      <c r="T115">
        <v>49</v>
      </c>
      <c r="U115">
        <v>8</v>
      </c>
      <c r="V115">
        <v>7</v>
      </c>
      <c r="W115">
        <v>7</v>
      </c>
      <c r="X115">
        <v>7</v>
      </c>
      <c r="Y115">
        <v>8</v>
      </c>
      <c r="Z115">
        <v>8</v>
      </c>
      <c r="AA115">
        <v>7</v>
      </c>
      <c r="AB115">
        <v>8</v>
      </c>
      <c r="AC115">
        <v>8</v>
      </c>
      <c r="AD115">
        <v>3</v>
      </c>
      <c r="AE115">
        <v>3</v>
      </c>
      <c r="AF115">
        <v>6</v>
      </c>
      <c r="AG115">
        <v>9</v>
      </c>
      <c r="AH115">
        <v>6</v>
      </c>
      <c r="AI115">
        <v>6</v>
      </c>
      <c r="AJ115">
        <v>10</v>
      </c>
      <c r="AK115">
        <v>6</v>
      </c>
      <c r="AL115">
        <v>5813473</v>
      </c>
      <c r="AM115">
        <v>7874937</v>
      </c>
      <c r="AN115">
        <v>15439851</v>
      </c>
      <c r="AO115">
        <v>15153859</v>
      </c>
      <c r="AP115">
        <v>21845736</v>
      </c>
      <c r="AQ115">
        <v>18838488</v>
      </c>
      <c r="AR115">
        <v>20070454</v>
      </c>
      <c r="AS115">
        <v>13898468</v>
      </c>
      <c r="AT115">
        <v>7248892.5</v>
      </c>
      <c r="AU115">
        <v>7084170.5</v>
      </c>
      <c r="AV115">
        <v>13362268</v>
      </c>
      <c r="AW115">
        <v>14288459</v>
      </c>
      <c r="AX115">
        <v>8719911</v>
      </c>
      <c r="AY115">
        <v>8532306</v>
      </c>
      <c r="AZ115">
        <v>10662195</v>
      </c>
      <c r="BA115">
        <v>11530654</v>
      </c>
    </row>
    <row r="116" spans="1:53">
      <c r="A116">
        <v>20101</v>
      </c>
      <c r="B116" t="s">
        <v>534</v>
      </c>
      <c r="C116" t="s">
        <v>535</v>
      </c>
      <c r="D116" t="s">
        <v>536</v>
      </c>
      <c r="E116" t="s">
        <v>537</v>
      </c>
      <c r="F116" t="s">
        <v>538</v>
      </c>
      <c r="G116">
        <v>281.166</v>
      </c>
      <c r="H116" t="s">
        <v>57</v>
      </c>
      <c r="I116">
        <v>2</v>
      </c>
      <c r="J116">
        <v>6</v>
      </c>
      <c r="K116">
        <v>15</v>
      </c>
      <c r="L116">
        <v>35.880000000000003</v>
      </c>
      <c r="M116">
        <v>27337</v>
      </c>
      <c r="N116">
        <v>7</v>
      </c>
      <c r="O116">
        <v>6</v>
      </c>
      <c r="P116">
        <v>6</v>
      </c>
      <c r="Q116">
        <v>6</v>
      </c>
      <c r="R116">
        <v>6</v>
      </c>
      <c r="S116">
        <v>40</v>
      </c>
      <c r="T116">
        <v>40</v>
      </c>
      <c r="U116">
        <v>6</v>
      </c>
      <c r="V116">
        <v>3</v>
      </c>
      <c r="W116">
        <v>4</v>
      </c>
      <c r="X116">
        <v>6</v>
      </c>
      <c r="Y116">
        <v>4</v>
      </c>
      <c r="Z116">
        <v>6</v>
      </c>
      <c r="AA116">
        <v>6</v>
      </c>
      <c r="AB116">
        <v>6</v>
      </c>
      <c r="AC116">
        <v>6</v>
      </c>
      <c r="AD116">
        <v>3</v>
      </c>
      <c r="AE116">
        <v>3</v>
      </c>
      <c r="AF116">
        <v>3</v>
      </c>
      <c r="AG116">
        <v>2</v>
      </c>
      <c r="AH116">
        <v>6</v>
      </c>
      <c r="AI116">
        <v>8</v>
      </c>
      <c r="AJ116">
        <v>9</v>
      </c>
      <c r="AK116">
        <v>6</v>
      </c>
      <c r="AL116">
        <v>10452453</v>
      </c>
      <c r="AM116">
        <v>9960622</v>
      </c>
      <c r="AN116">
        <v>17166674</v>
      </c>
      <c r="AO116">
        <v>14219129</v>
      </c>
      <c r="AP116">
        <v>27955342</v>
      </c>
      <c r="AQ116">
        <v>33121520</v>
      </c>
      <c r="AR116">
        <v>37567184</v>
      </c>
      <c r="AS116">
        <v>31373532</v>
      </c>
      <c r="AT116">
        <v>13591943</v>
      </c>
      <c r="AU116">
        <v>9636381</v>
      </c>
      <c r="AV116">
        <v>13495655</v>
      </c>
      <c r="AW116">
        <v>9207158</v>
      </c>
      <c r="AX116">
        <v>15069182</v>
      </c>
      <c r="AY116">
        <v>20462292</v>
      </c>
      <c r="AZ116">
        <v>30149014</v>
      </c>
      <c r="BA116">
        <v>40426784</v>
      </c>
    </row>
    <row r="117" spans="1:53">
      <c r="A117">
        <v>20041</v>
      </c>
      <c r="B117" t="s">
        <v>539</v>
      </c>
      <c r="C117" t="s">
        <v>540</v>
      </c>
      <c r="D117" t="s">
        <v>539</v>
      </c>
      <c r="E117" t="s">
        <v>541</v>
      </c>
      <c r="F117" t="s">
        <v>542</v>
      </c>
      <c r="G117">
        <v>280.83</v>
      </c>
      <c r="H117" t="s">
        <v>57</v>
      </c>
      <c r="I117">
        <v>2</v>
      </c>
      <c r="J117">
        <v>1</v>
      </c>
      <c r="K117">
        <v>6</v>
      </c>
      <c r="L117">
        <v>19.62</v>
      </c>
      <c r="M117">
        <v>40367</v>
      </c>
      <c r="N117">
        <v>21</v>
      </c>
      <c r="O117">
        <v>7</v>
      </c>
      <c r="P117">
        <v>7</v>
      </c>
      <c r="Q117">
        <v>7</v>
      </c>
      <c r="R117">
        <v>7</v>
      </c>
      <c r="S117">
        <v>89</v>
      </c>
      <c r="T117">
        <v>89</v>
      </c>
      <c r="U117">
        <v>7</v>
      </c>
      <c r="V117">
        <v>7</v>
      </c>
      <c r="W117">
        <v>7</v>
      </c>
      <c r="X117">
        <v>7</v>
      </c>
      <c r="Y117">
        <v>6</v>
      </c>
      <c r="Z117">
        <v>7</v>
      </c>
      <c r="AA117">
        <v>7</v>
      </c>
      <c r="AB117">
        <v>7</v>
      </c>
      <c r="AC117">
        <v>7</v>
      </c>
      <c r="AD117">
        <v>19</v>
      </c>
      <c r="AE117">
        <v>15</v>
      </c>
      <c r="AF117">
        <v>8</v>
      </c>
      <c r="AG117">
        <v>7</v>
      </c>
      <c r="AH117">
        <v>19</v>
      </c>
      <c r="AI117">
        <v>16</v>
      </c>
      <c r="AJ117">
        <v>3</v>
      </c>
      <c r="AK117">
        <v>2</v>
      </c>
      <c r="AL117">
        <v>62215964</v>
      </c>
      <c r="AM117">
        <v>73414680</v>
      </c>
      <c r="AN117">
        <v>21105946</v>
      </c>
      <c r="AO117">
        <v>19505682</v>
      </c>
      <c r="AP117">
        <v>81327104</v>
      </c>
      <c r="AQ117">
        <v>62487516</v>
      </c>
      <c r="AR117">
        <v>7387830</v>
      </c>
      <c r="AS117">
        <v>6618353.5</v>
      </c>
      <c r="AT117">
        <v>96952384</v>
      </c>
      <c r="AU117">
        <v>95663368</v>
      </c>
      <c r="AV117">
        <v>27974214</v>
      </c>
      <c r="AW117">
        <v>30040814</v>
      </c>
      <c r="AX117">
        <v>57106784</v>
      </c>
      <c r="AY117">
        <v>51240052</v>
      </c>
      <c r="AZ117">
        <v>7857661</v>
      </c>
      <c r="BA117">
        <v>8678348</v>
      </c>
    </row>
    <row r="118" spans="1:53">
      <c r="A118">
        <v>20056</v>
      </c>
      <c r="B118" t="s">
        <v>543</v>
      </c>
      <c r="C118" t="s">
        <v>544</v>
      </c>
      <c r="D118" t="s">
        <v>545</v>
      </c>
      <c r="E118" t="s">
        <v>546</v>
      </c>
      <c r="F118" t="s">
        <v>547</v>
      </c>
      <c r="G118">
        <v>279.90499999999997</v>
      </c>
      <c r="H118" t="s">
        <v>57</v>
      </c>
      <c r="I118">
        <v>2</v>
      </c>
      <c r="J118">
        <v>18</v>
      </c>
      <c r="K118">
        <v>2</v>
      </c>
      <c r="L118">
        <v>54.84</v>
      </c>
      <c r="M118">
        <v>13736</v>
      </c>
      <c r="N118">
        <v>7</v>
      </c>
      <c r="O118">
        <v>9</v>
      </c>
      <c r="P118">
        <v>9</v>
      </c>
      <c r="Q118">
        <v>9</v>
      </c>
      <c r="R118">
        <v>9</v>
      </c>
      <c r="S118">
        <v>474</v>
      </c>
      <c r="T118">
        <v>474</v>
      </c>
      <c r="U118">
        <v>9</v>
      </c>
      <c r="V118">
        <v>7</v>
      </c>
      <c r="W118">
        <v>6</v>
      </c>
      <c r="X118">
        <v>9</v>
      </c>
      <c r="Y118">
        <v>9</v>
      </c>
      <c r="Z118">
        <v>7</v>
      </c>
      <c r="AA118">
        <v>7</v>
      </c>
      <c r="AB118">
        <v>7</v>
      </c>
      <c r="AC118">
        <v>7</v>
      </c>
      <c r="AD118">
        <v>15</v>
      </c>
      <c r="AE118">
        <v>10</v>
      </c>
      <c r="AF118">
        <v>37</v>
      </c>
      <c r="AG118">
        <v>80</v>
      </c>
      <c r="AH118">
        <v>65</v>
      </c>
      <c r="AI118">
        <v>80</v>
      </c>
      <c r="AJ118">
        <v>92</v>
      </c>
      <c r="AK118">
        <v>95</v>
      </c>
      <c r="AL118">
        <v>1894243712</v>
      </c>
      <c r="AM118">
        <v>2200312320</v>
      </c>
      <c r="AN118">
        <v>1319555328</v>
      </c>
      <c r="AO118">
        <v>1341590272</v>
      </c>
      <c r="AP118">
        <v>3641562624</v>
      </c>
      <c r="AQ118">
        <v>2957091584</v>
      </c>
      <c r="AR118">
        <v>1177380992</v>
      </c>
      <c r="AS118">
        <v>1148560640</v>
      </c>
      <c r="AT118">
        <v>274903456</v>
      </c>
      <c r="AU118">
        <v>416064320</v>
      </c>
      <c r="AV118">
        <v>1008369856</v>
      </c>
      <c r="AW118">
        <v>1652686848</v>
      </c>
      <c r="AX118">
        <v>1911096064</v>
      </c>
      <c r="AY118">
        <v>2356818176</v>
      </c>
      <c r="AZ118">
        <v>1081278976</v>
      </c>
      <c r="BA118">
        <v>954230592</v>
      </c>
    </row>
    <row r="119" spans="1:53">
      <c r="A119">
        <v>20190</v>
      </c>
      <c r="B119" t="s">
        <v>548</v>
      </c>
      <c r="C119" t="s">
        <v>549</v>
      </c>
      <c r="D119" t="s">
        <v>550</v>
      </c>
      <c r="F119" t="s">
        <v>551</v>
      </c>
      <c r="G119">
        <v>268.12400000000002</v>
      </c>
      <c r="H119" t="s">
        <v>57</v>
      </c>
      <c r="I119">
        <v>2</v>
      </c>
      <c r="J119">
        <v>3</v>
      </c>
      <c r="K119">
        <v>0</v>
      </c>
      <c r="L119">
        <v>15.31</v>
      </c>
      <c r="M119">
        <v>64421</v>
      </c>
      <c r="N119">
        <v>37</v>
      </c>
      <c r="O119">
        <v>8</v>
      </c>
      <c r="P119">
        <v>8</v>
      </c>
      <c r="Q119">
        <v>8</v>
      </c>
      <c r="R119">
        <v>8</v>
      </c>
      <c r="S119">
        <v>28</v>
      </c>
      <c r="T119">
        <v>28</v>
      </c>
      <c r="U119">
        <v>8</v>
      </c>
      <c r="V119">
        <v>6</v>
      </c>
      <c r="W119">
        <v>7</v>
      </c>
      <c r="X119">
        <v>8</v>
      </c>
      <c r="Y119">
        <v>8</v>
      </c>
      <c r="Z119">
        <v>8</v>
      </c>
      <c r="AA119">
        <v>8</v>
      </c>
      <c r="AB119">
        <v>8</v>
      </c>
      <c r="AC119">
        <v>8</v>
      </c>
      <c r="AD119">
        <v>2</v>
      </c>
      <c r="AE119">
        <v>1</v>
      </c>
      <c r="AF119">
        <v>5</v>
      </c>
      <c r="AG119">
        <v>4</v>
      </c>
      <c r="AH119">
        <v>2</v>
      </c>
      <c r="AI119">
        <v>4</v>
      </c>
      <c r="AJ119">
        <v>6</v>
      </c>
      <c r="AK119">
        <v>4</v>
      </c>
      <c r="AL119">
        <v>6592169.5</v>
      </c>
      <c r="AM119">
        <v>10644797</v>
      </c>
      <c r="AN119">
        <v>16158400</v>
      </c>
      <c r="AO119">
        <v>14621720</v>
      </c>
      <c r="AP119">
        <v>17158268</v>
      </c>
      <c r="AQ119">
        <v>16334774</v>
      </c>
      <c r="AR119">
        <v>18669504</v>
      </c>
      <c r="AS119">
        <v>12132113</v>
      </c>
      <c r="AT119">
        <v>7659790</v>
      </c>
      <c r="AU119">
        <v>7665721.5</v>
      </c>
      <c r="AV119">
        <v>12534449</v>
      </c>
      <c r="AW119">
        <v>12717089</v>
      </c>
      <c r="AX119">
        <v>6707185.5</v>
      </c>
      <c r="AY119">
        <v>7015992</v>
      </c>
      <c r="AZ119">
        <v>9803924</v>
      </c>
      <c r="BA119">
        <v>9783749</v>
      </c>
    </row>
    <row r="120" spans="1:53">
      <c r="A120">
        <v>20071</v>
      </c>
      <c r="B120" t="s">
        <v>552</v>
      </c>
      <c r="C120" t="s">
        <v>553</v>
      </c>
      <c r="D120" t="s">
        <v>554</v>
      </c>
      <c r="E120" t="s">
        <v>555</v>
      </c>
      <c r="F120" t="s">
        <v>556</v>
      </c>
      <c r="G120">
        <v>267.32499999999999</v>
      </c>
      <c r="H120" t="s">
        <v>57</v>
      </c>
      <c r="I120">
        <v>2</v>
      </c>
      <c r="J120">
        <v>19</v>
      </c>
      <c r="K120">
        <v>2</v>
      </c>
      <c r="L120">
        <v>70.790000000000006</v>
      </c>
      <c r="M120">
        <v>10268</v>
      </c>
      <c r="N120">
        <v>5</v>
      </c>
      <c r="O120">
        <v>9</v>
      </c>
      <c r="P120">
        <v>9</v>
      </c>
      <c r="Q120">
        <v>9</v>
      </c>
      <c r="R120">
        <v>9</v>
      </c>
      <c r="S120">
        <v>269</v>
      </c>
      <c r="T120">
        <v>269</v>
      </c>
      <c r="U120">
        <v>9</v>
      </c>
      <c r="V120">
        <v>7</v>
      </c>
      <c r="W120">
        <v>7</v>
      </c>
      <c r="X120">
        <v>6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26</v>
      </c>
      <c r="AE120">
        <v>26</v>
      </c>
      <c r="AF120">
        <v>40</v>
      </c>
      <c r="AG120">
        <v>29</v>
      </c>
      <c r="AH120">
        <v>46</v>
      </c>
      <c r="AI120">
        <v>39</v>
      </c>
      <c r="AJ120">
        <v>31</v>
      </c>
      <c r="AK120">
        <v>32</v>
      </c>
      <c r="AL120">
        <v>1598065664</v>
      </c>
      <c r="AM120">
        <v>1563269376</v>
      </c>
      <c r="AN120">
        <v>675598912</v>
      </c>
      <c r="AO120">
        <v>550677120</v>
      </c>
      <c r="AP120">
        <v>1899647232</v>
      </c>
      <c r="AQ120">
        <v>1773118720</v>
      </c>
      <c r="AR120">
        <v>727359680</v>
      </c>
      <c r="AS120">
        <v>596218240</v>
      </c>
      <c r="AT120">
        <v>583131264</v>
      </c>
      <c r="AU120">
        <v>551354560</v>
      </c>
      <c r="AV120">
        <v>412165728</v>
      </c>
      <c r="AW120">
        <v>445861856</v>
      </c>
      <c r="AX120">
        <v>929736704</v>
      </c>
      <c r="AY120">
        <v>1455221248</v>
      </c>
      <c r="AZ120">
        <v>846119552</v>
      </c>
      <c r="BA120">
        <v>813323200</v>
      </c>
    </row>
    <row r="121" spans="1:53">
      <c r="A121">
        <v>20064</v>
      </c>
      <c r="B121" t="s">
        <v>557</v>
      </c>
      <c r="C121" t="s">
        <v>558</v>
      </c>
      <c r="D121" t="s">
        <v>559</v>
      </c>
      <c r="F121" t="s">
        <v>560</v>
      </c>
      <c r="G121">
        <v>264.11399999999998</v>
      </c>
      <c r="H121" t="s">
        <v>57</v>
      </c>
      <c r="I121">
        <v>2</v>
      </c>
      <c r="J121">
        <v>20</v>
      </c>
      <c r="K121">
        <v>0</v>
      </c>
      <c r="L121">
        <v>98.31</v>
      </c>
      <c r="M121">
        <v>6541</v>
      </c>
      <c r="N121">
        <v>4</v>
      </c>
      <c r="O121">
        <v>11</v>
      </c>
      <c r="P121">
        <v>11</v>
      </c>
      <c r="Q121">
        <v>11</v>
      </c>
      <c r="R121">
        <v>11</v>
      </c>
      <c r="S121">
        <v>329</v>
      </c>
      <c r="T121">
        <v>329</v>
      </c>
      <c r="U121">
        <v>11</v>
      </c>
      <c r="V121">
        <v>8</v>
      </c>
      <c r="W121">
        <v>9</v>
      </c>
      <c r="X121">
        <v>10</v>
      </c>
      <c r="Y121">
        <v>9</v>
      </c>
      <c r="Z121">
        <v>11</v>
      </c>
      <c r="AA121">
        <v>11</v>
      </c>
      <c r="AB121">
        <v>10</v>
      </c>
      <c r="AC121">
        <v>10</v>
      </c>
      <c r="AD121">
        <v>46</v>
      </c>
      <c r="AE121">
        <v>46</v>
      </c>
      <c r="AF121">
        <v>60</v>
      </c>
      <c r="AG121">
        <v>29</v>
      </c>
      <c r="AH121">
        <v>50</v>
      </c>
      <c r="AI121">
        <v>34</v>
      </c>
      <c r="AJ121">
        <v>28</v>
      </c>
      <c r="AK121">
        <v>36</v>
      </c>
      <c r="AL121">
        <v>409016512</v>
      </c>
      <c r="AM121">
        <v>511761600</v>
      </c>
      <c r="AN121">
        <v>370769440</v>
      </c>
      <c r="AO121">
        <v>246286128</v>
      </c>
      <c r="AP121">
        <v>604334016</v>
      </c>
      <c r="AQ121">
        <v>514536736</v>
      </c>
      <c r="AR121">
        <v>321935712</v>
      </c>
      <c r="AS121">
        <v>370301184</v>
      </c>
      <c r="AT121">
        <v>328020032</v>
      </c>
      <c r="AU121">
        <v>409485920</v>
      </c>
      <c r="AV121">
        <v>332083136</v>
      </c>
      <c r="AW121">
        <v>232786976</v>
      </c>
      <c r="AX121">
        <v>315170176</v>
      </c>
      <c r="AY121">
        <v>294296032</v>
      </c>
      <c r="AZ121">
        <v>192623760</v>
      </c>
      <c r="BA121">
        <v>248736736</v>
      </c>
    </row>
    <row r="122" spans="1:53">
      <c r="A122">
        <v>20082</v>
      </c>
      <c r="B122" t="s">
        <v>561</v>
      </c>
      <c r="C122" t="s">
        <v>562</v>
      </c>
      <c r="D122" t="s">
        <v>563</v>
      </c>
      <c r="F122" t="s">
        <v>564</v>
      </c>
      <c r="G122">
        <v>260.73399999999998</v>
      </c>
      <c r="H122" t="s">
        <v>57</v>
      </c>
      <c r="I122">
        <v>2</v>
      </c>
      <c r="J122">
        <v>18</v>
      </c>
      <c r="K122">
        <v>0</v>
      </c>
      <c r="L122">
        <v>75.44</v>
      </c>
      <c r="M122">
        <v>6446</v>
      </c>
      <c r="N122">
        <v>3</v>
      </c>
      <c r="O122">
        <v>5</v>
      </c>
      <c r="P122">
        <v>5</v>
      </c>
      <c r="Q122">
        <v>5</v>
      </c>
      <c r="R122">
        <v>5</v>
      </c>
      <c r="S122">
        <v>269</v>
      </c>
      <c r="T122">
        <v>269</v>
      </c>
      <c r="U122">
        <v>5</v>
      </c>
      <c r="V122">
        <v>4</v>
      </c>
      <c r="W122">
        <v>3</v>
      </c>
      <c r="X122">
        <v>3</v>
      </c>
      <c r="Y122">
        <v>5</v>
      </c>
      <c r="Z122">
        <v>4</v>
      </c>
      <c r="AA122">
        <v>5</v>
      </c>
      <c r="AB122">
        <v>4</v>
      </c>
      <c r="AC122">
        <v>3</v>
      </c>
      <c r="AD122">
        <v>29</v>
      </c>
      <c r="AE122">
        <v>34</v>
      </c>
      <c r="AF122">
        <v>23</v>
      </c>
      <c r="AG122">
        <v>19</v>
      </c>
      <c r="AH122">
        <v>54</v>
      </c>
      <c r="AI122">
        <v>48</v>
      </c>
      <c r="AJ122">
        <v>29</v>
      </c>
      <c r="AK122">
        <v>33</v>
      </c>
      <c r="AL122">
        <v>16701259</v>
      </c>
      <c r="AM122">
        <v>18417452</v>
      </c>
      <c r="AN122">
        <v>13933818</v>
      </c>
      <c r="AO122">
        <v>16395269</v>
      </c>
      <c r="AP122">
        <v>34067524</v>
      </c>
      <c r="AQ122">
        <v>26783480</v>
      </c>
      <c r="AR122">
        <v>17440052</v>
      </c>
      <c r="AS122">
        <v>14891760</v>
      </c>
      <c r="AT122">
        <v>10937966</v>
      </c>
      <c r="AU122">
        <v>14887161</v>
      </c>
      <c r="AV122">
        <v>5327015.5</v>
      </c>
      <c r="AW122">
        <v>11357419</v>
      </c>
      <c r="AX122">
        <v>32648984</v>
      </c>
      <c r="AY122">
        <v>22010530</v>
      </c>
      <c r="AZ122">
        <v>20367676</v>
      </c>
      <c r="BA122">
        <v>16693774</v>
      </c>
    </row>
    <row r="123" spans="1:53">
      <c r="A123">
        <v>20243</v>
      </c>
      <c r="B123" t="s">
        <v>565</v>
      </c>
      <c r="C123" t="s">
        <v>566</v>
      </c>
      <c r="D123" t="s">
        <v>567</v>
      </c>
      <c r="F123" t="s">
        <v>568</v>
      </c>
      <c r="G123">
        <v>254.70099999999999</v>
      </c>
      <c r="H123" t="s">
        <v>57</v>
      </c>
      <c r="I123">
        <v>2</v>
      </c>
      <c r="J123">
        <v>3</v>
      </c>
      <c r="K123">
        <v>0</v>
      </c>
      <c r="L123">
        <v>29.84</v>
      </c>
      <c r="M123">
        <v>34275</v>
      </c>
      <c r="N123">
        <v>17</v>
      </c>
      <c r="O123">
        <v>7</v>
      </c>
      <c r="P123">
        <v>7</v>
      </c>
      <c r="Q123">
        <v>7</v>
      </c>
      <c r="R123">
        <v>7</v>
      </c>
      <c r="S123">
        <v>34</v>
      </c>
      <c r="T123">
        <v>34</v>
      </c>
      <c r="U123">
        <v>7</v>
      </c>
      <c r="V123">
        <v>4</v>
      </c>
      <c r="W123">
        <v>4</v>
      </c>
      <c r="X123">
        <v>5</v>
      </c>
      <c r="Y123">
        <v>5</v>
      </c>
      <c r="Z123">
        <v>7</v>
      </c>
      <c r="AA123">
        <v>7</v>
      </c>
      <c r="AB123">
        <v>7</v>
      </c>
      <c r="AC123">
        <v>7</v>
      </c>
      <c r="AD123">
        <v>0</v>
      </c>
      <c r="AE123">
        <v>3</v>
      </c>
      <c r="AF123">
        <v>3</v>
      </c>
      <c r="AG123">
        <v>6</v>
      </c>
      <c r="AH123">
        <v>4</v>
      </c>
      <c r="AI123">
        <v>6</v>
      </c>
      <c r="AJ123">
        <v>7</v>
      </c>
      <c r="AK123">
        <v>5</v>
      </c>
      <c r="AL123">
        <v>7896976</v>
      </c>
      <c r="AM123">
        <v>8125843.5</v>
      </c>
      <c r="AN123">
        <v>14481958</v>
      </c>
      <c r="AO123">
        <v>17382110</v>
      </c>
      <c r="AP123">
        <v>27606580</v>
      </c>
      <c r="AQ123">
        <v>32280382</v>
      </c>
      <c r="AR123">
        <v>32913304</v>
      </c>
      <c r="AS123">
        <v>19408752</v>
      </c>
      <c r="AT123">
        <v>10133989</v>
      </c>
      <c r="AU123">
        <v>9205856</v>
      </c>
      <c r="AV123">
        <v>13910894</v>
      </c>
      <c r="AW123">
        <v>17688854</v>
      </c>
      <c r="AX123">
        <v>10609693</v>
      </c>
      <c r="AY123">
        <v>13348281</v>
      </c>
      <c r="AZ123">
        <v>19083206</v>
      </c>
      <c r="BA123">
        <v>17624300</v>
      </c>
    </row>
    <row r="124" spans="1:53">
      <c r="A124">
        <v>20143</v>
      </c>
      <c r="B124" t="s">
        <v>569</v>
      </c>
      <c r="D124" t="s">
        <v>569</v>
      </c>
      <c r="F124" t="s">
        <v>570</v>
      </c>
      <c r="G124">
        <v>250.41200000000001</v>
      </c>
      <c r="H124" t="s">
        <v>57</v>
      </c>
      <c r="I124">
        <v>2</v>
      </c>
      <c r="J124">
        <v>1</v>
      </c>
      <c r="K124">
        <v>0</v>
      </c>
      <c r="L124">
        <v>25.11</v>
      </c>
      <c r="M124">
        <v>24409</v>
      </c>
      <c r="N124">
        <v>12</v>
      </c>
      <c r="O124">
        <v>4</v>
      </c>
      <c r="P124">
        <v>4</v>
      </c>
      <c r="Q124">
        <v>5</v>
      </c>
      <c r="R124">
        <v>5</v>
      </c>
      <c r="S124">
        <v>133</v>
      </c>
      <c r="T124">
        <v>133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19</v>
      </c>
      <c r="AE124">
        <v>15</v>
      </c>
      <c r="AF124">
        <v>19</v>
      </c>
      <c r="AG124">
        <v>17</v>
      </c>
      <c r="AH124">
        <v>13</v>
      </c>
      <c r="AI124">
        <v>13</v>
      </c>
      <c r="AJ124">
        <v>17</v>
      </c>
      <c r="AK124">
        <v>20</v>
      </c>
      <c r="AL124">
        <v>1561640448</v>
      </c>
      <c r="AM124">
        <v>1370350336</v>
      </c>
      <c r="AN124">
        <v>1335456512</v>
      </c>
      <c r="AO124">
        <v>1345870464</v>
      </c>
      <c r="AP124">
        <v>1289725312</v>
      </c>
      <c r="AQ124">
        <v>1318624640</v>
      </c>
      <c r="AR124">
        <v>1298822400</v>
      </c>
      <c r="AS124">
        <v>1083227264</v>
      </c>
      <c r="AT124">
        <v>932254464</v>
      </c>
      <c r="AU124">
        <v>795665344</v>
      </c>
      <c r="AV124">
        <v>1071917888</v>
      </c>
      <c r="AW124">
        <v>1174658048</v>
      </c>
      <c r="AX124">
        <v>636945728</v>
      </c>
      <c r="AY124">
        <v>753728000</v>
      </c>
      <c r="AZ124">
        <v>976053952</v>
      </c>
      <c r="BA124">
        <v>1247016960</v>
      </c>
    </row>
    <row r="125" spans="1:53">
      <c r="A125">
        <v>20046</v>
      </c>
      <c r="B125" t="s">
        <v>571</v>
      </c>
      <c r="C125" t="s">
        <v>470</v>
      </c>
      <c r="D125" t="s">
        <v>571</v>
      </c>
      <c r="F125" t="s">
        <v>572</v>
      </c>
      <c r="G125">
        <v>248.31899999999999</v>
      </c>
      <c r="H125" t="s">
        <v>57</v>
      </c>
      <c r="I125">
        <v>2</v>
      </c>
      <c r="J125">
        <v>1</v>
      </c>
      <c r="K125">
        <v>0</v>
      </c>
      <c r="L125">
        <v>51.49</v>
      </c>
      <c r="M125">
        <v>11594</v>
      </c>
      <c r="N125">
        <v>7</v>
      </c>
      <c r="O125">
        <v>12</v>
      </c>
      <c r="P125">
        <v>1</v>
      </c>
      <c r="Q125">
        <v>12</v>
      </c>
      <c r="R125">
        <v>1</v>
      </c>
      <c r="S125">
        <v>504</v>
      </c>
      <c r="T125">
        <v>9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2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550905472</v>
      </c>
      <c r="AM125">
        <v>749905792</v>
      </c>
      <c r="AN125">
        <v>725427072</v>
      </c>
      <c r="AO125">
        <v>647786304</v>
      </c>
      <c r="AP125">
        <v>2924041728</v>
      </c>
      <c r="AQ125">
        <v>2418269184</v>
      </c>
      <c r="AR125">
        <v>1093097600</v>
      </c>
      <c r="AS125">
        <v>648063040</v>
      </c>
      <c r="AT125">
        <v>2452051</v>
      </c>
      <c r="AU125">
        <v>1811835.25</v>
      </c>
      <c r="AV125">
        <v>1211380</v>
      </c>
      <c r="AW125">
        <v>979552.5</v>
      </c>
      <c r="AX125">
        <v>1114968.3799999999</v>
      </c>
      <c r="AY125">
        <v>1305523.3799999999</v>
      </c>
      <c r="AZ125">
        <v>1128789.3799999999</v>
      </c>
      <c r="BA125">
        <v>1028869.81</v>
      </c>
    </row>
    <row r="126" spans="1:53">
      <c r="A126">
        <v>19995</v>
      </c>
      <c r="B126" t="s">
        <v>573</v>
      </c>
      <c r="C126" t="s">
        <v>574</v>
      </c>
      <c r="D126" t="s">
        <v>575</v>
      </c>
      <c r="E126" t="s">
        <v>576</v>
      </c>
      <c r="F126" t="s">
        <v>577</v>
      </c>
      <c r="G126">
        <v>242.98</v>
      </c>
      <c r="H126" t="s">
        <v>57</v>
      </c>
      <c r="I126">
        <v>2</v>
      </c>
      <c r="J126">
        <v>20</v>
      </c>
      <c r="K126">
        <v>1</v>
      </c>
      <c r="L126">
        <v>68.5</v>
      </c>
      <c r="M126">
        <v>14364</v>
      </c>
      <c r="N126">
        <v>8</v>
      </c>
      <c r="O126">
        <v>11</v>
      </c>
      <c r="P126">
        <v>11</v>
      </c>
      <c r="Q126">
        <v>12</v>
      </c>
      <c r="R126">
        <v>12</v>
      </c>
      <c r="S126">
        <v>122</v>
      </c>
      <c r="T126">
        <v>122</v>
      </c>
      <c r="U126">
        <v>12</v>
      </c>
      <c r="V126">
        <v>9</v>
      </c>
      <c r="W126">
        <v>9</v>
      </c>
      <c r="X126">
        <v>10</v>
      </c>
      <c r="Y126">
        <v>11</v>
      </c>
      <c r="Z126">
        <v>11</v>
      </c>
      <c r="AA126">
        <v>11</v>
      </c>
      <c r="AB126">
        <v>11</v>
      </c>
      <c r="AC126">
        <v>10</v>
      </c>
      <c r="AD126">
        <v>31</v>
      </c>
      <c r="AE126">
        <v>16</v>
      </c>
      <c r="AF126">
        <v>20</v>
      </c>
      <c r="AG126">
        <v>8</v>
      </c>
      <c r="AH126">
        <v>12</v>
      </c>
      <c r="AI126">
        <v>11</v>
      </c>
      <c r="AJ126">
        <v>10</v>
      </c>
      <c r="AK126">
        <v>14</v>
      </c>
      <c r="AL126">
        <v>463208352</v>
      </c>
      <c r="AM126">
        <v>707522048</v>
      </c>
      <c r="AN126">
        <v>368110624</v>
      </c>
      <c r="AO126">
        <v>280318656</v>
      </c>
      <c r="AP126">
        <v>474089856</v>
      </c>
      <c r="AQ126">
        <v>515790976</v>
      </c>
      <c r="AR126">
        <v>276364352</v>
      </c>
      <c r="AS126">
        <v>542727680</v>
      </c>
      <c r="AT126">
        <v>373349696</v>
      </c>
      <c r="AU126">
        <v>573774976</v>
      </c>
      <c r="AV126">
        <v>296338432</v>
      </c>
      <c r="AW126">
        <v>261275568</v>
      </c>
      <c r="AX126">
        <v>197861872</v>
      </c>
      <c r="AY126">
        <v>225762016</v>
      </c>
      <c r="AZ126">
        <v>184667552</v>
      </c>
      <c r="BA126">
        <v>433552320</v>
      </c>
    </row>
    <row r="127" spans="1:53">
      <c r="A127">
        <v>20067</v>
      </c>
      <c r="B127" t="s">
        <v>578</v>
      </c>
      <c r="C127" t="s">
        <v>579</v>
      </c>
      <c r="D127" t="s">
        <v>580</v>
      </c>
      <c r="E127" t="s">
        <v>581</v>
      </c>
      <c r="F127" t="s">
        <v>582</v>
      </c>
      <c r="G127">
        <v>242.535</v>
      </c>
      <c r="H127" t="s">
        <v>57</v>
      </c>
      <c r="I127">
        <v>2</v>
      </c>
      <c r="J127">
        <v>21</v>
      </c>
      <c r="K127">
        <v>2</v>
      </c>
      <c r="L127">
        <v>59.09</v>
      </c>
      <c r="M127">
        <v>19092</v>
      </c>
      <c r="N127">
        <v>7</v>
      </c>
      <c r="O127">
        <v>5</v>
      </c>
      <c r="P127">
        <v>5</v>
      </c>
      <c r="Q127">
        <v>5</v>
      </c>
      <c r="R127">
        <v>5</v>
      </c>
      <c r="S127">
        <v>37</v>
      </c>
      <c r="T127">
        <v>37</v>
      </c>
      <c r="U127">
        <v>5</v>
      </c>
      <c r="V127">
        <v>3</v>
      </c>
      <c r="W127">
        <v>4</v>
      </c>
      <c r="X127">
        <v>4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4</v>
      </c>
      <c r="AE127">
        <v>3</v>
      </c>
      <c r="AF127">
        <v>4</v>
      </c>
      <c r="AG127">
        <v>5</v>
      </c>
      <c r="AH127">
        <v>3</v>
      </c>
      <c r="AI127">
        <v>4</v>
      </c>
      <c r="AJ127">
        <v>9</v>
      </c>
      <c r="AK127">
        <v>5</v>
      </c>
      <c r="AL127">
        <v>23820868</v>
      </c>
      <c r="AM127">
        <v>18634394</v>
      </c>
      <c r="AN127">
        <v>44510240</v>
      </c>
      <c r="AO127">
        <v>43727596</v>
      </c>
      <c r="AP127">
        <v>64076976</v>
      </c>
      <c r="AQ127">
        <v>15167694</v>
      </c>
      <c r="AR127">
        <v>65856228</v>
      </c>
      <c r="AS127">
        <v>31209066</v>
      </c>
      <c r="AT127">
        <v>13655164</v>
      </c>
      <c r="AU127">
        <v>13828540</v>
      </c>
      <c r="AV127">
        <v>27201392</v>
      </c>
      <c r="AW127">
        <v>41502352</v>
      </c>
      <c r="AX127">
        <v>19134988</v>
      </c>
      <c r="AY127">
        <v>21490928</v>
      </c>
      <c r="AZ127">
        <v>38225148</v>
      </c>
      <c r="BA127">
        <v>36910800</v>
      </c>
    </row>
    <row r="128" spans="1:53">
      <c r="A128">
        <v>20199</v>
      </c>
      <c r="B128" t="s">
        <v>583</v>
      </c>
      <c r="C128" t="s">
        <v>584</v>
      </c>
      <c r="D128" t="s">
        <v>583</v>
      </c>
      <c r="F128" t="s">
        <v>585</v>
      </c>
      <c r="G128">
        <v>242.01499999999999</v>
      </c>
      <c r="H128" t="s">
        <v>57</v>
      </c>
      <c r="I128">
        <v>2</v>
      </c>
      <c r="J128">
        <v>1</v>
      </c>
      <c r="K128">
        <v>0</v>
      </c>
      <c r="L128">
        <v>25.91</v>
      </c>
      <c r="M128">
        <v>25096</v>
      </c>
      <c r="N128">
        <v>11</v>
      </c>
      <c r="O128">
        <v>6</v>
      </c>
      <c r="P128">
        <v>6</v>
      </c>
      <c r="Q128">
        <v>6</v>
      </c>
      <c r="R128">
        <v>6</v>
      </c>
      <c r="S128">
        <v>56</v>
      </c>
      <c r="T128">
        <v>56</v>
      </c>
      <c r="U128">
        <v>6</v>
      </c>
      <c r="V128">
        <v>5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4</v>
      </c>
      <c r="AF128">
        <v>8</v>
      </c>
      <c r="AG128">
        <v>9</v>
      </c>
      <c r="AH128">
        <v>6</v>
      </c>
      <c r="AI128">
        <v>8</v>
      </c>
      <c r="AJ128">
        <v>8</v>
      </c>
      <c r="AK128">
        <v>7</v>
      </c>
      <c r="AL128">
        <v>19867436</v>
      </c>
      <c r="AM128">
        <v>25401308</v>
      </c>
      <c r="AN128">
        <v>38430220</v>
      </c>
      <c r="AO128">
        <v>37370192</v>
      </c>
      <c r="AP128">
        <v>38327988</v>
      </c>
      <c r="AQ128">
        <v>44986932</v>
      </c>
      <c r="AR128">
        <v>48249736</v>
      </c>
      <c r="AS128">
        <v>39360348</v>
      </c>
      <c r="AT128">
        <v>18827786</v>
      </c>
      <c r="AU128">
        <v>19546068</v>
      </c>
      <c r="AV128">
        <v>33299264</v>
      </c>
      <c r="AW128">
        <v>35882492</v>
      </c>
      <c r="AX128">
        <v>16433163</v>
      </c>
      <c r="AY128">
        <v>22560848</v>
      </c>
      <c r="AZ128">
        <v>25980174</v>
      </c>
      <c r="BA128">
        <v>31869462</v>
      </c>
    </row>
    <row r="129" spans="1:53">
      <c r="A129">
        <v>20039</v>
      </c>
      <c r="B129" t="s">
        <v>586</v>
      </c>
      <c r="C129" t="s">
        <v>587</v>
      </c>
      <c r="D129" t="s">
        <v>588</v>
      </c>
      <c r="F129" t="s">
        <v>589</v>
      </c>
      <c r="G129">
        <v>240.08699999999999</v>
      </c>
      <c r="H129" t="s">
        <v>57</v>
      </c>
      <c r="I129">
        <v>2</v>
      </c>
      <c r="J129">
        <v>20</v>
      </c>
      <c r="K129">
        <v>0</v>
      </c>
      <c r="L129">
        <v>46.48</v>
      </c>
      <c r="M129">
        <v>8499</v>
      </c>
      <c r="N129">
        <v>2</v>
      </c>
      <c r="O129">
        <v>8</v>
      </c>
      <c r="P129">
        <v>8</v>
      </c>
      <c r="Q129">
        <v>8</v>
      </c>
      <c r="R129">
        <v>8</v>
      </c>
      <c r="S129">
        <v>571</v>
      </c>
      <c r="T129">
        <v>571</v>
      </c>
      <c r="U129">
        <v>8</v>
      </c>
      <c r="V129">
        <v>7</v>
      </c>
      <c r="W129">
        <v>6</v>
      </c>
      <c r="X129">
        <v>6</v>
      </c>
      <c r="Y129">
        <v>6</v>
      </c>
      <c r="Z129">
        <v>8</v>
      </c>
      <c r="AA129">
        <v>8</v>
      </c>
      <c r="AB129">
        <v>8</v>
      </c>
      <c r="AC129">
        <v>8</v>
      </c>
      <c r="AD129">
        <v>79</v>
      </c>
      <c r="AE129">
        <v>61</v>
      </c>
      <c r="AF129">
        <v>65</v>
      </c>
      <c r="AG129">
        <v>59</v>
      </c>
      <c r="AH129">
        <v>73</v>
      </c>
      <c r="AI129">
        <v>74</v>
      </c>
      <c r="AJ129">
        <v>58</v>
      </c>
      <c r="AK129">
        <v>102</v>
      </c>
      <c r="AL129">
        <v>2945553408</v>
      </c>
      <c r="AM129">
        <v>3500552960</v>
      </c>
      <c r="AN129">
        <v>3780375296</v>
      </c>
      <c r="AO129">
        <v>3849906688</v>
      </c>
      <c r="AP129">
        <v>6732758528</v>
      </c>
      <c r="AQ129">
        <v>6023613952</v>
      </c>
      <c r="AR129">
        <v>3811768832</v>
      </c>
      <c r="AS129">
        <v>2563842816</v>
      </c>
      <c r="AT129">
        <v>1921419520</v>
      </c>
      <c r="AU129">
        <v>2003593344</v>
      </c>
      <c r="AV129">
        <v>1944615296</v>
      </c>
      <c r="AW129">
        <v>2134893056</v>
      </c>
      <c r="AX129">
        <v>4386932224</v>
      </c>
      <c r="AY129">
        <v>4040634112</v>
      </c>
      <c r="AZ129">
        <v>2878987520</v>
      </c>
      <c r="BA129">
        <v>2972839680</v>
      </c>
    </row>
    <row r="130" spans="1:53">
      <c r="A130">
        <v>20063</v>
      </c>
      <c r="B130" t="s">
        <v>590</v>
      </c>
      <c r="C130" t="s">
        <v>591</v>
      </c>
      <c r="D130" t="s">
        <v>592</v>
      </c>
      <c r="F130" t="s">
        <v>593</v>
      </c>
      <c r="G130">
        <v>236.30199999999999</v>
      </c>
      <c r="H130" t="s">
        <v>57</v>
      </c>
      <c r="I130">
        <v>2</v>
      </c>
      <c r="J130">
        <v>3</v>
      </c>
      <c r="K130">
        <v>0</v>
      </c>
      <c r="L130">
        <v>20</v>
      </c>
      <c r="M130">
        <v>57825</v>
      </c>
      <c r="N130">
        <v>33</v>
      </c>
      <c r="O130">
        <v>12</v>
      </c>
      <c r="P130">
        <v>1</v>
      </c>
      <c r="Q130">
        <v>12</v>
      </c>
      <c r="R130">
        <v>1</v>
      </c>
      <c r="S130">
        <v>88</v>
      </c>
      <c r="T130">
        <v>14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2</v>
      </c>
      <c r="AE130">
        <v>2</v>
      </c>
      <c r="AF130">
        <v>2</v>
      </c>
      <c r="AG130">
        <v>2</v>
      </c>
      <c r="AH130">
        <v>1</v>
      </c>
      <c r="AI130">
        <v>1</v>
      </c>
      <c r="AJ130">
        <v>2</v>
      </c>
      <c r="AK130">
        <v>2</v>
      </c>
      <c r="AL130">
        <v>134068576</v>
      </c>
      <c r="AM130">
        <v>192561232</v>
      </c>
      <c r="AN130">
        <v>172087440</v>
      </c>
      <c r="AO130">
        <v>159198176</v>
      </c>
      <c r="AP130">
        <v>79763448</v>
      </c>
      <c r="AQ130">
        <v>86649312</v>
      </c>
      <c r="AR130">
        <v>158769152</v>
      </c>
      <c r="AS130">
        <v>106832256</v>
      </c>
      <c r="AT130">
        <v>5843394</v>
      </c>
      <c r="AU130">
        <v>3037934.25</v>
      </c>
      <c r="AV130">
        <v>3806617.75</v>
      </c>
      <c r="AW130">
        <v>3686639.25</v>
      </c>
      <c r="AX130">
        <v>799902.06</v>
      </c>
      <c r="AY130">
        <v>870251.94</v>
      </c>
      <c r="AZ130">
        <v>2013575</v>
      </c>
      <c r="BA130">
        <v>2505318</v>
      </c>
    </row>
    <row r="131" spans="1:53">
      <c r="A131">
        <v>19997</v>
      </c>
      <c r="B131" t="s">
        <v>594</v>
      </c>
      <c r="C131" t="s">
        <v>595</v>
      </c>
      <c r="D131" t="s">
        <v>596</v>
      </c>
      <c r="F131" t="s">
        <v>597</v>
      </c>
      <c r="G131">
        <v>235.55199999999999</v>
      </c>
      <c r="H131" t="s">
        <v>57</v>
      </c>
      <c r="I131">
        <v>2</v>
      </c>
      <c r="J131">
        <v>19</v>
      </c>
      <c r="K131">
        <v>0</v>
      </c>
      <c r="L131">
        <v>66.02</v>
      </c>
      <c r="M131">
        <v>11564</v>
      </c>
      <c r="N131">
        <v>7</v>
      </c>
      <c r="O131">
        <v>7</v>
      </c>
      <c r="P131">
        <v>7</v>
      </c>
      <c r="Q131">
        <v>8</v>
      </c>
      <c r="R131">
        <v>8</v>
      </c>
      <c r="S131">
        <v>109</v>
      </c>
      <c r="T131">
        <v>109</v>
      </c>
      <c r="U131">
        <v>8</v>
      </c>
      <c r="V131">
        <v>5</v>
      </c>
      <c r="W131">
        <v>7</v>
      </c>
      <c r="X131">
        <v>8</v>
      </c>
      <c r="Y131">
        <v>6</v>
      </c>
      <c r="Z131">
        <v>8</v>
      </c>
      <c r="AA131">
        <v>8</v>
      </c>
      <c r="AB131">
        <v>8</v>
      </c>
      <c r="AC131">
        <v>7</v>
      </c>
      <c r="AD131">
        <v>10</v>
      </c>
      <c r="AE131">
        <v>21</v>
      </c>
      <c r="AF131">
        <v>14</v>
      </c>
      <c r="AG131">
        <v>6</v>
      </c>
      <c r="AH131">
        <v>16</v>
      </c>
      <c r="AI131">
        <v>12</v>
      </c>
      <c r="AJ131">
        <v>12</v>
      </c>
      <c r="AK131">
        <v>18</v>
      </c>
      <c r="AL131">
        <v>324956448</v>
      </c>
      <c r="AM131">
        <v>507656544</v>
      </c>
      <c r="AN131">
        <v>194594976</v>
      </c>
      <c r="AO131">
        <v>156496272</v>
      </c>
      <c r="AP131">
        <v>422302112</v>
      </c>
      <c r="AQ131">
        <v>386327712</v>
      </c>
      <c r="AR131">
        <v>208892368</v>
      </c>
      <c r="AS131">
        <v>396557696</v>
      </c>
      <c r="AT131">
        <v>74519360</v>
      </c>
      <c r="AU131">
        <v>220669248</v>
      </c>
      <c r="AV131">
        <v>152517312</v>
      </c>
      <c r="AW131">
        <v>65648192</v>
      </c>
      <c r="AX131">
        <v>296692064</v>
      </c>
      <c r="AY131">
        <v>370807008</v>
      </c>
      <c r="AZ131">
        <v>226907696</v>
      </c>
      <c r="BA131">
        <v>291534176</v>
      </c>
    </row>
    <row r="132" spans="1:53">
      <c r="A132">
        <v>20131</v>
      </c>
      <c r="B132" t="s">
        <v>598</v>
      </c>
      <c r="C132" t="s">
        <v>599</v>
      </c>
      <c r="D132" t="s">
        <v>600</v>
      </c>
      <c r="F132" t="s">
        <v>601</v>
      </c>
      <c r="G132">
        <v>230.708</v>
      </c>
      <c r="H132" t="s">
        <v>57</v>
      </c>
      <c r="I132">
        <v>2</v>
      </c>
      <c r="J132">
        <v>3</v>
      </c>
      <c r="K132">
        <v>0</v>
      </c>
      <c r="L132">
        <v>22.75</v>
      </c>
      <c r="M132">
        <v>37998</v>
      </c>
      <c r="N132">
        <v>18</v>
      </c>
      <c r="O132">
        <v>7</v>
      </c>
      <c r="P132">
        <v>7</v>
      </c>
      <c r="Q132">
        <v>7</v>
      </c>
      <c r="R132">
        <v>7</v>
      </c>
      <c r="S132">
        <v>27</v>
      </c>
      <c r="T132">
        <v>27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6</v>
      </c>
      <c r="AA132">
        <v>6</v>
      </c>
      <c r="AB132">
        <v>6</v>
      </c>
      <c r="AC132">
        <v>6</v>
      </c>
      <c r="AD132">
        <v>2</v>
      </c>
      <c r="AE132">
        <v>1</v>
      </c>
      <c r="AF132">
        <v>5</v>
      </c>
      <c r="AG132">
        <v>3</v>
      </c>
      <c r="AH132">
        <v>4</v>
      </c>
      <c r="AI132">
        <v>3</v>
      </c>
      <c r="AJ132">
        <v>6</v>
      </c>
      <c r="AK132">
        <v>3</v>
      </c>
      <c r="AL132">
        <v>10919367</v>
      </c>
      <c r="AM132">
        <v>12154719</v>
      </c>
      <c r="AN132">
        <v>24229808</v>
      </c>
      <c r="AO132">
        <v>21281884</v>
      </c>
      <c r="AP132">
        <v>30760402</v>
      </c>
      <c r="AQ132">
        <v>23194576</v>
      </c>
      <c r="AR132">
        <v>29625418</v>
      </c>
      <c r="AS132">
        <v>14903398</v>
      </c>
      <c r="AT132">
        <v>12249306</v>
      </c>
      <c r="AU132">
        <v>10170373</v>
      </c>
      <c r="AV132">
        <v>19150172</v>
      </c>
      <c r="AW132">
        <v>18264086</v>
      </c>
      <c r="AX132">
        <v>11520971</v>
      </c>
      <c r="AY132">
        <v>10359236</v>
      </c>
      <c r="AZ132">
        <v>16340200</v>
      </c>
      <c r="BA132">
        <v>14479140</v>
      </c>
    </row>
    <row r="133" spans="1:53">
      <c r="A133">
        <v>20223</v>
      </c>
      <c r="B133" t="s">
        <v>602</v>
      </c>
      <c r="C133" t="s">
        <v>603</v>
      </c>
      <c r="D133" t="s">
        <v>604</v>
      </c>
      <c r="F133" t="s">
        <v>605</v>
      </c>
      <c r="G133">
        <v>228.18600000000001</v>
      </c>
      <c r="H133" t="s">
        <v>57</v>
      </c>
      <c r="I133">
        <v>2</v>
      </c>
      <c r="J133">
        <v>2</v>
      </c>
      <c r="K133">
        <v>0</v>
      </c>
      <c r="L133">
        <v>20.66</v>
      </c>
      <c r="M133">
        <v>39666</v>
      </c>
      <c r="N133">
        <v>22</v>
      </c>
      <c r="O133">
        <v>6</v>
      </c>
      <c r="P133">
        <v>6</v>
      </c>
      <c r="Q133">
        <v>6</v>
      </c>
      <c r="R133">
        <v>6</v>
      </c>
      <c r="S133">
        <v>25</v>
      </c>
      <c r="T133">
        <v>25</v>
      </c>
      <c r="U133">
        <v>6</v>
      </c>
      <c r="V133">
        <v>5</v>
      </c>
      <c r="W133">
        <v>5</v>
      </c>
      <c r="X133">
        <v>5</v>
      </c>
      <c r="Y133">
        <v>5</v>
      </c>
      <c r="Z133">
        <v>6</v>
      </c>
      <c r="AA133">
        <v>6</v>
      </c>
      <c r="AB133">
        <v>6</v>
      </c>
      <c r="AC133">
        <v>6</v>
      </c>
      <c r="AD133">
        <v>4</v>
      </c>
      <c r="AE133">
        <v>1</v>
      </c>
      <c r="AF133">
        <v>1</v>
      </c>
      <c r="AG133">
        <v>2</v>
      </c>
      <c r="AH133">
        <v>6</v>
      </c>
      <c r="AI133">
        <v>6</v>
      </c>
      <c r="AJ133">
        <v>3</v>
      </c>
      <c r="AK133">
        <v>2</v>
      </c>
      <c r="AL133">
        <v>8247413.5</v>
      </c>
      <c r="AM133">
        <v>8494103</v>
      </c>
      <c r="AN133">
        <v>7093873</v>
      </c>
      <c r="AO133">
        <v>7151520.5</v>
      </c>
      <c r="AP133">
        <v>19059616</v>
      </c>
      <c r="AQ133">
        <v>16756610</v>
      </c>
      <c r="AR133">
        <v>7868091</v>
      </c>
      <c r="AS133">
        <v>5869868.5</v>
      </c>
      <c r="AT133">
        <v>8578247</v>
      </c>
      <c r="AU133">
        <v>7297106.5</v>
      </c>
      <c r="AV133">
        <v>5723201.5</v>
      </c>
      <c r="AW133">
        <v>6173093</v>
      </c>
      <c r="AX133">
        <v>7736060.5</v>
      </c>
      <c r="AY133">
        <v>7548666.5</v>
      </c>
      <c r="AZ133">
        <v>4336744</v>
      </c>
      <c r="BA133">
        <v>4714811.5</v>
      </c>
    </row>
    <row r="134" spans="1:53">
      <c r="A134">
        <v>19990</v>
      </c>
      <c r="B134" t="s">
        <v>606</v>
      </c>
      <c r="C134" t="s">
        <v>607</v>
      </c>
      <c r="D134" t="s">
        <v>608</v>
      </c>
      <c r="E134" t="s">
        <v>609</v>
      </c>
      <c r="F134" t="s">
        <v>610</v>
      </c>
      <c r="G134">
        <v>220.56</v>
      </c>
      <c r="H134" t="s">
        <v>57</v>
      </c>
      <c r="I134">
        <v>2</v>
      </c>
      <c r="J134">
        <v>2</v>
      </c>
      <c r="K134">
        <v>18</v>
      </c>
      <c r="L134">
        <v>20.260000000000002</v>
      </c>
      <c r="M134">
        <v>43285</v>
      </c>
      <c r="N134">
        <v>21</v>
      </c>
      <c r="O134">
        <v>5</v>
      </c>
      <c r="P134">
        <v>5</v>
      </c>
      <c r="Q134">
        <v>5</v>
      </c>
      <c r="R134">
        <v>5</v>
      </c>
      <c r="S134">
        <v>23</v>
      </c>
      <c r="T134">
        <v>23</v>
      </c>
      <c r="U134">
        <v>5</v>
      </c>
      <c r="V134">
        <v>2</v>
      </c>
      <c r="W134">
        <v>3</v>
      </c>
      <c r="X134">
        <v>4</v>
      </c>
      <c r="Y134">
        <v>4</v>
      </c>
      <c r="Z134">
        <v>5</v>
      </c>
      <c r="AA134">
        <v>5</v>
      </c>
      <c r="AB134">
        <v>5</v>
      </c>
      <c r="AC134">
        <v>5</v>
      </c>
      <c r="AD134">
        <v>2</v>
      </c>
      <c r="AE134">
        <v>3</v>
      </c>
      <c r="AF134">
        <v>3</v>
      </c>
      <c r="AG134">
        <v>2</v>
      </c>
      <c r="AH134">
        <v>6</v>
      </c>
      <c r="AI134">
        <v>3</v>
      </c>
      <c r="AJ134">
        <v>3</v>
      </c>
      <c r="AK134">
        <v>1</v>
      </c>
      <c r="AL134">
        <v>1462052.5</v>
      </c>
      <c r="AM134">
        <v>2285028.5</v>
      </c>
      <c r="AN134">
        <v>2506215</v>
      </c>
      <c r="AO134">
        <v>2338916.75</v>
      </c>
      <c r="AP134">
        <v>8993331</v>
      </c>
      <c r="AQ134">
        <v>5348173</v>
      </c>
      <c r="AR134">
        <v>2982085.25</v>
      </c>
      <c r="AS134">
        <v>2441960.5</v>
      </c>
      <c r="AT134">
        <v>186658.78</v>
      </c>
      <c r="AU134">
        <v>2455163.5</v>
      </c>
      <c r="AV134">
        <v>3506878.75</v>
      </c>
      <c r="AW134">
        <v>3790749.5</v>
      </c>
      <c r="AX134">
        <v>6125093.5</v>
      </c>
      <c r="AY134">
        <v>4637060.5</v>
      </c>
      <c r="AZ134">
        <v>2917824.5</v>
      </c>
      <c r="BA134">
        <v>2733283.25</v>
      </c>
    </row>
    <row r="135" spans="1:53">
      <c r="A135">
        <v>20124</v>
      </c>
      <c r="B135" t="s">
        <v>611</v>
      </c>
      <c r="C135" t="s">
        <v>612</v>
      </c>
      <c r="D135" t="s">
        <v>613</v>
      </c>
      <c r="F135" t="s">
        <v>614</v>
      </c>
      <c r="G135">
        <v>210.661</v>
      </c>
      <c r="H135" t="s">
        <v>57</v>
      </c>
      <c r="I135">
        <v>2</v>
      </c>
      <c r="J135">
        <v>3</v>
      </c>
      <c r="K135">
        <v>0</v>
      </c>
      <c r="L135">
        <v>48.72</v>
      </c>
      <c r="M135">
        <v>8323</v>
      </c>
      <c r="N135">
        <v>5</v>
      </c>
      <c r="O135">
        <v>3</v>
      </c>
      <c r="P135">
        <v>3</v>
      </c>
      <c r="Q135">
        <v>4</v>
      </c>
      <c r="R135">
        <v>4</v>
      </c>
      <c r="S135">
        <v>77</v>
      </c>
      <c r="T135">
        <v>77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13</v>
      </c>
      <c r="AE135">
        <v>10</v>
      </c>
      <c r="AF135">
        <v>10</v>
      </c>
      <c r="AG135">
        <v>9</v>
      </c>
      <c r="AH135">
        <v>10</v>
      </c>
      <c r="AI135">
        <v>10</v>
      </c>
      <c r="AJ135">
        <v>8</v>
      </c>
      <c r="AK135">
        <v>7</v>
      </c>
      <c r="AL135">
        <v>211883440</v>
      </c>
      <c r="AM135">
        <v>228776384</v>
      </c>
      <c r="AN135">
        <v>139223824</v>
      </c>
      <c r="AO135">
        <v>122138160</v>
      </c>
      <c r="AP135">
        <v>184638288</v>
      </c>
      <c r="AQ135">
        <v>177872592</v>
      </c>
      <c r="AR135">
        <v>140736048</v>
      </c>
      <c r="AS135">
        <v>115130288</v>
      </c>
      <c r="AT135">
        <v>256560464</v>
      </c>
      <c r="AU135">
        <v>190567696</v>
      </c>
      <c r="AV135">
        <v>114866584</v>
      </c>
      <c r="AW135">
        <v>111012968</v>
      </c>
      <c r="AX135">
        <v>84601224</v>
      </c>
      <c r="AY135">
        <v>88396704</v>
      </c>
      <c r="AZ135">
        <v>80481952</v>
      </c>
      <c r="BA135">
        <v>88650600</v>
      </c>
    </row>
    <row r="136" spans="1:53">
      <c r="A136">
        <v>20087</v>
      </c>
      <c r="B136" t="s">
        <v>615</v>
      </c>
      <c r="C136" t="s">
        <v>616</v>
      </c>
      <c r="D136" t="s">
        <v>617</v>
      </c>
      <c r="F136" t="s">
        <v>618</v>
      </c>
      <c r="G136">
        <v>210.00200000000001</v>
      </c>
      <c r="H136" t="s">
        <v>57</v>
      </c>
      <c r="I136">
        <v>2</v>
      </c>
      <c r="J136">
        <v>20</v>
      </c>
      <c r="K136">
        <v>0</v>
      </c>
      <c r="L136">
        <v>81.819999999999993</v>
      </c>
      <c r="M136">
        <v>6371</v>
      </c>
      <c r="N136">
        <v>3</v>
      </c>
      <c r="O136">
        <v>6</v>
      </c>
      <c r="P136">
        <v>6</v>
      </c>
      <c r="Q136">
        <v>6</v>
      </c>
      <c r="R136">
        <v>6</v>
      </c>
      <c r="S136">
        <v>273</v>
      </c>
      <c r="T136">
        <v>273</v>
      </c>
      <c r="U136">
        <v>6</v>
      </c>
      <c r="V136">
        <v>3</v>
      </c>
      <c r="W136">
        <v>5</v>
      </c>
      <c r="X136">
        <v>5</v>
      </c>
      <c r="Y136">
        <v>6</v>
      </c>
      <c r="Z136">
        <v>5</v>
      </c>
      <c r="AA136">
        <v>5</v>
      </c>
      <c r="AB136">
        <v>4</v>
      </c>
      <c r="AC136">
        <v>4</v>
      </c>
      <c r="AD136">
        <v>29</v>
      </c>
      <c r="AE136">
        <v>39</v>
      </c>
      <c r="AF136">
        <v>49</v>
      </c>
      <c r="AG136">
        <v>44</v>
      </c>
      <c r="AH136">
        <v>23</v>
      </c>
      <c r="AI136">
        <v>25</v>
      </c>
      <c r="AJ136">
        <v>26</v>
      </c>
      <c r="AK136">
        <v>38</v>
      </c>
      <c r="AL136">
        <v>118045536</v>
      </c>
      <c r="AM136">
        <v>264516640</v>
      </c>
      <c r="AN136">
        <v>319637888</v>
      </c>
      <c r="AO136">
        <v>362094080</v>
      </c>
      <c r="AP136">
        <v>712848640</v>
      </c>
      <c r="AQ136">
        <v>695426560</v>
      </c>
      <c r="AR136">
        <v>543689408</v>
      </c>
      <c r="AS136">
        <v>420657248</v>
      </c>
      <c r="AT136">
        <v>32362500</v>
      </c>
      <c r="AU136">
        <v>349068640</v>
      </c>
      <c r="AV136">
        <v>340736160</v>
      </c>
      <c r="AW136">
        <v>436537120</v>
      </c>
      <c r="AX136">
        <v>303026976</v>
      </c>
      <c r="AY136">
        <v>292269216</v>
      </c>
      <c r="AZ136">
        <v>246107776</v>
      </c>
      <c r="BA136">
        <v>270275072</v>
      </c>
    </row>
    <row r="137" spans="1:53">
      <c r="A137">
        <v>20021</v>
      </c>
      <c r="B137" t="s">
        <v>619</v>
      </c>
      <c r="C137" t="s">
        <v>620</v>
      </c>
      <c r="D137" t="s">
        <v>621</v>
      </c>
      <c r="F137" t="s">
        <v>622</v>
      </c>
      <c r="G137">
        <v>209.238</v>
      </c>
      <c r="H137" t="s">
        <v>57</v>
      </c>
      <c r="I137">
        <v>2</v>
      </c>
      <c r="J137">
        <v>20</v>
      </c>
      <c r="K137">
        <v>0</v>
      </c>
      <c r="L137">
        <v>27.06</v>
      </c>
      <c r="M137">
        <v>28422</v>
      </c>
      <c r="N137">
        <v>16</v>
      </c>
      <c r="O137">
        <v>6</v>
      </c>
      <c r="P137">
        <v>6</v>
      </c>
      <c r="Q137">
        <v>6</v>
      </c>
      <c r="R137">
        <v>6</v>
      </c>
      <c r="S137">
        <v>38</v>
      </c>
      <c r="T137">
        <v>38</v>
      </c>
      <c r="U137">
        <v>6</v>
      </c>
      <c r="V137">
        <v>3</v>
      </c>
      <c r="W137">
        <v>5</v>
      </c>
      <c r="X137">
        <v>6</v>
      </c>
      <c r="Y137">
        <v>6</v>
      </c>
      <c r="Z137">
        <v>6</v>
      </c>
      <c r="AA137">
        <v>6</v>
      </c>
      <c r="AB137">
        <v>6</v>
      </c>
      <c r="AC137">
        <v>6</v>
      </c>
      <c r="AD137">
        <v>0</v>
      </c>
      <c r="AE137">
        <v>1</v>
      </c>
      <c r="AF137">
        <v>5</v>
      </c>
      <c r="AG137">
        <v>7</v>
      </c>
      <c r="AH137">
        <v>7</v>
      </c>
      <c r="AI137">
        <v>6</v>
      </c>
      <c r="AJ137">
        <v>8</v>
      </c>
      <c r="AK137">
        <v>5</v>
      </c>
      <c r="AL137">
        <v>6914419.5</v>
      </c>
      <c r="AM137">
        <v>11813186</v>
      </c>
      <c r="AN137">
        <v>29778424</v>
      </c>
      <c r="AO137">
        <v>28447556</v>
      </c>
      <c r="AP137">
        <v>38220712</v>
      </c>
      <c r="AQ137">
        <v>39430196</v>
      </c>
      <c r="AR137">
        <v>39919328</v>
      </c>
      <c r="AS137">
        <v>23600704</v>
      </c>
      <c r="AT137">
        <v>231392.92</v>
      </c>
      <c r="AU137">
        <v>10026103</v>
      </c>
      <c r="AV137">
        <v>21802340</v>
      </c>
      <c r="AW137">
        <v>27555024</v>
      </c>
      <c r="AX137">
        <v>18710252</v>
      </c>
      <c r="AY137">
        <v>20534426</v>
      </c>
      <c r="AZ137">
        <v>24851214</v>
      </c>
      <c r="BA137">
        <v>21734052</v>
      </c>
    </row>
    <row r="138" spans="1:53">
      <c r="A138">
        <v>20158</v>
      </c>
      <c r="B138" t="s">
        <v>623</v>
      </c>
      <c r="C138" t="s">
        <v>624</v>
      </c>
      <c r="D138" t="s">
        <v>625</v>
      </c>
      <c r="E138" t="s">
        <v>626</v>
      </c>
      <c r="F138" t="s">
        <v>627</v>
      </c>
      <c r="G138">
        <v>189.804</v>
      </c>
      <c r="H138" t="s">
        <v>57</v>
      </c>
      <c r="I138">
        <v>2</v>
      </c>
      <c r="J138">
        <v>5</v>
      </c>
      <c r="K138">
        <v>7</v>
      </c>
      <c r="L138">
        <v>26.72</v>
      </c>
      <c r="M138">
        <v>42309</v>
      </c>
      <c r="N138">
        <v>22</v>
      </c>
      <c r="O138">
        <v>7</v>
      </c>
      <c r="P138">
        <v>7</v>
      </c>
      <c r="Q138">
        <v>7</v>
      </c>
      <c r="R138">
        <v>7</v>
      </c>
      <c r="S138">
        <v>22</v>
      </c>
      <c r="T138">
        <v>22</v>
      </c>
      <c r="U138">
        <v>7</v>
      </c>
      <c r="V138">
        <v>6</v>
      </c>
      <c r="W138">
        <v>7</v>
      </c>
      <c r="X138">
        <v>6</v>
      </c>
      <c r="Y138">
        <v>6</v>
      </c>
      <c r="Z138">
        <v>7</v>
      </c>
      <c r="AA138">
        <v>7</v>
      </c>
      <c r="AB138">
        <v>7</v>
      </c>
      <c r="AC138">
        <v>7</v>
      </c>
      <c r="AD138">
        <v>1</v>
      </c>
      <c r="AE138">
        <v>1</v>
      </c>
      <c r="AF138">
        <v>3</v>
      </c>
      <c r="AG138">
        <v>5</v>
      </c>
      <c r="AH138">
        <v>3</v>
      </c>
      <c r="AI138">
        <v>3</v>
      </c>
      <c r="AJ138">
        <v>3</v>
      </c>
      <c r="AK138">
        <v>3</v>
      </c>
      <c r="AL138">
        <v>8582850</v>
      </c>
      <c r="AM138">
        <v>10253629</v>
      </c>
      <c r="AN138">
        <v>18703462</v>
      </c>
      <c r="AO138">
        <v>16562366</v>
      </c>
      <c r="AP138">
        <v>18394630</v>
      </c>
      <c r="AQ138">
        <v>17802348</v>
      </c>
      <c r="AR138">
        <v>16229218</v>
      </c>
      <c r="AS138">
        <v>10918714</v>
      </c>
      <c r="AT138">
        <v>8173212.5</v>
      </c>
      <c r="AU138">
        <v>7661905</v>
      </c>
      <c r="AV138">
        <v>14257450</v>
      </c>
      <c r="AW138">
        <v>14390559</v>
      </c>
      <c r="AX138">
        <v>6872495.5</v>
      </c>
      <c r="AY138">
        <v>7595149</v>
      </c>
      <c r="AZ138">
        <v>9453275</v>
      </c>
      <c r="BA138">
        <v>9685716</v>
      </c>
    </row>
    <row r="139" spans="1:53">
      <c r="A139">
        <v>20167</v>
      </c>
      <c r="B139" t="s">
        <v>628</v>
      </c>
      <c r="C139" t="s">
        <v>629</v>
      </c>
      <c r="D139" t="s">
        <v>628</v>
      </c>
      <c r="F139" t="s">
        <v>630</v>
      </c>
      <c r="G139">
        <v>187.40100000000001</v>
      </c>
      <c r="H139" t="s">
        <v>57</v>
      </c>
      <c r="I139">
        <v>2</v>
      </c>
      <c r="J139">
        <v>1</v>
      </c>
      <c r="K139">
        <v>0</v>
      </c>
      <c r="L139">
        <v>30.16</v>
      </c>
      <c r="M139">
        <v>28047</v>
      </c>
      <c r="N139">
        <v>11</v>
      </c>
      <c r="O139">
        <v>5</v>
      </c>
      <c r="P139">
        <v>5</v>
      </c>
      <c r="Q139">
        <v>5</v>
      </c>
      <c r="R139">
        <v>5</v>
      </c>
      <c r="S139">
        <v>13</v>
      </c>
      <c r="T139">
        <v>13</v>
      </c>
      <c r="U139">
        <v>5</v>
      </c>
      <c r="V139">
        <v>2</v>
      </c>
      <c r="W139">
        <v>2</v>
      </c>
      <c r="X139">
        <v>3</v>
      </c>
      <c r="Y139">
        <v>4</v>
      </c>
      <c r="Z139">
        <v>4</v>
      </c>
      <c r="AA139">
        <v>4</v>
      </c>
      <c r="AB139">
        <v>5</v>
      </c>
      <c r="AC139">
        <v>5</v>
      </c>
      <c r="AD139">
        <v>1</v>
      </c>
      <c r="AE139">
        <v>0</v>
      </c>
      <c r="AF139">
        <v>2</v>
      </c>
      <c r="AG139">
        <v>3</v>
      </c>
      <c r="AH139">
        <v>2</v>
      </c>
      <c r="AI139">
        <v>1</v>
      </c>
      <c r="AJ139">
        <v>3</v>
      </c>
      <c r="AK139">
        <v>1</v>
      </c>
      <c r="AL139">
        <v>2173835</v>
      </c>
      <c r="AM139">
        <v>2402165.5</v>
      </c>
      <c r="AN139">
        <v>5391700</v>
      </c>
      <c r="AO139">
        <v>5773578.5</v>
      </c>
      <c r="AP139">
        <v>5922837.5</v>
      </c>
      <c r="AQ139">
        <v>6469316</v>
      </c>
      <c r="AR139">
        <v>8637125</v>
      </c>
      <c r="AS139">
        <v>6938970</v>
      </c>
      <c r="AT139">
        <v>139349.62</v>
      </c>
      <c r="AU139">
        <v>84219.61</v>
      </c>
      <c r="AV139">
        <v>2125454.25</v>
      </c>
      <c r="AW139">
        <v>6274998</v>
      </c>
      <c r="AX139">
        <v>2774389.25</v>
      </c>
      <c r="AY139">
        <v>3426416.75</v>
      </c>
      <c r="AZ139">
        <v>6332526.5</v>
      </c>
      <c r="BA139">
        <v>7084258.5</v>
      </c>
    </row>
    <row r="140" spans="1:53">
      <c r="A140">
        <v>20173</v>
      </c>
      <c r="B140" t="s">
        <v>631</v>
      </c>
      <c r="C140" t="s">
        <v>632</v>
      </c>
      <c r="D140" t="s">
        <v>633</v>
      </c>
      <c r="F140" t="s">
        <v>634</v>
      </c>
      <c r="G140">
        <v>183.88499999999999</v>
      </c>
      <c r="H140" t="s">
        <v>57</v>
      </c>
      <c r="I140">
        <v>2</v>
      </c>
      <c r="J140">
        <v>3</v>
      </c>
      <c r="K140">
        <v>0</v>
      </c>
      <c r="L140">
        <v>56.64</v>
      </c>
      <c r="M140">
        <v>12784</v>
      </c>
      <c r="N140">
        <v>8</v>
      </c>
      <c r="O140">
        <v>5</v>
      </c>
      <c r="P140">
        <v>5</v>
      </c>
      <c r="Q140">
        <v>5</v>
      </c>
      <c r="R140">
        <v>5</v>
      </c>
      <c r="S140">
        <v>74</v>
      </c>
      <c r="T140">
        <v>74</v>
      </c>
      <c r="U140">
        <v>5</v>
      </c>
      <c r="V140">
        <v>4</v>
      </c>
      <c r="W140">
        <v>4</v>
      </c>
      <c r="X140">
        <v>4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13</v>
      </c>
      <c r="AE140">
        <v>12</v>
      </c>
      <c r="AF140">
        <v>10</v>
      </c>
      <c r="AG140">
        <v>6</v>
      </c>
      <c r="AH140">
        <v>12</v>
      </c>
      <c r="AI140">
        <v>11</v>
      </c>
      <c r="AJ140">
        <v>5</v>
      </c>
      <c r="AK140">
        <v>5</v>
      </c>
      <c r="AL140">
        <v>55742876</v>
      </c>
      <c r="AM140">
        <v>56343656</v>
      </c>
      <c r="AN140">
        <v>53765680</v>
      </c>
      <c r="AO140">
        <v>50310552</v>
      </c>
      <c r="AP140">
        <v>95076496</v>
      </c>
      <c r="AQ140">
        <v>81658336</v>
      </c>
      <c r="AR140">
        <v>50426392</v>
      </c>
      <c r="AS140">
        <v>30590984</v>
      </c>
      <c r="AT140">
        <v>48616320</v>
      </c>
      <c r="AU140">
        <v>41614492</v>
      </c>
      <c r="AV140">
        <v>41431060</v>
      </c>
      <c r="AW140">
        <v>46415140</v>
      </c>
      <c r="AX140">
        <v>54848688</v>
      </c>
      <c r="AY140">
        <v>50769872</v>
      </c>
      <c r="AZ140">
        <v>40072632</v>
      </c>
      <c r="BA140">
        <v>36403148</v>
      </c>
    </row>
    <row r="141" spans="1:53">
      <c r="A141">
        <v>20061</v>
      </c>
      <c r="B141" t="s">
        <v>635</v>
      </c>
      <c r="C141" t="s">
        <v>636</v>
      </c>
      <c r="D141" t="s">
        <v>637</v>
      </c>
      <c r="E141" t="s">
        <v>638</v>
      </c>
      <c r="F141" t="s">
        <v>639</v>
      </c>
      <c r="G141">
        <v>183.27799999999999</v>
      </c>
      <c r="H141" t="s">
        <v>57</v>
      </c>
      <c r="I141">
        <v>2</v>
      </c>
      <c r="J141">
        <v>19</v>
      </c>
      <c r="K141">
        <v>1</v>
      </c>
      <c r="L141">
        <v>49.41</v>
      </c>
      <c r="M141">
        <v>9124</v>
      </c>
      <c r="N141">
        <v>5</v>
      </c>
      <c r="O141">
        <v>7</v>
      </c>
      <c r="P141">
        <v>7</v>
      </c>
      <c r="Q141">
        <v>7</v>
      </c>
      <c r="R141">
        <v>7</v>
      </c>
      <c r="S141">
        <v>130</v>
      </c>
      <c r="T141">
        <v>130</v>
      </c>
      <c r="U141">
        <v>7</v>
      </c>
      <c r="V141">
        <v>4</v>
      </c>
      <c r="W141">
        <v>5</v>
      </c>
      <c r="X141">
        <v>6</v>
      </c>
      <c r="Y141">
        <v>4</v>
      </c>
      <c r="Z141">
        <v>6</v>
      </c>
      <c r="AA141">
        <v>6</v>
      </c>
      <c r="AB141">
        <v>6</v>
      </c>
      <c r="AC141">
        <v>5</v>
      </c>
      <c r="AD141">
        <v>13</v>
      </c>
      <c r="AE141">
        <v>16</v>
      </c>
      <c r="AF141">
        <v>24</v>
      </c>
      <c r="AG141">
        <v>11</v>
      </c>
      <c r="AH141">
        <v>21</v>
      </c>
      <c r="AI141">
        <v>16</v>
      </c>
      <c r="AJ141">
        <v>10</v>
      </c>
      <c r="AK141">
        <v>19</v>
      </c>
      <c r="AL141">
        <v>113331056</v>
      </c>
      <c r="AM141">
        <v>214478720</v>
      </c>
      <c r="AN141">
        <v>196268000</v>
      </c>
      <c r="AO141">
        <v>102026576</v>
      </c>
      <c r="AP141">
        <v>432300448</v>
      </c>
      <c r="AQ141">
        <v>335957504</v>
      </c>
      <c r="AR141">
        <v>203177344</v>
      </c>
      <c r="AS141">
        <v>155841504</v>
      </c>
      <c r="AT141">
        <v>128984800</v>
      </c>
      <c r="AU141">
        <v>161009040</v>
      </c>
      <c r="AV141">
        <v>165877808</v>
      </c>
      <c r="AW141">
        <v>96290600</v>
      </c>
      <c r="AX141">
        <v>144723392</v>
      </c>
      <c r="AY141">
        <v>122633496</v>
      </c>
      <c r="AZ141">
        <v>132286344</v>
      </c>
      <c r="BA141">
        <v>138212688</v>
      </c>
    </row>
    <row r="142" spans="1:53">
      <c r="A142">
        <v>20203</v>
      </c>
      <c r="B142" t="s">
        <v>640</v>
      </c>
      <c r="C142" t="s">
        <v>641</v>
      </c>
      <c r="D142" t="s">
        <v>640</v>
      </c>
      <c r="F142" t="s">
        <v>642</v>
      </c>
      <c r="G142">
        <v>183.06800000000001</v>
      </c>
      <c r="H142" t="s">
        <v>57</v>
      </c>
      <c r="I142">
        <v>2</v>
      </c>
      <c r="J142">
        <v>1</v>
      </c>
      <c r="K142">
        <v>0</v>
      </c>
      <c r="L142">
        <v>18.989999999999998</v>
      </c>
      <c r="M142">
        <v>62983</v>
      </c>
      <c r="N142">
        <v>31</v>
      </c>
      <c r="O142">
        <v>11</v>
      </c>
      <c r="P142">
        <v>11</v>
      </c>
      <c r="Q142">
        <v>11</v>
      </c>
      <c r="R142">
        <v>11</v>
      </c>
      <c r="S142">
        <v>39</v>
      </c>
      <c r="T142">
        <v>39</v>
      </c>
      <c r="U142">
        <v>11</v>
      </c>
      <c r="V142">
        <v>7</v>
      </c>
      <c r="W142">
        <v>10</v>
      </c>
      <c r="X142">
        <v>11</v>
      </c>
      <c r="Y142">
        <v>11</v>
      </c>
      <c r="Z142">
        <v>10</v>
      </c>
      <c r="AA142">
        <v>10</v>
      </c>
      <c r="AB142">
        <v>10</v>
      </c>
      <c r="AC142">
        <v>9</v>
      </c>
      <c r="AD142">
        <v>0</v>
      </c>
      <c r="AE142">
        <v>4</v>
      </c>
      <c r="AF142">
        <v>10</v>
      </c>
      <c r="AG142">
        <v>8</v>
      </c>
      <c r="AH142">
        <v>4</v>
      </c>
      <c r="AI142">
        <v>4</v>
      </c>
      <c r="AJ142">
        <v>5</v>
      </c>
      <c r="AK142">
        <v>4</v>
      </c>
      <c r="AL142">
        <v>8019735.5</v>
      </c>
      <c r="AM142">
        <v>16552299</v>
      </c>
      <c r="AN142">
        <v>34905072</v>
      </c>
      <c r="AO142">
        <v>33686440</v>
      </c>
      <c r="AP142">
        <v>34142952</v>
      </c>
      <c r="AQ142">
        <v>34837668</v>
      </c>
      <c r="AR142">
        <v>34690548</v>
      </c>
      <c r="AS142">
        <v>24579114</v>
      </c>
      <c r="AT142">
        <v>12633320</v>
      </c>
      <c r="AU142">
        <v>12235358</v>
      </c>
      <c r="AV142">
        <v>27735112</v>
      </c>
      <c r="AW142">
        <v>29556002</v>
      </c>
      <c r="AX142">
        <v>12286307</v>
      </c>
      <c r="AY142">
        <v>14827714</v>
      </c>
      <c r="AZ142">
        <v>17178562</v>
      </c>
      <c r="BA142">
        <v>18613638</v>
      </c>
    </row>
    <row r="143" spans="1:53">
      <c r="A143">
        <v>20192</v>
      </c>
      <c r="B143" t="s">
        <v>643</v>
      </c>
      <c r="C143" t="s">
        <v>644</v>
      </c>
      <c r="D143" t="s">
        <v>643</v>
      </c>
      <c r="F143" t="s">
        <v>645</v>
      </c>
      <c r="G143">
        <v>165.947</v>
      </c>
      <c r="H143" t="s">
        <v>57</v>
      </c>
      <c r="I143">
        <v>2</v>
      </c>
      <c r="J143">
        <v>1</v>
      </c>
      <c r="K143">
        <v>0</v>
      </c>
      <c r="L143">
        <v>28.1</v>
      </c>
      <c r="M143">
        <v>29738</v>
      </c>
      <c r="N143">
        <v>16</v>
      </c>
      <c r="O143">
        <v>6</v>
      </c>
      <c r="P143">
        <v>6</v>
      </c>
      <c r="Q143">
        <v>6</v>
      </c>
      <c r="R143">
        <v>6</v>
      </c>
      <c r="S143">
        <v>15</v>
      </c>
      <c r="T143">
        <v>15</v>
      </c>
      <c r="U143">
        <v>6</v>
      </c>
      <c r="V143">
        <v>5</v>
      </c>
      <c r="W143">
        <v>5</v>
      </c>
      <c r="X143">
        <v>6</v>
      </c>
      <c r="Y143">
        <v>6</v>
      </c>
      <c r="Z143">
        <v>5</v>
      </c>
      <c r="AA143">
        <v>5</v>
      </c>
      <c r="AB143">
        <v>5</v>
      </c>
      <c r="AC143">
        <v>5</v>
      </c>
      <c r="AD143">
        <v>0</v>
      </c>
      <c r="AE143">
        <v>0</v>
      </c>
      <c r="AF143">
        <v>3</v>
      </c>
      <c r="AG143">
        <v>3</v>
      </c>
      <c r="AH143">
        <v>1</v>
      </c>
      <c r="AI143">
        <v>3</v>
      </c>
      <c r="AJ143">
        <v>5</v>
      </c>
      <c r="AK143">
        <v>0</v>
      </c>
      <c r="AL143">
        <v>5388048</v>
      </c>
      <c r="AM143">
        <v>4576044.5</v>
      </c>
      <c r="AN143">
        <v>7471963</v>
      </c>
      <c r="AO143">
        <v>7787006</v>
      </c>
      <c r="AP143">
        <v>8724236</v>
      </c>
      <c r="AQ143">
        <v>10172344</v>
      </c>
      <c r="AR143">
        <v>10595262</v>
      </c>
      <c r="AS143">
        <v>6317809.5</v>
      </c>
      <c r="AT143">
        <v>5256465</v>
      </c>
      <c r="AU143">
        <v>3632824.25</v>
      </c>
      <c r="AV143">
        <v>6661357</v>
      </c>
      <c r="AW143">
        <v>6913615.5</v>
      </c>
      <c r="AX143">
        <v>3140767.75</v>
      </c>
      <c r="AY143">
        <v>4004435</v>
      </c>
      <c r="AZ143">
        <v>5553344.5</v>
      </c>
      <c r="BA143">
        <v>5083654</v>
      </c>
    </row>
    <row r="144" spans="1:53">
      <c r="A144">
        <v>20076</v>
      </c>
      <c r="B144" t="s">
        <v>646</v>
      </c>
      <c r="C144" t="s">
        <v>647</v>
      </c>
      <c r="D144" t="s">
        <v>648</v>
      </c>
      <c r="F144" t="s">
        <v>649</v>
      </c>
      <c r="G144">
        <v>163.36600000000001</v>
      </c>
      <c r="H144" t="s">
        <v>57</v>
      </c>
      <c r="I144">
        <v>2</v>
      </c>
      <c r="J144">
        <v>21</v>
      </c>
      <c r="K144">
        <v>0</v>
      </c>
      <c r="L144">
        <v>30</v>
      </c>
      <c r="M144">
        <v>18268</v>
      </c>
      <c r="N144">
        <v>8</v>
      </c>
      <c r="O144">
        <v>6</v>
      </c>
      <c r="P144">
        <v>6</v>
      </c>
      <c r="Q144">
        <v>6</v>
      </c>
      <c r="R144">
        <v>6</v>
      </c>
      <c r="S144">
        <v>93</v>
      </c>
      <c r="T144">
        <v>93</v>
      </c>
      <c r="U144">
        <v>6</v>
      </c>
      <c r="V144">
        <v>4</v>
      </c>
      <c r="W144">
        <v>4</v>
      </c>
      <c r="X144">
        <v>5</v>
      </c>
      <c r="Y144">
        <v>5</v>
      </c>
      <c r="Z144">
        <v>6</v>
      </c>
      <c r="AA144">
        <v>6</v>
      </c>
      <c r="AB144">
        <v>6</v>
      </c>
      <c r="AC144">
        <v>5</v>
      </c>
      <c r="AD144">
        <v>11</v>
      </c>
      <c r="AE144">
        <v>11</v>
      </c>
      <c r="AF144">
        <v>12</v>
      </c>
      <c r="AG144">
        <v>12</v>
      </c>
      <c r="AH144">
        <v>13</v>
      </c>
      <c r="AI144">
        <v>16</v>
      </c>
      <c r="AJ144">
        <v>11</v>
      </c>
      <c r="AK144">
        <v>7</v>
      </c>
      <c r="AL144">
        <v>66391692</v>
      </c>
      <c r="AM144">
        <v>75055136</v>
      </c>
      <c r="AN144">
        <v>71754248</v>
      </c>
      <c r="AO144">
        <v>62712444</v>
      </c>
      <c r="AP144">
        <v>158439104</v>
      </c>
      <c r="AQ144">
        <v>149876944</v>
      </c>
      <c r="AR144">
        <v>72477616</v>
      </c>
      <c r="AS144">
        <v>39520052</v>
      </c>
      <c r="AT144">
        <v>6222466.5</v>
      </c>
      <c r="AU144">
        <v>4142222</v>
      </c>
      <c r="AV144">
        <v>11277149</v>
      </c>
      <c r="AW144">
        <v>8829970</v>
      </c>
      <c r="AX144">
        <v>155213792</v>
      </c>
      <c r="AY144">
        <v>110948760</v>
      </c>
      <c r="AZ144">
        <v>61576072</v>
      </c>
      <c r="BA144">
        <v>45032588</v>
      </c>
    </row>
    <row r="145" spans="1:53">
      <c r="A145">
        <v>20120</v>
      </c>
      <c r="B145" t="s">
        <v>650</v>
      </c>
      <c r="C145" t="s">
        <v>651</v>
      </c>
      <c r="D145" t="s">
        <v>652</v>
      </c>
      <c r="F145" t="s">
        <v>653</v>
      </c>
      <c r="G145">
        <v>160.21799999999999</v>
      </c>
      <c r="H145" t="s">
        <v>57</v>
      </c>
      <c r="I145">
        <v>2</v>
      </c>
      <c r="J145">
        <v>8</v>
      </c>
      <c r="K145">
        <v>0</v>
      </c>
      <c r="L145">
        <v>10.59</v>
      </c>
      <c r="M145">
        <v>41117</v>
      </c>
      <c r="N145">
        <v>23</v>
      </c>
      <c r="O145">
        <v>6</v>
      </c>
      <c r="P145">
        <v>6</v>
      </c>
      <c r="Q145">
        <v>6</v>
      </c>
      <c r="R145">
        <v>6</v>
      </c>
      <c r="S145">
        <v>30</v>
      </c>
      <c r="T145">
        <v>30</v>
      </c>
      <c r="U145">
        <v>6</v>
      </c>
      <c r="V145">
        <v>4</v>
      </c>
      <c r="W145">
        <v>6</v>
      </c>
      <c r="X145">
        <v>4</v>
      </c>
      <c r="Y145">
        <v>5</v>
      </c>
      <c r="Z145">
        <v>6</v>
      </c>
      <c r="AA145">
        <v>6</v>
      </c>
      <c r="AB145">
        <v>6</v>
      </c>
      <c r="AC145">
        <v>5</v>
      </c>
      <c r="AD145">
        <v>4</v>
      </c>
      <c r="AE145">
        <v>5</v>
      </c>
      <c r="AF145">
        <v>4</v>
      </c>
      <c r="AG145">
        <v>4</v>
      </c>
      <c r="AH145">
        <v>5</v>
      </c>
      <c r="AI145">
        <v>5</v>
      </c>
      <c r="AJ145">
        <v>2</v>
      </c>
      <c r="AK145">
        <v>1</v>
      </c>
      <c r="AL145">
        <v>36203248</v>
      </c>
      <c r="AM145">
        <v>38916764</v>
      </c>
      <c r="AN145">
        <v>22849060</v>
      </c>
      <c r="AO145">
        <v>23762090</v>
      </c>
      <c r="AP145">
        <v>53737432</v>
      </c>
      <c r="AQ145">
        <v>41618192</v>
      </c>
      <c r="AR145">
        <v>15934601</v>
      </c>
      <c r="AS145">
        <v>14265271</v>
      </c>
      <c r="AT145">
        <v>33074272</v>
      </c>
      <c r="AU145">
        <v>34452396</v>
      </c>
      <c r="AV145">
        <v>23337248</v>
      </c>
      <c r="AW145">
        <v>22368886</v>
      </c>
      <c r="AX145">
        <v>26979530</v>
      </c>
      <c r="AY145">
        <v>21502626</v>
      </c>
      <c r="AZ145">
        <v>9821567</v>
      </c>
      <c r="BA145">
        <v>12266588</v>
      </c>
    </row>
    <row r="146" spans="1:53">
      <c r="A146">
        <v>20024</v>
      </c>
      <c r="B146" t="s">
        <v>654</v>
      </c>
      <c r="C146" t="s">
        <v>655</v>
      </c>
      <c r="D146" t="s">
        <v>656</v>
      </c>
      <c r="F146" t="s">
        <v>657</v>
      </c>
      <c r="G146">
        <v>158.327</v>
      </c>
      <c r="H146" t="s">
        <v>57</v>
      </c>
      <c r="I146">
        <v>2</v>
      </c>
      <c r="J146">
        <v>20</v>
      </c>
      <c r="K146">
        <v>0</v>
      </c>
      <c r="L146">
        <v>55.17</v>
      </c>
      <c r="M146">
        <v>9827</v>
      </c>
      <c r="N146">
        <v>4</v>
      </c>
      <c r="O146">
        <v>3</v>
      </c>
      <c r="P146">
        <v>3</v>
      </c>
      <c r="Q146">
        <v>3</v>
      </c>
      <c r="R146">
        <v>3</v>
      </c>
      <c r="S146">
        <v>14</v>
      </c>
      <c r="T146">
        <v>14</v>
      </c>
      <c r="U146">
        <v>3</v>
      </c>
      <c r="V146">
        <v>2</v>
      </c>
      <c r="W146">
        <v>2</v>
      </c>
      <c r="X146">
        <v>2</v>
      </c>
      <c r="Y146">
        <v>2</v>
      </c>
      <c r="Z146">
        <v>3</v>
      </c>
      <c r="AA146">
        <v>3</v>
      </c>
      <c r="AB146">
        <v>3</v>
      </c>
      <c r="AC146">
        <v>3</v>
      </c>
      <c r="AD146">
        <v>2</v>
      </c>
      <c r="AE146">
        <v>1</v>
      </c>
      <c r="AF146">
        <v>1</v>
      </c>
      <c r="AG146">
        <v>1</v>
      </c>
      <c r="AH146">
        <v>3</v>
      </c>
      <c r="AI146">
        <v>3</v>
      </c>
      <c r="AJ146">
        <v>2</v>
      </c>
      <c r="AK146">
        <v>2</v>
      </c>
      <c r="AL146">
        <v>4292546</v>
      </c>
      <c r="AM146">
        <v>3848399.75</v>
      </c>
      <c r="AN146">
        <v>1712063.5</v>
      </c>
      <c r="AO146">
        <v>1586096.5</v>
      </c>
      <c r="AP146">
        <v>11973274</v>
      </c>
      <c r="AQ146">
        <v>10173826</v>
      </c>
      <c r="AR146">
        <v>3015128.5</v>
      </c>
      <c r="AS146">
        <v>2564850.25</v>
      </c>
      <c r="AT146">
        <v>5639389</v>
      </c>
      <c r="AU146">
        <v>4128497.75</v>
      </c>
      <c r="AV146">
        <v>1811013.5</v>
      </c>
      <c r="AW146">
        <v>2028071.75</v>
      </c>
      <c r="AX146">
        <v>3271564</v>
      </c>
      <c r="AY146">
        <v>3425273.75</v>
      </c>
      <c r="AZ146">
        <v>1417337.75</v>
      </c>
      <c r="BA146">
        <v>1725390.5</v>
      </c>
    </row>
    <row r="147" spans="1:53">
      <c r="A147">
        <v>20179</v>
      </c>
      <c r="B147" t="s">
        <v>658</v>
      </c>
      <c r="C147" t="s">
        <v>659</v>
      </c>
      <c r="D147" t="s">
        <v>660</v>
      </c>
      <c r="F147" t="s">
        <v>661</v>
      </c>
      <c r="G147">
        <v>157.273</v>
      </c>
      <c r="H147" t="s">
        <v>57</v>
      </c>
      <c r="I147">
        <v>2</v>
      </c>
      <c r="J147">
        <v>2</v>
      </c>
      <c r="K147">
        <v>0</v>
      </c>
      <c r="L147">
        <v>29.61</v>
      </c>
      <c r="M147">
        <v>51542</v>
      </c>
      <c r="N147">
        <v>25</v>
      </c>
      <c r="O147">
        <v>12</v>
      </c>
      <c r="P147">
        <v>12</v>
      </c>
      <c r="Q147">
        <v>12</v>
      </c>
      <c r="R147">
        <v>12</v>
      </c>
      <c r="S147">
        <v>31</v>
      </c>
      <c r="T147">
        <v>31</v>
      </c>
      <c r="U147">
        <v>12</v>
      </c>
      <c r="V147">
        <v>11</v>
      </c>
      <c r="W147">
        <v>11</v>
      </c>
      <c r="X147">
        <v>11</v>
      </c>
      <c r="Y147">
        <v>11</v>
      </c>
      <c r="Z147">
        <v>12</v>
      </c>
      <c r="AA147">
        <v>12</v>
      </c>
      <c r="AB147">
        <v>12</v>
      </c>
      <c r="AC147">
        <v>11</v>
      </c>
      <c r="AD147">
        <v>1</v>
      </c>
      <c r="AE147">
        <v>1</v>
      </c>
      <c r="AF147">
        <v>7</v>
      </c>
      <c r="AG147">
        <v>9</v>
      </c>
      <c r="AH147">
        <v>2</v>
      </c>
      <c r="AI147">
        <v>3</v>
      </c>
      <c r="AJ147">
        <v>7</v>
      </c>
      <c r="AK147">
        <v>3</v>
      </c>
      <c r="AL147">
        <v>8843360</v>
      </c>
      <c r="AM147">
        <v>10101312</v>
      </c>
      <c r="AN147">
        <v>16855472</v>
      </c>
      <c r="AO147">
        <v>16126376</v>
      </c>
      <c r="AP147">
        <v>16234038</v>
      </c>
      <c r="AQ147">
        <v>22209428</v>
      </c>
      <c r="AR147">
        <v>20968974</v>
      </c>
      <c r="AS147">
        <v>13908331</v>
      </c>
      <c r="AT147">
        <v>8664933</v>
      </c>
      <c r="AU147">
        <v>8124736.5</v>
      </c>
      <c r="AV147">
        <v>13812072</v>
      </c>
      <c r="AW147">
        <v>15090405</v>
      </c>
      <c r="AX147">
        <v>6830965</v>
      </c>
      <c r="AY147">
        <v>9510943</v>
      </c>
      <c r="AZ147">
        <v>10984464</v>
      </c>
      <c r="BA147">
        <v>11379215</v>
      </c>
    </row>
    <row r="148" spans="1:53">
      <c r="A148">
        <v>20225</v>
      </c>
      <c r="B148" t="s">
        <v>662</v>
      </c>
      <c r="C148" t="s">
        <v>663</v>
      </c>
      <c r="D148" t="s">
        <v>664</v>
      </c>
      <c r="F148" t="s">
        <v>665</v>
      </c>
      <c r="G148">
        <v>156.66800000000001</v>
      </c>
      <c r="H148" t="s">
        <v>57</v>
      </c>
      <c r="I148">
        <v>2</v>
      </c>
      <c r="J148">
        <v>2</v>
      </c>
      <c r="K148">
        <v>0</v>
      </c>
      <c r="L148">
        <v>21.23</v>
      </c>
      <c r="M148">
        <v>44010</v>
      </c>
      <c r="N148">
        <v>21</v>
      </c>
      <c r="O148">
        <v>7</v>
      </c>
      <c r="P148">
        <v>7</v>
      </c>
      <c r="Q148">
        <v>7</v>
      </c>
      <c r="R148">
        <v>7</v>
      </c>
      <c r="S148">
        <v>27</v>
      </c>
      <c r="T148">
        <v>27</v>
      </c>
      <c r="U148">
        <v>7</v>
      </c>
      <c r="V148">
        <v>4</v>
      </c>
      <c r="W148">
        <v>5</v>
      </c>
      <c r="X148">
        <v>7</v>
      </c>
      <c r="Y148">
        <v>7</v>
      </c>
      <c r="Z148">
        <v>6</v>
      </c>
      <c r="AA148">
        <v>5</v>
      </c>
      <c r="AB148">
        <v>7</v>
      </c>
      <c r="AC148">
        <v>7</v>
      </c>
      <c r="AD148">
        <v>2</v>
      </c>
      <c r="AE148">
        <v>2</v>
      </c>
      <c r="AF148">
        <v>3</v>
      </c>
      <c r="AG148">
        <v>4</v>
      </c>
      <c r="AH148">
        <v>3</v>
      </c>
      <c r="AI148">
        <v>4</v>
      </c>
      <c r="AJ148">
        <v>7</v>
      </c>
      <c r="AK148">
        <v>2</v>
      </c>
      <c r="AL148">
        <v>3695623.25</v>
      </c>
      <c r="AM148">
        <v>5143137</v>
      </c>
      <c r="AN148">
        <v>10402757</v>
      </c>
      <c r="AO148">
        <v>9983545</v>
      </c>
      <c r="AP148">
        <v>12393126</v>
      </c>
      <c r="AQ148">
        <v>11070586</v>
      </c>
      <c r="AR148">
        <v>14634772</v>
      </c>
      <c r="AS148">
        <v>8788425</v>
      </c>
      <c r="AT148">
        <v>1947916.38</v>
      </c>
      <c r="AU148">
        <v>4102097.75</v>
      </c>
      <c r="AV148">
        <v>8153090.5</v>
      </c>
      <c r="AW148">
        <v>8984909</v>
      </c>
      <c r="AX148">
        <v>4903279.5</v>
      </c>
      <c r="AY148">
        <v>4569227.5</v>
      </c>
      <c r="AZ148">
        <v>9647685</v>
      </c>
      <c r="BA148">
        <v>8350384.5</v>
      </c>
    </row>
    <row r="149" spans="1:53">
      <c r="A149">
        <v>20260</v>
      </c>
      <c r="B149" t="s">
        <v>666</v>
      </c>
      <c r="C149" t="s">
        <v>667</v>
      </c>
      <c r="D149" t="s">
        <v>666</v>
      </c>
      <c r="F149" t="s">
        <v>668</v>
      </c>
      <c r="G149">
        <v>152.01900000000001</v>
      </c>
      <c r="H149" t="s">
        <v>57</v>
      </c>
      <c r="I149">
        <v>2</v>
      </c>
      <c r="J149">
        <v>1</v>
      </c>
      <c r="K149">
        <v>0</v>
      </c>
      <c r="L149">
        <v>28.45</v>
      </c>
      <c r="M149">
        <v>49873</v>
      </c>
      <c r="N149">
        <v>22</v>
      </c>
      <c r="O149">
        <v>9</v>
      </c>
      <c r="P149">
        <v>9</v>
      </c>
      <c r="Q149">
        <v>9</v>
      </c>
      <c r="R149">
        <v>9</v>
      </c>
      <c r="S149">
        <v>38</v>
      </c>
      <c r="T149">
        <v>38</v>
      </c>
      <c r="U149">
        <v>9</v>
      </c>
      <c r="V149">
        <v>4</v>
      </c>
      <c r="W149">
        <v>6</v>
      </c>
      <c r="X149">
        <v>7</v>
      </c>
      <c r="Y149">
        <v>8</v>
      </c>
      <c r="Z149">
        <v>9</v>
      </c>
      <c r="AA149">
        <v>9</v>
      </c>
      <c r="AB149">
        <v>9</v>
      </c>
      <c r="AC149">
        <v>9</v>
      </c>
      <c r="AD149">
        <v>3</v>
      </c>
      <c r="AE149">
        <v>5</v>
      </c>
      <c r="AF149">
        <v>5</v>
      </c>
      <c r="AG149">
        <v>6</v>
      </c>
      <c r="AH149">
        <v>5</v>
      </c>
      <c r="AI149">
        <v>5</v>
      </c>
      <c r="AJ149">
        <v>6</v>
      </c>
      <c r="AK149">
        <v>3</v>
      </c>
      <c r="AL149">
        <v>19842204</v>
      </c>
      <c r="AM149">
        <v>27099220</v>
      </c>
      <c r="AN149">
        <v>18298908</v>
      </c>
      <c r="AO149">
        <v>17932638</v>
      </c>
      <c r="AP149">
        <v>31119836</v>
      </c>
      <c r="AQ149">
        <v>29893290</v>
      </c>
      <c r="AR149">
        <v>30762952</v>
      </c>
      <c r="AS149">
        <v>21462078</v>
      </c>
      <c r="AT149">
        <v>579079</v>
      </c>
      <c r="AU149">
        <v>10401533</v>
      </c>
      <c r="AV149">
        <v>15695305</v>
      </c>
      <c r="AW149">
        <v>21740678</v>
      </c>
      <c r="AX149">
        <v>13805927</v>
      </c>
      <c r="AY149">
        <v>16293122</v>
      </c>
      <c r="AZ149">
        <v>24373984</v>
      </c>
      <c r="BA149">
        <v>23922408</v>
      </c>
    </row>
    <row r="150" spans="1:53">
      <c r="A150">
        <v>20074</v>
      </c>
      <c r="B150" t="s">
        <v>669</v>
      </c>
      <c r="C150" t="s">
        <v>670</v>
      </c>
      <c r="D150" t="s">
        <v>671</v>
      </c>
      <c r="F150" t="s">
        <v>672</v>
      </c>
      <c r="G150">
        <v>150.53</v>
      </c>
      <c r="H150" t="s">
        <v>57</v>
      </c>
      <c r="I150">
        <v>2</v>
      </c>
      <c r="J150">
        <v>20</v>
      </c>
      <c r="K150">
        <v>0</v>
      </c>
      <c r="L150">
        <v>42.51</v>
      </c>
      <c r="M150">
        <v>18695</v>
      </c>
      <c r="N150">
        <v>13</v>
      </c>
      <c r="O150">
        <v>6</v>
      </c>
      <c r="P150">
        <v>6</v>
      </c>
      <c r="Q150">
        <v>6</v>
      </c>
      <c r="R150">
        <v>6</v>
      </c>
      <c r="S150">
        <v>28</v>
      </c>
      <c r="T150">
        <v>28</v>
      </c>
      <c r="U150">
        <v>6</v>
      </c>
      <c r="V150">
        <v>6</v>
      </c>
      <c r="W150">
        <v>6</v>
      </c>
      <c r="X150">
        <v>6</v>
      </c>
      <c r="Y150">
        <v>5</v>
      </c>
      <c r="Z150">
        <v>5</v>
      </c>
      <c r="AA150">
        <v>4</v>
      </c>
      <c r="AB150">
        <v>3</v>
      </c>
      <c r="AC150">
        <v>2</v>
      </c>
      <c r="AD150">
        <v>7</v>
      </c>
      <c r="AE150">
        <v>6</v>
      </c>
      <c r="AF150">
        <v>5</v>
      </c>
      <c r="AG150">
        <v>4</v>
      </c>
      <c r="AH150">
        <v>2</v>
      </c>
      <c r="AI150">
        <v>1</v>
      </c>
      <c r="AJ150">
        <v>2</v>
      </c>
      <c r="AK150">
        <v>1</v>
      </c>
      <c r="AL150">
        <v>27086664</v>
      </c>
      <c r="AM150">
        <v>24100300</v>
      </c>
      <c r="AN150">
        <v>20911368</v>
      </c>
      <c r="AO150">
        <v>18912322</v>
      </c>
      <c r="AP150">
        <v>18486384</v>
      </c>
      <c r="AQ150">
        <v>17966638</v>
      </c>
      <c r="AR150">
        <v>6324039</v>
      </c>
      <c r="AS150">
        <v>5172877</v>
      </c>
      <c r="AT150">
        <v>31826390</v>
      </c>
      <c r="AU150">
        <v>20954408</v>
      </c>
      <c r="AV150">
        <v>16658309</v>
      </c>
      <c r="AW150">
        <v>16330380</v>
      </c>
      <c r="AX150">
        <v>8979384</v>
      </c>
      <c r="AY150">
        <v>5408979</v>
      </c>
      <c r="AZ150">
        <v>1251165.8799999999</v>
      </c>
      <c r="BA150">
        <v>228444.11</v>
      </c>
    </row>
    <row r="151" spans="1:53">
      <c r="A151">
        <v>20156</v>
      </c>
      <c r="B151" t="s">
        <v>673</v>
      </c>
      <c r="C151" t="s">
        <v>674</v>
      </c>
      <c r="D151" t="s">
        <v>675</v>
      </c>
      <c r="F151" t="s">
        <v>676</v>
      </c>
      <c r="G151">
        <v>147.31800000000001</v>
      </c>
      <c r="H151" t="s">
        <v>57</v>
      </c>
      <c r="I151">
        <v>2</v>
      </c>
      <c r="J151">
        <v>3</v>
      </c>
      <c r="K151">
        <v>0</v>
      </c>
      <c r="L151">
        <v>50.75</v>
      </c>
      <c r="M151">
        <v>7276</v>
      </c>
      <c r="N151">
        <v>6</v>
      </c>
      <c r="O151">
        <v>3</v>
      </c>
      <c r="P151">
        <v>3</v>
      </c>
      <c r="Q151">
        <v>3</v>
      </c>
      <c r="R151">
        <v>3</v>
      </c>
      <c r="S151">
        <v>20</v>
      </c>
      <c r="T151">
        <v>20</v>
      </c>
      <c r="U151">
        <v>3</v>
      </c>
      <c r="V151">
        <v>2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2</v>
      </c>
      <c r="AE151">
        <v>4</v>
      </c>
      <c r="AF151">
        <v>3</v>
      </c>
      <c r="AG151">
        <v>3</v>
      </c>
      <c r="AH151">
        <v>3</v>
      </c>
      <c r="AI151">
        <v>3</v>
      </c>
      <c r="AJ151">
        <v>1</v>
      </c>
      <c r="AK151">
        <v>1</v>
      </c>
      <c r="AL151">
        <v>31589072</v>
      </c>
      <c r="AM151">
        <v>35879704</v>
      </c>
      <c r="AN151">
        <v>7888432.5</v>
      </c>
      <c r="AO151">
        <v>7929517</v>
      </c>
      <c r="AP151">
        <v>35944724</v>
      </c>
      <c r="AQ151">
        <v>33569216</v>
      </c>
      <c r="AR151">
        <v>4624926.5</v>
      </c>
      <c r="AS151">
        <v>4218015</v>
      </c>
      <c r="AT151">
        <v>28863088</v>
      </c>
      <c r="AU151">
        <v>29459956</v>
      </c>
      <c r="AV151">
        <v>6421258.5</v>
      </c>
      <c r="AW151">
        <v>7224062.5</v>
      </c>
      <c r="AX151">
        <v>14371600</v>
      </c>
      <c r="AY151">
        <v>14902357</v>
      </c>
      <c r="AZ151">
        <v>2544661.75</v>
      </c>
      <c r="BA151">
        <v>3025146.5</v>
      </c>
    </row>
    <row r="152" spans="1:53">
      <c r="A152">
        <v>20086</v>
      </c>
      <c r="B152" t="s">
        <v>677</v>
      </c>
      <c r="C152" t="s">
        <v>678</v>
      </c>
      <c r="D152" t="s">
        <v>679</v>
      </c>
      <c r="F152" t="s">
        <v>680</v>
      </c>
      <c r="G152">
        <v>142.02099999999999</v>
      </c>
      <c r="H152" t="s">
        <v>57</v>
      </c>
      <c r="I152">
        <v>2</v>
      </c>
      <c r="J152">
        <v>21</v>
      </c>
      <c r="K152">
        <v>0</v>
      </c>
      <c r="L152">
        <v>43.96</v>
      </c>
      <c r="M152">
        <v>20605</v>
      </c>
      <c r="N152">
        <v>12</v>
      </c>
      <c r="O152">
        <v>7</v>
      </c>
      <c r="P152">
        <v>7</v>
      </c>
      <c r="Q152">
        <v>7</v>
      </c>
      <c r="R152">
        <v>7</v>
      </c>
      <c r="S152">
        <v>21</v>
      </c>
      <c r="T152">
        <v>21</v>
      </c>
      <c r="U152">
        <v>7</v>
      </c>
      <c r="V152">
        <v>6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6</v>
      </c>
      <c r="AC152">
        <v>6</v>
      </c>
      <c r="AD152">
        <v>1</v>
      </c>
      <c r="AE152">
        <v>2</v>
      </c>
      <c r="AF152">
        <v>1</v>
      </c>
      <c r="AG152">
        <v>4</v>
      </c>
      <c r="AH152">
        <v>4</v>
      </c>
      <c r="AI152">
        <v>3</v>
      </c>
      <c r="AJ152">
        <v>3</v>
      </c>
      <c r="AK152">
        <v>3</v>
      </c>
      <c r="AL152">
        <v>8004741.5</v>
      </c>
      <c r="AM152">
        <v>10985611</v>
      </c>
      <c r="AN152">
        <v>11387178</v>
      </c>
      <c r="AO152">
        <v>10707967</v>
      </c>
      <c r="AP152">
        <v>19995704</v>
      </c>
      <c r="AQ152">
        <v>18311946</v>
      </c>
      <c r="AR152">
        <v>9653630</v>
      </c>
      <c r="AS152">
        <v>6708371</v>
      </c>
      <c r="AT152">
        <v>8428108</v>
      </c>
      <c r="AU152">
        <v>8544513</v>
      </c>
      <c r="AV152">
        <v>8801945</v>
      </c>
      <c r="AW152">
        <v>9287683</v>
      </c>
      <c r="AX152">
        <v>7454384.5</v>
      </c>
      <c r="AY152">
        <v>7816648.5</v>
      </c>
      <c r="AZ152">
        <v>5377835.5</v>
      </c>
      <c r="BA152">
        <v>5630168.5</v>
      </c>
    </row>
    <row r="153" spans="1:53">
      <c r="A153">
        <v>20129</v>
      </c>
      <c r="B153" t="s">
        <v>681</v>
      </c>
      <c r="C153" t="s">
        <v>682</v>
      </c>
      <c r="D153" t="s">
        <v>683</v>
      </c>
      <c r="F153" t="s">
        <v>684</v>
      </c>
      <c r="G153">
        <v>141.70099999999999</v>
      </c>
      <c r="H153" t="s">
        <v>57</v>
      </c>
      <c r="I153">
        <v>2</v>
      </c>
      <c r="J153">
        <v>3</v>
      </c>
      <c r="K153">
        <v>0</v>
      </c>
      <c r="L153">
        <v>52.22</v>
      </c>
      <c r="M153">
        <v>9225</v>
      </c>
      <c r="N153">
        <v>6</v>
      </c>
      <c r="O153">
        <v>4</v>
      </c>
      <c r="P153">
        <v>4</v>
      </c>
      <c r="Q153">
        <v>4</v>
      </c>
      <c r="R153">
        <v>4</v>
      </c>
      <c r="S153">
        <v>45</v>
      </c>
      <c r="T153">
        <v>45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3</v>
      </c>
      <c r="AD153">
        <v>7</v>
      </c>
      <c r="AE153">
        <v>5</v>
      </c>
      <c r="AF153">
        <v>7</v>
      </c>
      <c r="AG153">
        <v>5</v>
      </c>
      <c r="AH153">
        <v>7</v>
      </c>
      <c r="AI153">
        <v>8</v>
      </c>
      <c r="AJ153">
        <v>3</v>
      </c>
      <c r="AK153">
        <v>3</v>
      </c>
      <c r="AL153">
        <v>98056592</v>
      </c>
      <c r="AM153">
        <v>73793272</v>
      </c>
      <c r="AN153">
        <v>57244700</v>
      </c>
      <c r="AO153">
        <v>54564072</v>
      </c>
      <c r="AP153">
        <v>97946096</v>
      </c>
      <c r="AQ153">
        <v>86847344</v>
      </c>
      <c r="AR153">
        <v>22298494</v>
      </c>
      <c r="AS153">
        <v>12068183</v>
      </c>
      <c r="AT153">
        <v>63302488</v>
      </c>
      <c r="AU153">
        <v>59636896</v>
      </c>
      <c r="AV153">
        <v>51624708</v>
      </c>
      <c r="AW153">
        <v>55988732</v>
      </c>
      <c r="AX153">
        <v>44947324</v>
      </c>
      <c r="AY153">
        <v>44881416</v>
      </c>
      <c r="AZ153">
        <v>15296147</v>
      </c>
      <c r="BA153">
        <v>17247910</v>
      </c>
    </row>
    <row r="154" spans="1:53">
      <c r="A154">
        <v>20137</v>
      </c>
      <c r="B154" t="s">
        <v>685</v>
      </c>
      <c r="C154" t="s">
        <v>686</v>
      </c>
      <c r="D154" t="s">
        <v>685</v>
      </c>
      <c r="E154" t="s">
        <v>687</v>
      </c>
      <c r="F154" t="s">
        <v>688</v>
      </c>
      <c r="G154">
        <v>141.53200000000001</v>
      </c>
      <c r="H154" t="s">
        <v>57</v>
      </c>
      <c r="I154">
        <v>2</v>
      </c>
      <c r="J154">
        <v>1</v>
      </c>
      <c r="K154">
        <v>1</v>
      </c>
      <c r="L154">
        <v>6.05</v>
      </c>
      <c r="M154">
        <v>85356</v>
      </c>
      <c r="N154">
        <v>50</v>
      </c>
      <c r="O154">
        <v>5</v>
      </c>
      <c r="P154">
        <v>3</v>
      </c>
      <c r="Q154">
        <v>5</v>
      </c>
      <c r="R154">
        <v>3</v>
      </c>
      <c r="S154">
        <v>43</v>
      </c>
      <c r="T154">
        <v>21</v>
      </c>
      <c r="U154">
        <v>3</v>
      </c>
      <c r="V154">
        <v>2</v>
      </c>
      <c r="W154">
        <v>3</v>
      </c>
      <c r="X154">
        <v>2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2</v>
      </c>
      <c r="AE154">
        <v>2</v>
      </c>
      <c r="AF154">
        <v>2</v>
      </c>
      <c r="AG154">
        <v>2</v>
      </c>
      <c r="AH154">
        <v>6</v>
      </c>
      <c r="AI154">
        <v>4</v>
      </c>
      <c r="AJ154">
        <v>2</v>
      </c>
      <c r="AK154">
        <v>1</v>
      </c>
      <c r="AL154">
        <v>176598816</v>
      </c>
      <c r="AM154">
        <v>222073696</v>
      </c>
      <c r="AN154">
        <v>101808832</v>
      </c>
      <c r="AO154">
        <v>96350816</v>
      </c>
      <c r="AP154">
        <v>231005136</v>
      </c>
      <c r="AQ154">
        <v>208217808</v>
      </c>
      <c r="AR154">
        <v>44835360</v>
      </c>
      <c r="AS154">
        <v>38514784</v>
      </c>
      <c r="AT154">
        <v>55234620</v>
      </c>
      <c r="AU154">
        <v>46757092</v>
      </c>
      <c r="AV154">
        <v>37506712</v>
      </c>
      <c r="AW154">
        <v>45222228</v>
      </c>
      <c r="AX154">
        <v>26200472</v>
      </c>
      <c r="AY154">
        <v>24397620</v>
      </c>
      <c r="AZ154">
        <v>11924158</v>
      </c>
      <c r="BA154">
        <v>17959620</v>
      </c>
    </row>
    <row r="155" spans="1:53">
      <c r="A155">
        <v>20019</v>
      </c>
      <c r="B155" t="s">
        <v>689</v>
      </c>
      <c r="C155" t="s">
        <v>690</v>
      </c>
      <c r="D155" t="s">
        <v>691</v>
      </c>
      <c r="F155" t="s">
        <v>692</v>
      </c>
      <c r="G155">
        <v>141.47900000000001</v>
      </c>
      <c r="H155" t="s">
        <v>57</v>
      </c>
      <c r="I155">
        <v>2</v>
      </c>
      <c r="J155">
        <v>3</v>
      </c>
      <c r="K155">
        <v>0</v>
      </c>
      <c r="L155">
        <v>22.36</v>
      </c>
      <c r="M155">
        <v>17688</v>
      </c>
      <c r="N155">
        <v>11</v>
      </c>
      <c r="O155">
        <v>3</v>
      </c>
      <c r="P155">
        <v>3</v>
      </c>
      <c r="Q155">
        <v>3</v>
      </c>
      <c r="R155">
        <v>3</v>
      </c>
      <c r="S155">
        <v>20</v>
      </c>
      <c r="T155">
        <v>20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4</v>
      </c>
      <c r="AF155">
        <v>4</v>
      </c>
      <c r="AG155">
        <v>3</v>
      </c>
      <c r="AH155">
        <v>4</v>
      </c>
      <c r="AI155">
        <v>2</v>
      </c>
      <c r="AJ155">
        <v>0</v>
      </c>
      <c r="AK155">
        <v>0</v>
      </c>
      <c r="AL155">
        <v>9412238</v>
      </c>
      <c r="AM155">
        <v>12585446</v>
      </c>
      <c r="AN155">
        <v>5297729</v>
      </c>
      <c r="AO155">
        <v>4477192</v>
      </c>
      <c r="AP155">
        <v>13140250</v>
      </c>
      <c r="AQ155">
        <v>10298239</v>
      </c>
      <c r="AR155">
        <v>2258501.75</v>
      </c>
      <c r="AS155">
        <v>2146726.25</v>
      </c>
      <c r="AT155">
        <v>12793272</v>
      </c>
      <c r="AU155">
        <v>11414145</v>
      </c>
      <c r="AV155">
        <v>4865025.5</v>
      </c>
      <c r="AW155">
        <v>5360645.5</v>
      </c>
      <c r="AX155">
        <v>6821637.5</v>
      </c>
      <c r="AY155">
        <v>6200209</v>
      </c>
      <c r="AZ155">
        <v>1532493.38</v>
      </c>
      <c r="BA155">
        <v>1684543.88</v>
      </c>
    </row>
    <row r="156" spans="1:53">
      <c r="A156">
        <v>20236</v>
      </c>
      <c r="B156" t="s">
        <v>693</v>
      </c>
      <c r="C156" t="s">
        <v>694</v>
      </c>
      <c r="D156" t="s">
        <v>693</v>
      </c>
      <c r="F156" t="s">
        <v>695</v>
      </c>
      <c r="G156">
        <v>139.10300000000001</v>
      </c>
      <c r="H156" t="s">
        <v>57</v>
      </c>
      <c r="I156">
        <v>2</v>
      </c>
      <c r="J156">
        <v>1</v>
      </c>
      <c r="K156">
        <v>0</v>
      </c>
      <c r="L156">
        <v>14.68</v>
      </c>
      <c r="M156">
        <v>46587</v>
      </c>
      <c r="N156">
        <v>20</v>
      </c>
      <c r="O156">
        <v>5</v>
      </c>
      <c r="P156">
        <v>5</v>
      </c>
      <c r="Q156">
        <v>5</v>
      </c>
      <c r="R156">
        <v>5</v>
      </c>
      <c r="S156">
        <v>17</v>
      </c>
      <c r="T156">
        <v>17</v>
      </c>
      <c r="U156">
        <v>5</v>
      </c>
      <c r="V156">
        <v>3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4</v>
      </c>
      <c r="AC156">
        <v>5</v>
      </c>
      <c r="AD156">
        <v>2</v>
      </c>
      <c r="AE156">
        <v>0</v>
      </c>
      <c r="AF156">
        <v>2</v>
      </c>
      <c r="AG156">
        <v>5</v>
      </c>
      <c r="AH156">
        <v>1</v>
      </c>
      <c r="AI156">
        <v>2</v>
      </c>
      <c r="AJ156">
        <v>2</v>
      </c>
      <c r="AK156">
        <v>3</v>
      </c>
      <c r="AL156">
        <v>2649939.5</v>
      </c>
      <c r="AM156">
        <v>6087591</v>
      </c>
      <c r="AN156">
        <v>9724753</v>
      </c>
      <c r="AO156">
        <v>8214922</v>
      </c>
      <c r="AP156">
        <v>8341151.5</v>
      </c>
      <c r="AQ156">
        <v>8137196</v>
      </c>
      <c r="AR156">
        <v>8335143.5</v>
      </c>
      <c r="AS156">
        <v>6712980.5</v>
      </c>
      <c r="AT156">
        <v>2974693.75</v>
      </c>
      <c r="AU156">
        <v>4420332</v>
      </c>
      <c r="AV156">
        <v>7134781</v>
      </c>
      <c r="AW156">
        <v>7255375.5</v>
      </c>
      <c r="AX156">
        <v>3477205.5</v>
      </c>
      <c r="AY156">
        <v>4030741</v>
      </c>
      <c r="AZ156">
        <v>5482598</v>
      </c>
      <c r="BA156">
        <v>6190264</v>
      </c>
    </row>
    <row r="157" spans="1:53">
      <c r="A157">
        <v>20088</v>
      </c>
      <c r="B157" t="s">
        <v>696</v>
      </c>
      <c r="C157" t="s">
        <v>697</v>
      </c>
      <c r="D157" t="s">
        <v>698</v>
      </c>
      <c r="F157" t="s">
        <v>699</v>
      </c>
      <c r="G157">
        <v>135.40299999999999</v>
      </c>
      <c r="H157" t="s">
        <v>57</v>
      </c>
      <c r="I157">
        <v>2</v>
      </c>
      <c r="J157">
        <v>19</v>
      </c>
      <c r="K157">
        <v>0</v>
      </c>
      <c r="L157">
        <v>19.32</v>
      </c>
      <c r="M157">
        <v>42363</v>
      </c>
      <c r="N157">
        <v>18</v>
      </c>
      <c r="O157">
        <v>5</v>
      </c>
      <c r="P157">
        <v>5</v>
      </c>
      <c r="Q157">
        <v>5</v>
      </c>
      <c r="R157">
        <v>5</v>
      </c>
      <c r="S157">
        <v>18</v>
      </c>
      <c r="T157">
        <v>18</v>
      </c>
      <c r="U157">
        <v>5</v>
      </c>
      <c r="V157">
        <v>3</v>
      </c>
      <c r="W157">
        <v>5</v>
      </c>
      <c r="X157">
        <v>4</v>
      </c>
      <c r="Y157">
        <v>4</v>
      </c>
      <c r="Z157">
        <v>5</v>
      </c>
      <c r="AA157">
        <v>5</v>
      </c>
      <c r="AB157">
        <v>5</v>
      </c>
      <c r="AC157">
        <v>5</v>
      </c>
      <c r="AD157">
        <v>0</v>
      </c>
      <c r="AE157">
        <v>1</v>
      </c>
      <c r="AF157">
        <v>2</v>
      </c>
      <c r="AG157">
        <v>2</v>
      </c>
      <c r="AH157">
        <v>3</v>
      </c>
      <c r="AI157">
        <v>5</v>
      </c>
      <c r="AJ157">
        <v>4</v>
      </c>
      <c r="AK157">
        <v>2</v>
      </c>
      <c r="AL157">
        <v>2546736</v>
      </c>
      <c r="AM157">
        <v>3630647.25</v>
      </c>
      <c r="AN157">
        <v>3877093</v>
      </c>
      <c r="AO157">
        <v>3507632.5</v>
      </c>
      <c r="AP157">
        <v>9002897</v>
      </c>
      <c r="AQ157">
        <v>8919050</v>
      </c>
      <c r="AR157">
        <v>9546324</v>
      </c>
      <c r="AS157">
        <v>5519778</v>
      </c>
      <c r="AT157">
        <v>1818149</v>
      </c>
      <c r="AU157">
        <v>2680303</v>
      </c>
      <c r="AV157">
        <v>2761163.25</v>
      </c>
      <c r="AW157">
        <v>3488359.5</v>
      </c>
      <c r="AX157">
        <v>3059105</v>
      </c>
      <c r="AY157">
        <v>3200768.5</v>
      </c>
      <c r="AZ157">
        <v>6045101</v>
      </c>
      <c r="BA157">
        <v>5493703.5</v>
      </c>
    </row>
    <row r="158" spans="1:53">
      <c r="A158">
        <v>20213</v>
      </c>
      <c r="B158" t="s">
        <v>700</v>
      </c>
      <c r="C158" t="s">
        <v>701</v>
      </c>
      <c r="D158" t="s">
        <v>702</v>
      </c>
      <c r="F158" t="s">
        <v>703</v>
      </c>
      <c r="G158">
        <v>133.60900000000001</v>
      </c>
      <c r="H158" t="s">
        <v>57</v>
      </c>
      <c r="I158">
        <v>2</v>
      </c>
      <c r="J158">
        <v>2</v>
      </c>
      <c r="K158">
        <v>0</v>
      </c>
      <c r="L158">
        <v>78.099999999999994</v>
      </c>
      <c r="M158">
        <v>11582</v>
      </c>
      <c r="N158">
        <v>5</v>
      </c>
      <c r="O158">
        <v>6</v>
      </c>
      <c r="P158">
        <v>6</v>
      </c>
      <c r="Q158">
        <v>6</v>
      </c>
      <c r="R158">
        <v>6</v>
      </c>
      <c r="S158">
        <v>28</v>
      </c>
      <c r="T158">
        <v>28</v>
      </c>
      <c r="U158">
        <v>6</v>
      </c>
      <c r="V158">
        <v>4</v>
      </c>
      <c r="W158">
        <v>3</v>
      </c>
      <c r="X158">
        <v>4</v>
      </c>
      <c r="Y158">
        <v>5</v>
      </c>
      <c r="Z158">
        <v>5</v>
      </c>
      <c r="AA158">
        <v>4</v>
      </c>
      <c r="AB158">
        <v>5</v>
      </c>
      <c r="AC158">
        <v>5</v>
      </c>
      <c r="AD158">
        <v>2</v>
      </c>
      <c r="AE158">
        <v>4</v>
      </c>
      <c r="AF158">
        <v>3</v>
      </c>
      <c r="AG158">
        <v>4</v>
      </c>
      <c r="AH158">
        <v>4</v>
      </c>
      <c r="AI158">
        <v>4</v>
      </c>
      <c r="AJ158">
        <v>4</v>
      </c>
      <c r="AK158">
        <v>3</v>
      </c>
      <c r="AL158">
        <v>17536696</v>
      </c>
      <c r="AM158">
        <v>16340030</v>
      </c>
      <c r="AN158">
        <v>9908567</v>
      </c>
      <c r="AO158">
        <v>9604528</v>
      </c>
      <c r="AP158">
        <v>14263504</v>
      </c>
      <c r="AQ158">
        <v>15141308</v>
      </c>
      <c r="AR158">
        <v>13738201</v>
      </c>
      <c r="AS158">
        <v>13292655</v>
      </c>
      <c r="AT158">
        <v>10887893</v>
      </c>
      <c r="AU158">
        <v>1039109.81</v>
      </c>
      <c r="AV158">
        <v>4752592.5</v>
      </c>
      <c r="AW158">
        <v>8238077.5</v>
      </c>
      <c r="AX158">
        <v>13463007</v>
      </c>
      <c r="AY158">
        <v>13511587</v>
      </c>
      <c r="AZ158">
        <v>8789377</v>
      </c>
      <c r="BA158">
        <v>12196886</v>
      </c>
    </row>
    <row r="159" spans="1:53">
      <c r="A159">
        <v>20032</v>
      </c>
      <c r="B159" t="s">
        <v>704</v>
      </c>
      <c r="C159" t="s">
        <v>705</v>
      </c>
      <c r="D159" t="s">
        <v>706</v>
      </c>
      <c r="F159" t="s">
        <v>707</v>
      </c>
      <c r="G159">
        <v>131.828</v>
      </c>
      <c r="H159" t="s">
        <v>57</v>
      </c>
      <c r="I159">
        <v>2</v>
      </c>
      <c r="J159">
        <v>19</v>
      </c>
      <c r="K159">
        <v>0</v>
      </c>
      <c r="L159">
        <v>15.19</v>
      </c>
      <c r="M159">
        <v>26994</v>
      </c>
      <c r="N159">
        <v>18</v>
      </c>
      <c r="O159">
        <v>3</v>
      </c>
      <c r="P159">
        <v>3</v>
      </c>
      <c r="Q159">
        <v>3</v>
      </c>
      <c r="R159">
        <v>3</v>
      </c>
      <c r="S159">
        <v>10</v>
      </c>
      <c r="T159">
        <v>10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2</v>
      </c>
      <c r="AD159">
        <v>2</v>
      </c>
      <c r="AE159">
        <v>3</v>
      </c>
      <c r="AF159">
        <v>0</v>
      </c>
      <c r="AG159">
        <v>0</v>
      </c>
      <c r="AH159">
        <v>2</v>
      </c>
      <c r="AI159">
        <v>2</v>
      </c>
      <c r="AJ159">
        <v>1</v>
      </c>
      <c r="AK159">
        <v>1</v>
      </c>
      <c r="AL159">
        <v>3260223.5</v>
      </c>
      <c r="AM159">
        <v>4507693.5</v>
      </c>
      <c r="AN159">
        <v>1929642</v>
      </c>
      <c r="AO159">
        <v>2841306.75</v>
      </c>
      <c r="AP159">
        <v>6878109</v>
      </c>
      <c r="AQ159">
        <v>6178451.5</v>
      </c>
      <c r="AR159">
        <v>1791976.25</v>
      </c>
      <c r="AS159">
        <v>937213.88</v>
      </c>
      <c r="AT159">
        <v>3616659</v>
      </c>
      <c r="AU159">
        <v>3057748</v>
      </c>
      <c r="AV159">
        <v>1566957.75</v>
      </c>
      <c r="AW159">
        <v>1751694.38</v>
      </c>
      <c r="AX159">
        <v>2993401.25</v>
      </c>
      <c r="AY159">
        <v>2783203.25</v>
      </c>
      <c r="AZ159">
        <v>1102560.6200000001</v>
      </c>
      <c r="BA159">
        <v>947314.38</v>
      </c>
    </row>
    <row r="160" spans="1:53">
      <c r="A160">
        <v>20258</v>
      </c>
      <c r="B160" t="s">
        <v>708</v>
      </c>
      <c r="C160" t="s">
        <v>709</v>
      </c>
      <c r="D160" t="s">
        <v>708</v>
      </c>
      <c r="F160" t="s">
        <v>710</v>
      </c>
      <c r="G160">
        <v>129.75399999999999</v>
      </c>
      <c r="H160" t="s">
        <v>57</v>
      </c>
      <c r="I160">
        <v>2</v>
      </c>
      <c r="J160">
        <v>1</v>
      </c>
      <c r="K160">
        <v>0</v>
      </c>
      <c r="L160">
        <v>6.26</v>
      </c>
      <c r="M160">
        <v>63561</v>
      </c>
      <c r="N160">
        <v>34</v>
      </c>
      <c r="O160">
        <v>3</v>
      </c>
      <c r="P160">
        <v>3</v>
      </c>
      <c r="Q160">
        <v>3</v>
      </c>
      <c r="R160">
        <v>3</v>
      </c>
      <c r="S160">
        <v>12</v>
      </c>
      <c r="T160">
        <v>12</v>
      </c>
      <c r="U160">
        <v>3</v>
      </c>
      <c r="V160">
        <v>2</v>
      </c>
      <c r="W160">
        <v>3</v>
      </c>
      <c r="X160">
        <v>2</v>
      </c>
      <c r="Y160">
        <v>3</v>
      </c>
      <c r="Z160">
        <v>3</v>
      </c>
      <c r="AA160">
        <v>3</v>
      </c>
      <c r="AB160">
        <v>1</v>
      </c>
      <c r="AC160">
        <v>1</v>
      </c>
      <c r="AD160">
        <v>3</v>
      </c>
      <c r="AE160">
        <v>3</v>
      </c>
      <c r="AF160">
        <v>1</v>
      </c>
      <c r="AG160">
        <v>1</v>
      </c>
      <c r="AH160">
        <v>3</v>
      </c>
      <c r="AI160">
        <v>1</v>
      </c>
      <c r="AJ160">
        <v>0</v>
      </c>
      <c r="AK160">
        <v>0</v>
      </c>
      <c r="AL160">
        <v>2880865.5</v>
      </c>
      <c r="AM160">
        <v>4821864</v>
      </c>
      <c r="AN160">
        <v>1358903.88</v>
      </c>
      <c r="AO160">
        <v>2069344.75</v>
      </c>
      <c r="AP160">
        <v>8172268</v>
      </c>
      <c r="AQ160">
        <v>5988079</v>
      </c>
      <c r="AR160">
        <v>695152.12</v>
      </c>
      <c r="AS160">
        <v>471078.81</v>
      </c>
      <c r="AT160">
        <v>1628210.88</v>
      </c>
      <c r="AU160">
        <v>4591006.5</v>
      </c>
      <c r="AV160">
        <v>660280.25</v>
      </c>
      <c r="AW160">
        <v>2235437</v>
      </c>
      <c r="AX160">
        <v>3734622.75</v>
      </c>
      <c r="AY160">
        <v>2936628.25</v>
      </c>
      <c r="AZ160">
        <v>34422.769999999997</v>
      </c>
      <c r="BA160">
        <v>37385.49</v>
      </c>
    </row>
    <row r="161" spans="1:53">
      <c r="A161">
        <v>20105</v>
      </c>
      <c r="B161" t="s">
        <v>711</v>
      </c>
      <c r="C161" t="s">
        <v>712</v>
      </c>
      <c r="D161" t="s">
        <v>713</v>
      </c>
      <c r="E161" t="s">
        <v>714</v>
      </c>
      <c r="F161" t="s">
        <v>715</v>
      </c>
      <c r="G161">
        <v>125.622</v>
      </c>
      <c r="H161" t="s">
        <v>57</v>
      </c>
      <c r="I161">
        <v>2</v>
      </c>
      <c r="J161">
        <v>19</v>
      </c>
      <c r="K161">
        <v>1</v>
      </c>
      <c r="L161">
        <v>73.75</v>
      </c>
      <c r="M161">
        <v>8951</v>
      </c>
      <c r="N161">
        <v>6</v>
      </c>
      <c r="O161">
        <v>5</v>
      </c>
      <c r="P161">
        <v>5</v>
      </c>
      <c r="Q161">
        <v>5</v>
      </c>
      <c r="R161">
        <v>5</v>
      </c>
      <c r="S161">
        <v>32</v>
      </c>
      <c r="T161">
        <v>32</v>
      </c>
      <c r="U161">
        <v>5</v>
      </c>
      <c r="V161">
        <v>3</v>
      </c>
      <c r="W161">
        <v>4</v>
      </c>
      <c r="X161">
        <v>5</v>
      </c>
      <c r="Y161">
        <v>5</v>
      </c>
      <c r="Z161">
        <v>5</v>
      </c>
      <c r="AA161">
        <v>4</v>
      </c>
      <c r="AB161">
        <v>5</v>
      </c>
      <c r="AC161">
        <v>5</v>
      </c>
      <c r="AD161">
        <v>1</v>
      </c>
      <c r="AE161">
        <v>4</v>
      </c>
      <c r="AF161">
        <v>5</v>
      </c>
      <c r="AG161">
        <v>6</v>
      </c>
      <c r="AH161">
        <v>3</v>
      </c>
      <c r="AI161">
        <v>4</v>
      </c>
      <c r="AJ161">
        <v>5</v>
      </c>
      <c r="AK161">
        <v>4</v>
      </c>
      <c r="AL161">
        <v>9053684</v>
      </c>
      <c r="AM161">
        <v>9493831</v>
      </c>
      <c r="AN161">
        <v>17153712</v>
      </c>
      <c r="AO161">
        <v>15946868</v>
      </c>
      <c r="AP161">
        <v>17138132</v>
      </c>
      <c r="AQ161">
        <v>19174756</v>
      </c>
      <c r="AR161">
        <v>19277520</v>
      </c>
      <c r="AS161">
        <v>12911465</v>
      </c>
      <c r="AT161">
        <v>937973.25</v>
      </c>
      <c r="AU161">
        <v>6123337</v>
      </c>
      <c r="AV161">
        <v>15251917</v>
      </c>
      <c r="AW161">
        <v>18506684</v>
      </c>
      <c r="AX161">
        <v>8761357</v>
      </c>
      <c r="AY161">
        <v>7190348.5</v>
      </c>
      <c r="AZ161">
        <v>13604331</v>
      </c>
      <c r="BA161">
        <v>11625668</v>
      </c>
    </row>
    <row r="162" spans="1:53">
      <c r="A162">
        <v>20148</v>
      </c>
      <c r="B162" t="s">
        <v>716</v>
      </c>
      <c r="C162" t="s">
        <v>717</v>
      </c>
      <c r="D162" t="s">
        <v>718</v>
      </c>
      <c r="F162" t="s">
        <v>719</v>
      </c>
      <c r="G162">
        <v>118.8</v>
      </c>
      <c r="H162" t="s">
        <v>57</v>
      </c>
      <c r="I162">
        <v>2</v>
      </c>
      <c r="J162">
        <v>11</v>
      </c>
      <c r="K162">
        <v>0</v>
      </c>
      <c r="L162">
        <v>9.7799999999999994</v>
      </c>
      <c r="M162">
        <v>80038</v>
      </c>
      <c r="N162">
        <v>43</v>
      </c>
      <c r="O162">
        <v>7</v>
      </c>
      <c r="P162">
        <v>7</v>
      </c>
      <c r="Q162">
        <v>7</v>
      </c>
      <c r="R162">
        <v>7</v>
      </c>
      <c r="S162">
        <v>13</v>
      </c>
      <c r="T162">
        <v>13</v>
      </c>
      <c r="U162">
        <v>7</v>
      </c>
      <c r="V162">
        <v>5</v>
      </c>
      <c r="W162">
        <v>4</v>
      </c>
      <c r="X162">
        <v>5</v>
      </c>
      <c r="Y162">
        <v>7</v>
      </c>
      <c r="Z162">
        <v>7</v>
      </c>
      <c r="AA162">
        <v>7</v>
      </c>
      <c r="AB162">
        <v>6</v>
      </c>
      <c r="AC162">
        <v>7</v>
      </c>
      <c r="AD162">
        <v>3</v>
      </c>
      <c r="AE162">
        <v>1</v>
      </c>
      <c r="AF162">
        <v>3</v>
      </c>
      <c r="AG162">
        <v>2</v>
      </c>
      <c r="AH162">
        <v>0</v>
      </c>
      <c r="AI162">
        <v>3</v>
      </c>
      <c r="AJ162">
        <v>2</v>
      </c>
      <c r="AK162">
        <v>0</v>
      </c>
      <c r="AL162">
        <v>4003271</v>
      </c>
      <c r="AM162">
        <v>3418042</v>
      </c>
      <c r="AN162">
        <v>5070523</v>
      </c>
      <c r="AO162">
        <v>7159906.5</v>
      </c>
      <c r="AP162">
        <v>8078921</v>
      </c>
      <c r="AQ162">
        <v>8402086</v>
      </c>
      <c r="AR162">
        <v>5826475.5</v>
      </c>
      <c r="AS162">
        <v>5769232</v>
      </c>
      <c r="AT162">
        <v>3847446.75</v>
      </c>
      <c r="AU162">
        <v>2342418.25</v>
      </c>
      <c r="AV162">
        <v>4749314</v>
      </c>
      <c r="AW162">
        <v>5876686</v>
      </c>
      <c r="AX162">
        <v>3292394.25</v>
      </c>
      <c r="AY162">
        <v>3476496.75</v>
      </c>
      <c r="AZ162">
        <v>3771778.25</v>
      </c>
      <c r="BA162">
        <v>3981311.5</v>
      </c>
    </row>
    <row r="163" spans="1:53">
      <c r="A163">
        <v>20048</v>
      </c>
      <c r="B163" t="s">
        <v>720</v>
      </c>
      <c r="C163" t="s">
        <v>721</v>
      </c>
      <c r="D163" t="s">
        <v>722</v>
      </c>
      <c r="F163" t="s">
        <v>723</v>
      </c>
      <c r="G163">
        <v>118.111</v>
      </c>
      <c r="H163" t="s">
        <v>57</v>
      </c>
      <c r="I163">
        <v>2</v>
      </c>
      <c r="J163">
        <v>20</v>
      </c>
      <c r="K163">
        <v>0</v>
      </c>
      <c r="L163">
        <v>60.26</v>
      </c>
      <c r="M163">
        <v>9006</v>
      </c>
      <c r="N163">
        <v>6</v>
      </c>
      <c r="O163">
        <v>9</v>
      </c>
      <c r="P163">
        <v>9</v>
      </c>
      <c r="Q163">
        <v>9</v>
      </c>
      <c r="R163">
        <v>9</v>
      </c>
      <c r="S163">
        <v>303</v>
      </c>
      <c r="T163">
        <v>303</v>
      </c>
      <c r="U163">
        <v>9</v>
      </c>
      <c r="V163">
        <v>7</v>
      </c>
      <c r="W163">
        <v>6</v>
      </c>
      <c r="X163">
        <v>6</v>
      </c>
      <c r="Y163">
        <v>7</v>
      </c>
      <c r="Z163">
        <v>8</v>
      </c>
      <c r="AA163">
        <v>8</v>
      </c>
      <c r="AB163">
        <v>8</v>
      </c>
      <c r="AC163">
        <v>8</v>
      </c>
      <c r="AD163">
        <v>53</v>
      </c>
      <c r="AE163">
        <v>42</v>
      </c>
      <c r="AF163">
        <v>33</v>
      </c>
      <c r="AG163">
        <v>28</v>
      </c>
      <c r="AH163">
        <v>30</v>
      </c>
      <c r="AI163">
        <v>29</v>
      </c>
      <c r="AJ163">
        <v>31</v>
      </c>
      <c r="AK163">
        <v>57</v>
      </c>
      <c r="AL163">
        <v>254320832</v>
      </c>
      <c r="AM163">
        <v>282837920</v>
      </c>
      <c r="AN163">
        <v>184417552</v>
      </c>
      <c r="AO163">
        <v>129827488</v>
      </c>
      <c r="AP163">
        <v>377744864</v>
      </c>
      <c r="AQ163">
        <v>377911552</v>
      </c>
      <c r="AR163">
        <v>266368304</v>
      </c>
      <c r="AS163">
        <v>368975936</v>
      </c>
      <c r="AT163">
        <v>181565920</v>
      </c>
      <c r="AU163">
        <v>207265968</v>
      </c>
      <c r="AV163">
        <v>112593448</v>
      </c>
      <c r="AW163">
        <v>91447496</v>
      </c>
      <c r="AX163">
        <v>200375872</v>
      </c>
      <c r="AY163">
        <v>239366272</v>
      </c>
      <c r="AZ163">
        <v>200445600</v>
      </c>
      <c r="BA163">
        <v>306917760</v>
      </c>
    </row>
    <row r="164" spans="1:53">
      <c r="A164">
        <v>19976</v>
      </c>
      <c r="B164" t="s">
        <v>724</v>
      </c>
      <c r="C164" t="s">
        <v>725</v>
      </c>
      <c r="D164" t="s">
        <v>726</v>
      </c>
      <c r="E164" t="s">
        <v>727</v>
      </c>
      <c r="F164" t="s">
        <v>728</v>
      </c>
      <c r="G164">
        <v>117.59399999999999</v>
      </c>
      <c r="H164" t="s">
        <v>57</v>
      </c>
      <c r="I164">
        <v>2</v>
      </c>
      <c r="J164">
        <v>16</v>
      </c>
      <c r="K164">
        <v>3</v>
      </c>
      <c r="L164">
        <v>15.43</v>
      </c>
      <c r="M164">
        <v>41043</v>
      </c>
      <c r="N164">
        <v>17</v>
      </c>
      <c r="O164">
        <v>6</v>
      </c>
      <c r="P164">
        <v>6</v>
      </c>
      <c r="Q164">
        <v>6</v>
      </c>
      <c r="R164">
        <v>6</v>
      </c>
      <c r="S164">
        <v>36</v>
      </c>
      <c r="T164">
        <v>36</v>
      </c>
      <c r="U164">
        <v>6</v>
      </c>
      <c r="V164">
        <v>3</v>
      </c>
      <c r="W164">
        <v>6</v>
      </c>
      <c r="X164">
        <v>6</v>
      </c>
      <c r="Y164">
        <v>6</v>
      </c>
      <c r="Z164">
        <v>6</v>
      </c>
      <c r="AA164">
        <v>6</v>
      </c>
      <c r="AB164">
        <v>5</v>
      </c>
      <c r="AC164">
        <v>6</v>
      </c>
      <c r="AD164">
        <v>1</v>
      </c>
      <c r="AE164">
        <v>6</v>
      </c>
      <c r="AF164">
        <v>5</v>
      </c>
      <c r="AG164">
        <v>5</v>
      </c>
      <c r="AH164">
        <v>5</v>
      </c>
      <c r="AI164">
        <v>6</v>
      </c>
      <c r="AJ164">
        <v>5</v>
      </c>
      <c r="AK164">
        <v>3</v>
      </c>
      <c r="AL164">
        <v>5784342.5</v>
      </c>
      <c r="AM164">
        <v>12059188</v>
      </c>
      <c r="AN164">
        <v>14878145</v>
      </c>
      <c r="AO164">
        <v>15536294</v>
      </c>
      <c r="AP164">
        <v>23080888</v>
      </c>
      <c r="AQ164">
        <v>23212208</v>
      </c>
      <c r="AR164">
        <v>20614486</v>
      </c>
      <c r="AS164">
        <v>14176316</v>
      </c>
      <c r="AT164">
        <v>449119.34</v>
      </c>
      <c r="AU164">
        <v>10601214</v>
      </c>
      <c r="AV164">
        <v>10937802</v>
      </c>
      <c r="AW164">
        <v>16887346</v>
      </c>
      <c r="AX164">
        <v>10737207</v>
      </c>
      <c r="AY164">
        <v>9542702</v>
      </c>
      <c r="AZ164">
        <v>8491329</v>
      </c>
      <c r="BA164">
        <v>13777278</v>
      </c>
    </row>
    <row r="165" spans="1:53">
      <c r="A165">
        <v>20220</v>
      </c>
      <c r="B165" t="s">
        <v>729</v>
      </c>
      <c r="C165" t="s">
        <v>730</v>
      </c>
      <c r="D165" t="s">
        <v>731</v>
      </c>
      <c r="F165" t="s">
        <v>732</v>
      </c>
      <c r="G165">
        <v>117.496</v>
      </c>
      <c r="H165" t="s">
        <v>57</v>
      </c>
      <c r="I165">
        <v>2</v>
      </c>
      <c r="J165">
        <v>2</v>
      </c>
      <c r="K165">
        <v>0</v>
      </c>
      <c r="L165">
        <v>37.31</v>
      </c>
      <c r="M165">
        <v>15347</v>
      </c>
      <c r="N165">
        <v>9</v>
      </c>
      <c r="O165">
        <v>4</v>
      </c>
      <c r="P165">
        <v>4</v>
      </c>
      <c r="Q165">
        <v>4</v>
      </c>
      <c r="R165">
        <v>4</v>
      </c>
      <c r="S165">
        <v>9</v>
      </c>
      <c r="T165">
        <v>9</v>
      </c>
      <c r="U165">
        <v>4</v>
      </c>
      <c r="V165">
        <v>3</v>
      </c>
      <c r="W165">
        <v>4</v>
      </c>
      <c r="X165">
        <v>2</v>
      </c>
      <c r="Y165">
        <v>2</v>
      </c>
      <c r="Z165">
        <v>2</v>
      </c>
      <c r="AA165">
        <v>2</v>
      </c>
      <c r="AD165">
        <v>2</v>
      </c>
      <c r="AE165">
        <v>3</v>
      </c>
      <c r="AF165">
        <v>0</v>
      </c>
      <c r="AG165">
        <v>0</v>
      </c>
      <c r="AH165">
        <v>2</v>
      </c>
      <c r="AI165">
        <v>2</v>
      </c>
      <c r="AJ165">
        <v>0</v>
      </c>
      <c r="AK165">
        <v>0</v>
      </c>
      <c r="AL165">
        <v>5538283.5</v>
      </c>
      <c r="AM165">
        <v>7339177</v>
      </c>
      <c r="AN165">
        <v>1395649</v>
      </c>
      <c r="AO165">
        <v>1303664.1200000001</v>
      </c>
      <c r="AP165">
        <v>5118380</v>
      </c>
      <c r="AQ165">
        <v>4436185.5</v>
      </c>
      <c r="AT165">
        <v>6408374</v>
      </c>
      <c r="AU165">
        <v>5950456.5</v>
      </c>
      <c r="AV165">
        <v>840733.5</v>
      </c>
      <c r="AW165">
        <v>952839.81</v>
      </c>
      <c r="AX165">
        <v>1771635.75</v>
      </c>
      <c r="AY165">
        <v>1672092.25</v>
      </c>
      <c r="AZ165">
        <v>199295.7</v>
      </c>
      <c r="BA165">
        <v>212391.23</v>
      </c>
    </row>
    <row r="166" spans="1:53">
      <c r="A166">
        <v>20209</v>
      </c>
      <c r="B166" t="s">
        <v>733</v>
      </c>
      <c r="C166" t="s">
        <v>734</v>
      </c>
      <c r="D166" t="s">
        <v>733</v>
      </c>
      <c r="E166" t="s">
        <v>735</v>
      </c>
      <c r="F166" t="s">
        <v>736</v>
      </c>
      <c r="G166">
        <v>116.788</v>
      </c>
      <c r="H166" t="s">
        <v>57</v>
      </c>
      <c r="I166">
        <v>2</v>
      </c>
      <c r="J166">
        <v>1</v>
      </c>
      <c r="K166">
        <v>2</v>
      </c>
      <c r="L166">
        <v>66.67</v>
      </c>
      <c r="M166">
        <v>6547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28</v>
      </c>
      <c r="T166">
        <v>28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8</v>
      </c>
      <c r="AE166">
        <v>5</v>
      </c>
      <c r="AF166">
        <v>7</v>
      </c>
      <c r="AG166">
        <v>3</v>
      </c>
      <c r="AH166">
        <v>2</v>
      </c>
      <c r="AI166">
        <v>1</v>
      </c>
      <c r="AJ166">
        <v>1</v>
      </c>
      <c r="AK166">
        <v>1</v>
      </c>
      <c r="AL166">
        <v>17604896</v>
      </c>
      <c r="AM166">
        <v>20550762</v>
      </c>
      <c r="AN166">
        <v>23168256</v>
      </c>
      <c r="AO166">
        <v>22925060</v>
      </c>
      <c r="AP166">
        <v>20811066</v>
      </c>
      <c r="AQ166">
        <v>20359660</v>
      </c>
      <c r="AR166">
        <v>10752340</v>
      </c>
      <c r="AS166">
        <v>10192436</v>
      </c>
      <c r="AT166">
        <v>14605484</v>
      </c>
      <c r="AU166">
        <v>14413799</v>
      </c>
      <c r="AV166">
        <v>18245918</v>
      </c>
      <c r="AW166">
        <v>21569160</v>
      </c>
      <c r="AX166">
        <v>7848415.5</v>
      </c>
      <c r="AY166">
        <v>9511506</v>
      </c>
      <c r="AZ166">
        <v>7068571.5</v>
      </c>
      <c r="BA166">
        <v>9072383</v>
      </c>
    </row>
    <row r="167" spans="1:53">
      <c r="A167">
        <v>19998</v>
      </c>
      <c r="B167" t="s">
        <v>737</v>
      </c>
      <c r="C167" t="s">
        <v>738</v>
      </c>
      <c r="D167" t="s">
        <v>739</v>
      </c>
      <c r="F167" t="s">
        <v>740</v>
      </c>
      <c r="G167">
        <v>115.9</v>
      </c>
      <c r="H167" t="s">
        <v>57</v>
      </c>
      <c r="I167">
        <v>2</v>
      </c>
      <c r="J167">
        <v>13</v>
      </c>
      <c r="K167">
        <v>0</v>
      </c>
      <c r="L167">
        <v>31.85</v>
      </c>
      <c r="M167">
        <v>32534</v>
      </c>
      <c r="N167">
        <v>14</v>
      </c>
      <c r="O167">
        <v>6</v>
      </c>
      <c r="P167">
        <v>6</v>
      </c>
      <c r="Q167">
        <v>6</v>
      </c>
      <c r="R167">
        <v>6</v>
      </c>
      <c r="S167">
        <v>29</v>
      </c>
      <c r="T167">
        <v>29</v>
      </c>
      <c r="U167">
        <v>6</v>
      </c>
      <c r="V167">
        <v>5</v>
      </c>
      <c r="W167">
        <v>5</v>
      </c>
      <c r="X167">
        <v>6</v>
      </c>
      <c r="Y167">
        <v>6</v>
      </c>
      <c r="Z167">
        <v>5</v>
      </c>
      <c r="AA167">
        <v>5</v>
      </c>
      <c r="AB167">
        <v>6</v>
      </c>
      <c r="AC167">
        <v>6</v>
      </c>
      <c r="AD167">
        <v>4</v>
      </c>
      <c r="AE167">
        <v>3</v>
      </c>
      <c r="AF167">
        <v>4</v>
      </c>
      <c r="AG167">
        <v>5</v>
      </c>
      <c r="AH167">
        <v>4</v>
      </c>
      <c r="AI167">
        <v>3</v>
      </c>
      <c r="AJ167">
        <v>4</v>
      </c>
      <c r="AK167">
        <v>2</v>
      </c>
      <c r="AL167">
        <v>9256676</v>
      </c>
      <c r="AM167">
        <v>7017981</v>
      </c>
      <c r="AN167">
        <v>18480936</v>
      </c>
      <c r="AO167">
        <v>17722474</v>
      </c>
      <c r="AP167">
        <v>14276993</v>
      </c>
      <c r="AQ167">
        <v>14539700</v>
      </c>
      <c r="AR167">
        <v>13494858</v>
      </c>
      <c r="AS167">
        <v>10086481</v>
      </c>
      <c r="AT167">
        <v>9565713</v>
      </c>
      <c r="AU167">
        <v>5811108</v>
      </c>
      <c r="AV167">
        <v>13791550</v>
      </c>
      <c r="AW167">
        <v>15187274</v>
      </c>
      <c r="AX167">
        <v>5893773</v>
      </c>
      <c r="AY167">
        <v>6310993.5</v>
      </c>
      <c r="AZ167">
        <v>7175413</v>
      </c>
      <c r="BA167">
        <v>8115458.5</v>
      </c>
    </row>
    <row r="168" spans="1:53">
      <c r="A168">
        <v>20214</v>
      </c>
      <c r="B168" t="s">
        <v>741</v>
      </c>
      <c r="C168" t="s">
        <v>742</v>
      </c>
      <c r="D168" t="s">
        <v>743</v>
      </c>
      <c r="F168" t="s">
        <v>744</v>
      </c>
      <c r="G168">
        <v>114.22499999999999</v>
      </c>
      <c r="H168" t="s">
        <v>57</v>
      </c>
      <c r="I168">
        <v>2</v>
      </c>
      <c r="J168">
        <v>2</v>
      </c>
      <c r="K168">
        <v>0</v>
      </c>
      <c r="L168">
        <v>23.08</v>
      </c>
      <c r="M168">
        <v>37126</v>
      </c>
      <c r="N168">
        <v>12</v>
      </c>
      <c r="O168">
        <v>4</v>
      </c>
      <c r="P168">
        <v>4</v>
      </c>
      <c r="Q168">
        <v>4</v>
      </c>
      <c r="R168">
        <v>4</v>
      </c>
      <c r="S168">
        <v>27</v>
      </c>
      <c r="T168">
        <v>27</v>
      </c>
      <c r="U168">
        <v>4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4</v>
      </c>
      <c r="AB168">
        <v>4</v>
      </c>
      <c r="AC168">
        <v>4</v>
      </c>
      <c r="AD168">
        <v>1</v>
      </c>
      <c r="AE168">
        <v>1</v>
      </c>
      <c r="AF168">
        <v>4</v>
      </c>
      <c r="AG168">
        <v>5</v>
      </c>
      <c r="AH168">
        <v>4</v>
      </c>
      <c r="AI168">
        <v>3</v>
      </c>
      <c r="AJ168">
        <v>4</v>
      </c>
      <c r="AK168">
        <v>5</v>
      </c>
      <c r="AL168">
        <v>4581343.5</v>
      </c>
      <c r="AM168">
        <v>5085438</v>
      </c>
      <c r="AN168">
        <v>7917922.5</v>
      </c>
      <c r="AO168">
        <v>7784024</v>
      </c>
      <c r="AP168">
        <v>11393478</v>
      </c>
      <c r="AQ168">
        <v>12147518</v>
      </c>
      <c r="AR168">
        <v>10467234</v>
      </c>
      <c r="AS168">
        <v>7927087</v>
      </c>
      <c r="AT168">
        <v>6740458</v>
      </c>
      <c r="AU168">
        <v>6840711.5</v>
      </c>
      <c r="AV168">
        <v>10799514</v>
      </c>
      <c r="AW168">
        <v>12754419</v>
      </c>
      <c r="AX168">
        <v>8252773</v>
      </c>
      <c r="AY168">
        <v>8146673</v>
      </c>
      <c r="AZ168">
        <v>9662896</v>
      </c>
      <c r="BA168">
        <v>10404875</v>
      </c>
    </row>
    <row r="169" spans="1:53">
      <c r="A169">
        <v>20058</v>
      </c>
      <c r="B169" t="s">
        <v>745</v>
      </c>
      <c r="C169" t="s">
        <v>746</v>
      </c>
      <c r="D169" t="s">
        <v>747</v>
      </c>
      <c r="F169" t="s">
        <v>748</v>
      </c>
      <c r="G169">
        <v>113.75700000000001</v>
      </c>
      <c r="H169" t="s">
        <v>57</v>
      </c>
      <c r="I169">
        <v>2</v>
      </c>
      <c r="J169">
        <v>21</v>
      </c>
      <c r="K169">
        <v>0</v>
      </c>
      <c r="L169">
        <v>22.88</v>
      </c>
      <c r="M169">
        <v>13496</v>
      </c>
      <c r="N169">
        <v>10</v>
      </c>
      <c r="O169">
        <v>5</v>
      </c>
      <c r="P169">
        <v>5</v>
      </c>
      <c r="Q169">
        <v>5</v>
      </c>
      <c r="R169">
        <v>5</v>
      </c>
      <c r="S169">
        <v>82</v>
      </c>
      <c r="T169">
        <v>82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22</v>
      </c>
      <c r="AE169">
        <v>10</v>
      </c>
      <c r="AF169">
        <v>10</v>
      </c>
      <c r="AG169">
        <v>10</v>
      </c>
      <c r="AH169">
        <v>10</v>
      </c>
      <c r="AI169">
        <v>9</v>
      </c>
      <c r="AJ169">
        <v>4</v>
      </c>
      <c r="AK169">
        <v>7</v>
      </c>
      <c r="AL169">
        <v>144202432</v>
      </c>
      <c r="AM169">
        <v>221001184</v>
      </c>
      <c r="AN169">
        <v>134740800</v>
      </c>
      <c r="AO169">
        <v>85298448</v>
      </c>
      <c r="AP169">
        <v>121495744</v>
      </c>
      <c r="AQ169">
        <v>147769968</v>
      </c>
      <c r="AR169">
        <v>95046552</v>
      </c>
      <c r="AS169">
        <v>143212320</v>
      </c>
      <c r="AT169">
        <v>147140144</v>
      </c>
      <c r="AU169">
        <v>171298064</v>
      </c>
      <c r="AV169">
        <v>107673024</v>
      </c>
      <c r="AW169">
        <v>108806960</v>
      </c>
      <c r="AX169">
        <v>42160420</v>
      </c>
      <c r="AY169">
        <v>52887568</v>
      </c>
      <c r="AZ169">
        <v>46856448</v>
      </c>
      <c r="BA169">
        <v>96977296</v>
      </c>
    </row>
    <row r="170" spans="1:53">
      <c r="A170">
        <v>20265</v>
      </c>
      <c r="B170" t="s">
        <v>749</v>
      </c>
      <c r="C170" t="s">
        <v>750</v>
      </c>
      <c r="D170" t="s">
        <v>749</v>
      </c>
      <c r="F170" t="s">
        <v>751</v>
      </c>
      <c r="G170">
        <v>113.669</v>
      </c>
      <c r="H170" t="s">
        <v>57</v>
      </c>
      <c r="I170">
        <v>2</v>
      </c>
      <c r="J170">
        <v>1</v>
      </c>
      <c r="K170">
        <v>0</v>
      </c>
      <c r="L170">
        <v>13.64</v>
      </c>
      <c r="M170">
        <v>62063</v>
      </c>
      <c r="N170">
        <v>30</v>
      </c>
      <c r="O170">
        <v>6</v>
      </c>
      <c r="P170">
        <v>6</v>
      </c>
      <c r="Q170">
        <v>6</v>
      </c>
      <c r="R170">
        <v>6</v>
      </c>
      <c r="S170">
        <v>10</v>
      </c>
      <c r="T170">
        <v>10</v>
      </c>
      <c r="U170">
        <v>6</v>
      </c>
      <c r="V170">
        <v>6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2</v>
      </c>
      <c r="AC170">
        <v>4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3</v>
      </c>
      <c r="AL170">
        <v>6022416</v>
      </c>
      <c r="AM170">
        <v>1091991.3799999999</v>
      </c>
      <c r="AN170">
        <v>1479983.38</v>
      </c>
      <c r="AO170">
        <v>1975806.88</v>
      </c>
      <c r="AP170">
        <v>2127726</v>
      </c>
      <c r="AQ170">
        <v>1518867.25</v>
      </c>
      <c r="AR170">
        <v>2130377.75</v>
      </c>
      <c r="AS170">
        <v>3242086.75</v>
      </c>
      <c r="AT170">
        <v>9595610</v>
      </c>
      <c r="AU170">
        <v>21070.799999999999</v>
      </c>
      <c r="AV170">
        <v>28048.75</v>
      </c>
      <c r="AW170">
        <v>36384.660000000003</v>
      </c>
      <c r="AX170">
        <v>15450.76</v>
      </c>
      <c r="AY170">
        <v>13385.27</v>
      </c>
      <c r="AZ170">
        <v>528437</v>
      </c>
      <c r="BA170">
        <v>5501435</v>
      </c>
    </row>
    <row r="171" spans="1:53">
      <c r="A171">
        <v>20089</v>
      </c>
      <c r="B171" t="s">
        <v>752</v>
      </c>
      <c r="C171" t="s">
        <v>753</v>
      </c>
      <c r="D171" t="s">
        <v>754</v>
      </c>
      <c r="F171" t="s">
        <v>755</v>
      </c>
      <c r="G171">
        <v>113.634</v>
      </c>
      <c r="H171" t="s">
        <v>57</v>
      </c>
      <c r="I171">
        <v>2</v>
      </c>
      <c r="J171">
        <v>2</v>
      </c>
      <c r="K171">
        <v>0</v>
      </c>
      <c r="L171">
        <v>11.76</v>
      </c>
      <c r="M171">
        <v>35371</v>
      </c>
      <c r="N171">
        <v>25</v>
      </c>
      <c r="O171">
        <v>3</v>
      </c>
      <c r="P171">
        <v>3</v>
      </c>
      <c r="Q171">
        <v>3</v>
      </c>
      <c r="R171">
        <v>3</v>
      </c>
      <c r="S171">
        <v>4</v>
      </c>
      <c r="T171">
        <v>4</v>
      </c>
      <c r="U171">
        <v>3</v>
      </c>
      <c r="V171">
        <v>1</v>
      </c>
      <c r="W171">
        <v>1</v>
      </c>
      <c r="Z171">
        <v>3</v>
      </c>
      <c r="AA171">
        <v>3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747001</v>
      </c>
      <c r="AM171">
        <v>465693.94</v>
      </c>
      <c r="AP171">
        <v>11195318</v>
      </c>
      <c r="AQ171">
        <v>8563059</v>
      </c>
      <c r="AR171">
        <v>655710.18999999994</v>
      </c>
      <c r="AS171">
        <v>422440.19</v>
      </c>
      <c r="AT171">
        <v>25449.919999999998</v>
      </c>
      <c r="AU171">
        <v>12316.51</v>
      </c>
      <c r="AV171">
        <v>213953.23</v>
      </c>
      <c r="AW171">
        <v>170153.38</v>
      </c>
      <c r="AX171">
        <v>5184991.5</v>
      </c>
      <c r="AY171">
        <v>4398773.5</v>
      </c>
      <c r="AZ171">
        <v>10940.52</v>
      </c>
      <c r="BA171">
        <v>11581.04</v>
      </c>
    </row>
    <row r="172" spans="1:53">
      <c r="A172">
        <v>20109</v>
      </c>
      <c r="B172" t="s">
        <v>756</v>
      </c>
      <c r="C172" t="s">
        <v>757</v>
      </c>
      <c r="D172" t="s">
        <v>758</v>
      </c>
      <c r="F172" t="s">
        <v>759</v>
      </c>
      <c r="G172">
        <v>113.13500000000001</v>
      </c>
      <c r="H172" t="s">
        <v>57</v>
      </c>
      <c r="I172">
        <v>2</v>
      </c>
      <c r="J172">
        <v>3</v>
      </c>
      <c r="K172">
        <v>0</v>
      </c>
      <c r="L172">
        <v>11.25</v>
      </c>
      <c r="M172">
        <v>37093</v>
      </c>
      <c r="N172">
        <v>19</v>
      </c>
      <c r="O172">
        <v>3</v>
      </c>
      <c r="P172">
        <v>3</v>
      </c>
      <c r="Q172">
        <v>3</v>
      </c>
      <c r="R172">
        <v>3</v>
      </c>
      <c r="S172">
        <v>12</v>
      </c>
      <c r="T172">
        <v>12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1</v>
      </c>
      <c r="AE172">
        <v>1</v>
      </c>
      <c r="AF172">
        <v>1</v>
      </c>
      <c r="AG172">
        <v>3</v>
      </c>
      <c r="AH172">
        <v>1</v>
      </c>
      <c r="AI172">
        <v>2</v>
      </c>
      <c r="AJ172">
        <v>1</v>
      </c>
      <c r="AK172">
        <v>2</v>
      </c>
      <c r="AL172">
        <v>4125629</v>
      </c>
      <c r="AM172">
        <v>4920805</v>
      </c>
      <c r="AN172">
        <v>7425115.5</v>
      </c>
      <c r="AO172">
        <v>7228154.5</v>
      </c>
      <c r="AP172">
        <v>10501773</v>
      </c>
      <c r="AQ172">
        <v>8389638</v>
      </c>
      <c r="AR172">
        <v>8410776</v>
      </c>
      <c r="AS172">
        <v>5134679.5</v>
      </c>
      <c r="AT172">
        <v>4297257.5</v>
      </c>
      <c r="AU172">
        <v>3943456.25</v>
      </c>
      <c r="AV172">
        <v>5850078.5</v>
      </c>
      <c r="AW172">
        <v>6623332</v>
      </c>
      <c r="AX172">
        <v>3849424.5</v>
      </c>
      <c r="AY172">
        <v>3460133.75</v>
      </c>
      <c r="AZ172">
        <v>4572310.5</v>
      </c>
      <c r="BA172">
        <v>3977405.25</v>
      </c>
    </row>
    <row r="173" spans="1:53">
      <c r="A173">
        <v>20194</v>
      </c>
      <c r="B173" t="s">
        <v>760</v>
      </c>
      <c r="C173" t="s">
        <v>761</v>
      </c>
      <c r="D173" t="s">
        <v>762</v>
      </c>
      <c r="F173" t="s">
        <v>763</v>
      </c>
      <c r="G173">
        <v>108.661</v>
      </c>
      <c r="H173" t="s">
        <v>57</v>
      </c>
      <c r="I173">
        <v>2</v>
      </c>
      <c r="J173">
        <v>2</v>
      </c>
      <c r="K173">
        <v>0</v>
      </c>
      <c r="L173">
        <v>4.04</v>
      </c>
      <c r="M173">
        <v>96126</v>
      </c>
      <c r="N173">
        <v>47</v>
      </c>
      <c r="O173">
        <v>3</v>
      </c>
      <c r="P173">
        <v>3</v>
      </c>
      <c r="Q173">
        <v>3</v>
      </c>
      <c r="R173">
        <v>3</v>
      </c>
      <c r="S173">
        <v>14</v>
      </c>
      <c r="T173">
        <v>14</v>
      </c>
      <c r="U173">
        <v>3</v>
      </c>
      <c r="V173">
        <v>1</v>
      </c>
      <c r="W173">
        <v>3</v>
      </c>
      <c r="X173">
        <v>3</v>
      </c>
      <c r="Y173">
        <v>2</v>
      </c>
      <c r="Z173">
        <v>3</v>
      </c>
      <c r="AA173">
        <v>3</v>
      </c>
      <c r="AB173">
        <v>2</v>
      </c>
      <c r="AC173">
        <v>1</v>
      </c>
      <c r="AD173">
        <v>2</v>
      </c>
      <c r="AE173">
        <v>4</v>
      </c>
      <c r="AF173">
        <v>2</v>
      </c>
      <c r="AG173">
        <v>1</v>
      </c>
      <c r="AH173">
        <v>2</v>
      </c>
      <c r="AI173">
        <v>3</v>
      </c>
      <c r="AJ173">
        <v>0</v>
      </c>
      <c r="AK173">
        <v>0</v>
      </c>
      <c r="AL173">
        <v>4804060</v>
      </c>
      <c r="AM173">
        <v>9511237</v>
      </c>
      <c r="AN173">
        <v>3600673.75</v>
      </c>
      <c r="AO173">
        <v>1281462.25</v>
      </c>
      <c r="AP173">
        <v>17652948</v>
      </c>
      <c r="AQ173">
        <v>13370434</v>
      </c>
      <c r="AR173">
        <v>1998242.75</v>
      </c>
      <c r="AS173">
        <v>1256682.1200000001</v>
      </c>
      <c r="AT173">
        <v>63107.97</v>
      </c>
      <c r="AU173">
        <v>8498450</v>
      </c>
      <c r="AV173">
        <v>3895804.5</v>
      </c>
      <c r="AW173">
        <v>3209686.5</v>
      </c>
      <c r="AX173">
        <v>7236746.5</v>
      </c>
      <c r="AY173">
        <v>6580899.5</v>
      </c>
      <c r="AZ173">
        <v>850137</v>
      </c>
      <c r="BA173">
        <v>32680.27</v>
      </c>
    </row>
    <row r="174" spans="1:53">
      <c r="A174">
        <v>20207</v>
      </c>
      <c r="B174" t="s">
        <v>764</v>
      </c>
      <c r="C174" t="s">
        <v>765</v>
      </c>
      <c r="D174" t="s">
        <v>766</v>
      </c>
      <c r="F174" t="s">
        <v>767</v>
      </c>
      <c r="G174">
        <v>107.15900000000001</v>
      </c>
      <c r="H174" t="s">
        <v>57</v>
      </c>
      <c r="I174">
        <v>2</v>
      </c>
      <c r="J174">
        <v>3</v>
      </c>
      <c r="K174">
        <v>0</v>
      </c>
      <c r="L174">
        <v>11.99</v>
      </c>
      <c r="M174">
        <v>66907</v>
      </c>
      <c r="N174">
        <v>32</v>
      </c>
      <c r="O174">
        <v>6</v>
      </c>
      <c r="P174">
        <v>6</v>
      </c>
      <c r="Q174">
        <v>6</v>
      </c>
      <c r="R174">
        <v>6</v>
      </c>
      <c r="S174">
        <v>8</v>
      </c>
      <c r="T174">
        <v>8</v>
      </c>
      <c r="U174">
        <v>6</v>
      </c>
      <c r="V174">
        <v>3</v>
      </c>
      <c r="W174">
        <v>6</v>
      </c>
      <c r="X174">
        <v>6</v>
      </c>
      <c r="Y174">
        <v>5</v>
      </c>
      <c r="Z174">
        <v>5</v>
      </c>
      <c r="AA174">
        <v>4</v>
      </c>
      <c r="AB174">
        <v>5</v>
      </c>
      <c r="AC174">
        <v>4</v>
      </c>
      <c r="AD174">
        <v>1</v>
      </c>
      <c r="AE174">
        <v>2</v>
      </c>
      <c r="AF174">
        <v>2</v>
      </c>
      <c r="AG174">
        <v>1</v>
      </c>
      <c r="AH174">
        <v>0</v>
      </c>
      <c r="AI174">
        <v>0</v>
      </c>
      <c r="AJ174">
        <v>3</v>
      </c>
      <c r="AK174">
        <v>0</v>
      </c>
      <c r="AL174">
        <v>2142063.5</v>
      </c>
      <c r="AM174">
        <v>6094724.5</v>
      </c>
      <c r="AN174">
        <v>6753462.5</v>
      </c>
      <c r="AO174">
        <v>4817430.5</v>
      </c>
      <c r="AP174">
        <v>6535263.5</v>
      </c>
      <c r="AQ174">
        <v>7006959</v>
      </c>
      <c r="AR174">
        <v>8302075</v>
      </c>
      <c r="AS174">
        <v>5070150</v>
      </c>
      <c r="AT174">
        <v>348312.59</v>
      </c>
      <c r="AU174">
        <v>3749346.75</v>
      </c>
      <c r="AV174">
        <v>6342095</v>
      </c>
      <c r="AW174">
        <v>5065343</v>
      </c>
      <c r="AX174">
        <v>3561931.5</v>
      </c>
      <c r="AY174">
        <v>2887348.25</v>
      </c>
      <c r="AZ174">
        <v>5299951</v>
      </c>
      <c r="BA174">
        <v>2665285.75</v>
      </c>
    </row>
    <row r="175" spans="1:53">
      <c r="A175">
        <v>20054</v>
      </c>
      <c r="B175" t="s">
        <v>768</v>
      </c>
      <c r="C175" t="s">
        <v>769</v>
      </c>
      <c r="D175" t="s">
        <v>770</v>
      </c>
      <c r="F175" t="s">
        <v>771</v>
      </c>
      <c r="G175">
        <v>101.15300000000001</v>
      </c>
      <c r="H175" t="s">
        <v>57</v>
      </c>
      <c r="I175">
        <v>2</v>
      </c>
      <c r="J175">
        <v>21</v>
      </c>
      <c r="K175">
        <v>0</v>
      </c>
      <c r="L175">
        <v>7.43</v>
      </c>
      <c r="M175">
        <v>45316</v>
      </c>
      <c r="N175">
        <v>22</v>
      </c>
      <c r="O175">
        <v>2</v>
      </c>
      <c r="P175">
        <v>2</v>
      </c>
      <c r="Q175">
        <v>2</v>
      </c>
      <c r="R175">
        <v>2</v>
      </c>
      <c r="S175">
        <v>10</v>
      </c>
      <c r="T175">
        <v>10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1</v>
      </c>
      <c r="AF175">
        <v>1</v>
      </c>
      <c r="AG175">
        <v>1</v>
      </c>
      <c r="AH175">
        <v>3</v>
      </c>
      <c r="AI175">
        <v>2</v>
      </c>
      <c r="AJ175">
        <v>1</v>
      </c>
      <c r="AK175">
        <v>1</v>
      </c>
      <c r="AL175">
        <v>4940461.5</v>
      </c>
      <c r="AM175">
        <v>2722339.5</v>
      </c>
      <c r="AN175">
        <v>2790654</v>
      </c>
      <c r="AO175">
        <v>2821392.25</v>
      </c>
      <c r="AP175">
        <v>8403733</v>
      </c>
      <c r="AQ175">
        <v>7087489</v>
      </c>
      <c r="AR175">
        <v>1568496.75</v>
      </c>
      <c r="AS175">
        <v>1241559.75</v>
      </c>
      <c r="AT175">
        <v>4857371.5</v>
      </c>
      <c r="AU175">
        <v>1400749.62</v>
      </c>
      <c r="AV175">
        <v>2008369.25</v>
      </c>
      <c r="AW175">
        <v>2289721</v>
      </c>
      <c r="AX175">
        <v>3789703.5</v>
      </c>
      <c r="AY175">
        <v>3445328.75</v>
      </c>
      <c r="AZ175">
        <v>935354.5</v>
      </c>
      <c r="BA175">
        <v>1052350.25</v>
      </c>
    </row>
    <row r="176" spans="1:53">
      <c r="A176">
        <v>20072</v>
      </c>
      <c r="B176" t="s">
        <v>772</v>
      </c>
      <c r="C176" t="s">
        <v>773</v>
      </c>
      <c r="D176" t="s">
        <v>774</v>
      </c>
      <c r="E176" t="s">
        <v>775</v>
      </c>
      <c r="F176" t="s">
        <v>776</v>
      </c>
      <c r="G176">
        <v>99.828000000000003</v>
      </c>
      <c r="H176" t="s">
        <v>57</v>
      </c>
      <c r="I176">
        <v>2</v>
      </c>
      <c r="J176">
        <v>3</v>
      </c>
      <c r="K176">
        <v>1</v>
      </c>
      <c r="L176">
        <v>19.03</v>
      </c>
      <c r="M176">
        <v>35532</v>
      </c>
      <c r="N176">
        <v>24</v>
      </c>
      <c r="O176">
        <v>7</v>
      </c>
      <c r="P176">
        <v>7</v>
      </c>
      <c r="Q176">
        <v>7</v>
      </c>
      <c r="R176">
        <v>7</v>
      </c>
      <c r="S176">
        <v>19</v>
      </c>
      <c r="T176">
        <v>19</v>
      </c>
      <c r="U176">
        <v>7</v>
      </c>
      <c r="V176">
        <v>4</v>
      </c>
      <c r="W176">
        <v>5</v>
      </c>
      <c r="X176">
        <v>5</v>
      </c>
      <c r="Y176">
        <v>6</v>
      </c>
      <c r="Z176">
        <v>6</v>
      </c>
      <c r="AA176">
        <v>6</v>
      </c>
      <c r="AB176">
        <v>6</v>
      </c>
      <c r="AC176">
        <v>5</v>
      </c>
      <c r="AD176">
        <v>2</v>
      </c>
      <c r="AE176">
        <v>2</v>
      </c>
      <c r="AF176">
        <v>2</v>
      </c>
      <c r="AG176">
        <v>2</v>
      </c>
      <c r="AH176">
        <v>3</v>
      </c>
      <c r="AI176">
        <v>4</v>
      </c>
      <c r="AJ176">
        <v>4</v>
      </c>
      <c r="AK176">
        <v>0</v>
      </c>
      <c r="AL176">
        <v>2278235.25</v>
      </c>
      <c r="AM176">
        <v>20176700</v>
      </c>
      <c r="AN176">
        <v>9224281</v>
      </c>
      <c r="AO176">
        <v>9707934</v>
      </c>
      <c r="AP176">
        <v>26602926</v>
      </c>
      <c r="AQ176">
        <v>20531834</v>
      </c>
      <c r="AR176">
        <v>7748223</v>
      </c>
      <c r="AS176">
        <v>5550377</v>
      </c>
      <c r="AT176">
        <v>5943061</v>
      </c>
      <c r="AU176">
        <v>9167706</v>
      </c>
      <c r="AV176">
        <v>5226031</v>
      </c>
      <c r="AW176">
        <v>8143485.5</v>
      </c>
      <c r="AX176">
        <v>11407419</v>
      </c>
      <c r="AY176">
        <v>9687887</v>
      </c>
      <c r="AZ176">
        <v>7350735</v>
      </c>
      <c r="BA176">
        <v>4585285</v>
      </c>
    </row>
    <row r="177" spans="1:53">
      <c r="A177">
        <v>20027</v>
      </c>
      <c r="B177" t="s">
        <v>777</v>
      </c>
      <c r="C177" t="s">
        <v>778</v>
      </c>
      <c r="D177" t="s">
        <v>779</v>
      </c>
      <c r="F177" t="s">
        <v>780</v>
      </c>
      <c r="G177">
        <v>99.372</v>
      </c>
      <c r="H177" t="s">
        <v>57</v>
      </c>
      <c r="I177">
        <v>2</v>
      </c>
      <c r="J177">
        <v>21</v>
      </c>
      <c r="K177">
        <v>0</v>
      </c>
      <c r="L177">
        <v>4.1900000000000004</v>
      </c>
      <c r="M177">
        <v>61470</v>
      </c>
      <c r="N177">
        <v>31</v>
      </c>
      <c r="O177">
        <v>2</v>
      </c>
      <c r="P177">
        <v>2</v>
      </c>
      <c r="Q177">
        <v>2</v>
      </c>
      <c r="R177">
        <v>2</v>
      </c>
      <c r="S177">
        <v>14</v>
      </c>
      <c r="T177">
        <v>14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3</v>
      </c>
      <c r="AE177">
        <v>3</v>
      </c>
      <c r="AF177">
        <v>1</v>
      </c>
      <c r="AG177">
        <v>1</v>
      </c>
      <c r="AH177">
        <v>2</v>
      </c>
      <c r="AI177">
        <v>2</v>
      </c>
      <c r="AJ177">
        <v>1</v>
      </c>
      <c r="AK177">
        <v>1</v>
      </c>
      <c r="AL177">
        <v>9486494</v>
      </c>
      <c r="AM177">
        <v>11931478</v>
      </c>
      <c r="AN177">
        <v>6322069</v>
      </c>
      <c r="AO177">
        <v>5752212</v>
      </c>
      <c r="AP177">
        <v>14927347</v>
      </c>
      <c r="AQ177">
        <v>12815216</v>
      </c>
      <c r="AR177">
        <v>2394784.25</v>
      </c>
      <c r="AS177">
        <v>2677151.5</v>
      </c>
      <c r="AT177">
        <v>14014733</v>
      </c>
      <c r="AU177">
        <v>11822207</v>
      </c>
      <c r="AV177">
        <v>7325256</v>
      </c>
      <c r="AW177">
        <v>6774148</v>
      </c>
      <c r="AX177">
        <v>7239551.5</v>
      </c>
      <c r="AY177">
        <v>7282726.5</v>
      </c>
      <c r="AZ177">
        <v>1704387.38</v>
      </c>
      <c r="BA177">
        <v>2985709.5</v>
      </c>
    </row>
    <row r="178" spans="1:53">
      <c r="A178">
        <v>20193</v>
      </c>
      <c r="B178" t="s">
        <v>781</v>
      </c>
      <c r="C178" t="s">
        <v>782</v>
      </c>
      <c r="D178" t="s">
        <v>783</v>
      </c>
      <c r="F178" t="s">
        <v>784</v>
      </c>
      <c r="G178">
        <v>99.325999999999993</v>
      </c>
      <c r="H178" t="s">
        <v>57</v>
      </c>
      <c r="I178">
        <v>2</v>
      </c>
      <c r="J178">
        <v>4</v>
      </c>
      <c r="K178">
        <v>0</v>
      </c>
      <c r="L178">
        <v>46.38</v>
      </c>
      <c r="M178">
        <v>7463</v>
      </c>
      <c r="N178">
        <v>6</v>
      </c>
      <c r="O178">
        <v>3</v>
      </c>
      <c r="P178">
        <v>3</v>
      </c>
      <c r="Q178">
        <v>3</v>
      </c>
      <c r="R178">
        <v>3</v>
      </c>
      <c r="S178">
        <v>35</v>
      </c>
      <c r="T178">
        <v>35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3</v>
      </c>
      <c r="AD178">
        <v>2</v>
      </c>
      <c r="AE178">
        <v>4</v>
      </c>
      <c r="AF178">
        <v>4</v>
      </c>
      <c r="AG178">
        <v>4</v>
      </c>
      <c r="AH178">
        <v>6</v>
      </c>
      <c r="AI178">
        <v>6</v>
      </c>
      <c r="AJ178">
        <v>4</v>
      </c>
      <c r="AK178">
        <v>5</v>
      </c>
      <c r="AL178">
        <v>31350350</v>
      </c>
      <c r="AM178">
        <v>61597144</v>
      </c>
      <c r="AN178">
        <v>23425946</v>
      </c>
      <c r="AO178">
        <v>20997610</v>
      </c>
      <c r="AP178">
        <v>99110672</v>
      </c>
      <c r="AQ178">
        <v>86215536</v>
      </c>
      <c r="AR178">
        <v>16342014</v>
      </c>
      <c r="AS178">
        <v>14643252</v>
      </c>
      <c r="AT178">
        <v>38392708</v>
      </c>
      <c r="AU178">
        <v>48212524</v>
      </c>
      <c r="AV178">
        <v>18457120</v>
      </c>
      <c r="AW178">
        <v>18520270</v>
      </c>
      <c r="AX178">
        <v>36898728</v>
      </c>
      <c r="AY178">
        <v>34149392</v>
      </c>
      <c r="AZ178">
        <v>8420872</v>
      </c>
      <c r="BA178">
        <v>11606088</v>
      </c>
    </row>
    <row r="179" spans="1:53">
      <c r="A179">
        <v>19972</v>
      </c>
      <c r="B179" t="s">
        <v>785</v>
      </c>
      <c r="C179" t="s">
        <v>786</v>
      </c>
      <c r="D179" t="s">
        <v>787</v>
      </c>
      <c r="F179" t="s">
        <v>788</v>
      </c>
      <c r="G179">
        <v>97.744</v>
      </c>
      <c r="H179" t="s">
        <v>57</v>
      </c>
      <c r="I179">
        <v>2</v>
      </c>
      <c r="J179">
        <v>19</v>
      </c>
      <c r="K179">
        <v>0</v>
      </c>
      <c r="L179">
        <v>11.25</v>
      </c>
      <c r="M179">
        <v>34841</v>
      </c>
      <c r="N179">
        <v>19</v>
      </c>
      <c r="O179">
        <v>3</v>
      </c>
      <c r="P179">
        <v>3</v>
      </c>
      <c r="Q179">
        <v>3</v>
      </c>
      <c r="R179">
        <v>3</v>
      </c>
      <c r="S179">
        <v>14</v>
      </c>
      <c r="T179">
        <v>14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2</v>
      </c>
      <c r="AA179">
        <v>2</v>
      </c>
      <c r="AB179">
        <v>3</v>
      </c>
      <c r="AC179">
        <v>1</v>
      </c>
      <c r="AD179">
        <v>4</v>
      </c>
      <c r="AE179">
        <v>3</v>
      </c>
      <c r="AF179">
        <v>1</v>
      </c>
      <c r="AG179">
        <v>1</v>
      </c>
      <c r="AH179">
        <v>2</v>
      </c>
      <c r="AI179">
        <v>1</v>
      </c>
      <c r="AJ179">
        <v>1</v>
      </c>
      <c r="AK179">
        <v>1</v>
      </c>
      <c r="AL179">
        <v>9981792</v>
      </c>
      <c r="AM179">
        <v>9839844</v>
      </c>
      <c r="AN179">
        <v>7548198</v>
      </c>
      <c r="AO179">
        <v>6474597</v>
      </c>
      <c r="AP179">
        <v>12675528</v>
      </c>
      <c r="AQ179">
        <v>10462642</v>
      </c>
      <c r="AR179">
        <v>2854310</v>
      </c>
      <c r="AS179">
        <v>1961876.25</v>
      </c>
      <c r="AT179">
        <v>12762743</v>
      </c>
      <c r="AU179">
        <v>9649935</v>
      </c>
      <c r="AV179">
        <v>5602426.5</v>
      </c>
      <c r="AW179">
        <v>6043011</v>
      </c>
      <c r="AX179">
        <v>3330003.75</v>
      </c>
      <c r="AY179">
        <v>3124908.75</v>
      </c>
      <c r="AZ179">
        <v>2018844.25</v>
      </c>
      <c r="BA179">
        <v>116802.79</v>
      </c>
    </row>
    <row r="180" spans="1:53">
      <c r="A180">
        <v>20014</v>
      </c>
      <c r="B180" t="s">
        <v>789</v>
      </c>
      <c r="C180" t="s">
        <v>790</v>
      </c>
      <c r="D180" t="s">
        <v>791</v>
      </c>
      <c r="E180" t="s">
        <v>792</v>
      </c>
      <c r="F180" t="s">
        <v>793</v>
      </c>
      <c r="G180">
        <v>90.49</v>
      </c>
      <c r="H180" t="s">
        <v>57</v>
      </c>
      <c r="I180">
        <v>2</v>
      </c>
      <c r="J180">
        <v>17</v>
      </c>
      <c r="K180">
        <v>3</v>
      </c>
      <c r="L180">
        <v>32.14</v>
      </c>
      <c r="M180">
        <v>21740</v>
      </c>
      <c r="N180">
        <v>9</v>
      </c>
      <c r="O180">
        <v>5</v>
      </c>
      <c r="P180">
        <v>5</v>
      </c>
      <c r="Q180">
        <v>5</v>
      </c>
      <c r="R180">
        <v>5</v>
      </c>
      <c r="S180">
        <v>10</v>
      </c>
      <c r="T180">
        <v>10</v>
      </c>
      <c r="U180">
        <v>5</v>
      </c>
      <c r="V180">
        <v>2</v>
      </c>
      <c r="W180">
        <v>5</v>
      </c>
      <c r="X180">
        <v>4</v>
      </c>
      <c r="Y180">
        <v>5</v>
      </c>
      <c r="Z180">
        <v>4</v>
      </c>
      <c r="AA180">
        <v>4</v>
      </c>
      <c r="AB180">
        <v>4</v>
      </c>
      <c r="AC180">
        <v>4</v>
      </c>
      <c r="AD180">
        <v>0</v>
      </c>
      <c r="AE180">
        <v>0</v>
      </c>
      <c r="AF180">
        <v>2</v>
      </c>
      <c r="AG180">
        <v>3</v>
      </c>
      <c r="AH180">
        <v>1</v>
      </c>
      <c r="AI180">
        <v>1</v>
      </c>
      <c r="AJ180">
        <v>4</v>
      </c>
      <c r="AK180">
        <v>0</v>
      </c>
      <c r="AL180">
        <v>1435767.75</v>
      </c>
      <c r="AM180">
        <v>3763912.5</v>
      </c>
      <c r="AN180">
        <v>4596380.5</v>
      </c>
      <c r="AO180">
        <v>4615415</v>
      </c>
      <c r="AP180">
        <v>4556849.5</v>
      </c>
      <c r="AQ180">
        <v>4112560.5</v>
      </c>
      <c r="AR180">
        <v>4037149</v>
      </c>
      <c r="AS180">
        <v>2848896.5</v>
      </c>
      <c r="AT180">
        <v>62900.7</v>
      </c>
      <c r="AU180">
        <v>2992417</v>
      </c>
      <c r="AV180">
        <v>3632606.5</v>
      </c>
      <c r="AW180">
        <v>4211906.5</v>
      </c>
      <c r="AX180">
        <v>1964221.88</v>
      </c>
      <c r="AY180">
        <v>1966598.62</v>
      </c>
      <c r="AZ180">
        <v>2504671.75</v>
      </c>
      <c r="BA180">
        <v>2467944.75</v>
      </c>
    </row>
    <row r="181" spans="1:53">
      <c r="A181">
        <v>20165</v>
      </c>
      <c r="B181" t="s">
        <v>794</v>
      </c>
      <c r="C181" t="s">
        <v>795</v>
      </c>
      <c r="D181" t="s">
        <v>796</v>
      </c>
      <c r="F181" t="s">
        <v>797</v>
      </c>
      <c r="G181">
        <v>90.480999999999995</v>
      </c>
      <c r="H181" t="s">
        <v>57</v>
      </c>
      <c r="I181">
        <v>2</v>
      </c>
      <c r="J181">
        <v>3</v>
      </c>
      <c r="K181">
        <v>0</v>
      </c>
      <c r="L181">
        <v>25.73</v>
      </c>
      <c r="M181">
        <v>18602</v>
      </c>
      <c r="N181">
        <v>7</v>
      </c>
      <c r="O181">
        <v>4</v>
      </c>
      <c r="P181">
        <v>4</v>
      </c>
      <c r="Q181">
        <v>4</v>
      </c>
      <c r="R181">
        <v>4</v>
      </c>
      <c r="S181">
        <v>9</v>
      </c>
      <c r="T181">
        <v>9</v>
      </c>
      <c r="U181">
        <v>4</v>
      </c>
      <c r="V181">
        <v>4</v>
      </c>
      <c r="W181">
        <v>3</v>
      </c>
      <c r="X181">
        <v>1</v>
      </c>
      <c r="Y181">
        <v>2</v>
      </c>
      <c r="Z181">
        <v>4</v>
      </c>
      <c r="AA181">
        <v>4</v>
      </c>
      <c r="AB181">
        <v>1</v>
      </c>
      <c r="AC181">
        <v>1</v>
      </c>
      <c r="AD181">
        <v>3</v>
      </c>
      <c r="AE181">
        <v>2</v>
      </c>
      <c r="AF181">
        <v>0</v>
      </c>
      <c r="AG181">
        <v>1</v>
      </c>
      <c r="AH181">
        <v>2</v>
      </c>
      <c r="AI181">
        <v>2</v>
      </c>
      <c r="AJ181">
        <v>0</v>
      </c>
      <c r="AK181">
        <v>0</v>
      </c>
      <c r="AL181">
        <v>8524036</v>
      </c>
      <c r="AM181">
        <v>8703008</v>
      </c>
      <c r="AN181">
        <v>1446249.5</v>
      </c>
      <c r="AO181">
        <v>1922032.25</v>
      </c>
      <c r="AP181">
        <v>10528229</v>
      </c>
      <c r="AQ181">
        <v>9421481</v>
      </c>
      <c r="AR181">
        <v>882741.94</v>
      </c>
      <c r="AS181">
        <v>428784.78</v>
      </c>
      <c r="AT181">
        <v>8820268</v>
      </c>
      <c r="AU181">
        <v>4589417.5</v>
      </c>
      <c r="AV181">
        <v>45720.04</v>
      </c>
      <c r="AW181">
        <v>399744.72</v>
      </c>
      <c r="AX181">
        <v>6510954.5</v>
      </c>
      <c r="AY181">
        <v>5943128.5</v>
      </c>
      <c r="AZ181">
        <v>32245.02</v>
      </c>
      <c r="BA181">
        <v>29667.14</v>
      </c>
    </row>
    <row r="182" spans="1:53">
      <c r="A182">
        <v>20034</v>
      </c>
      <c r="B182" t="s">
        <v>798</v>
      </c>
      <c r="C182" t="s">
        <v>799</v>
      </c>
      <c r="D182" t="s">
        <v>800</v>
      </c>
      <c r="F182" t="s">
        <v>801</v>
      </c>
      <c r="G182">
        <v>89.518000000000001</v>
      </c>
      <c r="H182" t="s">
        <v>57</v>
      </c>
      <c r="I182">
        <v>2</v>
      </c>
      <c r="J182">
        <v>18</v>
      </c>
      <c r="K182">
        <v>0</v>
      </c>
      <c r="L182">
        <v>42.31</v>
      </c>
      <c r="M182">
        <v>8639</v>
      </c>
      <c r="N182">
        <v>3</v>
      </c>
      <c r="O182">
        <v>4</v>
      </c>
      <c r="P182">
        <v>4</v>
      </c>
      <c r="Q182">
        <v>4</v>
      </c>
      <c r="R182">
        <v>4</v>
      </c>
      <c r="S182">
        <v>34</v>
      </c>
      <c r="T182">
        <v>34</v>
      </c>
      <c r="U182">
        <v>4</v>
      </c>
      <c r="V182">
        <v>3</v>
      </c>
      <c r="W182">
        <v>4</v>
      </c>
      <c r="X182">
        <v>3</v>
      </c>
      <c r="Y182">
        <v>4</v>
      </c>
      <c r="Z182">
        <v>4</v>
      </c>
      <c r="AA182">
        <v>3</v>
      </c>
      <c r="AB182">
        <v>4</v>
      </c>
      <c r="AC182">
        <v>4</v>
      </c>
      <c r="AD182">
        <v>4</v>
      </c>
      <c r="AE182">
        <v>6</v>
      </c>
      <c r="AF182">
        <v>3</v>
      </c>
      <c r="AG182">
        <v>5</v>
      </c>
      <c r="AH182">
        <v>4</v>
      </c>
      <c r="AI182">
        <v>3</v>
      </c>
      <c r="AJ182">
        <v>4</v>
      </c>
      <c r="AK182">
        <v>5</v>
      </c>
      <c r="AL182">
        <v>66662948</v>
      </c>
      <c r="AM182">
        <v>59725776</v>
      </c>
      <c r="AN182">
        <v>27549616</v>
      </c>
      <c r="AO182">
        <v>26905022</v>
      </c>
      <c r="AP182">
        <v>85664504</v>
      </c>
      <c r="AQ182">
        <v>83777512</v>
      </c>
      <c r="AR182">
        <v>35495028</v>
      </c>
      <c r="AS182">
        <v>22126018</v>
      </c>
      <c r="AT182">
        <v>83527216</v>
      </c>
      <c r="AU182">
        <v>62658924</v>
      </c>
      <c r="AV182">
        <v>27442282</v>
      </c>
      <c r="AW182">
        <v>29820296</v>
      </c>
      <c r="AX182">
        <v>36244848</v>
      </c>
      <c r="AY182">
        <v>38055584</v>
      </c>
      <c r="AZ182">
        <v>21152896</v>
      </c>
      <c r="BA182">
        <v>20753106</v>
      </c>
    </row>
    <row r="183" spans="1:53">
      <c r="A183">
        <v>20059</v>
      </c>
      <c r="B183" t="s">
        <v>802</v>
      </c>
      <c r="C183" t="s">
        <v>803</v>
      </c>
      <c r="D183" t="s">
        <v>804</v>
      </c>
      <c r="F183" t="s">
        <v>805</v>
      </c>
      <c r="G183">
        <v>88.671999999999997</v>
      </c>
      <c r="H183" t="s">
        <v>57</v>
      </c>
      <c r="I183">
        <v>2</v>
      </c>
      <c r="J183">
        <v>3</v>
      </c>
      <c r="K183">
        <v>0</v>
      </c>
      <c r="L183">
        <v>39.58</v>
      </c>
      <c r="M183">
        <v>4809</v>
      </c>
      <c r="N183">
        <v>2</v>
      </c>
      <c r="O183">
        <v>1</v>
      </c>
      <c r="P183">
        <v>1</v>
      </c>
      <c r="Q183">
        <v>1</v>
      </c>
      <c r="R183">
        <v>1</v>
      </c>
      <c r="S183">
        <v>9</v>
      </c>
      <c r="T183">
        <v>9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2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5981193</v>
      </c>
      <c r="AM183">
        <v>6588858.5</v>
      </c>
      <c r="AN183">
        <v>2369934.75</v>
      </c>
      <c r="AO183">
        <v>2402124.75</v>
      </c>
      <c r="AP183">
        <v>6538786.5</v>
      </c>
      <c r="AQ183">
        <v>4942407.5</v>
      </c>
      <c r="AR183">
        <v>1207723.6200000001</v>
      </c>
      <c r="AS183">
        <v>1421176.88</v>
      </c>
      <c r="AT183">
        <v>5981193</v>
      </c>
      <c r="AU183">
        <v>5084769</v>
      </c>
      <c r="AV183">
        <v>1829828</v>
      </c>
      <c r="AW183">
        <v>2136157.75</v>
      </c>
      <c r="AX183">
        <v>2633010.75</v>
      </c>
      <c r="AY183">
        <v>2124652.25</v>
      </c>
      <c r="AZ183">
        <v>646681.12</v>
      </c>
      <c r="BA183">
        <v>1115447.6200000001</v>
      </c>
    </row>
    <row r="184" spans="1:53">
      <c r="A184">
        <v>20256</v>
      </c>
      <c r="B184" t="s">
        <v>806</v>
      </c>
      <c r="C184" t="s">
        <v>807</v>
      </c>
      <c r="D184" t="s">
        <v>808</v>
      </c>
      <c r="F184" t="s">
        <v>809</v>
      </c>
      <c r="G184">
        <v>88.212999999999994</v>
      </c>
      <c r="H184" t="s">
        <v>57</v>
      </c>
      <c r="I184">
        <v>2</v>
      </c>
      <c r="J184">
        <v>2</v>
      </c>
      <c r="K184">
        <v>0</v>
      </c>
      <c r="L184">
        <v>10.44</v>
      </c>
      <c r="M184">
        <v>18110</v>
      </c>
      <c r="N184">
        <v>4</v>
      </c>
      <c r="O184">
        <v>1</v>
      </c>
      <c r="P184">
        <v>1</v>
      </c>
      <c r="Q184">
        <v>1</v>
      </c>
      <c r="R184">
        <v>1</v>
      </c>
      <c r="S184">
        <v>8</v>
      </c>
      <c r="T184">
        <v>8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2</v>
      </c>
      <c r="AE184">
        <v>2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1</v>
      </c>
      <c r="AL184">
        <v>9157794</v>
      </c>
      <c r="AM184">
        <v>9072432</v>
      </c>
      <c r="AN184">
        <v>1987309.75</v>
      </c>
      <c r="AO184">
        <v>1915780.5</v>
      </c>
      <c r="AP184">
        <v>12965880</v>
      </c>
      <c r="AQ184">
        <v>11258864</v>
      </c>
      <c r="AR184">
        <v>1377769.38</v>
      </c>
      <c r="AS184">
        <v>1025328.06</v>
      </c>
      <c r="AT184">
        <v>9157794</v>
      </c>
      <c r="AU184">
        <v>7001397.5</v>
      </c>
      <c r="AV184">
        <v>1534403</v>
      </c>
      <c r="AW184">
        <v>1703662.38</v>
      </c>
      <c r="AX184">
        <v>5221045.5</v>
      </c>
      <c r="AY184">
        <v>4839984</v>
      </c>
      <c r="AZ184">
        <v>737732.88</v>
      </c>
      <c r="BA184">
        <v>804755.38</v>
      </c>
    </row>
    <row r="185" spans="1:53">
      <c r="A185">
        <v>19981</v>
      </c>
      <c r="B185" t="s">
        <v>810</v>
      </c>
      <c r="C185" t="s">
        <v>811</v>
      </c>
      <c r="D185" t="s">
        <v>812</v>
      </c>
      <c r="F185" t="s">
        <v>813</v>
      </c>
      <c r="G185">
        <v>87.626999999999995</v>
      </c>
      <c r="H185" t="s">
        <v>57</v>
      </c>
      <c r="I185">
        <v>2</v>
      </c>
      <c r="J185">
        <v>21</v>
      </c>
      <c r="K185">
        <v>0</v>
      </c>
      <c r="L185">
        <v>47.62</v>
      </c>
      <c r="M185">
        <v>9704</v>
      </c>
      <c r="N185">
        <v>4</v>
      </c>
      <c r="O185">
        <v>5</v>
      </c>
      <c r="P185">
        <v>5</v>
      </c>
      <c r="Q185">
        <v>5</v>
      </c>
      <c r="R185">
        <v>5</v>
      </c>
      <c r="S185">
        <v>132</v>
      </c>
      <c r="T185">
        <v>132</v>
      </c>
      <c r="U185">
        <v>5</v>
      </c>
      <c r="V185">
        <v>5</v>
      </c>
      <c r="W185">
        <v>4</v>
      </c>
      <c r="X185">
        <v>4</v>
      </c>
      <c r="Y185">
        <v>4</v>
      </c>
      <c r="Z185">
        <v>5</v>
      </c>
      <c r="AA185">
        <v>4</v>
      </c>
      <c r="AB185">
        <v>4</v>
      </c>
      <c r="AC185">
        <v>3</v>
      </c>
      <c r="AD185">
        <v>27</v>
      </c>
      <c r="AE185">
        <v>20</v>
      </c>
      <c r="AF185">
        <v>15</v>
      </c>
      <c r="AG185">
        <v>12</v>
      </c>
      <c r="AH185">
        <v>16</v>
      </c>
      <c r="AI185">
        <v>16</v>
      </c>
      <c r="AJ185">
        <v>12</v>
      </c>
      <c r="AK185">
        <v>14</v>
      </c>
      <c r="AL185">
        <v>834736000</v>
      </c>
      <c r="AM185">
        <v>833174400</v>
      </c>
      <c r="AN185">
        <v>283740608</v>
      </c>
      <c r="AO185">
        <v>268306496</v>
      </c>
      <c r="AP185">
        <v>763044352</v>
      </c>
      <c r="AQ185">
        <v>721085312</v>
      </c>
      <c r="AR185">
        <v>216661952</v>
      </c>
      <c r="AS185">
        <v>243159568</v>
      </c>
      <c r="AT185">
        <v>236087120</v>
      </c>
      <c r="AU185">
        <v>197236640</v>
      </c>
      <c r="AV185">
        <v>137472400</v>
      </c>
      <c r="AW185">
        <v>160217824</v>
      </c>
      <c r="AX185">
        <v>920811072</v>
      </c>
      <c r="AY185">
        <v>566752576</v>
      </c>
      <c r="AZ185">
        <v>240920400</v>
      </c>
      <c r="BA185">
        <v>161398880</v>
      </c>
    </row>
    <row r="186" spans="1:53">
      <c r="A186">
        <v>20181</v>
      </c>
      <c r="B186" t="s">
        <v>814</v>
      </c>
      <c r="C186" t="s">
        <v>815</v>
      </c>
      <c r="D186" t="s">
        <v>816</v>
      </c>
      <c r="F186" t="s">
        <v>817</v>
      </c>
      <c r="G186">
        <v>86.81</v>
      </c>
      <c r="H186" t="s">
        <v>57</v>
      </c>
      <c r="I186">
        <v>2</v>
      </c>
      <c r="J186">
        <v>2</v>
      </c>
      <c r="K186">
        <v>0</v>
      </c>
      <c r="L186">
        <v>22.22</v>
      </c>
      <c r="M186">
        <v>12042</v>
      </c>
      <c r="N186">
        <v>8</v>
      </c>
      <c r="O186">
        <v>2</v>
      </c>
      <c r="P186">
        <v>2</v>
      </c>
      <c r="Q186">
        <v>2</v>
      </c>
      <c r="R186">
        <v>2</v>
      </c>
      <c r="S186">
        <v>6</v>
      </c>
      <c r="T186">
        <v>6</v>
      </c>
      <c r="U186">
        <v>2</v>
      </c>
      <c r="V186">
        <v>2</v>
      </c>
      <c r="W186">
        <v>2</v>
      </c>
      <c r="X186">
        <v>1</v>
      </c>
      <c r="Y186">
        <v>1</v>
      </c>
      <c r="Z186">
        <v>2</v>
      </c>
      <c r="AA186">
        <v>2</v>
      </c>
      <c r="AB186">
        <v>1</v>
      </c>
      <c r="AD186">
        <v>3</v>
      </c>
      <c r="AE186">
        <v>2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21459528</v>
      </c>
      <c r="AM186">
        <v>7280935.5</v>
      </c>
      <c r="AN186">
        <v>700931.75</v>
      </c>
      <c r="AO186">
        <v>759724.38</v>
      </c>
      <c r="AP186">
        <v>6260752</v>
      </c>
      <c r="AQ186">
        <v>3500292</v>
      </c>
      <c r="AR186">
        <v>408344.59</v>
      </c>
      <c r="AT186">
        <v>15639973</v>
      </c>
      <c r="AU186">
        <v>4969716</v>
      </c>
      <c r="AV186">
        <v>148403.70000000001</v>
      </c>
      <c r="AW186">
        <v>172456.56</v>
      </c>
      <c r="AX186">
        <v>6158464</v>
      </c>
      <c r="AY186">
        <v>3597830</v>
      </c>
      <c r="AZ186">
        <v>167259.09</v>
      </c>
      <c r="BA186">
        <v>212391.23</v>
      </c>
    </row>
    <row r="187" spans="1:53">
      <c r="A187">
        <v>20069</v>
      </c>
      <c r="B187" t="s">
        <v>818</v>
      </c>
      <c r="C187" t="s">
        <v>819</v>
      </c>
      <c r="D187" t="s">
        <v>820</v>
      </c>
      <c r="F187" t="s">
        <v>821</v>
      </c>
      <c r="G187">
        <v>86.649000000000001</v>
      </c>
      <c r="H187" t="s">
        <v>57</v>
      </c>
      <c r="I187">
        <v>2</v>
      </c>
      <c r="J187">
        <v>21</v>
      </c>
      <c r="K187">
        <v>0</v>
      </c>
      <c r="L187">
        <v>7.75</v>
      </c>
      <c r="M187">
        <v>32491</v>
      </c>
      <c r="N187">
        <v>16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1</v>
      </c>
      <c r="X187">
        <v>1</v>
      </c>
      <c r="Y187">
        <v>1</v>
      </c>
      <c r="Z187">
        <v>2</v>
      </c>
      <c r="AA187">
        <v>2</v>
      </c>
      <c r="AB187">
        <v>2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397931</v>
      </c>
      <c r="AN187">
        <v>477705.38</v>
      </c>
      <c r="AO187">
        <v>554611.38</v>
      </c>
      <c r="AP187">
        <v>1652693.88</v>
      </c>
      <c r="AQ187">
        <v>1824246.25</v>
      </c>
      <c r="AR187">
        <v>2684958.25</v>
      </c>
      <c r="AS187">
        <v>718794.5</v>
      </c>
      <c r="AT187">
        <v>53839.85</v>
      </c>
      <c r="AU187">
        <v>111774.65</v>
      </c>
      <c r="AV187">
        <v>36828.959999999999</v>
      </c>
      <c r="AW187">
        <v>42119.75</v>
      </c>
      <c r="AX187">
        <v>967023.88</v>
      </c>
      <c r="AY187">
        <v>1130034.6200000001</v>
      </c>
      <c r="AZ187">
        <v>1976548.75</v>
      </c>
      <c r="BA187">
        <v>315402.28000000003</v>
      </c>
    </row>
    <row r="188" spans="1:53">
      <c r="A188">
        <v>20106</v>
      </c>
      <c r="B188" t="s">
        <v>822</v>
      </c>
      <c r="C188" t="s">
        <v>823</v>
      </c>
      <c r="D188" t="s">
        <v>824</v>
      </c>
      <c r="F188" t="s">
        <v>825</v>
      </c>
      <c r="G188">
        <v>82.959000000000003</v>
      </c>
      <c r="H188" t="s">
        <v>57</v>
      </c>
      <c r="I188">
        <v>2</v>
      </c>
      <c r="J188">
        <v>3</v>
      </c>
      <c r="K188">
        <v>0</v>
      </c>
      <c r="L188">
        <v>7.41</v>
      </c>
      <c r="M188">
        <v>80430</v>
      </c>
      <c r="N188">
        <v>49</v>
      </c>
      <c r="O188">
        <v>5</v>
      </c>
      <c r="P188">
        <v>5</v>
      </c>
      <c r="Q188">
        <v>5</v>
      </c>
      <c r="R188">
        <v>5</v>
      </c>
      <c r="S188">
        <v>8</v>
      </c>
      <c r="T188">
        <v>8</v>
      </c>
      <c r="U188">
        <v>5</v>
      </c>
      <c r="V188">
        <v>4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1</v>
      </c>
      <c r="AE188">
        <v>0</v>
      </c>
      <c r="AF188">
        <v>3</v>
      </c>
      <c r="AG188">
        <v>0</v>
      </c>
      <c r="AH188">
        <v>1</v>
      </c>
      <c r="AI188">
        <v>1</v>
      </c>
      <c r="AJ188">
        <v>3</v>
      </c>
      <c r="AK188">
        <v>1</v>
      </c>
      <c r="AL188">
        <v>6642002.5</v>
      </c>
      <c r="AM188">
        <v>5743447</v>
      </c>
      <c r="AN188">
        <v>6115093</v>
      </c>
      <c r="AO188">
        <v>4567465</v>
      </c>
      <c r="AP188">
        <v>9159174</v>
      </c>
      <c r="AQ188">
        <v>9028260</v>
      </c>
      <c r="AR188">
        <v>14416310</v>
      </c>
      <c r="AS188">
        <v>10334552</v>
      </c>
      <c r="AT188">
        <v>4324414.5</v>
      </c>
      <c r="AU188">
        <v>3324557.75</v>
      </c>
      <c r="AV188">
        <v>6171495.5</v>
      </c>
      <c r="AW188">
        <v>5886036</v>
      </c>
      <c r="AX188">
        <v>4614231.5</v>
      </c>
      <c r="AY188">
        <v>4777966</v>
      </c>
      <c r="AZ188">
        <v>6331230.5</v>
      </c>
      <c r="BA188">
        <v>7267738.5</v>
      </c>
    </row>
    <row r="189" spans="1:53">
      <c r="A189">
        <v>20128</v>
      </c>
      <c r="B189" t="s">
        <v>826</v>
      </c>
      <c r="C189" t="s">
        <v>827</v>
      </c>
      <c r="D189" t="s">
        <v>826</v>
      </c>
      <c r="E189" t="s">
        <v>828</v>
      </c>
      <c r="F189" t="s">
        <v>829</v>
      </c>
      <c r="G189">
        <v>82.918999999999997</v>
      </c>
      <c r="H189" t="s">
        <v>57</v>
      </c>
      <c r="I189">
        <v>2</v>
      </c>
      <c r="J189">
        <v>1</v>
      </c>
      <c r="K189">
        <v>23</v>
      </c>
      <c r="L189">
        <v>6.14</v>
      </c>
      <c r="M189">
        <v>51560</v>
      </c>
      <c r="N189">
        <v>34</v>
      </c>
      <c r="O189">
        <v>3</v>
      </c>
      <c r="P189">
        <v>1</v>
      </c>
      <c r="Q189">
        <v>3</v>
      </c>
      <c r="R189">
        <v>1</v>
      </c>
      <c r="S189">
        <v>7</v>
      </c>
      <c r="T189">
        <v>1</v>
      </c>
      <c r="U189">
        <v>1</v>
      </c>
      <c r="X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2635892.25</v>
      </c>
      <c r="AM189">
        <v>412781.88</v>
      </c>
      <c r="AN189">
        <v>50835220</v>
      </c>
      <c r="AO189">
        <v>337370.91</v>
      </c>
      <c r="AQ189">
        <v>1434611.25</v>
      </c>
      <c r="AR189">
        <v>1712171.25</v>
      </c>
      <c r="AS189">
        <v>506897.62</v>
      </c>
      <c r="AT189">
        <v>49505.43</v>
      </c>
      <c r="AU189">
        <v>111774.65</v>
      </c>
      <c r="AV189">
        <v>385560.56</v>
      </c>
      <c r="AW189">
        <v>170153.38</v>
      </c>
      <c r="AX189">
        <v>350962.88</v>
      </c>
      <c r="AY189">
        <v>247733</v>
      </c>
      <c r="AZ189">
        <v>199295.7</v>
      </c>
      <c r="BA189">
        <v>212391.23</v>
      </c>
    </row>
    <row r="190" spans="1:53">
      <c r="A190">
        <v>20264</v>
      </c>
      <c r="B190" t="s">
        <v>830</v>
      </c>
      <c r="C190" t="s">
        <v>831</v>
      </c>
      <c r="D190" t="s">
        <v>830</v>
      </c>
      <c r="F190" t="s">
        <v>832</v>
      </c>
      <c r="G190">
        <v>81.772000000000006</v>
      </c>
      <c r="H190" t="s">
        <v>57</v>
      </c>
      <c r="I190">
        <v>2</v>
      </c>
      <c r="J190">
        <v>1</v>
      </c>
      <c r="K190">
        <v>0</v>
      </c>
      <c r="L190">
        <v>15.81</v>
      </c>
      <c r="M190">
        <v>27158</v>
      </c>
      <c r="N190">
        <v>14</v>
      </c>
      <c r="O190">
        <v>4</v>
      </c>
      <c r="P190">
        <v>4</v>
      </c>
      <c r="Q190">
        <v>4</v>
      </c>
      <c r="R190">
        <v>4</v>
      </c>
      <c r="S190">
        <v>16</v>
      </c>
      <c r="T190">
        <v>16</v>
      </c>
      <c r="U190">
        <v>4</v>
      </c>
      <c r="V190">
        <v>2</v>
      </c>
      <c r="W190">
        <v>4</v>
      </c>
      <c r="X190">
        <v>4</v>
      </c>
      <c r="Y190">
        <v>4</v>
      </c>
      <c r="Z190">
        <v>3</v>
      </c>
      <c r="AA190">
        <v>3</v>
      </c>
      <c r="AB190">
        <v>2</v>
      </c>
      <c r="AC190">
        <v>1</v>
      </c>
      <c r="AD190">
        <v>1</v>
      </c>
      <c r="AE190">
        <v>4</v>
      </c>
      <c r="AF190">
        <v>3</v>
      </c>
      <c r="AG190">
        <v>5</v>
      </c>
      <c r="AH190">
        <v>1</v>
      </c>
      <c r="AI190">
        <v>2</v>
      </c>
      <c r="AJ190">
        <v>1</v>
      </c>
      <c r="AK190">
        <v>0</v>
      </c>
      <c r="AL190">
        <v>3337915.5</v>
      </c>
      <c r="AM190">
        <v>7187121.5</v>
      </c>
      <c r="AN190">
        <v>5164797</v>
      </c>
      <c r="AO190">
        <v>5264485</v>
      </c>
      <c r="AP190">
        <v>7356435.5</v>
      </c>
      <c r="AQ190">
        <v>6316975</v>
      </c>
      <c r="AR190">
        <v>1180882.25</v>
      </c>
      <c r="AS190">
        <v>511128.06</v>
      </c>
      <c r="AT190">
        <v>62002.41</v>
      </c>
      <c r="AU190">
        <v>7489251</v>
      </c>
      <c r="AV190">
        <v>5008650</v>
      </c>
      <c r="AW190">
        <v>5712456.5</v>
      </c>
      <c r="AX190">
        <v>4710873.5</v>
      </c>
      <c r="AY190">
        <v>4169665.25</v>
      </c>
      <c r="AZ190">
        <v>1349467.38</v>
      </c>
      <c r="BA190">
        <v>15952.25</v>
      </c>
    </row>
    <row r="191" spans="1:53">
      <c r="A191">
        <v>20141</v>
      </c>
      <c r="B191" t="s">
        <v>833</v>
      </c>
      <c r="C191" t="s">
        <v>834</v>
      </c>
      <c r="D191" t="s">
        <v>833</v>
      </c>
      <c r="F191" t="s">
        <v>835</v>
      </c>
      <c r="G191">
        <v>81.567999999999998</v>
      </c>
      <c r="H191" t="s">
        <v>57</v>
      </c>
      <c r="I191">
        <v>2</v>
      </c>
      <c r="J191">
        <v>1</v>
      </c>
      <c r="K191">
        <v>0</v>
      </c>
      <c r="L191">
        <v>26.61</v>
      </c>
      <c r="M191">
        <v>14259</v>
      </c>
      <c r="N191">
        <v>4</v>
      </c>
      <c r="O191">
        <v>2</v>
      </c>
      <c r="P191">
        <v>2</v>
      </c>
      <c r="Q191">
        <v>2</v>
      </c>
      <c r="R191">
        <v>2</v>
      </c>
      <c r="S191">
        <v>18</v>
      </c>
      <c r="T191">
        <v>18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4</v>
      </c>
      <c r="AE191">
        <v>3</v>
      </c>
      <c r="AF191">
        <v>2</v>
      </c>
      <c r="AG191">
        <v>0</v>
      </c>
      <c r="AH191">
        <v>3</v>
      </c>
      <c r="AI191">
        <v>2</v>
      </c>
      <c r="AJ191">
        <v>2</v>
      </c>
      <c r="AK191">
        <v>2</v>
      </c>
      <c r="AL191">
        <v>6992052</v>
      </c>
      <c r="AM191">
        <v>9410789</v>
      </c>
      <c r="AN191">
        <v>3980060.75</v>
      </c>
      <c r="AO191">
        <v>3665153.5</v>
      </c>
      <c r="AP191">
        <v>9525064</v>
      </c>
      <c r="AQ191">
        <v>9948264</v>
      </c>
      <c r="AR191">
        <v>4735286.5</v>
      </c>
      <c r="AS191">
        <v>2926785.75</v>
      </c>
      <c r="AT191">
        <v>7582543</v>
      </c>
      <c r="AU191">
        <v>7463229.5</v>
      </c>
      <c r="AV191">
        <v>3133360.75</v>
      </c>
      <c r="AW191">
        <v>3278219.25</v>
      </c>
      <c r="AX191">
        <v>3562969.25</v>
      </c>
      <c r="AY191">
        <v>4194941</v>
      </c>
      <c r="AZ191">
        <v>2244570.25</v>
      </c>
      <c r="BA191">
        <v>2211648.5</v>
      </c>
    </row>
    <row r="192" spans="1:53">
      <c r="A192">
        <v>20186</v>
      </c>
      <c r="B192" t="s">
        <v>836</v>
      </c>
      <c r="C192" t="s">
        <v>837</v>
      </c>
      <c r="D192" t="s">
        <v>838</v>
      </c>
      <c r="F192" t="s">
        <v>839</v>
      </c>
      <c r="G192">
        <v>81.403000000000006</v>
      </c>
      <c r="H192" t="s">
        <v>57</v>
      </c>
      <c r="I192">
        <v>2</v>
      </c>
      <c r="J192">
        <v>2</v>
      </c>
      <c r="K192">
        <v>0</v>
      </c>
      <c r="L192">
        <v>11.27</v>
      </c>
      <c r="M192">
        <v>37200</v>
      </c>
      <c r="N192">
        <v>21</v>
      </c>
      <c r="O192">
        <v>3</v>
      </c>
      <c r="P192">
        <v>3</v>
      </c>
      <c r="Q192">
        <v>3</v>
      </c>
      <c r="R192">
        <v>3</v>
      </c>
      <c r="S192">
        <v>24</v>
      </c>
      <c r="T192">
        <v>24</v>
      </c>
      <c r="U192">
        <v>3</v>
      </c>
      <c r="V192">
        <v>2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2</v>
      </c>
      <c r="AF192">
        <v>4</v>
      </c>
      <c r="AG192">
        <v>4</v>
      </c>
      <c r="AH192">
        <v>3</v>
      </c>
      <c r="AI192">
        <v>2</v>
      </c>
      <c r="AJ192">
        <v>3</v>
      </c>
      <c r="AK192">
        <v>2</v>
      </c>
      <c r="AL192">
        <v>27444502</v>
      </c>
      <c r="AM192">
        <v>28791264</v>
      </c>
      <c r="AN192">
        <v>15973851</v>
      </c>
      <c r="AO192">
        <v>17644738</v>
      </c>
      <c r="AP192">
        <v>24431404</v>
      </c>
      <c r="AQ192">
        <v>20825094</v>
      </c>
      <c r="AR192">
        <v>10501763</v>
      </c>
      <c r="AS192">
        <v>9290018</v>
      </c>
      <c r="AT192">
        <v>21666724</v>
      </c>
      <c r="AU192">
        <v>23481068</v>
      </c>
      <c r="AV192">
        <v>12886601</v>
      </c>
      <c r="AW192">
        <v>16066694</v>
      </c>
      <c r="AX192">
        <v>10232601</v>
      </c>
      <c r="AY192">
        <v>9182068</v>
      </c>
      <c r="AZ192">
        <v>6380858</v>
      </c>
      <c r="BA192">
        <v>8887548</v>
      </c>
    </row>
    <row r="193" spans="1:53">
      <c r="A193">
        <v>20070</v>
      </c>
      <c r="B193" t="s">
        <v>840</v>
      </c>
      <c r="C193" t="s">
        <v>841</v>
      </c>
      <c r="D193" t="s">
        <v>842</v>
      </c>
      <c r="E193" t="s">
        <v>843</v>
      </c>
      <c r="F193" t="s">
        <v>844</v>
      </c>
      <c r="G193">
        <v>79.156999999999996</v>
      </c>
      <c r="H193" t="s">
        <v>57</v>
      </c>
      <c r="I193">
        <v>2</v>
      </c>
      <c r="J193">
        <v>12</v>
      </c>
      <c r="K193">
        <v>9</v>
      </c>
      <c r="L193">
        <v>8.64</v>
      </c>
      <c r="M193">
        <v>74358</v>
      </c>
      <c r="N193">
        <v>42</v>
      </c>
      <c r="O193">
        <v>5</v>
      </c>
      <c r="P193">
        <v>5</v>
      </c>
      <c r="Q193">
        <v>5</v>
      </c>
      <c r="R193">
        <v>5</v>
      </c>
      <c r="S193">
        <v>7</v>
      </c>
      <c r="T193">
        <v>7</v>
      </c>
      <c r="U193">
        <v>5</v>
      </c>
      <c r="V193">
        <v>3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5</v>
      </c>
      <c r="AC193">
        <v>4</v>
      </c>
      <c r="AD193">
        <v>2</v>
      </c>
      <c r="AE193">
        <v>0</v>
      </c>
      <c r="AF193">
        <v>0</v>
      </c>
      <c r="AG193">
        <v>1</v>
      </c>
      <c r="AH193">
        <v>0</v>
      </c>
      <c r="AI193">
        <v>2</v>
      </c>
      <c r="AJ193">
        <v>4</v>
      </c>
      <c r="AK193">
        <v>1</v>
      </c>
      <c r="AL193">
        <v>1159699.75</v>
      </c>
      <c r="AM193">
        <v>2170684.75</v>
      </c>
      <c r="AN193">
        <v>3617846.5</v>
      </c>
      <c r="AO193">
        <v>3402944.5</v>
      </c>
      <c r="AP193">
        <v>7866065</v>
      </c>
      <c r="AQ193">
        <v>6179821</v>
      </c>
      <c r="AR193">
        <v>6228664</v>
      </c>
      <c r="AS193">
        <v>3069677.5</v>
      </c>
      <c r="AT193">
        <v>424329.62</v>
      </c>
      <c r="AU193">
        <v>1902470.75</v>
      </c>
      <c r="AV193">
        <v>2785046</v>
      </c>
      <c r="AW193">
        <v>3109771</v>
      </c>
      <c r="AX193">
        <v>2799073</v>
      </c>
      <c r="AY193">
        <v>2817990.5</v>
      </c>
      <c r="AZ193">
        <v>3414030.75</v>
      </c>
      <c r="BA193">
        <v>2989806.5</v>
      </c>
    </row>
    <row r="194" spans="1:53">
      <c r="A194">
        <v>20208</v>
      </c>
      <c r="B194" t="s">
        <v>845</v>
      </c>
      <c r="C194" t="s">
        <v>846</v>
      </c>
      <c r="D194" t="s">
        <v>847</v>
      </c>
      <c r="F194" t="s">
        <v>848</v>
      </c>
      <c r="G194">
        <v>76.942999999999998</v>
      </c>
      <c r="H194" t="s">
        <v>57</v>
      </c>
      <c r="I194">
        <v>2</v>
      </c>
      <c r="J194">
        <v>2</v>
      </c>
      <c r="K194">
        <v>0</v>
      </c>
      <c r="L194">
        <v>20.91</v>
      </c>
      <c r="M194">
        <v>11857</v>
      </c>
      <c r="N194">
        <v>2</v>
      </c>
      <c r="O194">
        <v>1</v>
      </c>
      <c r="P194">
        <v>1</v>
      </c>
      <c r="Q194">
        <v>1</v>
      </c>
      <c r="R194">
        <v>1</v>
      </c>
      <c r="S194">
        <v>15</v>
      </c>
      <c r="T194">
        <v>15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1</v>
      </c>
      <c r="AL194">
        <v>5720666.5</v>
      </c>
      <c r="AM194">
        <v>6122517</v>
      </c>
      <c r="AN194">
        <v>4275808.5</v>
      </c>
      <c r="AO194">
        <v>4665169</v>
      </c>
      <c r="AP194">
        <v>7476611.5</v>
      </c>
      <c r="AQ194">
        <v>5056941.5</v>
      </c>
      <c r="AR194">
        <v>1752846.25</v>
      </c>
      <c r="AS194">
        <v>777948.25</v>
      </c>
      <c r="AT194">
        <v>11391555</v>
      </c>
      <c r="AU194">
        <v>8906462</v>
      </c>
      <c r="AV194">
        <v>6398274</v>
      </c>
      <c r="AW194">
        <v>7888979.5</v>
      </c>
      <c r="AX194">
        <v>5994986.5</v>
      </c>
      <c r="AY194">
        <v>4115572.5</v>
      </c>
      <c r="AZ194">
        <v>1464108.12</v>
      </c>
      <c r="BA194">
        <v>1144833.3799999999</v>
      </c>
    </row>
    <row r="195" spans="1:53">
      <c r="A195">
        <v>20191</v>
      </c>
      <c r="B195" t="s">
        <v>849</v>
      </c>
      <c r="C195" t="s">
        <v>850</v>
      </c>
      <c r="D195" t="s">
        <v>849</v>
      </c>
      <c r="F195" t="s">
        <v>851</v>
      </c>
      <c r="G195">
        <v>71.927999999999997</v>
      </c>
      <c r="H195" t="s">
        <v>57</v>
      </c>
      <c r="I195">
        <v>2</v>
      </c>
      <c r="J195">
        <v>1</v>
      </c>
      <c r="K195">
        <v>0</v>
      </c>
      <c r="L195">
        <v>13.6</v>
      </c>
      <c r="M195">
        <v>25258</v>
      </c>
      <c r="N195">
        <v>14</v>
      </c>
      <c r="O195">
        <v>3</v>
      </c>
      <c r="P195">
        <v>3</v>
      </c>
      <c r="Q195">
        <v>3</v>
      </c>
      <c r="R195">
        <v>3</v>
      </c>
      <c r="S195">
        <v>10</v>
      </c>
      <c r="T195">
        <v>10</v>
      </c>
      <c r="U195">
        <v>3</v>
      </c>
      <c r="V195">
        <v>2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1</v>
      </c>
      <c r="AE195">
        <v>0</v>
      </c>
      <c r="AF195">
        <v>1</v>
      </c>
      <c r="AG195">
        <v>1</v>
      </c>
      <c r="AH195">
        <v>1</v>
      </c>
      <c r="AI195">
        <v>2</v>
      </c>
      <c r="AJ195">
        <v>2</v>
      </c>
      <c r="AK195">
        <v>2</v>
      </c>
      <c r="AL195">
        <v>2609841.75</v>
      </c>
      <c r="AM195">
        <v>4835965.5</v>
      </c>
      <c r="AN195">
        <v>7741695</v>
      </c>
      <c r="AO195">
        <v>8074751.5</v>
      </c>
      <c r="AP195">
        <v>7479277.5</v>
      </c>
      <c r="AQ195">
        <v>8799556</v>
      </c>
      <c r="AR195">
        <v>10108220</v>
      </c>
      <c r="AS195">
        <v>6093611.5</v>
      </c>
      <c r="AT195">
        <v>4164676.75</v>
      </c>
      <c r="AU195">
        <v>3582848.25</v>
      </c>
      <c r="AV195">
        <v>6461746.5</v>
      </c>
      <c r="AW195">
        <v>7309731</v>
      </c>
      <c r="AX195">
        <v>2628428.25</v>
      </c>
      <c r="AY195">
        <v>3531177.5</v>
      </c>
      <c r="AZ195">
        <v>4757582</v>
      </c>
      <c r="BA195">
        <v>4317102.5</v>
      </c>
    </row>
    <row r="196" spans="1:53">
      <c r="A196">
        <v>20268</v>
      </c>
      <c r="B196" t="s">
        <v>852</v>
      </c>
      <c r="C196" t="s">
        <v>853</v>
      </c>
      <c r="D196" t="s">
        <v>852</v>
      </c>
      <c r="F196" t="s">
        <v>854</v>
      </c>
      <c r="G196">
        <v>68.543000000000006</v>
      </c>
      <c r="H196" t="s">
        <v>57</v>
      </c>
      <c r="I196">
        <v>2</v>
      </c>
      <c r="J196">
        <v>1</v>
      </c>
      <c r="K196">
        <v>0</v>
      </c>
      <c r="L196">
        <v>6.04</v>
      </c>
      <c r="M196">
        <v>51356</v>
      </c>
      <c r="N196">
        <v>27</v>
      </c>
      <c r="O196">
        <v>3</v>
      </c>
      <c r="P196">
        <v>3</v>
      </c>
      <c r="Q196">
        <v>3</v>
      </c>
      <c r="R196">
        <v>3</v>
      </c>
      <c r="S196">
        <v>13</v>
      </c>
      <c r="T196">
        <v>13</v>
      </c>
      <c r="U196">
        <v>3</v>
      </c>
      <c r="V196">
        <v>2</v>
      </c>
      <c r="W196">
        <v>2</v>
      </c>
      <c r="X196">
        <v>2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1</v>
      </c>
      <c r="AE196">
        <v>1</v>
      </c>
      <c r="AF196">
        <v>1</v>
      </c>
      <c r="AG196">
        <v>1</v>
      </c>
      <c r="AH196">
        <v>3</v>
      </c>
      <c r="AI196">
        <v>3</v>
      </c>
      <c r="AJ196">
        <v>3</v>
      </c>
      <c r="AK196">
        <v>1</v>
      </c>
      <c r="AL196">
        <v>2790034</v>
      </c>
      <c r="AM196">
        <v>5158949</v>
      </c>
      <c r="AN196">
        <v>3270951</v>
      </c>
      <c r="AO196">
        <v>3413167.75</v>
      </c>
      <c r="AP196">
        <v>9469288</v>
      </c>
      <c r="AQ196">
        <v>8890635</v>
      </c>
      <c r="AR196">
        <v>3721600.5</v>
      </c>
      <c r="AS196">
        <v>2354185.5</v>
      </c>
      <c r="AT196">
        <v>4559944.5</v>
      </c>
      <c r="AU196">
        <v>4096087.5</v>
      </c>
      <c r="AV196">
        <v>2581585.5</v>
      </c>
      <c r="AW196">
        <v>2716235</v>
      </c>
      <c r="AX196">
        <v>3372562.5</v>
      </c>
      <c r="AY196">
        <v>3435949</v>
      </c>
      <c r="AZ196">
        <v>1741334.38</v>
      </c>
      <c r="BA196">
        <v>1621184.38</v>
      </c>
    </row>
    <row r="197" spans="1:53">
      <c r="A197">
        <v>20135</v>
      </c>
      <c r="B197" t="s">
        <v>855</v>
      </c>
      <c r="C197" t="s">
        <v>856</v>
      </c>
      <c r="D197" t="s">
        <v>855</v>
      </c>
      <c r="E197" t="s">
        <v>857</v>
      </c>
      <c r="F197" t="s">
        <v>858</v>
      </c>
      <c r="G197">
        <v>67.685000000000002</v>
      </c>
      <c r="H197" t="s">
        <v>57</v>
      </c>
      <c r="I197">
        <v>2</v>
      </c>
      <c r="J197">
        <v>1</v>
      </c>
      <c r="K197">
        <v>3</v>
      </c>
      <c r="L197">
        <v>18.059999999999999</v>
      </c>
      <c r="M197">
        <v>16016</v>
      </c>
      <c r="N197">
        <v>8</v>
      </c>
      <c r="O197">
        <v>2</v>
      </c>
      <c r="P197">
        <v>2</v>
      </c>
      <c r="Q197">
        <v>2</v>
      </c>
      <c r="R197">
        <v>2</v>
      </c>
      <c r="S197">
        <v>10</v>
      </c>
      <c r="T197">
        <v>10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1</v>
      </c>
      <c r="AE197">
        <v>2</v>
      </c>
      <c r="AF197">
        <v>2</v>
      </c>
      <c r="AG197">
        <v>2</v>
      </c>
      <c r="AH197">
        <v>1</v>
      </c>
      <c r="AI197">
        <v>2</v>
      </c>
      <c r="AJ197">
        <v>0</v>
      </c>
      <c r="AK197">
        <v>0</v>
      </c>
      <c r="AL197">
        <v>4716360.5</v>
      </c>
      <c r="AM197">
        <v>4890901.5</v>
      </c>
      <c r="AN197">
        <v>4020673.5</v>
      </c>
      <c r="AO197">
        <v>3920285.75</v>
      </c>
      <c r="AP197">
        <v>5777273</v>
      </c>
      <c r="AQ197">
        <v>4722270</v>
      </c>
      <c r="AR197">
        <v>1813178.5</v>
      </c>
      <c r="AS197">
        <v>1543597.75</v>
      </c>
      <c r="AT197">
        <v>1682093.38</v>
      </c>
      <c r="AU197">
        <v>4186562.75</v>
      </c>
      <c r="AV197">
        <v>3570045</v>
      </c>
      <c r="AW197">
        <v>3856532</v>
      </c>
      <c r="AX197">
        <v>4998301</v>
      </c>
      <c r="AY197">
        <v>4566162.5</v>
      </c>
      <c r="AZ197">
        <v>1733536.62</v>
      </c>
      <c r="BA197">
        <v>1191725.5</v>
      </c>
    </row>
    <row r="198" spans="1:53">
      <c r="A198">
        <v>20155</v>
      </c>
      <c r="B198" t="s">
        <v>859</v>
      </c>
      <c r="C198" t="s">
        <v>860</v>
      </c>
      <c r="D198" t="s">
        <v>861</v>
      </c>
      <c r="F198" t="s">
        <v>862</v>
      </c>
      <c r="G198">
        <v>67.019000000000005</v>
      </c>
      <c r="H198" t="s">
        <v>57</v>
      </c>
      <c r="I198">
        <v>2</v>
      </c>
      <c r="J198">
        <v>3</v>
      </c>
      <c r="K198">
        <v>0</v>
      </c>
      <c r="L198">
        <v>35.71</v>
      </c>
      <c r="M198">
        <v>7403</v>
      </c>
      <c r="N198">
        <v>7</v>
      </c>
      <c r="O198">
        <v>2</v>
      </c>
      <c r="P198">
        <v>2</v>
      </c>
      <c r="Q198">
        <v>2</v>
      </c>
      <c r="R198">
        <v>2</v>
      </c>
      <c r="S198">
        <v>3</v>
      </c>
      <c r="T198">
        <v>3</v>
      </c>
      <c r="U198">
        <v>2</v>
      </c>
      <c r="V198">
        <v>1</v>
      </c>
      <c r="W198">
        <v>1</v>
      </c>
      <c r="X198">
        <v>1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0</v>
      </c>
      <c r="AE198">
        <v>2</v>
      </c>
      <c r="AF198">
        <v>1</v>
      </c>
      <c r="AG198">
        <v>1</v>
      </c>
      <c r="AH198">
        <v>2</v>
      </c>
      <c r="AI198">
        <v>3</v>
      </c>
      <c r="AJ198">
        <v>1</v>
      </c>
      <c r="AK198">
        <v>1</v>
      </c>
      <c r="AL198">
        <v>5430967.5</v>
      </c>
      <c r="AM198">
        <v>8451036</v>
      </c>
      <c r="AN198">
        <v>3997290.75</v>
      </c>
      <c r="AO198">
        <v>5375262</v>
      </c>
      <c r="AP198">
        <v>16405725</v>
      </c>
      <c r="AQ198">
        <v>18643450</v>
      </c>
      <c r="AR198">
        <v>6558443.5</v>
      </c>
      <c r="AS198">
        <v>4701384</v>
      </c>
      <c r="AT198">
        <v>163397.09</v>
      </c>
      <c r="AU198">
        <v>112026.33</v>
      </c>
      <c r="AV198">
        <v>98801.34</v>
      </c>
      <c r="AW198">
        <v>5915725.5</v>
      </c>
      <c r="AX198">
        <v>6979404</v>
      </c>
      <c r="AY198">
        <v>12392577</v>
      </c>
      <c r="AZ198">
        <v>6371405.5</v>
      </c>
      <c r="BA198">
        <v>8476943</v>
      </c>
    </row>
    <row r="199" spans="1:53">
      <c r="A199">
        <v>19961</v>
      </c>
      <c r="B199" t="s">
        <v>863</v>
      </c>
      <c r="C199" t="s">
        <v>864</v>
      </c>
      <c r="D199" t="s">
        <v>865</v>
      </c>
      <c r="E199" t="s">
        <v>866</v>
      </c>
      <c r="F199" t="s">
        <v>867</v>
      </c>
      <c r="G199">
        <v>64.745999999999995</v>
      </c>
      <c r="H199" t="s">
        <v>57</v>
      </c>
      <c r="I199">
        <v>2</v>
      </c>
      <c r="J199">
        <v>19</v>
      </c>
      <c r="K199">
        <v>2</v>
      </c>
      <c r="L199">
        <v>9.26</v>
      </c>
      <c r="M199">
        <v>48178</v>
      </c>
      <c r="N199">
        <v>30</v>
      </c>
      <c r="O199">
        <v>4</v>
      </c>
      <c r="P199">
        <v>4</v>
      </c>
      <c r="Q199">
        <v>4</v>
      </c>
      <c r="R199">
        <v>4</v>
      </c>
      <c r="S199">
        <v>11</v>
      </c>
      <c r="T199">
        <v>11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1</v>
      </c>
      <c r="AE199">
        <v>0</v>
      </c>
      <c r="AF199">
        <v>1</v>
      </c>
      <c r="AG199">
        <v>3</v>
      </c>
      <c r="AH199">
        <v>3</v>
      </c>
      <c r="AI199">
        <v>1</v>
      </c>
      <c r="AJ199">
        <v>2</v>
      </c>
      <c r="AK199">
        <v>1</v>
      </c>
      <c r="AL199">
        <v>4379435</v>
      </c>
      <c r="AM199">
        <v>3487108.5</v>
      </c>
      <c r="AN199">
        <v>5361073.5</v>
      </c>
      <c r="AO199">
        <v>4853551</v>
      </c>
      <c r="AP199">
        <v>60019624</v>
      </c>
      <c r="AQ199">
        <v>6788155</v>
      </c>
      <c r="AR199">
        <v>4844062</v>
      </c>
      <c r="AS199">
        <v>4176228.25</v>
      </c>
      <c r="AT199">
        <v>7920340.5</v>
      </c>
      <c r="AU199">
        <v>4974640</v>
      </c>
      <c r="AV199">
        <v>6849141.5</v>
      </c>
      <c r="AW199">
        <v>7616098</v>
      </c>
      <c r="AX199">
        <v>7920340.5</v>
      </c>
      <c r="AY199">
        <v>5694066.5</v>
      </c>
      <c r="AZ199">
        <v>5035547.5</v>
      </c>
      <c r="BA199">
        <v>6068741.5</v>
      </c>
    </row>
    <row r="200" spans="1:53">
      <c r="A200">
        <v>20170</v>
      </c>
      <c r="B200" t="s">
        <v>868</v>
      </c>
      <c r="C200" t="s">
        <v>869</v>
      </c>
      <c r="D200" t="s">
        <v>870</v>
      </c>
      <c r="F200" t="s">
        <v>871</v>
      </c>
      <c r="G200">
        <v>60.987000000000002</v>
      </c>
      <c r="H200" t="s">
        <v>57</v>
      </c>
      <c r="I200">
        <v>2</v>
      </c>
      <c r="J200">
        <v>2</v>
      </c>
      <c r="K200">
        <v>0</v>
      </c>
      <c r="L200">
        <v>13.83</v>
      </c>
      <c r="M200">
        <v>10317</v>
      </c>
      <c r="N200">
        <v>5</v>
      </c>
      <c r="O200">
        <v>1</v>
      </c>
      <c r="P200">
        <v>1</v>
      </c>
      <c r="Q200">
        <v>1</v>
      </c>
      <c r="R200">
        <v>1</v>
      </c>
      <c r="S200">
        <v>6</v>
      </c>
      <c r="T200">
        <v>6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0</v>
      </c>
      <c r="AK200">
        <v>0</v>
      </c>
      <c r="AL200">
        <v>2621655</v>
      </c>
      <c r="AM200">
        <v>2550735</v>
      </c>
      <c r="AN200">
        <v>1781815</v>
      </c>
      <c r="AO200">
        <v>1385016.38</v>
      </c>
      <c r="AP200">
        <v>2414965</v>
      </c>
      <c r="AQ200">
        <v>2395746</v>
      </c>
      <c r="AR200">
        <v>999667.19</v>
      </c>
      <c r="AS200">
        <v>849853.06</v>
      </c>
      <c r="AT200">
        <v>2621655</v>
      </c>
      <c r="AU200">
        <v>1968458.88</v>
      </c>
      <c r="AV200">
        <v>1375740.38</v>
      </c>
      <c r="AW200">
        <v>1231665.25</v>
      </c>
      <c r="AX200">
        <v>972447.81</v>
      </c>
      <c r="AY200">
        <v>1029888.25</v>
      </c>
      <c r="AZ200">
        <v>535276.31000000006</v>
      </c>
      <c r="BA200">
        <v>667029.25</v>
      </c>
    </row>
    <row r="201" spans="1:53">
      <c r="A201">
        <v>20104</v>
      </c>
      <c r="B201" t="s">
        <v>872</v>
      </c>
      <c r="C201" t="s">
        <v>873</v>
      </c>
      <c r="D201" t="s">
        <v>874</v>
      </c>
      <c r="E201" t="s">
        <v>875</v>
      </c>
      <c r="F201" t="s">
        <v>876</v>
      </c>
      <c r="G201">
        <v>60.231000000000002</v>
      </c>
      <c r="H201" t="s">
        <v>57</v>
      </c>
      <c r="I201">
        <v>2</v>
      </c>
      <c r="J201">
        <v>21</v>
      </c>
      <c r="K201">
        <v>1</v>
      </c>
      <c r="L201">
        <v>13.14</v>
      </c>
      <c r="M201">
        <v>57328</v>
      </c>
      <c r="N201">
        <v>34</v>
      </c>
      <c r="O201">
        <v>6</v>
      </c>
      <c r="P201">
        <v>6</v>
      </c>
      <c r="Q201">
        <v>6</v>
      </c>
      <c r="R201">
        <v>6</v>
      </c>
      <c r="S201">
        <v>14</v>
      </c>
      <c r="T201">
        <v>14</v>
      </c>
      <c r="U201">
        <v>6</v>
      </c>
      <c r="V201">
        <v>5</v>
      </c>
      <c r="W201">
        <v>5</v>
      </c>
      <c r="X201">
        <v>5</v>
      </c>
      <c r="Y201">
        <v>5</v>
      </c>
      <c r="Z201">
        <v>6</v>
      </c>
      <c r="AA201">
        <v>6</v>
      </c>
      <c r="AB201">
        <v>6</v>
      </c>
      <c r="AC201">
        <v>6</v>
      </c>
      <c r="AD201">
        <v>2</v>
      </c>
      <c r="AE201">
        <v>2</v>
      </c>
      <c r="AF201">
        <v>2</v>
      </c>
      <c r="AG201">
        <v>2</v>
      </c>
      <c r="AH201">
        <v>1</v>
      </c>
      <c r="AI201">
        <v>1</v>
      </c>
      <c r="AJ201">
        <v>2</v>
      </c>
      <c r="AK201">
        <v>2</v>
      </c>
      <c r="AL201">
        <v>5452936.5</v>
      </c>
      <c r="AM201">
        <v>4137744</v>
      </c>
      <c r="AN201">
        <v>4497763</v>
      </c>
      <c r="AO201">
        <v>4924129.5</v>
      </c>
      <c r="AP201">
        <v>7585398</v>
      </c>
      <c r="AQ201">
        <v>7153231</v>
      </c>
      <c r="AR201">
        <v>6702420</v>
      </c>
      <c r="AS201">
        <v>5407947.5</v>
      </c>
      <c r="AT201">
        <v>3925323.75</v>
      </c>
      <c r="AU201">
        <v>3483099.5</v>
      </c>
      <c r="AV201">
        <v>4028068</v>
      </c>
      <c r="AW201">
        <v>4872270</v>
      </c>
      <c r="AX201">
        <v>3226062</v>
      </c>
      <c r="AY201">
        <v>2957110</v>
      </c>
      <c r="AZ201">
        <v>3730200.25</v>
      </c>
      <c r="BA201">
        <v>4058104.25</v>
      </c>
    </row>
    <row r="202" spans="1:53">
      <c r="A202">
        <v>20168</v>
      </c>
      <c r="B202" t="s">
        <v>877</v>
      </c>
      <c r="C202" t="s">
        <v>878</v>
      </c>
      <c r="D202" t="s">
        <v>877</v>
      </c>
      <c r="F202" t="s">
        <v>879</v>
      </c>
      <c r="G202">
        <v>58.219000000000001</v>
      </c>
      <c r="H202" t="s">
        <v>57</v>
      </c>
      <c r="I202">
        <v>2</v>
      </c>
      <c r="J202">
        <v>1</v>
      </c>
      <c r="K202">
        <v>0</v>
      </c>
      <c r="L202">
        <v>11.42</v>
      </c>
      <c r="M202">
        <v>32343</v>
      </c>
      <c r="N202">
        <v>10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1</v>
      </c>
      <c r="W202">
        <v>2</v>
      </c>
      <c r="X202">
        <v>2</v>
      </c>
      <c r="Y202">
        <v>2</v>
      </c>
      <c r="Z202">
        <v>3</v>
      </c>
      <c r="AA202">
        <v>3</v>
      </c>
      <c r="AB202">
        <v>3</v>
      </c>
      <c r="AC202">
        <v>3</v>
      </c>
      <c r="AD202">
        <v>1</v>
      </c>
      <c r="AE202">
        <v>1</v>
      </c>
      <c r="AF202">
        <v>1</v>
      </c>
      <c r="AG202">
        <v>0</v>
      </c>
      <c r="AH202">
        <v>1</v>
      </c>
      <c r="AI202">
        <v>1</v>
      </c>
      <c r="AJ202">
        <v>0</v>
      </c>
      <c r="AK202">
        <v>0</v>
      </c>
      <c r="AL202">
        <v>1747738.62</v>
      </c>
      <c r="AM202">
        <v>2788121.25</v>
      </c>
      <c r="AN202">
        <v>4684409.5</v>
      </c>
      <c r="AO202">
        <v>4795902</v>
      </c>
      <c r="AP202">
        <v>7162364</v>
      </c>
      <c r="AQ202">
        <v>9835541</v>
      </c>
      <c r="AR202">
        <v>7981853.5</v>
      </c>
      <c r="AS202">
        <v>5428562</v>
      </c>
      <c r="AT202">
        <v>29198.880000000001</v>
      </c>
      <c r="AU202">
        <v>2574926.5</v>
      </c>
      <c r="AV202">
        <v>4400632.5</v>
      </c>
      <c r="AW202">
        <v>5170900</v>
      </c>
      <c r="AX202">
        <v>2753005.75</v>
      </c>
      <c r="AY202">
        <v>4007709.25</v>
      </c>
      <c r="AZ202">
        <v>4205950</v>
      </c>
      <c r="BA202">
        <v>4190267.5</v>
      </c>
    </row>
    <row r="203" spans="1:53">
      <c r="A203">
        <v>20094</v>
      </c>
      <c r="B203" t="s">
        <v>880</v>
      </c>
      <c r="C203" t="s">
        <v>881</v>
      </c>
      <c r="D203" t="s">
        <v>882</v>
      </c>
      <c r="E203" t="s">
        <v>883</v>
      </c>
      <c r="F203" t="s">
        <v>884</v>
      </c>
      <c r="G203">
        <v>58.078000000000003</v>
      </c>
      <c r="H203" t="s">
        <v>57</v>
      </c>
      <c r="I203">
        <v>2</v>
      </c>
      <c r="J203">
        <v>8</v>
      </c>
      <c r="K203">
        <v>11</v>
      </c>
      <c r="L203">
        <v>8.5500000000000007</v>
      </c>
      <c r="M203">
        <v>51859</v>
      </c>
      <c r="N203">
        <v>33</v>
      </c>
      <c r="O203">
        <v>4</v>
      </c>
      <c r="P203">
        <v>4</v>
      </c>
      <c r="Q203">
        <v>4</v>
      </c>
      <c r="R203">
        <v>4</v>
      </c>
      <c r="S203">
        <v>6</v>
      </c>
      <c r="T203">
        <v>6</v>
      </c>
      <c r="U203">
        <v>4</v>
      </c>
      <c r="V203">
        <v>1</v>
      </c>
      <c r="W203">
        <v>3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0</v>
      </c>
      <c r="AE203">
        <v>1</v>
      </c>
      <c r="AF203">
        <v>2</v>
      </c>
      <c r="AG203">
        <v>2</v>
      </c>
      <c r="AH203">
        <v>1</v>
      </c>
      <c r="AI203">
        <v>1</v>
      </c>
      <c r="AJ203">
        <v>2</v>
      </c>
      <c r="AK203">
        <v>0</v>
      </c>
      <c r="AL203">
        <v>363535.19</v>
      </c>
      <c r="AM203">
        <v>2138464</v>
      </c>
      <c r="AN203">
        <v>2986704</v>
      </c>
      <c r="AO203">
        <v>2779811</v>
      </c>
      <c r="AP203">
        <v>5517460.5</v>
      </c>
      <c r="AQ203">
        <v>5691586</v>
      </c>
      <c r="AR203">
        <v>3655361.25</v>
      </c>
      <c r="AS203">
        <v>2601705</v>
      </c>
      <c r="AT203">
        <v>27197.47</v>
      </c>
      <c r="AU203">
        <v>2150287.5</v>
      </c>
      <c r="AV203">
        <v>2221251.75</v>
      </c>
      <c r="AW203">
        <v>2433532.75</v>
      </c>
      <c r="AX203">
        <v>2249698.25</v>
      </c>
      <c r="AY203">
        <v>2433137</v>
      </c>
      <c r="AZ203">
        <v>1959409.75</v>
      </c>
      <c r="BA203">
        <v>1954336.12</v>
      </c>
    </row>
    <row r="204" spans="1:53">
      <c r="A204">
        <v>20241</v>
      </c>
      <c r="B204" t="s">
        <v>885</v>
      </c>
      <c r="C204" t="s">
        <v>886</v>
      </c>
      <c r="D204" t="s">
        <v>887</v>
      </c>
      <c r="F204" t="s">
        <v>888</v>
      </c>
      <c r="G204">
        <v>53.040999999999997</v>
      </c>
      <c r="H204" t="s">
        <v>57</v>
      </c>
      <c r="I204">
        <v>2</v>
      </c>
      <c r="J204">
        <v>2</v>
      </c>
      <c r="K204">
        <v>0</v>
      </c>
      <c r="L204">
        <v>17.190000000000001</v>
      </c>
      <c r="M204">
        <v>13611</v>
      </c>
      <c r="N204">
        <v>8</v>
      </c>
      <c r="O204">
        <v>2</v>
      </c>
      <c r="P204">
        <v>2</v>
      </c>
      <c r="Q204">
        <v>2</v>
      </c>
      <c r="R204">
        <v>2</v>
      </c>
      <c r="S204">
        <v>15</v>
      </c>
      <c r="T204">
        <v>15</v>
      </c>
      <c r="U204">
        <v>2</v>
      </c>
      <c r="V204">
        <v>1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1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2</v>
      </c>
      <c r="AL204">
        <v>3040066</v>
      </c>
      <c r="AM204">
        <v>4518369</v>
      </c>
      <c r="AN204">
        <v>4125860</v>
      </c>
      <c r="AO204">
        <v>3696870.5</v>
      </c>
      <c r="AP204">
        <v>7805221</v>
      </c>
      <c r="AQ204">
        <v>7001620</v>
      </c>
      <c r="AR204">
        <v>2370108</v>
      </c>
      <c r="AS204">
        <v>2231322.5</v>
      </c>
      <c r="AT204">
        <v>36621.699999999997</v>
      </c>
      <c r="AU204">
        <v>3950583.75</v>
      </c>
      <c r="AV204">
        <v>3473790.5</v>
      </c>
      <c r="AW204">
        <v>3685411.75</v>
      </c>
      <c r="AX204">
        <v>3619669.25</v>
      </c>
      <c r="AY204">
        <v>3512599.25</v>
      </c>
      <c r="AZ204">
        <v>1462901.62</v>
      </c>
      <c r="BA204">
        <v>1976375.62</v>
      </c>
    </row>
    <row r="205" spans="1:53">
      <c r="A205">
        <v>20211</v>
      </c>
      <c r="B205" t="s">
        <v>889</v>
      </c>
      <c r="C205" t="s">
        <v>890</v>
      </c>
      <c r="D205" t="s">
        <v>891</v>
      </c>
      <c r="F205" t="s">
        <v>892</v>
      </c>
      <c r="G205">
        <v>52.741</v>
      </c>
      <c r="H205" t="s">
        <v>57</v>
      </c>
      <c r="I205">
        <v>2</v>
      </c>
      <c r="J205">
        <v>2</v>
      </c>
      <c r="K205">
        <v>0</v>
      </c>
      <c r="L205">
        <v>9.75</v>
      </c>
      <c r="M205">
        <v>39146</v>
      </c>
      <c r="N205">
        <v>18</v>
      </c>
      <c r="O205">
        <v>2</v>
      </c>
      <c r="P205">
        <v>2</v>
      </c>
      <c r="Q205">
        <v>2</v>
      </c>
      <c r="R205">
        <v>2</v>
      </c>
      <c r="S205">
        <v>6</v>
      </c>
      <c r="T205">
        <v>6</v>
      </c>
      <c r="U205">
        <v>2</v>
      </c>
      <c r="V205">
        <v>2</v>
      </c>
      <c r="W205">
        <v>2</v>
      </c>
      <c r="X205">
        <v>1</v>
      </c>
      <c r="Y205">
        <v>1</v>
      </c>
      <c r="Z205">
        <v>2</v>
      </c>
      <c r="AA205">
        <v>2</v>
      </c>
      <c r="AB205">
        <v>1</v>
      </c>
      <c r="AC205">
        <v>2</v>
      </c>
      <c r="AD205">
        <v>2</v>
      </c>
      <c r="AE205">
        <v>2</v>
      </c>
      <c r="AF205">
        <v>1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8372636</v>
      </c>
      <c r="AM205">
        <v>15285458</v>
      </c>
      <c r="AN205">
        <v>7705551.5</v>
      </c>
      <c r="AO205">
        <v>7588985</v>
      </c>
      <c r="AP205">
        <v>35066176</v>
      </c>
      <c r="AQ205">
        <v>26335984</v>
      </c>
      <c r="AR205">
        <v>6089725.5</v>
      </c>
      <c r="AS205">
        <v>6347414</v>
      </c>
      <c r="AT205">
        <v>10373884</v>
      </c>
      <c r="AU205">
        <v>14330616</v>
      </c>
      <c r="AV205">
        <v>7180930</v>
      </c>
      <c r="AW205">
        <v>5761187</v>
      </c>
      <c r="AX205">
        <v>14340013</v>
      </c>
      <c r="AY205">
        <v>15033891</v>
      </c>
      <c r="AZ205">
        <v>3095660.5</v>
      </c>
      <c r="BA205">
        <v>6291155.5</v>
      </c>
    </row>
    <row r="206" spans="1:53">
      <c r="A206">
        <v>20152</v>
      </c>
      <c r="B206" t="s">
        <v>893</v>
      </c>
      <c r="C206" t="s">
        <v>894</v>
      </c>
      <c r="D206" t="s">
        <v>895</v>
      </c>
      <c r="F206" t="s">
        <v>896</v>
      </c>
      <c r="G206">
        <v>52.524999999999999</v>
      </c>
      <c r="H206" t="s">
        <v>57</v>
      </c>
      <c r="I206">
        <v>2</v>
      </c>
      <c r="J206">
        <v>3</v>
      </c>
      <c r="K206">
        <v>0</v>
      </c>
      <c r="L206">
        <v>10.19</v>
      </c>
      <c r="M206">
        <v>36150</v>
      </c>
      <c r="N206">
        <v>19</v>
      </c>
      <c r="O206">
        <v>3</v>
      </c>
      <c r="P206">
        <v>3</v>
      </c>
      <c r="Q206">
        <v>3</v>
      </c>
      <c r="R206">
        <v>3</v>
      </c>
      <c r="S206">
        <v>8</v>
      </c>
      <c r="T206">
        <v>8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2</v>
      </c>
      <c r="AC206">
        <v>2</v>
      </c>
      <c r="AD206">
        <v>1</v>
      </c>
      <c r="AE206">
        <v>1</v>
      </c>
      <c r="AF206">
        <v>0</v>
      </c>
      <c r="AG206">
        <v>0</v>
      </c>
      <c r="AH206">
        <v>1</v>
      </c>
      <c r="AI206">
        <v>3</v>
      </c>
      <c r="AJ206">
        <v>2</v>
      </c>
      <c r="AK206">
        <v>2</v>
      </c>
      <c r="AL206">
        <v>2275450.25</v>
      </c>
      <c r="AM206">
        <v>2911423.5</v>
      </c>
      <c r="AN206">
        <v>3670982</v>
      </c>
      <c r="AO206">
        <v>3939633.5</v>
      </c>
      <c r="AP206">
        <v>7257951</v>
      </c>
      <c r="AQ206">
        <v>6891798.5</v>
      </c>
      <c r="AR206">
        <v>3449925.25</v>
      </c>
      <c r="AS206">
        <v>3280660.5</v>
      </c>
      <c r="AT206">
        <v>2390042.25</v>
      </c>
      <c r="AU206">
        <v>2258983.5</v>
      </c>
      <c r="AV206">
        <v>2952711.5</v>
      </c>
      <c r="AW206">
        <v>3728781.25</v>
      </c>
      <c r="AX206">
        <v>2549348</v>
      </c>
      <c r="AY206">
        <v>2329654</v>
      </c>
      <c r="AZ206">
        <v>2143828.5</v>
      </c>
      <c r="BA206">
        <v>3014690.75</v>
      </c>
    </row>
    <row r="207" spans="1:53">
      <c r="A207">
        <v>20189</v>
      </c>
      <c r="B207" t="s">
        <v>897</v>
      </c>
      <c r="C207" t="s">
        <v>898</v>
      </c>
      <c r="D207" t="s">
        <v>899</v>
      </c>
      <c r="F207" t="s">
        <v>900</v>
      </c>
      <c r="G207">
        <v>52.329000000000001</v>
      </c>
      <c r="H207" t="s">
        <v>57</v>
      </c>
      <c r="I207">
        <v>2</v>
      </c>
      <c r="J207">
        <v>2</v>
      </c>
      <c r="K207">
        <v>0</v>
      </c>
      <c r="L207">
        <v>6.43</v>
      </c>
      <c r="M207">
        <v>46176</v>
      </c>
      <c r="N207">
        <v>21</v>
      </c>
      <c r="O207">
        <v>1</v>
      </c>
      <c r="P207">
        <v>1</v>
      </c>
      <c r="Q207">
        <v>1</v>
      </c>
      <c r="R207">
        <v>1</v>
      </c>
      <c r="S207">
        <v>3</v>
      </c>
      <c r="T207">
        <v>3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0</v>
      </c>
      <c r="AJ207">
        <v>1</v>
      </c>
      <c r="AK207">
        <v>0</v>
      </c>
      <c r="AL207">
        <v>836485.44</v>
      </c>
      <c r="AM207">
        <v>1111882.1200000001</v>
      </c>
      <c r="AN207">
        <v>692766.88</v>
      </c>
      <c r="AO207">
        <v>1782611.5</v>
      </c>
      <c r="AP207">
        <v>1638596.75</v>
      </c>
      <c r="AQ207">
        <v>1363496.62</v>
      </c>
      <c r="AR207">
        <v>2038504.62</v>
      </c>
      <c r="AS207">
        <v>1346424.38</v>
      </c>
      <c r="AT207">
        <v>836485.44</v>
      </c>
      <c r="AU207">
        <v>858064.19</v>
      </c>
      <c r="AV207">
        <v>534885.68999999994</v>
      </c>
      <c r="AW207">
        <v>1585238.12</v>
      </c>
      <c r="AX207">
        <v>659823.18999999994</v>
      </c>
      <c r="AY207">
        <v>586142.75</v>
      </c>
      <c r="AZ207">
        <v>1091526.5</v>
      </c>
      <c r="BA207">
        <v>1056776.25</v>
      </c>
    </row>
    <row r="208" spans="1:53">
      <c r="A208">
        <v>19969</v>
      </c>
      <c r="B208" t="s">
        <v>901</v>
      </c>
      <c r="C208" t="s">
        <v>902</v>
      </c>
      <c r="D208" t="s">
        <v>903</v>
      </c>
      <c r="F208" t="s">
        <v>904</v>
      </c>
      <c r="G208">
        <v>50.466000000000001</v>
      </c>
      <c r="H208" t="s">
        <v>57</v>
      </c>
      <c r="I208">
        <v>2</v>
      </c>
      <c r="J208">
        <v>19</v>
      </c>
      <c r="K208">
        <v>0</v>
      </c>
      <c r="L208">
        <v>63.04</v>
      </c>
      <c r="M208">
        <v>5380</v>
      </c>
      <c r="N208">
        <v>1</v>
      </c>
      <c r="O208">
        <v>6</v>
      </c>
      <c r="P208">
        <v>6</v>
      </c>
      <c r="Q208">
        <v>6</v>
      </c>
      <c r="R208">
        <v>6</v>
      </c>
      <c r="S208">
        <v>95</v>
      </c>
      <c r="T208">
        <v>95</v>
      </c>
      <c r="U208">
        <v>6</v>
      </c>
      <c r="V208">
        <v>3</v>
      </c>
      <c r="W208">
        <v>4</v>
      </c>
      <c r="X208">
        <v>4</v>
      </c>
      <c r="Y208">
        <v>5</v>
      </c>
      <c r="Z208">
        <v>4</v>
      </c>
      <c r="AA208">
        <v>4</v>
      </c>
      <c r="AB208">
        <v>5</v>
      </c>
      <c r="AC208">
        <v>4</v>
      </c>
      <c r="AD208">
        <v>16</v>
      </c>
      <c r="AE208">
        <v>15</v>
      </c>
      <c r="AF208">
        <v>14</v>
      </c>
      <c r="AG208">
        <v>18</v>
      </c>
      <c r="AH208">
        <v>10</v>
      </c>
      <c r="AI208">
        <v>8</v>
      </c>
      <c r="AJ208">
        <v>6</v>
      </c>
      <c r="AK208">
        <v>8</v>
      </c>
      <c r="AL208">
        <v>232949760</v>
      </c>
      <c r="AM208">
        <v>323079872</v>
      </c>
      <c r="AN208">
        <v>212164992</v>
      </c>
      <c r="AO208">
        <v>160530464</v>
      </c>
      <c r="AP208">
        <v>622913472</v>
      </c>
      <c r="AQ208">
        <v>544960576</v>
      </c>
      <c r="AR208">
        <v>286785216</v>
      </c>
      <c r="AS208">
        <v>303692800</v>
      </c>
      <c r="AT208">
        <v>98047296</v>
      </c>
      <c r="AU208">
        <v>289841888</v>
      </c>
      <c r="AV208">
        <v>211363632</v>
      </c>
      <c r="AW208">
        <v>324269312</v>
      </c>
      <c r="AX208">
        <v>349644672</v>
      </c>
      <c r="AY208">
        <v>314384768</v>
      </c>
      <c r="AZ208">
        <v>233679728</v>
      </c>
      <c r="BA208">
        <v>255139488</v>
      </c>
    </row>
    <row r="209" spans="1:53">
      <c r="A209">
        <v>20147</v>
      </c>
      <c r="B209" t="s">
        <v>905</v>
      </c>
      <c r="C209" t="s">
        <v>906</v>
      </c>
      <c r="D209" t="s">
        <v>907</v>
      </c>
      <c r="F209" t="s">
        <v>908</v>
      </c>
      <c r="G209">
        <v>49.930999999999997</v>
      </c>
      <c r="H209" t="s">
        <v>57</v>
      </c>
      <c r="I209">
        <v>2</v>
      </c>
      <c r="J209">
        <v>3</v>
      </c>
      <c r="K209">
        <v>0</v>
      </c>
      <c r="L209">
        <v>25.2</v>
      </c>
      <c r="M209">
        <v>28203</v>
      </c>
      <c r="N209">
        <v>18</v>
      </c>
      <c r="O209">
        <v>5</v>
      </c>
      <c r="P209">
        <v>5</v>
      </c>
      <c r="Q209">
        <v>5</v>
      </c>
      <c r="R209">
        <v>5</v>
      </c>
      <c r="S209">
        <v>12</v>
      </c>
      <c r="T209">
        <v>12</v>
      </c>
      <c r="U209">
        <v>5</v>
      </c>
      <c r="V209">
        <v>1</v>
      </c>
      <c r="W209">
        <v>4</v>
      </c>
      <c r="X209">
        <v>4</v>
      </c>
      <c r="Y209">
        <v>4</v>
      </c>
      <c r="Z209">
        <v>5</v>
      </c>
      <c r="AA209">
        <v>5</v>
      </c>
      <c r="AB209">
        <v>5</v>
      </c>
      <c r="AC209">
        <v>5</v>
      </c>
      <c r="AD209">
        <v>0</v>
      </c>
      <c r="AE209">
        <v>0</v>
      </c>
      <c r="AF209">
        <v>1</v>
      </c>
      <c r="AG209">
        <v>1</v>
      </c>
      <c r="AH209">
        <v>2</v>
      </c>
      <c r="AI209">
        <v>2</v>
      </c>
      <c r="AJ209">
        <v>3</v>
      </c>
      <c r="AK209">
        <v>3</v>
      </c>
      <c r="AL209">
        <v>1360071</v>
      </c>
      <c r="AM209">
        <v>2765196.5</v>
      </c>
      <c r="AN209">
        <v>4710923</v>
      </c>
      <c r="AO209">
        <v>6388041</v>
      </c>
      <c r="AP209">
        <v>9367706</v>
      </c>
      <c r="AQ209">
        <v>9340212</v>
      </c>
      <c r="AR209">
        <v>10054290</v>
      </c>
      <c r="AS209">
        <v>6059675</v>
      </c>
      <c r="AT209">
        <v>53296.45</v>
      </c>
      <c r="AU209">
        <v>1600052.5</v>
      </c>
      <c r="AV209">
        <v>2100503.25</v>
      </c>
      <c r="AW209">
        <v>6047239</v>
      </c>
      <c r="AX209">
        <v>4455225.5</v>
      </c>
      <c r="AY209">
        <v>4379688</v>
      </c>
      <c r="AZ209">
        <v>6282611</v>
      </c>
      <c r="BA209">
        <v>5529117.5</v>
      </c>
    </row>
    <row r="210" spans="1:53">
      <c r="A210">
        <v>20195</v>
      </c>
      <c r="B210" t="s">
        <v>909</v>
      </c>
      <c r="C210" t="s">
        <v>910</v>
      </c>
      <c r="D210" t="s">
        <v>911</v>
      </c>
      <c r="F210" t="s">
        <v>912</v>
      </c>
      <c r="G210">
        <v>48.734000000000002</v>
      </c>
      <c r="H210" t="s">
        <v>57</v>
      </c>
      <c r="I210">
        <v>2</v>
      </c>
      <c r="J210">
        <v>3</v>
      </c>
      <c r="K210">
        <v>0</v>
      </c>
      <c r="L210">
        <v>7.87</v>
      </c>
      <c r="M210">
        <v>18974</v>
      </c>
      <c r="N210">
        <v>10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1</v>
      </c>
      <c r="W210">
        <v>1</v>
      </c>
      <c r="X210">
        <v>1</v>
      </c>
      <c r="Z210">
        <v>1</v>
      </c>
      <c r="AA210">
        <v>1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1179749.25</v>
      </c>
      <c r="AM210">
        <v>1382865.75</v>
      </c>
      <c r="AN210">
        <v>677975.69</v>
      </c>
      <c r="AP210">
        <v>1109121.25</v>
      </c>
      <c r="AQ210">
        <v>1392511.5</v>
      </c>
      <c r="AT210">
        <v>1179749.25</v>
      </c>
      <c r="AU210">
        <v>1067188.25</v>
      </c>
      <c r="AV210">
        <v>523465.38</v>
      </c>
      <c r="AW210">
        <v>170153.38</v>
      </c>
      <c r="AX210">
        <v>446616.22</v>
      </c>
      <c r="AY210">
        <v>598615.75</v>
      </c>
      <c r="AZ210">
        <v>199295.7</v>
      </c>
      <c r="BA210">
        <v>212391.23</v>
      </c>
    </row>
    <row r="211" spans="1:53">
      <c r="A211">
        <v>20245</v>
      </c>
      <c r="B211" t="s">
        <v>913</v>
      </c>
      <c r="C211" t="s">
        <v>914</v>
      </c>
      <c r="D211" t="s">
        <v>915</v>
      </c>
      <c r="F211" t="s">
        <v>916</v>
      </c>
      <c r="G211">
        <v>48.372</v>
      </c>
      <c r="H211" t="s">
        <v>57</v>
      </c>
      <c r="I211">
        <v>2</v>
      </c>
      <c r="J211">
        <v>3</v>
      </c>
      <c r="K211">
        <v>0</v>
      </c>
      <c r="L211">
        <v>23.53</v>
      </c>
      <c r="M211">
        <v>9119</v>
      </c>
      <c r="N211">
        <v>6</v>
      </c>
      <c r="O211">
        <v>2</v>
      </c>
      <c r="P211">
        <v>2</v>
      </c>
      <c r="Q211">
        <v>2</v>
      </c>
      <c r="R211">
        <v>2</v>
      </c>
      <c r="S211">
        <v>3</v>
      </c>
      <c r="T211">
        <v>3</v>
      </c>
      <c r="U211">
        <v>2</v>
      </c>
      <c r="V211">
        <v>2</v>
      </c>
      <c r="W211">
        <v>2</v>
      </c>
      <c r="X211">
        <v>2</v>
      </c>
      <c r="Y211">
        <v>1</v>
      </c>
      <c r="Z211">
        <v>2</v>
      </c>
      <c r="AA211">
        <v>2</v>
      </c>
      <c r="AB211">
        <v>1</v>
      </c>
      <c r="AC211">
        <v>1</v>
      </c>
      <c r="AD211">
        <v>0</v>
      </c>
      <c r="AE211">
        <v>1</v>
      </c>
      <c r="AF211">
        <v>1</v>
      </c>
      <c r="AG211">
        <v>1</v>
      </c>
      <c r="AH211">
        <v>1</v>
      </c>
      <c r="AI211">
        <v>0</v>
      </c>
      <c r="AJ211">
        <v>0</v>
      </c>
      <c r="AK211">
        <v>0</v>
      </c>
      <c r="AL211">
        <v>7543566</v>
      </c>
      <c r="AM211">
        <v>6878601.5</v>
      </c>
      <c r="AN211">
        <v>4284256</v>
      </c>
      <c r="AO211">
        <v>3931147.75</v>
      </c>
      <c r="AP211">
        <v>10532617</v>
      </c>
      <c r="AQ211">
        <v>9241336</v>
      </c>
      <c r="AR211">
        <v>1471346</v>
      </c>
      <c r="AS211">
        <v>1227721.25</v>
      </c>
      <c r="AT211">
        <v>7086570.5</v>
      </c>
      <c r="AU211">
        <v>4696844</v>
      </c>
      <c r="AV211">
        <v>3129430.5</v>
      </c>
      <c r="AW211">
        <v>834792.12</v>
      </c>
      <c r="AX211">
        <v>5925943.5</v>
      </c>
      <c r="AY211">
        <v>6180153.5</v>
      </c>
      <c r="AZ211">
        <v>425782.34</v>
      </c>
      <c r="BA211">
        <v>520517</v>
      </c>
    </row>
    <row r="212" spans="1:53">
      <c r="A212">
        <v>20029</v>
      </c>
      <c r="B212" t="s">
        <v>917</v>
      </c>
      <c r="C212" t="s">
        <v>918</v>
      </c>
      <c r="D212" t="s">
        <v>919</v>
      </c>
      <c r="F212" t="s">
        <v>920</v>
      </c>
      <c r="G212">
        <v>48.137999999999998</v>
      </c>
      <c r="H212" t="s">
        <v>57</v>
      </c>
      <c r="I212">
        <v>2</v>
      </c>
      <c r="J212">
        <v>9</v>
      </c>
      <c r="K212">
        <v>0</v>
      </c>
      <c r="L212">
        <v>5.45</v>
      </c>
      <c r="M212">
        <v>71447</v>
      </c>
      <c r="N212">
        <v>40</v>
      </c>
      <c r="O212">
        <v>3</v>
      </c>
      <c r="P212">
        <v>3</v>
      </c>
      <c r="Q212">
        <v>3</v>
      </c>
      <c r="R212">
        <v>3</v>
      </c>
      <c r="S212">
        <v>4</v>
      </c>
      <c r="T212">
        <v>4</v>
      </c>
      <c r="U212">
        <v>3</v>
      </c>
      <c r="V212">
        <v>1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0</v>
      </c>
      <c r="AE212">
        <v>0</v>
      </c>
      <c r="AF212">
        <v>1</v>
      </c>
      <c r="AG212">
        <v>0</v>
      </c>
      <c r="AH212">
        <v>3</v>
      </c>
      <c r="AI212">
        <v>1</v>
      </c>
      <c r="AJ212">
        <v>0</v>
      </c>
      <c r="AK212">
        <v>0</v>
      </c>
      <c r="AL212">
        <v>261052.42</v>
      </c>
      <c r="AM212">
        <v>1815045.88</v>
      </c>
      <c r="AN212">
        <v>1727172.38</v>
      </c>
      <c r="AO212">
        <v>1486532.5</v>
      </c>
      <c r="AP212">
        <v>2794615.5</v>
      </c>
      <c r="AQ212">
        <v>2065562.25</v>
      </c>
      <c r="AR212">
        <v>1121675.3799999999</v>
      </c>
      <c r="AS212">
        <v>1036467.19</v>
      </c>
      <c r="AT212">
        <v>25218.98</v>
      </c>
      <c r="AU212">
        <v>1368883</v>
      </c>
      <c r="AV212">
        <v>1427087</v>
      </c>
      <c r="AW212">
        <v>1360762.5</v>
      </c>
      <c r="AX212">
        <v>1079541.1200000001</v>
      </c>
      <c r="AY212">
        <v>918342.25</v>
      </c>
      <c r="AZ212">
        <v>653178.12</v>
      </c>
      <c r="BA212">
        <v>894373.44</v>
      </c>
    </row>
    <row r="213" spans="1:53">
      <c r="A213">
        <v>20248</v>
      </c>
      <c r="B213" t="s">
        <v>921</v>
      </c>
      <c r="C213" t="s">
        <v>922</v>
      </c>
      <c r="D213" t="s">
        <v>921</v>
      </c>
      <c r="E213" t="s">
        <v>923</v>
      </c>
      <c r="F213" t="s">
        <v>924</v>
      </c>
      <c r="G213">
        <v>43.576000000000001</v>
      </c>
      <c r="H213" t="s">
        <v>57</v>
      </c>
      <c r="I213">
        <v>2</v>
      </c>
      <c r="J213">
        <v>1</v>
      </c>
      <c r="K213">
        <v>1</v>
      </c>
      <c r="L213">
        <v>5.98</v>
      </c>
      <c r="M213">
        <v>51480</v>
      </c>
      <c r="N213">
        <v>30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1</v>
      </c>
      <c r="AC213">
        <v>1</v>
      </c>
      <c r="AD213">
        <v>2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2355872.75</v>
      </c>
      <c r="AM213">
        <v>3590653</v>
      </c>
      <c r="AN213">
        <v>2558348.5</v>
      </c>
      <c r="AO213">
        <v>3192167.25</v>
      </c>
      <c r="AP213">
        <v>3861754.5</v>
      </c>
      <c r="AQ213">
        <v>3538051.5</v>
      </c>
      <c r="AR213">
        <v>470602.09</v>
      </c>
      <c r="AS213">
        <v>477373.06</v>
      </c>
      <c r="AT213">
        <v>5324527.5</v>
      </c>
      <c r="AU213">
        <v>1956255.5</v>
      </c>
      <c r="AV213">
        <v>1553215.25</v>
      </c>
      <c r="AW213">
        <v>2309655.25</v>
      </c>
      <c r="AX213">
        <v>1191330.75</v>
      </c>
      <c r="AY213">
        <v>1295544</v>
      </c>
      <c r="AZ213">
        <v>160592.32999999999</v>
      </c>
      <c r="BA213">
        <v>231936.64000000001</v>
      </c>
    </row>
    <row r="214" spans="1:53">
      <c r="A214">
        <v>20202</v>
      </c>
      <c r="B214" t="s">
        <v>925</v>
      </c>
      <c r="C214" t="s">
        <v>926</v>
      </c>
      <c r="D214" t="s">
        <v>927</v>
      </c>
      <c r="F214" t="s">
        <v>928</v>
      </c>
      <c r="G214">
        <v>43.436999999999998</v>
      </c>
      <c r="H214" t="s">
        <v>57</v>
      </c>
      <c r="I214">
        <v>2</v>
      </c>
      <c r="J214">
        <v>2</v>
      </c>
      <c r="K214">
        <v>0</v>
      </c>
      <c r="L214">
        <v>13.44</v>
      </c>
      <c r="M214">
        <v>21886</v>
      </c>
      <c r="N214">
        <v>13</v>
      </c>
      <c r="O214">
        <v>2</v>
      </c>
      <c r="P214">
        <v>2</v>
      </c>
      <c r="Q214">
        <v>2</v>
      </c>
      <c r="R214">
        <v>2</v>
      </c>
      <c r="S214">
        <v>3</v>
      </c>
      <c r="T214">
        <v>3</v>
      </c>
      <c r="U214">
        <v>2</v>
      </c>
      <c r="W214">
        <v>1</v>
      </c>
      <c r="X214">
        <v>1</v>
      </c>
      <c r="Y214">
        <v>1</v>
      </c>
      <c r="Z214">
        <v>2</v>
      </c>
      <c r="AA214">
        <v>2</v>
      </c>
      <c r="AB214">
        <v>2</v>
      </c>
      <c r="AC214">
        <v>2</v>
      </c>
      <c r="AD214">
        <v>0</v>
      </c>
      <c r="AE214">
        <v>0</v>
      </c>
      <c r="AF214">
        <v>0</v>
      </c>
      <c r="AG214">
        <v>1</v>
      </c>
      <c r="AH214">
        <v>1</v>
      </c>
      <c r="AI214">
        <v>2</v>
      </c>
      <c r="AJ214">
        <v>1</v>
      </c>
      <c r="AK214">
        <v>0</v>
      </c>
      <c r="AM214">
        <v>1135269.6200000001</v>
      </c>
      <c r="AN214">
        <v>1281131</v>
      </c>
      <c r="AO214">
        <v>1023826.62</v>
      </c>
      <c r="AP214">
        <v>2720558.25</v>
      </c>
      <c r="AQ214">
        <v>3202945.5</v>
      </c>
      <c r="AR214">
        <v>2114441</v>
      </c>
      <c r="AS214">
        <v>1731921.38</v>
      </c>
      <c r="AT214">
        <v>49505.43</v>
      </c>
      <c r="AU214">
        <v>38230.660000000003</v>
      </c>
      <c r="AV214">
        <v>46554.43</v>
      </c>
      <c r="AW214">
        <v>44291.57</v>
      </c>
      <c r="AX214">
        <v>1762834</v>
      </c>
      <c r="AY214">
        <v>2023998.88</v>
      </c>
      <c r="AZ214">
        <v>1730567.5</v>
      </c>
      <c r="BA214">
        <v>1837065.75</v>
      </c>
    </row>
    <row r="215" spans="1:53">
      <c r="A215">
        <v>20246</v>
      </c>
      <c r="B215" t="s">
        <v>929</v>
      </c>
      <c r="C215" t="s">
        <v>930</v>
      </c>
      <c r="D215" t="s">
        <v>931</v>
      </c>
      <c r="F215" t="s">
        <v>932</v>
      </c>
      <c r="G215">
        <v>43.033999999999999</v>
      </c>
      <c r="H215" t="s">
        <v>57</v>
      </c>
      <c r="I215">
        <v>2</v>
      </c>
      <c r="J215">
        <v>3</v>
      </c>
      <c r="K215">
        <v>0</v>
      </c>
      <c r="L215">
        <v>15.32</v>
      </c>
      <c r="M215">
        <v>12344</v>
      </c>
      <c r="N215">
        <v>5</v>
      </c>
      <c r="O215">
        <v>1</v>
      </c>
      <c r="P215">
        <v>1</v>
      </c>
      <c r="Q215">
        <v>1</v>
      </c>
      <c r="R215">
        <v>1</v>
      </c>
      <c r="S215">
        <v>3</v>
      </c>
      <c r="T215">
        <v>3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2045463.88</v>
      </c>
      <c r="AM215">
        <v>2074823.88</v>
      </c>
      <c r="AN215">
        <v>856893.25</v>
      </c>
      <c r="AO215">
        <v>1129740.1200000001</v>
      </c>
      <c r="AP215">
        <v>2516030.25</v>
      </c>
      <c r="AQ215">
        <v>2141545</v>
      </c>
      <c r="AR215">
        <v>1195290.8799999999</v>
      </c>
      <c r="AS215">
        <v>1094457.25</v>
      </c>
      <c r="AT215">
        <v>2045463.88</v>
      </c>
      <c r="AU215">
        <v>1601187.75</v>
      </c>
      <c r="AV215">
        <v>661607.75</v>
      </c>
      <c r="AW215">
        <v>1004653.62</v>
      </c>
      <c r="AX215">
        <v>1013144.38</v>
      </c>
      <c r="AY215">
        <v>920611.81</v>
      </c>
      <c r="AZ215">
        <v>640023.93999999994</v>
      </c>
      <c r="BA215">
        <v>859013.25</v>
      </c>
    </row>
    <row r="216" spans="1:53">
      <c r="A216">
        <v>20247</v>
      </c>
      <c r="B216" t="s">
        <v>933</v>
      </c>
      <c r="C216" t="s">
        <v>934</v>
      </c>
      <c r="D216" t="s">
        <v>935</v>
      </c>
      <c r="E216" t="s">
        <v>936</v>
      </c>
      <c r="F216" t="s">
        <v>937</v>
      </c>
      <c r="G216">
        <v>42.841000000000001</v>
      </c>
      <c r="H216" t="s">
        <v>57</v>
      </c>
      <c r="I216">
        <v>2</v>
      </c>
      <c r="J216">
        <v>2</v>
      </c>
      <c r="K216">
        <v>1</v>
      </c>
      <c r="L216">
        <v>5.86</v>
      </c>
      <c r="M216">
        <v>53388</v>
      </c>
      <c r="N216">
        <v>27</v>
      </c>
      <c r="O216">
        <v>2</v>
      </c>
      <c r="P216">
        <v>2</v>
      </c>
      <c r="Q216">
        <v>2</v>
      </c>
      <c r="R216">
        <v>2</v>
      </c>
      <c r="S216">
        <v>3</v>
      </c>
      <c r="T216">
        <v>3</v>
      </c>
      <c r="U216">
        <v>2</v>
      </c>
      <c r="Y216">
        <v>1</v>
      </c>
      <c r="Z216">
        <v>2</v>
      </c>
      <c r="AA216">
        <v>2</v>
      </c>
      <c r="AB216">
        <v>2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3</v>
      </c>
      <c r="AK216">
        <v>1</v>
      </c>
      <c r="AO216">
        <v>188365.98</v>
      </c>
      <c r="AP216">
        <v>1089909</v>
      </c>
      <c r="AQ216">
        <v>1132542</v>
      </c>
      <c r="AR216">
        <v>2067336.38</v>
      </c>
      <c r="AS216">
        <v>1434521.75</v>
      </c>
      <c r="AT216">
        <v>49505.43</v>
      </c>
      <c r="AU216">
        <v>111774.65</v>
      </c>
      <c r="AV216">
        <v>213953.23</v>
      </c>
      <c r="AW216">
        <v>43587.59</v>
      </c>
      <c r="AX216">
        <v>547118.25</v>
      </c>
      <c r="AY216">
        <v>618270.68999999994</v>
      </c>
      <c r="AZ216">
        <v>1246396.1200000001</v>
      </c>
      <c r="BA216">
        <v>801311.44</v>
      </c>
    </row>
    <row r="217" spans="1:53">
      <c r="A217">
        <v>20232</v>
      </c>
      <c r="B217" t="s">
        <v>938</v>
      </c>
      <c r="C217" t="s">
        <v>939</v>
      </c>
      <c r="D217" t="s">
        <v>940</v>
      </c>
      <c r="F217" t="s">
        <v>941</v>
      </c>
      <c r="G217">
        <v>42.106000000000002</v>
      </c>
      <c r="H217" t="s">
        <v>57</v>
      </c>
      <c r="I217">
        <v>2</v>
      </c>
      <c r="J217">
        <v>2</v>
      </c>
      <c r="K217">
        <v>0</v>
      </c>
      <c r="L217">
        <v>5.26</v>
      </c>
      <c r="M217">
        <v>31453</v>
      </c>
      <c r="N217">
        <v>4</v>
      </c>
      <c r="O217">
        <v>1</v>
      </c>
      <c r="P217">
        <v>1</v>
      </c>
      <c r="Q217">
        <v>1</v>
      </c>
      <c r="R217">
        <v>1</v>
      </c>
      <c r="S217">
        <v>52</v>
      </c>
      <c r="T217">
        <v>52</v>
      </c>
      <c r="U217">
        <v>1</v>
      </c>
      <c r="V217">
        <v>1</v>
      </c>
      <c r="W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3</v>
      </c>
      <c r="AE217">
        <v>12</v>
      </c>
      <c r="AF217">
        <v>0</v>
      </c>
      <c r="AG217">
        <v>5</v>
      </c>
      <c r="AH217">
        <v>10</v>
      </c>
      <c r="AI217">
        <v>10</v>
      </c>
      <c r="AJ217">
        <v>7</v>
      </c>
      <c r="AK217">
        <v>5</v>
      </c>
      <c r="AL217">
        <v>4804760.5</v>
      </c>
      <c r="AM217">
        <v>4441485</v>
      </c>
      <c r="AO217">
        <v>1660834.25</v>
      </c>
      <c r="AP217">
        <v>47669564</v>
      </c>
      <c r="AQ217">
        <v>82911136</v>
      </c>
      <c r="AR217">
        <v>18868880</v>
      </c>
      <c r="AS217">
        <v>8920728</v>
      </c>
      <c r="AT217">
        <v>4552840.5</v>
      </c>
      <c r="AU217">
        <v>3472631</v>
      </c>
      <c r="AV217">
        <v>213953.23</v>
      </c>
      <c r="AW217">
        <v>149424.70000000001</v>
      </c>
      <c r="AX217">
        <v>28339168</v>
      </c>
      <c r="AY217">
        <v>51929040</v>
      </c>
      <c r="AZ217">
        <v>15321608</v>
      </c>
      <c r="BA217">
        <v>10264347</v>
      </c>
    </row>
    <row r="218" spans="1:53">
      <c r="A218">
        <v>20130</v>
      </c>
      <c r="B218" t="s">
        <v>942</v>
      </c>
      <c r="C218" t="s">
        <v>943</v>
      </c>
      <c r="D218" t="s">
        <v>944</v>
      </c>
      <c r="F218" t="s">
        <v>945</v>
      </c>
      <c r="G218">
        <v>42.072000000000003</v>
      </c>
      <c r="H218" t="s">
        <v>57</v>
      </c>
      <c r="I218">
        <v>2</v>
      </c>
      <c r="J218">
        <v>20</v>
      </c>
      <c r="K218">
        <v>0</v>
      </c>
      <c r="L218">
        <v>11.43</v>
      </c>
      <c r="M218">
        <v>7870</v>
      </c>
      <c r="N218">
        <v>5</v>
      </c>
      <c r="O218">
        <v>2</v>
      </c>
      <c r="P218">
        <v>2</v>
      </c>
      <c r="Q218">
        <v>2</v>
      </c>
      <c r="R218">
        <v>2</v>
      </c>
      <c r="S218">
        <v>48</v>
      </c>
      <c r="T218">
        <v>48</v>
      </c>
      <c r="U218">
        <v>2</v>
      </c>
      <c r="V218">
        <v>1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5</v>
      </c>
      <c r="AE218">
        <v>7</v>
      </c>
      <c r="AF218">
        <v>5</v>
      </c>
      <c r="AG218">
        <v>6</v>
      </c>
      <c r="AH218">
        <v>6</v>
      </c>
      <c r="AI218">
        <v>7</v>
      </c>
      <c r="AJ218">
        <v>5</v>
      </c>
      <c r="AK218">
        <v>7</v>
      </c>
      <c r="AL218">
        <v>217149040</v>
      </c>
      <c r="AM218">
        <v>337957632</v>
      </c>
      <c r="AN218">
        <v>326916288</v>
      </c>
      <c r="AO218">
        <v>303670368</v>
      </c>
      <c r="AP218">
        <v>643587456</v>
      </c>
      <c r="AQ218">
        <v>537120128</v>
      </c>
      <c r="AR218">
        <v>300166336</v>
      </c>
      <c r="AS218">
        <v>189722640</v>
      </c>
      <c r="AT218">
        <v>404205.47</v>
      </c>
      <c r="AU218">
        <v>203118016</v>
      </c>
      <c r="AV218">
        <v>178726320</v>
      </c>
      <c r="AW218">
        <v>206199232</v>
      </c>
      <c r="AX218">
        <v>365411584</v>
      </c>
      <c r="AY218">
        <v>331960928</v>
      </c>
      <c r="AZ218">
        <v>244291824</v>
      </c>
      <c r="BA218">
        <v>209511760</v>
      </c>
    </row>
    <row r="219" spans="1:53">
      <c r="A219">
        <v>20163</v>
      </c>
      <c r="B219" t="s">
        <v>946</v>
      </c>
      <c r="C219" t="s">
        <v>947</v>
      </c>
      <c r="D219" t="s">
        <v>948</v>
      </c>
      <c r="F219" t="s">
        <v>949</v>
      </c>
      <c r="G219">
        <v>41.253</v>
      </c>
      <c r="H219" t="s">
        <v>57</v>
      </c>
      <c r="I219">
        <v>2</v>
      </c>
      <c r="J219">
        <v>5</v>
      </c>
      <c r="K219">
        <v>0</v>
      </c>
      <c r="L219">
        <v>22.22</v>
      </c>
      <c r="M219">
        <v>5095</v>
      </c>
      <c r="N219">
        <v>3</v>
      </c>
      <c r="O219">
        <v>1</v>
      </c>
      <c r="P219">
        <v>1</v>
      </c>
      <c r="Q219">
        <v>1</v>
      </c>
      <c r="R219">
        <v>1</v>
      </c>
      <c r="S219">
        <v>15</v>
      </c>
      <c r="T219">
        <v>15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1</v>
      </c>
      <c r="AL219">
        <v>12427780</v>
      </c>
      <c r="AM219">
        <v>14872508</v>
      </c>
      <c r="AN219">
        <v>12396366</v>
      </c>
      <c r="AO219">
        <v>13161624</v>
      </c>
      <c r="AP219">
        <v>28863086</v>
      </c>
      <c r="AQ219">
        <v>23108538</v>
      </c>
      <c r="AR219">
        <v>8114743.5</v>
      </c>
      <c r="AS219">
        <v>5546748</v>
      </c>
      <c r="AT219">
        <v>12427780</v>
      </c>
      <c r="AU219">
        <v>11477446</v>
      </c>
      <c r="AV219">
        <v>9571242</v>
      </c>
      <c r="AW219">
        <v>11704349</v>
      </c>
      <c r="AX219">
        <v>11622465</v>
      </c>
      <c r="AY219">
        <v>9933947</v>
      </c>
      <c r="AZ219">
        <v>4345076.5</v>
      </c>
      <c r="BA219">
        <v>4353509.5</v>
      </c>
    </row>
    <row r="220" spans="1:53">
      <c r="A220">
        <v>20230</v>
      </c>
      <c r="B220" t="s">
        <v>950</v>
      </c>
      <c r="C220" t="s">
        <v>951</v>
      </c>
      <c r="D220" t="s">
        <v>952</v>
      </c>
      <c r="F220" t="s">
        <v>953</v>
      </c>
      <c r="G220">
        <v>41.134</v>
      </c>
      <c r="H220" t="s">
        <v>57</v>
      </c>
      <c r="I220">
        <v>2</v>
      </c>
      <c r="J220">
        <v>2</v>
      </c>
      <c r="K220">
        <v>0</v>
      </c>
      <c r="L220">
        <v>8.36</v>
      </c>
      <c r="M220">
        <v>34489</v>
      </c>
      <c r="N220">
        <v>15</v>
      </c>
      <c r="O220">
        <v>2</v>
      </c>
      <c r="P220">
        <v>2</v>
      </c>
      <c r="Q220">
        <v>2</v>
      </c>
      <c r="R220">
        <v>2</v>
      </c>
      <c r="S220">
        <v>3</v>
      </c>
      <c r="T220">
        <v>3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2</v>
      </c>
      <c r="AI220">
        <v>1</v>
      </c>
      <c r="AJ220">
        <v>0</v>
      </c>
      <c r="AK220">
        <v>0</v>
      </c>
      <c r="AL220">
        <v>3552904</v>
      </c>
      <c r="AM220">
        <v>3681324.75</v>
      </c>
      <c r="AN220">
        <v>2526837.25</v>
      </c>
      <c r="AO220">
        <v>1803059.62</v>
      </c>
      <c r="AP220">
        <v>13203108</v>
      </c>
      <c r="AQ220">
        <v>11241371</v>
      </c>
      <c r="AR220">
        <v>2263391.5</v>
      </c>
      <c r="AS220">
        <v>550861.06000000006</v>
      </c>
      <c r="AT220">
        <v>3261313.5</v>
      </c>
      <c r="AU220">
        <v>3149490.5</v>
      </c>
      <c r="AV220">
        <v>2108132.5</v>
      </c>
      <c r="AW220">
        <v>2019445.5</v>
      </c>
      <c r="AX220">
        <v>4749370.5</v>
      </c>
      <c r="AY220">
        <v>4155660.75</v>
      </c>
      <c r="AZ220">
        <v>1357857</v>
      </c>
      <c r="BA220">
        <v>1182725.6200000001</v>
      </c>
    </row>
    <row r="221" spans="1:53">
      <c r="A221">
        <v>20262</v>
      </c>
      <c r="B221" t="s">
        <v>954</v>
      </c>
      <c r="C221" t="s">
        <v>955</v>
      </c>
      <c r="D221" t="s">
        <v>954</v>
      </c>
      <c r="F221" t="s">
        <v>956</v>
      </c>
      <c r="G221">
        <v>41.040999999999997</v>
      </c>
      <c r="H221" t="s">
        <v>57</v>
      </c>
      <c r="I221">
        <v>2</v>
      </c>
      <c r="J221">
        <v>1</v>
      </c>
      <c r="K221">
        <v>0</v>
      </c>
      <c r="L221">
        <v>3.32</v>
      </c>
      <c r="M221">
        <v>92108</v>
      </c>
      <c r="N221">
        <v>49</v>
      </c>
      <c r="O221">
        <v>3</v>
      </c>
      <c r="P221">
        <v>3</v>
      </c>
      <c r="Q221">
        <v>3</v>
      </c>
      <c r="R221">
        <v>3</v>
      </c>
      <c r="S221">
        <v>5</v>
      </c>
      <c r="T221">
        <v>5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3</v>
      </c>
      <c r="AC221">
        <v>3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2</v>
      </c>
      <c r="AJ221">
        <v>1</v>
      </c>
      <c r="AK221">
        <v>0</v>
      </c>
      <c r="AL221">
        <v>1026989.31</v>
      </c>
      <c r="AM221">
        <v>2096546.88</v>
      </c>
      <c r="AN221">
        <v>1234613.75</v>
      </c>
      <c r="AO221">
        <v>1052049.8799999999</v>
      </c>
      <c r="AP221">
        <v>4333877</v>
      </c>
      <c r="AQ221">
        <v>4430238</v>
      </c>
      <c r="AR221">
        <v>2934543.5</v>
      </c>
      <c r="AS221">
        <v>1097343.1200000001</v>
      </c>
      <c r="AT221">
        <v>1270884.25</v>
      </c>
      <c r="AU221">
        <v>1183160</v>
      </c>
      <c r="AV221">
        <v>1128527.5</v>
      </c>
      <c r="AW221">
        <v>1262542.8799999999</v>
      </c>
      <c r="AX221">
        <v>1742012.88</v>
      </c>
      <c r="AY221">
        <v>2048241.5</v>
      </c>
      <c r="AZ221">
        <v>1164193.8799999999</v>
      </c>
      <c r="BA221">
        <v>830333.19</v>
      </c>
    </row>
    <row r="222" spans="1:53">
      <c r="A222">
        <v>20253</v>
      </c>
      <c r="B222" t="s">
        <v>957</v>
      </c>
      <c r="D222" t="s">
        <v>957</v>
      </c>
      <c r="F222" t="s">
        <v>958</v>
      </c>
      <c r="G222">
        <v>40.436999999999998</v>
      </c>
      <c r="H222" t="s">
        <v>57</v>
      </c>
      <c r="I222">
        <v>2</v>
      </c>
      <c r="J222">
        <v>1</v>
      </c>
      <c r="K222">
        <v>0</v>
      </c>
      <c r="L222">
        <v>6.01</v>
      </c>
      <c r="M222">
        <v>18833</v>
      </c>
      <c r="N222">
        <v>8</v>
      </c>
      <c r="O222">
        <v>1</v>
      </c>
      <c r="P222">
        <v>1</v>
      </c>
      <c r="Q222">
        <v>1</v>
      </c>
      <c r="R222">
        <v>1</v>
      </c>
      <c r="S222">
        <v>16</v>
      </c>
      <c r="T222">
        <v>16</v>
      </c>
      <c r="U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2</v>
      </c>
      <c r="AF222">
        <v>3</v>
      </c>
      <c r="AG222">
        <v>2</v>
      </c>
      <c r="AH222">
        <v>2</v>
      </c>
      <c r="AI222">
        <v>2</v>
      </c>
      <c r="AJ222">
        <v>2</v>
      </c>
      <c r="AK222">
        <v>3</v>
      </c>
      <c r="AM222">
        <v>6205286</v>
      </c>
      <c r="AN222">
        <v>7010433</v>
      </c>
      <c r="AO222">
        <v>8077357.5</v>
      </c>
      <c r="AP222">
        <v>8801096</v>
      </c>
      <c r="AQ222">
        <v>10052837</v>
      </c>
      <c r="AR222">
        <v>8753265</v>
      </c>
      <c r="AS222">
        <v>5623334</v>
      </c>
      <c r="AT222">
        <v>49505.43</v>
      </c>
      <c r="AU222">
        <v>4788757</v>
      </c>
      <c r="AV222">
        <v>5412759</v>
      </c>
      <c r="AW222">
        <v>7183020.5</v>
      </c>
      <c r="AX222">
        <v>3543988</v>
      </c>
      <c r="AY222">
        <v>4321534.5</v>
      </c>
      <c r="AZ222">
        <v>4686975.5</v>
      </c>
      <c r="BA222">
        <v>4413620</v>
      </c>
    </row>
    <row r="223" spans="1:53">
      <c r="A223">
        <v>20118</v>
      </c>
      <c r="B223" t="s">
        <v>959</v>
      </c>
      <c r="C223" t="s">
        <v>960</v>
      </c>
      <c r="D223" t="s">
        <v>959</v>
      </c>
      <c r="E223" t="s">
        <v>961</v>
      </c>
      <c r="F223" t="s">
        <v>962</v>
      </c>
      <c r="G223">
        <v>40.112000000000002</v>
      </c>
      <c r="H223" t="s">
        <v>57</v>
      </c>
      <c r="I223">
        <v>2</v>
      </c>
      <c r="J223">
        <v>1</v>
      </c>
      <c r="K223">
        <v>5</v>
      </c>
      <c r="L223">
        <v>3.73</v>
      </c>
      <c r="M223">
        <v>62377</v>
      </c>
      <c r="N223">
        <v>35</v>
      </c>
      <c r="O223">
        <v>2</v>
      </c>
      <c r="P223">
        <v>1</v>
      </c>
      <c r="Q223">
        <v>2</v>
      </c>
      <c r="R223">
        <v>1</v>
      </c>
      <c r="S223">
        <v>2</v>
      </c>
      <c r="T223">
        <v>1</v>
      </c>
      <c r="U223">
        <v>1</v>
      </c>
      <c r="X223">
        <v>1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1412729.75</v>
      </c>
      <c r="AM223">
        <v>983944.56</v>
      </c>
      <c r="AN223">
        <v>18362140</v>
      </c>
      <c r="AO223">
        <v>301820.90999999997</v>
      </c>
      <c r="AR223">
        <v>2300199.5</v>
      </c>
      <c r="AS223">
        <v>401426.22</v>
      </c>
      <c r="AT223">
        <v>49505.43</v>
      </c>
      <c r="AU223">
        <v>111774.65</v>
      </c>
      <c r="AV223">
        <v>1115486.3799999999</v>
      </c>
      <c r="AW223">
        <v>170153.38</v>
      </c>
      <c r="AX223">
        <v>350962.88</v>
      </c>
      <c r="AY223">
        <v>247733</v>
      </c>
      <c r="AZ223">
        <v>199295.7</v>
      </c>
      <c r="BA223">
        <v>212391.23</v>
      </c>
    </row>
    <row r="224" spans="1:53">
      <c r="A224">
        <v>19964</v>
      </c>
      <c r="B224" t="s">
        <v>963</v>
      </c>
      <c r="C224" t="s">
        <v>964</v>
      </c>
      <c r="D224" t="s">
        <v>965</v>
      </c>
      <c r="F224" t="s">
        <v>966</v>
      </c>
      <c r="G224">
        <v>39.292999999999999</v>
      </c>
      <c r="H224" t="s">
        <v>57</v>
      </c>
      <c r="I224">
        <v>2</v>
      </c>
      <c r="J224">
        <v>20</v>
      </c>
      <c r="K224">
        <v>0</v>
      </c>
      <c r="L224">
        <v>11.7</v>
      </c>
      <c r="M224">
        <v>10651</v>
      </c>
      <c r="N224">
        <v>7</v>
      </c>
      <c r="O224">
        <v>1</v>
      </c>
      <c r="P224">
        <v>1</v>
      </c>
      <c r="Q224">
        <v>1</v>
      </c>
      <c r="R224">
        <v>1</v>
      </c>
      <c r="S224">
        <v>6</v>
      </c>
      <c r="T224">
        <v>6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3</v>
      </c>
      <c r="AI224">
        <v>1</v>
      </c>
      <c r="AJ224">
        <v>0</v>
      </c>
      <c r="AK224">
        <v>1</v>
      </c>
      <c r="AL224">
        <v>2128459.5</v>
      </c>
      <c r="AM224">
        <v>3793122.75</v>
      </c>
      <c r="AN224">
        <v>1853220</v>
      </c>
      <c r="AO224">
        <v>2238798.75</v>
      </c>
      <c r="AP224">
        <v>6951765.5</v>
      </c>
      <c r="AQ224">
        <v>5162078</v>
      </c>
      <c r="AR224">
        <v>858621.62</v>
      </c>
      <c r="AS224">
        <v>622064.62</v>
      </c>
      <c r="AT224">
        <v>2993253.5</v>
      </c>
      <c r="AU224">
        <v>4020255.5</v>
      </c>
      <c r="AV224">
        <v>1628845</v>
      </c>
      <c r="AW224">
        <v>2428232.75</v>
      </c>
      <c r="AX224">
        <v>3479522.5</v>
      </c>
      <c r="AY224">
        <v>2802196.25</v>
      </c>
      <c r="AZ224">
        <v>563623.18999999994</v>
      </c>
      <c r="BA224">
        <v>315548</v>
      </c>
    </row>
    <row r="225" spans="1:53">
      <c r="A225">
        <v>20013</v>
      </c>
      <c r="B225" t="s">
        <v>967</v>
      </c>
      <c r="C225" t="s">
        <v>968</v>
      </c>
      <c r="D225" t="s">
        <v>969</v>
      </c>
      <c r="F225" t="s">
        <v>970</v>
      </c>
      <c r="G225">
        <v>37.737000000000002</v>
      </c>
      <c r="H225" t="s">
        <v>57</v>
      </c>
      <c r="I225">
        <v>2</v>
      </c>
      <c r="J225">
        <v>3</v>
      </c>
      <c r="K225">
        <v>0</v>
      </c>
      <c r="L225">
        <v>3.19</v>
      </c>
      <c r="M225">
        <v>129898</v>
      </c>
      <c r="N225">
        <v>76</v>
      </c>
      <c r="O225">
        <v>4</v>
      </c>
      <c r="P225">
        <v>4</v>
      </c>
      <c r="Q225">
        <v>4</v>
      </c>
      <c r="R225">
        <v>4</v>
      </c>
      <c r="S225">
        <v>7</v>
      </c>
      <c r="T225">
        <v>7</v>
      </c>
      <c r="U225">
        <v>4</v>
      </c>
      <c r="V225">
        <v>2</v>
      </c>
      <c r="W225">
        <v>4</v>
      </c>
      <c r="X225">
        <v>3</v>
      </c>
      <c r="Y225">
        <v>3</v>
      </c>
      <c r="Z225">
        <v>4</v>
      </c>
      <c r="AA225">
        <v>4</v>
      </c>
      <c r="AB225">
        <v>4</v>
      </c>
      <c r="AC225">
        <v>4</v>
      </c>
      <c r="AD225">
        <v>0</v>
      </c>
      <c r="AE225">
        <v>0</v>
      </c>
      <c r="AF225">
        <v>0</v>
      </c>
      <c r="AG225">
        <v>0</v>
      </c>
      <c r="AH225">
        <v>2</v>
      </c>
      <c r="AI225">
        <v>4</v>
      </c>
      <c r="AJ225">
        <v>1</v>
      </c>
      <c r="AK225">
        <v>0</v>
      </c>
      <c r="AL225">
        <v>1451553.25</v>
      </c>
      <c r="AM225">
        <v>2010176.75</v>
      </c>
      <c r="AN225">
        <v>1945426.88</v>
      </c>
      <c r="AO225">
        <v>2683614.75</v>
      </c>
      <c r="AP225">
        <v>4492859</v>
      </c>
      <c r="AQ225">
        <v>4196498</v>
      </c>
      <c r="AR225">
        <v>4315399.5</v>
      </c>
      <c r="AS225">
        <v>2238126.5</v>
      </c>
      <c r="AT225">
        <v>591599.81000000006</v>
      </c>
      <c r="AU225">
        <v>1707072.62</v>
      </c>
      <c r="AV225">
        <v>1182411.5</v>
      </c>
      <c r="AW225">
        <v>2040439.75</v>
      </c>
      <c r="AX225">
        <v>2617376.75</v>
      </c>
      <c r="AY225">
        <v>2358226.5</v>
      </c>
      <c r="AZ225">
        <v>1992115.88</v>
      </c>
      <c r="BA225">
        <v>1755740.88</v>
      </c>
    </row>
    <row r="226" spans="1:53">
      <c r="A226">
        <v>20174</v>
      </c>
      <c r="B226" t="s">
        <v>971</v>
      </c>
      <c r="C226" t="s">
        <v>972</v>
      </c>
      <c r="D226" t="s">
        <v>973</v>
      </c>
      <c r="F226" t="s">
        <v>974</v>
      </c>
      <c r="G226">
        <v>37.055999999999997</v>
      </c>
      <c r="H226" t="s">
        <v>57</v>
      </c>
      <c r="I226">
        <v>2</v>
      </c>
      <c r="J226">
        <v>2</v>
      </c>
      <c r="K226">
        <v>0</v>
      </c>
      <c r="L226">
        <v>5.71</v>
      </c>
      <c r="M226">
        <v>31920</v>
      </c>
      <c r="N226">
        <v>16</v>
      </c>
      <c r="O226">
        <v>2</v>
      </c>
      <c r="P226">
        <v>2</v>
      </c>
      <c r="Q226">
        <v>2</v>
      </c>
      <c r="R226">
        <v>2</v>
      </c>
      <c r="S226">
        <v>4</v>
      </c>
      <c r="T226">
        <v>4</v>
      </c>
      <c r="U226">
        <v>2</v>
      </c>
      <c r="V226">
        <v>1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0</v>
      </c>
      <c r="AE226">
        <v>1</v>
      </c>
      <c r="AF226">
        <v>1</v>
      </c>
      <c r="AG226">
        <v>0</v>
      </c>
      <c r="AH226">
        <v>1</v>
      </c>
      <c r="AI226">
        <v>2</v>
      </c>
      <c r="AJ226">
        <v>1</v>
      </c>
      <c r="AK226">
        <v>1</v>
      </c>
      <c r="AL226">
        <v>724467.62</v>
      </c>
      <c r="AM226">
        <v>1251994.75</v>
      </c>
      <c r="AN226">
        <v>2888393.5</v>
      </c>
      <c r="AO226">
        <v>1587203.5</v>
      </c>
      <c r="AP226">
        <v>2871122</v>
      </c>
      <c r="AQ226">
        <v>2765578.5</v>
      </c>
      <c r="AR226">
        <v>2160796</v>
      </c>
      <c r="AS226">
        <v>1597322.75</v>
      </c>
      <c r="AT226">
        <v>33707.910000000003</v>
      </c>
      <c r="AU226">
        <v>1035570.44</v>
      </c>
      <c r="AV226">
        <v>2346023.75</v>
      </c>
      <c r="AW226">
        <v>1505251.5</v>
      </c>
      <c r="AX226">
        <v>1222382.75</v>
      </c>
      <c r="AY226">
        <v>1245820.3799999999</v>
      </c>
      <c r="AZ226">
        <v>1246661.1200000001</v>
      </c>
      <c r="BA226">
        <v>1365444.25</v>
      </c>
    </row>
    <row r="227" spans="1:53">
      <c r="A227">
        <v>20219</v>
      </c>
      <c r="B227" t="s">
        <v>975</v>
      </c>
      <c r="C227" t="s">
        <v>976</v>
      </c>
      <c r="D227" t="s">
        <v>977</v>
      </c>
      <c r="F227" t="s">
        <v>978</v>
      </c>
      <c r="G227">
        <v>36.456000000000003</v>
      </c>
      <c r="H227" t="s">
        <v>57</v>
      </c>
      <c r="I227">
        <v>2</v>
      </c>
      <c r="J227">
        <v>3</v>
      </c>
      <c r="K227">
        <v>0</v>
      </c>
      <c r="L227">
        <v>13.1</v>
      </c>
      <c r="M227">
        <v>17835</v>
      </c>
      <c r="N227">
        <v>7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1</v>
      </c>
      <c r="AA227">
        <v>2</v>
      </c>
      <c r="AB227">
        <v>1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3145849.5</v>
      </c>
      <c r="AM227">
        <v>3803412.5</v>
      </c>
      <c r="AN227">
        <v>1686749.88</v>
      </c>
      <c r="AO227">
        <v>1414765</v>
      </c>
      <c r="AP227">
        <v>2247078.25</v>
      </c>
      <c r="AQ227">
        <v>2918066</v>
      </c>
      <c r="AR227">
        <v>464474.47</v>
      </c>
      <c r="AT227">
        <v>2911038.25</v>
      </c>
      <c r="AU227">
        <v>2820726.25</v>
      </c>
      <c r="AV227">
        <v>1250554.8799999999</v>
      </c>
      <c r="AW227">
        <v>1208603.75</v>
      </c>
      <c r="AX227">
        <v>367057.03</v>
      </c>
      <c r="AY227">
        <v>2249292.25</v>
      </c>
      <c r="AZ227">
        <v>189955.47</v>
      </c>
      <c r="BA227">
        <v>212391.23</v>
      </c>
    </row>
    <row r="228" spans="1:53">
      <c r="A228">
        <v>20197</v>
      </c>
      <c r="B228" t="s">
        <v>979</v>
      </c>
      <c r="C228" t="s">
        <v>980</v>
      </c>
      <c r="D228" t="s">
        <v>981</v>
      </c>
      <c r="F228" t="s">
        <v>982</v>
      </c>
      <c r="G228">
        <v>36.228000000000002</v>
      </c>
      <c r="H228" t="s">
        <v>57</v>
      </c>
      <c r="I228">
        <v>2</v>
      </c>
      <c r="J228">
        <v>2</v>
      </c>
      <c r="K228">
        <v>0</v>
      </c>
      <c r="L228">
        <v>12.64</v>
      </c>
      <c r="M228">
        <v>9196</v>
      </c>
      <c r="N228">
        <v>4</v>
      </c>
      <c r="O228">
        <v>1</v>
      </c>
      <c r="P228">
        <v>1</v>
      </c>
      <c r="Q228">
        <v>1</v>
      </c>
      <c r="R228">
        <v>1</v>
      </c>
      <c r="S228">
        <v>6</v>
      </c>
      <c r="T228">
        <v>6</v>
      </c>
      <c r="U228">
        <v>1</v>
      </c>
      <c r="V228">
        <v>1</v>
      </c>
      <c r="W228">
        <v>1</v>
      </c>
      <c r="Y228">
        <v>1</v>
      </c>
      <c r="Z228">
        <v>1</v>
      </c>
      <c r="AA228">
        <v>1</v>
      </c>
      <c r="AB228">
        <v>1</v>
      </c>
      <c r="AD228">
        <v>1</v>
      </c>
      <c r="AE228">
        <v>1</v>
      </c>
      <c r="AF228">
        <v>0</v>
      </c>
      <c r="AG228">
        <v>1</v>
      </c>
      <c r="AH228">
        <v>1</v>
      </c>
      <c r="AI228">
        <v>1</v>
      </c>
      <c r="AJ228">
        <v>1</v>
      </c>
      <c r="AK228">
        <v>0</v>
      </c>
      <c r="AL228">
        <v>3072654.25</v>
      </c>
      <c r="AM228">
        <v>2897761.25</v>
      </c>
      <c r="AO228">
        <v>1334512.75</v>
      </c>
      <c r="AP228">
        <v>2664925.75</v>
      </c>
      <c r="AQ228">
        <v>2189591</v>
      </c>
      <c r="AR228">
        <v>716104.44</v>
      </c>
      <c r="AT228">
        <v>3072654.25</v>
      </c>
      <c r="AU228">
        <v>2236267</v>
      </c>
      <c r="AV228">
        <v>213953.23</v>
      </c>
      <c r="AW228">
        <v>1186753.5</v>
      </c>
      <c r="AX228">
        <v>1073101</v>
      </c>
      <c r="AY228">
        <v>941265.94</v>
      </c>
      <c r="AZ228">
        <v>383441.38</v>
      </c>
      <c r="BA228">
        <v>212391.23</v>
      </c>
    </row>
    <row r="229" spans="1:53">
      <c r="A229">
        <v>20198</v>
      </c>
      <c r="B229" t="s">
        <v>983</v>
      </c>
      <c r="C229" t="s">
        <v>984</v>
      </c>
      <c r="D229" t="s">
        <v>985</v>
      </c>
      <c r="F229" t="s">
        <v>986</v>
      </c>
      <c r="G229">
        <v>35.463000000000001</v>
      </c>
      <c r="H229" t="s">
        <v>57</v>
      </c>
      <c r="I229">
        <v>2</v>
      </c>
      <c r="J229">
        <v>2</v>
      </c>
      <c r="K229">
        <v>0</v>
      </c>
      <c r="L229">
        <v>4.04</v>
      </c>
      <c r="M229">
        <v>50728</v>
      </c>
      <c r="N229">
        <v>27</v>
      </c>
      <c r="O229">
        <v>2</v>
      </c>
      <c r="P229">
        <v>2</v>
      </c>
      <c r="Q229">
        <v>2</v>
      </c>
      <c r="R229">
        <v>2</v>
      </c>
      <c r="S229">
        <v>3</v>
      </c>
      <c r="T229">
        <v>3</v>
      </c>
      <c r="U229">
        <v>2</v>
      </c>
      <c r="V229">
        <v>1</v>
      </c>
      <c r="W229">
        <v>2</v>
      </c>
      <c r="X229">
        <v>2</v>
      </c>
      <c r="Y229">
        <v>1</v>
      </c>
      <c r="Z229">
        <v>2</v>
      </c>
      <c r="AA229">
        <v>2</v>
      </c>
      <c r="AB229">
        <v>2</v>
      </c>
      <c r="AC229">
        <v>1</v>
      </c>
      <c r="AD229">
        <v>0</v>
      </c>
      <c r="AE229">
        <v>1</v>
      </c>
      <c r="AF229">
        <v>0</v>
      </c>
      <c r="AG229">
        <v>0</v>
      </c>
      <c r="AH229">
        <v>1</v>
      </c>
      <c r="AI229">
        <v>1</v>
      </c>
      <c r="AJ229">
        <v>0</v>
      </c>
      <c r="AK229">
        <v>0</v>
      </c>
      <c r="AL229">
        <v>1091202.1200000001</v>
      </c>
      <c r="AM229">
        <v>2323702.75</v>
      </c>
      <c r="AN229">
        <v>1337736.1200000001</v>
      </c>
      <c r="AO229">
        <v>375317.41</v>
      </c>
      <c r="AP229">
        <v>2867876.25</v>
      </c>
      <c r="AQ229">
        <v>2780810.5</v>
      </c>
      <c r="AR229">
        <v>1113762.5</v>
      </c>
      <c r="AS229">
        <v>467441.22</v>
      </c>
      <c r="AT229">
        <v>29536.81</v>
      </c>
      <c r="AU229">
        <v>1833683.62</v>
      </c>
      <c r="AV229">
        <v>1024638.62</v>
      </c>
      <c r="AW229">
        <v>109027.95</v>
      </c>
      <c r="AX229">
        <v>1525220.5</v>
      </c>
      <c r="AY229">
        <v>1575937.5</v>
      </c>
      <c r="AZ229">
        <v>899576.38</v>
      </c>
      <c r="BA229">
        <v>305674.62</v>
      </c>
    </row>
    <row r="230" spans="1:53">
      <c r="A230">
        <v>20114</v>
      </c>
      <c r="B230" t="s">
        <v>987</v>
      </c>
      <c r="C230" t="s">
        <v>988</v>
      </c>
      <c r="D230" t="s">
        <v>989</v>
      </c>
      <c r="F230" t="s">
        <v>990</v>
      </c>
      <c r="G230">
        <v>34.430999999999997</v>
      </c>
      <c r="H230" t="s">
        <v>57</v>
      </c>
      <c r="I230">
        <v>2</v>
      </c>
      <c r="J230">
        <v>3</v>
      </c>
      <c r="K230">
        <v>0</v>
      </c>
      <c r="L230">
        <v>4.29</v>
      </c>
      <c r="M230">
        <v>70575</v>
      </c>
      <c r="N230">
        <v>40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1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0</v>
      </c>
      <c r="AE230">
        <v>0</v>
      </c>
      <c r="AF230">
        <v>0</v>
      </c>
      <c r="AG230">
        <v>1</v>
      </c>
      <c r="AH230">
        <v>1</v>
      </c>
      <c r="AI230">
        <v>0</v>
      </c>
      <c r="AJ230">
        <v>0</v>
      </c>
      <c r="AK230">
        <v>0</v>
      </c>
      <c r="AL230">
        <v>1499269.25</v>
      </c>
      <c r="AM230">
        <v>1012772.25</v>
      </c>
      <c r="AN230">
        <v>1643135.25</v>
      </c>
      <c r="AO230">
        <v>1298054.75</v>
      </c>
      <c r="AP230">
        <v>2600196.5</v>
      </c>
      <c r="AQ230">
        <v>2131286</v>
      </c>
      <c r="AR230">
        <v>2020291</v>
      </c>
      <c r="AS230">
        <v>1338118.25</v>
      </c>
      <c r="AT230">
        <v>1061922.3799999999</v>
      </c>
      <c r="AU230">
        <v>32791.82</v>
      </c>
      <c r="AV230">
        <v>1438638.5</v>
      </c>
      <c r="AW230">
        <v>1250773.8799999999</v>
      </c>
      <c r="AX230">
        <v>1255164.1200000001</v>
      </c>
      <c r="AY230">
        <v>1087701.3799999999</v>
      </c>
      <c r="AZ230">
        <v>1313554.6200000001</v>
      </c>
      <c r="BA230">
        <v>1228545.6200000001</v>
      </c>
    </row>
    <row r="231" spans="1:53">
      <c r="A231">
        <v>19999</v>
      </c>
      <c r="B231" t="s">
        <v>991</v>
      </c>
      <c r="C231" t="s">
        <v>992</v>
      </c>
      <c r="D231" t="s">
        <v>991</v>
      </c>
      <c r="F231" t="s">
        <v>993</v>
      </c>
      <c r="G231">
        <v>32.756</v>
      </c>
      <c r="H231" t="s">
        <v>57</v>
      </c>
      <c r="I231">
        <v>2</v>
      </c>
      <c r="J231">
        <v>1</v>
      </c>
      <c r="K231">
        <v>0</v>
      </c>
      <c r="L231">
        <v>17.43</v>
      </c>
      <c r="M231">
        <v>33519</v>
      </c>
      <c r="N231">
        <v>22</v>
      </c>
      <c r="O231">
        <v>5</v>
      </c>
      <c r="P231">
        <v>5</v>
      </c>
      <c r="Q231">
        <v>5</v>
      </c>
      <c r="R231">
        <v>5</v>
      </c>
      <c r="S231">
        <v>10</v>
      </c>
      <c r="T231">
        <v>10</v>
      </c>
      <c r="U231">
        <v>5</v>
      </c>
      <c r="V231">
        <v>3</v>
      </c>
      <c r="W231">
        <v>2</v>
      </c>
      <c r="X231">
        <v>5</v>
      </c>
      <c r="Y231">
        <v>5</v>
      </c>
      <c r="Z231">
        <v>5</v>
      </c>
      <c r="AA231">
        <v>5</v>
      </c>
      <c r="AB231">
        <v>5</v>
      </c>
      <c r="AC231">
        <v>4</v>
      </c>
      <c r="AD231">
        <v>0</v>
      </c>
      <c r="AE231">
        <v>0</v>
      </c>
      <c r="AF231">
        <v>0</v>
      </c>
      <c r="AG231">
        <v>2</v>
      </c>
      <c r="AH231">
        <v>3</v>
      </c>
      <c r="AI231">
        <v>3</v>
      </c>
      <c r="AJ231">
        <v>2</v>
      </c>
      <c r="AK231">
        <v>1</v>
      </c>
      <c r="AL231">
        <v>1838443.5</v>
      </c>
      <c r="AM231">
        <v>2210138</v>
      </c>
      <c r="AN231">
        <v>4305208.5</v>
      </c>
      <c r="AO231">
        <v>4014340.75</v>
      </c>
      <c r="AP231">
        <v>5916748.5</v>
      </c>
      <c r="AQ231">
        <v>5216630.5</v>
      </c>
      <c r="AR231">
        <v>4529489</v>
      </c>
      <c r="AS231">
        <v>2845614.75</v>
      </c>
      <c r="AT231">
        <v>1198386.5</v>
      </c>
      <c r="AU231">
        <v>85006.94</v>
      </c>
      <c r="AV231">
        <v>3675861.75</v>
      </c>
      <c r="AW231">
        <v>3897826.75</v>
      </c>
      <c r="AX231">
        <v>2698677.25</v>
      </c>
      <c r="AY231">
        <v>2568095</v>
      </c>
      <c r="AZ231">
        <v>2832813</v>
      </c>
      <c r="BA231">
        <v>2553464.75</v>
      </c>
    </row>
    <row r="232" spans="1:53">
      <c r="A232">
        <v>20110</v>
      </c>
      <c r="B232" t="s">
        <v>994</v>
      </c>
      <c r="C232" t="s">
        <v>995</v>
      </c>
      <c r="D232" t="s">
        <v>996</v>
      </c>
      <c r="F232" t="s">
        <v>997</v>
      </c>
      <c r="G232">
        <v>31.905999999999999</v>
      </c>
      <c r="H232" t="s">
        <v>57</v>
      </c>
      <c r="I232">
        <v>2</v>
      </c>
      <c r="J232">
        <v>20</v>
      </c>
      <c r="K232">
        <v>0</v>
      </c>
      <c r="L232">
        <v>4.55</v>
      </c>
      <c r="M232">
        <v>20845</v>
      </c>
      <c r="N232">
        <v>10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2366811</v>
      </c>
      <c r="AM232">
        <v>2426456.25</v>
      </c>
      <c r="AN232">
        <v>1300366.1200000001</v>
      </c>
      <c r="AO232">
        <v>1131350.3799999999</v>
      </c>
      <c r="AP232">
        <v>4693375</v>
      </c>
      <c r="AQ232">
        <v>3331533.25</v>
      </c>
      <c r="AR232">
        <v>309523.34000000003</v>
      </c>
      <c r="AS232">
        <v>402183.38</v>
      </c>
      <c r="AT232">
        <v>2366811</v>
      </c>
      <c r="AU232">
        <v>1872550.25</v>
      </c>
      <c r="AV232">
        <v>1004013.44</v>
      </c>
      <c r="AW232">
        <v>1006085.56</v>
      </c>
      <c r="AX232">
        <v>1889908.25</v>
      </c>
      <c r="AY232">
        <v>1432166.5</v>
      </c>
      <c r="AZ232">
        <v>165735.67000000001</v>
      </c>
      <c r="BA232">
        <v>315664.09000000003</v>
      </c>
    </row>
    <row r="233" spans="1:53">
      <c r="A233">
        <v>20231</v>
      </c>
      <c r="B233" t="s">
        <v>998</v>
      </c>
      <c r="C233" t="s">
        <v>999</v>
      </c>
      <c r="D233" t="s">
        <v>998</v>
      </c>
      <c r="F233" t="s">
        <v>1000</v>
      </c>
      <c r="G233">
        <v>31.372</v>
      </c>
      <c r="H233" t="s">
        <v>57</v>
      </c>
      <c r="I233">
        <v>2</v>
      </c>
      <c r="J233">
        <v>1</v>
      </c>
      <c r="K233">
        <v>0</v>
      </c>
      <c r="L233">
        <v>1.82</v>
      </c>
      <c r="M233">
        <v>77171</v>
      </c>
      <c r="N233">
        <v>37</v>
      </c>
      <c r="O233">
        <v>1</v>
      </c>
      <c r="P233">
        <v>1</v>
      </c>
      <c r="Q233">
        <v>1</v>
      </c>
      <c r="R233">
        <v>1</v>
      </c>
      <c r="S233">
        <v>2</v>
      </c>
      <c r="T233">
        <v>2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1</v>
      </c>
      <c r="AJ233">
        <v>0</v>
      </c>
      <c r="AK233">
        <v>0</v>
      </c>
      <c r="AL233">
        <v>383999.91</v>
      </c>
      <c r="AM233">
        <v>297950.12</v>
      </c>
      <c r="AN233">
        <v>281108.56</v>
      </c>
      <c r="AO233">
        <v>235504.78</v>
      </c>
      <c r="AP233">
        <v>897037.56</v>
      </c>
      <c r="AQ233">
        <v>687932.38</v>
      </c>
      <c r="AR233">
        <v>497576.22</v>
      </c>
      <c r="AS233">
        <v>524880.18999999994</v>
      </c>
      <c r="AT233">
        <v>383999.91</v>
      </c>
      <c r="AU233">
        <v>229934.73</v>
      </c>
      <c r="AV233">
        <v>217044.09</v>
      </c>
      <c r="AW233">
        <v>209429.34</v>
      </c>
      <c r="AX233">
        <v>361215.28</v>
      </c>
      <c r="AY233">
        <v>295729.78000000003</v>
      </c>
      <c r="AZ233">
        <v>266429.46999999997</v>
      </c>
      <c r="BA233">
        <v>411965.84</v>
      </c>
    </row>
    <row r="234" spans="1:53">
      <c r="A234">
        <v>20050</v>
      </c>
      <c r="B234" t="s">
        <v>1001</v>
      </c>
      <c r="C234" t="s">
        <v>1002</v>
      </c>
      <c r="D234" t="s">
        <v>1001</v>
      </c>
      <c r="F234" t="s">
        <v>1003</v>
      </c>
      <c r="G234">
        <v>31.111999999999998</v>
      </c>
      <c r="H234" t="s">
        <v>57</v>
      </c>
      <c r="I234">
        <v>2</v>
      </c>
      <c r="J234">
        <v>1</v>
      </c>
      <c r="K234">
        <v>0</v>
      </c>
      <c r="L234">
        <v>15.62</v>
      </c>
      <c r="M234">
        <v>11275</v>
      </c>
      <c r="N234">
        <v>9</v>
      </c>
      <c r="O234">
        <v>2</v>
      </c>
      <c r="P234">
        <v>2</v>
      </c>
      <c r="Q234">
        <v>2</v>
      </c>
      <c r="R234">
        <v>2</v>
      </c>
      <c r="S234">
        <v>4</v>
      </c>
      <c r="T234">
        <v>4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2</v>
      </c>
      <c r="AI234">
        <v>1</v>
      </c>
      <c r="AJ234">
        <v>0</v>
      </c>
      <c r="AK234">
        <v>0</v>
      </c>
      <c r="AL234">
        <v>3198891</v>
      </c>
      <c r="AM234">
        <v>2829834.5</v>
      </c>
      <c r="AN234">
        <v>1531474.5</v>
      </c>
      <c r="AO234">
        <v>972706.06</v>
      </c>
      <c r="AP234">
        <v>3738868</v>
      </c>
      <c r="AQ234">
        <v>3228264.75</v>
      </c>
      <c r="AR234">
        <v>444614.03</v>
      </c>
      <c r="AS234">
        <v>778648.88</v>
      </c>
      <c r="AT234">
        <v>3216767</v>
      </c>
      <c r="AU234">
        <v>2207694.5</v>
      </c>
      <c r="AV234">
        <v>1179239.25</v>
      </c>
      <c r="AW234">
        <v>864204.56</v>
      </c>
      <c r="AX234">
        <v>1549289.5</v>
      </c>
      <c r="AY234">
        <v>1430380.25</v>
      </c>
      <c r="AZ234">
        <v>199353.27</v>
      </c>
      <c r="BA234">
        <v>508304.53</v>
      </c>
    </row>
    <row r="235" spans="1:53">
      <c r="A235">
        <v>20178</v>
      </c>
      <c r="B235" t="s">
        <v>1004</v>
      </c>
      <c r="C235" t="s">
        <v>1005</v>
      </c>
      <c r="D235" t="s">
        <v>1006</v>
      </c>
      <c r="F235" t="s">
        <v>1007</v>
      </c>
      <c r="G235">
        <v>29.047000000000001</v>
      </c>
      <c r="H235" t="s">
        <v>57</v>
      </c>
      <c r="I235">
        <v>2</v>
      </c>
      <c r="J235">
        <v>4</v>
      </c>
      <c r="K235">
        <v>0</v>
      </c>
      <c r="L235">
        <v>11.11</v>
      </c>
      <c r="M235">
        <v>9534</v>
      </c>
      <c r="N235">
        <v>5</v>
      </c>
      <c r="O235">
        <v>1</v>
      </c>
      <c r="P235">
        <v>1</v>
      </c>
      <c r="Q235">
        <v>1</v>
      </c>
      <c r="R235">
        <v>1</v>
      </c>
      <c r="S235">
        <v>5</v>
      </c>
      <c r="T235">
        <v>5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0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1</v>
      </c>
      <c r="AK235">
        <v>1</v>
      </c>
      <c r="AL235">
        <v>13407456</v>
      </c>
      <c r="AM235">
        <v>15031639</v>
      </c>
      <c r="AN235">
        <v>12370920</v>
      </c>
      <c r="AO235">
        <v>11764259</v>
      </c>
      <c r="AP235">
        <v>11511207</v>
      </c>
      <c r="AQ235">
        <v>12702113</v>
      </c>
      <c r="AR235">
        <v>5609386.5</v>
      </c>
      <c r="AS235">
        <v>5052131</v>
      </c>
      <c r="AT235">
        <v>13407456</v>
      </c>
      <c r="AU235">
        <v>11600250</v>
      </c>
      <c r="AV235">
        <v>9551594</v>
      </c>
      <c r="AW235">
        <v>10461703</v>
      </c>
      <c r="AX235">
        <v>4635284</v>
      </c>
      <c r="AY235">
        <v>5460411</v>
      </c>
      <c r="AZ235">
        <v>3003571.5</v>
      </c>
      <c r="BA235">
        <v>3965296.5</v>
      </c>
    </row>
    <row r="236" spans="1:53">
      <c r="A236">
        <v>19991</v>
      </c>
      <c r="B236" t="s">
        <v>1008</v>
      </c>
      <c r="C236" t="s">
        <v>1009</v>
      </c>
      <c r="D236" t="s">
        <v>1010</v>
      </c>
      <c r="F236" t="s">
        <v>1011</v>
      </c>
      <c r="G236">
        <v>28.831</v>
      </c>
      <c r="H236" t="s">
        <v>57</v>
      </c>
      <c r="I236">
        <v>2</v>
      </c>
      <c r="J236">
        <v>3</v>
      </c>
      <c r="K236">
        <v>0</v>
      </c>
      <c r="L236">
        <v>2.44</v>
      </c>
      <c r="M236">
        <v>44175</v>
      </c>
      <c r="N236">
        <v>20</v>
      </c>
      <c r="O236">
        <v>1</v>
      </c>
      <c r="P236">
        <v>1</v>
      </c>
      <c r="Q236">
        <v>1</v>
      </c>
      <c r="R236">
        <v>1</v>
      </c>
      <c r="S236">
        <v>3</v>
      </c>
      <c r="T236">
        <v>3</v>
      </c>
      <c r="U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2</v>
      </c>
      <c r="AI236">
        <v>1</v>
      </c>
      <c r="AJ236">
        <v>0</v>
      </c>
      <c r="AK236">
        <v>0</v>
      </c>
      <c r="AM236">
        <v>1321989</v>
      </c>
      <c r="AN236">
        <v>866650.56</v>
      </c>
      <c r="AO236">
        <v>1004416.81</v>
      </c>
      <c r="AP236">
        <v>4801168</v>
      </c>
      <c r="AQ236">
        <v>4336725</v>
      </c>
      <c r="AR236">
        <v>817794.44</v>
      </c>
      <c r="AS236">
        <v>628867.12</v>
      </c>
      <c r="AT236">
        <v>49505.43</v>
      </c>
      <c r="AU236">
        <v>18935.7</v>
      </c>
      <c r="AV236">
        <v>20085.28</v>
      </c>
      <c r="AW236">
        <v>1752294.25</v>
      </c>
      <c r="AX236">
        <v>4746559</v>
      </c>
      <c r="AY236">
        <v>4302763.5</v>
      </c>
      <c r="AZ236">
        <v>819614.69</v>
      </c>
      <c r="BA236">
        <v>993378.12</v>
      </c>
    </row>
    <row r="237" spans="1:53">
      <c r="A237">
        <v>20011</v>
      </c>
      <c r="B237" t="s">
        <v>1012</v>
      </c>
      <c r="C237" t="s">
        <v>1013</v>
      </c>
      <c r="D237" t="s">
        <v>1014</v>
      </c>
      <c r="F237" t="s">
        <v>1015</v>
      </c>
      <c r="G237">
        <v>28.765999999999998</v>
      </c>
      <c r="H237" t="s">
        <v>57</v>
      </c>
      <c r="I237">
        <v>2</v>
      </c>
      <c r="J237">
        <v>17</v>
      </c>
      <c r="K237">
        <v>0</v>
      </c>
      <c r="L237">
        <v>1.59</v>
      </c>
      <c r="M237">
        <v>84733</v>
      </c>
      <c r="N237">
        <v>42</v>
      </c>
      <c r="O237">
        <v>1</v>
      </c>
      <c r="P237">
        <v>1</v>
      </c>
      <c r="Q237">
        <v>1</v>
      </c>
      <c r="R237">
        <v>1</v>
      </c>
      <c r="S237">
        <v>4</v>
      </c>
      <c r="T237">
        <v>4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2</v>
      </c>
      <c r="AE237">
        <v>0</v>
      </c>
      <c r="AF237">
        <v>0</v>
      </c>
      <c r="AG237">
        <v>1</v>
      </c>
      <c r="AH237">
        <v>1</v>
      </c>
      <c r="AI237">
        <v>0</v>
      </c>
      <c r="AJ237">
        <v>0</v>
      </c>
      <c r="AK237">
        <v>0</v>
      </c>
      <c r="AL237">
        <v>1992414.25</v>
      </c>
      <c r="AM237">
        <v>2095716.12</v>
      </c>
      <c r="AN237">
        <v>1621052.12</v>
      </c>
      <c r="AO237">
        <v>1742896.12</v>
      </c>
      <c r="AP237">
        <v>2848138.75</v>
      </c>
      <c r="AQ237">
        <v>1151350.6200000001</v>
      </c>
      <c r="AR237">
        <v>861125.5</v>
      </c>
      <c r="AS237">
        <v>565190.75</v>
      </c>
      <c r="AT237">
        <v>1992414.25</v>
      </c>
      <c r="AU237">
        <v>1617310.75</v>
      </c>
      <c r="AV237">
        <v>1251615.25</v>
      </c>
      <c r="AW237">
        <v>1549920</v>
      </c>
      <c r="AX237">
        <v>1146876.5</v>
      </c>
      <c r="AY237">
        <v>494945</v>
      </c>
      <c r="AZ237">
        <v>461093.56</v>
      </c>
      <c r="BA237">
        <v>443604.66</v>
      </c>
    </row>
    <row r="238" spans="1:53">
      <c r="A238">
        <v>20055</v>
      </c>
      <c r="B238" t="s">
        <v>1016</v>
      </c>
      <c r="C238" t="s">
        <v>1017</v>
      </c>
      <c r="D238" t="s">
        <v>1018</v>
      </c>
      <c r="F238" t="s">
        <v>1019</v>
      </c>
      <c r="G238">
        <v>28.152000000000001</v>
      </c>
      <c r="H238" t="s">
        <v>57</v>
      </c>
      <c r="I238">
        <v>2</v>
      </c>
      <c r="J238">
        <v>21</v>
      </c>
      <c r="K238">
        <v>0</v>
      </c>
      <c r="L238">
        <v>8.68</v>
      </c>
      <c r="M238">
        <v>34426</v>
      </c>
      <c r="N238">
        <v>20</v>
      </c>
      <c r="O238">
        <v>3</v>
      </c>
      <c r="P238">
        <v>3</v>
      </c>
      <c r="Q238">
        <v>3</v>
      </c>
      <c r="R238">
        <v>3</v>
      </c>
      <c r="S238">
        <v>5</v>
      </c>
      <c r="T238">
        <v>5</v>
      </c>
      <c r="U238">
        <v>3</v>
      </c>
      <c r="V238">
        <v>3</v>
      </c>
      <c r="W238">
        <v>1</v>
      </c>
      <c r="X238">
        <v>2</v>
      </c>
      <c r="Y238">
        <v>1</v>
      </c>
      <c r="Z238">
        <v>2</v>
      </c>
      <c r="AA238">
        <v>1</v>
      </c>
      <c r="AB238">
        <v>1</v>
      </c>
      <c r="AC238">
        <v>2</v>
      </c>
      <c r="AD238">
        <v>3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4216751</v>
      </c>
      <c r="AM238">
        <v>1172378.1200000001</v>
      </c>
      <c r="AN238">
        <v>2125773.5</v>
      </c>
      <c r="AO238">
        <v>1458639.12</v>
      </c>
      <c r="AP238">
        <v>2321420.25</v>
      </c>
      <c r="AQ238">
        <v>1803905.38</v>
      </c>
      <c r="AR238">
        <v>1561415.38</v>
      </c>
      <c r="AS238">
        <v>1984116</v>
      </c>
      <c r="AT238">
        <v>10197287</v>
      </c>
      <c r="AU238">
        <v>30068.39</v>
      </c>
      <c r="AV238">
        <v>592772.25</v>
      </c>
      <c r="AW238">
        <v>61418.67</v>
      </c>
      <c r="AX238">
        <v>553633.18999999994</v>
      </c>
      <c r="AY238">
        <v>51308.77</v>
      </c>
      <c r="AZ238">
        <v>59252.14</v>
      </c>
      <c r="BA238">
        <v>1392579.12</v>
      </c>
    </row>
    <row r="239" spans="1:53">
      <c r="A239">
        <v>20175</v>
      </c>
      <c r="B239" t="s">
        <v>1020</v>
      </c>
      <c r="C239" t="s">
        <v>1021</v>
      </c>
      <c r="D239" t="s">
        <v>1022</v>
      </c>
      <c r="F239" t="s">
        <v>1023</v>
      </c>
      <c r="G239">
        <v>27.95</v>
      </c>
      <c r="H239" t="s">
        <v>57</v>
      </c>
      <c r="I239">
        <v>2</v>
      </c>
      <c r="J239">
        <v>3</v>
      </c>
      <c r="K239">
        <v>0</v>
      </c>
      <c r="L239">
        <v>12.99</v>
      </c>
      <c r="M239">
        <v>8799</v>
      </c>
      <c r="N239">
        <v>6</v>
      </c>
      <c r="O239">
        <v>1</v>
      </c>
      <c r="P239">
        <v>1</v>
      </c>
      <c r="Q239">
        <v>1</v>
      </c>
      <c r="R239">
        <v>1</v>
      </c>
      <c r="S239">
        <v>2</v>
      </c>
      <c r="T239">
        <v>2</v>
      </c>
      <c r="U239">
        <v>1</v>
      </c>
      <c r="Z239">
        <v>1</v>
      </c>
      <c r="AA239">
        <v>1</v>
      </c>
      <c r="AB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P239">
        <v>2105678.75</v>
      </c>
      <c r="AQ239">
        <v>1225045.6200000001</v>
      </c>
      <c r="AR239">
        <v>371999.44</v>
      </c>
      <c r="AT239">
        <v>49505.43</v>
      </c>
      <c r="AU239">
        <v>111774.65</v>
      </c>
      <c r="AV239">
        <v>213953.23</v>
      </c>
      <c r="AW239">
        <v>170153.38</v>
      </c>
      <c r="AX239">
        <v>847905.81</v>
      </c>
      <c r="AY239">
        <v>526625.12</v>
      </c>
      <c r="AZ239">
        <v>199188.8</v>
      </c>
      <c r="BA239">
        <v>212391.23</v>
      </c>
    </row>
    <row r="240" spans="1:53">
      <c r="A240">
        <v>20154</v>
      </c>
      <c r="B240" t="s">
        <v>1024</v>
      </c>
      <c r="C240" t="s">
        <v>1025</v>
      </c>
      <c r="D240" t="s">
        <v>1026</v>
      </c>
      <c r="F240" t="s">
        <v>1027</v>
      </c>
      <c r="G240">
        <v>27.631</v>
      </c>
      <c r="H240" t="s">
        <v>57</v>
      </c>
      <c r="I240">
        <v>2</v>
      </c>
      <c r="J240">
        <v>3</v>
      </c>
      <c r="K240">
        <v>0</v>
      </c>
      <c r="L240">
        <v>1.93</v>
      </c>
      <c r="M240">
        <v>52667</v>
      </c>
      <c r="N240">
        <v>26</v>
      </c>
      <c r="O240">
        <v>1</v>
      </c>
      <c r="P240">
        <v>1</v>
      </c>
      <c r="Q240">
        <v>1</v>
      </c>
      <c r="R240">
        <v>1</v>
      </c>
      <c r="S240">
        <v>4</v>
      </c>
      <c r="T240">
        <v>4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0</v>
      </c>
      <c r="AE240">
        <v>1</v>
      </c>
      <c r="AF240">
        <v>0</v>
      </c>
      <c r="AG240">
        <v>1</v>
      </c>
      <c r="AH240">
        <v>1</v>
      </c>
      <c r="AI240">
        <v>1</v>
      </c>
      <c r="AJ240">
        <v>0</v>
      </c>
      <c r="AK240">
        <v>0</v>
      </c>
      <c r="AL240">
        <v>6047424.5</v>
      </c>
      <c r="AM240">
        <v>5325212</v>
      </c>
      <c r="AN240">
        <v>3257361.25</v>
      </c>
      <c r="AO240">
        <v>2742983</v>
      </c>
      <c r="AP240">
        <v>6657420.5</v>
      </c>
      <c r="AQ240">
        <v>5402382</v>
      </c>
      <c r="AR240">
        <v>1121118</v>
      </c>
      <c r="AS240">
        <v>1057862.8799999999</v>
      </c>
      <c r="AT240">
        <v>6047424.5</v>
      </c>
      <c r="AU240">
        <v>4109584.5</v>
      </c>
      <c r="AV240">
        <v>2515010.5</v>
      </c>
      <c r="AW240">
        <v>2439275.75</v>
      </c>
      <c r="AX240">
        <v>2680781.75</v>
      </c>
      <c r="AY240">
        <v>2322387.25</v>
      </c>
      <c r="AZ240">
        <v>600307.75</v>
      </c>
      <c r="BA240">
        <v>830291.19</v>
      </c>
    </row>
    <row r="241" spans="1:53">
      <c r="A241">
        <v>20166</v>
      </c>
      <c r="B241" t="s">
        <v>1028</v>
      </c>
      <c r="C241" t="s">
        <v>1029</v>
      </c>
      <c r="D241" t="s">
        <v>1028</v>
      </c>
      <c r="F241" t="s">
        <v>1030</v>
      </c>
      <c r="G241">
        <v>26.788</v>
      </c>
      <c r="H241" t="s">
        <v>57</v>
      </c>
      <c r="I241">
        <v>2</v>
      </c>
      <c r="J241">
        <v>1</v>
      </c>
      <c r="K241">
        <v>0</v>
      </c>
      <c r="L241">
        <v>17.579999999999998</v>
      </c>
      <c r="M241">
        <v>9895</v>
      </c>
      <c r="N241">
        <v>5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W241">
        <v>1</v>
      </c>
      <c r="Y241">
        <v>1</v>
      </c>
      <c r="Z241">
        <v>1</v>
      </c>
      <c r="AA241">
        <v>1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416794.56</v>
      </c>
      <c r="AO241">
        <v>167350.19</v>
      </c>
      <c r="AP241">
        <v>665829.75</v>
      </c>
      <c r="AQ241">
        <v>482016.59</v>
      </c>
      <c r="AT241">
        <v>49505.43</v>
      </c>
      <c r="AU241">
        <v>321649.65999999997</v>
      </c>
      <c r="AV241">
        <v>213953.23</v>
      </c>
      <c r="AW241">
        <v>148820.92000000001</v>
      </c>
      <c r="AX241">
        <v>268113.5</v>
      </c>
      <c r="AY241">
        <v>207210.3</v>
      </c>
      <c r="AZ241">
        <v>199295.7</v>
      </c>
      <c r="BA241">
        <v>212391.23</v>
      </c>
    </row>
    <row r="242" spans="1:53">
      <c r="A242">
        <v>20123</v>
      </c>
      <c r="B242" t="s">
        <v>1031</v>
      </c>
      <c r="C242" t="s">
        <v>1032</v>
      </c>
      <c r="D242" t="s">
        <v>1033</v>
      </c>
      <c r="F242" t="s">
        <v>1034</v>
      </c>
      <c r="G242">
        <v>26.553000000000001</v>
      </c>
      <c r="H242" t="s">
        <v>57</v>
      </c>
      <c r="I242">
        <v>2</v>
      </c>
      <c r="J242">
        <v>2</v>
      </c>
      <c r="K242">
        <v>0</v>
      </c>
      <c r="L242">
        <v>2.84</v>
      </c>
      <c r="M242">
        <v>35592</v>
      </c>
      <c r="N242">
        <v>18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3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0</v>
      </c>
      <c r="AG242">
        <v>1</v>
      </c>
      <c r="AH242">
        <v>1</v>
      </c>
      <c r="AI242">
        <v>1</v>
      </c>
      <c r="AJ242">
        <v>0</v>
      </c>
      <c r="AK242">
        <v>0</v>
      </c>
      <c r="AL242">
        <v>2105478.5</v>
      </c>
      <c r="AM242">
        <v>1801557.88</v>
      </c>
      <c r="AN242">
        <v>769545.25</v>
      </c>
      <c r="AO242">
        <v>791518.25</v>
      </c>
      <c r="AP242">
        <v>4192730.5</v>
      </c>
      <c r="AQ242">
        <v>3120396.5</v>
      </c>
      <c r="AR242">
        <v>475785.97</v>
      </c>
      <c r="AS242">
        <v>352208.81</v>
      </c>
      <c r="AT242">
        <v>2105478.5</v>
      </c>
      <c r="AU242">
        <v>1390302.38</v>
      </c>
      <c r="AV242">
        <v>594166.31000000006</v>
      </c>
      <c r="AW242">
        <v>703880.19</v>
      </c>
      <c r="AX242">
        <v>1688310.88</v>
      </c>
      <c r="AY242">
        <v>1341402.5</v>
      </c>
      <c r="AZ242">
        <v>254761.77</v>
      </c>
      <c r="BA242">
        <v>276440.25</v>
      </c>
    </row>
    <row r="243" spans="1:53">
      <c r="A243">
        <v>20008</v>
      </c>
      <c r="B243" t="s">
        <v>1035</v>
      </c>
      <c r="C243" t="s">
        <v>1036</v>
      </c>
      <c r="D243" t="s">
        <v>1035</v>
      </c>
      <c r="F243" t="s">
        <v>1037</v>
      </c>
      <c r="G243">
        <v>25.937999999999999</v>
      </c>
      <c r="H243" t="s">
        <v>57</v>
      </c>
      <c r="I243">
        <v>2</v>
      </c>
      <c r="J243">
        <v>1</v>
      </c>
      <c r="K243">
        <v>0</v>
      </c>
      <c r="L243">
        <v>3.23</v>
      </c>
      <c r="M243">
        <v>51569</v>
      </c>
      <c r="N243">
        <v>29</v>
      </c>
      <c r="O243">
        <v>2</v>
      </c>
      <c r="P243">
        <v>2</v>
      </c>
      <c r="Q243">
        <v>2</v>
      </c>
      <c r="R243">
        <v>2</v>
      </c>
      <c r="S243">
        <v>8</v>
      </c>
      <c r="T243">
        <v>8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3</v>
      </c>
      <c r="AG243">
        <v>2</v>
      </c>
      <c r="AH243">
        <v>0</v>
      </c>
      <c r="AI243">
        <v>0</v>
      </c>
      <c r="AJ243">
        <v>0</v>
      </c>
      <c r="AK243">
        <v>1</v>
      </c>
      <c r="AL243">
        <v>5738199</v>
      </c>
      <c r="AM243">
        <v>7174905.5</v>
      </c>
      <c r="AN243">
        <v>7008172</v>
      </c>
      <c r="AO243">
        <v>8526352</v>
      </c>
      <c r="AP243">
        <v>3106448.25</v>
      </c>
      <c r="AQ243">
        <v>3227564</v>
      </c>
      <c r="AR243">
        <v>5589221.5</v>
      </c>
      <c r="AS243">
        <v>4361677.5</v>
      </c>
      <c r="AT243">
        <v>5010065.5</v>
      </c>
      <c r="AU243">
        <v>6755579.5</v>
      </c>
      <c r="AV243">
        <v>6610559</v>
      </c>
      <c r="AW243">
        <v>9032479</v>
      </c>
      <c r="AX243">
        <v>831975.19</v>
      </c>
      <c r="AY243">
        <v>922671.62</v>
      </c>
      <c r="AZ243">
        <v>1987018.12</v>
      </c>
      <c r="BA243">
        <v>2273173.25</v>
      </c>
    </row>
    <row r="244" spans="1:53">
      <c r="A244">
        <v>20079</v>
      </c>
      <c r="B244" t="s">
        <v>1038</v>
      </c>
      <c r="C244" t="s">
        <v>1039</v>
      </c>
      <c r="D244" t="s">
        <v>1040</v>
      </c>
      <c r="F244" t="s">
        <v>1041</v>
      </c>
      <c r="G244">
        <v>25.905000000000001</v>
      </c>
      <c r="H244" t="s">
        <v>57</v>
      </c>
      <c r="I244">
        <v>2</v>
      </c>
      <c r="J244">
        <v>2</v>
      </c>
      <c r="K244">
        <v>0</v>
      </c>
      <c r="L244">
        <v>19.12</v>
      </c>
      <c r="M244">
        <v>8274</v>
      </c>
      <c r="N244">
        <v>5</v>
      </c>
      <c r="O244">
        <v>1</v>
      </c>
      <c r="P244">
        <v>1</v>
      </c>
      <c r="Q244">
        <v>1</v>
      </c>
      <c r="R244">
        <v>1</v>
      </c>
      <c r="S244">
        <v>2</v>
      </c>
      <c r="T244">
        <v>2</v>
      </c>
      <c r="U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C244">
        <v>1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M244">
        <v>2716549.75</v>
      </c>
      <c r="AN244">
        <v>646120.06000000006</v>
      </c>
      <c r="AO244">
        <v>1020944.81</v>
      </c>
      <c r="AP244">
        <v>4000988.25</v>
      </c>
      <c r="AQ244">
        <v>1690561.38</v>
      </c>
      <c r="AS244">
        <v>695304.38</v>
      </c>
      <c r="AT244">
        <v>49505.43</v>
      </c>
      <c r="AU244">
        <v>2096422</v>
      </c>
      <c r="AV244">
        <v>498869.66</v>
      </c>
      <c r="AW244">
        <v>907904.31</v>
      </c>
      <c r="AX244">
        <v>1611100.88</v>
      </c>
      <c r="AY244">
        <v>726742.06</v>
      </c>
      <c r="AZ244">
        <v>199295.7</v>
      </c>
      <c r="BA244">
        <v>545727.75</v>
      </c>
    </row>
    <row r="245" spans="1:53">
      <c r="A245">
        <v>20005</v>
      </c>
      <c r="B245" t="s">
        <v>1042</v>
      </c>
      <c r="C245" t="s">
        <v>1043</v>
      </c>
      <c r="D245" t="s">
        <v>1044</v>
      </c>
      <c r="F245" t="s">
        <v>1045</v>
      </c>
      <c r="G245">
        <v>25.882000000000001</v>
      </c>
      <c r="H245" t="s">
        <v>57</v>
      </c>
      <c r="I245">
        <v>2</v>
      </c>
      <c r="J245">
        <v>18</v>
      </c>
      <c r="K245">
        <v>0</v>
      </c>
      <c r="L245">
        <v>9.81</v>
      </c>
      <c r="M245">
        <v>23585</v>
      </c>
      <c r="N245">
        <v>16</v>
      </c>
      <c r="O245">
        <v>2</v>
      </c>
      <c r="P245">
        <v>2</v>
      </c>
      <c r="Q245">
        <v>2</v>
      </c>
      <c r="R245">
        <v>2</v>
      </c>
      <c r="S245">
        <v>4</v>
      </c>
      <c r="T245">
        <v>4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D245">
        <v>2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0</v>
      </c>
      <c r="AK245">
        <v>0</v>
      </c>
      <c r="AL245">
        <v>3990656.5</v>
      </c>
      <c r="AM245">
        <v>4623904</v>
      </c>
      <c r="AN245">
        <v>2261336.25</v>
      </c>
      <c r="AO245">
        <v>1667218.38</v>
      </c>
      <c r="AP245">
        <v>4366448</v>
      </c>
      <c r="AQ245">
        <v>3757024.5</v>
      </c>
      <c r="AR245">
        <v>979379.12</v>
      </c>
      <c r="AT245">
        <v>3943387</v>
      </c>
      <c r="AU245">
        <v>3585143.25</v>
      </c>
      <c r="AV245">
        <v>1666434.38</v>
      </c>
      <c r="AW245">
        <v>1332278.6200000001</v>
      </c>
      <c r="AX245">
        <v>1878705</v>
      </c>
      <c r="AY245">
        <v>1697932.5</v>
      </c>
      <c r="AZ245">
        <v>536350.68999999994</v>
      </c>
      <c r="BA245">
        <v>212391.23</v>
      </c>
    </row>
    <row r="246" spans="1:53">
      <c r="A246">
        <v>20043</v>
      </c>
      <c r="B246" t="s">
        <v>1046</v>
      </c>
      <c r="C246" t="s">
        <v>1047</v>
      </c>
      <c r="D246" t="s">
        <v>1048</v>
      </c>
      <c r="F246" t="s">
        <v>1049</v>
      </c>
      <c r="G246">
        <v>24.864999999999998</v>
      </c>
      <c r="H246" t="s">
        <v>57</v>
      </c>
      <c r="I246">
        <v>2</v>
      </c>
      <c r="J246">
        <v>20</v>
      </c>
      <c r="K246">
        <v>0</v>
      </c>
      <c r="L246">
        <v>6.83</v>
      </c>
      <c r="M246">
        <v>17360</v>
      </c>
      <c r="N246">
        <v>6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0</v>
      </c>
      <c r="AL246">
        <v>1202181.5</v>
      </c>
      <c r="AM246">
        <v>1233203.3799999999</v>
      </c>
      <c r="AN246">
        <v>959560.44</v>
      </c>
      <c r="AO246">
        <v>955861.56</v>
      </c>
      <c r="AP246">
        <v>3346981</v>
      </c>
      <c r="AQ246">
        <v>4026808.75</v>
      </c>
      <c r="AR246">
        <v>1653191</v>
      </c>
      <c r="AS246">
        <v>1097751.8799999999</v>
      </c>
      <c r="AT246">
        <v>1202181.5</v>
      </c>
      <c r="AU246">
        <v>951690.5</v>
      </c>
      <c r="AV246">
        <v>740877.19</v>
      </c>
      <c r="AW246">
        <v>850027.12</v>
      </c>
      <c r="AX246">
        <v>1347748.12</v>
      </c>
      <c r="AY246">
        <v>1731053</v>
      </c>
      <c r="AZ246">
        <v>885208.62</v>
      </c>
      <c r="BA246">
        <v>861599.12</v>
      </c>
    </row>
    <row r="247" spans="1:53">
      <c r="A247">
        <v>20000</v>
      </c>
      <c r="B247" t="s">
        <v>1050</v>
      </c>
      <c r="C247" t="s">
        <v>1051</v>
      </c>
      <c r="D247" t="s">
        <v>1052</v>
      </c>
      <c r="F247" t="s">
        <v>1053</v>
      </c>
      <c r="G247">
        <v>24.783999999999999</v>
      </c>
      <c r="H247" t="s">
        <v>57</v>
      </c>
      <c r="I247">
        <v>2</v>
      </c>
      <c r="J247">
        <v>16</v>
      </c>
      <c r="K247">
        <v>0</v>
      </c>
      <c r="L247">
        <v>6.98</v>
      </c>
      <c r="M247">
        <v>13841</v>
      </c>
      <c r="N247">
        <v>3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6198599</v>
      </c>
      <c r="AM247">
        <v>6571498</v>
      </c>
      <c r="AN247">
        <v>2757059.5</v>
      </c>
      <c r="AO247">
        <v>2634763.25</v>
      </c>
      <c r="AP247">
        <v>5535033</v>
      </c>
      <c r="AQ247">
        <v>4931830</v>
      </c>
      <c r="AR247">
        <v>922871.69</v>
      </c>
      <c r="AS247">
        <v>863691.75</v>
      </c>
      <c r="AT247">
        <v>6272002</v>
      </c>
      <c r="AU247">
        <v>5127427</v>
      </c>
      <c r="AV247">
        <v>1857733.12</v>
      </c>
      <c r="AW247">
        <v>2222081.75</v>
      </c>
      <c r="AX247">
        <v>2422020.5</v>
      </c>
      <c r="AY247">
        <v>2297798.75</v>
      </c>
      <c r="AZ247">
        <v>423816.81</v>
      </c>
      <c r="BA247">
        <v>580829.38</v>
      </c>
    </row>
    <row r="248" spans="1:53">
      <c r="A248">
        <v>20066</v>
      </c>
      <c r="B248" t="s">
        <v>1054</v>
      </c>
      <c r="C248" t="s">
        <v>1055</v>
      </c>
      <c r="D248" t="s">
        <v>1056</v>
      </c>
      <c r="F248" t="s">
        <v>1057</v>
      </c>
      <c r="G248">
        <v>24.359000000000002</v>
      </c>
      <c r="H248" t="s">
        <v>57</v>
      </c>
      <c r="I248">
        <v>2</v>
      </c>
      <c r="J248">
        <v>21</v>
      </c>
      <c r="K248">
        <v>0</v>
      </c>
      <c r="L248">
        <v>8.2899999999999991</v>
      </c>
      <c r="M248">
        <v>23353</v>
      </c>
      <c r="N248">
        <v>13</v>
      </c>
      <c r="O248">
        <v>2</v>
      </c>
      <c r="P248">
        <v>2</v>
      </c>
      <c r="Q248">
        <v>2</v>
      </c>
      <c r="R248">
        <v>2</v>
      </c>
      <c r="S248">
        <v>8</v>
      </c>
      <c r="T248">
        <v>8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1</v>
      </c>
      <c r="AE248">
        <v>1</v>
      </c>
      <c r="AF248">
        <v>1</v>
      </c>
      <c r="AG248">
        <v>2</v>
      </c>
      <c r="AH248">
        <v>1</v>
      </c>
      <c r="AI248">
        <v>1</v>
      </c>
      <c r="AJ248">
        <v>1</v>
      </c>
      <c r="AK248">
        <v>1</v>
      </c>
      <c r="AL248">
        <v>1580999.25</v>
      </c>
      <c r="AM248">
        <v>2521375.75</v>
      </c>
      <c r="AN248">
        <v>3335820</v>
      </c>
      <c r="AO248">
        <v>3073529.25</v>
      </c>
      <c r="AP248">
        <v>2915623.75</v>
      </c>
      <c r="AQ248">
        <v>3097467.5</v>
      </c>
      <c r="AR248">
        <v>2448791</v>
      </c>
      <c r="AS248">
        <v>1586848.88</v>
      </c>
      <c r="AT248">
        <v>1636641.38</v>
      </c>
      <c r="AU248">
        <v>2077298.62</v>
      </c>
      <c r="AV248">
        <v>2678955.25</v>
      </c>
      <c r="AW248">
        <v>2810078.75</v>
      </c>
      <c r="AX248">
        <v>1240549</v>
      </c>
      <c r="AY248">
        <v>1311718.5</v>
      </c>
      <c r="AZ248">
        <v>1076542.1200000001</v>
      </c>
      <c r="BA248">
        <v>1061908.75</v>
      </c>
    </row>
    <row r="249" spans="1:53">
      <c r="A249">
        <v>20023</v>
      </c>
      <c r="B249" t="s">
        <v>1058</v>
      </c>
      <c r="C249" t="s">
        <v>1059</v>
      </c>
      <c r="D249" t="s">
        <v>1060</v>
      </c>
      <c r="F249" t="s">
        <v>1061</v>
      </c>
      <c r="G249">
        <v>23.872</v>
      </c>
      <c r="H249" t="s">
        <v>57</v>
      </c>
      <c r="I249">
        <v>2</v>
      </c>
      <c r="J249">
        <v>18</v>
      </c>
      <c r="K249">
        <v>0</v>
      </c>
      <c r="L249">
        <v>10.77</v>
      </c>
      <c r="M249">
        <v>7302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18</v>
      </c>
      <c r="T249">
        <v>18</v>
      </c>
      <c r="U249">
        <v>1</v>
      </c>
      <c r="W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0</v>
      </c>
      <c r="AE249">
        <v>7</v>
      </c>
      <c r="AF249">
        <v>0</v>
      </c>
      <c r="AG249">
        <v>5</v>
      </c>
      <c r="AH249">
        <v>3</v>
      </c>
      <c r="AI249">
        <v>2</v>
      </c>
      <c r="AJ249">
        <v>1</v>
      </c>
      <c r="AK249">
        <v>0</v>
      </c>
      <c r="AM249">
        <v>1638386.38</v>
      </c>
      <c r="AO249">
        <v>639140.88</v>
      </c>
      <c r="AP249">
        <v>3509066.25</v>
      </c>
      <c r="AQ249">
        <v>792093.56</v>
      </c>
      <c r="AR249">
        <v>444753.72</v>
      </c>
      <c r="AS249">
        <v>204744.28</v>
      </c>
      <c r="AT249">
        <v>49505.43</v>
      </c>
      <c r="AU249">
        <v>1264379.25</v>
      </c>
      <c r="AV249">
        <v>213953.23</v>
      </c>
      <c r="AW249">
        <v>568374.25</v>
      </c>
      <c r="AX249">
        <v>1413015.88</v>
      </c>
      <c r="AY249">
        <v>340506.81</v>
      </c>
      <c r="AZ249">
        <v>238145.41</v>
      </c>
      <c r="BA249">
        <v>160698.89000000001</v>
      </c>
    </row>
    <row r="250" spans="1:53">
      <c r="A250">
        <v>20018</v>
      </c>
      <c r="B250" t="s">
        <v>1062</v>
      </c>
      <c r="C250" t="s">
        <v>1063</v>
      </c>
      <c r="D250" t="s">
        <v>1064</v>
      </c>
      <c r="F250" t="s">
        <v>1065</v>
      </c>
      <c r="G250">
        <v>23.780999999999999</v>
      </c>
      <c r="H250" t="s">
        <v>57</v>
      </c>
      <c r="I250">
        <v>2</v>
      </c>
      <c r="J250">
        <v>20</v>
      </c>
      <c r="K250">
        <v>0</v>
      </c>
      <c r="L250">
        <v>10.75</v>
      </c>
      <c r="M250">
        <v>31775</v>
      </c>
      <c r="N250">
        <v>15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1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0</v>
      </c>
      <c r="AL250">
        <v>330937.59000000003</v>
      </c>
      <c r="AM250">
        <v>1532633</v>
      </c>
      <c r="AN250">
        <v>1120213.75</v>
      </c>
      <c r="AO250">
        <v>2220348</v>
      </c>
      <c r="AP250">
        <v>2935195.5</v>
      </c>
      <c r="AQ250">
        <v>3447010</v>
      </c>
      <c r="AR250">
        <v>2469771.5</v>
      </c>
      <c r="AS250">
        <v>1642423</v>
      </c>
      <c r="AT250">
        <v>35632.559999999998</v>
      </c>
      <c r="AU250">
        <v>1108241</v>
      </c>
      <c r="AV250">
        <v>556713.93999999994</v>
      </c>
      <c r="AW250">
        <v>2201858.25</v>
      </c>
      <c r="AX250">
        <v>1267329.8799999999</v>
      </c>
      <c r="AY250">
        <v>1635296.5</v>
      </c>
      <c r="AZ250">
        <v>1468027.5</v>
      </c>
      <c r="BA250">
        <v>1290646.3799999999</v>
      </c>
    </row>
    <row r="251" spans="1:53">
      <c r="A251">
        <v>20254</v>
      </c>
      <c r="B251" t="s">
        <v>1066</v>
      </c>
      <c r="C251" t="s">
        <v>1067</v>
      </c>
      <c r="D251" t="s">
        <v>1066</v>
      </c>
      <c r="F251" t="s">
        <v>1068</v>
      </c>
      <c r="G251">
        <v>23.574999999999999</v>
      </c>
      <c r="H251" t="s">
        <v>57</v>
      </c>
      <c r="I251">
        <v>2</v>
      </c>
      <c r="J251">
        <v>1</v>
      </c>
      <c r="K251">
        <v>0</v>
      </c>
      <c r="L251">
        <v>16.170000000000002</v>
      </c>
      <c r="M251">
        <v>26728</v>
      </c>
      <c r="N251">
        <v>15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2</v>
      </c>
      <c r="W251">
        <v>2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0</v>
      </c>
      <c r="AE251">
        <v>0</v>
      </c>
      <c r="AF251">
        <v>1</v>
      </c>
      <c r="AG251">
        <v>2</v>
      </c>
      <c r="AH251">
        <v>0</v>
      </c>
      <c r="AI251">
        <v>0</v>
      </c>
      <c r="AJ251">
        <v>1</v>
      </c>
      <c r="AK251">
        <v>0</v>
      </c>
      <c r="AL251">
        <v>873485.62</v>
      </c>
      <c r="AM251">
        <v>10148889</v>
      </c>
      <c r="AN251">
        <v>8513755</v>
      </c>
      <c r="AO251">
        <v>8437054</v>
      </c>
      <c r="AP251">
        <v>6573329.5</v>
      </c>
      <c r="AQ251">
        <v>6311722.5</v>
      </c>
      <c r="AR251">
        <v>7915116</v>
      </c>
      <c r="AS251">
        <v>2047684.75</v>
      </c>
      <c r="AT251">
        <v>738643.5</v>
      </c>
      <c r="AU251">
        <v>4183479.75</v>
      </c>
      <c r="AV251">
        <v>5643627</v>
      </c>
      <c r="AW251">
        <v>7983170</v>
      </c>
      <c r="AX251">
        <v>3279078.5</v>
      </c>
      <c r="AY251">
        <v>3129397.75</v>
      </c>
      <c r="AZ251">
        <v>4671538.5</v>
      </c>
      <c r="BA251">
        <v>4231219</v>
      </c>
    </row>
    <row r="252" spans="1:53">
      <c r="A252">
        <v>20259</v>
      </c>
      <c r="B252" t="s">
        <v>1069</v>
      </c>
      <c r="C252" t="s">
        <v>1070</v>
      </c>
      <c r="D252" t="s">
        <v>1069</v>
      </c>
      <c r="F252" t="s">
        <v>1071</v>
      </c>
      <c r="G252">
        <v>23.393999999999998</v>
      </c>
      <c r="H252" t="s">
        <v>57</v>
      </c>
      <c r="I252">
        <v>2</v>
      </c>
      <c r="J252">
        <v>1</v>
      </c>
      <c r="K252">
        <v>0</v>
      </c>
      <c r="L252">
        <v>5.44</v>
      </c>
      <c r="M252">
        <v>32665</v>
      </c>
      <c r="N252">
        <v>15</v>
      </c>
      <c r="O252">
        <v>1</v>
      </c>
      <c r="P252">
        <v>1</v>
      </c>
      <c r="Q252">
        <v>1</v>
      </c>
      <c r="R252">
        <v>1</v>
      </c>
      <c r="S252">
        <v>2</v>
      </c>
      <c r="T252">
        <v>2</v>
      </c>
      <c r="U252">
        <v>1</v>
      </c>
      <c r="V252">
        <v>1</v>
      </c>
      <c r="W252">
        <v>1</v>
      </c>
      <c r="X252">
        <v>1</v>
      </c>
      <c r="Z252">
        <v>1</v>
      </c>
      <c r="AA252">
        <v>1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803542.38</v>
      </c>
      <c r="AM252">
        <v>817248.06</v>
      </c>
      <c r="AN252">
        <v>475592.78</v>
      </c>
      <c r="AP252">
        <v>886768.44</v>
      </c>
      <c r="AQ252">
        <v>689750.31</v>
      </c>
      <c r="AT252">
        <v>803542.38</v>
      </c>
      <c r="AU252">
        <v>630688.5</v>
      </c>
      <c r="AV252">
        <v>367205.47</v>
      </c>
      <c r="AW252">
        <v>170153.38</v>
      </c>
      <c r="AX252">
        <v>357080.16</v>
      </c>
      <c r="AY252">
        <v>296511.28000000003</v>
      </c>
      <c r="AZ252">
        <v>199295.7</v>
      </c>
      <c r="BA252">
        <v>212391.23</v>
      </c>
    </row>
    <row r="253" spans="1:53">
      <c r="A253">
        <v>20267</v>
      </c>
      <c r="B253" t="s">
        <v>1072</v>
      </c>
      <c r="C253" t="s">
        <v>1073</v>
      </c>
      <c r="D253" t="s">
        <v>1072</v>
      </c>
      <c r="F253" t="s">
        <v>1074</v>
      </c>
      <c r="G253">
        <v>23.216000000000001</v>
      </c>
      <c r="H253" t="s">
        <v>57</v>
      </c>
      <c r="I253">
        <v>2</v>
      </c>
      <c r="J253">
        <v>1</v>
      </c>
      <c r="K253">
        <v>0</v>
      </c>
      <c r="L253">
        <v>4.0599999999999996</v>
      </c>
      <c r="M253">
        <v>35048</v>
      </c>
      <c r="N253">
        <v>18</v>
      </c>
      <c r="O253">
        <v>1</v>
      </c>
      <c r="P253">
        <v>1</v>
      </c>
      <c r="Q253">
        <v>1</v>
      </c>
      <c r="R253">
        <v>1</v>
      </c>
      <c r="S253">
        <v>4</v>
      </c>
      <c r="T253">
        <v>4</v>
      </c>
      <c r="U253">
        <v>1</v>
      </c>
      <c r="V253">
        <v>1</v>
      </c>
      <c r="W253">
        <v>1</v>
      </c>
      <c r="X253">
        <v>1</v>
      </c>
      <c r="Y253">
        <v>1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1</v>
      </c>
      <c r="AK253">
        <v>1</v>
      </c>
      <c r="AL253">
        <v>550655.56000000006</v>
      </c>
      <c r="AM253">
        <v>660268.75</v>
      </c>
      <c r="AN253">
        <v>954472.38</v>
      </c>
      <c r="AO253">
        <v>754036.69</v>
      </c>
      <c r="AR253">
        <v>1148887.8799999999</v>
      </c>
      <c r="AS253">
        <v>802136.94</v>
      </c>
      <c r="AT253">
        <v>550655.56000000006</v>
      </c>
      <c r="AU253">
        <v>509544.06</v>
      </c>
      <c r="AV253">
        <v>736948.69</v>
      </c>
      <c r="AW253">
        <v>670548.62</v>
      </c>
      <c r="AX253">
        <v>350962.88</v>
      </c>
      <c r="AY253">
        <v>247733</v>
      </c>
      <c r="AZ253">
        <v>615177.25</v>
      </c>
      <c r="BA253">
        <v>629578</v>
      </c>
    </row>
    <row r="254" spans="1:53">
      <c r="A254">
        <v>20239</v>
      </c>
      <c r="B254" t="s">
        <v>1075</v>
      </c>
      <c r="C254" t="s">
        <v>1076</v>
      </c>
      <c r="D254" t="s">
        <v>1075</v>
      </c>
      <c r="F254" t="s">
        <v>1077</v>
      </c>
      <c r="G254">
        <v>23.111999999999998</v>
      </c>
      <c r="H254" t="s">
        <v>57</v>
      </c>
      <c r="I254">
        <v>2</v>
      </c>
      <c r="J254">
        <v>1</v>
      </c>
      <c r="K254">
        <v>0</v>
      </c>
      <c r="L254">
        <v>8.85</v>
      </c>
      <c r="M254">
        <v>20694</v>
      </c>
      <c r="N254">
        <v>8</v>
      </c>
      <c r="O254">
        <v>1</v>
      </c>
      <c r="P254">
        <v>1</v>
      </c>
      <c r="Q254">
        <v>1</v>
      </c>
      <c r="R254">
        <v>1</v>
      </c>
      <c r="S254">
        <v>5</v>
      </c>
      <c r="T254">
        <v>5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0</v>
      </c>
      <c r="AL254">
        <v>586648.75</v>
      </c>
      <c r="AM254">
        <v>1207246.8799999999</v>
      </c>
      <c r="AN254">
        <v>1639124.88</v>
      </c>
      <c r="AO254">
        <v>1377295.75</v>
      </c>
      <c r="AP254">
        <v>2435824.25</v>
      </c>
      <c r="AQ254">
        <v>1829740.38</v>
      </c>
      <c r="AR254">
        <v>2362187.5</v>
      </c>
      <c r="AS254">
        <v>1587458.12</v>
      </c>
      <c r="AT254">
        <v>586648.75</v>
      </c>
      <c r="AU254">
        <v>931659.31</v>
      </c>
      <c r="AV254">
        <v>1265569.25</v>
      </c>
      <c r="AW254">
        <v>1224799.5</v>
      </c>
      <c r="AX254">
        <v>980847.38</v>
      </c>
      <c r="AY254">
        <v>786572.62</v>
      </c>
      <c r="AZ254">
        <v>1264844</v>
      </c>
      <c r="BA254">
        <v>1245957.75</v>
      </c>
    </row>
    <row r="255" spans="1:53">
      <c r="A255">
        <v>19960</v>
      </c>
      <c r="B255" t="s">
        <v>1078</v>
      </c>
      <c r="C255" t="s">
        <v>1079</v>
      </c>
      <c r="D255" t="s">
        <v>1080</v>
      </c>
      <c r="F255" t="s">
        <v>1081</v>
      </c>
      <c r="G255">
        <v>22.634</v>
      </c>
      <c r="H255" t="s">
        <v>57</v>
      </c>
      <c r="I255">
        <v>2</v>
      </c>
      <c r="J255">
        <v>21</v>
      </c>
      <c r="K255">
        <v>0</v>
      </c>
      <c r="L255">
        <v>8.82</v>
      </c>
      <c r="M255">
        <v>11166</v>
      </c>
      <c r="N255">
        <v>5</v>
      </c>
      <c r="O255">
        <v>1</v>
      </c>
      <c r="P255">
        <v>1</v>
      </c>
      <c r="Q255">
        <v>1</v>
      </c>
      <c r="R255">
        <v>1</v>
      </c>
      <c r="S255">
        <v>6</v>
      </c>
      <c r="T255">
        <v>6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3068567</v>
      </c>
      <c r="AM255">
        <v>2995466.5</v>
      </c>
      <c r="AN255">
        <v>3042658.75</v>
      </c>
      <c r="AO255">
        <v>2370238.25</v>
      </c>
      <c r="AP255">
        <v>3671699.75</v>
      </c>
      <c r="AQ255">
        <v>3781466.5</v>
      </c>
      <c r="AR255">
        <v>1855286.25</v>
      </c>
      <c r="AS255">
        <v>1116662.5</v>
      </c>
      <c r="AT255">
        <v>3068567</v>
      </c>
      <c r="AU255">
        <v>2311668.25</v>
      </c>
      <c r="AV255">
        <v>2349238.5</v>
      </c>
      <c r="AW255">
        <v>2107802</v>
      </c>
      <c r="AX255">
        <v>1478504.5</v>
      </c>
      <c r="AY255">
        <v>1625584.62</v>
      </c>
      <c r="AZ255">
        <v>993421.44</v>
      </c>
      <c r="BA255">
        <v>876441.62</v>
      </c>
    </row>
    <row r="256" spans="1:53">
      <c r="A256">
        <v>20006</v>
      </c>
      <c r="B256" t="s">
        <v>1082</v>
      </c>
      <c r="C256" t="s">
        <v>1083</v>
      </c>
      <c r="D256" t="s">
        <v>1084</v>
      </c>
      <c r="F256" t="s">
        <v>1085</v>
      </c>
      <c r="G256">
        <v>21.991</v>
      </c>
      <c r="H256" t="s">
        <v>57</v>
      </c>
      <c r="I256">
        <v>2</v>
      </c>
      <c r="J256">
        <v>21</v>
      </c>
      <c r="K256">
        <v>0</v>
      </c>
      <c r="L256">
        <v>8.17</v>
      </c>
      <c r="M256">
        <v>34424</v>
      </c>
      <c r="N256">
        <v>16</v>
      </c>
      <c r="O256">
        <v>2</v>
      </c>
      <c r="P256">
        <v>2</v>
      </c>
      <c r="Q256">
        <v>2</v>
      </c>
      <c r="R256">
        <v>2</v>
      </c>
      <c r="S256">
        <v>4</v>
      </c>
      <c r="T256">
        <v>4</v>
      </c>
      <c r="U256">
        <v>2</v>
      </c>
      <c r="V256">
        <v>1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1</v>
      </c>
      <c r="AC256">
        <v>2</v>
      </c>
      <c r="AD256">
        <v>0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1661495.38</v>
      </c>
      <c r="AM256">
        <v>887951.44</v>
      </c>
      <c r="AN256">
        <v>1158410.75</v>
      </c>
      <c r="AO256">
        <v>2118065.5</v>
      </c>
      <c r="AP256">
        <v>2963953</v>
      </c>
      <c r="AQ256">
        <v>3180113.75</v>
      </c>
      <c r="AR256">
        <v>2422437.25</v>
      </c>
      <c r="AS256">
        <v>1326623.8799999999</v>
      </c>
      <c r="AT256">
        <v>107482.04</v>
      </c>
      <c r="AU256">
        <v>899668.69</v>
      </c>
      <c r="AV256">
        <v>1183452.8799999999</v>
      </c>
      <c r="AW256">
        <v>2446205.5</v>
      </c>
      <c r="AX256">
        <v>1129136.3799999999</v>
      </c>
      <c r="AY256">
        <v>1709413.88</v>
      </c>
      <c r="AZ256">
        <v>484238.88</v>
      </c>
      <c r="BA256">
        <v>1971222.62</v>
      </c>
    </row>
    <row r="257" spans="1:53">
      <c r="A257">
        <v>20098</v>
      </c>
      <c r="B257" t="s">
        <v>1086</v>
      </c>
      <c r="C257" t="s">
        <v>1087</v>
      </c>
      <c r="D257" t="s">
        <v>1088</v>
      </c>
      <c r="F257" t="s">
        <v>1089</v>
      </c>
      <c r="G257">
        <v>21.95</v>
      </c>
      <c r="H257" t="s">
        <v>57</v>
      </c>
      <c r="I257">
        <v>2</v>
      </c>
      <c r="J257">
        <v>19</v>
      </c>
      <c r="K257">
        <v>0</v>
      </c>
      <c r="L257">
        <v>3.96</v>
      </c>
      <c r="M257">
        <v>45089</v>
      </c>
      <c r="N257">
        <v>25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948813.25</v>
      </c>
      <c r="AM257">
        <v>986612.69</v>
      </c>
      <c r="AN257">
        <v>750168.31</v>
      </c>
      <c r="AO257">
        <v>580246.18999999994</v>
      </c>
      <c r="AP257">
        <v>1281350.1200000001</v>
      </c>
      <c r="AQ257">
        <v>1520506.25</v>
      </c>
      <c r="AT257">
        <v>948813.25</v>
      </c>
      <c r="AU257">
        <v>761390.94</v>
      </c>
      <c r="AV257">
        <v>579205.38</v>
      </c>
      <c r="AW257">
        <v>516000.47</v>
      </c>
      <c r="AX257">
        <v>515968.66</v>
      </c>
      <c r="AY257">
        <v>653638.38</v>
      </c>
      <c r="AZ257">
        <v>199295.7</v>
      </c>
      <c r="BA257">
        <v>212391.23</v>
      </c>
    </row>
    <row r="258" spans="1:53">
      <c r="A258">
        <v>20212</v>
      </c>
      <c r="B258" t="s">
        <v>1090</v>
      </c>
      <c r="C258" t="s">
        <v>1091</v>
      </c>
      <c r="D258" t="s">
        <v>1092</v>
      </c>
      <c r="F258" t="s">
        <v>1093</v>
      </c>
      <c r="G258">
        <v>21.837</v>
      </c>
      <c r="H258" t="s">
        <v>57</v>
      </c>
      <c r="I258">
        <v>2</v>
      </c>
      <c r="J258">
        <v>2</v>
      </c>
      <c r="K258">
        <v>0</v>
      </c>
      <c r="L258">
        <v>2.72</v>
      </c>
      <c r="M258">
        <v>38711</v>
      </c>
      <c r="N258">
        <v>16</v>
      </c>
      <c r="O258">
        <v>1</v>
      </c>
      <c r="P258">
        <v>1</v>
      </c>
      <c r="Q258">
        <v>1</v>
      </c>
      <c r="R258">
        <v>1</v>
      </c>
      <c r="S258">
        <v>3</v>
      </c>
      <c r="T258">
        <v>3</v>
      </c>
      <c r="U258">
        <v>1</v>
      </c>
      <c r="V258">
        <v>1</v>
      </c>
      <c r="X258">
        <v>1</v>
      </c>
      <c r="Y258">
        <v>1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1735210.62</v>
      </c>
      <c r="AN258">
        <v>1060864.6200000001</v>
      </c>
      <c r="AO258">
        <v>1023064.81</v>
      </c>
      <c r="AT258">
        <v>1735210.62</v>
      </c>
      <c r="AU258">
        <v>111774.65</v>
      </c>
      <c r="AV258">
        <v>819094.19</v>
      </c>
      <c r="AW258">
        <v>909789.56</v>
      </c>
      <c r="AX258">
        <v>350962.88</v>
      </c>
      <c r="AY258">
        <v>247733</v>
      </c>
      <c r="AZ258">
        <v>199295.7</v>
      </c>
      <c r="BA258">
        <v>212391.23</v>
      </c>
    </row>
    <row r="259" spans="1:53">
      <c r="A259">
        <v>20108</v>
      </c>
      <c r="B259" t="s">
        <v>1094</v>
      </c>
      <c r="C259" t="s">
        <v>1095</v>
      </c>
      <c r="D259" t="s">
        <v>1096</v>
      </c>
      <c r="F259" t="s">
        <v>1097</v>
      </c>
      <c r="G259">
        <v>20.366</v>
      </c>
      <c r="H259" t="s">
        <v>57</v>
      </c>
      <c r="I259">
        <v>2</v>
      </c>
      <c r="J259">
        <v>18</v>
      </c>
      <c r="K259">
        <v>0</v>
      </c>
      <c r="L259">
        <v>7.75</v>
      </c>
      <c r="M259">
        <v>16093</v>
      </c>
      <c r="N259">
        <v>9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1054071.75</v>
      </c>
      <c r="AM259">
        <v>1807829.62</v>
      </c>
      <c r="AN259">
        <v>1043451.88</v>
      </c>
      <c r="AO259">
        <v>793438.19</v>
      </c>
      <c r="AP259">
        <v>1081777.1200000001</v>
      </c>
      <c r="AQ259">
        <v>944541.06</v>
      </c>
      <c r="AT259">
        <v>1054071.75</v>
      </c>
      <c r="AU259">
        <v>1395142.38</v>
      </c>
      <c r="AV259">
        <v>805649.75</v>
      </c>
      <c r="AW259">
        <v>705587.5</v>
      </c>
      <c r="AX259">
        <v>435605.44</v>
      </c>
      <c r="AY259">
        <v>406041.28</v>
      </c>
      <c r="AZ259">
        <v>199295.7</v>
      </c>
      <c r="BA259">
        <v>212391.23</v>
      </c>
    </row>
    <row r="260" spans="1:53">
      <c r="A260">
        <v>20242</v>
      </c>
      <c r="B260" t="s">
        <v>1098</v>
      </c>
      <c r="C260" t="s">
        <v>1099</v>
      </c>
      <c r="D260" t="s">
        <v>1098</v>
      </c>
      <c r="F260" t="s">
        <v>1100</v>
      </c>
      <c r="G260">
        <v>20.341000000000001</v>
      </c>
      <c r="H260" t="s">
        <v>57</v>
      </c>
      <c r="I260">
        <v>2</v>
      </c>
      <c r="J260">
        <v>1</v>
      </c>
      <c r="K260">
        <v>0</v>
      </c>
      <c r="L260">
        <v>7.34</v>
      </c>
      <c r="M260">
        <v>31514</v>
      </c>
      <c r="N260">
        <v>22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1</v>
      </c>
      <c r="W260">
        <v>1</v>
      </c>
      <c r="X260">
        <v>1</v>
      </c>
      <c r="Y260">
        <v>1</v>
      </c>
      <c r="Z260">
        <v>2</v>
      </c>
      <c r="AA260">
        <v>2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1</v>
      </c>
      <c r="AJ260">
        <v>0</v>
      </c>
      <c r="AK260">
        <v>0</v>
      </c>
      <c r="AL260">
        <v>512094.44</v>
      </c>
      <c r="AM260">
        <v>511488.62</v>
      </c>
      <c r="AN260">
        <v>722419.88</v>
      </c>
      <c r="AO260">
        <v>468147.03</v>
      </c>
      <c r="AP260">
        <v>1782067.38</v>
      </c>
      <c r="AQ260">
        <v>1407245.25</v>
      </c>
      <c r="AR260">
        <v>1237780.5</v>
      </c>
      <c r="AS260">
        <v>419739.19</v>
      </c>
      <c r="AT260">
        <v>78301.88</v>
      </c>
      <c r="AU260">
        <v>50964.22</v>
      </c>
      <c r="AV260">
        <v>69642.98</v>
      </c>
      <c r="AW260">
        <v>57390.46</v>
      </c>
      <c r="AX260">
        <v>1314438.6200000001</v>
      </c>
      <c r="AY260">
        <v>1096344.3799999999</v>
      </c>
      <c r="AZ260">
        <v>1124834</v>
      </c>
      <c r="BA260">
        <v>124031.19</v>
      </c>
    </row>
    <row r="261" spans="1:53">
      <c r="A261">
        <v>20091</v>
      </c>
      <c r="B261" t="s">
        <v>1101</v>
      </c>
      <c r="C261" t="s">
        <v>1102</v>
      </c>
      <c r="D261" t="s">
        <v>1101</v>
      </c>
      <c r="F261" t="s">
        <v>1103</v>
      </c>
      <c r="G261">
        <v>20.102</v>
      </c>
      <c r="H261" t="s">
        <v>57</v>
      </c>
      <c r="I261">
        <v>2</v>
      </c>
      <c r="J261">
        <v>1</v>
      </c>
      <c r="K261">
        <v>0</v>
      </c>
      <c r="L261">
        <v>3.04</v>
      </c>
      <c r="M261">
        <v>28232</v>
      </c>
      <c r="N261">
        <v>12</v>
      </c>
      <c r="O261">
        <v>1</v>
      </c>
      <c r="P261">
        <v>1</v>
      </c>
      <c r="Q261">
        <v>1</v>
      </c>
      <c r="R261">
        <v>1</v>
      </c>
      <c r="S261">
        <v>11</v>
      </c>
      <c r="T261">
        <v>11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2</v>
      </c>
      <c r="AE261">
        <v>3</v>
      </c>
      <c r="AF261">
        <v>3</v>
      </c>
      <c r="AG261">
        <v>2</v>
      </c>
      <c r="AH261">
        <v>0</v>
      </c>
      <c r="AI261">
        <v>0</v>
      </c>
      <c r="AJ261">
        <v>0</v>
      </c>
      <c r="AK261">
        <v>1</v>
      </c>
      <c r="AL261">
        <v>41383400</v>
      </c>
      <c r="AM261">
        <v>85148736</v>
      </c>
      <c r="AN261">
        <v>65669820</v>
      </c>
      <c r="AO261">
        <v>40990628</v>
      </c>
      <c r="AP261">
        <v>162675744</v>
      </c>
      <c r="AQ261">
        <v>147333120</v>
      </c>
      <c r="AR261">
        <v>72086256</v>
      </c>
      <c r="AS261">
        <v>58260056</v>
      </c>
      <c r="AT261">
        <v>41383400</v>
      </c>
      <c r="AU261">
        <v>65711172</v>
      </c>
      <c r="AV261">
        <v>50703704</v>
      </c>
      <c r="AW261">
        <v>36452084</v>
      </c>
      <c r="AX261">
        <v>65505576</v>
      </c>
      <c r="AY261">
        <v>63335868</v>
      </c>
      <c r="AZ261">
        <v>38598916</v>
      </c>
      <c r="BA261">
        <v>45726920</v>
      </c>
    </row>
    <row r="262" spans="1:53">
      <c r="A262">
        <v>20080</v>
      </c>
      <c r="B262" t="s">
        <v>1104</v>
      </c>
      <c r="C262" t="s">
        <v>1105</v>
      </c>
      <c r="D262" t="s">
        <v>1106</v>
      </c>
      <c r="F262" t="s">
        <v>1107</v>
      </c>
      <c r="G262">
        <v>18.989999999999998</v>
      </c>
      <c r="H262" t="s">
        <v>57</v>
      </c>
      <c r="I262">
        <v>2</v>
      </c>
      <c r="J262">
        <v>3</v>
      </c>
      <c r="K262">
        <v>0</v>
      </c>
      <c r="L262">
        <v>9.09</v>
      </c>
      <c r="M262">
        <v>20761</v>
      </c>
      <c r="N262">
        <v>11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1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D262">
        <v>1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754985.94</v>
      </c>
      <c r="AM262">
        <v>3979078.25</v>
      </c>
      <c r="AN262">
        <v>2630079</v>
      </c>
      <c r="AO262">
        <v>3090357</v>
      </c>
      <c r="AP262">
        <v>2327818</v>
      </c>
      <c r="AQ262">
        <v>2580856.5</v>
      </c>
      <c r="AR262">
        <v>1367147.12</v>
      </c>
      <c r="AT262">
        <v>22541.39</v>
      </c>
      <c r="AU262">
        <v>3025885.5</v>
      </c>
      <c r="AV262">
        <v>2136494.25</v>
      </c>
      <c r="AW262">
        <v>2985127.25</v>
      </c>
      <c r="AX262">
        <v>1062421.1200000001</v>
      </c>
      <c r="AY262">
        <v>1229255</v>
      </c>
      <c r="AZ262">
        <v>804646.31</v>
      </c>
      <c r="BA262">
        <v>212391.23</v>
      </c>
    </row>
    <row r="263" spans="1:53">
      <c r="A263">
        <v>20020</v>
      </c>
      <c r="B263" t="s">
        <v>1108</v>
      </c>
      <c r="C263" t="s">
        <v>1109</v>
      </c>
      <c r="D263" t="s">
        <v>1110</v>
      </c>
      <c r="F263" t="s">
        <v>1111</v>
      </c>
      <c r="G263">
        <v>18.553999999999998</v>
      </c>
      <c r="H263" t="s">
        <v>57</v>
      </c>
      <c r="I263">
        <v>2</v>
      </c>
      <c r="J263">
        <v>17</v>
      </c>
      <c r="K263">
        <v>0</v>
      </c>
      <c r="L263">
        <v>1.63</v>
      </c>
      <c r="M263">
        <v>52932</v>
      </c>
      <c r="N263">
        <v>25</v>
      </c>
      <c r="O263">
        <v>1</v>
      </c>
      <c r="P263">
        <v>1</v>
      </c>
      <c r="Q263">
        <v>1</v>
      </c>
      <c r="R263">
        <v>1</v>
      </c>
      <c r="S263">
        <v>3</v>
      </c>
      <c r="T263">
        <v>3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2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3278714.5</v>
      </c>
      <c r="AM263">
        <v>4665330.5</v>
      </c>
      <c r="AN263">
        <v>8097159</v>
      </c>
      <c r="AO263">
        <v>7960554.5</v>
      </c>
      <c r="AP263">
        <v>6680162.5</v>
      </c>
      <c r="AQ263">
        <v>5889769</v>
      </c>
      <c r="AR263">
        <v>6729270.5</v>
      </c>
      <c r="AS263">
        <v>2913190.5</v>
      </c>
      <c r="AT263">
        <v>3278714.5</v>
      </c>
      <c r="AU263">
        <v>3600339.5</v>
      </c>
      <c r="AV263">
        <v>6251821.5</v>
      </c>
      <c r="AW263">
        <v>7079150</v>
      </c>
      <c r="AX263">
        <v>2689939.5</v>
      </c>
      <c r="AY263">
        <v>2531906.25</v>
      </c>
      <c r="AZ263">
        <v>3603218.5</v>
      </c>
      <c r="BA263">
        <v>2286493.25</v>
      </c>
    </row>
    <row r="264" spans="1:53">
      <c r="A264">
        <v>20153</v>
      </c>
      <c r="B264" t="s">
        <v>1112</v>
      </c>
      <c r="C264" t="s">
        <v>1113</v>
      </c>
      <c r="D264" t="s">
        <v>1114</v>
      </c>
      <c r="F264" t="s">
        <v>1115</v>
      </c>
      <c r="G264">
        <v>18.059000000000001</v>
      </c>
      <c r="H264" t="s">
        <v>57</v>
      </c>
      <c r="I264">
        <v>2</v>
      </c>
      <c r="J264">
        <v>3</v>
      </c>
      <c r="K264">
        <v>0</v>
      </c>
      <c r="L264">
        <v>9.9</v>
      </c>
      <c r="M264">
        <v>11051</v>
      </c>
      <c r="N264">
        <v>6</v>
      </c>
      <c r="O264">
        <v>1</v>
      </c>
      <c r="P264">
        <v>1</v>
      </c>
      <c r="Q264">
        <v>1</v>
      </c>
      <c r="R264">
        <v>1</v>
      </c>
      <c r="S264">
        <v>2</v>
      </c>
      <c r="T264">
        <v>2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972094.88</v>
      </c>
      <c r="AM264">
        <v>1273306.5</v>
      </c>
      <c r="AN264">
        <v>391353.16</v>
      </c>
      <c r="AO264">
        <v>340579.81</v>
      </c>
      <c r="AP264">
        <v>1150665.6200000001</v>
      </c>
      <c r="AQ264">
        <v>479234.97</v>
      </c>
      <c r="AR264">
        <v>366013.75</v>
      </c>
      <c r="AS264">
        <v>443898.59</v>
      </c>
      <c r="AT264">
        <v>972094.88</v>
      </c>
      <c r="AU264">
        <v>982638.94</v>
      </c>
      <c r="AV264">
        <v>302164</v>
      </c>
      <c r="AW264">
        <v>302870.31</v>
      </c>
      <c r="AX264">
        <v>463345.16</v>
      </c>
      <c r="AY264">
        <v>206014.53</v>
      </c>
      <c r="AZ264">
        <v>195983.72</v>
      </c>
      <c r="BA264">
        <v>348405.34</v>
      </c>
    </row>
    <row r="265" spans="1:53">
      <c r="A265">
        <v>20099</v>
      </c>
      <c r="B265" t="s">
        <v>1116</v>
      </c>
      <c r="C265" t="s">
        <v>1117</v>
      </c>
      <c r="D265" t="s">
        <v>1118</v>
      </c>
      <c r="F265" t="s">
        <v>1119</v>
      </c>
      <c r="G265">
        <v>17.581</v>
      </c>
      <c r="H265" t="s">
        <v>57</v>
      </c>
      <c r="I265">
        <v>2</v>
      </c>
      <c r="J265">
        <v>20</v>
      </c>
      <c r="K265">
        <v>0</v>
      </c>
      <c r="L265">
        <v>6.57</v>
      </c>
      <c r="M265">
        <v>15773</v>
      </c>
      <c r="N265">
        <v>9</v>
      </c>
      <c r="O265">
        <v>1</v>
      </c>
      <c r="P265">
        <v>1</v>
      </c>
      <c r="Q265">
        <v>1</v>
      </c>
      <c r="R265">
        <v>1</v>
      </c>
      <c r="S265">
        <v>2</v>
      </c>
      <c r="T265">
        <v>2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3803740.25</v>
      </c>
      <c r="AM265">
        <v>3817308.5</v>
      </c>
      <c r="AN265">
        <v>3357554.5</v>
      </c>
      <c r="AO265">
        <v>2933226.75</v>
      </c>
      <c r="AP265">
        <v>2310622.5</v>
      </c>
      <c r="AQ265">
        <v>2061892.5</v>
      </c>
      <c r="AR265">
        <v>1737712.38</v>
      </c>
      <c r="AS265">
        <v>1393117.12</v>
      </c>
      <c r="AT265">
        <v>3803740.25</v>
      </c>
      <c r="AU265">
        <v>2945902</v>
      </c>
      <c r="AV265">
        <v>2592369.75</v>
      </c>
      <c r="AW265">
        <v>2608455.5</v>
      </c>
      <c r="AX265">
        <v>930431.69</v>
      </c>
      <c r="AY265">
        <v>886370.69</v>
      </c>
      <c r="AZ265">
        <v>930466.06</v>
      </c>
      <c r="BA265">
        <v>1093424.1200000001</v>
      </c>
    </row>
    <row r="266" spans="1:53">
      <c r="A266">
        <v>19958</v>
      </c>
      <c r="B266" t="s">
        <v>1120</v>
      </c>
      <c r="C266" t="s">
        <v>1121</v>
      </c>
      <c r="D266" t="s">
        <v>1122</v>
      </c>
      <c r="F266" t="s">
        <v>1123</v>
      </c>
      <c r="G266">
        <v>17.562000000000001</v>
      </c>
      <c r="H266" t="s">
        <v>57</v>
      </c>
      <c r="I266">
        <v>2</v>
      </c>
      <c r="J266">
        <v>21</v>
      </c>
      <c r="K266">
        <v>0</v>
      </c>
      <c r="L266">
        <v>9.15</v>
      </c>
      <c r="M266">
        <v>17120</v>
      </c>
      <c r="N266">
        <v>12</v>
      </c>
      <c r="O266">
        <v>1</v>
      </c>
      <c r="P266">
        <v>1</v>
      </c>
      <c r="Q266">
        <v>1</v>
      </c>
      <c r="R266">
        <v>1</v>
      </c>
      <c r="S266">
        <v>2</v>
      </c>
      <c r="T266">
        <v>2</v>
      </c>
      <c r="U266">
        <v>1</v>
      </c>
      <c r="V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0</v>
      </c>
      <c r="AL266">
        <v>653093.93999999994</v>
      </c>
      <c r="AN266">
        <v>960739.19</v>
      </c>
      <c r="AO266">
        <v>729049.75</v>
      </c>
      <c r="AP266">
        <v>827091.12</v>
      </c>
      <c r="AQ266">
        <v>817359</v>
      </c>
      <c r="AR266">
        <v>1088114.3799999999</v>
      </c>
      <c r="AS266">
        <v>812508.75</v>
      </c>
      <c r="AT266">
        <v>653093.93999999994</v>
      </c>
      <c r="AU266">
        <v>111774.65</v>
      </c>
      <c r="AV266">
        <v>741787.25</v>
      </c>
      <c r="AW266">
        <v>648328.25</v>
      </c>
      <c r="AX266">
        <v>333049.56</v>
      </c>
      <c r="AY266">
        <v>351367.97</v>
      </c>
      <c r="AZ266">
        <v>582635.75</v>
      </c>
      <c r="BA266">
        <v>637718.62</v>
      </c>
    </row>
    <row r="267" spans="1:53">
      <c r="A267">
        <v>20107</v>
      </c>
      <c r="B267" t="s">
        <v>1124</v>
      </c>
      <c r="C267" t="s">
        <v>1125</v>
      </c>
      <c r="D267" t="s">
        <v>1126</v>
      </c>
      <c r="F267" t="s">
        <v>1127</v>
      </c>
      <c r="G267">
        <v>16.667000000000002</v>
      </c>
      <c r="H267" t="s">
        <v>57</v>
      </c>
      <c r="I267">
        <v>2</v>
      </c>
      <c r="J267">
        <v>3</v>
      </c>
      <c r="K267">
        <v>0</v>
      </c>
      <c r="L267">
        <v>5.1100000000000003</v>
      </c>
      <c r="M267">
        <v>19703</v>
      </c>
      <c r="N267">
        <v>11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Z267">
        <v>1</v>
      </c>
      <c r="AA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1151816.3799999999</v>
      </c>
      <c r="AM267">
        <v>647965.68999999994</v>
      </c>
      <c r="AP267">
        <v>1133400.8799999999</v>
      </c>
      <c r="AQ267">
        <v>658861.75</v>
      </c>
      <c r="AT267">
        <v>1151816.3799999999</v>
      </c>
      <c r="AU267">
        <v>500049.56</v>
      </c>
      <c r="AV267">
        <v>213953.23</v>
      </c>
      <c r="AW267">
        <v>170153.38</v>
      </c>
      <c r="AX267">
        <v>456393.03</v>
      </c>
      <c r="AY267">
        <v>283232.84000000003</v>
      </c>
      <c r="AZ267">
        <v>199295.7</v>
      </c>
      <c r="BA267">
        <v>212391.23</v>
      </c>
    </row>
    <row r="268" spans="1:53">
      <c r="A268">
        <v>20149</v>
      </c>
      <c r="B268" t="s">
        <v>1128</v>
      </c>
      <c r="C268" t="s">
        <v>1129</v>
      </c>
      <c r="D268" t="s">
        <v>1128</v>
      </c>
      <c r="F268" t="s">
        <v>1130</v>
      </c>
      <c r="G268">
        <v>16.062000000000001</v>
      </c>
      <c r="H268" t="s">
        <v>57</v>
      </c>
      <c r="I268">
        <v>2</v>
      </c>
      <c r="J268">
        <v>1</v>
      </c>
      <c r="K268">
        <v>0</v>
      </c>
      <c r="L268">
        <v>0.5</v>
      </c>
      <c r="M268">
        <v>248069</v>
      </c>
      <c r="N268">
        <v>77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X268">
        <v>1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N268">
        <v>549855.18999999994</v>
      </c>
      <c r="AT268">
        <v>49505.43</v>
      </c>
      <c r="AU268">
        <v>111774.65</v>
      </c>
      <c r="AV268">
        <v>424543.5</v>
      </c>
      <c r="AW268">
        <v>170153.38</v>
      </c>
      <c r="AX268">
        <v>350962.88</v>
      </c>
      <c r="AY268">
        <v>247733</v>
      </c>
      <c r="AZ268">
        <v>199295.7</v>
      </c>
      <c r="BA268">
        <v>212391.23</v>
      </c>
    </row>
    <row r="269" spans="1:53">
      <c r="A269">
        <v>19980</v>
      </c>
      <c r="B269" t="s">
        <v>1131</v>
      </c>
      <c r="C269" t="s">
        <v>1132</v>
      </c>
      <c r="D269" t="s">
        <v>1133</v>
      </c>
      <c r="F269" t="s">
        <v>1134</v>
      </c>
      <c r="G269">
        <v>16.024999999999999</v>
      </c>
      <c r="H269" t="s">
        <v>57</v>
      </c>
      <c r="I269">
        <v>2</v>
      </c>
      <c r="J269">
        <v>15</v>
      </c>
      <c r="K269">
        <v>0</v>
      </c>
      <c r="L269">
        <v>11.49</v>
      </c>
      <c r="M269">
        <v>9920</v>
      </c>
      <c r="N269">
        <v>6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W269">
        <v>1</v>
      </c>
      <c r="X269">
        <v>1</v>
      </c>
      <c r="Y269">
        <v>1</v>
      </c>
      <c r="AA269">
        <v>1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554101.75</v>
      </c>
      <c r="AN269">
        <v>532507.18999999994</v>
      </c>
      <c r="AO269">
        <v>399783.72</v>
      </c>
      <c r="AQ269">
        <v>388477.56</v>
      </c>
      <c r="AR269">
        <v>196599.55</v>
      </c>
      <c r="AS269">
        <v>51192.25</v>
      </c>
      <c r="AT269">
        <v>49505.43</v>
      </c>
      <c r="AU269">
        <v>427612.66</v>
      </c>
      <c r="AV269">
        <v>411149.12</v>
      </c>
      <c r="AW269">
        <v>355519.09</v>
      </c>
      <c r="AX269">
        <v>350962.88</v>
      </c>
      <c r="AY269">
        <v>166999.53</v>
      </c>
      <c r="AZ269">
        <v>105270.12</v>
      </c>
      <c r="BA269">
        <v>40179.57</v>
      </c>
    </row>
    <row r="270" spans="1:53">
      <c r="A270">
        <v>20160</v>
      </c>
      <c r="B270" t="s">
        <v>1135</v>
      </c>
      <c r="C270" t="s">
        <v>1136</v>
      </c>
      <c r="D270" t="s">
        <v>1137</v>
      </c>
      <c r="F270" t="s">
        <v>1138</v>
      </c>
      <c r="G270">
        <v>15.54</v>
      </c>
      <c r="H270" t="s">
        <v>57</v>
      </c>
      <c r="I270">
        <v>2</v>
      </c>
      <c r="J270">
        <v>3</v>
      </c>
      <c r="K270">
        <v>0</v>
      </c>
      <c r="L270">
        <v>16.84</v>
      </c>
      <c r="M270">
        <v>10750</v>
      </c>
      <c r="N270">
        <v>4</v>
      </c>
      <c r="O270">
        <v>2</v>
      </c>
      <c r="P270">
        <v>2</v>
      </c>
      <c r="Q270">
        <v>2</v>
      </c>
      <c r="R270">
        <v>2</v>
      </c>
      <c r="S270">
        <v>4</v>
      </c>
      <c r="T270">
        <v>4</v>
      </c>
      <c r="U270">
        <v>2</v>
      </c>
      <c r="V270">
        <v>1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0</v>
      </c>
      <c r="AE270">
        <v>1</v>
      </c>
      <c r="AF270">
        <v>0</v>
      </c>
      <c r="AG270">
        <v>0</v>
      </c>
      <c r="AH270">
        <v>1</v>
      </c>
      <c r="AI270">
        <v>2</v>
      </c>
      <c r="AJ270">
        <v>0</v>
      </c>
      <c r="AK270">
        <v>0</v>
      </c>
      <c r="AL270">
        <v>1415032.25</v>
      </c>
      <c r="AM270">
        <v>1480877</v>
      </c>
      <c r="AN270">
        <v>974839.31</v>
      </c>
      <c r="AO270">
        <v>1534505.5</v>
      </c>
      <c r="AP270">
        <v>3609320.75</v>
      </c>
      <c r="AQ270">
        <v>4263113</v>
      </c>
      <c r="AR270">
        <v>2095449.38</v>
      </c>
      <c r="AS270">
        <v>1856887</v>
      </c>
      <c r="AT270">
        <v>35927.279999999999</v>
      </c>
      <c r="AU270">
        <v>1174976.5</v>
      </c>
      <c r="AV270">
        <v>862595.88</v>
      </c>
      <c r="AW270">
        <v>1587051.25</v>
      </c>
      <c r="AX270">
        <v>1564740.5</v>
      </c>
      <c r="AY270">
        <v>2017752.62</v>
      </c>
      <c r="AZ270">
        <v>1333672.25</v>
      </c>
      <c r="BA270">
        <v>1790202.8799999999</v>
      </c>
    </row>
    <row r="271" spans="1:53">
      <c r="A271">
        <v>20093</v>
      </c>
      <c r="B271" t="s">
        <v>1139</v>
      </c>
      <c r="C271" t="s">
        <v>1140</v>
      </c>
      <c r="D271" t="s">
        <v>1141</v>
      </c>
      <c r="F271" t="s">
        <v>1142</v>
      </c>
      <c r="G271">
        <v>14.965</v>
      </c>
      <c r="H271" t="s">
        <v>57</v>
      </c>
      <c r="I271">
        <v>2</v>
      </c>
      <c r="J271">
        <v>20</v>
      </c>
      <c r="K271">
        <v>0</v>
      </c>
      <c r="L271">
        <v>6.75</v>
      </c>
      <c r="M271">
        <v>18343</v>
      </c>
      <c r="N271">
        <v>10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D271">
        <v>0</v>
      </c>
      <c r="AE271">
        <v>1</v>
      </c>
      <c r="AF271">
        <v>0</v>
      </c>
      <c r="AG271">
        <v>0</v>
      </c>
      <c r="AH271">
        <v>1</v>
      </c>
      <c r="AI271">
        <v>1</v>
      </c>
      <c r="AJ271">
        <v>0</v>
      </c>
      <c r="AK271">
        <v>0</v>
      </c>
      <c r="AM271">
        <v>1160701.25</v>
      </c>
      <c r="AN271">
        <v>498354.34</v>
      </c>
      <c r="AO271">
        <v>532768.56000000006</v>
      </c>
      <c r="AP271">
        <v>1487539.88</v>
      </c>
      <c r="AQ271">
        <v>1140679.3799999999</v>
      </c>
      <c r="AT271">
        <v>49505.43</v>
      </c>
      <c r="AU271">
        <v>895739</v>
      </c>
      <c r="AV271">
        <v>384779.66</v>
      </c>
      <c r="AW271">
        <v>473779.62</v>
      </c>
      <c r="AX271">
        <v>598996.25</v>
      </c>
      <c r="AY271">
        <v>490357.62</v>
      </c>
      <c r="AZ271">
        <v>199295.7</v>
      </c>
      <c r="BA271">
        <v>212391.23</v>
      </c>
    </row>
    <row r="272" spans="1:53">
      <c r="A272">
        <v>20206</v>
      </c>
      <c r="B272" t="s">
        <v>1143</v>
      </c>
      <c r="C272" t="s">
        <v>1144</v>
      </c>
      <c r="D272" t="s">
        <v>1145</v>
      </c>
      <c r="F272" t="s">
        <v>1146</v>
      </c>
      <c r="G272">
        <v>14.582000000000001</v>
      </c>
      <c r="H272" t="s">
        <v>57</v>
      </c>
      <c r="I272">
        <v>2</v>
      </c>
      <c r="J272">
        <v>2</v>
      </c>
      <c r="K272">
        <v>0</v>
      </c>
      <c r="L272">
        <v>26.67</v>
      </c>
      <c r="M272">
        <v>8174</v>
      </c>
      <c r="N272">
        <v>5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2</v>
      </c>
      <c r="U272">
        <v>1</v>
      </c>
      <c r="V272">
        <v>1</v>
      </c>
      <c r="W272">
        <v>1</v>
      </c>
      <c r="X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882547.12</v>
      </c>
      <c r="AM272">
        <v>945592.5</v>
      </c>
      <c r="AN272">
        <v>645308.06000000006</v>
      </c>
      <c r="AP272">
        <v>916775.38</v>
      </c>
      <c r="AQ272">
        <v>669351.06000000006</v>
      </c>
      <c r="AR272">
        <v>585666.68999999994</v>
      </c>
      <c r="AS272">
        <v>481502.12</v>
      </c>
      <c r="AT272">
        <v>882547.12</v>
      </c>
      <c r="AU272">
        <v>729734.81</v>
      </c>
      <c r="AV272">
        <v>498242.72</v>
      </c>
      <c r="AW272">
        <v>170153.38</v>
      </c>
      <c r="AX272">
        <v>369163.22</v>
      </c>
      <c r="AY272">
        <v>287742.03000000003</v>
      </c>
      <c r="AZ272">
        <v>313597.88</v>
      </c>
      <c r="BA272">
        <v>377919.47</v>
      </c>
    </row>
    <row r="273" spans="1:53">
      <c r="A273">
        <v>20221</v>
      </c>
      <c r="B273" t="s">
        <v>1147</v>
      </c>
      <c r="C273" t="s">
        <v>1148</v>
      </c>
      <c r="D273" t="s">
        <v>1147</v>
      </c>
      <c r="F273" t="s">
        <v>1149</v>
      </c>
      <c r="G273">
        <v>13.222</v>
      </c>
      <c r="H273" t="s">
        <v>57</v>
      </c>
      <c r="I273">
        <v>2</v>
      </c>
      <c r="J273">
        <v>1</v>
      </c>
      <c r="K273">
        <v>0</v>
      </c>
      <c r="L273">
        <v>2.16</v>
      </c>
      <c r="M273">
        <v>65970</v>
      </c>
      <c r="N273">
        <v>37</v>
      </c>
      <c r="O273">
        <v>1</v>
      </c>
      <c r="P273">
        <v>1</v>
      </c>
      <c r="Q273">
        <v>1</v>
      </c>
      <c r="R273">
        <v>1</v>
      </c>
      <c r="S273">
        <v>3</v>
      </c>
      <c r="T273">
        <v>3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1</v>
      </c>
      <c r="AJ273">
        <v>0</v>
      </c>
      <c r="AK273">
        <v>0</v>
      </c>
      <c r="AL273">
        <v>773115.62</v>
      </c>
      <c r="AM273">
        <v>387707.31</v>
      </c>
      <c r="AN273">
        <v>640738.75</v>
      </c>
      <c r="AO273">
        <v>574193.38</v>
      </c>
      <c r="AP273">
        <v>2150890.75</v>
      </c>
      <c r="AQ273">
        <v>1313124.75</v>
      </c>
      <c r="AT273">
        <v>773115.62</v>
      </c>
      <c r="AU273">
        <v>299202.34000000003</v>
      </c>
      <c r="AV273">
        <v>494714.78</v>
      </c>
      <c r="AW273">
        <v>510617.84</v>
      </c>
      <c r="AX273">
        <v>866111.56</v>
      </c>
      <c r="AY273">
        <v>564488.75</v>
      </c>
      <c r="AZ273">
        <v>199295.7</v>
      </c>
      <c r="BA273">
        <v>212391.23</v>
      </c>
    </row>
    <row r="274" spans="1:53">
      <c r="A274">
        <v>20183</v>
      </c>
      <c r="B274" t="s">
        <v>1150</v>
      </c>
      <c r="C274" t="s">
        <v>1151</v>
      </c>
      <c r="D274" t="s">
        <v>1152</v>
      </c>
      <c r="F274" t="s">
        <v>1153</v>
      </c>
      <c r="G274">
        <v>13.205</v>
      </c>
      <c r="H274" t="s">
        <v>57</v>
      </c>
      <c r="I274">
        <v>2</v>
      </c>
      <c r="J274">
        <v>2</v>
      </c>
      <c r="K274">
        <v>0</v>
      </c>
      <c r="L274">
        <v>1.24</v>
      </c>
      <c r="M274">
        <v>89948</v>
      </c>
      <c r="N274">
        <v>49</v>
      </c>
      <c r="O274">
        <v>1</v>
      </c>
      <c r="P274">
        <v>1</v>
      </c>
      <c r="Q274">
        <v>1</v>
      </c>
      <c r="R274">
        <v>1</v>
      </c>
      <c r="S274">
        <v>2</v>
      </c>
      <c r="T274">
        <v>2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1</v>
      </c>
      <c r="AK274">
        <v>0</v>
      </c>
      <c r="AL274">
        <v>627409.93999999994</v>
      </c>
      <c r="AM274">
        <v>741957.56</v>
      </c>
      <c r="AN274">
        <v>1071887.6200000001</v>
      </c>
      <c r="AO274">
        <v>969840.62</v>
      </c>
      <c r="AP274">
        <v>1142192.1200000001</v>
      </c>
      <c r="AQ274">
        <v>1159045</v>
      </c>
      <c r="AR274">
        <v>987308.94</v>
      </c>
      <c r="AS274">
        <v>707837.62</v>
      </c>
      <c r="AT274">
        <v>627409.93999999994</v>
      </c>
      <c r="AU274">
        <v>572585.12</v>
      </c>
      <c r="AV274">
        <v>827605.06</v>
      </c>
      <c r="AW274">
        <v>862458.44</v>
      </c>
      <c r="AX274">
        <v>459933.09</v>
      </c>
      <c r="AY274">
        <v>498252.66</v>
      </c>
      <c r="AZ274">
        <v>528659.06000000006</v>
      </c>
      <c r="BA274">
        <v>555564.81000000006</v>
      </c>
    </row>
    <row r="275" spans="1:53">
      <c r="A275">
        <v>20249</v>
      </c>
      <c r="B275" t="s">
        <v>1154</v>
      </c>
      <c r="C275" t="s">
        <v>1155</v>
      </c>
      <c r="D275" t="s">
        <v>1154</v>
      </c>
      <c r="F275" t="s">
        <v>1156</v>
      </c>
      <c r="G275">
        <v>12.930999999999999</v>
      </c>
      <c r="H275" t="s">
        <v>57</v>
      </c>
      <c r="I275">
        <v>2</v>
      </c>
      <c r="J275">
        <v>1</v>
      </c>
      <c r="K275">
        <v>0</v>
      </c>
      <c r="L275">
        <v>2</v>
      </c>
      <c r="M275">
        <v>44162</v>
      </c>
      <c r="N275">
        <v>21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0</v>
      </c>
      <c r="AK275">
        <v>0</v>
      </c>
      <c r="AM275">
        <v>477801.91</v>
      </c>
      <c r="AN275">
        <v>715679.5</v>
      </c>
      <c r="AO275">
        <v>657257.5</v>
      </c>
      <c r="AP275">
        <v>1601651</v>
      </c>
      <c r="AQ275">
        <v>1134278.3799999999</v>
      </c>
      <c r="AR275">
        <v>587295.93999999994</v>
      </c>
      <c r="AS275">
        <v>219238.11</v>
      </c>
      <c r="AT275">
        <v>49505.43</v>
      </c>
      <c r="AU275">
        <v>368730.34</v>
      </c>
      <c r="AV275">
        <v>552576.56000000006</v>
      </c>
      <c r="AW275">
        <v>584485</v>
      </c>
      <c r="AX275">
        <v>644946</v>
      </c>
      <c r="AY275">
        <v>487605.94</v>
      </c>
      <c r="AZ275">
        <v>314470.28000000003</v>
      </c>
      <c r="BA275">
        <v>172074.73</v>
      </c>
    </row>
    <row r="276" spans="1:53">
      <c r="A276">
        <v>20235</v>
      </c>
      <c r="B276" t="s">
        <v>1157</v>
      </c>
      <c r="C276" t="s">
        <v>1158</v>
      </c>
      <c r="D276" t="s">
        <v>1159</v>
      </c>
      <c r="F276" t="s">
        <v>1160</v>
      </c>
      <c r="G276">
        <v>12.128</v>
      </c>
      <c r="H276" t="s">
        <v>57</v>
      </c>
      <c r="I276">
        <v>2</v>
      </c>
      <c r="J276">
        <v>2</v>
      </c>
      <c r="K276">
        <v>0</v>
      </c>
      <c r="L276">
        <v>13.48</v>
      </c>
      <c r="M276">
        <v>16179</v>
      </c>
      <c r="N276">
        <v>12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1000873.56</v>
      </c>
      <c r="AN276">
        <v>834621.5</v>
      </c>
      <c r="AO276">
        <v>674004.94</v>
      </c>
      <c r="AP276">
        <v>889012.31</v>
      </c>
      <c r="AQ276">
        <v>899270.75</v>
      </c>
      <c r="AR276">
        <v>1063713.8799999999</v>
      </c>
      <c r="AS276">
        <v>591732.88</v>
      </c>
      <c r="AT276">
        <v>49505.43</v>
      </c>
      <c r="AU276">
        <v>772396.38</v>
      </c>
      <c r="AV276">
        <v>644411.75</v>
      </c>
      <c r="AW276">
        <v>599378.12</v>
      </c>
      <c r="AX276">
        <v>357983.72</v>
      </c>
      <c r="AY276">
        <v>386580.38</v>
      </c>
      <c r="AZ276">
        <v>569570.43999999994</v>
      </c>
      <c r="BA276">
        <v>464436.94</v>
      </c>
    </row>
    <row r="277" spans="1:53">
      <c r="A277">
        <v>20111</v>
      </c>
      <c r="B277" t="s">
        <v>1161</v>
      </c>
      <c r="C277" t="s">
        <v>1162</v>
      </c>
      <c r="D277" t="s">
        <v>1163</v>
      </c>
      <c r="F277" t="s">
        <v>1164</v>
      </c>
      <c r="G277">
        <v>11.843999999999999</v>
      </c>
      <c r="H277" t="s">
        <v>57</v>
      </c>
      <c r="I277">
        <v>2</v>
      </c>
      <c r="J277">
        <v>21</v>
      </c>
      <c r="K277">
        <v>0</v>
      </c>
      <c r="L277">
        <v>1.24</v>
      </c>
      <c r="M277">
        <v>102352</v>
      </c>
      <c r="N277">
        <v>62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696983.31</v>
      </c>
      <c r="AM277">
        <v>457265.16</v>
      </c>
      <c r="AN277">
        <v>622373.56000000006</v>
      </c>
      <c r="AO277">
        <v>652391.93999999994</v>
      </c>
      <c r="AP277">
        <v>866513.06</v>
      </c>
      <c r="AQ277">
        <v>871051.62</v>
      </c>
      <c r="AR277">
        <v>716849.38</v>
      </c>
      <c r="AS277">
        <v>723399.94</v>
      </c>
      <c r="AT277">
        <v>696983.31</v>
      </c>
      <c r="AU277">
        <v>352881.69</v>
      </c>
      <c r="AV277">
        <v>480535</v>
      </c>
      <c r="AW277">
        <v>580158.12</v>
      </c>
      <c r="AX277">
        <v>348923.78</v>
      </c>
      <c r="AY277">
        <v>374449.47</v>
      </c>
      <c r="AZ277">
        <v>383840.28</v>
      </c>
      <c r="BA277">
        <v>567779.25</v>
      </c>
    </row>
    <row r="278" spans="1:53">
      <c r="A278">
        <v>20238</v>
      </c>
      <c r="B278" t="s">
        <v>1165</v>
      </c>
      <c r="C278" t="s">
        <v>1166</v>
      </c>
      <c r="D278" t="s">
        <v>1165</v>
      </c>
      <c r="F278" t="s">
        <v>1167</v>
      </c>
      <c r="G278">
        <v>11.215999999999999</v>
      </c>
      <c r="H278" t="s">
        <v>57</v>
      </c>
      <c r="I278">
        <v>2</v>
      </c>
      <c r="J278">
        <v>1</v>
      </c>
      <c r="K278">
        <v>0</v>
      </c>
      <c r="L278">
        <v>42.11</v>
      </c>
      <c r="M278">
        <v>2407</v>
      </c>
      <c r="N278">
        <v>2</v>
      </c>
      <c r="O278">
        <v>1</v>
      </c>
      <c r="P278">
        <v>1</v>
      </c>
      <c r="Q278">
        <v>1</v>
      </c>
      <c r="R278">
        <v>1</v>
      </c>
      <c r="S278">
        <v>4</v>
      </c>
      <c r="T278">
        <v>4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2</v>
      </c>
      <c r="AE278">
        <v>1</v>
      </c>
      <c r="AF278">
        <v>1</v>
      </c>
      <c r="AG278">
        <v>1</v>
      </c>
      <c r="AH278">
        <v>1</v>
      </c>
      <c r="AI278">
        <v>2</v>
      </c>
      <c r="AJ278">
        <v>0</v>
      </c>
      <c r="AK278">
        <v>0</v>
      </c>
      <c r="AL278">
        <v>1458459.88</v>
      </c>
      <c r="AM278">
        <v>2007833.62</v>
      </c>
      <c r="AN278">
        <v>1299099.8799999999</v>
      </c>
      <c r="AO278">
        <v>933328.38</v>
      </c>
      <c r="AP278">
        <v>2348755.5</v>
      </c>
      <c r="AQ278">
        <v>2652135.5</v>
      </c>
      <c r="AR278">
        <v>521015.78</v>
      </c>
      <c r="AS278">
        <v>647424.43999999994</v>
      </c>
      <c r="AT278">
        <v>1458459.88</v>
      </c>
      <c r="AU278">
        <v>1549489.88</v>
      </c>
      <c r="AV278">
        <v>1003035.75</v>
      </c>
      <c r="AW278">
        <v>829988.88</v>
      </c>
      <c r="AX278">
        <v>945786.88</v>
      </c>
      <c r="AY278">
        <v>1140105.5</v>
      </c>
      <c r="AZ278">
        <v>278980.28000000003</v>
      </c>
      <c r="BA278">
        <v>508147.94</v>
      </c>
    </row>
    <row r="279" spans="1:53">
      <c r="A279">
        <v>20215</v>
      </c>
      <c r="B279" t="s">
        <v>1168</v>
      </c>
      <c r="C279" t="s">
        <v>1169</v>
      </c>
      <c r="D279" t="s">
        <v>1168</v>
      </c>
      <c r="F279" t="s">
        <v>1170</v>
      </c>
      <c r="G279">
        <v>11.112</v>
      </c>
      <c r="H279" t="s">
        <v>57</v>
      </c>
      <c r="I279">
        <v>2</v>
      </c>
      <c r="J279">
        <v>1</v>
      </c>
      <c r="K279">
        <v>0</v>
      </c>
      <c r="L279">
        <v>2.5499999999999998</v>
      </c>
      <c r="M279">
        <v>73041</v>
      </c>
      <c r="N279">
        <v>34</v>
      </c>
      <c r="O279">
        <v>2</v>
      </c>
      <c r="P279">
        <v>1</v>
      </c>
      <c r="Q279">
        <v>2</v>
      </c>
      <c r="R279">
        <v>1</v>
      </c>
      <c r="S279">
        <v>3</v>
      </c>
      <c r="T279">
        <v>1</v>
      </c>
      <c r="U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1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426658.53</v>
      </c>
      <c r="AM279">
        <v>2716614.5</v>
      </c>
      <c r="AN279">
        <v>2023106</v>
      </c>
      <c r="AO279">
        <v>2517164.75</v>
      </c>
      <c r="AP279">
        <v>4723643.5</v>
      </c>
      <c r="AQ279">
        <v>4413655.5</v>
      </c>
      <c r="AR279">
        <v>1855827.25</v>
      </c>
      <c r="AS279">
        <v>1218077.3799999999</v>
      </c>
      <c r="AT279">
        <v>49505.43</v>
      </c>
      <c r="AU279">
        <v>1197007.75</v>
      </c>
      <c r="AV279">
        <v>689442</v>
      </c>
      <c r="AW279">
        <v>1483783.5</v>
      </c>
      <c r="AX279">
        <v>703543.62</v>
      </c>
      <c r="AY279">
        <v>913517.19</v>
      </c>
      <c r="AZ279">
        <v>728488.06</v>
      </c>
      <c r="BA279">
        <v>774503.19</v>
      </c>
    </row>
    <row r="280" spans="1:53">
      <c r="A280">
        <v>20216</v>
      </c>
      <c r="B280" t="s">
        <v>1171</v>
      </c>
      <c r="C280" t="s">
        <v>1172</v>
      </c>
      <c r="D280" t="s">
        <v>1171</v>
      </c>
      <c r="F280" t="s">
        <v>1173</v>
      </c>
      <c r="G280">
        <v>11.112</v>
      </c>
      <c r="H280" t="s">
        <v>57</v>
      </c>
      <c r="I280">
        <v>2</v>
      </c>
      <c r="J280">
        <v>1</v>
      </c>
      <c r="K280">
        <v>0</v>
      </c>
      <c r="L280">
        <v>3.62</v>
      </c>
      <c r="M280">
        <v>72210</v>
      </c>
      <c r="N280">
        <v>36</v>
      </c>
      <c r="O280">
        <v>3</v>
      </c>
      <c r="P280">
        <v>2</v>
      </c>
      <c r="Q280">
        <v>3</v>
      </c>
      <c r="R280">
        <v>2</v>
      </c>
      <c r="S280">
        <v>4</v>
      </c>
      <c r="T280">
        <v>2</v>
      </c>
      <c r="U280">
        <v>2</v>
      </c>
      <c r="V280">
        <v>1</v>
      </c>
      <c r="Y280">
        <v>1</v>
      </c>
      <c r="Z280">
        <v>2</v>
      </c>
      <c r="AA280">
        <v>2</v>
      </c>
      <c r="AB280">
        <v>2</v>
      </c>
      <c r="AC280">
        <v>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</v>
      </c>
      <c r="AJ280">
        <v>0</v>
      </c>
      <c r="AK280">
        <v>0</v>
      </c>
      <c r="AL280">
        <v>520037.75</v>
      </c>
      <c r="AM280">
        <v>1165528.5</v>
      </c>
      <c r="AN280">
        <v>1130162.75</v>
      </c>
      <c r="AO280">
        <v>1095182</v>
      </c>
      <c r="AP280">
        <v>17698542</v>
      </c>
      <c r="AQ280">
        <v>16322148</v>
      </c>
      <c r="AR280">
        <v>5208608.5</v>
      </c>
      <c r="AS280">
        <v>3752331.75</v>
      </c>
      <c r="AT280">
        <v>13378.27</v>
      </c>
      <c r="AU280">
        <v>111774.65</v>
      </c>
      <c r="AV280">
        <v>213953.23</v>
      </c>
      <c r="AW280">
        <v>12906.63</v>
      </c>
      <c r="AX280">
        <v>6344578.5</v>
      </c>
      <c r="AY280">
        <v>6126870.5</v>
      </c>
      <c r="AZ280">
        <v>2404051</v>
      </c>
      <c r="BA280">
        <v>2534034</v>
      </c>
    </row>
    <row r="281" spans="1:53">
      <c r="A281">
        <v>20234</v>
      </c>
      <c r="B281" t="s">
        <v>1174</v>
      </c>
      <c r="C281" t="s">
        <v>1175</v>
      </c>
      <c r="D281" t="s">
        <v>1174</v>
      </c>
      <c r="F281" t="s">
        <v>1176</v>
      </c>
      <c r="G281">
        <v>11.055999999999999</v>
      </c>
      <c r="H281" t="s">
        <v>57</v>
      </c>
      <c r="I281">
        <v>2</v>
      </c>
      <c r="J281">
        <v>1</v>
      </c>
      <c r="K281">
        <v>0</v>
      </c>
      <c r="L281">
        <v>1.24</v>
      </c>
      <c r="M281">
        <v>89778</v>
      </c>
      <c r="N281">
        <v>49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D281">
        <v>1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399251.09</v>
      </c>
      <c r="AM281">
        <v>693024.56</v>
      </c>
      <c r="AN281">
        <v>201044.77</v>
      </c>
      <c r="AO281">
        <v>195470.28</v>
      </c>
      <c r="AP281">
        <v>329546.5</v>
      </c>
      <c r="AQ281">
        <v>346371.19</v>
      </c>
      <c r="AR281">
        <v>58490.52</v>
      </c>
      <c r="AT281">
        <v>399251.09</v>
      </c>
      <c r="AU281">
        <v>534822.5</v>
      </c>
      <c r="AV281">
        <v>155226.78</v>
      </c>
      <c r="AW281">
        <v>173827.52</v>
      </c>
      <c r="AX281">
        <v>132700.38</v>
      </c>
      <c r="AY281">
        <v>148898.76999999999</v>
      </c>
      <c r="AZ281">
        <v>31319.02</v>
      </c>
      <c r="BA281">
        <v>212391.23</v>
      </c>
    </row>
    <row r="282" spans="1:53">
      <c r="A282">
        <v>19994</v>
      </c>
      <c r="B282" t="s">
        <v>1177</v>
      </c>
      <c r="C282" t="s">
        <v>1178</v>
      </c>
      <c r="D282" t="s">
        <v>1179</v>
      </c>
      <c r="F282" t="s">
        <v>1180</v>
      </c>
      <c r="G282">
        <v>10.991</v>
      </c>
      <c r="H282" t="s">
        <v>57</v>
      </c>
      <c r="I282">
        <v>2</v>
      </c>
      <c r="J282">
        <v>18</v>
      </c>
      <c r="K282">
        <v>0</v>
      </c>
      <c r="L282">
        <v>6.43</v>
      </c>
      <c r="M282">
        <v>19415</v>
      </c>
      <c r="N282">
        <v>12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M282">
        <v>1042084.25</v>
      </c>
      <c r="AN282">
        <v>1205483.75</v>
      </c>
      <c r="AO282">
        <v>1019821.44</v>
      </c>
      <c r="AP282">
        <v>995719.56</v>
      </c>
      <c r="AQ282">
        <v>2111542.25</v>
      </c>
      <c r="AR282">
        <v>1544358.88</v>
      </c>
      <c r="AS282">
        <v>645247.5</v>
      </c>
      <c r="AT282">
        <v>49505.43</v>
      </c>
      <c r="AU282">
        <v>804199.62</v>
      </c>
      <c r="AV282">
        <v>930754.69</v>
      </c>
      <c r="AW282">
        <v>906905.25</v>
      </c>
      <c r="AX282">
        <v>400952.12</v>
      </c>
      <c r="AY282">
        <v>907714.12</v>
      </c>
      <c r="AZ282">
        <v>826933.94</v>
      </c>
      <c r="BA282">
        <v>506439.28</v>
      </c>
    </row>
    <row r="283" spans="1:53">
      <c r="A283">
        <v>20157</v>
      </c>
      <c r="B283" t="s">
        <v>1181</v>
      </c>
      <c r="C283" t="s">
        <v>1182</v>
      </c>
      <c r="D283" t="s">
        <v>1183</v>
      </c>
      <c r="F283" t="s">
        <v>1184</v>
      </c>
      <c r="G283">
        <v>10.938000000000001</v>
      </c>
      <c r="H283" t="s">
        <v>57</v>
      </c>
      <c r="I283">
        <v>2</v>
      </c>
      <c r="J283">
        <v>3</v>
      </c>
      <c r="K283">
        <v>0</v>
      </c>
      <c r="L283">
        <v>9.35</v>
      </c>
      <c r="M283">
        <v>34031</v>
      </c>
      <c r="N283">
        <v>19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2</v>
      </c>
      <c r="X283">
        <v>3</v>
      </c>
      <c r="Y283">
        <v>3</v>
      </c>
      <c r="Z283">
        <v>2</v>
      </c>
      <c r="AA283">
        <v>2</v>
      </c>
      <c r="AB283">
        <v>2</v>
      </c>
      <c r="AC283">
        <v>3</v>
      </c>
      <c r="AD283">
        <v>0</v>
      </c>
      <c r="AE283">
        <v>0</v>
      </c>
      <c r="AF283">
        <v>1</v>
      </c>
      <c r="AG283">
        <v>2</v>
      </c>
      <c r="AH283">
        <v>0</v>
      </c>
      <c r="AI283">
        <v>0</v>
      </c>
      <c r="AJ283">
        <v>1</v>
      </c>
      <c r="AK283">
        <v>0</v>
      </c>
      <c r="AL283">
        <v>886185.69</v>
      </c>
      <c r="AN283">
        <v>2225963.75</v>
      </c>
      <c r="AO283">
        <v>2200644.5</v>
      </c>
      <c r="AP283">
        <v>1445490</v>
      </c>
      <c r="AQ283">
        <v>1772783.25</v>
      </c>
      <c r="AR283">
        <v>1894085.5</v>
      </c>
      <c r="AS283">
        <v>1998626.25</v>
      </c>
      <c r="AT283">
        <v>906140.12</v>
      </c>
      <c r="AU283">
        <v>111774.65</v>
      </c>
      <c r="AV283">
        <v>1539037.5</v>
      </c>
      <c r="AW283">
        <v>1774624.75</v>
      </c>
      <c r="AX283">
        <v>694141.62</v>
      </c>
      <c r="AY283">
        <v>1008565.38</v>
      </c>
      <c r="AZ283">
        <v>1339279.8799999999</v>
      </c>
      <c r="BA283">
        <v>1130687.6200000001</v>
      </c>
    </row>
    <row r="284" spans="1:53">
      <c r="A284">
        <v>20205</v>
      </c>
      <c r="B284" t="s">
        <v>1185</v>
      </c>
      <c r="C284" t="s">
        <v>1186</v>
      </c>
      <c r="D284" t="s">
        <v>1187</v>
      </c>
      <c r="F284" t="s">
        <v>1188</v>
      </c>
      <c r="G284">
        <v>10.803000000000001</v>
      </c>
      <c r="H284" t="s">
        <v>57</v>
      </c>
      <c r="I284">
        <v>2</v>
      </c>
      <c r="J284">
        <v>2</v>
      </c>
      <c r="K284">
        <v>0</v>
      </c>
      <c r="L284">
        <v>3.68</v>
      </c>
      <c r="M284">
        <v>20903</v>
      </c>
      <c r="N284">
        <v>5</v>
      </c>
      <c r="O284">
        <v>1</v>
      </c>
      <c r="P284">
        <v>1</v>
      </c>
      <c r="Q284">
        <v>1</v>
      </c>
      <c r="R284">
        <v>1</v>
      </c>
      <c r="S284">
        <v>2</v>
      </c>
      <c r="T284">
        <v>2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2413664.5</v>
      </c>
      <c r="AM284">
        <v>2247997.5</v>
      </c>
      <c r="AN284">
        <v>658396.56000000006</v>
      </c>
      <c r="AO284">
        <v>867108.94</v>
      </c>
      <c r="AP284">
        <v>2048645.62</v>
      </c>
      <c r="AQ284">
        <v>1506542.75</v>
      </c>
      <c r="AS284">
        <v>626678.56000000006</v>
      </c>
      <c r="AT284">
        <v>2413664.5</v>
      </c>
      <c r="AU284">
        <v>1734829.62</v>
      </c>
      <c r="AV284">
        <v>508348.34</v>
      </c>
      <c r="AW284">
        <v>771101.31</v>
      </c>
      <c r="AX284">
        <v>824939.94</v>
      </c>
      <c r="AY284">
        <v>647635.68999999994</v>
      </c>
      <c r="AZ284">
        <v>199295.7</v>
      </c>
      <c r="BA284">
        <v>491864.97</v>
      </c>
    </row>
    <row r="285" spans="1:53">
      <c r="A285">
        <v>20172</v>
      </c>
      <c r="B285" t="s">
        <v>1189</v>
      </c>
      <c r="C285" t="s">
        <v>1190</v>
      </c>
      <c r="D285" t="s">
        <v>1191</v>
      </c>
      <c r="F285" t="s">
        <v>1192</v>
      </c>
      <c r="G285">
        <v>10.597</v>
      </c>
      <c r="H285" t="s">
        <v>57</v>
      </c>
      <c r="I285">
        <v>2</v>
      </c>
      <c r="J285">
        <v>3</v>
      </c>
      <c r="K285">
        <v>0</v>
      </c>
      <c r="L285">
        <v>9.82</v>
      </c>
      <c r="M285">
        <v>13133</v>
      </c>
      <c r="N285">
        <v>9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2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1</v>
      </c>
      <c r="AJ285">
        <v>0</v>
      </c>
      <c r="AK285">
        <v>0</v>
      </c>
      <c r="AL285">
        <v>303317.19</v>
      </c>
      <c r="AM285">
        <v>662288.38</v>
      </c>
      <c r="AN285">
        <v>449228.66</v>
      </c>
      <c r="AO285">
        <v>436130.38</v>
      </c>
      <c r="AP285">
        <v>2842485</v>
      </c>
      <c r="AQ285">
        <v>1836728.38</v>
      </c>
      <c r="AR285">
        <v>224707.56</v>
      </c>
      <c r="AS285">
        <v>132884.17000000001</v>
      </c>
      <c r="AT285">
        <v>303317.19</v>
      </c>
      <c r="AU285">
        <v>511102.66</v>
      </c>
      <c r="AV285">
        <v>346849.72</v>
      </c>
      <c r="AW285">
        <v>387841.38</v>
      </c>
      <c r="AX285">
        <v>1144599.75</v>
      </c>
      <c r="AY285">
        <v>789576.62</v>
      </c>
      <c r="AZ285">
        <v>120320.69</v>
      </c>
      <c r="BA285">
        <v>104297.60000000001</v>
      </c>
    </row>
    <row r="286" spans="1:53">
      <c r="A286">
        <v>20145</v>
      </c>
      <c r="B286" t="s">
        <v>1193</v>
      </c>
      <c r="C286" t="s">
        <v>1194</v>
      </c>
      <c r="D286" t="s">
        <v>1195</v>
      </c>
      <c r="F286" t="s">
        <v>1196</v>
      </c>
      <c r="G286">
        <v>10.515000000000001</v>
      </c>
      <c r="H286" t="s">
        <v>57</v>
      </c>
      <c r="I286">
        <v>2</v>
      </c>
      <c r="J286">
        <v>3</v>
      </c>
      <c r="K286">
        <v>0</v>
      </c>
      <c r="L286">
        <v>18.559999999999999</v>
      </c>
      <c r="M286">
        <v>10783</v>
      </c>
      <c r="N286">
        <v>7</v>
      </c>
      <c r="O286">
        <v>2</v>
      </c>
      <c r="P286">
        <v>2</v>
      </c>
      <c r="Q286">
        <v>2</v>
      </c>
      <c r="R286">
        <v>2</v>
      </c>
      <c r="S286">
        <v>11</v>
      </c>
      <c r="T286">
        <v>11</v>
      </c>
      <c r="U286">
        <v>2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2</v>
      </c>
      <c r="AC286">
        <v>1</v>
      </c>
      <c r="AD286">
        <v>7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</v>
      </c>
      <c r="AK286">
        <v>0</v>
      </c>
      <c r="AL286">
        <v>5961723</v>
      </c>
      <c r="AM286">
        <v>891655.94</v>
      </c>
      <c r="AN286">
        <v>401244.28</v>
      </c>
      <c r="AO286">
        <v>252449.83</v>
      </c>
      <c r="AP286">
        <v>507927.09</v>
      </c>
      <c r="AQ286">
        <v>460931.38</v>
      </c>
      <c r="AR286">
        <v>4246500</v>
      </c>
      <c r="AS286">
        <v>419621.56</v>
      </c>
      <c r="AT286">
        <v>12023699</v>
      </c>
      <c r="AU286">
        <v>16205.88</v>
      </c>
      <c r="AV286">
        <v>12316.89</v>
      </c>
      <c r="AW286">
        <v>10341.99</v>
      </c>
      <c r="AX286">
        <v>195149.92</v>
      </c>
      <c r="AY286">
        <v>8731.09</v>
      </c>
      <c r="AZ286">
        <v>5638479.5</v>
      </c>
      <c r="BA286">
        <v>503776.44</v>
      </c>
    </row>
    <row r="287" spans="1:53">
      <c r="A287">
        <v>20261</v>
      </c>
      <c r="B287" t="s">
        <v>1197</v>
      </c>
      <c r="C287" t="s">
        <v>1198</v>
      </c>
      <c r="D287" t="s">
        <v>1197</v>
      </c>
      <c r="F287" t="s">
        <v>1199</v>
      </c>
      <c r="G287">
        <v>10.512</v>
      </c>
      <c r="H287" t="s">
        <v>57</v>
      </c>
      <c r="I287">
        <v>2</v>
      </c>
      <c r="J287">
        <v>1</v>
      </c>
      <c r="K287">
        <v>0</v>
      </c>
      <c r="L287">
        <v>3.6</v>
      </c>
      <c r="M287">
        <v>46710</v>
      </c>
      <c r="N287">
        <v>25</v>
      </c>
      <c r="O287">
        <v>2</v>
      </c>
      <c r="P287">
        <v>2</v>
      </c>
      <c r="Q287">
        <v>2</v>
      </c>
      <c r="R287">
        <v>2</v>
      </c>
      <c r="S287">
        <v>6</v>
      </c>
      <c r="T287">
        <v>6</v>
      </c>
      <c r="U287">
        <v>2</v>
      </c>
      <c r="V287">
        <v>1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0</v>
      </c>
      <c r="AE287">
        <v>1</v>
      </c>
      <c r="AF287">
        <v>2</v>
      </c>
      <c r="AG287">
        <v>2</v>
      </c>
      <c r="AH287">
        <v>0</v>
      </c>
      <c r="AI287">
        <v>1</v>
      </c>
      <c r="AJ287">
        <v>1</v>
      </c>
      <c r="AK287">
        <v>0</v>
      </c>
      <c r="AL287">
        <v>301704.03000000003</v>
      </c>
      <c r="AM287">
        <v>16643313</v>
      </c>
      <c r="AN287">
        <v>4103728</v>
      </c>
      <c r="AO287">
        <v>4202560.5</v>
      </c>
      <c r="AP287">
        <v>42902124</v>
      </c>
      <c r="AQ287">
        <v>42226708</v>
      </c>
      <c r="AR287">
        <v>5905545.5</v>
      </c>
      <c r="AS287">
        <v>4176298.5</v>
      </c>
      <c r="AT287">
        <v>142218.79999999999</v>
      </c>
      <c r="AU287">
        <v>8369052</v>
      </c>
      <c r="AV287">
        <v>5966456.5</v>
      </c>
      <c r="AW287">
        <v>6552837.5</v>
      </c>
      <c r="AX287">
        <v>12563386</v>
      </c>
      <c r="AY287">
        <v>13472957</v>
      </c>
      <c r="AZ287">
        <v>7686227</v>
      </c>
      <c r="BA287">
        <v>8899976</v>
      </c>
    </row>
    <row r="288" spans="1:53">
      <c r="A288">
        <v>20033</v>
      </c>
      <c r="B288" t="s">
        <v>1200</v>
      </c>
      <c r="C288" t="s">
        <v>1201</v>
      </c>
      <c r="D288" t="s">
        <v>1202</v>
      </c>
      <c r="E288" t="s">
        <v>1203</v>
      </c>
      <c r="F288" t="s">
        <v>1204</v>
      </c>
      <c r="G288">
        <v>10.419</v>
      </c>
      <c r="H288" t="s">
        <v>57</v>
      </c>
      <c r="I288">
        <v>2</v>
      </c>
      <c r="J288">
        <v>19</v>
      </c>
      <c r="K288">
        <v>1</v>
      </c>
      <c r="L288">
        <v>8.5</v>
      </c>
      <c r="M288">
        <v>38164</v>
      </c>
      <c r="N288">
        <v>22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1</v>
      </c>
      <c r="W288">
        <v>2</v>
      </c>
      <c r="X288">
        <v>1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</v>
      </c>
      <c r="AJ288">
        <v>0</v>
      </c>
      <c r="AK288">
        <v>1</v>
      </c>
      <c r="AL288">
        <v>666079.81000000006</v>
      </c>
      <c r="AM288">
        <v>2719819.75</v>
      </c>
      <c r="AN288">
        <v>689966.56</v>
      </c>
      <c r="AO288">
        <v>7247206</v>
      </c>
      <c r="AP288">
        <v>16911220</v>
      </c>
      <c r="AQ288">
        <v>14495470</v>
      </c>
      <c r="AR288">
        <v>13019716</v>
      </c>
      <c r="AS288">
        <v>9758630</v>
      </c>
      <c r="AT288">
        <v>127701.52</v>
      </c>
      <c r="AU288">
        <v>1482671.75</v>
      </c>
      <c r="AV288">
        <v>23239.07</v>
      </c>
      <c r="AW288">
        <v>6573630</v>
      </c>
      <c r="AX288">
        <v>6693579.5</v>
      </c>
      <c r="AY288">
        <v>6305536</v>
      </c>
      <c r="AZ288">
        <v>7811925</v>
      </c>
      <c r="BA288">
        <v>8363962.5</v>
      </c>
    </row>
    <row r="289" spans="1:53">
      <c r="A289">
        <v>20030</v>
      </c>
      <c r="B289" t="s">
        <v>1205</v>
      </c>
      <c r="C289" t="s">
        <v>1206</v>
      </c>
      <c r="D289" t="s">
        <v>1207</v>
      </c>
      <c r="F289" t="s">
        <v>1208</v>
      </c>
      <c r="G289">
        <v>10.41</v>
      </c>
      <c r="H289" t="s">
        <v>57</v>
      </c>
      <c r="I289">
        <v>2</v>
      </c>
      <c r="J289">
        <v>19</v>
      </c>
      <c r="K289">
        <v>0</v>
      </c>
      <c r="L289">
        <v>3.12</v>
      </c>
      <c r="M289">
        <v>37972</v>
      </c>
      <c r="N289">
        <v>21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854784.25</v>
      </c>
      <c r="AM289">
        <v>1260803.6200000001</v>
      </c>
      <c r="AN289">
        <v>1353946.5</v>
      </c>
      <c r="AO289">
        <v>1178134.8799999999</v>
      </c>
      <c r="AP289">
        <v>1393279.12</v>
      </c>
      <c r="AQ289">
        <v>1566674.75</v>
      </c>
      <c r="AR289">
        <v>911209.75</v>
      </c>
      <c r="AS289">
        <v>586862</v>
      </c>
      <c r="AT289">
        <v>854784.25</v>
      </c>
      <c r="AU289">
        <v>972990.19</v>
      </c>
      <c r="AV289">
        <v>1045382.81</v>
      </c>
      <c r="AW289">
        <v>1047690</v>
      </c>
      <c r="AX289">
        <v>561039.75</v>
      </c>
      <c r="AY289">
        <v>673485.44</v>
      </c>
      <c r="AZ289">
        <v>487911.41</v>
      </c>
      <c r="BA289">
        <v>460613.91</v>
      </c>
    </row>
    <row r="290" spans="1:53">
      <c r="A290">
        <v>20244</v>
      </c>
      <c r="B290" t="s">
        <v>1209</v>
      </c>
      <c r="C290" t="s">
        <v>1210</v>
      </c>
      <c r="D290" t="s">
        <v>1209</v>
      </c>
      <c r="F290" t="s">
        <v>1211</v>
      </c>
      <c r="G290">
        <v>9.8659999999999997</v>
      </c>
      <c r="H290" t="s">
        <v>57</v>
      </c>
      <c r="I290">
        <v>2</v>
      </c>
      <c r="J290">
        <v>1</v>
      </c>
      <c r="K290">
        <v>0</v>
      </c>
      <c r="L290">
        <v>6.71</v>
      </c>
      <c r="M290">
        <v>18153</v>
      </c>
      <c r="N290">
        <v>10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Z290">
        <v>1</v>
      </c>
      <c r="AA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0</v>
      </c>
      <c r="AK290">
        <v>0</v>
      </c>
      <c r="AL290">
        <v>298672.75</v>
      </c>
      <c r="AM290">
        <v>401537.03</v>
      </c>
      <c r="AP290">
        <v>625833.88</v>
      </c>
      <c r="AQ290">
        <v>542864.43999999994</v>
      </c>
      <c r="AT290">
        <v>298672.75</v>
      </c>
      <c r="AU290">
        <v>309875.06</v>
      </c>
      <c r="AV290">
        <v>213953.23</v>
      </c>
      <c r="AW290">
        <v>170153.38</v>
      </c>
      <c r="AX290">
        <v>252008.12</v>
      </c>
      <c r="AY290">
        <v>233367.7</v>
      </c>
      <c r="AZ290">
        <v>199295.7</v>
      </c>
      <c r="BA290">
        <v>212391.23</v>
      </c>
    </row>
    <row r="291" spans="1:53">
      <c r="A291">
        <v>20240</v>
      </c>
      <c r="B291" t="s">
        <v>1212</v>
      </c>
      <c r="C291" t="s">
        <v>1213</v>
      </c>
      <c r="D291" t="s">
        <v>1214</v>
      </c>
      <c r="F291" t="s">
        <v>1215</v>
      </c>
      <c r="G291">
        <v>9.6679999999999993</v>
      </c>
      <c r="H291" t="s">
        <v>57</v>
      </c>
      <c r="I291">
        <v>2</v>
      </c>
      <c r="J291">
        <v>3</v>
      </c>
      <c r="K291">
        <v>0</v>
      </c>
      <c r="L291">
        <v>1.1399999999999999</v>
      </c>
      <c r="M291">
        <v>107806</v>
      </c>
      <c r="N291">
        <v>54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1</v>
      </c>
      <c r="AH291">
        <v>1</v>
      </c>
      <c r="AI291">
        <v>2</v>
      </c>
      <c r="AJ291">
        <v>1</v>
      </c>
      <c r="AK291">
        <v>2</v>
      </c>
      <c r="AL291">
        <v>375796.84</v>
      </c>
      <c r="AM291">
        <v>35744032</v>
      </c>
      <c r="AN291">
        <v>4730803.5</v>
      </c>
      <c r="AO291">
        <v>5677457.5</v>
      </c>
      <c r="AP291">
        <v>15580249</v>
      </c>
      <c r="AQ291">
        <v>13033701</v>
      </c>
      <c r="AR291">
        <v>4334099</v>
      </c>
      <c r="AS291">
        <v>7862109.5</v>
      </c>
      <c r="AT291">
        <v>375796.84</v>
      </c>
      <c r="AU291">
        <v>27584464</v>
      </c>
      <c r="AV291">
        <v>3652656.25</v>
      </c>
      <c r="AW291">
        <v>5048841</v>
      </c>
      <c r="AX291">
        <v>6273788.5</v>
      </c>
      <c r="AY291">
        <v>5602954.5</v>
      </c>
      <c r="AZ291">
        <v>2320713</v>
      </c>
      <c r="BA291">
        <v>6170781</v>
      </c>
    </row>
    <row r="292" spans="1:53">
      <c r="A292">
        <v>20012</v>
      </c>
      <c r="B292" t="s">
        <v>1216</v>
      </c>
      <c r="C292" t="s">
        <v>1217</v>
      </c>
      <c r="D292" t="s">
        <v>1218</v>
      </c>
      <c r="F292" t="s">
        <v>1219</v>
      </c>
      <c r="G292">
        <v>9.5</v>
      </c>
      <c r="H292" t="s">
        <v>57</v>
      </c>
      <c r="I292">
        <v>2</v>
      </c>
      <c r="J292">
        <v>21</v>
      </c>
      <c r="K292">
        <v>0</v>
      </c>
      <c r="L292">
        <v>3.16</v>
      </c>
      <c r="M292">
        <v>34774</v>
      </c>
      <c r="N292">
        <v>18</v>
      </c>
      <c r="O292">
        <v>1</v>
      </c>
      <c r="P292">
        <v>1</v>
      </c>
      <c r="Q292">
        <v>1</v>
      </c>
      <c r="R292">
        <v>1</v>
      </c>
      <c r="S292">
        <v>2</v>
      </c>
      <c r="T292">
        <v>2</v>
      </c>
      <c r="U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1</v>
      </c>
      <c r="AK292">
        <v>0</v>
      </c>
      <c r="AM292">
        <v>1052010.25</v>
      </c>
      <c r="AN292">
        <v>1326848.25</v>
      </c>
      <c r="AO292">
        <v>1059174.25</v>
      </c>
      <c r="AP292">
        <v>6216945.5</v>
      </c>
      <c r="AQ292">
        <v>2791624.75</v>
      </c>
      <c r="AR292">
        <v>3923234.75</v>
      </c>
      <c r="AS292">
        <v>3444133.25</v>
      </c>
      <c r="AT292">
        <v>49505.43</v>
      </c>
      <c r="AU292">
        <v>811859.69</v>
      </c>
      <c r="AV292">
        <v>1024460.25</v>
      </c>
      <c r="AW292">
        <v>941900.88</v>
      </c>
      <c r="AX292">
        <v>2503413.25</v>
      </c>
      <c r="AY292">
        <v>1200069.5</v>
      </c>
      <c r="AZ292">
        <v>2100713.75</v>
      </c>
      <c r="BA292">
        <v>2703217.75</v>
      </c>
    </row>
    <row r="293" spans="1:53">
      <c r="A293">
        <v>20218</v>
      </c>
      <c r="B293" t="s">
        <v>1220</v>
      </c>
      <c r="C293" t="s">
        <v>1221</v>
      </c>
      <c r="D293" t="s">
        <v>1222</v>
      </c>
      <c r="F293" t="s">
        <v>1223</v>
      </c>
      <c r="G293">
        <v>9.2759999999999998</v>
      </c>
      <c r="H293" t="s">
        <v>57</v>
      </c>
      <c r="I293">
        <v>2</v>
      </c>
      <c r="J293">
        <v>4</v>
      </c>
      <c r="K293">
        <v>0</v>
      </c>
      <c r="L293">
        <v>1.1499999999999999</v>
      </c>
      <c r="M293">
        <v>67354</v>
      </c>
      <c r="N293">
        <v>29</v>
      </c>
      <c r="O293">
        <v>1</v>
      </c>
      <c r="P293">
        <v>1</v>
      </c>
      <c r="Q293">
        <v>1</v>
      </c>
      <c r="R293">
        <v>1</v>
      </c>
      <c r="S293">
        <v>12</v>
      </c>
      <c r="T293">
        <v>12</v>
      </c>
      <c r="U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0</v>
      </c>
      <c r="AE293">
        <v>2</v>
      </c>
      <c r="AF293">
        <v>2</v>
      </c>
      <c r="AG293">
        <v>2</v>
      </c>
      <c r="AH293">
        <v>1</v>
      </c>
      <c r="AI293">
        <v>1</v>
      </c>
      <c r="AJ293">
        <v>2</v>
      </c>
      <c r="AK293">
        <v>2</v>
      </c>
      <c r="AM293">
        <v>13806898</v>
      </c>
      <c r="AN293">
        <v>13054426</v>
      </c>
      <c r="AO293">
        <v>12283094</v>
      </c>
      <c r="AP293">
        <v>11626178</v>
      </c>
      <c r="AQ293">
        <v>10447286</v>
      </c>
      <c r="AR293">
        <v>16354938</v>
      </c>
      <c r="AS293">
        <v>6697461</v>
      </c>
      <c r="AT293">
        <v>49505.43</v>
      </c>
      <c r="AU293">
        <v>10655090</v>
      </c>
      <c r="AV293">
        <v>10079330</v>
      </c>
      <c r="AW293">
        <v>10923091</v>
      </c>
      <c r="AX293">
        <v>4681580</v>
      </c>
      <c r="AY293">
        <v>4491101</v>
      </c>
      <c r="AZ293">
        <v>8757326</v>
      </c>
      <c r="BA293">
        <v>5256676.5</v>
      </c>
    </row>
    <row r="294" spans="1:53">
      <c r="A294">
        <v>20237</v>
      </c>
      <c r="B294" t="s">
        <v>1224</v>
      </c>
      <c r="C294" t="s">
        <v>1225</v>
      </c>
      <c r="D294" t="s">
        <v>1226</v>
      </c>
      <c r="F294" t="s">
        <v>1227</v>
      </c>
      <c r="G294">
        <v>9.266</v>
      </c>
      <c r="H294" t="s">
        <v>57</v>
      </c>
      <c r="I294">
        <v>2</v>
      </c>
      <c r="J294">
        <v>2</v>
      </c>
      <c r="K294">
        <v>0</v>
      </c>
      <c r="L294">
        <v>7.18</v>
      </c>
      <c r="M294">
        <v>20315</v>
      </c>
      <c r="N294">
        <v>10</v>
      </c>
      <c r="O294">
        <v>1</v>
      </c>
      <c r="P294">
        <v>1</v>
      </c>
      <c r="Q294">
        <v>1</v>
      </c>
      <c r="R294">
        <v>1</v>
      </c>
      <c r="S294">
        <v>2</v>
      </c>
      <c r="T294">
        <v>2</v>
      </c>
      <c r="U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C294">
        <v>1</v>
      </c>
      <c r="AD294">
        <v>0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M294">
        <v>672163.5</v>
      </c>
      <c r="AN294">
        <v>712470.19</v>
      </c>
      <c r="AO294">
        <v>790759.62</v>
      </c>
      <c r="AP294">
        <v>976466.81</v>
      </c>
      <c r="AQ294">
        <v>1209774</v>
      </c>
      <c r="AS294">
        <v>469385.72</v>
      </c>
      <c r="AT294">
        <v>49505.43</v>
      </c>
      <c r="AU294">
        <v>518723.53</v>
      </c>
      <c r="AV294">
        <v>550098.62</v>
      </c>
      <c r="AW294">
        <v>703205.56</v>
      </c>
      <c r="AX294">
        <v>393199.47</v>
      </c>
      <c r="AY294">
        <v>520060.15999999997</v>
      </c>
      <c r="AZ294">
        <v>199295.7</v>
      </c>
      <c r="BA294">
        <v>368409.59</v>
      </c>
    </row>
    <row r="295" spans="1:53">
      <c r="A295">
        <v>20226</v>
      </c>
      <c r="B295" t="s">
        <v>1228</v>
      </c>
      <c r="C295" t="s">
        <v>1229</v>
      </c>
      <c r="D295" t="s">
        <v>1230</v>
      </c>
      <c r="F295" t="s">
        <v>1231</v>
      </c>
      <c r="G295">
        <v>9.2309999999999999</v>
      </c>
      <c r="H295" t="s">
        <v>57</v>
      </c>
      <c r="I295">
        <v>2</v>
      </c>
      <c r="J295">
        <v>2</v>
      </c>
      <c r="K295">
        <v>0</v>
      </c>
      <c r="L295">
        <v>27.68</v>
      </c>
      <c r="M295">
        <v>12020</v>
      </c>
      <c r="N295">
        <v>5</v>
      </c>
      <c r="O295">
        <v>2</v>
      </c>
      <c r="P295">
        <v>2</v>
      </c>
      <c r="Q295">
        <v>2</v>
      </c>
      <c r="R295">
        <v>2</v>
      </c>
      <c r="S295">
        <v>3</v>
      </c>
      <c r="T295">
        <v>3</v>
      </c>
      <c r="U295">
        <v>2</v>
      </c>
      <c r="X295">
        <v>1</v>
      </c>
      <c r="Y295">
        <v>1</v>
      </c>
      <c r="Z295">
        <v>2</v>
      </c>
      <c r="AA295">
        <v>2</v>
      </c>
      <c r="AB295">
        <v>2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3</v>
      </c>
      <c r="AI295">
        <v>2</v>
      </c>
      <c r="AJ295">
        <v>0</v>
      </c>
      <c r="AK295">
        <v>0</v>
      </c>
      <c r="AN295">
        <v>475515.38</v>
      </c>
      <c r="AO295">
        <v>213231.94</v>
      </c>
      <c r="AP295">
        <v>8005188</v>
      </c>
      <c r="AQ295">
        <v>4018771</v>
      </c>
      <c r="AR295">
        <v>1326550.25</v>
      </c>
      <c r="AS295">
        <v>905267.88</v>
      </c>
      <c r="AT295">
        <v>49505.43</v>
      </c>
      <c r="AU295">
        <v>17163.39</v>
      </c>
      <c r="AV295">
        <v>24121.06</v>
      </c>
      <c r="AW295">
        <v>461820.81</v>
      </c>
      <c r="AX295">
        <v>3756966.5</v>
      </c>
      <c r="AY295">
        <v>2492843</v>
      </c>
      <c r="AZ295">
        <v>770573.56</v>
      </c>
      <c r="BA295">
        <v>771053.25</v>
      </c>
    </row>
    <row r="296" spans="1:53">
      <c r="A296">
        <v>20224</v>
      </c>
      <c r="B296" t="s">
        <v>1232</v>
      </c>
      <c r="C296" t="s">
        <v>1233</v>
      </c>
      <c r="D296" t="s">
        <v>1234</v>
      </c>
      <c r="F296" t="s">
        <v>1235</v>
      </c>
      <c r="G296">
        <v>8.3650000000000002</v>
      </c>
      <c r="H296" t="s">
        <v>57</v>
      </c>
      <c r="I296">
        <v>2</v>
      </c>
      <c r="J296">
        <v>2</v>
      </c>
      <c r="K296">
        <v>0</v>
      </c>
      <c r="L296">
        <v>1.57</v>
      </c>
      <c r="M296">
        <v>79341</v>
      </c>
      <c r="N296">
        <v>39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788154.5</v>
      </c>
      <c r="AM296">
        <v>1137982</v>
      </c>
      <c r="AN296">
        <v>1042478.5</v>
      </c>
      <c r="AO296">
        <v>995219.75</v>
      </c>
      <c r="AP296">
        <v>1983839.62</v>
      </c>
      <c r="AQ296">
        <v>1003727.5</v>
      </c>
      <c r="AR296">
        <v>1164306.1200000001</v>
      </c>
      <c r="AS296">
        <v>853257.31</v>
      </c>
      <c r="AT296">
        <v>788154.5</v>
      </c>
      <c r="AU296">
        <v>878206</v>
      </c>
      <c r="AV296">
        <v>804898.25</v>
      </c>
      <c r="AW296">
        <v>885027.5</v>
      </c>
      <c r="AX296">
        <v>798844.06</v>
      </c>
      <c r="AY296">
        <v>431484.47</v>
      </c>
      <c r="AZ296">
        <v>623433</v>
      </c>
      <c r="BA296">
        <v>669701.18999999994</v>
      </c>
    </row>
    <row r="297" spans="1:53">
      <c r="A297">
        <v>20210</v>
      </c>
      <c r="B297" t="s">
        <v>1236</v>
      </c>
      <c r="C297" t="s">
        <v>1237</v>
      </c>
      <c r="D297" t="s">
        <v>1238</v>
      </c>
      <c r="F297" t="s">
        <v>1239</v>
      </c>
      <c r="G297">
        <v>7.94</v>
      </c>
      <c r="H297" t="s">
        <v>57</v>
      </c>
      <c r="I297">
        <v>2</v>
      </c>
      <c r="J297">
        <v>2</v>
      </c>
      <c r="K297">
        <v>0</v>
      </c>
      <c r="L297">
        <v>1.44</v>
      </c>
      <c r="M297">
        <v>55279</v>
      </c>
      <c r="N297">
        <v>27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X297">
        <v>1</v>
      </c>
      <c r="Z297">
        <v>1</v>
      </c>
      <c r="AB297">
        <v>1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72110.34</v>
      </c>
      <c r="AN297">
        <v>3336861</v>
      </c>
      <c r="AP297">
        <v>398863.59</v>
      </c>
      <c r="AR297">
        <v>4549525.5</v>
      </c>
      <c r="AT297">
        <v>72110.34</v>
      </c>
      <c r="AU297">
        <v>111774.65</v>
      </c>
      <c r="AV297">
        <v>2576392.25</v>
      </c>
      <c r="AW297">
        <v>170153.38</v>
      </c>
      <c r="AX297">
        <v>160612.70000000001</v>
      </c>
      <c r="AY297">
        <v>247733</v>
      </c>
      <c r="AZ297">
        <v>2436064.25</v>
      </c>
      <c r="BA297">
        <v>212391.23</v>
      </c>
    </row>
    <row r="298" spans="1:53">
      <c r="A298">
        <v>20102</v>
      </c>
      <c r="B298" t="s">
        <v>1240</v>
      </c>
      <c r="C298" t="s">
        <v>1241</v>
      </c>
      <c r="D298" t="s">
        <v>1242</v>
      </c>
      <c r="F298" t="s">
        <v>1243</v>
      </c>
      <c r="G298">
        <v>7.7519999999999998</v>
      </c>
      <c r="H298" t="s">
        <v>57</v>
      </c>
      <c r="I298">
        <v>2</v>
      </c>
      <c r="J298">
        <v>3</v>
      </c>
      <c r="K298">
        <v>0</v>
      </c>
      <c r="L298">
        <v>1.51</v>
      </c>
      <c r="M298">
        <v>53870</v>
      </c>
      <c r="N298">
        <v>33</v>
      </c>
      <c r="O298">
        <v>1</v>
      </c>
      <c r="P298">
        <v>1</v>
      </c>
      <c r="Q298">
        <v>1</v>
      </c>
      <c r="R298">
        <v>1</v>
      </c>
      <c r="S298">
        <v>3</v>
      </c>
      <c r="T298">
        <v>3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2770260.75</v>
      </c>
      <c r="AM298">
        <v>3236417.25</v>
      </c>
      <c r="AN298">
        <v>2639216.5</v>
      </c>
      <c r="AO298">
        <v>2872246.5</v>
      </c>
      <c r="AP298">
        <v>6021656</v>
      </c>
      <c r="AQ298">
        <v>5086465</v>
      </c>
      <c r="AR298">
        <v>3184317</v>
      </c>
      <c r="AS298">
        <v>2036217.38</v>
      </c>
      <c r="AT298">
        <v>2770260.75</v>
      </c>
      <c r="AU298">
        <v>2497615.25</v>
      </c>
      <c r="AV298">
        <v>2037740.5</v>
      </c>
      <c r="AW298">
        <v>2554227</v>
      </c>
      <c r="AX298">
        <v>2424774.75</v>
      </c>
      <c r="AY298">
        <v>2186580</v>
      </c>
      <c r="AZ298">
        <v>1705057</v>
      </c>
      <c r="BA298">
        <v>1598178.12</v>
      </c>
    </row>
    <row r="299" spans="1:53">
      <c r="A299">
        <v>20184</v>
      </c>
      <c r="B299" t="s">
        <v>1244</v>
      </c>
      <c r="C299" t="s">
        <v>1245</v>
      </c>
      <c r="D299" t="s">
        <v>1246</v>
      </c>
      <c r="F299" t="s">
        <v>1247</v>
      </c>
      <c r="G299">
        <v>7.41</v>
      </c>
      <c r="H299" t="s">
        <v>57</v>
      </c>
      <c r="I299">
        <v>2</v>
      </c>
      <c r="J299">
        <v>5</v>
      </c>
      <c r="K299">
        <v>0</v>
      </c>
      <c r="L299">
        <v>4.62</v>
      </c>
      <c r="M299">
        <v>25838</v>
      </c>
      <c r="N299">
        <v>13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1</v>
      </c>
      <c r="AF299">
        <v>1</v>
      </c>
      <c r="AG299">
        <v>0</v>
      </c>
      <c r="AH299">
        <v>1</v>
      </c>
      <c r="AI299">
        <v>1</v>
      </c>
      <c r="AJ299">
        <v>1</v>
      </c>
      <c r="AK299">
        <v>0</v>
      </c>
      <c r="AL299">
        <v>203238.11</v>
      </c>
      <c r="AM299">
        <v>536729.81000000006</v>
      </c>
      <c r="AN299">
        <v>523578.06</v>
      </c>
      <c r="AP299">
        <v>611428.43999999994</v>
      </c>
      <c r="AQ299">
        <v>563095.93999999994</v>
      </c>
      <c r="AR299">
        <v>289758.31</v>
      </c>
      <c r="AS299">
        <v>290026.88</v>
      </c>
      <c r="AT299">
        <v>203238.11</v>
      </c>
      <c r="AU299">
        <v>414206.34</v>
      </c>
      <c r="AV299">
        <v>404254.91</v>
      </c>
      <c r="AW299">
        <v>170153.38</v>
      </c>
      <c r="AX299">
        <v>246207.41</v>
      </c>
      <c r="AY299">
        <v>242064.86</v>
      </c>
      <c r="AZ299">
        <v>155152.41</v>
      </c>
      <c r="BA299">
        <v>227635.14</v>
      </c>
    </row>
    <row r="300" spans="1:53">
      <c r="A300">
        <v>20068</v>
      </c>
      <c r="B300" t="s">
        <v>1248</v>
      </c>
      <c r="C300" t="s">
        <v>1249</v>
      </c>
      <c r="D300" t="s">
        <v>1250</v>
      </c>
      <c r="F300" t="s">
        <v>1251</v>
      </c>
      <c r="G300">
        <v>6.4630000000000001</v>
      </c>
      <c r="H300" t="s">
        <v>57</v>
      </c>
      <c r="I300">
        <v>2</v>
      </c>
      <c r="J300">
        <v>21</v>
      </c>
      <c r="K300">
        <v>0</v>
      </c>
      <c r="L300">
        <v>10.62</v>
      </c>
      <c r="M300">
        <v>12942</v>
      </c>
      <c r="N300">
        <v>6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Z300">
        <v>1</v>
      </c>
      <c r="AA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555471.31000000006</v>
      </c>
      <c r="AM300">
        <v>592218</v>
      </c>
      <c r="AP300">
        <v>608923.81000000006</v>
      </c>
      <c r="AQ300">
        <v>451672.47</v>
      </c>
      <c r="AT300">
        <v>555471.31000000006</v>
      </c>
      <c r="AU300">
        <v>457027.81</v>
      </c>
      <c r="AV300">
        <v>213953.23</v>
      </c>
      <c r="AW300">
        <v>170153.38</v>
      </c>
      <c r="AX300">
        <v>245198.86</v>
      </c>
      <c r="AY300">
        <v>194165.89</v>
      </c>
      <c r="AZ300">
        <v>199295.7</v>
      </c>
      <c r="BA300">
        <v>212391.23</v>
      </c>
    </row>
    <row r="301" spans="1:53">
      <c r="A301">
        <v>19963</v>
      </c>
      <c r="B301" t="s">
        <v>1252</v>
      </c>
      <c r="C301" t="s">
        <v>1253</v>
      </c>
      <c r="D301" t="s">
        <v>1254</v>
      </c>
      <c r="F301" t="s">
        <v>1255</v>
      </c>
      <c r="G301">
        <v>5.8529999999999998</v>
      </c>
      <c r="H301" t="s">
        <v>57</v>
      </c>
      <c r="I301">
        <v>2</v>
      </c>
      <c r="J301">
        <v>21</v>
      </c>
      <c r="K301">
        <v>0</v>
      </c>
      <c r="L301">
        <v>7.83</v>
      </c>
      <c r="M301">
        <v>50324</v>
      </c>
      <c r="N301">
        <v>24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0</v>
      </c>
      <c r="AE301">
        <v>0</v>
      </c>
      <c r="AF301">
        <v>1</v>
      </c>
      <c r="AG301">
        <v>0</v>
      </c>
      <c r="AH301">
        <v>3</v>
      </c>
      <c r="AI301">
        <v>0</v>
      </c>
      <c r="AJ301">
        <v>0</v>
      </c>
      <c r="AK301">
        <v>0</v>
      </c>
      <c r="AL301">
        <v>21362496</v>
      </c>
      <c r="AM301">
        <v>22767560</v>
      </c>
      <c r="AN301">
        <v>22474176</v>
      </c>
      <c r="AO301">
        <v>47001392</v>
      </c>
      <c r="AP301">
        <v>40815808</v>
      </c>
      <c r="AQ301">
        <v>39601480</v>
      </c>
      <c r="AR301">
        <v>25228930</v>
      </c>
      <c r="AS301">
        <v>20341424</v>
      </c>
      <c r="AT301">
        <v>28823442</v>
      </c>
      <c r="AU301">
        <v>20971664</v>
      </c>
      <c r="AV301">
        <v>17642736</v>
      </c>
      <c r="AW301">
        <v>25330210</v>
      </c>
      <c r="AX301">
        <v>19153434</v>
      </c>
      <c r="AY301">
        <v>17790354</v>
      </c>
      <c r="AZ301">
        <v>14163351</v>
      </c>
      <c r="BA301">
        <v>16835548</v>
      </c>
    </row>
    <row r="302" spans="1:53">
      <c r="A302">
        <v>20229</v>
      </c>
      <c r="B302" t="s">
        <v>1256</v>
      </c>
      <c r="C302" t="s">
        <v>1257</v>
      </c>
      <c r="D302" t="s">
        <v>1258</v>
      </c>
      <c r="F302" t="s">
        <v>1259</v>
      </c>
      <c r="G302">
        <v>5.6769999999999996</v>
      </c>
      <c r="H302" t="s">
        <v>57</v>
      </c>
      <c r="I302">
        <v>2</v>
      </c>
      <c r="J302">
        <v>3</v>
      </c>
      <c r="K302">
        <v>0</v>
      </c>
      <c r="L302">
        <v>0.82</v>
      </c>
      <c r="M302">
        <v>95583</v>
      </c>
      <c r="N302">
        <v>58</v>
      </c>
      <c r="O302">
        <v>1</v>
      </c>
      <c r="P302">
        <v>1</v>
      </c>
      <c r="Q302">
        <v>1</v>
      </c>
      <c r="R302">
        <v>1</v>
      </c>
      <c r="S302">
        <v>5</v>
      </c>
      <c r="T302">
        <v>5</v>
      </c>
      <c r="U302">
        <v>1</v>
      </c>
      <c r="W302">
        <v>1</v>
      </c>
      <c r="X302">
        <v>1</v>
      </c>
      <c r="Y302">
        <v>1</v>
      </c>
      <c r="Z302">
        <v>1</v>
      </c>
      <c r="AB302">
        <v>1</v>
      </c>
      <c r="AC302">
        <v>1</v>
      </c>
      <c r="AD302">
        <v>0</v>
      </c>
      <c r="AE302">
        <v>3</v>
      </c>
      <c r="AF302">
        <v>3</v>
      </c>
      <c r="AG302">
        <v>3</v>
      </c>
      <c r="AH302">
        <v>3</v>
      </c>
      <c r="AI302">
        <v>0</v>
      </c>
      <c r="AJ302">
        <v>2</v>
      </c>
      <c r="AK302">
        <v>6</v>
      </c>
      <c r="AM302">
        <v>96915248</v>
      </c>
      <c r="AN302">
        <v>87751280</v>
      </c>
      <c r="AO302">
        <v>81469232</v>
      </c>
      <c r="AP302">
        <v>149342976</v>
      </c>
      <c r="AR302">
        <v>75912024</v>
      </c>
      <c r="AS302">
        <v>64913396</v>
      </c>
      <c r="AT302">
        <v>49505.43</v>
      </c>
      <c r="AU302">
        <v>74791656</v>
      </c>
      <c r="AV302">
        <v>67752816</v>
      </c>
      <c r="AW302">
        <v>72448832</v>
      </c>
      <c r="AX302">
        <v>60136796</v>
      </c>
      <c r="AY302">
        <v>247733</v>
      </c>
      <c r="AZ302">
        <v>40647436</v>
      </c>
      <c r="BA302">
        <v>50948968</v>
      </c>
    </row>
    <row r="303" spans="1:53">
      <c r="A303">
        <v>20257</v>
      </c>
      <c r="B303" t="s">
        <v>1345</v>
      </c>
      <c r="C303" t="s">
        <v>1346</v>
      </c>
      <c r="D303" t="s">
        <v>1347</v>
      </c>
      <c r="F303" t="s">
        <v>1348</v>
      </c>
      <c r="G303">
        <v>4.0670000000000002</v>
      </c>
      <c r="H303" t="s">
        <v>57</v>
      </c>
      <c r="I303">
        <v>2</v>
      </c>
      <c r="J303">
        <v>2</v>
      </c>
      <c r="K303">
        <v>0</v>
      </c>
      <c r="L303">
        <v>1.58</v>
      </c>
      <c r="M303">
        <v>49147</v>
      </c>
      <c r="N303">
        <v>26</v>
      </c>
      <c r="O303">
        <v>1</v>
      </c>
      <c r="P303">
        <v>1</v>
      </c>
      <c r="Q303">
        <v>1</v>
      </c>
      <c r="R303">
        <v>1</v>
      </c>
      <c r="S303">
        <v>4</v>
      </c>
      <c r="T303">
        <v>4</v>
      </c>
      <c r="U303">
        <v>1</v>
      </c>
      <c r="W303">
        <v>1</v>
      </c>
      <c r="X303">
        <v>1</v>
      </c>
      <c r="Z303">
        <v>1</v>
      </c>
      <c r="AA303">
        <v>1</v>
      </c>
      <c r="AC303">
        <v>1</v>
      </c>
      <c r="AD303">
        <v>0</v>
      </c>
      <c r="AE303">
        <v>2</v>
      </c>
      <c r="AF303">
        <v>2</v>
      </c>
      <c r="AG303">
        <v>0</v>
      </c>
      <c r="AH303">
        <v>3</v>
      </c>
      <c r="AI303">
        <v>4</v>
      </c>
      <c r="AJ303">
        <v>0</v>
      </c>
      <c r="AK303">
        <v>3</v>
      </c>
      <c r="AM303">
        <v>96915248</v>
      </c>
      <c r="AN303">
        <v>87751280</v>
      </c>
      <c r="AP303">
        <v>149342976</v>
      </c>
      <c r="AQ303">
        <v>140140048</v>
      </c>
      <c r="AS303">
        <v>64913396</v>
      </c>
      <c r="AT303">
        <v>49505.43</v>
      </c>
      <c r="AU303">
        <v>74791656</v>
      </c>
      <c r="AV303">
        <v>67752816</v>
      </c>
      <c r="AW303">
        <v>170153.38</v>
      </c>
      <c r="AX303">
        <v>60136796</v>
      </c>
      <c r="AY303">
        <v>60243692</v>
      </c>
      <c r="AZ303">
        <v>199295.7</v>
      </c>
      <c r="BA303">
        <v>50948968</v>
      </c>
    </row>
    <row r="304" spans="1:53">
      <c r="A304">
        <v>20049</v>
      </c>
      <c r="B304" t="s">
        <v>1349</v>
      </c>
      <c r="C304" t="s">
        <v>1350</v>
      </c>
      <c r="D304" t="s">
        <v>1349</v>
      </c>
      <c r="F304" t="s">
        <v>1351</v>
      </c>
      <c r="G304">
        <v>3.1720000000000002</v>
      </c>
      <c r="H304" t="s">
        <v>57</v>
      </c>
      <c r="I304">
        <v>2</v>
      </c>
      <c r="J304">
        <v>1</v>
      </c>
      <c r="K304">
        <v>0</v>
      </c>
      <c r="L304">
        <v>1.77</v>
      </c>
      <c r="M304">
        <v>51192</v>
      </c>
      <c r="N304">
        <v>28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0</v>
      </c>
      <c r="AM304">
        <v>900444.19</v>
      </c>
      <c r="AN304">
        <v>1258670</v>
      </c>
      <c r="AO304">
        <v>1186511.5</v>
      </c>
      <c r="AP304">
        <v>1862569.38</v>
      </c>
      <c r="AQ304">
        <v>1765656.62</v>
      </c>
      <c r="AR304">
        <v>1516320.5</v>
      </c>
      <c r="AS304">
        <v>693256.62</v>
      </c>
      <c r="AT304">
        <v>49505.43</v>
      </c>
      <c r="AU304">
        <v>694892.81</v>
      </c>
      <c r="AV304">
        <v>971819.81</v>
      </c>
      <c r="AW304">
        <v>1055139.25</v>
      </c>
      <c r="AX304">
        <v>750011.5</v>
      </c>
      <c r="AY304">
        <v>759024.19</v>
      </c>
      <c r="AZ304">
        <v>811920.69</v>
      </c>
      <c r="BA304">
        <v>544120.5</v>
      </c>
    </row>
    <row r="305" spans="1:53">
      <c r="A305">
        <v>19992</v>
      </c>
      <c r="B305" t="s">
        <v>1352</v>
      </c>
      <c r="C305" t="s">
        <v>1353</v>
      </c>
      <c r="D305" t="s">
        <v>1354</v>
      </c>
      <c r="F305" t="s">
        <v>1355</v>
      </c>
      <c r="G305">
        <v>2.5190000000000001</v>
      </c>
      <c r="H305" t="s">
        <v>57</v>
      </c>
      <c r="I305">
        <v>2</v>
      </c>
      <c r="J305">
        <v>18</v>
      </c>
      <c r="K305">
        <v>0</v>
      </c>
      <c r="L305">
        <v>9.15</v>
      </c>
      <c r="M305">
        <v>19584</v>
      </c>
      <c r="N305">
        <v>13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1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0</v>
      </c>
      <c r="AE305">
        <v>2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917436.75</v>
      </c>
      <c r="AM305">
        <v>2846666.5</v>
      </c>
      <c r="AN305">
        <v>1529665.88</v>
      </c>
      <c r="AO305">
        <v>1371130.8799999999</v>
      </c>
      <c r="AP305">
        <v>2274571</v>
      </c>
      <c r="AQ305">
        <v>2543114.5</v>
      </c>
      <c r="AR305">
        <v>893342.81</v>
      </c>
      <c r="AS305">
        <v>924228.81</v>
      </c>
      <c r="AT305">
        <v>41721.42</v>
      </c>
      <c r="AU305">
        <v>2464340.5</v>
      </c>
      <c r="AV305">
        <v>1277467.8799999999</v>
      </c>
      <c r="AW305">
        <v>1183192</v>
      </c>
      <c r="AX305">
        <v>987631.75</v>
      </c>
      <c r="AY305">
        <v>1243562.6200000001</v>
      </c>
      <c r="AZ305">
        <v>528029.68999999994</v>
      </c>
      <c r="BA305">
        <v>886981</v>
      </c>
    </row>
    <row r="306" spans="1:53">
      <c r="A306">
        <v>20028</v>
      </c>
      <c r="B306" t="s">
        <v>1356</v>
      </c>
      <c r="C306" t="s">
        <v>1357</v>
      </c>
      <c r="D306" t="s">
        <v>1356</v>
      </c>
      <c r="F306" t="s">
        <v>1358</v>
      </c>
      <c r="G306">
        <v>0</v>
      </c>
      <c r="H306" t="s">
        <v>57</v>
      </c>
      <c r="I306">
        <v>2</v>
      </c>
      <c r="J306">
        <v>1</v>
      </c>
      <c r="K306">
        <v>0</v>
      </c>
      <c r="L306">
        <v>6.71</v>
      </c>
      <c r="M306">
        <v>37146</v>
      </c>
      <c r="N306">
        <v>17</v>
      </c>
      <c r="O306">
        <v>1</v>
      </c>
      <c r="P306">
        <v>1</v>
      </c>
      <c r="Q306">
        <v>3</v>
      </c>
      <c r="R306">
        <v>3</v>
      </c>
      <c r="S306">
        <v>3</v>
      </c>
      <c r="T306">
        <v>3</v>
      </c>
      <c r="U306">
        <v>3</v>
      </c>
      <c r="Y306">
        <v>3</v>
      </c>
      <c r="AA306">
        <v>3</v>
      </c>
      <c r="AB306">
        <v>3</v>
      </c>
      <c r="AC306">
        <v>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</v>
      </c>
      <c r="AO306">
        <v>1339978.5</v>
      </c>
      <c r="AQ306">
        <v>3040729</v>
      </c>
      <c r="AR306">
        <v>7317952.5</v>
      </c>
      <c r="AS306">
        <v>9268727</v>
      </c>
      <c r="AT306">
        <v>49505.43</v>
      </c>
      <c r="AU306">
        <v>111774.65</v>
      </c>
      <c r="AV306">
        <v>213953.23</v>
      </c>
      <c r="AW306">
        <v>1191614.1200000001</v>
      </c>
      <c r="AX306">
        <v>350962.88</v>
      </c>
      <c r="AY306">
        <v>1307155</v>
      </c>
      <c r="AZ306">
        <v>3918431</v>
      </c>
      <c r="BA306">
        <v>7274802</v>
      </c>
    </row>
    <row r="307" spans="1:53">
      <c r="A307">
        <v>20045</v>
      </c>
      <c r="B307" t="s">
        <v>1359</v>
      </c>
      <c r="C307" t="s">
        <v>1360</v>
      </c>
      <c r="D307" t="s">
        <v>1359</v>
      </c>
      <c r="F307" t="s">
        <v>1361</v>
      </c>
      <c r="G307">
        <v>0</v>
      </c>
      <c r="H307" t="s">
        <v>57</v>
      </c>
      <c r="I307">
        <v>2</v>
      </c>
      <c r="J307">
        <v>1</v>
      </c>
      <c r="K307">
        <v>0</v>
      </c>
      <c r="L307">
        <v>2.71</v>
      </c>
      <c r="M307">
        <v>60698</v>
      </c>
      <c r="N307">
        <v>35</v>
      </c>
      <c r="O307">
        <v>2</v>
      </c>
      <c r="P307">
        <v>2</v>
      </c>
      <c r="Q307">
        <v>2</v>
      </c>
      <c r="R307">
        <v>2</v>
      </c>
      <c r="S307">
        <v>5</v>
      </c>
      <c r="T307">
        <v>5</v>
      </c>
      <c r="U307">
        <v>2</v>
      </c>
      <c r="V307">
        <v>1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3</v>
      </c>
      <c r="AK307">
        <v>2</v>
      </c>
      <c r="AL307">
        <v>7986373.5</v>
      </c>
      <c r="AM307">
        <v>8365929</v>
      </c>
      <c r="AN307">
        <v>9992270</v>
      </c>
      <c r="AO307">
        <v>9379240</v>
      </c>
      <c r="AP307">
        <v>13489273</v>
      </c>
      <c r="AQ307">
        <v>12541042</v>
      </c>
      <c r="AR307">
        <v>20207318</v>
      </c>
      <c r="AS307">
        <v>12585604</v>
      </c>
      <c r="AT307">
        <v>337853.78</v>
      </c>
      <c r="AU307">
        <v>5563875.5</v>
      </c>
      <c r="AV307">
        <v>7286995</v>
      </c>
      <c r="AW307">
        <v>6378788.5</v>
      </c>
      <c r="AX307">
        <v>6694392</v>
      </c>
      <c r="AY307">
        <v>7186806.5</v>
      </c>
      <c r="AZ307">
        <v>14603181</v>
      </c>
      <c r="BA307">
        <v>12613407</v>
      </c>
    </row>
    <row r="308" spans="1:53">
      <c r="A308">
        <v>20075</v>
      </c>
      <c r="B308" t="s">
        <v>1362</v>
      </c>
      <c r="C308" t="s">
        <v>1363</v>
      </c>
      <c r="D308" t="s">
        <v>1364</v>
      </c>
      <c r="F308" t="s">
        <v>1365</v>
      </c>
      <c r="G308">
        <v>0</v>
      </c>
      <c r="H308" t="s">
        <v>57</v>
      </c>
      <c r="I308">
        <v>2</v>
      </c>
      <c r="J308">
        <v>2</v>
      </c>
      <c r="K308">
        <v>0</v>
      </c>
      <c r="L308">
        <v>3.16</v>
      </c>
      <c r="M308">
        <v>54763</v>
      </c>
      <c r="N308">
        <v>37</v>
      </c>
      <c r="O308">
        <v>2</v>
      </c>
      <c r="P308">
        <v>2</v>
      </c>
      <c r="Q308">
        <v>2</v>
      </c>
      <c r="R308">
        <v>2</v>
      </c>
      <c r="S308">
        <v>8</v>
      </c>
      <c r="T308">
        <v>8</v>
      </c>
      <c r="U308">
        <v>2</v>
      </c>
      <c r="V308">
        <v>2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3</v>
      </c>
      <c r="AE308">
        <v>3</v>
      </c>
      <c r="AF308">
        <v>3</v>
      </c>
      <c r="AG308">
        <v>3</v>
      </c>
      <c r="AH308">
        <v>4</v>
      </c>
      <c r="AI308">
        <v>5</v>
      </c>
      <c r="AJ308">
        <v>3</v>
      </c>
      <c r="AK308">
        <v>5</v>
      </c>
      <c r="AL308">
        <v>7023722</v>
      </c>
      <c r="AM308">
        <v>29821352</v>
      </c>
      <c r="AN308">
        <v>19990740</v>
      </c>
      <c r="AO308">
        <v>20218440</v>
      </c>
      <c r="AP308">
        <v>63868780</v>
      </c>
      <c r="AQ308">
        <v>68772784</v>
      </c>
      <c r="AR308">
        <v>42932484</v>
      </c>
      <c r="AS308">
        <v>32938646</v>
      </c>
      <c r="AT308">
        <v>872364.25</v>
      </c>
      <c r="AU308">
        <v>25120948</v>
      </c>
      <c r="AV308">
        <v>15575412</v>
      </c>
      <c r="AW308">
        <v>18425078</v>
      </c>
      <c r="AX308">
        <v>28469352</v>
      </c>
      <c r="AY308">
        <v>31723522</v>
      </c>
      <c r="AZ308">
        <v>20727030</v>
      </c>
      <c r="BA308">
        <v>25253480</v>
      </c>
    </row>
    <row r="309" spans="1:53">
      <c r="A309">
        <v>20188</v>
      </c>
      <c r="B309" t="s">
        <v>1366</v>
      </c>
      <c r="C309" t="s">
        <v>1367</v>
      </c>
      <c r="D309" t="s">
        <v>1366</v>
      </c>
      <c r="E309" t="s">
        <v>1368</v>
      </c>
      <c r="F309" t="s">
        <v>1369</v>
      </c>
      <c r="G309">
        <v>0</v>
      </c>
      <c r="H309" t="s">
        <v>57</v>
      </c>
      <c r="I309">
        <v>2</v>
      </c>
      <c r="J309">
        <v>1</v>
      </c>
      <c r="K309">
        <v>1</v>
      </c>
      <c r="L309">
        <v>3.72</v>
      </c>
      <c r="M309">
        <v>71176</v>
      </c>
      <c r="N309">
        <v>30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1</v>
      </c>
      <c r="W309">
        <v>2</v>
      </c>
      <c r="X309">
        <v>1</v>
      </c>
      <c r="Y309">
        <v>1</v>
      </c>
      <c r="Z309">
        <v>2</v>
      </c>
      <c r="AA309">
        <v>2</v>
      </c>
      <c r="AB309">
        <v>2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558949.06000000006</v>
      </c>
      <c r="AM309">
        <v>3772383</v>
      </c>
      <c r="AN309">
        <v>3834173</v>
      </c>
      <c r="AO309">
        <v>3716511.5</v>
      </c>
      <c r="AP309">
        <v>8095450.5</v>
      </c>
      <c r="AQ309">
        <v>9463632</v>
      </c>
      <c r="AR309">
        <v>5726501</v>
      </c>
      <c r="AS309">
        <v>3387330.5</v>
      </c>
      <c r="AT309">
        <v>30486.97</v>
      </c>
      <c r="AU309">
        <v>861903.5</v>
      </c>
      <c r="AV309">
        <v>65719.7</v>
      </c>
      <c r="AW309">
        <v>68599.78</v>
      </c>
      <c r="AX309">
        <v>3945668.5</v>
      </c>
      <c r="AY309">
        <v>7795566.5</v>
      </c>
      <c r="AZ309">
        <v>4962122</v>
      </c>
      <c r="BA309">
        <v>4262138</v>
      </c>
    </row>
    <row r="310" spans="1:53">
      <c r="A310">
        <v>20196</v>
      </c>
      <c r="B310" t="s">
        <v>1370</v>
      </c>
      <c r="C310" t="s">
        <v>1371</v>
      </c>
      <c r="D310" t="s">
        <v>1370</v>
      </c>
      <c r="E310" t="s">
        <v>1372</v>
      </c>
      <c r="F310" t="s">
        <v>1373</v>
      </c>
      <c r="G310">
        <v>0</v>
      </c>
      <c r="H310" t="s">
        <v>57</v>
      </c>
      <c r="I310">
        <v>2</v>
      </c>
      <c r="J310">
        <v>1</v>
      </c>
      <c r="K310">
        <v>1</v>
      </c>
      <c r="L310">
        <v>6.79</v>
      </c>
      <c r="M310">
        <v>30852</v>
      </c>
      <c r="N310">
        <v>19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</v>
      </c>
      <c r="AK310">
        <v>0</v>
      </c>
      <c r="AL310">
        <v>1341527.25</v>
      </c>
      <c r="AM310">
        <v>5350500.5</v>
      </c>
      <c r="AN310">
        <v>11310988</v>
      </c>
      <c r="AO310">
        <v>2697597</v>
      </c>
      <c r="AP310">
        <v>8301416</v>
      </c>
      <c r="AQ310">
        <v>7897683.5</v>
      </c>
      <c r="AR310">
        <v>16340786</v>
      </c>
      <c r="AS310">
        <v>4150068.5</v>
      </c>
      <c r="AT310">
        <v>1237020.6200000001</v>
      </c>
      <c r="AU310">
        <v>5264432</v>
      </c>
      <c r="AV310">
        <v>6101430</v>
      </c>
      <c r="AW310">
        <v>3243499.25</v>
      </c>
      <c r="AX310">
        <v>4035266.5</v>
      </c>
      <c r="AY310">
        <v>3624168.75</v>
      </c>
      <c r="AZ310">
        <v>7798757.5</v>
      </c>
      <c r="BA310">
        <v>4035491.5</v>
      </c>
    </row>
    <row r="311" spans="1:53">
      <c r="A311">
        <v>20252</v>
      </c>
      <c r="B311" t="s">
        <v>1374</v>
      </c>
      <c r="C311" t="s">
        <v>1375</v>
      </c>
      <c r="D311" t="s">
        <v>1376</v>
      </c>
      <c r="F311" t="s">
        <v>1377</v>
      </c>
      <c r="G311">
        <v>0</v>
      </c>
      <c r="H311" t="s">
        <v>57</v>
      </c>
      <c r="I311">
        <v>2</v>
      </c>
      <c r="J311">
        <v>2</v>
      </c>
      <c r="K311">
        <v>0</v>
      </c>
      <c r="L311">
        <v>4.93</v>
      </c>
      <c r="M311">
        <v>33011</v>
      </c>
      <c r="N311">
        <v>23</v>
      </c>
      <c r="O311">
        <v>2</v>
      </c>
      <c r="P311">
        <v>2</v>
      </c>
      <c r="Q311">
        <v>2</v>
      </c>
      <c r="R311">
        <v>2</v>
      </c>
      <c r="S311">
        <v>3</v>
      </c>
      <c r="T311">
        <v>3</v>
      </c>
      <c r="U311">
        <v>2</v>
      </c>
      <c r="V311">
        <v>1</v>
      </c>
      <c r="W311">
        <v>2</v>
      </c>
      <c r="X311">
        <v>2</v>
      </c>
      <c r="Y311">
        <v>2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1</v>
      </c>
      <c r="AF311">
        <v>3</v>
      </c>
      <c r="AG311">
        <v>0</v>
      </c>
      <c r="AH311">
        <v>0</v>
      </c>
      <c r="AI311">
        <v>1</v>
      </c>
      <c r="AJ311">
        <v>1</v>
      </c>
      <c r="AK311">
        <v>2</v>
      </c>
      <c r="AL311">
        <v>5274715</v>
      </c>
      <c r="AM311">
        <v>11307331</v>
      </c>
      <c r="AN311">
        <v>16638047</v>
      </c>
      <c r="AO311">
        <v>12384457</v>
      </c>
      <c r="AP311">
        <v>6970086.5</v>
      </c>
      <c r="AQ311">
        <v>7049741.5</v>
      </c>
      <c r="AR311">
        <v>38407956</v>
      </c>
      <c r="AS311">
        <v>16954914</v>
      </c>
      <c r="AT311">
        <v>410614.38</v>
      </c>
      <c r="AU311">
        <v>10616963</v>
      </c>
      <c r="AV311">
        <v>15646391</v>
      </c>
      <c r="AW311">
        <v>13424101</v>
      </c>
      <c r="AX311">
        <v>1011484.25</v>
      </c>
      <c r="AY311">
        <v>1091365.1200000001</v>
      </c>
      <c r="AZ311">
        <v>6105739.5</v>
      </c>
      <c r="BA311">
        <v>31060110</v>
      </c>
    </row>
    <row r="312" spans="1:53">
      <c r="A312">
        <v>20263</v>
      </c>
      <c r="B312" t="s">
        <v>1378</v>
      </c>
      <c r="C312" t="s">
        <v>1379</v>
      </c>
      <c r="D312" t="s">
        <v>1378</v>
      </c>
      <c r="F312" t="s">
        <v>1380</v>
      </c>
      <c r="G312">
        <v>0</v>
      </c>
      <c r="H312" t="s">
        <v>57</v>
      </c>
      <c r="I312">
        <v>2</v>
      </c>
      <c r="J312">
        <v>1</v>
      </c>
      <c r="K312">
        <v>0</v>
      </c>
      <c r="L312">
        <v>0.9</v>
      </c>
      <c r="M312">
        <v>187250</v>
      </c>
      <c r="N312">
        <v>108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1</v>
      </c>
      <c r="W312">
        <v>2</v>
      </c>
      <c r="X312">
        <v>2</v>
      </c>
      <c r="Y312">
        <v>2</v>
      </c>
      <c r="Z312">
        <v>2</v>
      </c>
      <c r="AA312">
        <v>1</v>
      </c>
      <c r="AB312">
        <v>2</v>
      </c>
      <c r="AC312">
        <v>2</v>
      </c>
      <c r="AD312">
        <v>0</v>
      </c>
      <c r="AE312">
        <v>0</v>
      </c>
      <c r="AF312">
        <v>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398790.56</v>
      </c>
      <c r="AM312">
        <v>2049339.5</v>
      </c>
      <c r="AN312">
        <v>1241650</v>
      </c>
      <c r="AO312">
        <v>1645374.75</v>
      </c>
      <c r="AP312">
        <v>703120.62</v>
      </c>
      <c r="AQ312">
        <v>398074.91</v>
      </c>
      <c r="AR312">
        <v>480231.91</v>
      </c>
      <c r="AS312">
        <v>779220.5</v>
      </c>
      <c r="AT312">
        <v>47880.71</v>
      </c>
      <c r="AU312">
        <v>1617806.25</v>
      </c>
      <c r="AV312">
        <v>947593.75</v>
      </c>
      <c r="AW312">
        <v>1429297.12</v>
      </c>
      <c r="AX312">
        <v>290115.19</v>
      </c>
      <c r="AY312">
        <v>52059</v>
      </c>
      <c r="AZ312">
        <v>393589.72</v>
      </c>
      <c r="BA312">
        <v>940836.38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099D-6FD7-47AB-B991-7A2099F2CF1D}">
  <dimension ref="A1:BB312"/>
  <sheetViews>
    <sheetView topLeftCell="AN1" workbookViewId="0">
      <selection activeCell="AT1" sqref="AT1:BB3"/>
    </sheetView>
  </sheetViews>
  <sheetFormatPr baseColWidth="10" defaultColWidth="8.75" defaultRowHeight="14.25"/>
  <cols>
    <col min="1" max="1" width="15" customWidth="1"/>
    <col min="2" max="2" width="23" customWidth="1"/>
    <col min="3" max="3" width="15" customWidth="1"/>
    <col min="4" max="6" width="3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5" width="27" customWidth="1"/>
    <col min="26" max="28" width="26" customWidth="1"/>
    <col min="29" max="29" width="27" customWidth="1"/>
    <col min="30" max="33" width="22" customWidth="1"/>
    <col min="34" max="36" width="21" customWidth="1"/>
    <col min="37" max="37" width="22" customWidth="1"/>
    <col min="38" max="41" width="26" customWidth="1"/>
    <col min="42" max="44" width="25" customWidth="1"/>
    <col min="45" max="45" width="26" customWidth="1"/>
    <col min="46" max="46" width="15" style="23" customWidth="1"/>
    <col min="47" max="48" width="22.875" style="18" bestFit="1" customWidth="1"/>
    <col min="49" max="49" width="22.5" style="19" bestFit="1" customWidth="1"/>
    <col min="50" max="50" width="22.375" style="19" bestFit="1" customWidth="1"/>
    <col min="51" max="52" width="21.875" style="20" bestFit="1" customWidth="1"/>
    <col min="53" max="53" width="21.5" style="21" bestFit="1" customWidth="1"/>
    <col min="54" max="54" width="22.375" style="21" bestFit="1" customWidth="1"/>
  </cols>
  <sheetData>
    <row r="1" spans="1:54" ht="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22" t="s">
        <v>2</v>
      </c>
      <c r="AU1" s="14" t="s">
        <v>45</v>
      </c>
      <c r="AV1" s="14" t="s">
        <v>46</v>
      </c>
      <c r="AW1" s="15" t="s">
        <v>47</v>
      </c>
      <c r="AX1" s="15" t="s">
        <v>48</v>
      </c>
      <c r="AY1" s="16" t="s">
        <v>49</v>
      </c>
      <c r="AZ1" s="16" t="s">
        <v>50</v>
      </c>
      <c r="BA1" s="17" t="s">
        <v>51</v>
      </c>
      <c r="BB1" s="17" t="s">
        <v>52</v>
      </c>
    </row>
    <row r="2" spans="1:54">
      <c r="A2">
        <v>20250</v>
      </c>
      <c r="B2" t="s">
        <v>73</v>
      </c>
      <c r="C2" t="s">
        <v>74</v>
      </c>
      <c r="D2" t="s">
        <v>73</v>
      </c>
      <c r="F2" t="s">
        <v>75</v>
      </c>
      <c r="G2">
        <v>2784.471</v>
      </c>
      <c r="H2" t="s">
        <v>57</v>
      </c>
      <c r="I2">
        <v>2</v>
      </c>
      <c r="J2">
        <v>1</v>
      </c>
      <c r="K2">
        <v>0</v>
      </c>
      <c r="L2">
        <v>76</v>
      </c>
      <c r="M2">
        <v>66713</v>
      </c>
      <c r="N2">
        <v>40</v>
      </c>
      <c r="O2">
        <v>59</v>
      </c>
      <c r="P2">
        <v>59</v>
      </c>
      <c r="Q2">
        <v>65</v>
      </c>
      <c r="R2">
        <v>65</v>
      </c>
      <c r="S2">
        <v>3207</v>
      </c>
      <c r="T2">
        <v>3207</v>
      </c>
      <c r="U2">
        <v>65</v>
      </c>
      <c r="V2">
        <v>51</v>
      </c>
      <c r="W2">
        <v>53</v>
      </c>
      <c r="X2">
        <v>52</v>
      </c>
      <c r="Y2">
        <v>57</v>
      </c>
      <c r="Z2">
        <v>62</v>
      </c>
      <c r="AA2">
        <v>62</v>
      </c>
      <c r="AB2">
        <v>64</v>
      </c>
      <c r="AC2">
        <v>64</v>
      </c>
      <c r="AD2">
        <v>348</v>
      </c>
      <c r="AE2">
        <v>385</v>
      </c>
      <c r="AF2">
        <v>353</v>
      </c>
      <c r="AG2">
        <v>326</v>
      </c>
      <c r="AH2">
        <v>410</v>
      </c>
      <c r="AI2">
        <v>426</v>
      </c>
      <c r="AJ2">
        <v>442</v>
      </c>
      <c r="AK2">
        <v>514</v>
      </c>
      <c r="AL2">
        <v>5467235328</v>
      </c>
      <c r="AM2">
        <v>6261265920</v>
      </c>
      <c r="AN2">
        <v>4886194176</v>
      </c>
      <c r="AO2">
        <v>4717083648</v>
      </c>
      <c r="AP2">
        <v>11030105088</v>
      </c>
      <c r="AQ2">
        <v>11841957888</v>
      </c>
      <c r="AR2">
        <v>10495655936</v>
      </c>
      <c r="AS2">
        <v>8645220352</v>
      </c>
      <c r="AT2" s="23" t="s">
        <v>73</v>
      </c>
      <c r="AU2" s="18">
        <v>3556477184</v>
      </c>
      <c r="AV2" s="18">
        <v>3597851648</v>
      </c>
      <c r="AW2" s="19">
        <v>3297831168</v>
      </c>
      <c r="AX2" s="19">
        <v>4066207488</v>
      </c>
      <c r="AY2" s="20">
        <v>5413147648</v>
      </c>
      <c r="AZ2" s="20">
        <v>6560602112</v>
      </c>
      <c r="BA2" s="21">
        <v>8187294720</v>
      </c>
      <c r="BB2" s="21">
        <v>8480015360</v>
      </c>
    </row>
    <row r="3" spans="1:54">
      <c r="A3">
        <v>20187</v>
      </c>
      <c r="B3" t="s">
        <v>155</v>
      </c>
      <c r="C3" t="s">
        <v>156</v>
      </c>
      <c r="D3" t="s">
        <v>155</v>
      </c>
      <c r="F3" t="s">
        <v>157</v>
      </c>
      <c r="G3">
        <v>1209.4000000000001</v>
      </c>
      <c r="H3" t="s">
        <v>57</v>
      </c>
      <c r="I3">
        <v>2</v>
      </c>
      <c r="J3">
        <v>1</v>
      </c>
      <c r="K3">
        <v>0</v>
      </c>
      <c r="L3">
        <v>73.31</v>
      </c>
      <c r="M3">
        <v>31048</v>
      </c>
      <c r="N3">
        <v>16</v>
      </c>
      <c r="O3">
        <v>23</v>
      </c>
      <c r="P3">
        <v>23</v>
      </c>
      <c r="Q3">
        <v>26</v>
      </c>
      <c r="R3">
        <v>26</v>
      </c>
      <c r="S3">
        <v>1213</v>
      </c>
      <c r="T3">
        <v>1213</v>
      </c>
      <c r="U3">
        <v>26</v>
      </c>
      <c r="V3">
        <v>25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157</v>
      </c>
      <c r="AE3">
        <v>136</v>
      </c>
      <c r="AF3">
        <v>151</v>
      </c>
      <c r="AG3">
        <v>151</v>
      </c>
      <c r="AH3">
        <v>119</v>
      </c>
      <c r="AI3">
        <v>130</v>
      </c>
      <c r="AJ3">
        <v>170</v>
      </c>
      <c r="AK3">
        <v>199</v>
      </c>
      <c r="AL3">
        <v>817894272</v>
      </c>
      <c r="AM3">
        <v>952473728</v>
      </c>
      <c r="AN3">
        <v>1059456704</v>
      </c>
      <c r="AO3">
        <v>1051098496</v>
      </c>
      <c r="AP3">
        <v>2986709504</v>
      </c>
      <c r="AQ3">
        <v>3021337600</v>
      </c>
      <c r="AR3">
        <v>3153860608</v>
      </c>
      <c r="AS3">
        <v>1891885056</v>
      </c>
      <c r="AT3" s="23" t="s">
        <v>155</v>
      </c>
      <c r="AU3" s="18">
        <v>680942400</v>
      </c>
      <c r="AV3" s="18">
        <v>781715520</v>
      </c>
      <c r="AW3" s="19">
        <v>880583168</v>
      </c>
      <c r="AX3" s="19">
        <v>1033139008</v>
      </c>
      <c r="AY3" s="20">
        <v>1248250112</v>
      </c>
      <c r="AZ3" s="20">
        <v>1523752704</v>
      </c>
      <c r="BA3" s="21">
        <v>2062135808</v>
      </c>
      <c r="BB3" s="21">
        <v>1858248704</v>
      </c>
    </row>
    <row r="4" spans="1:54">
      <c r="A4">
        <v>20236</v>
      </c>
      <c r="B4" t="s">
        <v>693</v>
      </c>
      <c r="C4" t="s">
        <v>694</v>
      </c>
      <c r="D4" t="s">
        <v>693</v>
      </c>
      <c r="F4" t="s">
        <v>695</v>
      </c>
      <c r="G4">
        <v>139.10300000000001</v>
      </c>
      <c r="H4" t="s">
        <v>57</v>
      </c>
      <c r="I4">
        <v>2</v>
      </c>
      <c r="J4">
        <v>1</v>
      </c>
      <c r="K4">
        <v>0</v>
      </c>
      <c r="L4">
        <v>14.68</v>
      </c>
      <c r="M4">
        <v>46587</v>
      </c>
      <c r="N4">
        <v>20</v>
      </c>
      <c r="O4">
        <v>5</v>
      </c>
      <c r="P4">
        <v>5</v>
      </c>
      <c r="Q4">
        <v>5</v>
      </c>
      <c r="R4">
        <v>5</v>
      </c>
      <c r="S4">
        <v>17</v>
      </c>
      <c r="T4">
        <v>17</v>
      </c>
      <c r="U4">
        <v>5</v>
      </c>
      <c r="V4">
        <v>3</v>
      </c>
      <c r="W4">
        <v>5</v>
      </c>
      <c r="X4">
        <v>5</v>
      </c>
      <c r="Y4">
        <v>5</v>
      </c>
      <c r="Z4">
        <v>5</v>
      </c>
      <c r="AA4">
        <v>5</v>
      </c>
      <c r="AB4">
        <v>4</v>
      </c>
      <c r="AC4">
        <v>5</v>
      </c>
      <c r="AD4">
        <v>2</v>
      </c>
      <c r="AE4">
        <v>0</v>
      </c>
      <c r="AF4">
        <v>2</v>
      </c>
      <c r="AG4">
        <v>5</v>
      </c>
      <c r="AH4">
        <v>1</v>
      </c>
      <c r="AI4">
        <v>2</v>
      </c>
      <c r="AJ4">
        <v>2</v>
      </c>
      <c r="AK4">
        <v>3</v>
      </c>
      <c r="AL4">
        <v>2649939.5</v>
      </c>
      <c r="AM4">
        <v>6087591</v>
      </c>
      <c r="AN4">
        <v>9724753</v>
      </c>
      <c r="AO4">
        <v>8214922</v>
      </c>
      <c r="AP4">
        <v>8341151.5</v>
      </c>
      <c r="AQ4">
        <v>8137196</v>
      </c>
      <c r="AR4">
        <v>8335143.5</v>
      </c>
      <c r="AS4">
        <v>6712980.5</v>
      </c>
      <c r="AT4" s="23" t="s">
        <v>694</v>
      </c>
      <c r="AU4" s="18">
        <v>2974693.75</v>
      </c>
      <c r="AV4" s="18">
        <v>4420332</v>
      </c>
      <c r="AW4" s="19">
        <v>7134781</v>
      </c>
      <c r="AX4" s="19">
        <v>7255375.5</v>
      </c>
      <c r="AY4" s="20">
        <v>3477205.5</v>
      </c>
      <c r="AZ4" s="20">
        <v>4030741</v>
      </c>
      <c r="BA4" s="21">
        <v>5482598</v>
      </c>
      <c r="BB4" s="21">
        <v>6190264</v>
      </c>
    </row>
    <row r="5" spans="1:54">
      <c r="A5">
        <v>20222</v>
      </c>
      <c r="B5" t="s">
        <v>120</v>
      </c>
      <c r="C5" t="s">
        <v>121</v>
      </c>
      <c r="D5" t="s">
        <v>122</v>
      </c>
      <c r="F5" t="s">
        <v>123</v>
      </c>
      <c r="G5">
        <v>1374.2719999999999</v>
      </c>
      <c r="H5" t="s">
        <v>57</v>
      </c>
      <c r="I5">
        <v>2</v>
      </c>
      <c r="J5">
        <v>2</v>
      </c>
      <c r="K5">
        <v>0</v>
      </c>
      <c r="L5">
        <v>57.72</v>
      </c>
      <c r="M5">
        <v>99667</v>
      </c>
      <c r="N5">
        <v>55</v>
      </c>
      <c r="O5">
        <v>41</v>
      </c>
      <c r="P5">
        <v>41</v>
      </c>
      <c r="Q5">
        <v>41</v>
      </c>
      <c r="R5">
        <v>41</v>
      </c>
      <c r="S5">
        <v>282</v>
      </c>
      <c r="T5">
        <v>282</v>
      </c>
      <c r="U5">
        <v>41</v>
      </c>
      <c r="V5">
        <v>29</v>
      </c>
      <c r="W5">
        <v>34</v>
      </c>
      <c r="X5">
        <v>38</v>
      </c>
      <c r="Y5">
        <v>39</v>
      </c>
      <c r="Z5">
        <v>39</v>
      </c>
      <c r="AA5">
        <v>39</v>
      </c>
      <c r="AB5">
        <v>40</v>
      </c>
      <c r="AC5">
        <v>40</v>
      </c>
      <c r="AD5">
        <v>23</v>
      </c>
      <c r="AE5">
        <v>25</v>
      </c>
      <c r="AF5">
        <v>44</v>
      </c>
      <c r="AG5">
        <v>45</v>
      </c>
      <c r="AH5">
        <v>32</v>
      </c>
      <c r="AI5">
        <v>34</v>
      </c>
      <c r="AJ5">
        <v>45</v>
      </c>
      <c r="AK5">
        <v>32</v>
      </c>
      <c r="AL5">
        <v>117895784</v>
      </c>
      <c r="AM5">
        <v>132127064</v>
      </c>
      <c r="AN5">
        <v>247481536</v>
      </c>
      <c r="AO5">
        <v>236125952</v>
      </c>
      <c r="AP5">
        <v>274383360</v>
      </c>
      <c r="AQ5">
        <v>268043904</v>
      </c>
      <c r="AR5">
        <v>295705376</v>
      </c>
      <c r="AS5">
        <v>176141616</v>
      </c>
      <c r="AT5" s="23" t="s">
        <v>121</v>
      </c>
      <c r="AU5" s="18">
        <v>110101648</v>
      </c>
      <c r="AV5" s="18">
        <v>103446048</v>
      </c>
      <c r="AW5" s="19">
        <v>196495552</v>
      </c>
      <c r="AX5" s="19">
        <v>224101040</v>
      </c>
      <c r="AY5" s="20">
        <v>112826832</v>
      </c>
      <c r="AZ5" s="20">
        <v>117625712</v>
      </c>
      <c r="BA5" s="21">
        <v>168484240</v>
      </c>
      <c r="BB5" s="21">
        <v>153518400</v>
      </c>
    </row>
    <row r="6" spans="1:54">
      <c r="A6">
        <v>20034</v>
      </c>
      <c r="B6" t="s">
        <v>798</v>
      </c>
      <c r="C6" t="s">
        <v>799</v>
      </c>
      <c r="D6" t="s">
        <v>800</v>
      </c>
      <c r="F6" t="s">
        <v>801</v>
      </c>
      <c r="G6">
        <v>89.518000000000001</v>
      </c>
      <c r="H6" t="s">
        <v>57</v>
      </c>
      <c r="I6">
        <v>2</v>
      </c>
      <c r="J6">
        <v>18</v>
      </c>
      <c r="K6">
        <v>0</v>
      </c>
      <c r="L6">
        <v>42.31</v>
      </c>
      <c r="M6">
        <v>8639</v>
      </c>
      <c r="N6">
        <v>3</v>
      </c>
      <c r="O6">
        <v>4</v>
      </c>
      <c r="P6">
        <v>4</v>
      </c>
      <c r="Q6">
        <v>4</v>
      </c>
      <c r="R6">
        <v>4</v>
      </c>
      <c r="S6">
        <v>34</v>
      </c>
      <c r="T6">
        <v>34</v>
      </c>
      <c r="U6">
        <v>4</v>
      </c>
      <c r="V6">
        <v>3</v>
      </c>
      <c r="W6">
        <v>4</v>
      </c>
      <c r="X6">
        <v>3</v>
      </c>
      <c r="Y6">
        <v>4</v>
      </c>
      <c r="Z6">
        <v>4</v>
      </c>
      <c r="AA6">
        <v>3</v>
      </c>
      <c r="AB6">
        <v>4</v>
      </c>
      <c r="AC6">
        <v>4</v>
      </c>
      <c r="AD6">
        <v>4</v>
      </c>
      <c r="AE6">
        <v>6</v>
      </c>
      <c r="AF6">
        <v>3</v>
      </c>
      <c r="AG6">
        <v>5</v>
      </c>
      <c r="AH6">
        <v>4</v>
      </c>
      <c r="AI6">
        <v>3</v>
      </c>
      <c r="AJ6">
        <v>4</v>
      </c>
      <c r="AK6">
        <v>5</v>
      </c>
      <c r="AL6">
        <v>66662948</v>
      </c>
      <c r="AM6">
        <v>59725776</v>
      </c>
      <c r="AN6">
        <v>27549616</v>
      </c>
      <c r="AO6">
        <v>26905022</v>
      </c>
      <c r="AP6">
        <v>85664504</v>
      </c>
      <c r="AQ6">
        <v>83777512</v>
      </c>
      <c r="AR6">
        <v>35495028</v>
      </c>
      <c r="AS6">
        <v>22126018</v>
      </c>
      <c r="AT6" s="23" t="s">
        <v>799</v>
      </c>
      <c r="AU6" s="18">
        <v>83527216</v>
      </c>
      <c r="AV6" s="18">
        <v>62658924</v>
      </c>
      <c r="AW6" s="19">
        <v>27442282</v>
      </c>
      <c r="AX6" s="19">
        <v>29820296</v>
      </c>
      <c r="AY6" s="20">
        <v>36244848</v>
      </c>
      <c r="AZ6" s="20">
        <v>38055584</v>
      </c>
      <c r="BA6" s="21">
        <v>21152896</v>
      </c>
      <c r="BB6" s="21">
        <v>20753106</v>
      </c>
    </row>
    <row r="7" spans="1:54">
      <c r="A7">
        <v>20194</v>
      </c>
      <c r="B7" t="s">
        <v>760</v>
      </c>
      <c r="C7" t="s">
        <v>761</v>
      </c>
      <c r="D7" t="s">
        <v>762</v>
      </c>
      <c r="F7" t="s">
        <v>763</v>
      </c>
      <c r="G7">
        <v>108.661</v>
      </c>
      <c r="H7" t="s">
        <v>57</v>
      </c>
      <c r="I7">
        <v>2</v>
      </c>
      <c r="J7">
        <v>2</v>
      </c>
      <c r="K7">
        <v>0</v>
      </c>
      <c r="L7">
        <v>4.04</v>
      </c>
      <c r="M7">
        <v>96126</v>
      </c>
      <c r="N7">
        <v>47</v>
      </c>
      <c r="O7">
        <v>3</v>
      </c>
      <c r="P7">
        <v>3</v>
      </c>
      <c r="Q7">
        <v>3</v>
      </c>
      <c r="R7">
        <v>3</v>
      </c>
      <c r="S7">
        <v>14</v>
      </c>
      <c r="T7">
        <v>14</v>
      </c>
      <c r="U7">
        <v>3</v>
      </c>
      <c r="V7">
        <v>1</v>
      </c>
      <c r="W7">
        <v>3</v>
      </c>
      <c r="X7">
        <v>3</v>
      </c>
      <c r="Y7">
        <v>2</v>
      </c>
      <c r="Z7">
        <v>3</v>
      </c>
      <c r="AA7">
        <v>3</v>
      </c>
      <c r="AB7">
        <v>2</v>
      </c>
      <c r="AC7">
        <v>1</v>
      </c>
      <c r="AD7">
        <v>2</v>
      </c>
      <c r="AE7">
        <v>4</v>
      </c>
      <c r="AF7">
        <v>2</v>
      </c>
      <c r="AG7">
        <v>1</v>
      </c>
      <c r="AH7">
        <v>2</v>
      </c>
      <c r="AI7">
        <v>3</v>
      </c>
      <c r="AJ7">
        <v>0</v>
      </c>
      <c r="AK7">
        <v>0</v>
      </c>
      <c r="AL7">
        <v>4804060</v>
      </c>
      <c r="AM7">
        <v>9511237</v>
      </c>
      <c r="AN7">
        <v>3600673.75</v>
      </c>
      <c r="AO7">
        <v>1281462.25</v>
      </c>
      <c r="AP7">
        <v>17652948</v>
      </c>
      <c r="AQ7">
        <v>13370434</v>
      </c>
      <c r="AR7">
        <v>1998242.75</v>
      </c>
      <c r="AS7">
        <v>1256682.1200000001</v>
      </c>
      <c r="AT7" s="23" t="s">
        <v>761</v>
      </c>
      <c r="AU7" s="18">
        <v>63107.97</v>
      </c>
      <c r="AV7" s="18">
        <v>8498450</v>
      </c>
      <c r="AW7" s="19">
        <v>3895804.5</v>
      </c>
      <c r="AX7" s="19">
        <v>3209686.5</v>
      </c>
      <c r="AY7" s="20">
        <v>7236746.5</v>
      </c>
      <c r="AZ7" s="20">
        <v>6580899.5</v>
      </c>
      <c r="BA7" s="21">
        <v>850137</v>
      </c>
      <c r="BB7" s="21">
        <v>32680.27</v>
      </c>
    </row>
    <row r="8" spans="1:54">
      <c r="A8">
        <v>20005</v>
      </c>
      <c r="B8" t="s">
        <v>1042</v>
      </c>
      <c r="C8" t="s">
        <v>1043</v>
      </c>
      <c r="D8" t="s">
        <v>1044</v>
      </c>
      <c r="F8" t="s">
        <v>1045</v>
      </c>
      <c r="G8">
        <v>25.882000000000001</v>
      </c>
      <c r="H8" t="s">
        <v>57</v>
      </c>
      <c r="I8">
        <v>2</v>
      </c>
      <c r="J8">
        <v>18</v>
      </c>
      <c r="K8">
        <v>0</v>
      </c>
      <c r="L8">
        <v>9.81</v>
      </c>
      <c r="M8">
        <v>23585</v>
      </c>
      <c r="N8">
        <v>16</v>
      </c>
      <c r="O8">
        <v>2</v>
      </c>
      <c r="P8">
        <v>2</v>
      </c>
      <c r="Q8">
        <v>2</v>
      </c>
      <c r="R8">
        <v>2</v>
      </c>
      <c r="S8">
        <v>4</v>
      </c>
      <c r="T8">
        <v>4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D8">
        <v>2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3990656.5</v>
      </c>
      <c r="AM8">
        <v>4623904</v>
      </c>
      <c r="AN8">
        <v>2261336.25</v>
      </c>
      <c r="AO8">
        <v>1667218.38</v>
      </c>
      <c r="AP8">
        <v>4366448</v>
      </c>
      <c r="AQ8">
        <v>3757024.5</v>
      </c>
      <c r="AR8">
        <v>979379.12</v>
      </c>
      <c r="AT8" s="23" t="s">
        <v>1043</v>
      </c>
      <c r="AU8" s="18">
        <v>3943387</v>
      </c>
      <c r="AV8" s="18">
        <v>3585143.25</v>
      </c>
      <c r="AW8" s="19">
        <v>1666434.38</v>
      </c>
      <c r="AX8" s="19">
        <v>1332278.6200000001</v>
      </c>
      <c r="AY8" s="20">
        <v>1878705</v>
      </c>
      <c r="AZ8" s="20">
        <v>1697932.5</v>
      </c>
      <c r="BA8" s="21">
        <v>536350.68999999994</v>
      </c>
      <c r="BB8" s="21">
        <v>212391.23</v>
      </c>
    </row>
    <row r="9" spans="1:54">
      <c r="A9">
        <v>20080</v>
      </c>
      <c r="B9" t="s">
        <v>1104</v>
      </c>
      <c r="C9" t="s">
        <v>1105</v>
      </c>
      <c r="D9" t="s">
        <v>1106</v>
      </c>
      <c r="F9" t="s">
        <v>1107</v>
      </c>
      <c r="G9">
        <v>18.989999999999998</v>
      </c>
      <c r="H9" t="s">
        <v>57</v>
      </c>
      <c r="I9">
        <v>2</v>
      </c>
      <c r="J9">
        <v>3</v>
      </c>
      <c r="K9">
        <v>0</v>
      </c>
      <c r="L9">
        <v>9.09</v>
      </c>
      <c r="M9">
        <v>20761</v>
      </c>
      <c r="N9">
        <v>11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1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D9">
        <v>1</v>
      </c>
      <c r="AE9">
        <v>0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754985.94</v>
      </c>
      <c r="AM9">
        <v>3979078.25</v>
      </c>
      <c r="AN9">
        <v>2630079</v>
      </c>
      <c r="AO9">
        <v>3090357</v>
      </c>
      <c r="AP9">
        <v>2327818</v>
      </c>
      <c r="AQ9">
        <v>2580856.5</v>
      </c>
      <c r="AR9">
        <v>1367147.12</v>
      </c>
      <c r="AT9" s="23" t="s">
        <v>1105</v>
      </c>
      <c r="AU9" s="18">
        <v>22541.39</v>
      </c>
      <c r="AV9" s="18">
        <v>3025885.5</v>
      </c>
      <c r="AW9" s="19">
        <v>2136494.25</v>
      </c>
      <c r="AX9" s="19">
        <v>2985127.25</v>
      </c>
      <c r="AY9" s="20">
        <v>1062421.1200000001</v>
      </c>
      <c r="AZ9" s="20">
        <v>1229255</v>
      </c>
      <c r="BA9" s="21">
        <v>804646.31</v>
      </c>
      <c r="BB9" s="21">
        <v>212391.23</v>
      </c>
    </row>
    <row r="10" spans="1:54">
      <c r="A10">
        <v>20204</v>
      </c>
      <c r="B10" t="s">
        <v>528</v>
      </c>
      <c r="C10" t="s">
        <v>529</v>
      </c>
      <c r="D10" t="s">
        <v>528</v>
      </c>
      <c r="F10" t="s">
        <v>530</v>
      </c>
      <c r="G10">
        <v>285.63499999999999</v>
      </c>
      <c r="H10" t="s">
        <v>57</v>
      </c>
      <c r="I10">
        <v>2</v>
      </c>
      <c r="J10">
        <v>1</v>
      </c>
      <c r="K10">
        <v>0</v>
      </c>
      <c r="L10">
        <v>32.44</v>
      </c>
      <c r="M10">
        <v>56176</v>
      </c>
      <c r="N10">
        <v>30</v>
      </c>
      <c r="O10">
        <v>14</v>
      </c>
      <c r="P10">
        <v>14</v>
      </c>
      <c r="Q10">
        <v>14</v>
      </c>
      <c r="R10">
        <v>14</v>
      </c>
      <c r="S10">
        <v>58</v>
      </c>
      <c r="T10">
        <v>58</v>
      </c>
      <c r="U10">
        <v>13</v>
      </c>
      <c r="V10">
        <v>7</v>
      </c>
      <c r="W10">
        <v>10</v>
      </c>
      <c r="X10">
        <v>13</v>
      </c>
      <c r="Y10">
        <v>13</v>
      </c>
      <c r="Z10">
        <v>13</v>
      </c>
      <c r="AA10">
        <v>13</v>
      </c>
      <c r="AB10">
        <v>12</v>
      </c>
      <c r="AC10">
        <v>13</v>
      </c>
      <c r="AD10">
        <v>2</v>
      </c>
      <c r="AE10">
        <v>3</v>
      </c>
      <c r="AF10">
        <v>8</v>
      </c>
      <c r="AG10">
        <v>9</v>
      </c>
      <c r="AH10">
        <v>10</v>
      </c>
      <c r="AI10">
        <v>7</v>
      </c>
      <c r="AJ10">
        <v>8</v>
      </c>
      <c r="AK10">
        <v>10</v>
      </c>
      <c r="AL10">
        <v>15549959</v>
      </c>
      <c r="AM10">
        <v>21028760</v>
      </c>
      <c r="AN10">
        <v>38508988</v>
      </c>
      <c r="AO10">
        <v>38586872</v>
      </c>
      <c r="AP10">
        <v>40689188</v>
      </c>
      <c r="AQ10">
        <v>45237364</v>
      </c>
      <c r="AR10">
        <v>41382420</v>
      </c>
      <c r="AS10">
        <v>33874468</v>
      </c>
      <c r="AT10" s="23" t="s">
        <v>529</v>
      </c>
      <c r="AU10" s="18">
        <v>17139614</v>
      </c>
      <c r="AV10" s="18">
        <v>17165442</v>
      </c>
      <c r="AW10" s="19">
        <v>31641504</v>
      </c>
      <c r="AX10" s="19">
        <v>32347302</v>
      </c>
      <c r="AY10" s="20">
        <v>15758737</v>
      </c>
      <c r="AZ10" s="20">
        <v>17997536</v>
      </c>
      <c r="BA10" s="21">
        <v>22222782</v>
      </c>
      <c r="BB10" s="21">
        <v>26555638</v>
      </c>
    </row>
    <row r="11" spans="1:54">
      <c r="A11">
        <v>20182</v>
      </c>
      <c r="B11" t="s">
        <v>525</v>
      </c>
      <c r="C11" t="s">
        <v>526</v>
      </c>
      <c r="D11" t="s">
        <v>525</v>
      </c>
      <c r="F11" t="s">
        <v>527</v>
      </c>
      <c r="G11">
        <v>288.12299999999999</v>
      </c>
      <c r="H11" t="s">
        <v>57</v>
      </c>
      <c r="I11">
        <v>2</v>
      </c>
      <c r="J11">
        <v>1</v>
      </c>
      <c r="K11">
        <v>0</v>
      </c>
      <c r="L11">
        <v>27.67</v>
      </c>
      <c r="M11">
        <v>46215</v>
      </c>
      <c r="N11">
        <v>24</v>
      </c>
      <c r="O11">
        <v>13</v>
      </c>
      <c r="P11">
        <v>13</v>
      </c>
      <c r="Q11">
        <v>13</v>
      </c>
      <c r="R11">
        <v>13</v>
      </c>
      <c r="S11">
        <v>44</v>
      </c>
      <c r="T11">
        <v>44</v>
      </c>
      <c r="U11">
        <v>13</v>
      </c>
      <c r="V11">
        <v>7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0</v>
      </c>
      <c r="AE11">
        <v>3</v>
      </c>
      <c r="AF11">
        <v>10</v>
      </c>
      <c r="AG11">
        <v>3</v>
      </c>
      <c r="AH11">
        <v>6</v>
      </c>
      <c r="AI11">
        <v>7</v>
      </c>
      <c r="AJ11">
        <v>10</v>
      </c>
      <c r="AK11">
        <v>5</v>
      </c>
      <c r="AL11">
        <v>6629210</v>
      </c>
      <c r="AM11">
        <v>20437998</v>
      </c>
      <c r="AN11">
        <v>33012648</v>
      </c>
      <c r="AO11">
        <v>27284032</v>
      </c>
      <c r="AP11">
        <v>32954930</v>
      </c>
      <c r="AQ11">
        <v>29720366</v>
      </c>
      <c r="AR11">
        <v>28646038</v>
      </c>
      <c r="AS11">
        <v>17857152</v>
      </c>
      <c r="AT11" s="23" t="s">
        <v>526</v>
      </c>
      <c r="AU11" s="18">
        <v>6892046.5</v>
      </c>
      <c r="AV11" s="18">
        <v>13711373</v>
      </c>
      <c r="AW11" s="19">
        <v>22332558</v>
      </c>
      <c r="AX11" s="19">
        <v>23262274</v>
      </c>
      <c r="AY11" s="20">
        <v>14451925</v>
      </c>
      <c r="AZ11" s="20">
        <v>14627497</v>
      </c>
      <c r="BA11" s="21">
        <v>18223250</v>
      </c>
      <c r="BB11" s="21">
        <v>16666993</v>
      </c>
    </row>
    <row r="12" spans="1:54">
      <c r="A12">
        <v>20164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2745.395</v>
      </c>
      <c r="H12" t="s">
        <v>57</v>
      </c>
      <c r="I12">
        <v>2</v>
      </c>
      <c r="J12">
        <v>3</v>
      </c>
      <c r="K12">
        <v>7</v>
      </c>
      <c r="L12">
        <v>66.78</v>
      </c>
      <c r="M12">
        <v>96031</v>
      </c>
      <c r="N12">
        <v>59</v>
      </c>
      <c r="O12">
        <v>57</v>
      </c>
      <c r="P12">
        <v>57</v>
      </c>
      <c r="Q12">
        <v>61</v>
      </c>
      <c r="R12">
        <v>61</v>
      </c>
      <c r="S12">
        <v>1115</v>
      </c>
      <c r="T12">
        <v>1115</v>
      </c>
      <c r="U12">
        <v>61</v>
      </c>
      <c r="V12">
        <v>54</v>
      </c>
      <c r="W12">
        <v>53</v>
      </c>
      <c r="X12">
        <v>59</v>
      </c>
      <c r="Y12">
        <v>59</v>
      </c>
      <c r="Z12">
        <v>56</v>
      </c>
      <c r="AA12">
        <v>55</v>
      </c>
      <c r="AB12">
        <v>60</v>
      </c>
      <c r="AC12">
        <v>59</v>
      </c>
      <c r="AD12">
        <v>159</v>
      </c>
      <c r="AE12">
        <v>153</v>
      </c>
      <c r="AF12">
        <v>170</v>
      </c>
      <c r="AG12">
        <v>179</v>
      </c>
      <c r="AH12">
        <v>77</v>
      </c>
      <c r="AI12">
        <v>87</v>
      </c>
      <c r="AJ12">
        <v>144</v>
      </c>
      <c r="AK12">
        <v>145</v>
      </c>
      <c r="AL12">
        <v>1936718080</v>
      </c>
      <c r="AM12">
        <v>4393303040</v>
      </c>
      <c r="AN12">
        <v>3799403264</v>
      </c>
      <c r="AO12">
        <v>3351048192</v>
      </c>
      <c r="AP12">
        <v>4022245376</v>
      </c>
      <c r="AQ12">
        <v>3865703680</v>
      </c>
      <c r="AR12">
        <v>3934773248</v>
      </c>
      <c r="AS12">
        <v>3153837568</v>
      </c>
      <c r="AT12" s="23" t="s">
        <v>77</v>
      </c>
      <c r="AU12" s="18">
        <v>3016878592</v>
      </c>
      <c r="AV12" s="18">
        <v>3167813632</v>
      </c>
      <c r="AW12" s="19">
        <v>3127595520</v>
      </c>
      <c r="AX12" s="19">
        <v>3195326464</v>
      </c>
      <c r="AY12" s="20">
        <v>1031015040</v>
      </c>
      <c r="AZ12" s="20">
        <v>1176395648</v>
      </c>
      <c r="BA12" s="21">
        <v>2652162560</v>
      </c>
      <c r="BB12" s="21">
        <v>2753293312</v>
      </c>
    </row>
    <row r="13" spans="1:54">
      <c r="A13">
        <v>20214</v>
      </c>
      <c r="B13" t="s">
        <v>741</v>
      </c>
      <c r="C13" t="s">
        <v>742</v>
      </c>
      <c r="D13" t="s">
        <v>743</v>
      </c>
      <c r="F13" t="s">
        <v>744</v>
      </c>
      <c r="G13">
        <v>114.22499999999999</v>
      </c>
      <c r="H13" t="s">
        <v>57</v>
      </c>
      <c r="I13">
        <v>2</v>
      </c>
      <c r="J13">
        <v>2</v>
      </c>
      <c r="K13">
        <v>0</v>
      </c>
      <c r="L13">
        <v>23.08</v>
      </c>
      <c r="M13">
        <v>37126</v>
      </c>
      <c r="N13">
        <v>12</v>
      </c>
      <c r="O13">
        <v>4</v>
      </c>
      <c r="P13">
        <v>4</v>
      </c>
      <c r="Q13">
        <v>4</v>
      </c>
      <c r="R13">
        <v>4</v>
      </c>
      <c r="S13">
        <v>27</v>
      </c>
      <c r="T13">
        <v>27</v>
      </c>
      <c r="U13">
        <v>4</v>
      </c>
      <c r="V13">
        <v>3</v>
      </c>
      <c r="W13">
        <v>3</v>
      </c>
      <c r="X13">
        <v>3</v>
      </c>
      <c r="Y13">
        <v>3</v>
      </c>
      <c r="Z13">
        <v>3</v>
      </c>
      <c r="AA13">
        <v>4</v>
      </c>
      <c r="AB13">
        <v>4</v>
      </c>
      <c r="AC13">
        <v>4</v>
      </c>
      <c r="AD13">
        <v>1</v>
      </c>
      <c r="AE13">
        <v>1</v>
      </c>
      <c r="AF13">
        <v>4</v>
      </c>
      <c r="AG13">
        <v>5</v>
      </c>
      <c r="AH13">
        <v>4</v>
      </c>
      <c r="AI13">
        <v>3</v>
      </c>
      <c r="AJ13">
        <v>4</v>
      </c>
      <c r="AK13">
        <v>5</v>
      </c>
      <c r="AL13">
        <v>4581343.5</v>
      </c>
      <c r="AM13">
        <v>5085438</v>
      </c>
      <c r="AN13">
        <v>7917922.5</v>
      </c>
      <c r="AO13">
        <v>7784024</v>
      </c>
      <c r="AP13">
        <v>11393478</v>
      </c>
      <c r="AQ13">
        <v>12147518</v>
      </c>
      <c r="AR13">
        <v>10467234</v>
      </c>
      <c r="AS13">
        <v>7927087</v>
      </c>
      <c r="AT13" s="23" t="s">
        <v>742</v>
      </c>
      <c r="AU13" s="18">
        <v>6740458</v>
      </c>
      <c r="AV13" s="18">
        <v>6840711.5</v>
      </c>
      <c r="AW13" s="19">
        <v>10799514</v>
      </c>
      <c r="AX13" s="19">
        <v>12754419</v>
      </c>
      <c r="AY13" s="20">
        <v>8252773</v>
      </c>
      <c r="AZ13" s="20">
        <v>8146673</v>
      </c>
      <c r="BA13" s="21">
        <v>9662896</v>
      </c>
      <c r="BB13" s="21">
        <v>10404875</v>
      </c>
    </row>
    <row r="14" spans="1:54">
      <c r="A14">
        <v>20088</v>
      </c>
      <c r="B14" t="s">
        <v>696</v>
      </c>
      <c r="C14" t="s">
        <v>697</v>
      </c>
      <c r="D14" t="s">
        <v>698</v>
      </c>
      <c r="F14" t="s">
        <v>699</v>
      </c>
      <c r="G14">
        <v>135.40299999999999</v>
      </c>
      <c r="H14" t="s">
        <v>57</v>
      </c>
      <c r="I14">
        <v>2</v>
      </c>
      <c r="J14">
        <v>19</v>
      </c>
      <c r="K14">
        <v>0</v>
      </c>
      <c r="L14">
        <v>19.32</v>
      </c>
      <c r="M14">
        <v>42363</v>
      </c>
      <c r="N14">
        <v>18</v>
      </c>
      <c r="O14">
        <v>5</v>
      </c>
      <c r="P14">
        <v>5</v>
      </c>
      <c r="Q14">
        <v>5</v>
      </c>
      <c r="R14">
        <v>5</v>
      </c>
      <c r="S14">
        <v>18</v>
      </c>
      <c r="T14">
        <v>18</v>
      </c>
      <c r="U14">
        <v>5</v>
      </c>
      <c r="V14">
        <v>3</v>
      </c>
      <c r="W14">
        <v>5</v>
      </c>
      <c r="X14">
        <v>4</v>
      </c>
      <c r="Y14">
        <v>4</v>
      </c>
      <c r="Z14">
        <v>5</v>
      </c>
      <c r="AA14">
        <v>5</v>
      </c>
      <c r="AB14">
        <v>5</v>
      </c>
      <c r="AC14">
        <v>5</v>
      </c>
      <c r="AD14">
        <v>0</v>
      </c>
      <c r="AE14">
        <v>1</v>
      </c>
      <c r="AF14">
        <v>2</v>
      </c>
      <c r="AG14">
        <v>2</v>
      </c>
      <c r="AH14">
        <v>3</v>
      </c>
      <c r="AI14">
        <v>5</v>
      </c>
      <c r="AJ14">
        <v>4</v>
      </c>
      <c r="AK14">
        <v>2</v>
      </c>
      <c r="AL14">
        <v>2546736</v>
      </c>
      <c r="AM14">
        <v>3630647.25</v>
      </c>
      <c r="AN14">
        <v>3877093</v>
      </c>
      <c r="AO14">
        <v>3507632.5</v>
      </c>
      <c r="AP14">
        <v>9002897</v>
      </c>
      <c r="AQ14">
        <v>8919050</v>
      </c>
      <c r="AR14">
        <v>9546324</v>
      </c>
      <c r="AS14">
        <v>5519778</v>
      </c>
      <c r="AT14" s="23" t="s">
        <v>697</v>
      </c>
      <c r="AU14" s="18">
        <v>1818149</v>
      </c>
      <c r="AV14" s="18">
        <v>2680303</v>
      </c>
      <c r="AW14" s="19">
        <v>2761163.25</v>
      </c>
      <c r="AX14" s="19">
        <v>3488359.5</v>
      </c>
      <c r="AY14" s="20">
        <v>3059105</v>
      </c>
      <c r="AZ14" s="20">
        <v>3200768.5</v>
      </c>
      <c r="BA14" s="21">
        <v>6045101</v>
      </c>
      <c r="BB14" s="21">
        <v>5493703.5</v>
      </c>
    </row>
    <row r="15" spans="1:54">
      <c r="A15">
        <v>20004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>
        <v>753.51800000000003</v>
      </c>
      <c r="H15" t="s">
        <v>57</v>
      </c>
      <c r="I15">
        <v>2</v>
      </c>
      <c r="J15">
        <v>3</v>
      </c>
      <c r="K15">
        <v>18</v>
      </c>
      <c r="L15">
        <v>48.18</v>
      </c>
      <c r="M15">
        <v>64682</v>
      </c>
      <c r="N15">
        <v>37</v>
      </c>
      <c r="O15">
        <v>21</v>
      </c>
      <c r="P15">
        <v>21</v>
      </c>
      <c r="Q15">
        <v>21</v>
      </c>
      <c r="R15">
        <v>21</v>
      </c>
      <c r="S15">
        <v>79</v>
      </c>
      <c r="T15">
        <v>79</v>
      </c>
      <c r="U15">
        <v>21</v>
      </c>
      <c r="V15">
        <v>18</v>
      </c>
      <c r="W15">
        <v>19</v>
      </c>
      <c r="X15">
        <v>20</v>
      </c>
      <c r="Y15">
        <v>19</v>
      </c>
      <c r="Z15">
        <v>14</v>
      </c>
      <c r="AA15">
        <v>18</v>
      </c>
      <c r="AB15">
        <v>18</v>
      </c>
      <c r="AC15">
        <v>21</v>
      </c>
      <c r="AD15">
        <v>12</v>
      </c>
      <c r="AE15">
        <v>11</v>
      </c>
      <c r="AF15">
        <v>12</v>
      </c>
      <c r="AG15">
        <v>12</v>
      </c>
      <c r="AH15">
        <v>4</v>
      </c>
      <c r="AI15">
        <v>3</v>
      </c>
      <c r="AJ15">
        <v>13</v>
      </c>
      <c r="AK15">
        <v>12</v>
      </c>
      <c r="AL15">
        <v>60970704</v>
      </c>
      <c r="AM15">
        <v>66535728</v>
      </c>
      <c r="AN15">
        <v>67788016</v>
      </c>
      <c r="AO15">
        <v>47842112</v>
      </c>
      <c r="AP15">
        <v>31021902</v>
      </c>
      <c r="AQ15">
        <v>35840472</v>
      </c>
      <c r="AR15">
        <v>63496132</v>
      </c>
      <c r="AS15">
        <v>62088136</v>
      </c>
      <c r="AT15" s="23" t="s">
        <v>276</v>
      </c>
      <c r="AU15" s="18">
        <v>65614136</v>
      </c>
      <c r="AV15" s="18">
        <v>54191964</v>
      </c>
      <c r="AW15" s="19">
        <v>50291432</v>
      </c>
      <c r="AX15" s="19">
        <v>44991916</v>
      </c>
      <c r="AY15" s="20">
        <v>12136709</v>
      </c>
      <c r="AZ15" s="20">
        <v>14709024</v>
      </c>
      <c r="BA15" s="21">
        <v>32819116</v>
      </c>
      <c r="BB15" s="21">
        <v>46047936</v>
      </c>
    </row>
    <row r="16" spans="1:54">
      <c r="A16">
        <v>20070</v>
      </c>
      <c r="B16" t="s">
        <v>840</v>
      </c>
      <c r="C16" t="s">
        <v>841</v>
      </c>
      <c r="D16" t="s">
        <v>842</v>
      </c>
      <c r="E16" t="s">
        <v>843</v>
      </c>
      <c r="F16" t="s">
        <v>844</v>
      </c>
      <c r="G16">
        <v>79.156999999999996</v>
      </c>
      <c r="H16" t="s">
        <v>57</v>
      </c>
      <c r="I16">
        <v>2</v>
      </c>
      <c r="J16">
        <v>12</v>
      </c>
      <c r="K16">
        <v>9</v>
      </c>
      <c r="L16">
        <v>8.64</v>
      </c>
      <c r="M16">
        <v>74358</v>
      </c>
      <c r="N16">
        <v>42</v>
      </c>
      <c r="O16">
        <v>5</v>
      </c>
      <c r="P16">
        <v>5</v>
      </c>
      <c r="Q16">
        <v>5</v>
      </c>
      <c r="R16">
        <v>5</v>
      </c>
      <c r="S16">
        <v>7</v>
      </c>
      <c r="T16">
        <v>7</v>
      </c>
      <c r="U16">
        <v>5</v>
      </c>
      <c r="V16">
        <v>3</v>
      </c>
      <c r="W16">
        <v>4</v>
      </c>
      <c r="X16">
        <v>4</v>
      </c>
      <c r="Y16">
        <v>4</v>
      </c>
      <c r="Z16">
        <v>4</v>
      </c>
      <c r="AA16">
        <v>4</v>
      </c>
      <c r="AB16">
        <v>5</v>
      </c>
      <c r="AC16">
        <v>4</v>
      </c>
      <c r="AD16">
        <v>2</v>
      </c>
      <c r="AE16">
        <v>0</v>
      </c>
      <c r="AF16">
        <v>0</v>
      </c>
      <c r="AG16">
        <v>1</v>
      </c>
      <c r="AH16">
        <v>0</v>
      </c>
      <c r="AI16">
        <v>2</v>
      </c>
      <c r="AJ16">
        <v>4</v>
      </c>
      <c r="AK16">
        <v>1</v>
      </c>
      <c r="AL16">
        <v>1159699.75</v>
      </c>
      <c r="AM16">
        <v>2170684.75</v>
      </c>
      <c r="AN16">
        <v>3617846.5</v>
      </c>
      <c r="AO16">
        <v>3402944.5</v>
      </c>
      <c r="AP16">
        <v>7866065</v>
      </c>
      <c r="AQ16">
        <v>6179821</v>
      </c>
      <c r="AR16">
        <v>6228664</v>
      </c>
      <c r="AS16">
        <v>3069677.5</v>
      </c>
      <c r="AT16" s="23" t="s">
        <v>841</v>
      </c>
      <c r="AU16" s="18">
        <v>424329.62</v>
      </c>
      <c r="AV16" s="18">
        <v>1902470.75</v>
      </c>
      <c r="AW16" s="19">
        <v>2785046</v>
      </c>
      <c r="AX16" s="19">
        <v>3109771</v>
      </c>
      <c r="AY16" s="20">
        <v>2799073</v>
      </c>
      <c r="AZ16" s="20">
        <v>2817990.5</v>
      </c>
      <c r="BA16" s="21">
        <v>3414030.75</v>
      </c>
      <c r="BB16" s="21">
        <v>2989806.5</v>
      </c>
    </row>
    <row r="17" spans="1:54">
      <c r="A17">
        <v>20233</v>
      </c>
      <c r="B17" t="s">
        <v>420</v>
      </c>
      <c r="C17" t="s">
        <v>421</v>
      </c>
      <c r="D17" t="s">
        <v>422</v>
      </c>
      <c r="E17" t="s">
        <v>423</v>
      </c>
      <c r="F17" t="s">
        <v>424</v>
      </c>
      <c r="G17">
        <v>424.55900000000003</v>
      </c>
      <c r="H17" t="s">
        <v>57</v>
      </c>
      <c r="I17">
        <v>2</v>
      </c>
      <c r="J17">
        <v>2</v>
      </c>
      <c r="K17">
        <v>1</v>
      </c>
      <c r="L17">
        <v>30.57</v>
      </c>
      <c r="M17">
        <v>38009</v>
      </c>
      <c r="N17">
        <v>19</v>
      </c>
      <c r="O17">
        <v>7</v>
      </c>
      <c r="P17">
        <v>7</v>
      </c>
      <c r="Q17">
        <v>7</v>
      </c>
      <c r="R17">
        <v>7</v>
      </c>
      <c r="S17">
        <v>95</v>
      </c>
      <c r="T17">
        <v>95</v>
      </c>
      <c r="U17">
        <v>7</v>
      </c>
      <c r="V17">
        <v>6</v>
      </c>
      <c r="W17">
        <v>6</v>
      </c>
      <c r="X17">
        <v>7</v>
      </c>
      <c r="Y17">
        <v>7</v>
      </c>
      <c r="Z17">
        <v>7</v>
      </c>
      <c r="AA17">
        <v>7</v>
      </c>
      <c r="AB17">
        <v>7</v>
      </c>
      <c r="AC17">
        <v>7</v>
      </c>
      <c r="AD17">
        <v>7</v>
      </c>
      <c r="AE17">
        <v>8</v>
      </c>
      <c r="AF17">
        <v>17</v>
      </c>
      <c r="AG17">
        <v>13</v>
      </c>
      <c r="AH17">
        <v>10</v>
      </c>
      <c r="AI17">
        <v>11</v>
      </c>
      <c r="AJ17">
        <v>14</v>
      </c>
      <c r="AK17">
        <v>15</v>
      </c>
      <c r="AL17">
        <v>51117696</v>
      </c>
      <c r="AM17">
        <v>59887856</v>
      </c>
      <c r="AN17">
        <v>121139608</v>
      </c>
      <c r="AO17">
        <v>114226720</v>
      </c>
      <c r="AP17">
        <v>160365536</v>
      </c>
      <c r="AQ17">
        <v>174278064</v>
      </c>
      <c r="AR17">
        <v>167353456</v>
      </c>
      <c r="AS17">
        <v>111595792</v>
      </c>
      <c r="AT17" s="23" t="s">
        <v>421</v>
      </c>
      <c r="AU17" s="18">
        <v>47958408</v>
      </c>
      <c r="AV17" s="18">
        <v>48005448</v>
      </c>
      <c r="AW17" s="19">
        <v>96366648</v>
      </c>
      <c r="AX17" s="19">
        <v>103702736</v>
      </c>
      <c r="AY17" s="20">
        <v>67849304</v>
      </c>
      <c r="AZ17" s="20">
        <v>76605648</v>
      </c>
      <c r="BA17" s="21">
        <v>101683864</v>
      </c>
      <c r="BB17" s="21">
        <v>107210192</v>
      </c>
    </row>
    <row r="18" spans="1:54">
      <c r="A18">
        <v>20121</v>
      </c>
      <c r="B18" t="s">
        <v>265</v>
      </c>
      <c r="C18" t="s">
        <v>266</v>
      </c>
      <c r="D18" t="s">
        <v>267</v>
      </c>
      <c r="E18" t="s">
        <v>268</v>
      </c>
      <c r="F18" t="s">
        <v>269</v>
      </c>
      <c r="G18">
        <v>773.47500000000002</v>
      </c>
      <c r="H18" t="s">
        <v>57</v>
      </c>
      <c r="I18">
        <v>2</v>
      </c>
      <c r="J18">
        <v>7</v>
      </c>
      <c r="K18">
        <v>1</v>
      </c>
      <c r="L18">
        <v>55.79</v>
      </c>
      <c r="M18">
        <v>52569</v>
      </c>
      <c r="N18">
        <v>28</v>
      </c>
      <c r="O18">
        <v>20</v>
      </c>
      <c r="P18">
        <v>20</v>
      </c>
      <c r="Q18">
        <v>20</v>
      </c>
      <c r="R18">
        <v>20</v>
      </c>
      <c r="S18">
        <v>280</v>
      </c>
      <c r="T18">
        <v>280</v>
      </c>
      <c r="U18">
        <v>20</v>
      </c>
      <c r="V18">
        <v>17</v>
      </c>
      <c r="W18">
        <v>16</v>
      </c>
      <c r="X18">
        <v>19</v>
      </c>
      <c r="Y18">
        <v>19</v>
      </c>
      <c r="Z18">
        <v>19</v>
      </c>
      <c r="AA18">
        <v>19</v>
      </c>
      <c r="AB18">
        <v>20</v>
      </c>
      <c r="AC18">
        <v>20</v>
      </c>
      <c r="AD18">
        <v>32</v>
      </c>
      <c r="AE18">
        <v>37</v>
      </c>
      <c r="AF18">
        <v>46</v>
      </c>
      <c r="AG18">
        <v>48</v>
      </c>
      <c r="AH18">
        <v>22</v>
      </c>
      <c r="AI18">
        <v>22</v>
      </c>
      <c r="AJ18">
        <v>36</v>
      </c>
      <c r="AK18">
        <v>37</v>
      </c>
      <c r="AL18">
        <v>491229184</v>
      </c>
      <c r="AM18">
        <v>467081792</v>
      </c>
      <c r="AN18">
        <v>493781568</v>
      </c>
      <c r="AO18">
        <v>459105920</v>
      </c>
      <c r="AP18">
        <v>246754496</v>
      </c>
      <c r="AQ18">
        <v>260934320</v>
      </c>
      <c r="AR18">
        <v>542954176</v>
      </c>
      <c r="AS18">
        <v>345602752</v>
      </c>
      <c r="AT18" s="23" t="s">
        <v>266</v>
      </c>
      <c r="AU18" s="18">
        <v>436944224</v>
      </c>
      <c r="AV18" s="18">
        <v>391022464</v>
      </c>
      <c r="AW18" s="19">
        <v>411415232</v>
      </c>
      <c r="AX18" s="19">
        <v>454109568</v>
      </c>
      <c r="AY18" s="20">
        <v>104762072</v>
      </c>
      <c r="AZ18" s="20">
        <v>118759848</v>
      </c>
      <c r="BA18" s="21">
        <v>325366368</v>
      </c>
      <c r="BB18" s="21">
        <v>302569440</v>
      </c>
    </row>
    <row r="19" spans="1:54">
      <c r="A19">
        <v>19959</v>
      </c>
      <c r="B19" t="s">
        <v>451</v>
      </c>
      <c r="C19" t="s">
        <v>452</v>
      </c>
      <c r="D19" t="s">
        <v>453</v>
      </c>
      <c r="E19" t="s">
        <v>454</v>
      </c>
      <c r="F19" t="s">
        <v>455</v>
      </c>
      <c r="G19">
        <v>382.41199999999998</v>
      </c>
      <c r="H19" t="s">
        <v>57</v>
      </c>
      <c r="I19">
        <v>2</v>
      </c>
      <c r="J19">
        <v>4</v>
      </c>
      <c r="K19">
        <v>17</v>
      </c>
      <c r="L19">
        <v>36.270000000000003</v>
      </c>
      <c r="M19">
        <v>65912</v>
      </c>
      <c r="N19">
        <v>38</v>
      </c>
      <c r="O19">
        <v>19</v>
      </c>
      <c r="P19">
        <v>19</v>
      </c>
      <c r="Q19">
        <v>19</v>
      </c>
      <c r="R19">
        <v>19</v>
      </c>
      <c r="S19">
        <v>77</v>
      </c>
      <c r="T19">
        <v>77</v>
      </c>
      <c r="U19">
        <v>19</v>
      </c>
      <c r="V19">
        <v>15</v>
      </c>
      <c r="W19">
        <v>17</v>
      </c>
      <c r="X19">
        <v>19</v>
      </c>
      <c r="Y19">
        <v>15</v>
      </c>
      <c r="Z19">
        <v>17</v>
      </c>
      <c r="AA19">
        <v>17</v>
      </c>
      <c r="AB19">
        <v>18</v>
      </c>
      <c r="AC19">
        <v>17</v>
      </c>
      <c r="AD19">
        <v>15</v>
      </c>
      <c r="AE19">
        <v>11</v>
      </c>
      <c r="AF19">
        <v>8</v>
      </c>
      <c r="AG19">
        <v>7</v>
      </c>
      <c r="AH19">
        <v>6</v>
      </c>
      <c r="AI19">
        <v>8</v>
      </c>
      <c r="AJ19">
        <v>15</v>
      </c>
      <c r="AK19">
        <v>7</v>
      </c>
      <c r="AL19">
        <v>58300920</v>
      </c>
      <c r="AM19">
        <v>50520292</v>
      </c>
      <c r="AN19">
        <v>51910652</v>
      </c>
      <c r="AO19">
        <v>36618276</v>
      </c>
      <c r="AP19">
        <v>34543416</v>
      </c>
      <c r="AQ19">
        <v>35934652</v>
      </c>
      <c r="AR19">
        <v>54124704</v>
      </c>
      <c r="AS19">
        <v>31350352</v>
      </c>
      <c r="AT19" s="23" t="s">
        <v>452</v>
      </c>
      <c r="AU19" s="18">
        <v>58744884</v>
      </c>
      <c r="AV19" s="18">
        <v>40300912</v>
      </c>
      <c r="AW19" s="19">
        <v>34854852</v>
      </c>
      <c r="AX19" s="19">
        <v>29530342</v>
      </c>
      <c r="AY19" s="20">
        <v>14925116</v>
      </c>
      <c r="AZ19" s="20">
        <v>16184646</v>
      </c>
      <c r="BA19" s="21">
        <v>29248912</v>
      </c>
      <c r="BB19" s="21">
        <v>32044766</v>
      </c>
    </row>
    <row r="20" spans="1:54">
      <c r="A20">
        <v>19963</v>
      </c>
      <c r="B20" t="s">
        <v>1252</v>
      </c>
      <c r="C20" t="s">
        <v>1253</v>
      </c>
      <c r="D20" t="s">
        <v>1254</v>
      </c>
      <c r="F20" t="s">
        <v>1255</v>
      </c>
      <c r="G20">
        <v>5.8529999999999998</v>
      </c>
      <c r="H20" t="s">
        <v>57</v>
      </c>
      <c r="I20">
        <v>2</v>
      </c>
      <c r="J20">
        <v>21</v>
      </c>
      <c r="K20">
        <v>0</v>
      </c>
      <c r="L20">
        <v>7.83</v>
      </c>
      <c r="M20">
        <v>50324</v>
      </c>
      <c r="N20">
        <v>24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0</v>
      </c>
      <c r="AE20">
        <v>0</v>
      </c>
      <c r="AF20">
        <v>1</v>
      </c>
      <c r="AG20">
        <v>0</v>
      </c>
      <c r="AH20">
        <v>3</v>
      </c>
      <c r="AI20">
        <v>0</v>
      </c>
      <c r="AJ20">
        <v>0</v>
      </c>
      <c r="AK20">
        <v>0</v>
      </c>
      <c r="AL20">
        <v>21362496</v>
      </c>
      <c r="AM20">
        <v>22767560</v>
      </c>
      <c r="AN20">
        <v>22474176</v>
      </c>
      <c r="AO20">
        <v>47001392</v>
      </c>
      <c r="AP20">
        <v>40815808</v>
      </c>
      <c r="AQ20">
        <v>39601480</v>
      </c>
      <c r="AR20">
        <v>25228930</v>
      </c>
      <c r="AS20">
        <v>20341424</v>
      </c>
      <c r="AT20" s="23" t="s">
        <v>1253</v>
      </c>
      <c r="AU20" s="18">
        <v>28823442</v>
      </c>
      <c r="AV20" s="18">
        <v>20971664</v>
      </c>
      <c r="AW20" s="19">
        <v>17642736</v>
      </c>
      <c r="AX20" s="19">
        <v>25330210</v>
      </c>
      <c r="AY20" s="20">
        <v>19153434</v>
      </c>
      <c r="AZ20" s="20">
        <v>17790354</v>
      </c>
      <c r="BA20" s="21">
        <v>14163351</v>
      </c>
      <c r="BB20" s="21">
        <v>16835548</v>
      </c>
    </row>
    <row r="21" spans="1:54">
      <c r="A21">
        <v>20261</v>
      </c>
      <c r="B21" t="s">
        <v>1197</v>
      </c>
      <c r="C21" t="s">
        <v>1198</v>
      </c>
      <c r="D21" t="s">
        <v>1197</v>
      </c>
      <c r="F21" t="s">
        <v>1199</v>
      </c>
      <c r="G21">
        <v>10.512</v>
      </c>
      <c r="H21" t="s">
        <v>57</v>
      </c>
      <c r="I21">
        <v>2</v>
      </c>
      <c r="J21">
        <v>1</v>
      </c>
      <c r="K21">
        <v>0</v>
      </c>
      <c r="L21">
        <v>3.6</v>
      </c>
      <c r="M21">
        <v>46710</v>
      </c>
      <c r="N21">
        <v>25</v>
      </c>
      <c r="O21">
        <v>2</v>
      </c>
      <c r="P21">
        <v>2</v>
      </c>
      <c r="Q21">
        <v>2</v>
      </c>
      <c r="R21">
        <v>2</v>
      </c>
      <c r="S21">
        <v>6</v>
      </c>
      <c r="T21">
        <v>6</v>
      </c>
      <c r="U21">
        <v>2</v>
      </c>
      <c r="V21">
        <v>1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0</v>
      </c>
      <c r="AE21">
        <v>1</v>
      </c>
      <c r="AF21">
        <v>2</v>
      </c>
      <c r="AG21">
        <v>2</v>
      </c>
      <c r="AH21">
        <v>0</v>
      </c>
      <c r="AI21">
        <v>1</v>
      </c>
      <c r="AJ21">
        <v>1</v>
      </c>
      <c r="AK21">
        <v>0</v>
      </c>
      <c r="AL21">
        <v>301704.03000000003</v>
      </c>
      <c r="AM21">
        <v>16643313</v>
      </c>
      <c r="AN21">
        <v>4103728</v>
      </c>
      <c r="AO21">
        <v>4202560.5</v>
      </c>
      <c r="AP21">
        <v>42902124</v>
      </c>
      <c r="AQ21">
        <v>42226708</v>
      </c>
      <c r="AR21">
        <v>5905545.5</v>
      </c>
      <c r="AS21">
        <v>4176298.5</v>
      </c>
      <c r="AT21" s="23" t="s">
        <v>1198</v>
      </c>
      <c r="AU21" s="18">
        <v>142218.79999999999</v>
      </c>
      <c r="AV21" s="18">
        <v>8369052</v>
      </c>
      <c r="AW21" s="19">
        <v>5966456.5</v>
      </c>
      <c r="AX21" s="19">
        <v>6552837.5</v>
      </c>
      <c r="AY21" s="20">
        <v>12563386</v>
      </c>
      <c r="AZ21" s="20">
        <v>13472957</v>
      </c>
      <c r="BA21" s="21">
        <v>7686227</v>
      </c>
      <c r="BB21" s="21">
        <v>8899976</v>
      </c>
    </row>
    <row r="22" spans="1:54">
      <c r="A22">
        <v>20020</v>
      </c>
      <c r="B22" t="s">
        <v>1108</v>
      </c>
      <c r="C22" t="s">
        <v>1109</v>
      </c>
      <c r="D22" t="s">
        <v>1110</v>
      </c>
      <c r="F22" t="s">
        <v>1111</v>
      </c>
      <c r="G22">
        <v>18.553999999999998</v>
      </c>
      <c r="H22" t="s">
        <v>57</v>
      </c>
      <c r="I22">
        <v>2</v>
      </c>
      <c r="J22">
        <v>17</v>
      </c>
      <c r="K22">
        <v>0</v>
      </c>
      <c r="L22">
        <v>1.63</v>
      </c>
      <c r="M22">
        <v>52932</v>
      </c>
      <c r="N22">
        <v>25</v>
      </c>
      <c r="O22">
        <v>1</v>
      </c>
      <c r="P22">
        <v>1</v>
      </c>
      <c r="Q22">
        <v>1</v>
      </c>
      <c r="R22">
        <v>1</v>
      </c>
      <c r="S22">
        <v>3</v>
      </c>
      <c r="T22">
        <v>3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2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3278714.5</v>
      </c>
      <c r="AM22">
        <v>4665330.5</v>
      </c>
      <c r="AN22">
        <v>8097159</v>
      </c>
      <c r="AO22">
        <v>7960554.5</v>
      </c>
      <c r="AP22">
        <v>6680162.5</v>
      </c>
      <c r="AQ22">
        <v>5889769</v>
      </c>
      <c r="AR22">
        <v>6729270.5</v>
      </c>
      <c r="AS22">
        <v>2913190.5</v>
      </c>
      <c r="AT22" s="23" t="s">
        <v>1109</v>
      </c>
      <c r="AU22" s="18">
        <v>3278714.5</v>
      </c>
      <c r="AV22" s="18">
        <v>3600339.5</v>
      </c>
      <c r="AW22" s="19">
        <v>6251821.5</v>
      </c>
      <c r="AX22" s="19">
        <v>7079150</v>
      </c>
      <c r="AY22" s="20">
        <v>2689939.5</v>
      </c>
      <c r="AZ22" s="20">
        <v>2531906.25</v>
      </c>
      <c r="BA22" s="21">
        <v>3603218.5</v>
      </c>
      <c r="BB22" s="21">
        <v>2286493.25</v>
      </c>
    </row>
    <row r="23" spans="1:54">
      <c r="A23">
        <v>20242</v>
      </c>
      <c r="B23" t="s">
        <v>1098</v>
      </c>
      <c r="C23" t="s">
        <v>1099</v>
      </c>
      <c r="D23" t="s">
        <v>1098</v>
      </c>
      <c r="F23" t="s">
        <v>1100</v>
      </c>
      <c r="G23">
        <v>20.341000000000001</v>
      </c>
      <c r="H23" t="s">
        <v>57</v>
      </c>
      <c r="I23">
        <v>2</v>
      </c>
      <c r="J23">
        <v>1</v>
      </c>
      <c r="K23">
        <v>0</v>
      </c>
      <c r="L23">
        <v>7.34</v>
      </c>
      <c r="M23">
        <v>31514</v>
      </c>
      <c r="N23">
        <v>22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1</v>
      </c>
      <c r="W23">
        <v>1</v>
      </c>
      <c r="X23">
        <v>1</v>
      </c>
      <c r="Y23">
        <v>1</v>
      </c>
      <c r="Z23">
        <v>2</v>
      </c>
      <c r="AA23">
        <v>2</v>
      </c>
      <c r="AB23">
        <v>2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512094.44</v>
      </c>
      <c r="AM23">
        <v>511488.62</v>
      </c>
      <c r="AN23">
        <v>722419.88</v>
      </c>
      <c r="AO23">
        <v>468147.03</v>
      </c>
      <c r="AP23">
        <v>1782067.38</v>
      </c>
      <c r="AQ23">
        <v>1407245.25</v>
      </c>
      <c r="AR23">
        <v>1237780.5</v>
      </c>
      <c r="AS23">
        <v>419739.19</v>
      </c>
      <c r="AT23" s="23" t="s">
        <v>1099</v>
      </c>
      <c r="AU23" s="18">
        <v>78301.88</v>
      </c>
      <c r="AV23" s="18">
        <v>50964.22</v>
      </c>
      <c r="AW23" s="19">
        <v>69642.98</v>
      </c>
      <c r="AX23" s="19">
        <v>57390.46</v>
      </c>
      <c r="AY23" s="20">
        <v>1314438.6200000001</v>
      </c>
      <c r="AZ23" s="20">
        <v>1096344.3799999999</v>
      </c>
      <c r="BA23" s="21">
        <v>1124834</v>
      </c>
      <c r="BB23" s="21">
        <v>124031.19</v>
      </c>
    </row>
    <row r="24" spans="1:54">
      <c r="A24">
        <v>20263</v>
      </c>
      <c r="B24" t="s">
        <v>1378</v>
      </c>
      <c r="C24" t="s">
        <v>1379</v>
      </c>
      <c r="D24" t="s">
        <v>1378</v>
      </c>
      <c r="F24" t="s">
        <v>1380</v>
      </c>
      <c r="G24">
        <v>0</v>
      </c>
      <c r="H24" t="s">
        <v>57</v>
      </c>
      <c r="I24">
        <v>2</v>
      </c>
      <c r="J24">
        <v>1</v>
      </c>
      <c r="K24">
        <v>0</v>
      </c>
      <c r="L24">
        <v>0.9</v>
      </c>
      <c r="M24">
        <v>187250</v>
      </c>
      <c r="N24">
        <v>108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1</v>
      </c>
      <c r="W24">
        <v>2</v>
      </c>
      <c r="X24">
        <v>2</v>
      </c>
      <c r="Y24">
        <v>2</v>
      </c>
      <c r="Z24">
        <v>2</v>
      </c>
      <c r="AA24">
        <v>1</v>
      </c>
      <c r="AB24">
        <v>2</v>
      </c>
      <c r="AC24">
        <v>2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398790.56</v>
      </c>
      <c r="AM24">
        <v>2049339.5</v>
      </c>
      <c r="AN24">
        <v>1241650</v>
      </c>
      <c r="AO24">
        <v>1645374.75</v>
      </c>
      <c r="AP24">
        <v>703120.62</v>
      </c>
      <c r="AQ24">
        <v>398074.91</v>
      </c>
      <c r="AR24">
        <v>480231.91</v>
      </c>
      <c r="AS24">
        <v>779220.5</v>
      </c>
      <c r="AT24" s="23" t="s">
        <v>1379</v>
      </c>
      <c r="AU24" s="18">
        <v>47880.71</v>
      </c>
      <c r="AV24" s="18">
        <v>1617806.25</v>
      </c>
      <c r="AW24" s="19">
        <v>947593.75</v>
      </c>
      <c r="AX24" s="19">
        <v>1429297.12</v>
      </c>
      <c r="AY24" s="20">
        <v>290115.19</v>
      </c>
      <c r="AZ24" s="20">
        <v>52059</v>
      </c>
      <c r="BA24" s="21">
        <v>393589.72</v>
      </c>
      <c r="BB24" s="21">
        <v>940836.38</v>
      </c>
    </row>
    <row r="25" spans="1:54">
      <c r="A25">
        <v>20199</v>
      </c>
      <c r="B25" t="s">
        <v>583</v>
      </c>
      <c r="C25" t="s">
        <v>584</v>
      </c>
      <c r="D25" t="s">
        <v>583</v>
      </c>
      <c r="F25" t="s">
        <v>585</v>
      </c>
      <c r="G25">
        <v>242.01499999999999</v>
      </c>
      <c r="H25" t="s">
        <v>57</v>
      </c>
      <c r="I25">
        <v>2</v>
      </c>
      <c r="J25">
        <v>1</v>
      </c>
      <c r="K25">
        <v>0</v>
      </c>
      <c r="L25">
        <v>25.91</v>
      </c>
      <c r="M25">
        <v>25096</v>
      </c>
      <c r="N25">
        <v>11</v>
      </c>
      <c r="O25">
        <v>6</v>
      </c>
      <c r="P25">
        <v>6</v>
      </c>
      <c r="Q25">
        <v>6</v>
      </c>
      <c r="R25">
        <v>6</v>
      </c>
      <c r="S25">
        <v>56</v>
      </c>
      <c r="T25">
        <v>56</v>
      </c>
      <c r="U25">
        <v>6</v>
      </c>
      <c r="V25">
        <v>5</v>
      </c>
      <c r="W25">
        <v>6</v>
      </c>
      <c r="X25">
        <v>6</v>
      </c>
      <c r="Y25">
        <v>6</v>
      </c>
      <c r="Z25">
        <v>6</v>
      </c>
      <c r="AA25">
        <v>6</v>
      </c>
      <c r="AB25">
        <v>6</v>
      </c>
      <c r="AC25">
        <v>6</v>
      </c>
      <c r="AD25">
        <v>6</v>
      </c>
      <c r="AE25">
        <v>4</v>
      </c>
      <c r="AF25">
        <v>8</v>
      </c>
      <c r="AG25">
        <v>9</v>
      </c>
      <c r="AH25">
        <v>6</v>
      </c>
      <c r="AI25">
        <v>8</v>
      </c>
      <c r="AJ25">
        <v>8</v>
      </c>
      <c r="AK25">
        <v>7</v>
      </c>
      <c r="AL25">
        <v>19867436</v>
      </c>
      <c r="AM25">
        <v>25401308</v>
      </c>
      <c r="AN25">
        <v>38430220</v>
      </c>
      <c r="AO25">
        <v>37370192</v>
      </c>
      <c r="AP25">
        <v>38327988</v>
      </c>
      <c r="AQ25">
        <v>44986932</v>
      </c>
      <c r="AR25">
        <v>48249736</v>
      </c>
      <c r="AS25">
        <v>39360348</v>
      </c>
      <c r="AT25" s="23" t="s">
        <v>584</v>
      </c>
      <c r="AU25" s="18">
        <v>18827786</v>
      </c>
      <c r="AV25" s="18">
        <v>19546068</v>
      </c>
      <c r="AW25" s="19">
        <v>33299264</v>
      </c>
      <c r="AX25" s="19">
        <v>35882492</v>
      </c>
      <c r="AY25" s="20">
        <v>16433163</v>
      </c>
      <c r="AZ25" s="20">
        <v>22560848</v>
      </c>
      <c r="BA25" s="21">
        <v>25980174</v>
      </c>
      <c r="BB25" s="21">
        <v>31869462</v>
      </c>
    </row>
    <row r="26" spans="1:54">
      <c r="A26">
        <v>20006</v>
      </c>
      <c r="B26" t="s">
        <v>1082</v>
      </c>
      <c r="C26" t="s">
        <v>1083</v>
      </c>
      <c r="D26" t="s">
        <v>1084</v>
      </c>
      <c r="F26" t="s">
        <v>1085</v>
      </c>
      <c r="G26">
        <v>21.991</v>
      </c>
      <c r="H26" t="s">
        <v>57</v>
      </c>
      <c r="I26">
        <v>2</v>
      </c>
      <c r="J26">
        <v>21</v>
      </c>
      <c r="K26">
        <v>0</v>
      </c>
      <c r="L26">
        <v>8.17</v>
      </c>
      <c r="M26">
        <v>34424</v>
      </c>
      <c r="N26">
        <v>16</v>
      </c>
      <c r="O26">
        <v>2</v>
      </c>
      <c r="P26">
        <v>2</v>
      </c>
      <c r="Q26">
        <v>2</v>
      </c>
      <c r="R26">
        <v>2</v>
      </c>
      <c r="S26">
        <v>4</v>
      </c>
      <c r="T26">
        <v>4</v>
      </c>
      <c r="U26">
        <v>2</v>
      </c>
      <c r="V26">
        <v>1</v>
      </c>
      <c r="W26">
        <v>2</v>
      </c>
      <c r="X26">
        <v>2</v>
      </c>
      <c r="Y26">
        <v>2</v>
      </c>
      <c r="Z26">
        <v>2</v>
      </c>
      <c r="AA26">
        <v>2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1661495.38</v>
      </c>
      <c r="AM26">
        <v>887951.44</v>
      </c>
      <c r="AN26">
        <v>1158410.75</v>
      </c>
      <c r="AO26">
        <v>2118065.5</v>
      </c>
      <c r="AP26">
        <v>2963953</v>
      </c>
      <c r="AQ26">
        <v>3180113.75</v>
      </c>
      <c r="AR26">
        <v>2422437.25</v>
      </c>
      <c r="AS26">
        <v>1326623.8799999999</v>
      </c>
      <c r="AT26" s="23" t="s">
        <v>1083</v>
      </c>
      <c r="AU26" s="18">
        <v>107482.04</v>
      </c>
      <c r="AV26" s="18">
        <v>899668.69</v>
      </c>
      <c r="AW26" s="19">
        <v>1183452.8799999999</v>
      </c>
      <c r="AX26" s="19">
        <v>2446205.5</v>
      </c>
      <c r="AY26" s="20">
        <v>1129136.3799999999</v>
      </c>
      <c r="AZ26" s="20">
        <v>1709413.88</v>
      </c>
      <c r="BA26" s="21">
        <v>484238.88</v>
      </c>
      <c r="BB26" s="21">
        <v>1971222.62</v>
      </c>
    </row>
    <row r="27" spans="1:54">
      <c r="A27">
        <v>20232</v>
      </c>
      <c r="B27" t="s">
        <v>938</v>
      </c>
      <c r="C27" t="s">
        <v>939</v>
      </c>
      <c r="D27" t="s">
        <v>940</v>
      </c>
      <c r="F27" t="s">
        <v>941</v>
      </c>
      <c r="G27">
        <v>42.106000000000002</v>
      </c>
      <c r="H27" t="s">
        <v>57</v>
      </c>
      <c r="I27">
        <v>2</v>
      </c>
      <c r="J27">
        <v>2</v>
      </c>
      <c r="K27">
        <v>0</v>
      </c>
      <c r="L27">
        <v>5.26</v>
      </c>
      <c r="M27">
        <v>31453</v>
      </c>
      <c r="N27">
        <v>4</v>
      </c>
      <c r="O27">
        <v>1</v>
      </c>
      <c r="P27">
        <v>1</v>
      </c>
      <c r="Q27">
        <v>1</v>
      </c>
      <c r="R27">
        <v>1</v>
      </c>
      <c r="S27">
        <v>52</v>
      </c>
      <c r="T27">
        <v>52</v>
      </c>
      <c r="U27">
        <v>1</v>
      </c>
      <c r="V27">
        <v>1</v>
      </c>
      <c r="W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3</v>
      </c>
      <c r="AE27">
        <v>12</v>
      </c>
      <c r="AF27">
        <v>0</v>
      </c>
      <c r="AG27">
        <v>5</v>
      </c>
      <c r="AH27">
        <v>10</v>
      </c>
      <c r="AI27">
        <v>10</v>
      </c>
      <c r="AJ27">
        <v>7</v>
      </c>
      <c r="AK27">
        <v>5</v>
      </c>
      <c r="AL27">
        <v>4804760.5</v>
      </c>
      <c r="AM27">
        <v>4441485</v>
      </c>
      <c r="AO27">
        <v>1660834.25</v>
      </c>
      <c r="AP27">
        <v>47669564</v>
      </c>
      <c r="AQ27">
        <v>82911136</v>
      </c>
      <c r="AR27">
        <v>18868880</v>
      </c>
      <c r="AS27">
        <v>8920728</v>
      </c>
      <c r="AT27" s="23" t="s">
        <v>939</v>
      </c>
      <c r="AU27" s="18">
        <v>4552840.5</v>
      </c>
      <c r="AV27" s="18">
        <v>3472631</v>
      </c>
      <c r="AW27" s="19">
        <v>213953.23</v>
      </c>
      <c r="AX27" s="19">
        <v>149424.70000000001</v>
      </c>
      <c r="AY27" s="20">
        <v>28339168</v>
      </c>
      <c r="AZ27" s="20">
        <v>51929040</v>
      </c>
      <c r="BA27" s="21">
        <v>15321608</v>
      </c>
      <c r="BB27" s="21">
        <v>10264347</v>
      </c>
    </row>
    <row r="28" spans="1:54">
      <c r="A28">
        <v>20196</v>
      </c>
      <c r="B28" t="s">
        <v>1370</v>
      </c>
      <c r="C28" t="s">
        <v>1371</v>
      </c>
      <c r="D28" t="s">
        <v>1370</v>
      </c>
      <c r="E28" t="s">
        <v>1372</v>
      </c>
      <c r="F28" t="s">
        <v>1373</v>
      </c>
      <c r="G28">
        <v>0</v>
      </c>
      <c r="H28" t="s">
        <v>57</v>
      </c>
      <c r="I28">
        <v>2</v>
      </c>
      <c r="J28">
        <v>1</v>
      </c>
      <c r="K28">
        <v>1</v>
      </c>
      <c r="L28">
        <v>6.79</v>
      </c>
      <c r="M28">
        <v>30852</v>
      </c>
      <c r="N28">
        <v>19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1341527.25</v>
      </c>
      <c r="AM28">
        <v>5350500.5</v>
      </c>
      <c r="AN28">
        <v>11310988</v>
      </c>
      <c r="AO28">
        <v>2697597</v>
      </c>
      <c r="AP28">
        <v>8301416</v>
      </c>
      <c r="AQ28">
        <v>7897683.5</v>
      </c>
      <c r="AR28">
        <v>16340786</v>
      </c>
      <c r="AS28">
        <v>4150068.5</v>
      </c>
      <c r="AT28" s="23" t="s">
        <v>1371</v>
      </c>
      <c r="AU28" s="18">
        <v>1237020.6200000001</v>
      </c>
      <c r="AV28" s="18">
        <v>5264432</v>
      </c>
      <c r="AW28" s="19">
        <v>6101430</v>
      </c>
      <c r="AX28" s="19">
        <v>3243499.25</v>
      </c>
      <c r="AY28" s="20">
        <v>4035266.5</v>
      </c>
      <c r="AZ28" s="20">
        <v>3624168.75</v>
      </c>
      <c r="BA28" s="21">
        <v>7798757.5</v>
      </c>
      <c r="BB28" s="21">
        <v>4035491.5</v>
      </c>
    </row>
    <row r="29" spans="1:54">
      <c r="A29">
        <v>20229</v>
      </c>
      <c r="B29" t="s">
        <v>1256</v>
      </c>
      <c r="C29" t="s">
        <v>1257</v>
      </c>
      <c r="D29" t="s">
        <v>1258</v>
      </c>
      <c r="F29" t="s">
        <v>1259</v>
      </c>
      <c r="G29">
        <v>5.6769999999999996</v>
      </c>
      <c r="H29" t="s">
        <v>57</v>
      </c>
      <c r="I29">
        <v>2</v>
      </c>
      <c r="J29">
        <v>3</v>
      </c>
      <c r="K29">
        <v>0</v>
      </c>
      <c r="L29">
        <v>0.82</v>
      </c>
      <c r="M29">
        <v>95583</v>
      </c>
      <c r="N29">
        <v>58</v>
      </c>
      <c r="O29">
        <v>1</v>
      </c>
      <c r="P29">
        <v>1</v>
      </c>
      <c r="Q29">
        <v>1</v>
      </c>
      <c r="R29">
        <v>1</v>
      </c>
      <c r="S29">
        <v>5</v>
      </c>
      <c r="T29">
        <v>5</v>
      </c>
      <c r="U29">
        <v>1</v>
      </c>
      <c r="W29">
        <v>1</v>
      </c>
      <c r="X29">
        <v>1</v>
      </c>
      <c r="Y29">
        <v>1</v>
      </c>
      <c r="Z29">
        <v>1</v>
      </c>
      <c r="AB29">
        <v>1</v>
      </c>
      <c r="AC29">
        <v>1</v>
      </c>
      <c r="AD29">
        <v>0</v>
      </c>
      <c r="AE29">
        <v>3</v>
      </c>
      <c r="AF29">
        <v>3</v>
      </c>
      <c r="AG29">
        <v>3</v>
      </c>
      <c r="AH29">
        <v>3</v>
      </c>
      <c r="AI29">
        <v>0</v>
      </c>
      <c r="AJ29">
        <v>2</v>
      </c>
      <c r="AK29">
        <v>6</v>
      </c>
      <c r="AM29">
        <v>96915248</v>
      </c>
      <c r="AN29">
        <v>87751280</v>
      </c>
      <c r="AO29">
        <v>81469232</v>
      </c>
      <c r="AP29">
        <v>149342976</v>
      </c>
      <c r="AR29">
        <v>75912024</v>
      </c>
      <c r="AS29">
        <v>64913396</v>
      </c>
      <c r="AT29" s="23" t="s">
        <v>1257</v>
      </c>
      <c r="AU29" s="18">
        <v>49505.43</v>
      </c>
      <c r="AV29" s="18">
        <v>74791656</v>
      </c>
      <c r="AW29" s="19">
        <v>67752816</v>
      </c>
      <c r="AX29" s="19">
        <v>72448832</v>
      </c>
      <c r="AY29" s="20">
        <v>60136796</v>
      </c>
      <c r="AZ29" s="20">
        <v>247733</v>
      </c>
      <c r="BA29" s="21">
        <v>40647436</v>
      </c>
      <c r="BB29" s="21">
        <v>50948968</v>
      </c>
    </row>
    <row r="30" spans="1:54">
      <c r="A30">
        <v>20131</v>
      </c>
      <c r="B30" t="s">
        <v>598</v>
      </c>
      <c r="C30" t="s">
        <v>599</v>
      </c>
      <c r="D30" t="s">
        <v>600</v>
      </c>
      <c r="F30" t="s">
        <v>601</v>
      </c>
      <c r="G30">
        <v>230.708</v>
      </c>
      <c r="H30" t="s">
        <v>57</v>
      </c>
      <c r="I30">
        <v>2</v>
      </c>
      <c r="J30">
        <v>3</v>
      </c>
      <c r="K30">
        <v>0</v>
      </c>
      <c r="L30">
        <v>22.75</v>
      </c>
      <c r="M30">
        <v>37998</v>
      </c>
      <c r="N30">
        <v>18</v>
      </c>
      <c r="O30">
        <v>7</v>
      </c>
      <c r="P30">
        <v>7</v>
      </c>
      <c r="Q30">
        <v>7</v>
      </c>
      <c r="R30">
        <v>7</v>
      </c>
      <c r="S30">
        <v>27</v>
      </c>
      <c r="T30">
        <v>27</v>
      </c>
      <c r="U30">
        <v>7</v>
      </c>
      <c r="V30">
        <v>7</v>
      </c>
      <c r="W30">
        <v>7</v>
      </c>
      <c r="X30">
        <v>7</v>
      </c>
      <c r="Y30">
        <v>7</v>
      </c>
      <c r="Z30">
        <v>6</v>
      </c>
      <c r="AA30">
        <v>6</v>
      </c>
      <c r="AB30">
        <v>6</v>
      </c>
      <c r="AC30">
        <v>6</v>
      </c>
      <c r="AD30">
        <v>2</v>
      </c>
      <c r="AE30">
        <v>1</v>
      </c>
      <c r="AF30">
        <v>5</v>
      </c>
      <c r="AG30">
        <v>3</v>
      </c>
      <c r="AH30">
        <v>4</v>
      </c>
      <c r="AI30">
        <v>3</v>
      </c>
      <c r="AJ30">
        <v>6</v>
      </c>
      <c r="AK30">
        <v>3</v>
      </c>
      <c r="AL30">
        <v>10919367</v>
      </c>
      <c r="AM30">
        <v>12154719</v>
      </c>
      <c r="AN30">
        <v>24229808</v>
      </c>
      <c r="AO30">
        <v>21281884</v>
      </c>
      <c r="AP30">
        <v>30760402</v>
      </c>
      <c r="AQ30">
        <v>23194576</v>
      </c>
      <c r="AR30">
        <v>29625418</v>
      </c>
      <c r="AS30">
        <v>14903398</v>
      </c>
      <c r="AT30" s="23" t="s">
        <v>599</v>
      </c>
      <c r="AU30" s="18">
        <v>12249306</v>
      </c>
      <c r="AV30" s="18">
        <v>10170373</v>
      </c>
      <c r="AW30" s="19">
        <v>19150172</v>
      </c>
      <c r="AX30" s="19">
        <v>18264086</v>
      </c>
      <c r="AY30" s="20">
        <v>11520971</v>
      </c>
      <c r="AZ30" s="20">
        <v>10359236</v>
      </c>
      <c r="BA30" s="21">
        <v>16340200</v>
      </c>
      <c r="BB30" s="21">
        <v>14479140</v>
      </c>
    </row>
    <row r="31" spans="1:54">
      <c r="A31">
        <v>20155</v>
      </c>
      <c r="B31" t="s">
        <v>859</v>
      </c>
      <c r="C31" t="s">
        <v>860</v>
      </c>
      <c r="D31" t="s">
        <v>861</v>
      </c>
      <c r="F31" t="s">
        <v>862</v>
      </c>
      <c r="G31">
        <v>67.019000000000005</v>
      </c>
      <c r="H31" t="s">
        <v>57</v>
      </c>
      <c r="I31">
        <v>2</v>
      </c>
      <c r="J31">
        <v>3</v>
      </c>
      <c r="K31">
        <v>0</v>
      </c>
      <c r="L31">
        <v>35.71</v>
      </c>
      <c r="M31">
        <v>7403</v>
      </c>
      <c r="N31">
        <v>7</v>
      </c>
      <c r="O31">
        <v>2</v>
      </c>
      <c r="P31">
        <v>2</v>
      </c>
      <c r="Q31">
        <v>2</v>
      </c>
      <c r="R31">
        <v>2</v>
      </c>
      <c r="S31">
        <v>3</v>
      </c>
      <c r="T31">
        <v>3</v>
      </c>
      <c r="U31">
        <v>2</v>
      </c>
      <c r="V31">
        <v>1</v>
      </c>
      <c r="W31">
        <v>1</v>
      </c>
      <c r="X31">
        <v>1</v>
      </c>
      <c r="Y31">
        <v>2</v>
      </c>
      <c r="Z31">
        <v>2</v>
      </c>
      <c r="AA31">
        <v>2</v>
      </c>
      <c r="AB31">
        <v>2</v>
      </c>
      <c r="AC31">
        <v>2</v>
      </c>
      <c r="AD31">
        <v>0</v>
      </c>
      <c r="AE31">
        <v>2</v>
      </c>
      <c r="AF31">
        <v>1</v>
      </c>
      <c r="AG31">
        <v>1</v>
      </c>
      <c r="AH31">
        <v>2</v>
      </c>
      <c r="AI31">
        <v>3</v>
      </c>
      <c r="AJ31">
        <v>1</v>
      </c>
      <c r="AK31">
        <v>1</v>
      </c>
      <c r="AL31">
        <v>5430967.5</v>
      </c>
      <c r="AM31">
        <v>8451036</v>
      </c>
      <c r="AN31">
        <v>3997290.75</v>
      </c>
      <c r="AO31">
        <v>5375262</v>
      </c>
      <c r="AP31">
        <v>16405725</v>
      </c>
      <c r="AQ31">
        <v>18643450</v>
      </c>
      <c r="AR31">
        <v>6558443.5</v>
      </c>
      <c r="AS31">
        <v>4701384</v>
      </c>
      <c r="AT31" s="23" t="s">
        <v>860</v>
      </c>
      <c r="AU31" s="18">
        <v>163397.09</v>
      </c>
      <c r="AV31" s="18">
        <v>112026.33</v>
      </c>
      <c r="AW31" s="19">
        <v>98801.34</v>
      </c>
      <c r="AX31" s="19">
        <v>5915725.5</v>
      </c>
      <c r="AY31" s="20">
        <v>6979404</v>
      </c>
      <c r="AZ31" s="20">
        <v>12392577</v>
      </c>
      <c r="BA31" s="21">
        <v>6371405.5</v>
      </c>
      <c r="BB31" s="21">
        <v>8476943</v>
      </c>
    </row>
    <row r="32" spans="1:54">
      <c r="A32">
        <v>20193</v>
      </c>
      <c r="B32" t="s">
        <v>781</v>
      </c>
      <c r="C32" t="s">
        <v>782</v>
      </c>
      <c r="D32" t="s">
        <v>783</v>
      </c>
      <c r="F32" t="s">
        <v>784</v>
      </c>
      <c r="G32">
        <v>99.325999999999993</v>
      </c>
      <c r="H32" t="s">
        <v>57</v>
      </c>
      <c r="I32">
        <v>2</v>
      </c>
      <c r="J32">
        <v>4</v>
      </c>
      <c r="K32">
        <v>0</v>
      </c>
      <c r="L32">
        <v>46.38</v>
      </c>
      <c r="M32">
        <v>7463</v>
      </c>
      <c r="N32">
        <v>6</v>
      </c>
      <c r="O32">
        <v>3</v>
      </c>
      <c r="P32">
        <v>3</v>
      </c>
      <c r="Q32">
        <v>3</v>
      </c>
      <c r="R32">
        <v>3</v>
      </c>
      <c r="S32">
        <v>35</v>
      </c>
      <c r="T32">
        <v>35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2</v>
      </c>
      <c r="AE32">
        <v>4</v>
      </c>
      <c r="AF32">
        <v>4</v>
      </c>
      <c r="AG32">
        <v>4</v>
      </c>
      <c r="AH32">
        <v>6</v>
      </c>
      <c r="AI32">
        <v>6</v>
      </c>
      <c r="AJ32">
        <v>4</v>
      </c>
      <c r="AK32">
        <v>5</v>
      </c>
      <c r="AL32">
        <v>31350350</v>
      </c>
      <c r="AM32">
        <v>61597144</v>
      </c>
      <c r="AN32">
        <v>23425946</v>
      </c>
      <c r="AO32">
        <v>20997610</v>
      </c>
      <c r="AP32">
        <v>99110672</v>
      </c>
      <c r="AQ32">
        <v>86215536</v>
      </c>
      <c r="AR32">
        <v>16342014</v>
      </c>
      <c r="AS32">
        <v>14643252</v>
      </c>
      <c r="AT32" s="23" t="s">
        <v>782</v>
      </c>
      <c r="AU32" s="18">
        <v>38392708</v>
      </c>
      <c r="AV32" s="18">
        <v>48212524</v>
      </c>
      <c r="AW32" s="19">
        <v>18457120</v>
      </c>
      <c r="AX32" s="19">
        <v>18520270</v>
      </c>
      <c r="AY32" s="20">
        <v>36898728</v>
      </c>
      <c r="AZ32" s="20">
        <v>34149392</v>
      </c>
      <c r="BA32" s="21">
        <v>8420872</v>
      </c>
      <c r="BB32" s="21">
        <v>11606088</v>
      </c>
    </row>
    <row r="33" spans="1:54">
      <c r="A33">
        <v>20152</v>
      </c>
      <c r="B33" t="s">
        <v>893</v>
      </c>
      <c r="C33" t="s">
        <v>894</v>
      </c>
      <c r="D33" t="s">
        <v>895</v>
      </c>
      <c r="F33" t="s">
        <v>896</v>
      </c>
      <c r="G33">
        <v>52.524999999999999</v>
      </c>
      <c r="H33" t="s">
        <v>57</v>
      </c>
      <c r="I33">
        <v>2</v>
      </c>
      <c r="J33">
        <v>3</v>
      </c>
      <c r="K33">
        <v>0</v>
      </c>
      <c r="L33">
        <v>10.19</v>
      </c>
      <c r="M33">
        <v>36150</v>
      </c>
      <c r="N33">
        <v>19</v>
      </c>
      <c r="O33">
        <v>3</v>
      </c>
      <c r="P33">
        <v>3</v>
      </c>
      <c r="Q33">
        <v>3</v>
      </c>
      <c r="R33">
        <v>3</v>
      </c>
      <c r="S33">
        <v>8</v>
      </c>
      <c r="T33">
        <v>8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2</v>
      </c>
      <c r="AC33">
        <v>2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3</v>
      </c>
      <c r="AJ33">
        <v>2</v>
      </c>
      <c r="AK33">
        <v>2</v>
      </c>
      <c r="AL33">
        <v>2275450.25</v>
      </c>
      <c r="AM33">
        <v>2911423.5</v>
      </c>
      <c r="AN33">
        <v>3670982</v>
      </c>
      <c r="AO33">
        <v>3939633.5</v>
      </c>
      <c r="AP33">
        <v>7257951</v>
      </c>
      <c r="AQ33">
        <v>6891798.5</v>
      </c>
      <c r="AR33">
        <v>3449925.25</v>
      </c>
      <c r="AS33">
        <v>3280660.5</v>
      </c>
      <c r="AT33" s="23" t="s">
        <v>894</v>
      </c>
      <c r="AU33" s="18">
        <v>2390042.25</v>
      </c>
      <c r="AV33" s="18">
        <v>2258983.5</v>
      </c>
      <c r="AW33" s="19">
        <v>2952711.5</v>
      </c>
      <c r="AX33" s="19">
        <v>3728781.25</v>
      </c>
      <c r="AY33" s="20">
        <v>2549348</v>
      </c>
      <c r="AZ33" s="20">
        <v>2329654</v>
      </c>
      <c r="BA33" s="21">
        <v>2143828.5</v>
      </c>
      <c r="BB33" s="21">
        <v>3014690.75</v>
      </c>
    </row>
    <row r="34" spans="1:54">
      <c r="A34">
        <v>20230</v>
      </c>
      <c r="B34" t="s">
        <v>950</v>
      </c>
      <c r="C34" t="s">
        <v>951</v>
      </c>
      <c r="D34" t="s">
        <v>952</v>
      </c>
      <c r="F34" t="s">
        <v>953</v>
      </c>
      <c r="G34">
        <v>41.134</v>
      </c>
      <c r="H34" t="s">
        <v>57</v>
      </c>
      <c r="I34">
        <v>2</v>
      </c>
      <c r="J34">
        <v>2</v>
      </c>
      <c r="K34">
        <v>0</v>
      </c>
      <c r="L34">
        <v>8.36</v>
      </c>
      <c r="M34">
        <v>34489</v>
      </c>
      <c r="N34">
        <v>15</v>
      </c>
      <c r="O34">
        <v>2</v>
      </c>
      <c r="P34">
        <v>2</v>
      </c>
      <c r="Q34">
        <v>2</v>
      </c>
      <c r="R34">
        <v>2</v>
      </c>
      <c r="S34">
        <v>3</v>
      </c>
      <c r="T34">
        <v>3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1</v>
      </c>
      <c r="AJ34">
        <v>0</v>
      </c>
      <c r="AK34">
        <v>0</v>
      </c>
      <c r="AL34">
        <v>3552904</v>
      </c>
      <c r="AM34">
        <v>3681324.75</v>
      </c>
      <c r="AN34">
        <v>2526837.25</v>
      </c>
      <c r="AO34">
        <v>1803059.62</v>
      </c>
      <c r="AP34">
        <v>13203108</v>
      </c>
      <c r="AQ34">
        <v>11241371</v>
      </c>
      <c r="AR34">
        <v>2263391.5</v>
      </c>
      <c r="AS34">
        <v>550861.06000000006</v>
      </c>
      <c r="AT34" s="23" t="s">
        <v>951</v>
      </c>
      <c r="AU34" s="18">
        <v>3261313.5</v>
      </c>
      <c r="AV34" s="18">
        <v>3149490.5</v>
      </c>
      <c r="AW34" s="19">
        <v>2108132.5</v>
      </c>
      <c r="AX34" s="19">
        <v>2019445.5</v>
      </c>
      <c r="AY34" s="20">
        <v>4749370.5</v>
      </c>
      <c r="AZ34" s="20">
        <v>4155660.75</v>
      </c>
      <c r="BA34" s="21">
        <v>1357857</v>
      </c>
      <c r="BB34" s="21">
        <v>1182725.6200000001</v>
      </c>
    </row>
    <row r="35" spans="1:54">
      <c r="A35">
        <v>19996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>
        <v>1027.5229999999999</v>
      </c>
      <c r="H35" t="s">
        <v>57</v>
      </c>
      <c r="I35">
        <v>2</v>
      </c>
      <c r="J35">
        <v>3</v>
      </c>
      <c r="K35">
        <v>18</v>
      </c>
      <c r="L35">
        <v>61.82</v>
      </c>
      <c r="M35">
        <v>52201</v>
      </c>
      <c r="N35">
        <v>25</v>
      </c>
      <c r="O35">
        <v>24</v>
      </c>
      <c r="P35">
        <v>24</v>
      </c>
      <c r="Q35">
        <v>25</v>
      </c>
      <c r="R35">
        <v>25</v>
      </c>
      <c r="S35">
        <v>352</v>
      </c>
      <c r="T35">
        <v>352</v>
      </c>
      <c r="U35">
        <v>25</v>
      </c>
      <c r="V35">
        <v>23</v>
      </c>
      <c r="W35">
        <v>23</v>
      </c>
      <c r="X35">
        <v>23</v>
      </c>
      <c r="Y35">
        <v>24</v>
      </c>
      <c r="Z35">
        <v>23</v>
      </c>
      <c r="AA35">
        <v>24</v>
      </c>
      <c r="AB35">
        <v>23</v>
      </c>
      <c r="AC35">
        <v>24</v>
      </c>
      <c r="AD35">
        <v>43</v>
      </c>
      <c r="AE35">
        <v>50</v>
      </c>
      <c r="AF35">
        <v>47</v>
      </c>
      <c r="AG35">
        <v>51</v>
      </c>
      <c r="AH35">
        <v>28</v>
      </c>
      <c r="AI35">
        <v>29</v>
      </c>
      <c r="AJ35">
        <v>54</v>
      </c>
      <c r="AK35">
        <v>49</v>
      </c>
      <c r="AL35">
        <v>364794784</v>
      </c>
      <c r="AM35">
        <v>389742752</v>
      </c>
      <c r="AN35">
        <v>384095968</v>
      </c>
      <c r="AO35">
        <v>364033216</v>
      </c>
      <c r="AP35">
        <v>201508832</v>
      </c>
      <c r="AQ35">
        <v>186846896</v>
      </c>
      <c r="AR35">
        <v>390247072</v>
      </c>
      <c r="AS35">
        <v>244338992</v>
      </c>
      <c r="AT35" s="23" t="s">
        <v>197</v>
      </c>
      <c r="AU35" s="18">
        <v>367360320</v>
      </c>
      <c r="AV35" s="18">
        <v>320793440</v>
      </c>
      <c r="AW35" s="19">
        <v>320747776</v>
      </c>
      <c r="AX35" s="19">
        <v>364503552</v>
      </c>
      <c r="AY35" s="20">
        <v>86800304</v>
      </c>
      <c r="AZ35" s="20">
        <v>98168608</v>
      </c>
      <c r="BA35" s="21">
        <v>244094896</v>
      </c>
      <c r="BB35" s="21">
        <v>244247184</v>
      </c>
    </row>
    <row r="36" spans="1:54">
      <c r="A36">
        <v>20114</v>
      </c>
      <c r="B36" t="s">
        <v>987</v>
      </c>
      <c r="C36" t="s">
        <v>988</v>
      </c>
      <c r="D36" t="s">
        <v>989</v>
      </c>
      <c r="F36" t="s">
        <v>990</v>
      </c>
      <c r="G36">
        <v>34.430999999999997</v>
      </c>
      <c r="H36" t="s">
        <v>57</v>
      </c>
      <c r="I36">
        <v>2</v>
      </c>
      <c r="J36">
        <v>3</v>
      </c>
      <c r="K36">
        <v>0</v>
      </c>
      <c r="L36">
        <v>4.29</v>
      </c>
      <c r="M36">
        <v>70575</v>
      </c>
      <c r="N36">
        <v>40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1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1499269.25</v>
      </c>
      <c r="AM36">
        <v>1012772.25</v>
      </c>
      <c r="AN36">
        <v>1643135.25</v>
      </c>
      <c r="AO36">
        <v>1298054.75</v>
      </c>
      <c r="AP36">
        <v>2600196.5</v>
      </c>
      <c r="AQ36">
        <v>2131286</v>
      </c>
      <c r="AR36">
        <v>2020291</v>
      </c>
      <c r="AS36">
        <v>1338118.25</v>
      </c>
      <c r="AT36" s="23" t="s">
        <v>988</v>
      </c>
      <c r="AU36" s="18">
        <v>1061922.3799999999</v>
      </c>
      <c r="AV36" s="18">
        <v>32791.82</v>
      </c>
      <c r="AW36" s="19">
        <v>1438638.5</v>
      </c>
      <c r="AX36" s="19">
        <v>1250773.8799999999</v>
      </c>
      <c r="AY36" s="20">
        <v>1255164.1200000001</v>
      </c>
      <c r="AZ36" s="20">
        <v>1087701.3799999999</v>
      </c>
      <c r="BA36" s="21">
        <v>1313554.6200000001</v>
      </c>
      <c r="BB36" s="21">
        <v>1228545.6200000001</v>
      </c>
    </row>
    <row r="37" spans="1:54">
      <c r="A37">
        <v>20013</v>
      </c>
      <c r="B37" t="s">
        <v>967</v>
      </c>
      <c r="C37" t="s">
        <v>968</v>
      </c>
      <c r="D37" t="s">
        <v>969</v>
      </c>
      <c r="F37" t="s">
        <v>970</v>
      </c>
      <c r="G37">
        <v>37.737000000000002</v>
      </c>
      <c r="H37" t="s">
        <v>57</v>
      </c>
      <c r="I37">
        <v>2</v>
      </c>
      <c r="J37">
        <v>3</v>
      </c>
      <c r="K37">
        <v>0</v>
      </c>
      <c r="L37">
        <v>3.19</v>
      </c>
      <c r="M37">
        <v>129898</v>
      </c>
      <c r="N37">
        <v>76</v>
      </c>
      <c r="O37">
        <v>4</v>
      </c>
      <c r="P37">
        <v>4</v>
      </c>
      <c r="Q37">
        <v>4</v>
      </c>
      <c r="R37">
        <v>4</v>
      </c>
      <c r="S37">
        <v>7</v>
      </c>
      <c r="T37">
        <v>7</v>
      </c>
      <c r="U37">
        <v>4</v>
      </c>
      <c r="V37">
        <v>2</v>
      </c>
      <c r="W37">
        <v>4</v>
      </c>
      <c r="X37">
        <v>3</v>
      </c>
      <c r="Y37">
        <v>3</v>
      </c>
      <c r="Z37">
        <v>4</v>
      </c>
      <c r="AA37">
        <v>4</v>
      </c>
      <c r="AB37">
        <v>4</v>
      </c>
      <c r="AC37">
        <v>4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4</v>
      </c>
      <c r="AJ37">
        <v>1</v>
      </c>
      <c r="AK37">
        <v>0</v>
      </c>
      <c r="AL37">
        <v>1451553.25</v>
      </c>
      <c r="AM37">
        <v>2010176.75</v>
      </c>
      <c r="AN37">
        <v>1945426.88</v>
      </c>
      <c r="AO37">
        <v>2683614.75</v>
      </c>
      <c r="AP37">
        <v>4492859</v>
      </c>
      <c r="AQ37">
        <v>4196498</v>
      </c>
      <c r="AR37">
        <v>4315399.5</v>
      </c>
      <c r="AS37">
        <v>2238126.5</v>
      </c>
      <c r="AT37" s="23" t="s">
        <v>968</v>
      </c>
      <c r="AU37" s="18">
        <v>591599.81000000006</v>
      </c>
      <c r="AV37" s="18">
        <v>1707072.62</v>
      </c>
      <c r="AW37" s="19">
        <v>1182411.5</v>
      </c>
      <c r="AX37" s="19">
        <v>2040439.75</v>
      </c>
      <c r="AY37" s="20">
        <v>2617376.75</v>
      </c>
      <c r="AZ37" s="20">
        <v>2358226.5</v>
      </c>
      <c r="BA37" s="21">
        <v>1992115.88</v>
      </c>
      <c r="BB37" s="21">
        <v>1755740.88</v>
      </c>
    </row>
    <row r="38" spans="1:54">
      <c r="A38">
        <v>19976</v>
      </c>
      <c r="B38" t="s">
        <v>724</v>
      </c>
      <c r="C38" t="s">
        <v>725</v>
      </c>
      <c r="D38" t="s">
        <v>726</v>
      </c>
      <c r="E38" t="s">
        <v>727</v>
      </c>
      <c r="F38" t="s">
        <v>728</v>
      </c>
      <c r="G38">
        <v>117.59399999999999</v>
      </c>
      <c r="H38" t="s">
        <v>57</v>
      </c>
      <c r="I38">
        <v>2</v>
      </c>
      <c r="J38">
        <v>16</v>
      </c>
      <c r="K38">
        <v>3</v>
      </c>
      <c r="L38">
        <v>15.43</v>
      </c>
      <c r="M38">
        <v>41043</v>
      </c>
      <c r="N38">
        <v>17</v>
      </c>
      <c r="O38">
        <v>6</v>
      </c>
      <c r="P38">
        <v>6</v>
      </c>
      <c r="Q38">
        <v>6</v>
      </c>
      <c r="R38">
        <v>6</v>
      </c>
      <c r="S38">
        <v>36</v>
      </c>
      <c r="T38">
        <v>36</v>
      </c>
      <c r="U38">
        <v>6</v>
      </c>
      <c r="V38">
        <v>3</v>
      </c>
      <c r="W38">
        <v>6</v>
      </c>
      <c r="X38">
        <v>6</v>
      </c>
      <c r="Y38">
        <v>6</v>
      </c>
      <c r="Z38">
        <v>6</v>
      </c>
      <c r="AA38">
        <v>6</v>
      </c>
      <c r="AB38">
        <v>5</v>
      </c>
      <c r="AC38">
        <v>6</v>
      </c>
      <c r="AD38">
        <v>1</v>
      </c>
      <c r="AE38">
        <v>6</v>
      </c>
      <c r="AF38">
        <v>5</v>
      </c>
      <c r="AG38">
        <v>5</v>
      </c>
      <c r="AH38">
        <v>5</v>
      </c>
      <c r="AI38">
        <v>6</v>
      </c>
      <c r="AJ38">
        <v>5</v>
      </c>
      <c r="AK38">
        <v>3</v>
      </c>
      <c r="AL38">
        <v>5784342.5</v>
      </c>
      <c r="AM38">
        <v>12059188</v>
      </c>
      <c r="AN38">
        <v>14878145</v>
      </c>
      <c r="AO38">
        <v>15536294</v>
      </c>
      <c r="AP38">
        <v>23080888</v>
      </c>
      <c r="AQ38">
        <v>23212208</v>
      </c>
      <c r="AR38">
        <v>20614486</v>
      </c>
      <c r="AS38">
        <v>14176316</v>
      </c>
      <c r="AT38" s="23" t="s">
        <v>725</v>
      </c>
      <c r="AU38" s="18">
        <v>449119.34</v>
      </c>
      <c r="AV38" s="18">
        <v>10601214</v>
      </c>
      <c r="AW38" s="19">
        <v>10937802</v>
      </c>
      <c r="AX38" s="19">
        <v>16887346</v>
      </c>
      <c r="AY38" s="20">
        <v>10737207</v>
      </c>
      <c r="AZ38" s="20">
        <v>9542702</v>
      </c>
      <c r="BA38" s="21">
        <v>8491329</v>
      </c>
      <c r="BB38" s="21">
        <v>13777278</v>
      </c>
    </row>
    <row r="39" spans="1:54">
      <c r="A39">
        <v>20134</v>
      </c>
      <c r="B39" t="s">
        <v>465</v>
      </c>
      <c r="C39" t="s">
        <v>466</v>
      </c>
      <c r="D39" t="s">
        <v>467</v>
      </c>
      <c r="F39" t="s">
        <v>468</v>
      </c>
      <c r="G39">
        <v>343.70400000000001</v>
      </c>
      <c r="H39" t="s">
        <v>57</v>
      </c>
      <c r="I39">
        <v>2</v>
      </c>
      <c r="J39">
        <v>9</v>
      </c>
      <c r="K39">
        <v>0</v>
      </c>
      <c r="L39">
        <v>24.14</v>
      </c>
      <c r="M39">
        <v>69114</v>
      </c>
      <c r="N39">
        <v>39</v>
      </c>
      <c r="O39">
        <v>13</v>
      </c>
      <c r="P39">
        <v>13</v>
      </c>
      <c r="Q39">
        <v>13</v>
      </c>
      <c r="R39">
        <v>13</v>
      </c>
      <c r="S39">
        <v>84</v>
      </c>
      <c r="T39">
        <v>84</v>
      </c>
      <c r="U39">
        <v>13</v>
      </c>
      <c r="V39">
        <v>9</v>
      </c>
      <c r="W39">
        <v>12</v>
      </c>
      <c r="X39">
        <v>12</v>
      </c>
      <c r="Y39">
        <v>12</v>
      </c>
      <c r="Z39">
        <v>11</v>
      </c>
      <c r="AA39">
        <v>11</v>
      </c>
      <c r="AB39">
        <v>10</v>
      </c>
      <c r="AC39">
        <v>9</v>
      </c>
      <c r="AD39">
        <v>9</v>
      </c>
      <c r="AE39">
        <v>8</v>
      </c>
      <c r="AF39">
        <v>14</v>
      </c>
      <c r="AG39">
        <v>13</v>
      </c>
      <c r="AH39">
        <v>8</v>
      </c>
      <c r="AI39">
        <v>10</v>
      </c>
      <c r="AJ39">
        <v>14</v>
      </c>
      <c r="AK39">
        <v>8</v>
      </c>
      <c r="AL39">
        <v>28500220</v>
      </c>
      <c r="AM39">
        <v>31860988</v>
      </c>
      <c r="AN39">
        <v>42649144</v>
      </c>
      <c r="AO39">
        <v>54952504</v>
      </c>
      <c r="AP39">
        <v>47856004</v>
      </c>
      <c r="AQ39">
        <v>54353728</v>
      </c>
      <c r="AR39">
        <v>52905868</v>
      </c>
      <c r="AS39">
        <v>39480100</v>
      </c>
      <c r="AT39" s="23" t="s">
        <v>466</v>
      </c>
      <c r="AU39" s="18">
        <v>27818362</v>
      </c>
      <c r="AV39" s="18">
        <v>24963328</v>
      </c>
      <c r="AW39" s="19">
        <v>41549440</v>
      </c>
      <c r="AX39" s="19">
        <v>48471784</v>
      </c>
      <c r="AY39" s="20">
        <v>17575826</v>
      </c>
      <c r="AZ39" s="20">
        <v>22426912</v>
      </c>
      <c r="BA39" s="21">
        <v>29559868</v>
      </c>
      <c r="BB39" s="21">
        <v>32995710</v>
      </c>
    </row>
    <row r="40" spans="1:54">
      <c r="A40">
        <v>20217</v>
      </c>
      <c r="B40" t="s">
        <v>519</v>
      </c>
      <c r="C40" t="s">
        <v>520</v>
      </c>
      <c r="D40" t="s">
        <v>519</v>
      </c>
      <c r="F40" t="s">
        <v>521</v>
      </c>
      <c r="G40">
        <v>296.31</v>
      </c>
      <c r="H40" t="s">
        <v>57</v>
      </c>
      <c r="I40">
        <v>2</v>
      </c>
      <c r="J40">
        <v>1</v>
      </c>
      <c r="K40">
        <v>0</v>
      </c>
      <c r="L40">
        <v>25.35</v>
      </c>
      <c r="M40">
        <v>71136</v>
      </c>
      <c r="N40">
        <v>44</v>
      </c>
      <c r="O40">
        <v>15</v>
      </c>
      <c r="P40">
        <v>15</v>
      </c>
      <c r="Q40">
        <v>15</v>
      </c>
      <c r="R40">
        <v>15</v>
      </c>
      <c r="S40">
        <v>55</v>
      </c>
      <c r="T40">
        <v>55</v>
      </c>
      <c r="U40">
        <v>14</v>
      </c>
      <c r="V40">
        <v>9</v>
      </c>
      <c r="W40">
        <v>12</v>
      </c>
      <c r="X40">
        <v>13</v>
      </c>
      <c r="Y40">
        <v>13</v>
      </c>
      <c r="Z40">
        <v>13</v>
      </c>
      <c r="AA40">
        <v>14</v>
      </c>
      <c r="AB40">
        <v>13</v>
      </c>
      <c r="AC40">
        <v>14</v>
      </c>
      <c r="AD40">
        <v>3</v>
      </c>
      <c r="AE40">
        <v>6</v>
      </c>
      <c r="AF40">
        <v>10</v>
      </c>
      <c r="AG40">
        <v>8</v>
      </c>
      <c r="AH40">
        <v>5</v>
      </c>
      <c r="AI40">
        <v>5</v>
      </c>
      <c r="AJ40">
        <v>10</v>
      </c>
      <c r="AK40">
        <v>7</v>
      </c>
      <c r="AL40">
        <v>11288192</v>
      </c>
      <c r="AM40">
        <v>13054560</v>
      </c>
      <c r="AN40">
        <v>29333650</v>
      </c>
      <c r="AO40">
        <v>25049384</v>
      </c>
      <c r="AP40">
        <v>36582120</v>
      </c>
      <c r="AQ40">
        <v>36205872</v>
      </c>
      <c r="AR40">
        <v>35744156</v>
      </c>
      <c r="AS40">
        <v>24925068</v>
      </c>
      <c r="AT40" s="23" t="s">
        <v>520</v>
      </c>
      <c r="AU40" s="18">
        <v>12539183</v>
      </c>
      <c r="AV40" s="18">
        <v>11958857</v>
      </c>
      <c r="AW40" s="19">
        <v>23484362</v>
      </c>
      <c r="AX40" s="19">
        <v>22951728</v>
      </c>
      <c r="AY40" s="20">
        <v>16160017</v>
      </c>
      <c r="AZ40" s="20">
        <v>16635954</v>
      </c>
      <c r="BA40" s="21">
        <v>20613614</v>
      </c>
      <c r="BB40" s="21">
        <v>21205398</v>
      </c>
    </row>
    <row r="41" spans="1:54">
      <c r="A41">
        <v>20074</v>
      </c>
      <c r="B41" t="s">
        <v>669</v>
      </c>
      <c r="C41" t="s">
        <v>670</v>
      </c>
      <c r="D41" t="s">
        <v>671</v>
      </c>
      <c r="F41" t="s">
        <v>672</v>
      </c>
      <c r="G41">
        <v>150.53</v>
      </c>
      <c r="H41" t="s">
        <v>57</v>
      </c>
      <c r="I41">
        <v>2</v>
      </c>
      <c r="J41">
        <v>20</v>
      </c>
      <c r="K41">
        <v>0</v>
      </c>
      <c r="L41">
        <v>42.51</v>
      </c>
      <c r="M41">
        <v>18695</v>
      </c>
      <c r="N41">
        <v>13</v>
      </c>
      <c r="O41">
        <v>6</v>
      </c>
      <c r="P41">
        <v>6</v>
      </c>
      <c r="Q41">
        <v>6</v>
      </c>
      <c r="R41">
        <v>6</v>
      </c>
      <c r="S41">
        <v>28</v>
      </c>
      <c r="T41">
        <v>28</v>
      </c>
      <c r="U41">
        <v>6</v>
      </c>
      <c r="V41">
        <v>6</v>
      </c>
      <c r="W41">
        <v>6</v>
      </c>
      <c r="X41">
        <v>6</v>
      </c>
      <c r="Y41">
        <v>5</v>
      </c>
      <c r="Z41">
        <v>5</v>
      </c>
      <c r="AA41">
        <v>4</v>
      </c>
      <c r="AB41">
        <v>3</v>
      </c>
      <c r="AC41">
        <v>2</v>
      </c>
      <c r="AD41">
        <v>7</v>
      </c>
      <c r="AE41">
        <v>6</v>
      </c>
      <c r="AF41">
        <v>5</v>
      </c>
      <c r="AG41">
        <v>4</v>
      </c>
      <c r="AH41">
        <v>2</v>
      </c>
      <c r="AI41">
        <v>1</v>
      </c>
      <c r="AJ41">
        <v>2</v>
      </c>
      <c r="AK41">
        <v>1</v>
      </c>
      <c r="AL41">
        <v>27086664</v>
      </c>
      <c r="AM41">
        <v>24100300</v>
      </c>
      <c r="AN41">
        <v>20911368</v>
      </c>
      <c r="AO41">
        <v>18912322</v>
      </c>
      <c r="AP41">
        <v>18486384</v>
      </c>
      <c r="AQ41">
        <v>17966638</v>
      </c>
      <c r="AR41">
        <v>6324039</v>
      </c>
      <c r="AS41">
        <v>5172877</v>
      </c>
      <c r="AT41" s="23" t="s">
        <v>670</v>
      </c>
      <c r="AU41" s="18">
        <v>31826390</v>
      </c>
      <c r="AV41" s="18">
        <v>20954408</v>
      </c>
      <c r="AW41" s="19">
        <v>16658309</v>
      </c>
      <c r="AX41" s="19">
        <v>16330380</v>
      </c>
      <c r="AY41" s="20">
        <v>8979384</v>
      </c>
      <c r="AZ41" s="20">
        <v>5408979</v>
      </c>
      <c r="BA41" s="21">
        <v>1251165.8799999999</v>
      </c>
      <c r="BB41" s="21">
        <v>228444.11</v>
      </c>
    </row>
    <row r="42" spans="1:54">
      <c r="A42">
        <v>20110</v>
      </c>
      <c r="B42" t="s">
        <v>994</v>
      </c>
      <c r="C42" t="s">
        <v>995</v>
      </c>
      <c r="D42" t="s">
        <v>996</v>
      </c>
      <c r="F42" t="s">
        <v>997</v>
      </c>
      <c r="G42">
        <v>31.905999999999999</v>
      </c>
      <c r="H42" t="s">
        <v>57</v>
      </c>
      <c r="I42">
        <v>2</v>
      </c>
      <c r="J42">
        <v>20</v>
      </c>
      <c r="K42">
        <v>0</v>
      </c>
      <c r="L42">
        <v>4.55</v>
      </c>
      <c r="M42">
        <v>20845</v>
      </c>
      <c r="N42">
        <v>10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2366811</v>
      </c>
      <c r="AM42">
        <v>2426456.25</v>
      </c>
      <c r="AN42">
        <v>1300366.1200000001</v>
      </c>
      <c r="AO42">
        <v>1131350.3799999999</v>
      </c>
      <c r="AP42">
        <v>4693375</v>
      </c>
      <c r="AQ42">
        <v>3331533.25</v>
      </c>
      <c r="AR42">
        <v>309523.34000000003</v>
      </c>
      <c r="AS42">
        <v>402183.38</v>
      </c>
      <c r="AT42" s="23" t="s">
        <v>995</v>
      </c>
      <c r="AU42" s="18">
        <v>2366811</v>
      </c>
      <c r="AV42" s="18">
        <v>1872550.25</v>
      </c>
      <c r="AW42" s="19">
        <v>1004013.44</v>
      </c>
      <c r="AX42" s="19">
        <v>1006085.56</v>
      </c>
      <c r="AY42" s="20">
        <v>1889908.25</v>
      </c>
      <c r="AZ42" s="20">
        <v>1432166.5</v>
      </c>
      <c r="BA42" s="21">
        <v>165735.67000000001</v>
      </c>
      <c r="BB42" s="21">
        <v>315664.09000000003</v>
      </c>
    </row>
    <row r="43" spans="1:54">
      <c r="A43">
        <v>20059</v>
      </c>
      <c r="B43" t="s">
        <v>802</v>
      </c>
      <c r="C43" t="s">
        <v>803</v>
      </c>
      <c r="D43" t="s">
        <v>804</v>
      </c>
      <c r="F43" t="s">
        <v>805</v>
      </c>
      <c r="G43">
        <v>88.671999999999997</v>
      </c>
      <c r="H43" t="s">
        <v>57</v>
      </c>
      <c r="I43">
        <v>2</v>
      </c>
      <c r="J43">
        <v>3</v>
      </c>
      <c r="K43">
        <v>0</v>
      </c>
      <c r="L43">
        <v>39.58</v>
      </c>
      <c r="M43">
        <v>4809</v>
      </c>
      <c r="N43">
        <v>2</v>
      </c>
      <c r="O43">
        <v>1</v>
      </c>
      <c r="P43">
        <v>1</v>
      </c>
      <c r="Q43">
        <v>1</v>
      </c>
      <c r="R43">
        <v>1</v>
      </c>
      <c r="S43">
        <v>9</v>
      </c>
      <c r="T43">
        <v>9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2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5981193</v>
      </c>
      <c r="AM43">
        <v>6588858.5</v>
      </c>
      <c r="AN43">
        <v>2369934.75</v>
      </c>
      <c r="AO43">
        <v>2402124.75</v>
      </c>
      <c r="AP43">
        <v>6538786.5</v>
      </c>
      <c r="AQ43">
        <v>4942407.5</v>
      </c>
      <c r="AR43">
        <v>1207723.6200000001</v>
      </c>
      <c r="AS43">
        <v>1421176.88</v>
      </c>
      <c r="AT43" s="23" t="s">
        <v>803</v>
      </c>
      <c r="AU43" s="18">
        <v>5981193</v>
      </c>
      <c r="AV43" s="18">
        <v>5084769</v>
      </c>
      <c r="AW43" s="19">
        <v>1829828</v>
      </c>
      <c r="AX43" s="19">
        <v>2136157.75</v>
      </c>
      <c r="AY43" s="20">
        <v>2633010.75</v>
      </c>
      <c r="AZ43" s="20">
        <v>2124652.25</v>
      </c>
      <c r="BA43" s="21">
        <v>646681.12</v>
      </c>
      <c r="BB43" s="21">
        <v>1115447.6200000001</v>
      </c>
    </row>
    <row r="44" spans="1:54">
      <c r="A44">
        <v>20211</v>
      </c>
      <c r="B44" t="s">
        <v>889</v>
      </c>
      <c r="C44" t="s">
        <v>890</v>
      </c>
      <c r="D44" t="s">
        <v>891</v>
      </c>
      <c r="F44" t="s">
        <v>892</v>
      </c>
      <c r="G44">
        <v>52.741</v>
      </c>
      <c r="H44" t="s">
        <v>57</v>
      </c>
      <c r="I44">
        <v>2</v>
      </c>
      <c r="J44">
        <v>2</v>
      </c>
      <c r="K44">
        <v>0</v>
      </c>
      <c r="L44">
        <v>9.75</v>
      </c>
      <c r="M44">
        <v>39146</v>
      </c>
      <c r="N44">
        <v>18</v>
      </c>
      <c r="O44">
        <v>2</v>
      </c>
      <c r="P44">
        <v>2</v>
      </c>
      <c r="Q44">
        <v>2</v>
      </c>
      <c r="R44">
        <v>2</v>
      </c>
      <c r="S44">
        <v>6</v>
      </c>
      <c r="T44">
        <v>6</v>
      </c>
      <c r="U44">
        <v>2</v>
      </c>
      <c r="V44">
        <v>2</v>
      </c>
      <c r="W44">
        <v>2</v>
      </c>
      <c r="X44">
        <v>1</v>
      </c>
      <c r="Y44">
        <v>1</v>
      </c>
      <c r="Z44">
        <v>2</v>
      </c>
      <c r="AA44">
        <v>2</v>
      </c>
      <c r="AB44">
        <v>1</v>
      </c>
      <c r="AC44">
        <v>2</v>
      </c>
      <c r="AD44">
        <v>2</v>
      </c>
      <c r="AE44">
        <v>2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8372636</v>
      </c>
      <c r="AM44">
        <v>15285458</v>
      </c>
      <c r="AN44">
        <v>7705551.5</v>
      </c>
      <c r="AO44">
        <v>7588985</v>
      </c>
      <c r="AP44">
        <v>35066176</v>
      </c>
      <c r="AQ44">
        <v>26335984</v>
      </c>
      <c r="AR44">
        <v>6089725.5</v>
      </c>
      <c r="AS44">
        <v>6347414</v>
      </c>
      <c r="AT44" s="23" t="s">
        <v>890</v>
      </c>
      <c r="AU44" s="18">
        <v>10373884</v>
      </c>
      <c r="AV44" s="18">
        <v>14330616</v>
      </c>
      <c r="AW44" s="19">
        <v>7180930</v>
      </c>
      <c r="AX44" s="19">
        <v>5761187</v>
      </c>
      <c r="AY44" s="20">
        <v>14340013</v>
      </c>
      <c r="AZ44" s="20">
        <v>15033891</v>
      </c>
      <c r="BA44" s="21">
        <v>3095660.5</v>
      </c>
      <c r="BB44" s="21">
        <v>6291155.5</v>
      </c>
    </row>
    <row r="45" spans="1:54">
      <c r="A45">
        <v>20256</v>
      </c>
      <c r="B45" t="s">
        <v>806</v>
      </c>
      <c r="C45" t="s">
        <v>807</v>
      </c>
      <c r="D45" t="s">
        <v>808</v>
      </c>
      <c r="F45" t="s">
        <v>809</v>
      </c>
      <c r="G45">
        <v>88.212999999999994</v>
      </c>
      <c r="H45" t="s">
        <v>57</v>
      </c>
      <c r="I45">
        <v>2</v>
      </c>
      <c r="J45">
        <v>2</v>
      </c>
      <c r="K45">
        <v>0</v>
      </c>
      <c r="L45">
        <v>10.44</v>
      </c>
      <c r="M45">
        <v>18110</v>
      </c>
      <c r="N45">
        <v>4</v>
      </c>
      <c r="O45">
        <v>1</v>
      </c>
      <c r="P45">
        <v>1</v>
      </c>
      <c r="Q45">
        <v>1</v>
      </c>
      <c r="R45">
        <v>1</v>
      </c>
      <c r="S45">
        <v>8</v>
      </c>
      <c r="T45">
        <v>8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2</v>
      </c>
      <c r="AE45">
        <v>2</v>
      </c>
      <c r="AF45">
        <v>0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9157794</v>
      </c>
      <c r="AM45">
        <v>9072432</v>
      </c>
      <c r="AN45">
        <v>1987309.75</v>
      </c>
      <c r="AO45">
        <v>1915780.5</v>
      </c>
      <c r="AP45">
        <v>12965880</v>
      </c>
      <c r="AQ45">
        <v>11258864</v>
      </c>
      <c r="AR45">
        <v>1377769.38</v>
      </c>
      <c r="AS45">
        <v>1025328.06</v>
      </c>
      <c r="AT45" s="23" t="s">
        <v>807</v>
      </c>
      <c r="AU45" s="18">
        <v>9157794</v>
      </c>
      <c r="AV45" s="18">
        <v>7001397.5</v>
      </c>
      <c r="AW45" s="19">
        <v>1534403</v>
      </c>
      <c r="AX45" s="19">
        <v>1703662.38</v>
      </c>
      <c r="AY45" s="20">
        <v>5221045.5</v>
      </c>
      <c r="AZ45" s="20">
        <v>4839984</v>
      </c>
      <c r="BA45" s="21">
        <v>737732.88</v>
      </c>
      <c r="BB45" s="21">
        <v>804755.38</v>
      </c>
    </row>
    <row r="46" spans="1:54">
      <c r="A46">
        <v>20201</v>
      </c>
      <c r="B46" t="s">
        <v>485</v>
      </c>
      <c r="C46" t="s">
        <v>486</v>
      </c>
      <c r="D46" t="s">
        <v>487</v>
      </c>
      <c r="F46" t="s">
        <v>488</v>
      </c>
      <c r="G46">
        <v>326.56200000000001</v>
      </c>
      <c r="H46" t="s">
        <v>57</v>
      </c>
      <c r="I46">
        <v>2</v>
      </c>
      <c r="J46">
        <v>3</v>
      </c>
      <c r="K46">
        <v>0</v>
      </c>
      <c r="L46">
        <v>49.43</v>
      </c>
      <c r="M46">
        <v>19736</v>
      </c>
      <c r="N46">
        <v>8</v>
      </c>
      <c r="O46">
        <v>7</v>
      </c>
      <c r="P46">
        <v>7</v>
      </c>
      <c r="Q46">
        <v>7</v>
      </c>
      <c r="R46">
        <v>7</v>
      </c>
      <c r="S46">
        <v>115</v>
      </c>
      <c r="T46">
        <v>115</v>
      </c>
      <c r="U46">
        <v>7</v>
      </c>
      <c r="V46">
        <v>7</v>
      </c>
      <c r="W46">
        <v>7</v>
      </c>
      <c r="X46">
        <v>6</v>
      </c>
      <c r="Y46">
        <v>6</v>
      </c>
      <c r="Z46">
        <v>6</v>
      </c>
      <c r="AA46">
        <v>5</v>
      </c>
      <c r="AB46">
        <v>5</v>
      </c>
      <c r="AC46">
        <v>6</v>
      </c>
      <c r="AD46">
        <v>26</v>
      </c>
      <c r="AE46">
        <v>26</v>
      </c>
      <c r="AF46">
        <v>14</v>
      </c>
      <c r="AG46">
        <v>11</v>
      </c>
      <c r="AH46">
        <v>13</v>
      </c>
      <c r="AI46">
        <v>9</v>
      </c>
      <c r="AJ46">
        <v>9</v>
      </c>
      <c r="AK46">
        <v>7</v>
      </c>
      <c r="AL46">
        <v>66202152</v>
      </c>
      <c r="AM46">
        <v>95335904</v>
      </c>
      <c r="AN46">
        <v>37141644</v>
      </c>
      <c r="AO46">
        <v>35459392</v>
      </c>
      <c r="AP46">
        <v>103679640</v>
      </c>
      <c r="AQ46">
        <v>118975728</v>
      </c>
      <c r="AR46">
        <v>53703480</v>
      </c>
      <c r="AS46">
        <v>41692008</v>
      </c>
      <c r="AT46" s="23" t="s">
        <v>486</v>
      </c>
      <c r="AU46" s="18">
        <v>69166192</v>
      </c>
      <c r="AV46" s="18">
        <v>109690752</v>
      </c>
      <c r="AW46" s="19">
        <v>41211416</v>
      </c>
      <c r="AX46" s="19">
        <v>48385752</v>
      </c>
      <c r="AY46" s="20">
        <v>90021968</v>
      </c>
      <c r="AZ46" s="20">
        <v>102236496</v>
      </c>
      <c r="BA46" s="21">
        <v>53938132</v>
      </c>
      <c r="BB46" s="21">
        <v>65293592</v>
      </c>
    </row>
    <row r="47" spans="1:54">
      <c r="A47">
        <v>20149</v>
      </c>
      <c r="B47" t="s">
        <v>1128</v>
      </c>
      <c r="C47" t="s">
        <v>1129</v>
      </c>
      <c r="D47" t="s">
        <v>1128</v>
      </c>
      <c r="F47" t="s">
        <v>1130</v>
      </c>
      <c r="G47">
        <v>16.062000000000001</v>
      </c>
      <c r="H47" t="s">
        <v>57</v>
      </c>
      <c r="I47">
        <v>2</v>
      </c>
      <c r="J47">
        <v>1</v>
      </c>
      <c r="K47">
        <v>0</v>
      </c>
      <c r="L47">
        <v>0.5</v>
      </c>
      <c r="M47">
        <v>248069</v>
      </c>
      <c r="N47">
        <v>77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X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549855.18999999994</v>
      </c>
      <c r="AT47" s="23" t="s">
        <v>1129</v>
      </c>
      <c r="AU47" s="18">
        <v>49505.43</v>
      </c>
      <c r="AV47" s="18">
        <v>111774.65</v>
      </c>
      <c r="AW47" s="19">
        <v>424543.5</v>
      </c>
      <c r="AX47" s="19">
        <v>170153.38</v>
      </c>
      <c r="AY47" s="20">
        <v>350962.88</v>
      </c>
      <c r="AZ47" s="20">
        <v>247733</v>
      </c>
      <c r="BA47" s="21">
        <v>199295.7</v>
      </c>
      <c r="BB47" s="21">
        <v>212391.23</v>
      </c>
    </row>
    <row r="48" spans="1:54">
      <c r="A48">
        <v>20007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>
        <v>730.28</v>
      </c>
      <c r="H48" t="s">
        <v>57</v>
      </c>
      <c r="I48">
        <v>2</v>
      </c>
      <c r="J48">
        <v>9</v>
      </c>
      <c r="K48">
        <v>12</v>
      </c>
      <c r="L48">
        <v>57.46</v>
      </c>
      <c r="M48">
        <v>34154</v>
      </c>
      <c r="N48">
        <v>21</v>
      </c>
      <c r="O48">
        <v>15</v>
      </c>
      <c r="P48">
        <v>15</v>
      </c>
      <c r="Q48">
        <v>15</v>
      </c>
      <c r="R48">
        <v>15</v>
      </c>
      <c r="S48">
        <v>183</v>
      </c>
      <c r="T48">
        <v>183</v>
      </c>
      <c r="U48">
        <v>15</v>
      </c>
      <c r="V48">
        <v>11</v>
      </c>
      <c r="W48">
        <v>13</v>
      </c>
      <c r="X48">
        <v>15</v>
      </c>
      <c r="Y48">
        <v>15</v>
      </c>
      <c r="Z48">
        <v>15</v>
      </c>
      <c r="AA48">
        <v>14</v>
      </c>
      <c r="AB48">
        <v>14</v>
      </c>
      <c r="AC48">
        <v>15</v>
      </c>
      <c r="AD48">
        <v>22</v>
      </c>
      <c r="AE48">
        <v>23</v>
      </c>
      <c r="AF48">
        <v>28</v>
      </c>
      <c r="AG48">
        <v>32</v>
      </c>
      <c r="AH48">
        <v>16</v>
      </c>
      <c r="AI48">
        <v>16</v>
      </c>
      <c r="AJ48">
        <v>25</v>
      </c>
      <c r="AK48">
        <v>21</v>
      </c>
      <c r="AL48">
        <v>302988896</v>
      </c>
      <c r="AM48">
        <v>335861696</v>
      </c>
      <c r="AN48">
        <v>335197504</v>
      </c>
      <c r="AO48">
        <v>306491808</v>
      </c>
      <c r="AP48">
        <v>146185712</v>
      </c>
      <c r="AQ48">
        <v>157623504</v>
      </c>
      <c r="AR48">
        <v>321977984</v>
      </c>
      <c r="AS48">
        <v>229600896</v>
      </c>
      <c r="AT48" s="23" t="s">
        <v>285</v>
      </c>
      <c r="AU48" s="18">
        <v>304632384</v>
      </c>
      <c r="AV48" s="18">
        <v>275401536</v>
      </c>
      <c r="AW48" s="19">
        <v>286426944</v>
      </c>
      <c r="AX48" s="19">
        <v>299290080</v>
      </c>
      <c r="AY48" s="20">
        <v>66975656</v>
      </c>
      <c r="AZ48" s="20">
        <v>80516872</v>
      </c>
      <c r="BA48" s="21">
        <v>199240144</v>
      </c>
      <c r="BB48" s="21">
        <v>202909424</v>
      </c>
    </row>
    <row r="49" spans="1:54">
      <c r="A49">
        <v>20221</v>
      </c>
      <c r="B49" t="s">
        <v>1147</v>
      </c>
      <c r="C49" t="s">
        <v>1148</v>
      </c>
      <c r="D49" t="s">
        <v>1147</v>
      </c>
      <c r="F49" t="s">
        <v>1149</v>
      </c>
      <c r="G49">
        <v>13.222</v>
      </c>
      <c r="H49" t="s">
        <v>57</v>
      </c>
      <c r="I49">
        <v>2</v>
      </c>
      <c r="J49">
        <v>1</v>
      </c>
      <c r="K49">
        <v>0</v>
      </c>
      <c r="L49">
        <v>2.16</v>
      </c>
      <c r="M49">
        <v>65970</v>
      </c>
      <c r="N49">
        <v>37</v>
      </c>
      <c r="O49">
        <v>1</v>
      </c>
      <c r="P49">
        <v>1</v>
      </c>
      <c r="Q49">
        <v>1</v>
      </c>
      <c r="R49">
        <v>1</v>
      </c>
      <c r="S49">
        <v>3</v>
      </c>
      <c r="T49">
        <v>3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773115.62</v>
      </c>
      <c r="AM49">
        <v>387707.31</v>
      </c>
      <c r="AN49">
        <v>640738.75</v>
      </c>
      <c r="AO49">
        <v>574193.38</v>
      </c>
      <c r="AP49">
        <v>2150890.75</v>
      </c>
      <c r="AQ49">
        <v>1313124.75</v>
      </c>
      <c r="AT49" s="23" t="s">
        <v>1148</v>
      </c>
      <c r="AU49" s="18">
        <v>773115.62</v>
      </c>
      <c r="AV49" s="18">
        <v>299202.34000000003</v>
      </c>
      <c r="AW49" s="19">
        <v>494714.78</v>
      </c>
      <c r="AX49" s="19">
        <v>510617.84</v>
      </c>
      <c r="AY49" s="20">
        <v>866111.56</v>
      </c>
      <c r="AZ49" s="20">
        <v>564488.75</v>
      </c>
      <c r="BA49" s="21">
        <v>199295.7</v>
      </c>
      <c r="BB49" s="21">
        <v>212391.23</v>
      </c>
    </row>
    <row r="50" spans="1:54">
      <c r="A50">
        <v>20133</v>
      </c>
      <c r="B50" t="s">
        <v>206</v>
      </c>
      <c r="C50" t="s">
        <v>207</v>
      </c>
      <c r="D50" t="s">
        <v>208</v>
      </c>
      <c r="F50" t="s">
        <v>209</v>
      </c>
      <c r="G50">
        <v>950.93799999999999</v>
      </c>
      <c r="H50" t="s">
        <v>57</v>
      </c>
      <c r="I50">
        <v>2</v>
      </c>
      <c r="J50">
        <v>20</v>
      </c>
      <c r="K50">
        <v>0</v>
      </c>
      <c r="L50">
        <v>61.08</v>
      </c>
      <c r="M50">
        <v>20638</v>
      </c>
      <c r="N50">
        <v>14</v>
      </c>
      <c r="O50">
        <v>17</v>
      </c>
      <c r="P50">
        <v>17</v>
      </c>
      <c r="Q50">
        <v>21</v>
      </c>
      <c r="R50">
        <v>21</v>
      </c>
      <c r="S50">
        <v>736</v>
      </c>
      <c r="T50">
        <v>736</v>
      </c>
      <c r="U50">
        <v>21</v>
      </c>
      <c r="V50">
        <v>19</v>
      </c>
      <c r="W50">
        <v>18</v>
      </c>
      <c r="X50">
        <v>20</v>
      </c>
      <c r="Y50">
        <v>21</v>
      </c>
      <c r="Z50">
        <v>21</v>
      </c>
      <c r="AA50">
        <v>21</v>
      </c>
      <c r="AB50">
        <v>21</v>
      </c>
      <c r="AC50">
        <v>21</v>
      </c>
      <c r="AD50">
        <v>67</v>
      </c>
      <c r="AE50">
        <v>58</v>
      </c>
      <c r="AF50">
        <v>106</v>
      </c>
      <c r="AG50">
        <v>99</v>
      </c>
      <c r="AH50">
        <v>111</v>
      </c>
      <c r="AI50">
        <v>118</v>
      </c>
      <c r="AJ50">
        <v>94</v>
      </c>
      <c r="AK50">
        <v>82</v>
      </c>
      <c r="AL50">
        <v>936381952</v>
      </c>
      <c r="AM50">
        <v>1174530048</v>
      </c>
      <c r="AN50">
        <v>4264150272</v>
      </c>
      <c r="AO50">
        <v>4001084416</v>
      </c>
      <c r="AP50">
        <v>8166968320</v>
      </c>
      <c r="AQ50">
        <v>9071500288</v>
      </c>
      <c r="AR50">
        <v>5923218432</v>
      </c>
      <c r="AS50">
        <v>3174955776</v>
      </c>
      <c r="AT50" s="23" t="s">
        <v>207</v>
      </c>
      <c r="AU50" s="18">
        <v>933659200</v>
      </c>
      <c r="AV50" s="18">
        <v>922804160</v>
      </c>
      <c r="AW50" s="19">
        <v>3208828928</v>
      </c>
      <c r="AX50" s="19">
        <v>3282298368</v>
      </c>
      <c r="AY50" s="20">
        <v>3527198464</v>
      </c>
      <c r="AZ50" s="20">
        <v>4507006976</v>
      </c>
      <c r="BA50" s="21">
        <v>3655296768</v>
      </c>
      <c r="BB50" s="21">
        <v>2883181824</v>
      </c>
    </row>
    <row r="51" spans="1:54">
      <c r="A51">
        <v>20100</v>
      </c>
      <c r="B51" t="s">
        <v>227</v>
      </c>
      <c r="C51" t="s">
        <v>228</v>
      </c>
      <c r="D51" t="s">
        <v>229</v>
      </c>
      <c r="F51" t="s">
        <v>230</v>
      </c>
      <c r="G51">
        <v>860.92100000000005</v>
      </c>
      <c r="H51" t="s">
        <v>57</v>
      </c>
      <c r="I51">
        <v>2</v>
      </c>
      <c r="J51">
        <v>3</v>
      </c>
      <c r="K51">
        <v>0</v>
      </c>
      <c r="L51">
        <v>49.76</v>
      </c>
      <c r="M51">
        <v>45329</v>
      </c>
      <c r="N51">
        <v>20</v>
      </c>
      <c r="O51">
        <v>17</v>
      </c>
      <c r="P51">
        <v>17</v>
      </c>
      <c r="Q51">
        <v>17</v>
      </c>
      <c r="R51">
        <v>17</v>
      </c>
      <c r="S51">
        <v>537</v>
      </c>
      <c r="T51">
        <v>537</v>
      </c>
      <c r="U51">
        <v>17</v>
      </c>
      <c r="V51">
        <v>14</v>
      </c>
      <c r="W51">
        <v>17</v>
      </c>
      <c r="X51">
        <v>15</v>
      </c>
      <c r="Y51">
        <v>17</v>
      </c>
      <c r="Z51">
        <v>17</v>
      </c>
      <c r="AA51">
        <v>17</v>
      </c>
      <c r="AB51">
        <v>17</v>
      </c>
      <c r="AC51">
        <v>17</v>
      </c>
      <c r="AD51">
        <v>54</v>
      </c>
      <c r="AE51">
        <v>61</v>
      </c>
      <c r="AF51">
        <v>43</v>
      </c>
      <c r="AG51">
        <v>42</v>
      </c>
      <c r="AH51">
        <v>107</v>
      </c>
      <c r="AI51">
        <v>116</v>
      </c>
      <c r="AJ51">
        <v>62</v>
      </c>
      <c r="AK51">
        <v>52</v>
      </c>
      <c r="AL51">
        <v>324227072</v>
      </c>
      <c r="AM51">
        <v>446503072</v>
      </c>
      <c r="AN51">
        <v>200503392</v>
      </c>
      <c r="AO51">
        <v>213686656</v>
      </c>
      <c r="AP51">
        <v>1659179904</v>
      </c>
      <c r="AQ51">
        <v>1774159744</v>
      </c>
      <c r="AR51">
        <v>453315744</v>
      </c>
      <c r="AS51">
        <v>378083008</v>
      </c>
      <c r="AT51" s="23" t="s">
        <v>228</v>
      </c>
      <c r="AU51" s="18">
        <v>265915264</v>
      </c>
      <c r="AV51" s="18">
        <v>379152832</v>
      </c>
      <c r="AW51" s="19">
        <v>194095664</v>
      </c>
      <c r="AX51" s="19">
        <v>224627536</v>
      </c>
      <c r="AY51" s="20">
        <v>885325312</v>
      </c>
      <c r="AZ51" s="20">
        <v>990522496</v>
      </c>
      <c r="BA51" s="21">
        <v>380585024</v>
      </c>
      <c r="BB51" s="21">
        <v>431795232</v>
      </c>
    </row>
    <row r="52" spans="1:54">
      <c r="A52">
        <v>20139</v>
      </c>
      <c r="B52" t="s">
        <v>91</v>
      </c>
      <c r="C52" t="s">
        <v>92</v>
      </c>
      <c r="D52" t="s">
        <v>93</v>
      </c>
      <c r="F52" t="s">
        <v>94</v>
      </c>
      <c r="G52">
        <v>2168.558</v>
      </c>
      <c r="H52" t="s">
        <v>57</v>
      </c>
      <c r="I52">
        <v>2</v>
      </c>
      <c r="J52">
        <v>3</v>
      </c>
      <c r="K52">
        <v>0</v>
      </c>
      <c r="L52">
        <v>92.95</v>
      </c>
      <c r="M52">
        <v>40323</v>
      </c>
      <c r="N52">
        <v>24</v>
      </c>
      <c r="O52">
        <v>34</v>
      </c>
      <c r="P52">
        <v>34</v>
      </c>
      <c r="Q52">
        <v>41</v>
      </c>
      <c r="R52">
        <v>41</v>
      </c>
      <c r="S52">
        <v>1525</v>
      </c>
      <c r="T52">
        <v>1525</v>
      </c>
      <c r="U52">
        <v>40</v>
      </c>
      <c r="V52">
        <v>37</v>
      </c>
      <c r="W52">
        <v>37</v>
      </c>
      <c r="X52">
        <v>37</v>
      </c>
      <c r="Y52">
        <v>38</v>
      </c>
      <c r="Z52">
        <v>40</v>
      </c>
      <c r="AA52">
        <v>40</v>
      </c>
      <c r="AB52">
        <v>40</v>
      </c>
      <c r="AC52">
        <v>40</v>
      </c>
      <c r="AD52">
        <v>215</v>
      </c>
      <c r="AE52">
        <v>202</v>
      </c>
      <c r="AF52">
        <v>163</v>
      </c>
      <c r="AG52">
        <v>153</v>
      </c>
      <c r="AH52">
        <v>223</v>
      </c>
      <c r="AI52">
        <v>212</v>
      </c>
      <c r="AJ52">
        <v>162</v>
      </c>
      <c r="AK52">
        <v>193</v>
      </c>
      <c r="AL52">
        <v>2060228736</v>
      </c>
      <c r="AM52">
        <v>2904388096</v>
      </c>
      <c r="AN52">
        <v>1871960960</v>
      </c>
      <c r="AO52">
        <v>1929468288</v>
      </c>
      <c r="AP52">
        <v>6745964544</v>
      </c>
      <c r="AQ52">
        <v>6984459264</v>
      </c>
      <c r="AR52">
        <v>3949890048</v>
      </c>
      <c r="AS52">
        <v>3225436160</v>
      </c>
      <c r="AT52" s="23" t="s">
        <v>92</v>
      </c>
      <c r="AU52" s="18">
        <v>2272049920</v>
      </c>
      <c r="AV52" s="18">
        <v>2395785472</v>
      </c>
      <c r="AW52" s="19">
        <v>1646196864</v>
      </c>
      <c r="AX52" s="19">
        <v>1920960640</v>
      </c>
      <c r="AY52" s="20">
        <v>3033626112</v>
      </c>
      <c r="AZ52" s="20">
        <v>3492357632</v>
      </c>
      <c r="BA52" s="21">
        <v>2645876224</v>
      </c>
      <c r="BB52" s="21">
        <v>3060478464</v>
      </c>
    </row>
    <row r="53" spans="1:54">
      <c r="A53">
        <v>20177</v>
      </c>
      <c r="B53" t="s">
        <v>515</v>
      </c>
      <c r="C53" t="s">
        <v>516</v>
      </c>
      <c r="D53" t="s">
        <v>517</v>
      </c>
      <c r="F53" t="s">
        <v>518</v>
      </c>
      <c r="G53">
        <v>303.51799999999997</v>
      </c>
      <c r="H53" t="s">
        <v>57</v>
      </c>
      <c r="I53">
        <v>2</v>
      </c>
      <c r="J53">
        <v>3</v>
      </c>
      <c r="K53">
        <v>0</v>
      </c>
      <c r="L53">
        <v>40.54</v>
      </c>
      <c r="M53">
        <v>16794</v>
      </c>
      <c r="N53">
        <v>9</v>
      </c>
      <c r="O53">
        <v>4</v>
      </c>
      <c r="P53">
        <v>4</v>
      </c>
      <c r="Q53">
        <v>4</v>
      </c>
      <c r="R53">
        <v>4</v>
      </c>
      <c r="S53">
        <v>74</v>
      </c>
      <c r="T53">
        <v>74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5</v>
      </c>
      <c r="AE53">
        <v>7</v>
      </c>
      <c r="AF53">
        <v>11</v>
      </c>
      <c r="AG53">
        <v>13</v>
      </c>
      <c r="AH53">
        <v>7</v>
      </c>
      <c r="AI53">
        <v>8</v>
      </c>
      <c r="AJ53">
        <v>11</v>
      </c>
      <c r="AK53">
        <v>12</v>
      </c>
      <c r="AL53">
        <v>27006440</v>
      </c>
      <c r="AM53">
        <v>35457304</v>
      </c>
      <c r="AN53">
        <v>75072680</v>
      </c>
      <c r="AO53">
        <v>69348240</v>
      </c>
      <c r="AP53">
        <v>88494408</v>
      </c>
      <c r="AQ53">
        <v>91849400</v>
      </c>
      <c r="AR53">
        <v>90529432</v>
      </c>
      <c r="AS53">
        <v>63045920</v>
      </c>
      <c r="AT53" s="23" t="s">
        <v>516</v>
      </c>
      <c r="AU53" s="18">
        <v>29115236</v>
      </c>
      <c r="AV53" s="18">
        <v>30114724</v>
      </c>
      <c r="AW53" s="19">
        <v>66900220</v>
      </c>
      <c r="AX53" s="19">
        <v>72125848</v>
      </c>
      <c r="AY53" s="20">
        <v>35746752</v>
      </c>
      <c r="AZ53" s="20">
        <v>42549624</v>
      </c>
      <c r="BA53" s="21">
        <v>59006728</v>
      </c>
      <c r="BB53" s="21">
        <v>56988356</v>
      </c>
    </row>
    <row r="54" spans="1:54">
      <c r="A54">
        <v>20122</v>
      </c>
      <c r="B54" t="s">
        <v>63</v>
      </c>
      <c r="C54" t="s">
        <v>64</v>
      </c>
      <c r="D54" t="s">
        <v>65</v>
      </c>
      <c r="E54" t="s">
        <v>66</v>
      </c>
      <c r="F54" t="s">
        <v>67</v>
      </c>
      <c r="G54">
        <v>3176.04</v>
      </c>
      <c r="H54" t="s">
        <v>57</v>
      </c>
      <c r="I54">
        <v>2</v>
      </c>
      <c r="J54">
        <v>20</v>
      </c>
      <c r="K54">
        <v>1</v>
      </c>
      <c r="L54">
        <v>82.24</v>
      </c>
      <c r="M54">
        <v>77580</v>
      </c>
      <c r="N54">
        <v>43</v>
      </c>
      <c r="O54">
        <v>56</v>
      </c>
      <c r="P54">
        <v>56</v>
      </c>
      <c r="Q54">
        <v>67</v>
      </c>
      <c r="R54">
        <v>67</v>
      </c>
      <c r="S54">
        <v>3298</v>
      </c>
      <c r="T54">
        <v>3298</v>
      </c>
      <c r="U54">
        <v>67</v>
      </c>
      <c r="V54">
        <v>53</v>
      </c>
      <c r="W54">
        <v>55</v>
      </c>
      <c r="X54">
        <v>64</v>
      </c>
      <c r="Y54">
        <v>65</v>
      </c>
      <c r="Z54">
        <v>62</v>
      </c>
      <c r="AA54">
        <v>60</v>
      </c>
      <c r="AB54">
        <v>62</v>
      </c>
      <c r="AC54">
        <v>62</v>
      </c>
      <c r="AD54">
        <v>321</v>
      </c>
      <c r="AE54">
        <v>309</v>
      </c>
      <c r="AF54">
        <v>514</v>
      </c>
      <c r="AG54">
        <v>501</v>
      </c>
      <c r="AH54">
        <v>365</v>
      </c>
      <c r="AI54">
        <v>394</v>
      </c>
      <c r="AJ54">
        <v>446</v>
      </c>
      <c r="AK54">
        <v>447</v>
      </c>
      <c r="AL54">
        <v>3296783872</v>
      </c>
      <c r="AM54">
        <v>3460004096</v>
      </c>
      <c r="AN54">
        <v>6232353280</v>
      </c>
      <c r="AO54">
        <v>6322582528</v>
      </c>
      <c r="AP54">
        <v>6252636160</v>
      </c>
      <c r="AQ54">
        <v>6726343680</v>
      </c>
      <c r="AR54">
        <v>6962091008</v>
      </c>
      <c r="AS54">
        <v>5051504128</v>
      </c>
      <c r="AT54" s="23" t="s">
        <v>64</v>
      </c>
      <c r="AU54" s="18">
        <v>2412592640</v>
      </c>
      <c r="AV54" s="18">
        <v>2412592640</v>
      </c>
      <c r="AW54" s="19">
        <v>5222230016</v>
      </c>
      <c r="AX54" s="19">
        <v>5893990400</v>
      </c>
      <c r="AY54" s="20">
        <v>3071336448</v>
      </c>
      <c r="AZ54" s="20">
        <v>3641678592</v>
      </c>
      <c r="BA54" s="21">
        <v>5305633280</v>
      </c>
      <c r="BB54" s="21">
        <v>5375531520</v>
      </c>
    </row>
    <row r="55" spans="1:54">
      <c r="A55">
        <v>20154</v>
      </c>
      <c r="B55" t="s">
        <v>1024</v>
      </c>
      <c r="C55" t="s">
        <v>1025</v>
      </c>
      <c r="D55" t="s">
        <v>1026</v>
      </c>
      <c r="F55" t="s">
        <v>1027</v>
      </c>
      <c r="G55">
        <v>27.631</v>
      </c>
      <c r="H55" t="s">
        <v>57</v>
      </c>
      <c r="I55">
        <v>2</v>
      </c>
      <c r="J55">
        <v>3</v>
      </c>
      <c r="K55">
        <v>0</v>
      </c>
      <c r="L55">
        <v>1.93</v>
      </c>
      <c r="M55">
        <v>52667</v>
      </c>
      <c r="N55">
        <v>26</v>
      </c>
      <c r="O55">
        <v>1</v>
      </c>
      <c r="P55">
        <v>1</v>
      </c>
      <c r="Q55">
        <v>1</v>
      </c>
      <c r="R55">
        <v>1</v>
      </c>
      <c r="S55">
        <v>4</v>
      </c>
      <c r="T55">
        <v>4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6047424.5</v>
      </c>
      <c r="AM55">
        <v>5325212</v>
      </c>
      <c r="AN55">
        <v>3257361.25</v>
      </c>
      <c r="AO55">
        <v>2742983</v>
      </c>
      <c r="AP55">
        <v>6657420.5</v>
      </c>
      <c r="AQ55">
        <v>5402382</v>
      </c>
      <c r="AR55">
        <v>1121118</v>
      </c>
      <c r="AS55">
        <v>1057862.8799999999</v>
      </c>
      <c r="AT55" s="23" t="s">
        <v>1025</v>
      </c>
      <c r="AU55" s="18">
        <v>6047424.5</v>
      </c>
      <c r="AV55" s="18">
        <v>4109584.5</v>
      </c>
      <c r="AW55" s="19">
        <v>2515010.5</v>
      </c>
      <c r="AX55" s="19">
        <v>2439275.75</v>
      </c>
      <c r="AY55" s="20">
        <v>2680781.75</v>
      </c>
      <c r="AZ55" s="20">
        <v>2322387.25</v>
      </c>
      <c r="BA55" s="21">
        <v>600307.75</v>
      </c>
      <c r="BB55" s="21">
        <v>830291.19</v>
      </c>
    </row>
    <row r="56" spans="1:54">
      <c r="A56">
        <v>20185</v>
      </c>
      <c r="B56" t="s">
        <v>522</v>
      </c>
      <c r="C56" t="s">
        <v>523</v>
      </c>
      <c r="D56" t="s">
        <v>522</v>
      </c>
      <c r="F56" t="s">
        <v>524</v>
      </c>
      <c r="G56">
        <v>294.20499999999998</v>
      </c>
      <c r="H56" t="s">
        <v>57</v>
      </c>
      <c r="I56">
        <v>2</v>
      </c>
      <c r="J56">
        <v>1</v>
      </c>
      <c r="K56">
        <v>0</v>
      </c>
      <c r="L56">
        <v>30.61</v>
      </c>
      <c r="M56">
        <v>37093</v>
      </c>
      <c r="N56">
        <v>20</v>
      </c>
      <c r="O56">
        <v>9</v>
      </c>
      <c r="P56">
        <v>9</v>
      </c>
      <c r="Q56">
        <v>9</v>
      </c>
      <c r="R56">
        <v>9</v>
      </c>
      <c r="S56">
        <v>49</v>
      </c>
      <c r="T56">
        <v>49</v>
      </c>
      <c r="U56">
        <v>9</v>
      </c>
      <c r="V56">
        <v>5</v>
      </c>
      <c r="W56">
        <v>6</v>
      </c>
      <c r="X56">
        <v>8</v>
      </c>
      <c r="Y56">
        <v>7</v>
      </c>
      <c r="Z56">
        <v>9</v>
      </c>
      <c r="AA56">
        <v>9</v>
      </c>
      <c r="AB56">
        <v>8</v>
      </c>
      <c r="AC56">
        <v>9</v>
      </c>
      <c r="AD56">
        <v>1</v>
      </c>
      <c r="AE56">
        <v>2</v>
      </c>
      <c r="AF56">
        <v>6</v>
      </c>
      <c r="AG56">
        <v>7</v>
      </c>
      <c r="AH56">
        <v>8</v>
      </c>
      <c r="AI56">
        <v>7</v>
      </c>
      <c r="AJ56">
        <v>10</v>
      </c>
      <c r="AK56">
        <v>8</v>
      </c>
      <c r="AL56">
        <v>14374616</v>
      </c>
      <c r="AM56">
        <v>18962492</v>
      </c>
      <c r="AN56">
        <v>34098160</v>
      </c>
      <c r="AO56">
        <v>29398316</v>
      </c>
      <c r="AP56">
        <v>47578476</v>
      </c>
      <c r="AQ56">
        <v>48082948</v>
      </c>
      <c r="AR56">
        <v>44065144</v>
      </c>
      <c r="AS56">
        <v>30364266</v>
      </c>
      <c r="AT56" s="23" t="s">
        <v>523</v>
      </c>
      <c r="AU56" s="18">
        <v>14938877</v>
      </c>
      <c r="AV56" s="18">
        <v>15982361</v>
      </c>
      <c r="AW56" s="19">
        <v>28332632</v>
      </c>
      <c r="AX56" s="19">
        <v>26762834</v>
      </c>
      <c r="AY56" s="20">
        <v>18454806</v>
      </c>
      <c r="AZ56" s="20">
        <v>20837542</v>
      </c>
      <c r="BA56" s="21">
        <v>25482104</v>
      </c>
      <c r="BB56" s="21">
        <v>25493312</v>
      </c>
    </row>
    <row r="57" spans="1:54">
      <c r="A57">
        <v>20072</v>
      </c>
      <c r="B57" t="s">
        <v>772</v>
      </c>
      <c r="C57" t="s">
        <v>773</v>
      </c>
      <c r="D57" t="s">
        <v>774</v>
      </c>
      <c r="E57" t="s">
        <v>775</v>
      </c>
      <c r="F57" t="s">
        <v>776</v>
      </c>
      <c r="G57">
        <v>99.828000000000003</v>
      </c>
      <c r="H57" t="s">
        <v>57</v>
      </c>
      <c r="I57">
        <v>2</v>
      </c>
      <c r="J57">
        <v>3</v>
      </c>
      <c r="K57">
        <v>1</v>
      </c>
      <c r="L57">
        <v>19.03</v>
      </c>
      <c r="M57">
        <v>35532</v>
      </c>
      <c r="N57">
        <v>24</v>
      </c>
      <c r="O57">
        <v>7</v>
      </c>
      <c r="P57">
        <v>7</v>
      </c>
      <c r="Q57">
        <v>7</v>
      </c>
      <c r="R57">
        <v>7</v>
      </c>
      <c r="S57">
        <v>19</v>
      </c>
      <c r="T57">
        <v>19</v>
      </c>
      <c r="U57">
        <v>7</v>
      </c>
      <c r="V57">
        <v>4</v>
      </c>
      <c r="W57">
        <v>5</v>
      </c>
      <c r="X57">
        <v>5</v>
      </c>
      <c r="Y57">
        <v>6</v>
      </c>
      <c r="Z57">
        <v>6</v>
      </c>
      <c r="AA57">
        <v>6</v>
      </c>
      <c r="AB57">
        <v>6</v>
      </c>
      <c r="AC57">
        <v>5</v>
      </c>
      <c r="AD57">
        <v>2</v>
      </c>
      <c r="AE57">
        <v>2</v>
      </c>
      <c r="AF57">
        <v>2</v>
      </c>
      <c r="AG57">
        <v>2</v>
      </c>
      <c r="AH57">
        <v>3</v>
      </c>
      <c r="AI57">
        <v>4</v>
      </c>
      <c r="AJ57">
        <v>4</v>
      </c>
      <c r="AK57">
        <v>0</v>
      </c>
      <c r="AL57">
        <v>2278235.25</v>
      </c>
      <c r="AM57">
        <v>20176700</v>
      </c>
      <c r="AN57">
        <v>9224281</v>
      </c>
      <c r="AO57">
        <v>9707934</v>
      </c>
      <c r="AP57">
        <v>26602926</v>
      </c>
      <c r="AQ57">
        <v>20531834</v>
      </c>
      <c r="AR57">
        <v>7748223</v>
      </c>
      <c r="AS57">
        <v>5550377</v>
      </c>
      <c r="AT57" s="23" t="s">
        <v>773</v>
      </c>
      <c r="AU57" s="18">
        <v>5943061</v>
      </c>
      <c r="AV57" s="18">
        <v>9167706</v>
      </c>
      <c r="AW57" s="19">
        <v>5226031</v>
      </c>
      <c r="AX57" s="19">
        <v>8143485.5</v>
      </c>
      <c r="AY57" s="20">
        <v>11407419</v>
      </c>
      <c r="AZ57" s="20">
        <v>9687887</v>
      </c>
      <c r="BA57" s="21">
        <v>7350735</v>
      </c>
      <c r="BB57" s="21">
        <v>4585285</v>
      </c>
    </row>
    <row r="58" spans="1:54">
      <c r="A58">
        <v>20000</v>
      </c>
      <c r="B58" t="s">
        <v>1050</v>
      </c>
      <c r="C58" t="s">
        <v>1051</v>
      </c>
      <c r="D58" t="s">
        <v>1052</v>
      </c>
      <c r="F58" t="s">
        <v>1053</v>
      </c>
      <c r="G58">
        <v>24.783999999999999</v>
      </c>
      <c r="H58" t="s">
        <v>57</v>
      </c>
      <c r="I58">
        <v>2</v>
      </c>
      <c r="J58">
        <v>16</v>
      </c>
      <c r="K58">
        <v>0</v>
      </c>
      <c r="L58">
        <v>6.98</v>
      </c>
      <c r="M58">
        <v>13841</v>
      </c>
      <c r="N58">
        <v>3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6198599</v>
      </c>
      <c r="AM58">
        <v>6571498</v>
      </c>
      <c r="AN58">
        <v>2757059.5</v>
      </c>
      <c r="AO58">
        <v>2634763.25</v>
      </c>
      <c r="AP58">
        <v>5535033</v>
      </c>
      <c r="AQ58">
        <v>4931830</v>
      </c>
      <c r="AR58">
        <v>922871.69</v>
      </c>
      <c r="AS58">
        <v>863691.75</v>
      </c>
      <c r="AT58" s="23" t="s">
        <v>1051</v>
      </c>
      <c r="AU58" s="18">
        <v>6272002</v>
      </c>
      <c r="AV58" s="18">
        <v>5127427</v>
      </c>
      <c r="AW58" s="19">
        <v>1857733.12</v>
      </c>
      <c r="AX58" s="19">
        <v>2222081.75</v>
      </c>
      <c r="AY58" s="20">
        <v>2422020.5</v>
      </c>
      <c r="AZ58" s="20">
        <v>2297798.75</v>
      </c>
      <c r="BA58" s="21">
        <v>423816.81</v>
      </c>
      <c r="BB58" s="21">
        <v>580829.38</v>
      </c>
    </row>
    <row r="59" spans="1:54">
      <c r="A59">
        <v>20212</v>
      </c>
      <c r="B59" t="s">
        <v>1090</v>
      </c>
      <c r="C59" t="s">
        <v>1091</v>
      </c>
      <c r="D59" t="s">
        <v>1092</v>
      </c>
      <c r="F59" t="s">
        <v>1093</v>
      </c>
      <c r="G59">
        <v>21.837</v>
      </c>
      <c r="H59" t="s">
        <v>57</v>
      </c>
      <c r="I59">
        <v>2</v>
      </c>
      <c r="J59">
        <v>2</v>
      </c>
      <c r="K59">
        <v>0</v>
      </c>
      <c r="L59">
        <v>2.72</v>
      </c>
      <c r="M59">
        <v>38711</v>
      </c>
      <c r="N59">
        <v>16</v>
      </c>
      <c r="O59">
        <v>1</v>
      </c>
      <c r="P59">
        <v>1</v>
      </c>
      <c r="Q59">
        <v>1</v>
      </c>
      <c r="R59">
        <v>1</v>
      </c>
      <c r="S59">
        <v>3</v>
      </c>
      <c r="T59">
        <v>3</v>
      </c>
      <c r="U59">
        <v>1</v>
      </c>
      <c r="V59">
        <v>1</v>
      </c>
      <c r="X59">
        <v>1</v>
      </c>
      <c r="Y59">
        <v>1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1735210.62</v>
      </c>
      <c r="AN59">
        <v>1060864.6200000001</v>
      </c>
      <c r="AO59">
        <v>1023064.81</v>
      </c>
      <c r="AT59" s="23" t="s">
        <v>1091</v>
      </c>
      <c r="AU59" s="18">
        <v>1735210.62</v>
      </c>
      <c r="AV59" s="18">
        <v>111774.65</v>
      </c>
      <c r="AW59" s="19">
        <v>819094.19</v>
      </c>
      <c r="AX59" s="19">
        <v>909789.56</v>
      </c>
      <c r="AY59" s="20">
        <v>350962.88</v>
      </c>
      <c r="AZ59" s="20">
        <v>247733</v>
      </c>
      <c r="BA59" s="21">
        <v>199295.7</v>
      </c>
      <c r="BB59" s="21">
        <v>212391.23</v>
      </c>
    </row>
    <row r="60" spans="1:54">
      <c r="A60">
        <v>20207</v>
      </c>
      <c r="B60" t="s">
        <v>764</v>
      </c>
      <c r="C60" t="s">
        <v>765</v>
      </c>
      <c r="D60" t="s">
        <v>766</v>
      </c>
      <c r="F60" t="s">
        <v>767</v>
      </c>
      <c r="G60">
        <v>107.15900000000001</v>
      </c>
      <c r="H60" t="s">
        <v>57</v>
      </c>
      <c r="I60">
        <v>2</v>
      </c>
      <c r="J60">
        <v>3</v>
      </c>
      <c r="K60">
        <v>0</v>
      </c>
      <c r="L60">
        <v>11.99</v>
      </c>
      <c r="M60">
        <v>66907</v>
      </c>
      <c r="N60">
        <v>32</v>
      </c>
      <c r="O60">
        <v>6</v>
      </c>
      <c r="P60">
        <v>6</v>
      </c>
      <c r="Q60">
        <v>6</v>
      </c>
      <c r="R60">
        <v>6</v>
      </c>
      <c r="S60">
        <v>8</v>
      </c>
      <c r="T60">
        <v>8</v>
      </c>
      <c r="U60">
        <v>6</v>
      </c>
      <c r="V60">
        <v>3</v>
      </c>
      <c r="W60">
        <v>6</v>
      </c>
      <c r="X60">
        <v>6</v>
      </c>
      <c r="Y60">
        <v>5</v>
      </c>
      <c r="Z60">
        <v>5</v>
      </c>
      <c r="AA60">
        <v>4</v>
      </c>
      <c r="AB60">
        <v>5</v>
      </c>
      <c r="AC60">
        <v>4</v>
      </c>
      <c r="AD60">
        <v>1</v>
      </c>
      <c r="AE60">
        <v>2</v>
      </c>
      <c r="AF60">
        <v>2</v>
      </c>
      <c r="AG60">
        <v>1</v>
      </c>
      <c r="AH60">
        <v>0</v>
      </c>
      <c r="AI60">
        <v>0</v>
      </c>
      <c r="AJ60">
        <v>3</v>
      </c>
      <c r="AK60">
        <v>0</v>
      </c>
      <c r="AL60">
        <v>2142063.5</v>
      </c>
      <c r="AM60">
        <v>6094724.5</v>
      </c>
      <c r="AN60">
        <v>6753462.5</v>
      </c>
      <c r="AO60">
        <v>4817430.5</v>
      </c>
      <c r="AP60">
        <v>6535263.5</v>
      </c>
      <c r="AQ60">
        <v>7006959</v>
      </c>
      <c r="AR60">
        <v>8302075</v>
      </c>
      <c r="AS60">
        <v>5070150</v>
      </c>
      <c r="AT60" s="23" t="s">
        <v>765</v>
      </c>
      <c r="AU60" s="18">
        <v>348312.59</v>
      </c>
      <c r="AV60" s="18">
        <v>3749346.75</v>
      </c>
      <c r="AW60" s="19">
        <v>6342095</v>
      </c>
      <c r="AX60" s="19">
        <v>5065343</v>
      </c>
      <c r="AY60" s="20">
        <v>3561931.5</v>
      </c>
      <c r="AZ60" s="20">
        <v>2887348.25</v>
      </c>
      <c r="BA60" s="21">
        <v>5299951</v>
      </c>
      <c r="BB60" s="21">
        <v>2665285.75</v>
      </c>
    </row>
    <row r="61" spans="1:54">
      <c r="A61">
        <v>20111</v>
      </c>
      <c r="B61" t="s">
        <v>1161</v>
      </c>
      <c r="C61" t="s">
        <v>1162</v>
      </c>
      <c r="D61" t="s">
        <v>1163</v>
      </c>
      <c r="F61" t="s">
        <v>1164</v>
      </c>
      <c r="G61">
        <v>11.843999999999999</v>
      </c>
      <c r="H61" t="s">
        <v>57</v>
      </c>
      <c r="I61">
        <v>2</v>
      </c>
      <c r="J61">
        <v>21</v>
      </c>
      <c r="K61">
        <v>0</v>
      </c>
      <c r="L61">
        <v>1.24</v>
      </c>
      <c r="M61">
        <v>102352</v>
      </c>
      <c r="N61">
        <v>62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696983.31</v>
      </c>
      <c r="AM61">
        <v>457265.16</v>
      </c>
      <c r="AN61">
        <v>622373.56000000006</v>
      </c>
      <c r="AO61">
        <v>652391.93999999994</v>
      </c>
      <c r="AP61">
        <v>866513.06</v>
      </c>
      <c r="AQ61">
        <v>871051.62</v>
      </c>
      <c r="AR61">
        <v>716849.38</v>
      </c>
      <c r="AS61">
        <v>723399.94</v>
      </c>
      <c r="AT61" s="23" t="s">
        <v>1162</v>
      </c>
      <c r="AU61" s="18">
        <v>696983.31</v>
      </c>
      <c r="AV61" s="18">
        <v>352881.69</v>
      </c>
      <c r="AW61" s="19">
        <v>480535</v>
      </c>
      <c r="AX61" s="19">
        <v>580158.12</v>
      </c>
      <c r="AY61" s="20">
        <v>348923.78</v>
      </c>
      <c r="AZ61" s="20">
        <v>374449.47</v>
      </c>
      <c r="BA61" s="21">
        <v>383840.28</v>
      </c>
      <c r="BB61" s="21">
        <v>567779.25</v>
      </c>
    </row>
    <row r="62" spans="1:54">
      <c r="A62">
        <v>19973</v>
      </c>
      <c r="B62" t="s">
        <v>489</v>
      </c>
      <c r="C62" t="s">
        <v>490</v>
      </c>
      <c r="D62" t="s">
        <v>491</v>
      </c>
      <c r="F62" t="s">
        <v>492</v>
      </c>
      <c r="G62">
        <v>325.50099999999998</v>
      </c>
      <c r="H62" t="s">
        <v>57</v>
      </c>
      <c r="I62">
        <v>2</v>
      </c>
      <c r="J62">
        <v>21</v>
      </c>
      <c r="K62">
        <v>0</v>
      </c>
      <c r="L62">
        <v>23.83</v>
      </c>
      <c r="M62">
        <v>63477</v>
      </c>
      <c r="N62">
        <v>41</v>
      </c>
      <c r="O62">
        <v>13</v>
      </c>
      <c r="P62">
        <v>13</v>
      </c>
      <c r="Q62">
        <v>13</v>
      </c>
      <c r="R62">
        <v>13</v>
      </c>
      <c r="S62">
        <v>39</v>
      </c>
      <c r="T62">
        <v>39</v>
      </c>
      <c r="U62">
        <v>13</v>
      </c>
      <c r="V62">
        <v>10</v>
      </c>
      <c r="W62">
        <v>11</v>
      </c>
      <c r="X62">
        <v>10</v>
      </c>
      <c r="Y62">
        <v>10</v>
      </c>
      <c r="Z62">
        <v>7</v>
      </c>
      <c r="AA62">
        <v>11</v>
      </c>
      <c r="AB62">
        <v>11</v>
      </c>
      <c r="AC62">
        <v>11</v>
      </c>
      <c r="AD62">
        <v>9</v>
      </c>
      <c r="AE62">
        <v>5</v>
      </c>
      <c r="AF62">
        <v>8</v>
      </c>
      <c r="AG62">
        <v>6</v>
      </c>
      <c r="AH62">
        <v>0</v>
      </c>
      <c r="AI62">
        <v>1</v>
      </c>
      <c r="AJ62">
        <v>8</v>
      </c>
      <c r="AK62">
        <v>3</v>
      </c>
      <c r="AL62">
        <v>28810924</v>
      </c>
      <c r="AM62">
        <v>22490638</v>
      </c>
      <c r="AN62">
        <v>30658154</v>
      </c>
      <c r="AO62">
        <v>22691874</v>
      </c>
      <c r="AP62">
        <v>7647988</v>
      </c>
      <c r="AQ62">
        <v>13431511</v>
      </c>
      <c r="AR62">
        <v>22976504</v>
      </c>
      <c r="AS62">
        <v>14388911</v>
      </c>
      <c r="AT62" s="23" t="s">
        <v>490</v>
      </c>
      <c r="AU62" s="18">
        <v>29865310</v>
      </c>
      <c r="AV62" s="18">
        <v>17008638</v>
      </c>
      <c r="AW62" s="19">
        <v>23880520</v>
      </c>
      <c r="AX62" s="19">
        <v>22535224</v>
      </c>
      <c r="AY62" s="20">
        <v>3939314</v>
      </c>
      <c r="AZ62" s="20">
        <v>5609726.5</v>
      </c>
      <c r="BA62" s="21">
        <v>12557919</v>
      </c>
      <c r="BB62" s="21">
        <v>13822428</v>
      </c>
    </row>
    <row r="63" spans="1:54">
      <c r="A63">
        <v>20167</v>
      </c>
      <c r="B63" t="s">
        <v>628</v>
      </c>
      <c r="C63" t="s">
        <v>629</v>
      </c>
      <c r="D63" t="s">
        <v>628</v>
      </c>
      <c r="F63" t="s">
        <v>630</v>
      </c>
      <c r="G63">
        <v>187.40100000000001</v>
      </c>
      <c r="H63" t="s">
        <v>57</v>
      </c>
      <c r="I63">
        <v>2</v>
      </c>
      <c r="J63">
        <v>1</v>
      </c>
      <c r="K63">
        <v>0</v>
      </c>
      <c r="L63">
        <v>30.16</v>
      </c>
      <c r="M63">
        <v>28047</v>
      </c>
      <c r="N63">
        <v>11</v>
      </c>
      <c r="O63">
        <v>5</v>
      </c>
      <c r="P63">
        <v>5</v>
      </c>
      <c r="Q63">
        <v>5</v>
      </c>
      <c r="R63">
        <v>5</v>
      </c>
      <c r="S63">
        <v>13</v>
      </c>
      <c r="T63">
        <v>13</v>
      </c>
      <c r="U63">
        <v>5</v>
      </c>
      <c r="V63">
        <v>2</v>
      </c>
      <c r="W63">
        <v>2</v>
      </c>
      <c r="X63">
        <v>3</v>
      </c>
      <c r="Y63">
        <v>4</v>
      </c>
      <c r="Z63">
        <v>4</v>
      </c>
      <c r="AA63">
        <v>4</v>
      </c>
      <c r="AB63">
        <v>5</v>
      </c>
      <c r="AC63">
        <v>5</v>
      </c>
      <c r="AD63">
        <v>1</v>
      </c>
      <c r="AE63">
        <v>0</v>
      </c>
      <c r="AF63">
        <v>2</v>
      </c>
      <c r="AG63">
        <v>3</v>
      </c>
      <c r="AH63">
        <v>2</v>
      </c>
      <c r="AI63">
        <v>1</v>
      </c>
      <c r="AJ63">
        <v>3</v>
      </c>
      <c r="AK63">
        <v>1</v>
      </c>
      <c r="AL63">
        <v>2173835</v>
      </c>
      <c r="AM63">
        <v>2402165.5</v>
      </c>
      <c r="AN63">
        <v>5391700</v>
      </c>
      <c r="AO63">
        <v>5773578.5</v>
      </c>
      <c r="AP63">
        <v>5922837.5</v>
      </c>
      <c r="AQ63">
        <v>6469316</v>
      </c>
      <c r="AR63">
        <v>8637125</v>
      </c>
      <c r="AS63">
        <v>6938970</v>
      </c>
      <c r="AT63" s="23" t="s">
        <v>629</v>
      </c>
      <c r="AU63" s="18">
        <v>139349.62</v>
      </c>
      <c r="AV63" s="18">
        <v>84219.61</v>
      </c>
      <c r="AW63" s="19">
        <v>2125454.25</v>
      </c>
      <c r="AX63" s="19">
        <v>6274998</v>
      </c>
      <c r="AY63" s="20">
        <v>2774389.25</v>
      </c>
      <c r="AZ63" s="20">
        <v>3426416.75</v>
      </c>
      <c r="BA63" s="21">
        <v>6332526.5</v>
      </c>
      <c r="BB63" s="21">
        <v>7084258.5</v>
      </c>
    </row>
    <row r="64" spans="1:54">
      <c r="A64">
        <v>20257</v>
      </c>
      <c r="B64" t="s">
        <v>1345</v>
      </c>
      <c r="C64" t="s">
        <v>1346</v>
      </c>
      <c r="D64" t="s">
        <v>1347</v>
      </c>
      <c r="F64" t="s">
        <v>1348</v>
      </c>
      <c r="G64">
        <v>4.0670000000000002</v>
      </c>
      <c r="H64" t="s">
        <v>57</v>
      </c>
      <c r="I64">
        <v>2</v>
      </c>
      <c r="J64">
        <v>2</v>
      </c>
      <c r="K64">
        <v>0</v>
      </c>
      <c r="L64">
        <v>1.58</v>
      </c>
      <c r="M64">
        <v>49147</v>
      </c>
      <c r="N64">
        <v>26</v>
      </c>
      <c r="O64">
        <v>1</v>
      </c>
      <c r="P64">
        <v>1</v>
      </c>
      <c r="Q64">
        <v>1</v>
      </c>
      <c r="R64">
        <v>1</v>
      </c>
      <c r="S64">
        <v>4</v>
      </c>
      <c r="T64">
        <v>4</v>
      </c>
      <c r="U64">
        <v>1</v>
      </c>
      <c r="W64">
        <v>1</v>
      </c>
      <c r="X64">
        <v>1</v>
      </c>
      <c r="Z64">
        <v>1</v>
      </c>
      <c r="AA64">
        <v>1</v>
      </c>
      <c r="AC64">
        <v>1</v>
      </c>
      <c r="AD64">
        <v>0</v>
      </c>
      <c r="AE64">
        <v>2</v>
      </c>
      <c r="AF64">
        <v>2</v>
      </c>
      <c r="AG64">
        <v>0</v>
      </c>
      <c r="AH64">
        <v>3</v>
      </c>
      <c r="AI64">
        <v>4</v>
      </c>
      <c r="AJ64">
        <v>0</v>
      </c>
      <c r="AK64">
        <v>3</v>
      </c>
      <c r="AM64">
        <v>96915248</v>
      </c>
      <c r="AN64">
        <v>87751280</v>
      </c>
      <c r="AP64">
        <v>149342976</v>
      </c>
      <c r="AQ64">
        <v>140140048</v>
      </c>
      <c r="AS64">
        <v>64913396</v>
      </c>
      <c r="AT64" s="23" t="s">
        <v>1346</v>
      </c>
      <c r="AU64" s="18">
        <v>49505.43</v>
      </c>
      <c r="AV64" s="18">
        <v>74791656</v>
      </c>
      <c r="AW64" s="19">
        <v>67752816</v>
      </c>
      <c r="AX64" s="19">
        <v>170153.38</v>
      </c>
      <c r="AY64" s="20">
        <v>60136796</v>
      </c>
      <c r="AZ64" s="20">
        <v>60243692</v>
      </c>
      <c r="BA64" s="21">
        <v>199295.7</v>
      </c>
      <c r="BB64" s="21">
        <v>50948968</v>
      </c>
    </row>
    <row r="65" spans="1:54">
      <c r="A65">
        <v>20022</v>
      </c>
      <c r="B65" t="s">
        <v>260</v>
      </c>
      <c r="C65" t="s">
        <v>261</v>
      </c>
      <c r="D65" t="s">
        <v>262</v>
      </c>
      <c r="E65" t="s">
        <v>263</v>
      </c>
      <c r="F65" t="s">
        <v>264</v>
      </c>
      <c r="G65">
        <v>779.96400000000006</v>
      </c>
      <c r="H65" t="s">
        <v>57</v>
      </c>
      <c r="I65">
        <v>2</v>
      </c>
      <c r="J65">
        <v>6</v>
      </c>
      <c r="K65">
        <v>7</v>
      </c>
      <c r="L65">
        <v>57.75</v>
      </c>
      <c r="M65">
        <v>53815</v>
      </c>
      <c r="N65">
        <v>27</v>
      </c>
      <c r="O65">
        <v>21</v>
      </c>
      <c r="P65">
        <v>21</v>
      </c>
      <c r="Q65">
        <v>21</v>
      </c>
      <c r="R65">
        <v>21</v>
      </c>
      <c r="S65">
        <v>151</v>
      </c>
      <c r="T65">
        <v>151</v>
      </c>
      <c r="U65">
        <v>21</v>
      </c>
      <c r="V65">
        <v>18</v>
      </c>
      <c r="W65">
        <v>18</v>
      </c>
      <c r="X65">
        <v>18</v>
      </c>
      <c r="Y65">
        <v>19</v>
      </c>
      <c r="Z65">
        <v>18</v>
      </c>
      <c r="AA65">
        <v>18</v>
      </c>
      <c r="AB65">
        <v>20</v>
      </c>
      <c r="AC65">
        <v>18</v>
      </c>
      <c r="AD65">
        <v>26</v>
      </c>
      <c r="AE65">
        <v>24</v>
      </c>
      <c r="AF65">
        <v>20</v>
      </c>
      <c r="AG65">
        <v>22</v>
      </c>
      <c r="AH65">
        <v>9</v>
      </c>
      <c r="AI65">
        <v>16</v>
      </c>
      <c r="AJ65">
        <v>19</v>
      </c>
      <c r="AK65">
        <v>15</v>
      </c>
      <c r="AL65">
        <v>137781440</v>
      </c>
      <c r="AM65">
        <v>125166984</v>
      </c>
      <c r="AN65">
        <v>85135064</v>
      </c>
      <c r="AO65">
        <v>79319480</v>
      </c>
      <c r="AP65">
        <v>58404232</v>
      </c>
      <c r="AQ65">
        <v>66640012</v>
      </c>
      <c r="AR65">
        <v>85083856</v>
      </c>
      <c r="AS65">
        <v>67142496</v>
      </c>
      <c r="AT65" s="23" t="s">
        <v>261</v>
      </c>
      <c r="AU65" s="18">
        <v>138791072</v>
      </c>
      <c r="AV65" s="18">
        <v>97819240</v>
      </c>
      <c r="AW65" s="19">
        <v>70281824</v>
      </c>
      <c r="AX65" s="19">
        <v>70369328</v>
      </c>
      <c r="AY65" s="20">
        <v>24472340</v>
      </c>
      <c r="AZ65" s="20">
        <v>28414326</v>
      </c>
      <c r="BA65" s="21">
        <v>52208272</v>
      </c>
      <c r="BB65" s="21">
        <v>54657344</v>
      </c>
    </row>
    <row r="66" spans="1:54">
      <c r="A66">
        <v>20054</v>
      </c>
      <c r="B66" t="s">
        <v>768</v>
      </c>
      <c r="C66" t="s">
        <v>769</v>
      </c>
      <c r="D66" t="s">
        <v>770</v>
      </c>
      <c r="F66" t="s">
        <v>771</v>
      </c>
      <c r="G66">
        <v>101.15300000000001</v>
      </c>
      <c r="H66" t="s">
        <v>57</v>
      </c>
      <c r="I66">
        <v>2</v>
      </c>
      <c r="J66">
        <v>21</v>
      </c>
      <c r="K66">
        <v>0</v>
      </c>
      <c r="L66">
        <v>7.43</v>
      </c>
      <c r="M66">
        <v>45316</v>
      </c>
      <c r="N66">
        <v>22</v>
      </c>
      <c r="O66">
        <v>2</v>
      </c>
      <c r="P66">
        <v>2</v>
      </c>
      <c r="Q66">
        <v>2</v>
      </c>
      <c r="R66">
        <v>2</v>
      </c>
      <c r="S66">
        <v>10</v>
      </c>
      <c r="T66">
        <v>10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1</v>
      </c>
      <c r="AF66">
        <v>1</v>
      </c>
      <c r="AG66">
        <v>1</v>
      </c>
      <c r="AH66">
        <v>3</v>
      </c>
      <c r="AI66">
        <v>2</v>
      </c>
      <c r="AJ66">
        <v>1</v>
      </c>
      <c r="AK66">
        <v>1</v>
      </c>
      <c r="AL66">
        <v>4940461.5</v>
      </c>
      <c r="AM66">
        <v>2722339.5</v>
      </c>
      <c r="AN66">
        <v>2790654</v>
      </c>
      <c r="AO66">
        <v>2821392.25</v>
      </c>
      <c r="AP66">
        <v>8403733</v>
      </c>
      <c r="AQ66">
        <v>7087489</v>
      </c>
      <c r="AR66">
        <v>1568496.75</v>
      </c>
      <c r="AS66">
        <v>1241559.75</v>
      </c>
      <c r="AT66" s="23" t="s">
        <v>769</v>
      </c>
      <c r="AU66" s="18">
        <v>4857371.5</v>
      </c>
      <c r="AV66" s="18">
        <v>1400749.62</v>
      </c>
      <c r="AW66" s="19">
        <v>2008369.25</v>
      </c>
      <c r="AX66" s="19">
        <v>2289721</v>
      </c>
      <c r="AY66" s="20">
        <v>3789703.5</v>
      </c>
      <c r="AZ66" s="20">
        <v>3445328.75</v>
      </c>
      <c r="BA66" s="21">
        <v>935354.5</v>
      </c>
      <c r="BB66" s="21">
        <v>1052350.25</v>
      </c>
    </row>
    <row r="67" spans="1:54">
      <c r="A67">
        <v>20038</v>
      </c>
      <c r="B67" t="s">
        <v>300</v>
      </c>
      <c r="C67" t="s">
        <v>301</v>
      </c>
      <c r="D67" t="s">
        <v>302</v>
      </c>
      <c r="E67" t="s">
        <v>303</v>
      </c>
      <c r="F67" t="s">
        <v>304</v>
      </c>
      <c r="G67">
        <v>693.74400000000003</v>
      </c>
      <c r="H67" t="s">
        <v>57</v>
      </c>
      <c r="I67">
        <v>2</v>
      </c>
      <c r="J67">
        <v>19</v>
      </c>
      <c r="K67">
        <v>1</v>
      </c>
      <c r="L67">
        <v>50.5</v>
      </c>
      <c r="M67">
        <v>34715</v>
      </c>
      <c r="N67">
        <v>14</v>
      </c>
      <c r="O67">
        <v>12</v>
      </c>
      <c r="P67">
        <v>12</v>
      </c>
      <c r="Q67">
        <v>13</v>
      </c>
      <c r="R67">
        <v>13</v>
      </c>
      <c r="S67">
        <v>222</v>
      </c>
      <c r="T67">
        <v>222</v>
      </c>
      <c r="U67">
        <v>13</v>
      </c>
      <c r="V67">
        <v>12</v>
      </c>
      <c r="W67">
        <v>11</v>
      </c>
      <c r="X67">
        <v>13</v>
      </c>
      <c r="Y67">
        <v>13</v>
      </c>
      <c r="Z67">
        <v>12</v>
      </c>
      <c r="AA67">
        <v>12</v>
      </c>
      <c r="AB67">
        <v>11</v>
      </c>
      <c r="AC67">
        <v>11</v>
      </c>
      <c r="AD67">
        <v>36</v>
      </c>
      <c r="AE67">
        <v>32</v>
      </c>
      <c r="AF67">
        <v>29</v>
      </c>
      <c r="AG67">
        <v>30</v>
      </c>
      <c r="AH67">
        <v>17</v>
      </c>
      <c r="AI67">
        <v>19</v>
      </c>
      <c r="AJ67">
        <v>30</v>
      </c>
      <c r="AK67">
        <v>29</v>
      </c>
      <c r="AL67">
        <v>231100768</v>
      </c>
      <c r="AM67">
        <v>289091296</v>
      </c>
      <c r="AN67">
        <v>284345120</v>
      </c>
      <c r="AO67">
        <v>288822848</v>
      </c>
      <c r="AP67">
        <v>191300960</v>
      </c>
      <c r="AQ67">
        <v>172637600</v>
      </c>
      <c r="AR67">
        <v>411465696</v>
      </c>
      <c r="AS67">
        <v>232464864</v>
      </c>
      <c r="AT67" s="23" t="s">
        <v>301</v>
      </c>
      <c r="AU67" s="18">
        <v>285765600</v>
      </c>
      <c r="AV67" s="18">
        <v>251160816</v>
      </c>
      <c r="AW67" s="19">
        <v>293901248</v>
      </c>
      <c r="AX67" s="19">
        <v>343899232</v>
      </c>
      <c r="AY67" s="20">
        <v>87104752</v>
      </c>
      <c r="AZ67" s="20">
        <v>89930600</v>
      </c>
      <c r="BA67" s="21">
        <v>236132896</v>
      </c>
      <c r="BB67" s="21">
        <v>239063152</v>
      </c>
    </row>
    <row r="68" spans="1:54">
      <c r="A68">
        <v>19974</v>
      </c>
      <c r="B68" t="s">
        <v>86</v>
      </c>
      <c r="C68" t="s">
        <v>87</v>
      </c>
      <c r="D68" t="s">
        <v>88</v>
      </c>
      <c r="E68" t="s">
        <v>89</v>
      </c>
      <c r="F68" t="s">
        <v>90</v>
      </c>
      <c r="G68">
        <v>2366.85</v>
      </c>
      <c r="H68" t="s">
        <v>57</v>
      </c>
      <c r="I68">
        <v>2</v>
      </c>
      <c r="J68">
        <v>5</v>
      </c>
      <c r="K68">
        <v>16</v>
      </c>
      <c r="L68">
        <v>77.790000000000006</v>
      </c>
      <c r="M68">
        <v>76812</v>
      </c>
      <c r="N68">
        <v>46</v>
      </c>
      <c r="O68">
        <v>53</v>
      </c>
      <c r="P68">
        <v>53</v>
      </c>
      <c r="Q68">
        <v>56</v>
      </c>
      <c r="R68">
        <v>56</v>
      </c>
      <c r="S68">
        <v>850</v>
      </c>
      <c r="T68">
        <v>850</v>
      </c>
      <c r="U68">
        <v>56</v>
      </c>
      <c r="V68">
        <v>47</v>
      </c>
      <c r="W68">
        <v>51</v>
      </c>
      <c r="X68">
        <v>51</v>
      </c>
      <c r="Y68">
        <v>53</v>
      </c>
      <c r="Z68">
        <v>53</v>
      </c>
      <c r="AA68">
        <v>52</v>
      </c>
      <c r="AB68">
        <v>52</v>
      </c>
      <c r="AC68">
        <v>55</v>
      </c>
      <c r="AD68">
        <v>117</v>
      </c>
      <c r="AE68">
        <v>135</v>
      </c>
      <c r="AF68">
        <v>129</v>
      </c>
      <c r="AG68">
        <v>124</v>
      </c>
      <c r="AH68">
        <v>70</v>
      </c>
      <c r="AI68">
        <v>65</v>
      </c>
      <c r="AJ68">
        <v>104</v>
      </c>
      <c r="AK68">
        <v>106</v>
      </c>
      <c r="AL68">
        <v>706761408</v>
      </c>
      <c r="AM68">
        <v>900879808</v>
      </c>
      <c r="AN68">
        <v>898374976</v>
      </c>
      <c r="AO68">
        <v>850958848</v>
      </c>
      <c r="AP68">
        <v>484086048</v>
      </c>
      <c r="AQ68">
        <v>493854112</v>
      </c>
      <c r="AR68">
        <v>1031793408</v>
      </c>
      <c r="AS68">
        <v>672865536</v>
      </c>
      <c r="AT68" s="23" t="s">
        <v>87</v>
      </c>
      <c r="AU68" s="18">
        <v>762377216</v>
      </c>
      <c r="AV68" s="18">
        <v>744302592</v>
      </c>
      <c r="AW68" s="19">
        <v>791326464</v>
      </c>
      <c r="AX68" s="19">
        <v>855218880</v>
      </c>
      <c r="AY68" s="20">
        <v>236219920</v>
      </c>
      <c r="AZ68" s="20">
        <v>255417360</v>
      </c>
      <c r="BA68" s="21">
        <v>655711104</v>
      </c>
      <c r="BB68" s="21">
        <v>638819328</v>
      </c>
    </row>
    <row r="69" spans="1:54">
      <c r="A69">
        <v>20248</v>
      </c>
      <c r="B69" t="s">
        <v>921</v>
      </c>
      <c r="C69" t="s">
        <v>922</v>
      </c>
      <c r="D69" t="s">
        <v>921</v>
      </c>
      <c r="E69" t="s">
        <v>923</v>
      </c>
      <c r="F69" t="s">
        <v>924</v>
      </c>
      <c r="G69">
        <v>43.576000000000001</v>
      </c>
      <c r="H69" t="s">
        <v>57</v>
      </c>
      <c r="I69">
        <v>2</v>
      </c>
      <c r="J69">
        <v>1</v>
      </c>
      <c r="K69">
        <v>1</v>
      </c>
      <c r="L69">
        <v>5.98</v>
      </c>
      <c r="M69">
        <v>51480</v>
      </c>
      <c r="N69">
        <v>30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2</v>
      </c>
      <c r="X69">
        <v>2</v>
      </c>
      <c r="Y69">
        <v>2</v>
      </c>
      <c r="Z69">
        <v>2</v>
      </c>
      <c r="AA69">
        <v>2</v>
      </c>
      <c r="AB69">
        <v>1</v>
      </c>
      <c r="AC69">
        <v>1</v>
      </c>
      <c r="AD69">
        <v>2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2355872.75</v>
      </c>
      <c r="AM69">
        <v>3590653</v>
      </c>
      <c r="AN69">
        <v>2558348.5</v>
      </c>
      <c r="AO69">
        <v>3192167.25</v>
      </c>
      <c r="AP69">
        <v>3861754.5</v>
      </c>
      <c r="AQ69">
        <v>3538051.5</v>
      </c>
      <c r="AR69">
        <v>470602.09</v>
      </c>
      <c r="AS69">
        <v>477373.06</v>
      </c>
      <c r="AT69" s="23" t="s">
        <v>922</v>
      </c>
      <c r="AU69" s="18">
        <v>5324527.5</v>
      </c>
      <c r="AV69" s="18">
        <v>1956255.5</v>
      </c>
      <c r="AW69" s="19">
        <v>1553215.25</v>
      </c>
      <c r="AX69" s="19">
        <v>2309655.25</v>
      </c>
      <c r="AY69" s="20">
        <v>1191330.75</v>
      </c>
      <c r="AZ69" s="20">
        <v>1295544</v>
      </c>
      <c r="BA69" s="21">
        <v>160592.32999999999</v>
      </c>
      <c r="BB69" s="21">
        <v>231936.64000000001</v>
      </c>
    </row>
    <row r="70" spans="1:54">
      <c r="A70">
        <v>20209</v>
      </c>
      <c r="B70" t="s">
        <v>733</v>
      </c>
      <c r="C70" t="s">
        <v>734</v>
      </c>
      <c r="D70" t="s">
        <v>733</v>
      </c>
      <c r="E70" t="s">
        <v>735</v>
      </c>
      <c r="F70" t="s">
        <v>736</v>
      </c>
      <c r="G70">
        <v>116.788</v>
      </c>
      <c r="H70" t="s">
        <v>57</v>
      </c>
      <c r="I70">
        <v>2</v>
      </c>
      <c r="J70">
        <v>1</v>
      </c>
      <c r="K70">
        <v>2</v>
      </c>
      <c r="L70">
        <v>66.67</v>
      </c>
      <c r="M70">
        <v>6547</v>
      </c>
      <c r="N70">
        <v>4</v>
      </c>
      <c r="O70">
        <v>4</v>
      </c>
      <c r="P70">
        <v>4</v>
      </c>
      <c r="Q70">
        <v>4</v>
      </c>
      <c r="R70">
        <v>4</v>
      </c>
      <c r="S70">
        <v>28</v>
      </c>
      <c r="T70">
        <v>28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8</v>
      </c>
      <c r="AE70">
        <v>5</v>
      </c>
      <c r="AF70">
        <v>7</v>
      </c>
      <c r="AG70">
        <v>3</v>
      </c>
      <c r="AH70">
        <v>2</v>
      </c>
      <c r="AI70">
        <v>1</v>
      </c>
      <c r="AJ70">
        <v>1</v>
      </c>
      <c r="AK70">
        <v>1</v>
      </c>
      <c r="AL70">
        <v>17604896</v>
      </c>
      <c r="AM70">
        <v>20550762</v>
      </c>
      <c r="AN70">
        <v>23168256</v>
      </c>
      <c r="AO70">
        <v>22925060</v>
      </c>
      <c r="AP70">
        <v>20811066</v>
      </c>
      <c r="AQ70">
        <v>20359660</v>
      </c>
      <c r="AR70">
        <v>10752340</v>
      </c>
      <c r="AS70">
        <v>10192436</v>
      </c>
      <c r="AT70" s="23" t="s">
        <v>734</v>
      </c>
      <c r="AU70" s="18">
        <v>14605484</v>
      </c>
      <c r="AV70" s="18">
        <v>14413799</v>
      </c>
      <c r="AW70" s="19">
        <v>18245918</v>
      </c>
      <c r="AX70" s="19">
        <v>21569160</v>
      </c>
      <c r="AY70" s="20">
        <v>7848415.5</v>
      </c>
      <c r="AZ70" s="20">
        <v>9511506</v>
      </c>
      <c r="BA70" s="21">
        <v>7068571.5</v>
      </c>
      <c r="BB70" s="21">
        <v>9072383</v>
      </c>
    </row>
    <row r="71" spans="1:54">
      <c r="A71">
        <v>20138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>
        <v>653.702</v>
      </c>
      <c r="H71" t="s">
        <v>57</v>
      </c>
      <c r="I71">
        <v>2</v>
      </c>
      <c r="J71">
        <v>12</v>
      </c>
      <c r="K71">
        <v>9</v>
      </c>
      <c r="L71">
        <v>87.4</v>
      </c>
      <c r="M71">
        <v>14284</v>
      </c>
      <c r="N71">
        <v>11</v>
      </c>
      <c r="O71">
        <v>14</v>
      </c>
      <c r="P71">
        <v>12</v>
      </c>
      <c r="Q71">
        <v>15</v>
      </c>
      <c r="R71">
        <v>13</v>
      </c>
      <c r="S71">
        <v>246</v>
      </c>
      <c r="T71">
        <v>224</v>
      </c>
      <c r="U71">
        <v>13</v>
      </c>
      <c r="V71">
        <v>12</v>
      </c>
      <c r="W71">
        <v>13</v>
      </c>
      <c r="X71">
        <v>12</v>
      </c>
      <c r="Y71">
        <v>12</v>
      </c>
      <c r="Z71">
        <v>12</v>
      </c>
      <c r="AA71">
        <v>12</v>
      </c>
      <c r="AB71">
        <v>11</v>
      </c>
      <c r="AC71">
        <v>12</v>
      </c>
      <c r="AD71">
        <v>45</v>
      </c>
      <c r="AE71">
        <v>38</v>
      </c>
      <c r="AF71">
        <v>25</v>
      </c>
      <c r="AG71">
        <v>24</v>
      </c>
      <c r="AH71">
        <v>30</v>
      </c>
      <c r="AI71">
        <v>26</v>
      </c>
      <c r="AJ71">
        <v>15</v>
      </c>
      <c r="AK71">
        <v>21</v>
      </c>
      <c r="AL71">
        <v>714070784</v>
      </c>
      <c r="AM71">
        <v>886224576</v>
      </c>
      <c r="AN71">
        <v>293202464</v>
      </c>
      <c r="AO71">
        <v>282424608</v>
      </c>
      <c r="AP71">
        <v>1235075712</v>
      </c>
      <c r="AQ71">
        <v>1092827136</v>
      </c>
      <c r="AR71">
        <v>179089328</v>
      </c>
      <c r="AS71">
        <v>140222048</v>
      </c>
      <c r="AT71" s="23" t="s">
        <v>319</v>
      </c>
      <c r="AU71" s="18">
        <v>567296960</v>
      </c>
      <c r="AV71" s="18">
        <v>539643392</v>
      </c>
      <c r="AW71" s="19">
        <v>192830256</v>
      </c>
      <c r="AX71" s="19">
        <v>220169536</v>
      </c>
      <c r="AY71" s="20">
        <v>470657216</v>
      </c>
      <c r="AZ71" s="20">
        <v>440154080</v>
      </c>
      <c r="BA71" s="21">
        <v>106795312</v>
      </c>
      <c r="BB71" s="21">
        <v>141373696</v>
      </c>
    </row>
    <row r="72" spans="1:54">
      <c r="A72">
        <v>20104</v>
      </c>
      <c r="B72" t="s">
        <v>872</v>
      </c>
      <c r="C72" t="s">
        <v>873</v>
      </c>
      <c r="D72" t="s">
        <v>874</v>
      </c>
      <c r="E72" t="s">
        <v>875</v>
      </c>
      <c r="F72" t="s">
        <v>876</v>
      </c>
      <c r="G72">
        <v>60.231000000000002</v>
      </c>
      <c r="H72" t="s">
        <v>57</v>
      </c>
      <c r="I72">
        <v>2</v>
      </c>
      <c r="J72">
        <v>21</v>
      </c>
      <c r="K72">
        <v>1</v>
      </c>
      <c r="L72">
        <v>13.14</v>
      </c>
      <c r="M72">
        <v>57328</v>
      </c>
      <c r="N72">
        <v>34</v>
      </c>
      <c r="O72">
        <v>6</v>
      </c>
      <c r="P72">
        <v>6</v>
      </c>
      <c r="Q72">
        <v>6</v>
      </c>
      <c r="R72">
        <v>6</v>
      </c>
      <c r="S72">
        <v>14</v>
      </c>
      <c r="T72">
        <v>14</v>
      </c>
      <c r="U72">
        <v>6</v>
      </c>
      <c r="V72">
        <v>5</v>
      </c>
      <c r="W72">
        <v>5</v>
      </c>
      <c r="X72">
        <v>5</v>
      </c>
      <c r="Y72">
        <v>5</v>
      </c>
      <c r="Z72">
        <v>6</v>
      </c>
      <c r="AA72">
        <v>6</v>
      </c>
      <c r="AB72">
        <v>6</v>
      </c>
      <c r="AC72">
        <v>6</v>
      </c>
      <c r="AD72">
        <v>2</v>
      </c>
      <c r="AE72">
        <v>2</v>
      </c>
      <c r="AF72">
        <v>2</v>
      </c>
      <c r="AG72">
        <v>2</v>
      </c>
      <c r="AH72">
        <v>1</v>
      </c>
      <c r="AI72">
        <v>1</v>
      </c>
      <c r="AJ72">
        <v>2</v>
      </c>
      <c r="AK72">
        <v>2</v>
      </c>
      <c r="AL72">
        <v>5452936.5</v>
      </c>
      <c r="AM72">
        <v>4137744</v>
      </c>
      <c r="AN72">
        <v>4497763</v>
      </c>
      <c r="AO72">
        <v>4924129.5</v>
      </c>
      <c r="AP72">
        <v>7585398</v>
      </c>
      <c r="AQ72">
        <v>7153231</v>
      </c>
      <c r="AR72">
        <v>6702420</v>
      </c>
      <c r="AS72">
        <v>5407947.5</v>
      </c>
      <c r="AT72" s="23" t="s">
        <v>873</v>
      </c>
      <c r="AU72" s="18">
        <v>3925323.75</v>
      </c>
      <c r="AV72" s="18">
        <v>3483099.5</v>
      </c>
      <c r="AW72" s="19">
        <v>4028068</v>
      </c>
      <c r="AX72" s="19">
        <v>4872270</v>
      </c>
      <c r="AY72" s="20">
        <v>3226062</v>
      </c>
      <c r="AZ72" s="20">
        <v>2957110</v>
      </c>
      <c r="BA72" s="21">
        <v>3730200.25</v>
      </c>
      <c r="BB72" s="21">
        <v>4058104.25</v>
      </c>
    </row>
    <row r="73" spans="1:54">
      <c r="A73">
        <v>20014</v>
      </c>
      <c r="B73" t="s">
        <v>789</v>
      </c>
      <c r="C73" t="s">
        <v>790</v>
      </c>
      <c r="D73" t="s">
        <v>791</v>
      </c>
      <c r="E73" t="s">
        <v>792</v>
      </c>
      <c r="F73" t="s">
        <v>793</v>
      </c>
      <c r="G73">
        <v>90.49</v>
      </c>
      <c r="H73" t="s">
        <v>57</v>
      </c>
      <c r="I73">
        <v>2</v>
      </c>
      <c r="J73">
        <v>17</v>
      </c>
      <c r="K73">
        <v>3</v>
      </c>
      <c r="L73">
        <v>32.14</v>
      </c>
      <c r="M73">
        <v>21740</v>
      </c>
      <c r="N73">
        <v>9</v>
      </c>
      <c r="O73">
        <v>5</v>
      </c>
      <c r="P73">
        <v>5</v>
      </c>
      <c r="Q73">
        <v>5</v>
      </c>
      <c r="R73">
        <v>5</v>
      </c>
      <c r="S73">
        <v>10</v>
      </c>
      <c r="T73">
        <v>10</v>
      </c>
      <c r="U73">
        <v>5</v>
      </c>
      <c r="V73">
        <v>2</v>
      </c>
      <c r="W73">
        <v>5</v>
      </c>
      <c r="X73">
        <v>4</v>
      </c>
      <c r="Y73">
        <v>5</v>
      </c>
      <c r="Z73">
        <v>4</v>
      </c>
      <c r="AA73">
        <v>4</v>
      </c>
      <c r="AB73">
        <v>4</v>
      </c>
      <c r="AC73">
        <v>4</v>
      </c>
      <c r="AD73">
        <v>0</v>
      </c>
      <c r="AE73">
        <v>0</v>
      </c>
      <c r="AF73">
        <v>2</v>
      </c>
      <c r="AG73">
        <v>3</v>
      </c>
      <c r="AH73">
        <v>1</v>
      </c>
      <c r="AI73">
        <v>1</v>
      </c>
      <c r="AJ73">
        <v>4</v>
      </c>
      <c r="AK73">
        <v>0</v>
      </c>
      <c r="AL73">
        <v>1435767.75</v>
      </c>
      <c r="AM73">
        <v>3763912.5</v>
      </c>
      <c r="AN73">
        <v>4596380.5</v>
      </c>
      <c r="AO73">
        <v>4615415</v>
      </c>
      <c r="AP73">
        <v>4556849.5</v>
      </c>
      <c r="AQ73">
        <v>4112560.5</v>
      </c>
      <c r="AR73">
        <v>4037149</v>
      </c>
      <c r="AS73">
        <v>2848896.5</v>
      </c>
      <c r="AT73" s="23" t="s">
        <v>790</v>
      </c>
      <c r="AU73" s="18">
        <v>62900.7</v>
      </c>
      <c r="AV73" s="18">
        <v>2992417</v>
      </c>
      <c r="AW73" s="19">
        <v>3632606.5</v>
      </c>
      <c r="AX73" s="19">
        <v>4211906.5</v>
      </c>
      <c r="AY73" s="20">
        <v>1964221.88</v>
      </c>
      <c r="AZ73" s="20">
        <v>1966598.62</v>
      </c>
      <c r="BA73" s="21">
        <v>2504671.75</v>
      </c>
      <c r="BB73" s="21">
        <v>2467944.75</v>
      </c>
    </row>
    <row r="74" spans="1:54">
      <c r="A74">
        <v>20157</v>
      </c>
      <c r="B74" t="s">
        <v>1181</v>
      </c>
      <c r="C74" t="s">
        <v>1182</v>
      </c>
      <c r="D74" t="s">
        <v>1183</v>
      </c>
      <c r="F74" t="s">
        <v>1184</v>
      </c>
      <c r="G74">
        <v>10.938000000000001</v>
      </c>
      <c r="H74" t="s">
        <v>57</v>
      </c>
      <c r="I74">
        <v>2</v>
      </c>
      <c r="J74">
        <v>3</v>
      </c>
      <c r="K74">
        <v>0</v>
      </c>
      <c r="L74">
        <v>9.35</v>
      </c>
      <c r="M74">
        <v>34031</v>
      </c>
      <c r="N74">
        <v>19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2</v>
      </c>
      <c r="X74">
        <v>3</v>
      </c>
      <c r="Y74">
        <v>3</v>
      </c>
      <c r="Z74">
        <v>2</v>
      </c>
      <c r="AA74">
        <v>2</v>
      </c>
      <c r="AB74">
        <v>2</v>
      </c>
      <c r="AC74">
        <v>3</v>
      </c>
      <c r="AD74">
        <v>0</v>
      </c>
      <c r="AE74">
        <v>0</v>
      </c>
      <c r="AF74">
        <v>1</v>
      </c>
      <c r="AG74">
        <v>2</v>
      </c>
      <c r="AH74">
        <v>0</v>
      </c>
      <c r="AI74">
        <v>0</v>
      </c>
      <c r="AJ74">
        <v>1</v>
      </c>
      <c r="AK74">
        <v>0</v>
      </c>
      <c r="AL74">
        <v>886185.69</v>
      </c>
      <c r="AN74">
        <v>2225963.75</v>
      </c>
      <c r="AO74">
        <v>2200644.5</v>
      </c>
      <c r="AP74">
        <v>1445490</v>
      </c>
      <c r="AQ74">
        <v>1772783.25</v>
      </c>
      <c r="AR74">
        <v>1894085.5</v>
      </c>
      <c r="AS74">
        <v>1998626.25</v>
      </c>
      <c r="AT74" s="23" t="s">
        <v>1182</v>
      </c>
      <c r="AU74" s="18">
        <v>906140.12</v>
      </c>
      <c r="AV74" s="18">
        <v>111774.65</v>
      </c>
      <c r="AW74" s="19">
        <v>1539037.5</v>
      </c>
      <c r="AX74" s="19">
        <v>1774624.75</v>
      </c>
      <c r="AY74" s="20">
        <v>694141.62</v>
      </c>
      <c r="AZ74" s="20">
        <v>1008565.38</v>
      </c>
      <c r="BA74" s="21">
        <v>1339279.8799999999</v>
      </c>
      <c r="BB74" s="21">
        <v>1130687.6200000001</v>
      </c>
    </row>
    <row r="75" spans="1:54">
      <c r="A75">
        <v>20183</v>
      </c>
      <c r="B75" t="s">
        <v>1150</v>
      </c>
      <c r="C75" t="s">
        <v>1151</v>
      </c>
      <c r="D75" t="s">
        <v>1152</v>
      </c>
      <c r="F75" t="s">
        <v>1153</v>
      </c>
      <c r="G75">
        <v>13.205</v>
      </c>
      <c r="H75" t="s">
        <v>57</v>
      </c>
      <c r="I75">
        <v>2</v>
      </c>
      <c r="J75">
        <v>2</v>
      </c>
      <c r="K75">
        <v>0</v>
      </c>
      <c r="L75">
        <v>1.24</v>
      </c>
      <c r="M75">
        <v>89948</v>
      </c>
      <c r="N75">
        <v>49</v>
      </c>
      <c r="O75">
        <v>1</v>
      </c>
      <c r="P75">
        <v>1</v>
      </c>
      <c r="Q75">
        <v>1</v>
      </c>
      <c r="R75">
        <v>1</v>
      </c>
      <c r="S75">
        <v>2</v>
      </c>
      <c r="T75">
        <v>2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627409.93999999994</v>
      </c>
      <c r="AM75">
        <v>741957.56</v>
      </c>
      <c r="AN75">
        <v>1071887.6200000001</v>
      </c>
      <c r="AO75">
        <v>969840.62</v>
      </c>
      <c r="AP75">
        <v>1142192.1200000001</v>
      </c>
      <c r="AQ75">
        <v>1159045</v>
      </c>
      <c r="AR75">
        <v>987308.94</v>
      </c>
      <c r="AS75">
        <v>707837.62</v>
      </c>
      <c r="AT75" s="23" t="s">
        <v>1151</v>
      </c>
      <c r="AU75" s="18">
        <v>627409.93999999994</v>
      </c>
      <c r="AV75" s="18">
        <v>572585.12</v>
      </c>
      <c r="AW75" s="19">
        <v>827605.06</v>
      </c>
      <c r="AX75" s="19">
        <v>862458.44</v>
      </c>
      <c r="AY75" s="20">
        <v>459933.09</v>
      </c>
      <c r="AZ75" s="20">
        <v>498252.66</v>
      </c>
      <c r="BA75" s="21">
        <v>528659.06000000006</v>
      </c>
      <c r="BB75" s="21">
        <v>555564.81000000006</v>
      </c>
    </row>
    <row r="76" spans="1:54">
      <c r="A76">
        <v>20208</v>
      </c>
      <c r="B76" t="s">
        <v>845</v>
      </c>
      <c r="C76" t="s">
        <v>846</v>
      </c>
      <c r="D76" t="s">
        <v>847</v>
      </c>
      <c r="F76" t="s">
        <v>848</v>
      </c>
      <c r="G76">
        <v>76.942999999999998</v>
      </c>
      <c r="H76" t="s">
        <v>57</v>
      </c>
      <c r="I76">
        <v>2</v>
      </c>
      <c r="J76">
        <v>2</v>
      </c>
      <c r="K76">
        <v>0</v>
      </c>
      <c r="L76">
        <v>20.91</v>
      </c>
      <c r="M76">
        <v>11857</v>
      </c>
      <c r="N76">
        <v>2</v>
      </c>
      <c r="O76">
        <v>1</v>
      </c>
      <c r="P76">
        <v>1</v>
      </c>
      <c r="Q76">
        <v>1</v>
      </c>
      <c r="R76">
        <v>1</v>
      </c>
      <c r="S76">
        <v>15</v>
      </c>
      <c r="T76">
        <v>15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1</v>
      </c>
      <c r="AL76">
        <v>5720666.5</v>
      </c>
      <c r="AM76">
        <v>6122517</v>
      </c>
      <c r="AN76">
        <v>4275808.5</v>
      </c>
      <c r="AO76">
        <v>4665169</v>
      </c>
      <c r="AP76">
        <v>7476611.5</v>
      </c>
      <c r="AQ76">
        <v>5056941.5</v>
      </c>
      <c r="AR76">
        <v>1752846.25</v>
      </c>
      <c r="AS76">
        <v>777948.25</v>
      </c>
      <c r="AT76" s="23" t="s">
        <v>846</v>
      </c>
      <c r="AU76" s="18">
        <v>11391555</v>
      </c>
      <c r="AV76" s="18">
        <v>8906462</v>
      </c>
      <c r="AW76" s="19">
        <v>6398274</v>
      </c>
      <c r="AX76" s="19">
        <v>7888979.5</v>
      </c>
      <c r="AY76" s="20">
        <v>5994986.5</v>
      </c>
      <c r="AZ76" s="20">
        <v>4115572.5</v>
      </c>
      <c r="BA76" s="21">
        <v>1464108.12</v>
      </c>
      <c r="BB76" s="21">
        <v>1144833.3799999999</v>
      </c>
    </row>
    <row r="77" spans="1:54">
      <c r="A77">
        <v>20181</v>
      </c>
      <c r="B77" t="s">
        <v>814</v>
      </c>
      <c r="C77" t="s">
        <v>815</v>
      </c>
      <c r="D77" t="s">
        <v>816</v>
      </c>
      <c r="F77" t="s">
        <v>817</v>
      </c>
      <c r="G77">
        <v>86.81</v>
      </c>
      <c r="H77" t="s">
        <v>57</v>
      </c>
      <c r="I77">
        <v>2</v>
      </c>
      <c r="J77">
        <v>2</v>
      </c>
      <c r="K77">
        <v>0</v>
      </c>
      <c r="L77">
        <v>22.22</v>
      </c>
      <c r="M77">
        <v>12042</v>
      </c>
      <c r="N77">
        <v>8</v>
      </c>
      <c r="O77">
        <v>2</v>
      </c>
      <c r="P77">
        <v>2</v>
      </c>
      <c r="Q77">
        <v>2</v>
      </c>
      <c r="R77">
        <v>2</v>
      </c>
      <c r="S77">
        <v>6</v>
      </c>
      <c r="T77">
        <v>6</v>
      </c>
      <c r="U77">
        <v>2</v>
      </c>
      <c r="V77">
        <v>2</v>
      </c>
      <c r="W77">
        <v>2</v>
      </c>
      <c r="X77">
        <v>1</v>
      </c>
      <c r="Y77">
        <v>1</v>
      </c>
      <c r="Z77">
        <v>2</v>
      </c>
      <c r="AA77">
        <v>2</v>
      </c>
      <c r="AB77">
        <v>1</v>
      </c>
      <c r="AD77">
        <v>3</v>
      </c>
      <c r="AE77">
        <v>2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21459528</v>
      </c>
      <c r="AM77">
        <v>7280935.5</v>
      </c>
      <c r="AN77">
        <v>700931.75</v>
      </c>
      <c r="AO77">
        <v>759724.38</v>
      </c>
      <c r="AP77">
        <v>6260752</v>
      </c>
      <c r="AQ77">
        <v>3500292</v>
      </c>
      <c r="AR77">
        <v>408344.59</v>
      </c>
      <c r="AT77" s="23" t="s">
        <v>815</v>
      </c>
      <c r="AU77" s="18">
        <v>15639973</v>
      </c>
      <c r="AV77" s="18">
        <v>4969716</v>
      </c>
      <c r="AW77" s="19">
        <v>148403.70000000001</v>
      </c>
      <c r="AX77" s="19">
        <v>172456.56</v>
      </c>
      <c r="AY77" s="20">
        <v>6158464</v>
      </c>
      <c r="AZ77" s="20">
        <v>3597830</v>
      </c>
      <c r="BA77" s="21">
        <v>167259.09</v>
      </c>
      <c r="BB77" s="21">
        <v>212391.23</v>
      </c>
    </row>
    <row r="78" spans="1:54">
      <c r="A78">
        <v>20205</v>
      </c>
      <c r="B78" t="s">
        <v>1185</v>
      </c>
      <c r="C78" t="s">
        <v>1186</v>
      </c>
      <c r="D78" t="s">
        <v>1187</v>
      </c>
      <c r="F78" t="s">
        <v>1188</v>
      </c>
      <c r="G78">
        <v>10.803000000000001</v>
      </c>
      <c r="H78" t="s">
        <v>57</v>
      </c>
      <c r="I78">
        <v>2</v>
      </c>
      <c r="J78">
        <v>2</v>
      </c>
      <c r="K78">
        <v>0</v>
      </c>
      <c r="L78">
        <v>3.68</v>
      </c>
      <c r="M78">
        <v>20903</v>
      </c>
      <c r="N78">
        <v>5</v>
      </c>
      <c r="O78">
        <v>1</v>
      </c>
      <c r="P78">
        <v>1</v>
      </c>
      <c r="Q78">
        <v>1</v>
      </c>
      <c r="R78">
        <v>1</v>
      </c>
      <c r="S78">
        <v>2</v>
      </c>
      <c r="T78">
        <v>2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2413664.5</v>
      </c>
      <c r="AM78">
        <v>2247997.5</v>
      </c>
      <c r="AN78">
        <v>658396.56000000006</v>
      </c>
      <c r="AO78">
        <v>867108.94</v>
      </c>
      <c r="AP78">
        <v>2048645.62</v>
      </c>
      <c r="AQ78">
        <v>1506542.75</v>
      </c>
      <c r="AS78">
        <v>626678.56000000006</v>
      </c>
      <c r="AT78" s="23" t="s">
        <v>1186</v>
      </c>
      <c r="AU78" s="18">
        <v>2413664.5</v>
      </c>
      <c r="AV78" s="18">
        <v>1734829.62</v>
      </c>
      <c r="AW78" s="19">
        <v>508348.34</v>
      </c>
      <c r="AX78" s="19">
        <v>771101.31</v>
      </c>
      <c r="AY78" s="20">
        <v>824939.94</v>
      </c>
      <c r="AZ78" s="20">
        <v>647635.68999999994</v>
      </c>
      <c r="BA78" s="21">
        <v>199295.7</v>
      </c>
      <c r="BB78" s="21">
        <v>491864.97</v>
      </c>
    </row>
    <row r="79" spans="1:54">
      <c r="A79">
        <v>20018</v>
      </c>
      <c r="B79" t="s">
        <v>1062</v>
      </c>
      <c r="C79" t="s">
        <v>1063</v>
      </c>
      <c r="D79" t="s">
        <v>1064</v>
      </c>
      <c r="F79" t="s">
        <v>1065</v>
      </c>
      <c r="G79">
        <v>23.780999999999999</v>
      </c>
      <c r="H79" t="s">
        <v>57</v>
      </c>
      <c r="I79">
        <v>2</v>
      </c>
      <c r="J79">
        <v>20</v>
      </c>
      <c r="K79">
        <v>0</v>
      </c>
      <c r="L79">
        <v>10.75</v>
      </c>
      <c r="M79">
        <v>31775</v>
      </c>
      <c r="N79">
        <v>15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1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0</v>
      </c>
      <c r="AL79">
        <v>330937.59000000003</v>
      </c>
      <c r="AM79">
        <v>1532633</v>
      </c>
      <c r="AN79">
        <v>1120213.75</v>
      </c>
      <c r="AO79">
        <v>2220348</v>
      </c>
      <c r="AP79">
        <v>2935195.5</v>
      </c>
      <c r="AQ79">
        <v>3447010</v>
      </c>
      <c r="AR79">
        <v>2469771.5</v>
      </c>
      <c r="AS79">
        <v>1642423</v>
      </c>
      <c r="AT79" s="23" t="s">
        <v>1063</v>
      </c>
      <c r="AU79" s="18">
        <v>35632.559999999998</v>
      </c>
      <c r="AV79" s="18">
        <v>1108241</v>
      </c>
      <c r="AW79" s="19">
        <v>556713.93999999994</v>
      </c>
      <c r="AX79" s="19">
        <v>2201858.25</v>
      </c>
      <c r="AY79" s="20">
        <v>1267329.8799999999</v>
      </c>
      <c r="AZ79" s="20">
        <v>1635296.5</v>
      </c>
      <c r="BA79" s="21">
        <v>1468027.5</v>
      </c>
      <c r="BB79" s="21">
        <v>1290646.3799999999</v>
      </c>
    </row>
    <row r="80" spans="1:54">
      <c r="A80">
        <v>19960</v>
      </c>
      <c r="B80" t="s">
        <v>1078</v>
      </c>
      <c r="C80" t="s">
        <v>1079</v>
      </c>
      <c r="D80" t="s">
        <v>1080</v>
      </c>
      <c r="F80" t="s">
        <v>1081</v>
      </c>
      <c r="G80">
        <v>22.634</v>
      </c>
      <c r="H80" t="s">
        <v>57</v>
      </c>
      <c r="I80">
        <v>2</v>
      </c>
      <c r="J80">
        <v>21</v>
      </c>
      <c r="K80">
        <v>0</v>
      </c>
      <c r="L80">
        <v>8.82</v>
      </c>
      <c r="M80">
        <v>11166</v>
      </c>
      <c r="N80">
        <v>5</v>
      </c>
      <c r="O80">
        <v>1</v>
      </c>
      <c r="P80">
        <v>1</v>
      </c>
      <c r="Q80">
        <v>1</v>
      </c>
      <c r="R80">
        <v>1</v>
      </c>
      <c r="S80">
        <v>6</v>
      </c>
      <c r="T80">
        <v>6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3068567</v>
      </c>
      <c r="AM80">
        <v>2995466.5</v>
      </c>
      <c r="AN80">
        <v>3042658.75</v>
      </c>
      <c r="AO80">
        <v>2370238.25</v>
      </c>
      <c r="AP80">
        <v>3671699.75</v>
      </c>
      <c r="AQ80">
        <v>3781466.5</v>
      </c>
      <c r="AR80">
        <v>1855286.25</v>
      </c>
      <c r="AS80">
        <v>1116662.5</v>
      </c>
      <c r="AT80" s="23" t="s">
        <v>1079</v>
      </c>
      <c r="AU80" s="18">
        <v>3068567</v>
      </c>
      <c r="AV80" s="18">
        <v>2311668.25</v>
      </c>
      <c r="AW80" s="19">
        <v>2349238.5</v>
      </c>
      <c r="AX80" s="19">
        <v>2107802</v>
      </c>
      <c r="AY80" s="20">
        <v>1478504.5</v>
      </c>
      <c r="AZ80" s="20">
        <v>1625584.62</v>
      </c>
      <c r="BA80" s="21">
        <v>993421.44</v>
      </c>
      <c r="BB80" s="21">
        <v>876441.62</v>
      </c>
    </row>
    <row r="81" spans="1:54">
      <c r="A81">
        <v>20227</v>
      </c>
      <c r="B81" t="s">
        <v>323</v>
      </c>
      <c r="C81" t="s">
        <v>324</v>
      </c>
      <c r="D81" t="s">
        <v>323</v>
      </c>
      <c r="E81" t="s">
        <v>325</v>
      </c>
      <c r="F81" t="s">
        <v>326</v>
      </c>
      <c r="G81">
        <v>651.91499999999996</v>
      </c>
      <c r="H81" t="s">
        <v>57</v>
      </c>
      <c r="I81">
        <v>2</v>
      </c>
      <c r="J81">
        <v>1</v>
      </c>
      <c r="K81">
        <v>1</v>
      </c>
      <c r="L81">
        <v>46.48</v>
      </c>
      <c r="M81">
        <v>40302</v>
      </c>
      <c r="N81">
        <v>21</v>
      </c>
      <c r="O81">
        <v>14</v>
      </c>
      <c r="P81">
        <v>3</v>
      </c>
      <c r="Q81">
        <v>17</v>
      </c>
      <c r="R81">
        <v>3</v>
      </c>
      <c r="S81">
        <v>265</v>
      </c>
      <c r="T81">
        <v>36</v>
      </c>
      <c r="U81">
        <v>3</v>
      </c>
      <c r="V81">
        <v>2</v>
      </c>
      <c r="W81">
        <v>2</v>
      </c>
      <c r="X81">
        <v>2</v>
      </c>
      <c r="Y81">
        <v>3</v>
      </c>
      <c r="Z81">
        <v>3</v>
      </c>
      <c r="AA81">
        <v>3</v>
      </c>
      <c r="AB81">
        <v>3</v>
      </c>
      <c r="AC81">
        <v>3</v>
      </c>
      <c r="AD81">
        <v>5</v>
      </c>
      <c r="AE81">
        <v>4</v>
      </c>
      <c r="AF81">
        <v>4</v>
      </c>
      <c r="AG81">
        <v>5</v>
      </c>
      <c r="AH81">
        <v>6</v>
      </c>
      <c r="AI81">
        <v>5</v>
      </c>
      <c r="AJ81">
        <v>4</v>
      </c>
      <c r="AK81">
        <v>3</v>
      </c>
      <c r="AL81">
        <v>189628944</v>
      </c>
      <c r="AM81">
        <v>226627072</v>
      </c>
      <c r="AN81">
        <v>374958080</v>
      </c>
      <c r="AO81">
        <v>381343904</v>
      </c>
      <c r="AP81">
        <v>344575104</v>
      </c>
      <c r="AQ81">
        <v>351815232</v>
      </c>
      <c r="AR81">
        <v>432860704</v>
      </c>
      <c r="AS81">
        <v>266753088</v>
      </c>
      <c r="AT81" s="23" t="s">
        <v>324</v>
      </c>
      <c r="AU81" s="18">
        <v>27668910</v>
      </c>
      <c r="AV81" s="18">
        <v>27936132</v>
      </c>
      <c r="AW81" s="19">
        <v>54265564</v>
      </c>
      <c r="AX81" s="19">
        <v>65931208</v>
      </c>
      <c r="AY81" s="20">
        <v>21361900</v>
      </c>
      <c r="AZ81" s="20">
        <v>25272084</v>
      </c>
      <c r="BA81" s="21">
        <v>45634984</v>
      </c>
      <c r="BB81" s="21">
        <v>43472044</v>
      </c>
    </row>
    <row r="82" spans="1:54">
      <c r="A82">
        <v>20228</v>
      </c>
      <c r="B82" t="s">
        <v>372</v>
      </c>
      <c r="C82" t="s">
        <v>324</v>
      </c>
      <c r="D82" t="s">
        <v>372</v>
      </c>
      <c r="F82" t="s">
        <v>373</v>
      </c>
      <c r="G82">
        <v>542.524</v>
      </c>
      <c r="H82" t="s">
        <v>57</v>
      </c>
      <c r="I82">
        <v>2</v>
      </c>
      <c r="J82">
        <v>1</v>
      </c>
      <c r="K82">
        <v>0</v>
      </c>
      <c r="L82">
        <v>40.85</v>
      </c>
      <c r="M82">
        <v>40277</v>
      </c>
      <c r="N82">
        <v>21</v>
      </c>
      <c r="O82">
        <v>13</v>
      </c>
      <c r="P82">
        <v>2</v>
      </c>
      <c r="Q82">
        <v>16</v>
      </c>
      <c r="R82">
        <v>2</v>
      </c>
      <c r="S82">
        <v>242</v>
      </c>
      <c r="T82">
        <v>13</v>
      </c>
      <c r="U82">
        <v>2</v>
      </c>
      <c r="V82">
        <v>1</v>
      </c>
      <c r="W82">
        <v>1</v>
      </c>
      <c r="X82">
        <v>1</v>
      </c>
      <c r="Y82">
        <v>1</v>
      </c>
      <c r="Z82">
        <v>2</v>
      </c>
      <c r="AA82">
        <v>2</v>
      </c>
      <c r="AB82">
        <v>2</v>
      </c>
      <c r="AC82">
        <v>2</v>
      </c>
      <c r="AD82">
        <v>1</v>
      </c>
      <c r="AE82">
        <v>1</v>
      </c>
      <c r="AF82">
        <v>2</v>
      </c>
      <c r="AG82">
        <v>2</v>
      </c>
      <c r="AH82">
        <v>1</v>
      </c>
      <c r="AI82">
        <v>1</v>
      </c>
      <c r="AJ82">
        <v>3</v>
      </c>
      <c r="AK82">
        <v>2</v>
      </c>
      <c r="AL82">
        <v>192935456</v>
      </c>
      <c r="AM82">
        <v>221768960</v>
      </c>
      <c r="AN82">
        <v>366446752</v>
      </c>
      <c r="AO82">
        <v>370738528</v>
      </c>
      <c r="AP82">
        <v>336596992</v>
      </c>
      <c r="AQ82">
        <v>343951616</v>
      </c>
      <c r="AR82">
        <v>427424256</v>
      </c>
      <c r="AS82">
        <v>260765520</v>
      </c>
      <c r="AT82" s="23" t="s">
        <v>324</v>
      </c>
      <c r="AU82" s="18">
        <v>29525620</v>
      </c>
      <c r="AV82" s="18">
        <v>21680704</v>
      </c>
      <c r="AW82" s="19">
        <v>39574688</v>
      </c>
      <c r="AX82" s="19">
        <v>32897502</v>
      </c>
      <c r="AY82" s="20">
        <v>15968349</v>
      </c>
      <c r="AZ82" s="20">
        <v>23164370</v>
      </c>
      <c r="BA82" s="21">
        <v>40996256</v>
      </c>
      <c r="BB82" s="21">
        <v>29821804</v>
      </c>
    </row>
    <row r="83" spans="1:54">
      <c r="A83">
        <v>19982</v>
      </c>
      <c r="B83" t="s">
        <v>210</v>
      </c>
      <c r="C83" t="s">
        <v>211</v>
      </c>
      <c r="D83" t="s">
        <v>212</v>
      </c>
      <c r="E83" t="s">
        <v>213</v>
      </c>
      <c r="F83" t="s">
        <v>214</v>
      </c>
      <c r="G83">
        <v>943.21400000000006</v>
      </c>
      <c r="H83" t="s">
        <v>57</v>
      </c>
      <c r="I83">
        <v>2</v>
      </c>
      <c r="J83">
        <v>18</v>
      </c>
      <c r="K83">
        <v>3</v>
      </c>
      <c r="L83">
        <v>61.56</v>
      </c>
      <c r="M83">
        <v>47028</v>
      </c>
      <c r="N83">
        <v>29</v>
      </c>
      <c r="O83">
        <v>21</v>
      </c>
      <c r="P83">
        <v>21</v>
      </c>
      <c r="Q83">
        <v>22</v>
      </c>
      <c r="R83">
        <v>22</v>
      </c>
      <c r="S83">
        <v>337</v>
      </c>
      <c r="T83">
        <v>337</v>
      </c>
      <c r="U83">
        <v>22</v>
      </c>
      <c r="V83">
        <v>21</v>
      </c>
      <c r="W83">
        <v>22</v>
      </c>
      <c r="X83">
        <v>22</v>
      </c>
      <c r="Y83">
        <v>21</v>
      </c>
      <c r="Z83">
        <v>21</v>
      </c>
      <c r="AA83">
        <v>21</v>
      </c>
      <c r="AB83">
        <v>22</v>
      </c>
      <c r="AC83">
        <v>22</v>
      </c>
      <c r="AD83">
        <v>59</v>
      </c>
      <c r="AE83">
        <v>49</v>
      </c>
      <c r="AF83">
        <v>50</v>
      </c>
      <c r="AG83">
        <v>48</v>
      </c>
      <c r="AH83">
        <v>21</v>
      </c>
      <c r="AI83">
        <v>25</v>
      </c>
      <c r="AJ83">
        <v>41</v>
      </c>
      <c r="AK83">
        <v>44</v>
      </c>
      <c r="AL83">
        <v>320332896</v>
      </c>
      <c r="AM83">
        <v>495805344</v>
      </c>
      <c r="AN83">
        <v>480618368</v>
      </c>
      <c r="AO83">
        <v>458123552</v>
      </c>
      <c r="AP83">
        <v>289863584</v>
      </c>
      <c r="AQ83">
        <v>296777120</v>
      </c>
      <c r="AR83">
        <v>569007296</v>
      </c>
      <c r="AS83">
        <v>350119424</v>
      </c>
      <c r="AT83" s="23" t="s">
        <v>211</v>
      </c>
      <c r="AU83" s="18">
        <v>398838240</v>
      </c>
      <c r="AV83" s="18">
        <v>430730432</v>
      </c>
      <c r="AW83" s="19">
        <v>445143296</v>
      </c>
      <c r="AX83" s="19">
        <v>498067360</v>
      </c>
      <c r="AY83" s="20">
        <v>134790016</v>
      </c>
      <c r="AZ83" s="20">
        <v>146954368</v>
      </c>
      <c r="BA83" s="21">
        <v>367741216</v>
      </c>
      <c r="BB83" s="21">
        <v>335633856</v>
      </c>
    </row>
    <row r="84" spans="1:54">
      <c r="A84">
        <v>20159</v>
      </c>
      <c r="B84" t="s">
        <v>481</v>
      </c>
      <c r="C84" t="s">
        <v>482</v>
      </c>
      <c r="D84" t="s">
        <v>483</v>
      </c>
      <c r="F84" t="s">
        <v>484</v>
      </c>
      <c r="G84">
        <v>327.31200000000001</v>
      </c>
      <c r="H84" t="s">
        <v>57</v>
      </c>
      <c r="I84">
        <v>2</v>
      </c>
      <c r="J84">
        <v>3</v>
      </c>
      <c r="K84">
        <v>0</v>
      </c>
      <c r="L84">
        <v>45.99</v>
      </c>
      <c r="M84">
        <v>15539</v>
      </c>
      <c r="N84">
        <v>11</v>
      </c>
      <c r="O84">
        <v>6</v>
      </c>
      <c r="P84">
        <v>6</v>
      </c>
      <c r="Q84">
        <v>6</v>
      </c>
      <c r="R84">
        <v>6</v>
      </c>
      <c r="S84">
        <v>68</v>
      </c>
      <c r="T84">
        <v>68</v>
      </c>
      <c r="U84">
        <v>6</v>
      </c>
      <c r="V84">
        <v>6</v>
      </c>
      <c r="W84">
        <v>6</v>
      </c>
      <c r="X84">
        <v>6</v>
      </c>
      <c r="Y84">
        <v>6</v>
      </c>
      <c r="Z84">
        <v>6</v>
      </c>
      <c r="AA84">
        <v>6</v>
      </c>
      <c r="AB84">
        <v>5</v>
      </c>
      <c r="AC84">
        <v>5</v>
      </c>
      <c r="AD84">
        <v>13</v>
      </c>
      <c r="AE84">
        <v>11</v>
      </c>
      <c r="AF84">
        <v>9</v>
      </c>
      <c r="AG84">
        <v>10</v>
      </c>
      <c r="AH84">
        <v>11</v>
      </c>
      <c r="AI84">
        <v>10</v>
      </c>
      <c r="AJ84">
        <v>2</v>
      </c>
      <c r="AK84">
        <v>2</v>
      </c>
      <c r="AL84">
        <v>32692664</v>
      </c>
      <c r="AM84">
        <v>38124476</v>
      </c>
      <c r="AN84">
        <v>27546256</v>
      </c>
      <c r="AO84">
        <v>23193028</v>
      </c>
      <c r="AP84">
        <v>47300004</v>
      </c>
      <c r="AQ84">
        <v>45712620</v>
      </c>
      <c r="AR84">
        <v>12678615</v>
      </c>
      <c r="AS84">
        <v>11760939</v>
      </c>
      <c r="AT84" s="23" t="s">
        <v>482</v>
      </c>
      <c r="AU84" s="18">
        <v>41865804</v>
      </c>
      <c r="AV84" s="18">
        <v>34290240</v>
      </c>
      <c r="AW84" s="19">
        <v>22019688</v>
      </c>
      <c r="AX84" s="19">
        <v>22178804</v>
      </c>
      <c r="AY84" s="20">
        <v>19152752</v>
      </c>
      <c r="AZ84" s="20">
        <v>19124070</v>
      </c>
      <c r="BA84" s="21">
        <v>6057964</v>
      </c>
      <c r="BB84" s="21">
        <v>8394233</v>
      </c>
    </row>
    <row r="85" spans="1:54">
      <c r="A85">
        <v>20160</v>
      </c>
      <c r="B85" t="s">
        <v>1135</v>
      </c>
      <c r="C85" t="s">
        <v>1136</v>
      </c>
      <c r="D85" t="s">
        <v>1137</v>
      </c>
      <c r="F85" t="s">
        <v>1138</v>
      </c>
      <c r="G85">
        <v>15.54</v>
      </c>
      <c r="H85" t="s">
        <v>57</v>
      </c>
      <c r="I85">
        <v>2</v>
      </c>
      <c r="J85">
        <v>3</v>
      </c>
      <c r="K85">
        <v>0</v>
      </c>
      <c r="L85">
        <v>16.84</v>
      </c>
      <c r="M85">
        <v>10750</v>
      </c>
      <c r="N85">
        <v>4</v>
      </c>
      <c r="O85">
        <v>2</v>
      </c>
      <c r="P85">
        <v>2</v>
      </c>
      <c r="Q85">
        <v>2</v>
      </c>
      <c r="R85">
        <v>2</v>
      </c>
      <c r="S85">
        <v>4</v>
      </c>
      <c r="T85">
        <v>4</v>
      </c>
      <c r="U85">
        <v>2</v>
      </c>
      <c r="V85">
        <v>1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0</v>
      </c>
      <c r="AE85">
        <v>1</v>
      </c>
      <c r="AF85">
        <v>0</v>
      </c>
      <c r="AG85">
        <v>0</v>
      </c>
      <c r="AH85">
        <v>1</v>
      </c>
      <c r="AI85">
        <v>2</v>
      </c>
      <c r="AJ85">
        <v>0</v>
      </c>
      <c r="AK85">
        <v>0</v>
      </c>
      <c r="AL85">
        <v>1415032.25</v>
      </c>
      <c r="AM85">
        <v>1480877</v>
      </c>
      <c r="AN85">
        <v>974839.31</v>
      </c>
      <c r="AO85">
        <v>1534505.5</v>
      </c>
      <c r="AP85">
        <v>3609320.75</v>
      </c>
      <c r="AQ85">
        <v>4263113</v>
      </c>
      <c r="AR85">
        <v>2095449.38</v>
      </c>
      <c r="AS85">
        <v>1856887</v>
      </c>
      <c r="AT85" s="23" t="s">
        <v>1136</v>
      </c>
      <c r="AU85" s="18">
        <v>35927.279999999999</v>
      </c>
      <c r="AV85" s="18">
        <v>1174976.5</v>
      </c>
      <c r="AW85" s="19">
        <v>862595.88</v>
      </c>
      <c r="AX85" s="19">
        <v>1587051.25</v>
      </c>
      <c r="AY85" s="20">
        <v>1564740.5</v>
      </c>
      <c r="AZ85" s="20">
        <v>2017752.62</v>
      </c>
      <c r="BA85" s="21">
        <v>1333672.25</v>
      </c>
      <c r="BB85" s="21">
        <v>1790202.8799999999</v>
      </c>
    </row>
    <row r="86" spans="1:54">
      <c r="A86">
        <v>19998</v>
      </c>
      <c r="B86" t="s">
        <v>737</v>
      </c>
      <c r="C86" t="s">
        <v>738</v>
      </c>
      <c r="D86" t="s">
        <v>739</v>
      </c>
      <c r="F86" t="s">
        <v>740</v>
      </c>
      <c r="G86">
        <v>115.9</v>
      </c>
      <c r="H86" t="s">
        <v>57</v>
      </c>
      <c r="I86">
        <v>2</v>
      </c>
      <c r="J86">
        <v>13</v>
      </c>
      <c r="K86">
        <v>0</v>
      </c>
      <c r="L86">
        <v>31.85</v>
      </c>
      <c r="M86">
        <v>32534</v>
      </c>
      <c r="N86">
        <v>14</v>
      </c>
      <c r="O86">
        <v>6</v>
      </c>
      <c r="P86">
        <v>6</v>
      </c>
      <c r="Q86">
        <v>6</v>
      </c>
      <c r="R86">
        <v>6</v>
      </c>
      <c r="S86">
        <v>29</v>
      </c>
      <c r="T86">
        <v>29</v>
      </c>
      <c r="U86">
        <v>6</v>
      </c>
      <c r="V86">
        <v>5</v>
      </c>
      <c r="W86">
        <v>5</v>
      </c>
      <c r="X86">
        <v>6</v>
      </c>
      <c r="Y86">
        <v>6</v>
      </c>
      <c r="Z86">
        <v>5</v>
      </c>
      <c r="AA86">
        <v>5</v>
      </c>
      <c r="AB86">
        <v>6</v>
      </c>
      <c r="AC86">
        <v>6</v>
      </c>
      <c r="AD86">
        <v>4</v>
      </c>
      <c r="AE86">
        <v>3</v>
      </c>
      <c r="AF86">
        <v>4</v>
      </c>
      <c r="AG86">
        <v>5</v>
      </c>
      <c r="AH86">
        <v>4</v>
      </c>
      <c r="AI86">
        <v>3</v>
      </c>
      <c r="AJ86">
        <v>4</v>
      </c>
      <c r="AK86">
        <v>2</v>
      </c>
      <c r="AL86">
        <v>9256676</v>
      </c>
      <c r="AM86">
        <v>7017981</v>
      </c>
      <c r="AN86">
        <v>18480936</v>
      </c>
      <c r="AO86">
        <v>17722474</v>
      </c>
      <c r="AP86">
        <v>14276993</v>
      </c>
      <c r="AQ86">
        <v>14539700</v>
      </c>
      <c r="AR86">
        <v>13494858</v>
      </c>
      <c r="AS86">
        <v>10086481</v>
      </c>
      <c r="AT86" s="23" t="s">
        <v>738</v>
      </c>
      <c r="AU86" s="18">
        <v>9565713</v>
      </c>
      <c r="AV86" s="18">
        <v>5811108</v>
      </c>
      <c r="AW86" s="19">
        <v>13791550</v>
      </c>
      <c r="AX86" s="19">
        <v>15187274</v>
      </c>
      <c r="AY86" s="20">
        <v>5893773</v>
      </c>
      <c r="AZ86" s="20">
        <v>6310993.5</v>
      </c>
      <c r="BA86" s="21">
        <v>7175413</v>
      </c>
      <c r="BB86" s="21">
        <v>8115458.5</v>
      </c>
    </row>
    <row r="87" spans="1:54">
      <c r="A87">
        <v>20067</v>
      </c>
      <c r="B87" t="s">
        <v>578</v>
      </c>
      <c r="C87" t="s">
        <v>579</v>
      </c>
      <c r="D87" t="s">
        <v>580</v>
      </c>
      <c r="E87" t="s">
        <v>581</v>
      </c>
      <c r="F87" t="s">
        <v>582</v>
      </c>
      <c r="G87">
        <v>242.535</v>
      </c>
      <c r="H87" t="s">
        <v>57</v>
      </c>
      <c r="I87">
        <v>2</v>
      </c>
      <c r="J87">
        <v>21</v>
      </c>
      <c r="K87">
        <v>2</v>
      </c>
      <c r="L87">
        <v>59.09</v>
      </c>
      <c r="M87">
        <v>19092</v>
      </c>
      <c r="N87">
        <v>7</v>
      </c>
      <c r="O87">
        <v>5</v>
      </c>
      <c r="P87">
        <v>5</v>
      </c>
      <c r="Q87">
        <v>5</v>
      </c>
      <c r="R87">
        <v>5</v>
      </c>
      <c r="S87">
        <v>37</v>
      </c>
      <c r="T87">
        <v>37</v>
      </c>
      <c r="U87">
        <v>5</v>
      </c>
      <c r="V87">
        <v>3</v>
      </c>
      <c r="W87">
        <v>4</v>
      </c>
      <c r="X87">
        <v>4</v>
      </c>
      <c r="Y87">
        <v>5</v>
      </c>
      <c r="Z87">
        <v>5</v>
      </c>
      <c r="AA87">
        <v>5</v>
      </c>
      <c r="AB87">
        <v>5</v>
      </c>
      <c r="AC87">
        <v>5</v>
      </c>
      <c r="AD87">
        <v>4</v>
      </c>
      <c r="AE87">
        <v>3</v>
      </c>
      <c r="AF87">
        <v>4</v>
      </c>
      <c r="AG87">
        <v>5</v>
      </c>
      <c r="AH87">
        <v>3</v>
      </c>
      <c r="AI87">
        <v>4</v>
      </c>
      <c r="AJ87">
        <v>9</v>
      </c>
      <c r="AK87">
        <v>5</v>
      </c>
      <c r="AL87">
        <v>23820868</v>
      </c>
      <c r="AM87">
        <v>18634394</v>
      </c>
      <c r="AN87">
        <v>44510240</v>
      </c>
      <c r="AO87">
        <v>43727596</v>
      </c>
      <c r="AP87">
        <v>64076976</v>
      </c>
      <c r="AQ87">
        <v>15167694</v>
      </c>
      <c r="AR87">
        <v>65856228</v>
      </c>
      <c r="AS87">
        <v>31209066</v>
      </c>
      <c r="AT87" s="23" t="s">
        <v>579</v>
      </c>
      <c r="AU87" s="18">
        <v>13655164</v>
      </c>
      <c r="AV87" s="18">
        <v>13828540</v>
      </c>
      <c r="AW87" s="19">
        <v>27201392</v>
      </c>
      <c r="AX87" s="19">
        <v>41502352</v>
      </c>
      <c r="AY87" s="20">
        <v>19134988</v>
      </c>
      <c r="AZ87" s="20">
        <v>21490928</v>
      </c>
      <c r="BA87" s="21">
        <v>38225148</v>
      </c>
      <c r="BB87" s="21">
        <v>36910800</v>
      </c>
    </row>
    <row r="88" spans="1:54">
      <c r="A88">
        <v>20029</v>
      </c>
      <c r="B88" t="s">
        <v>917</v>
      </c>
      <c r="C88" t="s">
        <v>918</v>
      </c>
      <c r="D88" t="s">
        <v>919</v>
      </c>
      <c r="F88" t="s">
        <v>920</v>
      </c>
      <c r="G88">
        <v>48.137999999999998</v>
      </c>
      <c r="H88" t="s">
        <v>57</v>
      </c>
      <c r="I88">
        <v>2</v>
      </c>
      <c r="J88">
        <v>9</v>
      </c>
      <c r="K88">
        <v>0</v>
      </c>
      <c r="L88">
        <v>5.45</v>
      </c>
      <c r="M88">
        <v>71447</v>
      </c>
      <c r="N88">
        <v>40</v>
      </c>
      <c r="O88">
        <v>3</v>
      </c>
      <c r="P88">
        <v>3</v>
      </c>
      <c r="Q88">
        <v>3</v>
      </c>
      <c r="R88">
        <v>3</v>
      </c>
      <c r="S88">
        <v>4</v>
      </c>
      <c r="T88">
        <v>4</v>
      </c>
      <c r="U88">
        <v>3</v>
      </c>
      <c r="V88">
        <v>1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0</v>
      </c>
      <c r="AE88">
        <v>0</v>
      </c>
      <c r="AF88">
        <v>1</v>
      </c>
      <c r="AG88">
        <v>0</v>
      </c>
      <c r="AH88">
        <v>3</v>
      </c>
      <c r="AI88">
        <v>1</v>
      </c>
      <c r="AJ88">
        <v>0</v>
      </c>
      <c r="AK88">
        <v>0</v>
      </c>
      <c r="AL88">
        <v>261052.42</v>
      </c>
      <c r="AM88">
        <v>1815045.88</v>
      </c>
      <c r="AN88">
        <v>1727172.38</v>
      </c>
      <c r="AO88">
        <v>1486532.5</v>
      </c>
      <c r="AP88">
        <v>2794615.5</v>
      </c>
      <c r="AQ88">
        <v>2065562.25</v>
      </c>
      <c r="AR88">
        <v>1121675.3799999999</v>
      </c>
      <c r="AS88">
        <v>1036467.19</v>
      </c>
      <c r="AT88" s="23" t="s">
        <v>918</v>
      </c>
      <c r="AU88" s="18">
        <v>25218.98</v>
      </c>
      <c r="AV88" s="18">
        <v>1368883</v>
      </c>
      <c r="AW88" s="19">
        <v>1427087</v>
      </c>
      <c r="AX88" s="19">
        <v>1360762.5</v>
      </c>
      <c r="AY88" s="20">
        <v>1079541.1200000001</v>
      </c>
      <c r="AZ88" s="20">
        <v>918342.25</v>
      </c>
      <c r="BA88" s="21">
        <v>653178.12</v>
      </c>
      <c r="BB88" s="21">
        <v>894373.44</v>
      </c>
    </row>
    <row r="89" spans="1:54">
      <c r="A89">
        <v>20178</v>
      </c>
      <c r="B89" t="s">
        <v>1004</v>
      </c>
      <c r="C89" t="s">
        <v>1005</v>
      </c>
      <c r="D89" t="s">
        <v>1006</v>
      </c>
      <c r="F89" t="s">
        <v>1007</v>
      </c>
      <c r="G89">
        <v>29.047000000000001</v>
      </c>
      <c r="H89" t="s">
        <v>57</v>
      </c>
      <c r="I89">
        <v>2</v>
      </c>
      <c r="J89">
        <v>4</v>
      </c>
      <c r="K89">
        <v>0</v>
      </c>
      <c r="L89">
        <v>11.11</v>
      </c>
      <c r="M89">
        <v>9534</v>
      </c>
      <c r="N89">
        <v>5</v>
      </c>
      <c r="O89">
        <v>1</v>
      </c>
      <c r="P89">
        <v>1</v>
      </c>
      <c r="Q89">
        <v>1</v>
      </c>
      <c r="R89">
        <v>1</v>
      </c>
      <c r="S89">
        <v>5</v>
      </c>
      <c r="T89">
        <v>5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1</v>
      </c>
      <c r="AK89">
        <v>1</v>
      </c>
      <c r="AL89">
        <v>13407456</v>
      </c>
      <c r="AM89">
        <v>15031639</v>
      </c>
      <c r="AN89">
        <v>12370920</v>
      </c>
      <c r="AO89">
        <v>11764259</v>
      </c>
      <c r="AP89">
        <v>11511207</v>
      </c>
      <c r="AQ89">
        <v>12702113</v>
      </c>
      <c r="AR89">
        <v>5609386.5</v>
      </c>
      <c r="AS89">
        <v>5052131</v>
      </c>
      <c r="AT89" s="23" t="s">
        <v>1005</v>
      </c>
      <c r="AU89" s="18">
        <v>13407456</v>
      </c>
      <c r="AV89" s="18">
        <v>11600250</v>
      </c>
      <c r="AW89" s="19">
        <v>9551594</v>
      </c>
      <c r="AX89" s="19">
        <v>10461703</v>
      </c>
      <c r="AY89" s="20">
        <v>4635284</v>
      </c>
      <c r="AZ89" s="20">
        <v>5460411</v>
      </c>
      <c r="BA89" s="21">
        <v>3003571.5</v>
      </c>
      <c r="BB89" s="21">
        <v>3965296.5</v>
      </c>
    </row>
    <row r="90" spans="1:54">
      <c r="A90">
        <v>20129</v>
      </c>
      <c r="B90" t="s">
        <v>681</v>
      </c>
      <c r="C90" t="s">
        <v>682</v>
      </c>
      <c r="D90" t="s">
        <v>683</v>
      </c>
      <c r="F90" t="s">
        <v>684</v>
      </c>
      <c r="G90">
        <v>141.70099999999999</v>
      </c>
      <c r="H90" t="s">
        <v>57</v>
      </c>
      <c r="I90">
        <v>2</v>
      </c>
      <c r="J90">
        <v>3</v>
      </c>
      <c r="K90">
        <v>0</v>
      </c>
      <c r="L90">
        <v>52.22</v>
      </c>
      <c r="M90">
        <v>9225</v>
      </c>
      <c r="N90">
        <v>6</v>
      </c>
      <c r="O90">
        <v>4</v>
      </c>
      <c r="P90">
        <v>4</v>
      </c>
      <c r="Q90">
        <v>4</v>
      </c>
      <c r="R90">
        <v>4</v>
      </c>
      <c r="S90">
        <v>45</v>
      </c>
      <c r="T90">
        <v>45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3</v>
      </c>
      <c r="AD90">
        <v>7</v>
      </c>
      <c r="AE90">
        <v>5</v>
      </c>
      <c r="AF90">
        <v>7</v>
      </c>
      <c r="AG90">
        <v>5</v>
      </c>
      <c r="AH90">
        <v>7</v>
      </c>
      <c r="AI90">
        <v>8</v>
      </c>
      <c r="AJ90">
        <v>3</v>
      </c>
      <c r="AK90">
        <v>3</v>
      </c>
      <c r="AL90">
        <v>98056592</v>
      </c>
      <c r="AM90">
        <v>73793272</v>
      </c>
      <c r="AN90">
        <v>57244700</v>
      </c>
      <c r="AO90">
        <v>54564072</v>
      </c>
      <c r="AP90">
        <v>97946096</v>
      </c>
      <c r="AQ90">
        <v>86847344</v>
      </c>
      <c r="AR90">
        <v>22298494</v>
      </c>
      <c r="AS90">
        <v>12068183</v>
      </c>
      <c r="AT90" s="23" t="s">
        <v>682</v>
      </c>
      <c r="AU90" s="18">
        <v>63302488</v>
      </c>
      <c r="AV90" s="18">
        <v>59636896</v>
      </c>
      <c r="AW90" s="19">
        <v>51624708</v>
      </c>
      <c r="AX90" s="19">
        <v>55988732</v>
      </c>
      <c r="AY90" s="20">
        <v>44947324</v>
      </c>
      <c r="AZ90" s="20">
        <v>44881416</v>
      </c>
      <c r="BA90" s="21">
        <v>15296147</v>
      </c>
      <c r="BB90" s="21">
        <v>17247910</v>
      </c>
    </row>
    <row r="91" spans="1:54">
      <c r="A91">
        <v>20099</v>
      </c>
      <c r="B91" t="s">
        <v>1116</v>
      </c>
      <c r="C91" t="s">
        <v>1117</v>
      </c>
      <c r="D91" t="s">
        <v>1118</v>
      </c>
      <c r="F91" t="s">
        <v>1119</v>
      </c>
      <c r="G91">
        <v>17.581</v>
      </c>
      <c r="H91" t="s">
        <v>57</v>
      </c>
      <c r="I91">
        <v>2</v>
      </c>
      <c r="J91">
        <v>20</v>
      </c>
      <c r="K91">
        <v>0</v>
      </c>
      <c r="L91">
        <v>6.57</v>
      </c>
      <c r="M91">
        <v>15773</v>
      </c>
      <c r="N91">
        <v>9</v>
      </c>
      <c r="O91">
        <v>1</v>
      </c>
      <c r="P91">
        <v>1</v>
      </c>
      <c r="Q91">
        <v>1</v>
      </c>
      <c r="R91">
        <v>1</v>
      </c>
      <c r="S91">
        <v>2</v>
      </c>
      <c r="T91">
        <v>2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1</v>
      </c>
      <c r="AL91">
        <v>3803740.25</v>
      </c>
      <c r="AM91">
        <v>3817308.5</v>
      </c>
      <c r="AN91">
        <v>3357554.5</v>
      </c>
      <c r="AO91">
        <v>2933226.75</v>
      </c>
      <c r="AP91">
        <v>2310622.5</v>
      </c>
      <c r="AQ91">
        <v>2061892.5</v>
      </c>
      <c r="AR91">
        <v>1737712.38</v>
      </c>
      <c r="AS91">
        <v>1393117.12</v>
      </c>
      <c r="AT91" s="23" t="s">
        <v>1117</v>
      </c>
      <c r="AU91" s="18">
        <v>3803740.25</v>
      </c>
      <c r="AV91" s="18">
        <v>2945902</v>
      </c>
      <c r="AW91" s="19">
        <v>2592369.75</v>
      </c>
      <c r="AX91" s="19">
        <v>2608455.5</v>
      </c>
      <c r="AY91" s="20">
        <v>930431.69</v>
      </c>
      <c r="AZ91" s="20">
        <v>886370.69</v>
      </c>
      <c r="BA91" s="21">
        <v>930466.06</v>
      </c>
      <c r="BB91" s="21">
        <v>1093424.1200000001</v>
      </c>
    </row>
    <row r="92" spans="1:54">
      <c r="A92">
        <v>20108</v>
      </c>
      <c r="B92" t="s">
        <v>1094</v>
      </c>
      <c r="C92" t="s">
        <v>1095</v>
      </c>
      <c r="D92" t="s">
        <v>1096</v>
      </c>
      <c r="F92" t="s">
        <v>1097</v>
      </c>
      <c r="G92">
        <v>20.366</v>
      </c>
      <c r="H92" t="s">
        <v>57</v>
      </c>
      <c r="I92">
        <v>2</v>
      </c>
      <c r="J92">
        <v>18</v>
      </c>
      <c r="K92">
        <v>0</v>
      </c>
      <c r="L92">
        <v>7.75</v>
      </c>
      <c r="M92">
        <v>16093</v>
      </c>
      <c r="N92">
        <v>9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1054071.75</v>
      </c>
      <c r="AM92">
        <v>1807829.62</v>
      </c>
      <c r="AN92">
        <v>1043451.88</v>
      </c>
      <c r="AO92">
        <v>793438.19</v>
      </c>
      <c r="AP92">
        <v>1081777.1200000001</v>
      </c>
      <c r="AQ92">
        <v>944541.06</v>
      </c>
      <c r="AT92" s="23" t="s">
        <v>1095</v>
      </c>
      <c r="AU92" s="18">
        <v>1054071.75</v>
      </c>
      <c r="AV92" s="18">
        <v>1395142.38</v>
      </c>
      <c r="AW92" s="19">
        <v>805649.75</v>
      </c>
      <c r="AX92" s="19">
        <v>705587.5</v>
      </c>
      <c r="AY92" s="20">
        <v>435605.44</v>
      </c>
      <c r="AZ92" s="20">
        <v>406041.28</v>
      </c>
      <c r="BA92" s="21">
        <v>199295.7</v>
      </c>
      <c r="BB92" s="21">
        <v>212391.23</v>
      </c>
    </row>
    <row r="93" spans="1:54">
      <c r="A93">
        <v>20192</v>
      </c>
      <c r="B93" t="s">
        <v>643</v>
      </c>
      <c r="C93" t="s">
        <v>644</v>
      </c>
      <c r="D93" t="s">
        <v>643</v>
      </c>
      <c r="F93" t="s">
        <v>645</v>
      </c>
      <c r="G93">
        <v>165.947</v>
      </c>
      <c r="H93" t="s">
        <v>57</v>
      </c>
      <c r="I93">
        <v>2</v>
      </c>
      <c r="J93">
        <v>1</v>
      </c>
      <c r="K93">
        <v>0</v>
      </c>
      <c r="L93">
        <v>28.1</v>
      </c>
      <c r="M93">
        <v>29738</v>
      </c>
      <c r="N93">
        <v>16</v>
      </c>
      <c r="O93">
        <v>6</v>
      </c>
      <c r="P93">
        <v>6</v>
      </c>
      <c r="Q93">
        <v>6</v>
      </c>
      <c r="R93">
        <v>6</v>
      </c>
      <c r="S93">
        <v>15</v>
      </c>
      <c r="T93">
        <v>15</v>
      </c>
      <c r="U93">
        <v>6</v>
      </c>
      <c r="V93">
        <v>5</v>
      </c>
      <c r="W93">
        <v>5</v>
      </c>
      <c r="X93">
        <v>6</v>
      </c>
      <c r="Y93">
        <v>6</v>
      </c>
      <c r="Z93">
        <v>5</v>
      </c>
      <c r="AA93">
        <v>5</v>
      </c>
      <c r="AB93">
        <v>5</v>
      </c>
      <c r="AC93">
        <v>5</v>
      </c>
      <c r="AD93">
        <v>0</v>
      </c>
      <c r="AE93">
        <v>0</v>
      </c>
      <c r="AF93">
        <v>3</v>
      </c>
      <c r="AG93">
        <v>3</v>
      </c>
      <c r="AH93">
        <v>1</v>
      </c>
      <c r="AI93">
        <v>3</v>
      </c>
      <c r="AJ93">
        <v>5</v>
      </c>
      <c r="AK93">
        <v>0</v>
      </c>
      <c r="AL93">
        <v>5388048</v>
      </c>
      <c r="AM93">
        <v>4576044.5</v>
      </c>
      <c r="AN93">
        <v>7471963</v>
      </c>
      <c r="AO93">
        <v>7787006</v>
      </c>
      <c r="AP93">
        <v>8724236</v>
      </c>
      <c r="AQ93">
        <v>10172344</v>
      </c>
      <c r="AR93">
        <v>10595262</v>
      </c>
      <c r="AS93">
        <v>6317809.5</v>
      </c>
      <c r="AT93" s="23" t="s">
        <v>644</v>
      </c>
      <c r="AU93" s="18">
        <v>5256465</v>
      </c>
      <c r="AV93" s="18">
        <v>3632824.25</v>
      </c>
      <c r="AW93" s="19">
        <v>6661357</v>
      </c>
      <c r="AX93" s="19">
        <v>6913615.5</v>
      </c>
      <c r="AY93" s="20">
        <v>3140767.75</v>
      </c>
      <c r="AZ93" s="20">
        <v>4004435</v>
      </c>
      <c r="BA93" s="21">
        <v>5553344.5</v>
      </c>
      <c r="BB93" s="21">
        <v>5083654</v>
      </c>
    </row>
    <row r="94" spans="1:54">
      <c r="A94">
        <v>20028</v>
      </c>
      <c r="B94" t="s">
        <v>1356</v>
      </c>
      <c r="C94" t="s">
        <v>1357</v>
      </c>
      <c r="D94" t="s">
        <v>1356</v>
      </c>
      <c r="F94" t="s">
        <v>1358</v>
      </c>
      <c r="G94">
        <v>0</v>
      </c>
      <c r="H94" t="s">
        <v>57</v>
      </c>
      <c r="I94">
        <v>2</v>
      </c>
      <c r="J94">
        <v>1</v>
      </c>
      <c r="K94">
        <v>0</v>
      </c>
      <c r="L94">
        <v>6.71</v>
      </c>
      <c r="M94">
        <v>37146</v>
      </c>
      <c r="N94">
        <v>17</v>
      </c>
      <c r="O94">
        <v>1</v>
      </c>
      <c r="P94">
        <v>1</v>
      </c>
      <c r="Q94">
        <v>3</v>
      </c>
      <c r="R94">
        <v>3</v>
      </c>
      <c r="S94">
        <v>3</v>
      </c>
      <c r="T94">
        <v>3</v>
      </c>
      <c r="U94">
        <v>3</v>
      </c>
      <c r="Y94">
        <v>3</v>
      </c>
      <c r="AA94">
        <v>3</v>
      </c>
      <c r="AB94">
        <v>3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</v>
      </c>
      <c r="AO94">
        <v>1339978.5</v>
      </c>
      <c r="AQ94">
        <v>3040729</v>
      </c>
      <c r="AR94">
        <v>7317952.5</v>
      </c>
      <c r="AS94">
        <v>9268727</v>
      </c>
      <c r="AT94" s="23" t="s">
        <v>1357</v>
      </c>
      <c r="AU94" s="18">
        <v>49505.43</v>
      </c>
      <c r="AV94" s="18">
        <v>111774.65</v>
      </c>
      <c r="AW94" s="19">
        <v>213953.23</v>
      </c>
      <c r="AX94" s="19">
        <v>1191614.1200000001</v>
      </c>
      <c r="AY94" s="20">
        <v>350962.88</v>
      </c>
      <c r="AZ94" s="20">
        <v>1307155</v>
      </c>
      <c r="BA94" s="21">
        <v>3918431</v>
      </c>
      <c r="BB94" s="21">
        <v>7274802</v>
      </c>
    </row>
    <row r="95" spans="1:54">
      <c r="A95">
        <v>19964</v>
      </c>
      <c r="B95" t="s">
        <v>963</v>
      </c>
      <c r="C95" t="s">
        <v>964</v>
      </c>
      <c r="D95" t="s">
        <v>965</v>
      </c>
      <c r="F95" t="s">
        <v>966</v>
      </c>
      <c r="G95">
        <v>39.292999999999999</v>
      </c>
      <c r="H95" t="s">
        <v>57</v>
      </c>
      <c r="I95">
        <v>2</v>
      </c>
      <c r="J95">
        <v>20</v>
      </c>
      <c r="K95">
        <v>0</v>
      </c>
      <c r="L95">
        <v>11.7</v>
      </c>
      <c r="M95">
        <v>10651</v>
      </c>
      <c r="N95">
        <v>7</v>
      </c>
      <c r="O95">
        <v>1</v>
      </c>
      <c r="P95">
        <v>1</v>
      </c>
      <c r="Q95">
        <v>1</v>
      </c>
      <c r="R95">
        <v>1</v>
      </c>
      <c r="S95">
        <v>6</v>
      </c>
      <c r="T95">
        <v>6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3</v>
      </c>
      <c r="AI95">
        <v>1</v>
      </c>
      <c r="AJ95">
        <v>0</v>
      </c>
      <c r="AK95">
        <v>1</v>
      </c>
      <c r="AL95">
        <v>2128459.5</v>
      </c>
      <c r="AM95">
        <v>3793122.75</v>
      </c>
      <c r="AN95">
        <v>1853220</v>
      </c>
      <c r="AO95">
        <v>2238798.75</v>
      </c>
      <c r="AP95">
        <v>6951765.5</v>
      </c>
      <c r="AQ95">
        <v>5162078</v>
      </c>
      <c r="AR95">
        <v>858621.62</v>
      </c>
      <c r="AS95">
        <v>622064.62</v>
      </c>
      <c r="AT95" s="23" t="s">
        <v>964</v>
      </c>
      <c r="AU95" s="18">
        <v>2993253.5</v>
      </c>
      <c r="AV95" s="18">
        <v>4020255.5</v>
      </c>
      <c r="AW95" s="19">
        <v>1628845</v>
      </c>
      <c r="AX95" s="19">
        <v>2428232.75</v>
      </c>
      <c r="AY95" s="20">
        <v>3479522.5</v>
      </c>
      <c r="AZ95" s="20">
        <v>2802196.25</v>
      </c>
      <c r="BA95" s="21">
        <v>563623.18999999994</v>
      </c>
      <c r="BB95" s="21">
        <v>315548</v>
      </c>
    </row>
    <row r="96" spans="1:54">
      <c r="A96">
        <v>20017</v>
      </c>
      <c r="B96" t="s">
        <v>166</v>
      </c>
      <c r="C96" t="s">
        <v>167</v>
      </c>
      <c r="D96" t="s">
        <v>168</v>
      </c>
      <c r="E96" t="s">
        <v>169</v>
      </c>
      <c r="F96" t="s">
        <v>170</v>
      </c>
      <c r="G96">
        <v>1186.0219999999999</v>
      </c>
      <c r="H96" t="s">
        <v>57</v>
      </c>
      <c r="I96">
        <v>2</v>
      </c>
      <c r="J96">
        <v>6</v>
      </c>
      <c r="K96">
        <v>14</v>
      </c>
      <c r="L96">
        <v>43.6</v>
      </c>
      <c r="M96">
        <v>104295</v>
      </c>
      <c r="N96">
        <v>58</v>
      </c>
      <c r="O96">
        <v>33</v>
      </c>
      <c r="P96">
        <v>2</v>
      </c>
      <c r="Q96">
        <v>33</v>
      </c>
      <c r="R96">
        <v>2</v>
      </c>
      <c r="S96">
        <v>231</v>
      </c>
      <c r="T96">
        <v>12</v>
      </c>
      <c r="U96">
        <v>2</v>
      </c>
      <c r="V96">
        <v>1</v>
      </c>
      <c r="W96">
        <v>2</v>
      </c>
      <c r="X96">
        <v>2</v>
      </c>
      <c r="Y96">
        <v>2</v>
      </c>
      <c r="Z96">
        <v>1</v>
      </c>
      <c r="AA96">
        <v>1</v>
      </c>
      <c r="AB96">
        <v>2</v>
      </c>
      <c r="AC96">
        <v>2</v>
      </c>
      <c r="AD96">
        <v>1</v>
      </c>
      <c r="AE96">
        <v>2</v>
      </c>
      <c r="AF96">
        <v>2</v>
      </c>
      <c r="AG96">
        <v>2</v>
      </c>
      <c r="AH96">
        <v>1</v>
      </c>
      <c r="AI96">
        <v>1</v>
      </c>
      <c r="AJ96">
        <v>2</v>
      </c>
      <c r="AK96">
        <v>1</v>
      </c>
      <c r="AL96">
        <v>224656928</v>
      </c>
      <c r="AM96">
        <v>230567984</v>
      </c>
      <c r="AN96">
        <v>240408400</v>
      </c>
      <c r="AO96">
        <v>203085872</v>
      </c>
      <c r="AP96">
        <v>118192952</v>
      </c>
      <c r="AQ96">
        <v>129978560</v>
      </c>
      <c r="AR96">
        <v>269509920</v>
      </c>
      <c r="AS96">
        <v>179848864</v>
      </c>
      <c r="AT96" s="23" t="s">
        <v>167</v>
      </c>
      <c r="AU96" s="18">
        <v>291714.28000000003</v>
      </c>
      <c r="AV96" s="18">
        <v>4103744.25</v>
      </c>
      <c r="AW96" s="19">
        <v>4878631.5</v>
      </c>
      <c r="AX96" s="19">
        <v>4610242.5</v>
      </c>
      <c r="AY96" s="20">
        <v>220408.45</v>
      </c>
      <c r="AZ96" s="20">
        <v>241917.09</v>
      </c>
      <c r="BA96" s="21">
        <v>8063389.5</v>
      </c>
      <c r="BB96" s="21">
        <v>14950107</v>
      </c>
    </row>
    <row r="97" spans="1:54">
      <c r="A97">
        <v>20016</v>
      </c>
      <c r="B97" t="s">
        <v>171</v>
      </c>
      <c r="C97" t="s">
        <v>167</v>
      </c>
      <c r="D97" t="s">
        <v>171</v>
      </c>
      <c r="F97" t="s">
        <v>172</v>
      </c>
      <c r="G97">
        <v>1170.5219999999999</v>
      </c>
      <c r="H97" t="s">
        <v>57</v>
      </c>
      <c r="I97">
        <v>2</v>
      </c>
      <c r="J97">
        <v>1</v>
      </c>
      <c r="K97">
        <v>0</v>
      </c>
      <c r="L97">
        <v>41.47</v>
      </c>
      <c r="M97">
        <v>104263</v>
      </c>
      <c r="N97">
        <v>58</v>
      </c>
      <c r="O97">
        <v>32</v>
      </c>
      <c r="P97">
        <v>1</v>
      </c>
      <c r="Q97">
        <v>32</v>
      </c>
      <c r="R97">
        <v>1</v>
      </c>
      <c r="S97">
        <v>230</v>
      </c>
      <c r="T97">
        <v>11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2</v>
      </c>
      <c r="AF97">
        <v>1</v>
      </c>
      <c r="AG97">
        <v>2</v>
      </c>
      <c r="AH97">
        <v>1</v>
      </c>
      <c r="AI97">
        <v>1</v>
      </c>
      <c r="AJ97">
        <v>2</v>
      </c>
      <c r="AK97">
        <v>1</v>
      </c>
      <c r="AL97">
        <v>224656928</v>
      </c>
      <c r="AM97">
        <v>229979136</v>
      </c>
      <c r="AN97">
        <v>239656160</v>
      </c>
      <c r="AO97">
        <v>202522592</v>
      </c>
      <c r="AP97">
        <v>118192944</v>
      </c>
      <c r="AQ97">
        <v>129978560</v>
      </c>
      <c r="AR97">
        <v>268823744</v>
      </c>
      <c r="AS97">
        <v>178756800</v>
      </c>
      <c r="AT97" s="23" t="s">
        <v>167</v>
      </c>
      <c r="AU97" s="18">
        <v>7415340.5</v>
      </c>
      <c r="AV97" s="18">
        <v>4527848</v>
      </c>
      <c r="AW97" s="19">
        <v>5072106.5</v>
      </c>
      <c r="AX97" s="19">
        <v>5160881.5</v>
      </c>
      <c r="AY97" s="20">
        <v>1688038.75</v>
      </c>
      <c r="AZ97" s="20">
        <v>1866738.62</v>
      </c>
      <c r="BA97" s="21">
        <v>4337752.5</v>
      </c>
      <c r="BB97" s="21">
        <v>4302956.5</v>
      </c>
    </row>
    <row r="98" spans="1:54">
      <c r="A98">
        <v>20203</v>
      </c>
      <c r="B98" t="s">
        <v>640</v>
      </c>
      <c r="C98" t="s">
        <v>641</v>
      </c>
      <c r="D98" t="s">
        <v>640</v>
      </c>
      <c r="F98" t="s">
        <v>642</v>
      </c>
      <c r="G98">
        <v>183.06800000000001</v>
      </c>
      <c r="H98" t="s">
        <v>57</v>
      </c>
      <c r="I98">
        <v>2</v>
      </c>
      <c r="J98">
        <v>1</v>
      </c>
      <c r="K98">
        <v>0</v>
      </c>
      <c r="L98">
        <v>18.989999999999998</v>
      </c>
      <c r="M98">
        <v>62983</v>
      </c>
      <c r="N98">
        <v>31</v>
      </c>
      <c r="O98">
        <v>11</v>
      </c>
      <c r="P98">
        <v>11</v>
      </c>
      <c r="Q98">
        <v>11</v>
      </c>
      <c r="R98">
        <v>11</v>
      </c>
      <c r="S98">
        <v>39</v>
      </c>
      <c r="T98">
        <v>39</v>
      </c>
      <c r="U98">
        <v>11</v>
      </c>
      <c r="V98">
        <v>7</v>
      </c>
      <c r="W98">
        <v>10</v>
      </c>
      <c r="X98">
        <v>11</v>
      </c>
      <c r="Y98">
        <v>11</v>
      </c>
      <c r="Z98">
        <v>10</v>
      </c>
      <c r="AA98">
        <v>10</v>
      </c>
      <c r="AB98">
        <v>10</v>
      </c>
      <c r="AC98">
        <v>9</v>
      </c>
      <c r="AD98">
        <v>0</v>
      </c>
      <c r="AE98">
        <v>4</v>
      </c>
      <c r="AF98">
        <v>10</v>
      </c>
      <c r="AG98">
        <v>8</v>
      </c>
      <c r="AH98">
        <v>4</v>
      </c>
      <c r="AI98">
        <v>4</v>
      </c>
      <c r="AJ98">
        <v>5</v>
      </c>
      <c r="AK98">
        <v>4</v>
      </c>
      <c r="AL98">
        <v>8019735.5</v>
      </c>
      <c r="AM98">
        <v>16552299</v>
      </c>
      <c r="AN98">
        <v>34905072</v>
      </c>
      <c r="AO98">
        <v>33686440</v>
      </c>
      <c r="AP98">
        <v>34142952</v>
      </c>
      <c r="AQ98">
        <v>34837668</v>
      </c>
      <c r="AR98">
        <v>34690548</v>
      </c>
      <c r="AS98">
        <v>24579114</v>
      </c>
      <c r="AT98" s="23" t="s">
        <v>641</v>
      </c>
      <c r="AU98" s="18">
        <v>12633320</v>
      </c>
      <c r="AV98" s="18">
        <v>12235358</v>
      </c>
      <c r="AW98" s="19">
        <v>27735112</v>
      </c>
      <c r="AX98" s="19">
        <v>29556002</v>
      </c>
      <c r="AY98" s="20">
        <v>12286307</v>
      </c>
      <c r="AZ98" s="20">
        <v>14827714</v>
      </c>
      <c r="BA98" s="21">
        <v>17178562</v>
      </c>
      <c r="BB98" s="21">
        <v>18613638</v>
      </c>
    </row>
    <row r="99" spans="1:54">
      <c r="A99">
        <v>20200</v>
      </c>
      <c r="B99" t="s">
        <v>412</v>
      </c>
      <c r="C99" t="s">
        <v>413</v>
      </c>
      <c r="D99" t="s">
        <v>414</v>
      </c>
      <c r="F99" t="s">
        <v>415</v>
      </c>
      <c r="G99">
        <v>432.70299999999997</v>
      </c>
      <c r="H99" t="s">
        <v>57</v>
      </c>
      <c r="I99">
        <v>2</v>
      </c>
      <c r="J99">
        <v>7</v>
      </c>
      <c r="K99">
        <v>0</v>
      </c>
      <c r="L99">
        <v>75</v>
      </c>
      <c r="M99">
        <v>8249</v>
      </c>
      <c r="N99">
        <v>4</v>
      </c>
      <c r="O99">
        <v>4</v>
      </c>
      <c r="P99">
        <v>4</v>
      </c>
      <c r="Q99">
        <v>6</v>
      </c>
      <c r="R99">
        <v>6</v>
      </c>
      <c r="S99">
        <v>220</v>
      </c>
      <c r="T99">
        <v>220</v>
      </c>
      <c r="U99">
        <v>6</v>
      </c>
      <c r="V99">
        <v>5</v>
      </c>
      <c r="W99">
        <v>6</v>
      </c>
      <c r="X99">
        <v>5</v>
      </c>
      <c r="Y99">
        <v>5</v>
      </c>
      <c r="Z99">
        <v>6</v>
      </c>
      <c r="AA99">
        <v>6</v>
      </c>
      <c r="AB99">
        <v>4</v>
      </c>
      <c r="AC99">
        <v>5</v>
      </c>
      <c r="AD99">
        <v>50</v>
      </c>
      <c r="AE99">
        <v>43</v>
      </c>
      <c r="AF99">
        <v>22</v>
      </c>
      <c r="AG99">
        <v>18</v>
      </c>
      <c r="AH99">
        <v>28</v>
      </c>
      <c r="AI99">
        <v>27</v>
      </c>
      <c r="AJ99">
        <v>14</v>
      </c>
      <c r="AK99">
        <v>18</v>
      </c>
      <c r="AL99">
        <v>325564896</v>
      </c>
      <c r="AM99">
        <v>404661472</v>
      </c>
      <c r="AN99">
        <v>117835352</v>
      </c>
      <c r="AO99">
        <v>114713280</v>
      </c>
      <c r="AP99">
        <v>504122656</v>
      </c>
      <c r="AQ99">
        <v>536534400</v>
      </c>
      <c r="AR99">
        <v>163878048</v>
      </c>
      <c r="AS99">
        <v>128260624</v>
      </c>
      <c r="AT99" s="23" t="s">
        <v>413</v>
      </c>
      <c r="AU99" s="18">
        <v>343979008</v>
      </c>
      <c r="AV99" s="18">
        <v>320137216</v>
      </c>
      <c r="AW99" s="19">
        <v>96733296</v>
      </c>
      <c r="AX99" s="19">
        <v>86356120</v>
      </c>
      <c r="AY99" s="20">
        <v>275443232</v>
      </c>
      <c r="AZ99" s="20">
        <v>309719744</v>
      </c>
      <c r="BA99" s="21">
        <v>139293968</v>
      </c>
      <c r="BB99" s="21">
        <v>164785792</v>
      </c>
    </row>
    <row r="100" spans="1:54">
      <c r="A100">
        <v>20092</v>
      </c>
      <c r="B100" t="s">
        <v>58</v>
      </c>
      <c r="C100" t="s">
        <v>59</v>
      </c>
      <c r="D100" t="s">
        <v>60</v>
      </c>
      <c r="E100" t="s">
        <v>61</v>
      </c>
      <c r="F100" t="s">
        <v>62</v>
      </c>
      <c r="G100">
        <v>3240.4749999999999</v>
      </c>
      <c r="H100" t="s">
        <v>57</v>
      </c>
      <c r="I100">
        <v>2</v>
      </c>
      <c r="J100">
        <v>13</v>
      </c>
      <c r="K100">
        <v>8</v>
      </c>
      <c r="L100">
        <v>69.099999999999994</v>
      </c>
      <c r="M100">
        <v>97348</v>
      </c>
      <c r="N100">
        <v>59</v>
      </c>
      <c r="O100">
        <v>60</v>
      </c>
      <c r="P100">
        <v>60</v>
      </c>
      <c r="Q100">
        <v>67</v>
      </c>
      <c r="R100">
        <v>67</v>
      </c>
      <c r="S100">
        <v>2162</v>
      </c>
      <c r="T100">
        <v>2162</v>
      </c>
      <c r="U100">
        <v>67</v>
      </c>
      <c r="V100">
        <v>58</v>
      </c>
      <c r="W100">
        <v>62</v>
      </c>
      <c r="X100">
        <v>58</v>
      </c>
      <c r="Y100">
        <v>60</v>
      </c>
      <c r="Z100">
        <v>65</v>
      </c>
      <c r="AA100">
        <v>67</v>
      </c>
      <c r="AB100">
        <v>62</v>
      </c>
      <c r="AC100">
        <v>63</v>
      </c>
      <c r="AD100">
        <v>392</v>
      </c>
      <c r="AE100">
        <v>382</v>
      </c>
      <c r="AF100">
        <v>206</v>
      </c>
      <c r="AG100">
        <v>199</v>
      </c>
      <c r="AH100">
        <v>296</v>
      </c>
      <c r="AI100">
        <v>329</v>
      </c>
      <c r="AJ100">
        <v>171</v>
      </c>
      <c r="AK100">
        <v>187</v>
      </c>
      <c r="AL100">
        <v>3776912128</v>
      </c>
      <c r="AM100">
        <v>4708155904</v>
      </c>
      <c r="AN100">
        <v>1370369536</v>
      </c>
      <c r="AO100">
        <v>1217561472</v>
      </c>
      <c r="AP100">
        <v>5642521088</v>
      </c>
      <c r="AQ100">
        <v>6265753600</v>
      </c>
      <c r="AR100">
        <v>2069606272</v>
      </c>
      <c r="AS100">
        <v>1764136064</v>
      </c>
      <c r="AT100" s="23" t="s">
        <v>59</v>
      </c>
      <c r="AU100" s="18">
        <v>3297481216</v>
      </c>
      <c r="AV100" s="18">
        <v>3417762816</v>
      </c>
      <c r="AW100" s="19">
        <v>1153212288</v>
      </c>
      <c r="AX100" s="19">
        <v>1230068352</v>
      </c>
      <c r="AY100" s="20">
        <v>3343286272</v>
      </c>
      <c r="AZ100" s="20">
        <v>3989498368</v>
      </c>
      <c r="BA100" s="21">
        <v>1738594816</v>
      </c>
      <c r="BB100" s="21">
        <v>1895304064</v>
      </c>
    </row>
    <row r="101" spans="1:54">
      <c r="A101">
        <v>20132</v>
      </c>
      <c r="B101" t="s">
        <v>235</v>
      </c>
      <c r="C101" t="s">
        <v>236</v>
      </c>
      <c r="D101" t="s">
        <v>237</v>
      </c>
      <c r="F101" t="s">
        <v>238</v>
      </c>
      <c r="G101">
        <v>854.33799999999997</v>
      </c>
      <c r="H101" t="s">
        <v>57</v>
      </c>
      <c r="I101">
        <v>2</v>
      </c>
      <c r="J101">
        <v>6</v>
      </c>
      <c r="K101">
        <v>0</v>
      </c>
      <c r="L101">
        <v>55</v>
      </c>
      <c r="M101">
        <v>20563</v>
      </c>
      <c r="N101">
        <v>9</v>
      </c>
      <c r="O101">
        <v>13</v>
      </c>
      <c r="P101">
        <v>13</v>
      </c>
      <c r="Q101">
        <v>17</v>
      </c>
      <c r="R101">
        <v>17</v>
      </c>
      <c r="S101">
        <v>1261</v>
      </c>
      <c r="T101">
        <v>1261</v>
      </c>
      <c r="U101">
        <v>17</v>
      </c>
      <c r="V101">
        <v>14</v>
      </c>
      <c r="W101">
        <v>13</v>
      </c>
      <c r="X101">
        <v>12</v>
      </c>
      <c r="Y101">
        <v>13</v>
      </c>
      <c r="Z101">
        <v>16</v>
      </c>
      <c r="AA101">
        <v>17</v>
      </c>
      <c r="AB101">
        <v>15</v>
      </c>
      <c r="AC101">
        <v>15</v>
      </c>
      <c r="AD101">
        <v>302</v>
      </c>
      <c r="AE101">
        <v>222</v>
      </c>
      <c r="AF101">
        <v>106</v>
      </c>
      <c r="AG101">
        <v>105</v>
      </c>
      <c r="AH101">
        <v>163</v>
      </c>
      <c r="AI101">
        <v>162</v>
      </c>
      <c r="AJ101">
        <v>87</v>
      </c>
      <c r="AK101">
        <v>114</v>
      </c>
      <c r="AL101">
        <v>4608114176</v>
      </c>
      <c r="AM101">
        <v>6765865984</v>
      </c>
      <c r="AN101">
        <v>2180360704</v>
      </c>
      <c r="AO101">
        <v>2323242752</v>
      </c>
      <c r="AP101">
        <v>8305416192</v>
      </c>
      <c r="AQ101">
        <v>8708434944</v>
      </c>
      <c r="AR101">
        <v>3776138752</v>
      </c>
      <c r="AS101">
        <v>2934048512</v>
      </c>
      <c r="AT101" s="23" t="s">
        <v>236</v>
      </c>
      <c r="AU101" s="18">
        <v>5018095104</v>
      </c>
      <c r="AV101" s="18">
        <v>5568946688</v>
      </c>
      <c r="AW101" s="19">
        <v>1620770432</v>
      </c>
      <c r="AX101" s="19">
        <v>1814537216</v>
      </c>
      <c r="AY101" s="20">
        <v>4195574016</v>
      </c>
      <c r="AZ101" s="20">
        <v>4901918208</v>
      </c>
      <c r="BA101" s="21">
        <v>2078656896</v>
      </c>
      <c r="BB101" s="21">
        <v>2529978368</v>
      </c>
    </row>
    <row r="102" spans="1:54">
      <c r="A102">
        <v>20098</v>
      </c>
      <c r="B102" t="s">
        <v>1086</v>
      </c>
      <c r="C102" t="s">
        <v>1087</v>
      </c>
      <c r="D102" t="s">
        <v>1088</v>
      </c>
      <c r="F102" t="s">
        <v>1089</v>
      </c>
      <c r="G102">
        <v>21.95</v>
      </c>
      <c r="H102" t="s">
        <v>57</v>
      </c>
      <c r="I102">
        <v>2</v>
      </c>
      <c r="J102">
        <v>19</v>
      </c>
      <c r="K102">
        <v>0</v>
      </c>
      <c r="L102">
        <v>3.96</v>
      </c>
      <c r="M102">
        <v>45089</v>
      </c>
      <c r="N102">
        <v>25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948813.25</v>
      </c>
      <c r="AM102">
        <v>986612.69</v>
      </c>
      <c r="AN102">
        <v>750168.31</v>
      </c>
      <c r="AO102">
        <v>580246.18999999994</v>
      </c>
      <c r="AP102">
        <v>1281350.1200000001</v>
      </c>
      <c r="AQ102">
        <v>1520506.25</v>
      </c>
      <c r="AT102" s="23" t="s">
        <v>1087</v>
      </c>
      <c r="AU102" s="18">
        <v>948813.25</v>
      </c>
      <c r="AV102" s="18">
        <v>761390.94</v>
      </c>
      <c r="AW102" s="19">
        <v>579205.38</v>
      </c>
      <c r="AX102" s="19">
        <v>516000.47</v>
      </c>
      <c r="AY102" s="20">
        <v>515968.66</v>
      </c>
      <c r="AZ102" s="20">
        <v>653638.38</v>
      </c>
      <c r="BA102" s="21">
        <v>199295.7</v>
      </c>
      <c r="BB102" s="21">
        <v>212391.23</v>
      </c>
    </row>
    <row r="103" spans="1:54">
      <c r="A103">
        <v>20012</v>
      </c>
      <c r="B103" t="s">
        <v>1216</v>
      </c>
      <c r="C103" t="s">
        <v>1217</v>
      </c>
      <c r="D103" t="s">
        <v>1218</v>
      </c>
      <c r="F103" t="s">
        <v>1219</v>
      </c>
      <c r="G103">
        <v>9.5</v>
      </c>
      <c r="H103" t="s">
        <v>57</v>
      </c>
      <c r="I103">
        <v>2</v>
      </c>
      <c r="J103">
        <v>21</v>
      </c>
      <c r="K103">
        <v>0</v>
      </c>
      <c r="L103">
        <v>3.16</v>
      </c>
      <c r="M103">
        <v>34774</v>
      </c>
      <c r="N103">
        <v>18</v>
      </c>
      <c r="O103">
        <v>1</v>
      </c>
      <c r="P103">
        <v>1</v>
      </c>
      <c r="Q103">
        <v>1</v>
      </c>
      <c r="R103">
        <v>1</v>
      </c>
      <c r="S103">
        <v>2</v>
      </c>
      <c r="T103">
        <v>2</v>
      </c>
      <c r="U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M103">
        <v>1052010.25</v>
      </c>
      <c r="AN103">
        <v>1326848.25</v>
      </c>
      <c r="AO103">
        <v>1059174.25</v>
      </c>
      <c r="AP103">
        <v>6216945.5</v>
      </c>
      <c r="AQ103">
        <v>2791624.75</v>
      </c>
      <c r="AR103">
        <v>3923234.75</v>
      </c>
      <c r="AS103">
        <v>3444133.25</v>
      </c>
      <c r="AT103" s="23" t="s">
        <v>1217</v>
      </c>
      <c r="AU103" s="18">
        <v>49505.43</v>
      </c>
      <c r="AV103" s="18">
        <v>811859.69</v>
      </c>
      <c r="AW103" s="19">
        <v>1024460.25</v>
      </c>
      <c r="AX103" s="19">
        <v>941900.88</v>
      </c>
      <c r="AY103" s="20">
        <v>2503413.25</v>
      </c>
      <c r="AZ103" s="20">
        <v>1200069.5</v>
      </c>
      <c r="BA103" s="21">
        <v>2100713.75</v>
      </c>
      <c r="BB103" s="21">
        <v>2703217.75</v>
      </c>
    </row>
    <row r="104" spans="1:54">
      <c r="A104">
        <v>20091</v>
      </c>
      <c r="B104" t="s">
        <v>1101</v>
      </c>
      <c r="C104" t="s">
        <v>1102</v>
      </c>
      <c r="D104" t="s">
        <v>1101</v>
      </c>
      <c r="F104" t="s">
        <v>1103</v>
      </c>
      <c r="G104">
        <v>20.102</v>
      </c>
      <c r="H104" t="s">
        <v>57</v>
      </c>
      <c r="I104">
        <v>2</v>
      </c>
      <c r="J104">
        <v>1</v>
      </c>
      <c r="K104">
        <v>0</v>
      </c>
      <c r="L104">
        <v>3.04</v>
      </c>
      <c r="M104">
        <v>28232</v>
      </c>
      <c r="N104">
        <v>12</v>
      </c>
      <c r="O104">
        <v>1</v>
      </c>
      <c r="P104">
        <v>1</v>
      </c>
      <c r="Q104">
        <v>1</v>
      </c>
      <c r="R104">
        <v>1</v>
      </c>
      <c r="S104">
        <v>11</v>
      </c>
      <c r="T104">
        <v>11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2</v>
      </c>
      <c r="AE104">
        <v>3</v>
      </c>
      <c r="AF104">
        <v>3</v>
      </c>
      <c r="AG104">
        <v>2</v>
      </c>
      <c r="AH104">
        <v>0</v>
      </c>
      <c r="AI104">
        <v>0</v>
      </c>
      <c r="AJ104">
        <v>0</v>
      </c>
      <c r="AK104">
        <v>1</v>
      </c>
      <c r="AL104">
        <v>41383400</v>
      </c>
      <c r="AM104">
        <v>85148736</v>
      </c>
      <c r="AN104">
        <v>65669820</v>
      </c>
      <c r="AO104">
        <v>40990628</v>
      </c>
      <c r="AP104">
        <v>162675744</v>
      </c>
      <c r="AQ104">
        <v>147333120</v>
      </c>
      <c r="AR104">
        <v>72086256</v>
      </c>
      <c r="AS104">
        <v>58260056</v>
      </c>
      <c r="AT104" s="23" t="s">
        <v>1102</v>
      </c>
      <c r="AU104" s="18">
        <v>41383400</v>
      </c>
      <c r="AV104" s="18">
        <v>65711172</v>
      </c>
      <c r="AW104" s="19">
        <v>50703704</v>
      </c>
      <c r="AX104" s="19">
        <v>36452084</v>
      </c>
      <c r="AY104" s="20">
        <v>65505576</v>
      </c>
      <c r="AZ104" s="20">
        <v>63335868</v>
      </c>
      <c r="BA104" s="21">
        <v>38598916</v>
      </c>
      <c r="BB104" s="21">
        <v>45726920</v>
      </c>
    </row>
    <row r="105" spans="1:54">
      <c r="A105">
        <v>20148</v>
      </c>
      <c r="B105" t="s">
        <v>716</v>
      </c>
      <c r="C105" t="s">
        <v>717</v>
      </c>
      <c r="D105" t="s">
        <v>718</v>
      </c>
      <c r="F105" t="s">
        <v>719</v>
      </c>
      <c r="G105">
        <v>118.8</v>
      </c>
      <c r="H105" t="s">
        <v>57</v>
      </c>
      <c r="I105">
        <v>2</v>
      </c>
      <c r="J105">
        <v>11</v>
      </c>
      <c r="K105">
        <v>0</v>
      </c>
      <c r="L105">
        <v>9.7799999999999994</v>
      </c>
      <c r="M105">
        <v>80038</v>
      </c>
      <c r="N105">
        <v>43</v>
      </c>
      <c r="O105">
        <v>7</v>
      </c>
      <c r="P105">
        <v>7</v>
      </c>
      <c r="Q105">
        <v>7</v>
      </c>
      <c r="R105">
        <v>7</v>
      </c>
      <c r="S105">
        <v>13</v>
      </c>
      <c r="T105">
        <v>13</v>
      </c>
      <c r="U105">
        <v>7</v>
      </c>
      <c r="V105">
        <v>5</v>
      </c>
      <c r="W105">
        <v>4</v>
      </c>
      <c r="X105">
        <v>5</v>
      </c>
      <c r="Y105">
        <v>7</v>
      </c>
      <c r="Z105">
        <v>7</v>
      </c>
      <c r="AA105">
        <v>7</v>
      </c>
      <c r="AB105">
        <v>6</v>
      </c>
      <c r="AC105">
        <v>7</v>
      </c>
      <c r="AD105">
        <v>3</v>
      </c>
      <c r="AE105">
        <v>1</v>
      </c>
      <c r="AF105">
        <v>3</v>
      </c>
      <c r="AG105">
        <v>2</v>
      </c>
      <c r="AH105">
        <v>0</v>
      </c>
      <c r="AI105">
        <v>3</v>
      </c>
      <c r="AJ105">
        <v>2</v>
      </c>
      <c r="AK105">
        <v>0</v>
      </c>
      <c r="AL105">
        <v>4003271</v>
      </c>
      <c r="AM105">
        <v>3418042</v>
      </c>
      <c r="AN105">
        <v>5070523</v>
      </c>
      <c r="AO105">
        <v>7159906.5</v>
      </c>
      <c r="AP105">
        <v>8078921</v>
      </c>
      <c r="AQ105">
        <v>8402086</v>
      </c>
      <c r="AR105">
        <v>5826475.5</v>
      </c>
      <c r="AS105">
        <v>5769232</v>
      </c>
      <c r="AT105" s="23" t="s">
        <v>717</v>
      </c>
      <c r="AU105" s="18">
        <v>3847446.75</v>
      </c>
      <c r="AV105" s="18">
        <v>2342418.25</v>
      </c>
      <c r="AW105" s="19">
        <v>4749314</v>
      </c>
      <c r="AX105" s="19">
        <v>5876686</v>
      </c>
      <c r="AY105" s="20">
        <v>3292394.25</v>
      </c>
      <c r="AZ105" s="20">
        <v>3476496.75</v>
      </c>
      <c r="BA105" s="21">
        <v>3771778.25</v>
      </c>
      <c r="BB105" s="21">
        <v>3981311.5</v>
      </c>
    </row>
    <row r="106" spans="1:54">
      <c r="A106">
        <v>20119</v>
      </c>
      <c r="B106" t="s">
        <v>416</v>
      </c>
      <c r="C106" t="s">
        <v>417</v>
      </c>
      <c r="D106" t="s">
        <v>416</v>
      </c>
      <c r="E106" t="s">
        <v>418</v>
      </c>
      <c r="F106" t="s">
        <v>419</v>
      </c>
      <c r="G106">
        <v>428.27600000000001</v>
      </c>
      <c r="H106" t="s">
        <v>57</v>
      </c>
      <c r="I106">
        <v>2</v>
      </c>
      <c r="J106">
        <v>1</v>
      </c>
      <c r="K106">
        <v>7</v>
      </c>
      <c r="L106">
        <v>24.53</v>
      </c>
      <c r="M106">
        <v>66037</v>
      </c>
      <c r="N106">
        <v>35</v>
      </c>
      <c r="O106">
        <v>16</v>
      </c>
      <c r="P106">
        <v>14</v>
      </c>
      <c r="Q106">
        <v>16</v>
      </c>
      <c r="R106">
        <v>14</v>
      </c>
      <c r="S106">
        <v>36</v>
      </c>
      <c r="T106">
        <v>30</v>
      </c>
      <c r="U106">
        <v>13</v>
      </c>
      <c r="V106">
        <v>9</v>
      </c>
      <c r="W106">
        <v>4</v>
      </c>
      <c r="X106">
        <v>13</v>
      </c>
      <c r="Y106">
        <v>4</v>
      </c>
      <c r="Z106">
        <v>1</v>
      </c>
      <c r="AA106">
        <v>5</v>
      </c>
      <c r="AB106">
        <v>7</v>
      </c>
      <c r="AC106">
        <v>10</v>
      </c>
      <c r="AD106">
        <v>4</v>
      </c>
      <c r="AE106">
        <v>0</v>
      </c>
      <c r="AF106">
        <v>24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23957706</v>
      </c>
      <c r="AM106">
        <v>1700010.12</v>
      </c>
      <c r="AN106">
        <v>126481272</v>
      </c>
      <c r="AO106">
        <v>1479149.75</v>
      </c>
      <c r="AP106">
        <v>1222742.6200000001</v>
      </c>
      <c r="AQ106">
        <v>3645866.25</v>
      </c>
      <c r="AR106">
        <v>18329054</v>
      </c>
      <c r="AS106">
        <v>10393239</v>
      </c>
      <c r="AT106" s="23" t="s">
        <v>417</v>
      </c>
      <c r="AU106" s="18">
        <v>13002566</v>
      </c>
      <c r="AV106" s="18">
        <v>94776.45</v>
      </c>
      <c r="AW106" s="19">
        <v>89376832</v>
      </c>
      <c r="AX106" s="19">
        <v>126241.93</v>
      </c>
      <c r="AY106" s="20">
        <v>9354.23</v>
      </c>
      <c r="AZ106" s="20">
        <v>190151.25</v>
      </c>
      <c r="BA106" s="21">
        <v>1490181.1200000001</v>
      </c>
      <c r="BB106" s="21">
        <v>7060920</v>
      </c>
    </row>
    <row r="107" spans="1:54">
      <c r="A107">
        <v>20127</v>
      </c>
      <c r="B107" t="s">
        <v>280</v>
      </c>
      <c r="C107" t="s">
        <v>281</v>
      </c>
      <c r="D107" t="s">
        <v>280</v>
      </c>
      <c r="E107" t="s">
        <v>282</v>
      </c>
      <c r="F107" t="s">
        <v>283</v>
      </c>
      <c r="G107">
        <v>733.48</v>
      </c>
      <c r="H107" t="s">
        <v>57</v>
      </c>
      <c r="I107">
        <v>2</v>
      </c>
      <c r="J107">
        <v>1</v>
      </c>
      <c r="K107">
        <v>33</v>
      </c>
      <c r="L107">
        <v>35.270000000000003</v>
      </c>
      <c r="M107">
        <v>58826</v>
      </c>
      <c r="N107">
        <v>28</v>
      </c>
      <c r="O107">
        <v>19</v>
      </c>
      <c r="P107">
        <v>17</v>
      </c>
      <c r="Q107">
        <v>19</v>
      </c>
      <c r="R107">
        <v>17</v>
      </c>
      <c r="S107">
        <v>44</v>
      </c>
      <c r="T107">
        <v>38</v>
      </c>
      <c r="U107">
        <v>17</v>
      </c>
      <c r="V107">
        <v>12</v>
      </c>
      <c r="W107">
        <v>3</v>
      </c>
      <c r="X107">
        <v>17</v>
      </c>
      <c r="Y107">
        <v>3</v>
      </c>
      <c r="Z107">
        <v>4</v>
      </c>
      <c r="AA107">
        <v>3</v>
      </c>
      <c r="AB107">
        <v>9</v>
      </c>
      <c r="AC107">
        <v>4</v>
      </c>
      <c r="AD107">
        <v>2</v>
      </c>
      <c r="AE107">
        <v>0</v>
      </c>
      <c r="AF107">
        <v>32</v>
      </c>
      <c r="AG107">
        <v>0</v>
      </c>
      <c r="AH107">
        <v>0</v>
      </c>
      <c r="AI107">
        <v>0</v>
      </c>
      <c r="AJ107">
        <v>4</v>
      </c>
      <c r="AK107">
        <v>0</v>
      </c>
      <c r="AL107">
        <v>14556163</v>
      </c>
      <c r="AM107">
        <v>2972041</v>
      </c>
      <c r="AN107">
        <v>180286160</v>
      </c>
      <c r="AO107">
        <v>1941227</v>
      </c>
      <c r="AP107">
        <v>5720681.5</v>
      </c>
      <c r="AQ107">
        <v>6900721</v>
      </c>
      <c r="AR107">
        <v>15088635</v>
      </c>
      <c r="AS107">
        <v>4909925.5</v>
      </c>
      <c r="AT107" s="23" t="s">
        <v>281</v>
      </c>
      <c r="AU107" s="18">
        <v>14436288</v>
      </c>
      <c r="AV107" s="18">
        <v>78364.070000000007</v>
      </c>
      <c r="AW107" s="19">
        <v>111434008</v>
      </c>
      <c r="AX107" s="19">
        <v>75129.48</v>
      </c>
      <c r="AY107" s="20">
        <v>66945.66</v>
      </c>
      <c r="AZ107" s="20">
        <v>77594.759999999995</v>
      </c>
      <c r="BA107" s="21">
        <v>7391512.5</v>
      </c>
      <c r="BB107" s="21">
        <v>105139.74</v>
      </c>
    </row>
    <row r="108" spans="1:54">
      <c r="A108">
        <v>20128</v>
      </c>
      <c r="B108" t="s">
        <v>826</v>
      </c>
      <c r="C108" t="s">
        <v>827</v>
      </c>
      <c r="D108" t="s">
        <v>826</v>
      </c>
      <c r="E108" t="s">
        <v>828</v>
      </c>
      <c r="F108" t="s">
        <v>829</v>
      </c>
      <c r="G108">
        <v>82.918999999999997</v>
      </c>
      <c r="H108" t="s">
        <v>57</v>
      </c>
      <c r="I108">
        <v>2</v>
      </c>
      <c r="J108">
        <v>1</v>
      </c>
      <c r="K108">
        <v>23</v>
      </c>
      <c r="L108">
        <v>6.14</v>
      </c>
      <c r="M108">
        <v>51560</v>
      </c>
      <c r="N108">
        <v>34</v>
      </c>
      <c r="O108">
        <v>3</v>
      </c>
      <c r="P108">
        <v>1</v>
      </c>
      <c r="Q108">
        <v>3</v>
      </c>
      <c r="R108">
        <v>1</v>
      </c>
      <c r="S108">
        <v>7</v>
      </c>
      <c r="T108">
        <v>1</v>
      </c>
      <c r="U108">
        <v>1</v>
      </c>
      <c r="X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2635892.25</v>
      </c>
      <c r="AM108">
        <v>412781.88</v>
      </c>
      <c r="AN108">
        <v>50835220</v>
      </c>
      <c r="AO108">
        <v>337370.91</v>
      </c>
      <c r="AQ108">
        <v>1434611.25</v>
      </c>
      <c r="AR108">
        <v>1712171.25</v>
      </c>
      <c r="AS108">
        <v>506897.62</v>
      </c>
      <c r="AT108" s="23" t="s">
        <v>827</v>
      </c>
      <c r="AU108" s="18">
        <v>49505.43</v>
      </c>
      <c r="AV108" s="18">
        <v>111774.65</v>
      </c>
      <c r="AW108" s="19">
        <v>385560.56</v>
      </c>
      <c r="AX108" s="19">
        <v>170153.38</v>
      </c>
      <c r="AY108" s="20">
        <v>350962.88</v>
      </c>
      <c r="AZ108" s="20">
        <v>247733</v>
      </c>
      <c r="BA108" s="21">
        <v>199295.7</v>
      </c>
      <c r="BB108" s="21">
        <v>212391.23</v>
      </c>
    </row>
    <row r="109" spans="1:54">
      <c r="A109">
        <v>20117</v>
      </c>
      <c r="B109" t="s">
        <v>332</v>
      </c>
      <c r="C109" t="s">
        <v>333</v>
      </c>
      <c r="D109" t="s">
        <v>332</v>
      </c>
      <c r="E109" t="s">
        <v>334</v>
      </c>
      <c r="F109" t="s">
        <v>335</v>
      </c>
      <c r="G109">
        <v>642.298</v>
      </c>
      <c r="H109" t="s">
        <v>57</v>
      </c>
      <c r="I109">
        <v>2</v>
      </c>
      <c r="J109">
        <v>1</v>
      </c>
      <c r="K109">
        <v>11</v>
      </c>
      <c r="L109">
        <v>47.26</v>
      </c>
      <c r="M109">
        <v>65432</v>
      </c>
      <c r="N109">
        <v>43</v>
      </c>
      <c r="O109">
        <v>20</v>
      </c>
      <c r="P109">
        <v>17</v>
      </c>
      <c r="Q109">
        <v>20</v>
      </c>
      <c r="R109">
        <v>17</v>
      </c>
      <c r="S109">
        <v>39</v>
      </c>
      <c r="T109">
        <v>32</v>
      </c>
      <c r="U109">
        <v>17</v>
      </c>
      <c r="V109">
        <v>4</v>
      </c>
      <c r="W109">
        <v>2</v>
      </c>
      <c r="X109">
        <v>17</v>
      </c>
      <c r="Y109">
        <v>4</v>
      </c>
      <c r="Z109">
        <v>3</v>
      </c>
      <c r="AA109">
        <v>2</v>
      </c>
      <c r="AB109">
        <v>6</v>
      </c>
      <c r="AC109">
        <v>2</v>
      </c>
      <c r="AD109">
        <v>0</v>
      </c>
      <c r="AE109">
        <v>0</v>
      </c>
      <c r="AF109">
        <v>31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31978148</v>
      </c>
      <c r="AM109">
        <v>21697730</v>
      </c>
      <c r="AN109">
        <v>173138224</v>
      </c>
      <c r="AO109">
        <v>23136626</v>
      </c>
      <c r="AP109">
        <v>32318144</v>
      </c>
      <c r="AQ109">
        <v>26823436</v>
      </c>
      <c r="AR109">
        <v>42188328</v>
      </c>
      <c r="AS109">
        <v>11725799</v>
      </c>
      <c r="AT109" s="23" t="s">
        <v>333</v>
      </c>
      <c r="AU109" s="18">
        <v>804703.5</v>
      </c>
      <c r="AV109" s="18">
        <v>106992.79</v>
      </c>
      <c r="AW109" s="19">
        <v>200088752</v>
      </c>
      <c r="AX109" s="19">
        <v>648312.56000000006</v>
      </c>
      <c r="AY109" s="20">
        <v>218868.17</v>
      </c>
      <c r="AZ109" s="20">
        <v>102203.63</v>
      </c>
      <c r="BA109" s="21">
        <v>4677342</v>
      </c>
      <c r="BB109" s="21">
        <v>144189.69</v>
      </c>
    </row>
    <row r="110" spans="1:54">
      <c r="A110">
        <v>20118</v>
      </c>
      <c r="B110" t="s">
        <v>959</v>
      </c>
      <c r="C110" t="s">
        <v>960</v>
      </c>
      <c r="D110" t="s">
        <v>959</v>
      </c>
      <c r="E110" t="s">
        <v>961</v>
      </c>
      <c r="F110" t="s">
        <v>962</v>
      </c>
      <c r="G110">
        <v>40.112000000000002</v>
      </c>
      <c r="H110" t="s">
        <v>57</v>
      </c>
      <c r="I110">
        <v>2</v>
      </c>
      <c r="J110">
        <v>1</v>
      </c>
      <c r="K110">
        <v>5</v>
      </c>
      <c r="L110">
        <v>3.73</v>
      </c>
      <c r="M110">
        <v>62377</v>
      </c>
      <c r="N110">
        <v>35</v>
      </c>
      <c r="O110">
        <v>2</v>
      </c>
      <c r="P110">
        <v>1</v>
      </c>
      <c r="Q110">
        <v>2</v>
      </c>
      <c r="R110">
        <v>1</v>
      </c>
      <c r="S110">
        <v>2</v>
      </c>
      <c r="T110">
        <v>1</v>
      </c>
      <c r="U110">
        <v>1</v>
      </c>
      <c r="X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1412729.75</v>
      </c>
      <c r="AM110">
        <v>983944.56</v>
      </c>
      <c r="AN110">
        <v>18362140</v>
      </c>
      <c r="AO110">
        <v>301820.90999999997</v>
      </c>
      <c r="AR110">
        <v>2300199.5</v>
      </c>
      <c r="AS110">
        <v>401426.22</v>
      </c>
      <c r="AT110" s="23" t="s">
        <v>960</v>
      </c>
      <c r="AU110" s="18">
        <v>49505.43</v>
      </c>
      <c r="AV110" s="18">
        <v>111774.65</v>
      </c>
      <c r="AW110" s="19">
        <v>1115486.3799999999</v>
      </c>
      <c r="AX110" s="19">
        <v>170153.38</v>
      </c>
      <c r="AY110" s="20">
        <v>350962.88</v>
      </c>
      <c r="AZ110" s="20">
        <v>247733</v>
      </c>
      <c r="BA110" s="21">
        <v>199295.7</v>
      </c>
      <c r="BB110" s="21">
        <v>212391.23</v>
      </c>
    </row>
    <row r="111" spans="1:54">
      <c r="A111">
        <v>20265</v>
      </c>
      <c r="B111" t="s">
        <v>749</v>
      </c>
      <c r="C111" t="s">
        <v>750</v>
      </c>
      <c r="D111" t="s">
        <v>749</v>
      </c>
      <c r="F111" t="s">
        <v>751</v>
      </c>
      <c r="G111">
        <v>113.669</v>
      </c>
      <c r="H111" t="s">
        <v>57</v>
      </c>
      <c r="I111">
        <v>2</v>
      </c>
      <c r="J111">
        <v>1</v>
      </c>
      <c r="K111">
        <v>0</v>
      </c>
      <c r="L111">
        <v>13.64</v>
      </c>
      <c r="M111">
        <v>62063</v>
      </c>
      <c r="N111">
        <v>30</v>
      </c>
      <c r="O111">
        <v>6</v>
      </c>
      <c r="P111">
        <v>6</v>
      </c>
      <c r="Q111">
        <v>6</v>
      </c>
      <c r="R111">
        <v>6</v>
      </c>
      <c r="S111">
        <v>10</v>
      </c>
      <c r="T111">
        <v>10</v>
      </c>
      <c r="U111">
        <v>6</v>
      </c>
      <c r="V111">
        <v>6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2</v>
      </c>
      <c r="AC111">
        <v>4</v>
      </c>
      <c r="AD111">
        <v>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3</v>
      </c>
      <c r="AL111">
        <v>6022416</v>
      </c>
      <c r="AM111">
        <v>1091991.3799999999</v>
      </c>
      <c r="AN111">
        <v>1479983.38</v>
      </c>
      <c r="AO111">
        <v>1975806.88</v>
      </c>
      <c r="AP111">
        <v>2127726</v>
      </c>
      <c r="AQ111">
        <v>1518867.25</v>
      </c>
      <c r="AR111">
        <v>2130377.75</v>
      </c>
      <c r="AS111">
        <v>3242086.75</v>
      </c>
      <c r="AT111" s="23" t="s">
        <v>750</v>
      </c>
      <c r="AU111" s="18">
        <v>9595610</v>
      </c>
      <c r="AV111" s="18">
        <v>21070.799999999999</v>
      </c>
      <c r="AW111" s="19">
        <v>28048.75</v>
      </c>
      <c r="AX111" s="19">
        <v>36384.660000000003</v>
      </c>
      <c r="AY111" s="20">
        <v>15450.76</v>
      </c>
      <c r="AZ111" s="20">
        <v>13385.27</v>
      </c>
      <c r="BA111" s="21">
        <v>528437</v>
      </c>
      <c r="BB111" s="21">
        <v>5501435</v>
      </c>
    </row>
    <row r="112" spans="1:54">
      <c r="A112">
        <v>20191</v>
      </c>
      <c r="B112" t="s">
        <v>849</v>
      </c>
      <c r="C112" t="s">
        <v>850</v>
      </c>
      <c r="D112" t="s">
        <v>849</v>
      </c>
      <c r="F112" t="s">
        <v>851</v>
      </c>
      <c r="G112">
        <v>71.927999999999997</v>
      </c>
      <c r="H112" t="s">
        <v>57</v>
      </c>
      <c r="I112">
        <v>2</v>
      </c>
      <c r="J112">
        <v>1</v>
      </c>
      <c r="K112">
        <v>0</v>
      </c>
      <c r="L112">
        <v>13.6</v>
      </c>
      <c r="M112">
        <v>25258</v>
      </c>
      <c r="N112">
        <v>14</v>
      </c>
      <c r="O112">
        <v>3</v>
      </c>
      <c r="P112">
        <v>3</v>
      </c>
      <c r="Q112">
        <v>3</v>
      </c>
      <c r="R112">
        <v>3</v>
      </c>
      <c r="S112">
        <v>10</v>
      </c>
      <c r="T112">
        <v>10</v>
      </c>
      <c r="U112">
        <v>3</v>
      </c>
      <c r="V112">
        <v>2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2</v>
      </c>
      <c r="AJ112">
        <v>2</v>
      </c>
      <c r="AK112">
        <v>2</v>
      </c>
      <c r="AL112">
        <v>2609841.75</v>
      </c>
      <c r="AM112">
        <v>4835965.5</v>
      </c>
      <c r="AN112">
        <v>7741695</v>
      </c>
      <c r="AO112">
        <v>8074751.5</v>
      </c>
      <c r="AP112">
        <v>7479277.5</v>
      </c>
      <c r="AQ112">
        <v>8799556</v>
      </c>
      <c r="AR112">
        <v>10108220</v>
      </c>
      <c r="AS112">
        <v>6093611.5</v>
      </c>
      <c r="AT112" s="23" t="s">
        <v>850</v>
      </c>
      <c r="AU112" s="18">
        <v>4164676.75</v>
      </c>
      <c r="AV112" s="18">
        <v>3582848.25</v>
      </c>
      <c r="AW112" s="19">
        <v>6461746.5</v>
      </c>
      <c r="AX112" s="19">
        <v>7309731</v>
      </c>
      <c r="AY112" s="20">
        <v>2628428.25</v>
      </c>
      <c r="AZ112" s="20">
        <v>3531177.5</v>
      </c>
      <c r="BA112" s="21">
        <v>4757582</v>
      </c>
      <c r="BB112" s="21">
        <v>4317102.5</v>
      </c>
    </row>
    <row r="113" spans="1:54">
      <c r="A113">
        <v>19979</v>
      </c>
      <c r="B113" t="s">
        <v>106</v>
      </c>
      <c r="C113" t="s">
        <v>107</v>
      </c>
      <c r="D113" t="s">
        <v>108</v>
      </c>
      <c r="E113" t="s">
        <v>109</v>
      </c>
      <c r="F113" t="s">
        <v>110</v>
      </c>
      <c r="G113">
        <v>1580.2760000000001</v>
      </c>
      <c r="H113" t="s">
        <v>57</v>
      </c>
      <c r="I113">
        <v>2</v>
      </c>
      <c r="J113">
        <v>2</v>
      </c>
      <c r="K113">
        <v>18</v>
      </c>
      <c r="L113">
        <v>56.05</v>
      </c>
      <c r="M113">
        <v>97232</v>
      </c>
      <c r="N113">
        <v>52</v>
      </c>
      <c r="O113">
        <v>41</v>
      </c>
      <c r="P113">
        <v>41</v>
      </c>
      <c r="Q113">
        <v>43</v>
      </c>
      <c r="R113">
        <v>43</v>
      </c>
      <c r="S113">
        <v>378</v>
      </c>
      <c r="T113">
        <v>378</v>
      </c>
      <c r="U113">
        <v>43</v>
      </c>
      <c r="V113">
        <v>41</v>
      </c>
      <c r="W113">
        <v>38</v>
      </c>
      <c r="X113">
        <v>36</v>
      </c>
      <c r="Y113">
        <v>37</v>
      </c>
      <c r="Z113">
        <v>38</v>
      </c>
      <c r="AA113">
        <v>37</v>
      </c>
      <c r="AB113">
        <v>39</v>
      </c>
      <c r="AC113">
        <v>41</v>
      </c>
      <c r="AD113">
        <v>58</v>
      </c>
      <c r="AE113">
        <v>53</v>
      </c>
      <c r="AF113">
        <v>54</v>
      </c>
      <c r="AG113">
        <v>58</v>
      </c>
      <c r="AH113">
        <v>25</v>
      </c>
      <c r="AI113">
        <v>34</v>
      </c>
      <c r="AJ113">
        <v>52</v>
      </c>
      <c r="AK113">
        <v>44</v>
      </c>
      <c r="AL113">
        <v>385828576</v>
      </c>
      <c r="AM113">
        <v>395787808</v>
      </c>
      <c r="AN113">
        <v>396333952</v>
      </c>
      <c r="AO113">
        <v>380150400</v>
      </c>
      <c r="AP113">
        <v>164242960</v>
      </c>
      <c r="AQ113">
        <v>190092656</v>
      </c>
      <c r="AR113">
        <v>383967296</v>
      </c>
      <c r="AS113">
        <v>279133024</v>
      </c>
      <c r="AT113" s="23" t="s">
        <v>107</v>
      </c>
      <c r="AU113" s="18">
        <v>414175488</v>
      </c>
      <c r="AV113" s="18">
        <v>328556768</v>
      </c>
      <c r="AW113" s="19">
        <v>321516576</v>
      </c>
      <c r="AX113" s="19">
        <v>347052864</v>
      </c>
      <c r="AY113" s="20">
        <v>76933040</v>
      </c>
      <c r="AZ113" s="20">
        <v>88130344</v>
      </c>
      <c r="BA113" s="21">
        <v>219809776</v>
      </c>
      <c r="BB113" s="21">
        <v>231998656</v>
      </c>
    </row>
    <row r="114" spans="1:54">
      <c r="A114">
        <v>20124</v>
      </c>
      <c r="B114" t="s">
        <v>611</v>
      </c>
      <c r="C114" t="s">
        <v>612</v>
      </c>
      <c r="D114" t="s">
        <v>613</v>
      </c>
      <c r="F114" t="s">
        <v>614</v>
      </c>
      <c r="G114">
        <v>210.661</v>
      </c>
      <c r="H114" t="s">
        <v>57</v>
      </c>
      <c r="I114">
        <v>2</v>
      </c>
      <c r="J114">
        <v>3</v>
      </c>
      <c r="K114">
        <v>0</v>
      </c>
      <c r="L114">
        <v>48.72</v>
      </c>
      <c r="M114">
        <v>8323</v>
      </c>
      <c r="N114">
        <v>5</v>
      </c>
      <c r="O114">
        <v>3</v>
      </c>
      <c r="P114">
        <v>3</v>
      </c>
      <c r="Q114">
        <v>4</v>
      </c>
      <c r="R114">
        <v>4</v>
      </c>
      <c r="S114">
        <v>77</v>
      </c>
      <c r="T114">
        <v>77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13</v>
      </c>
      <c r="AE114">
        <v>10</v>
      </c>
      <c r="AF114">
        <v>10</v>
      </c>
      <c r="AG114">
        <v>9</v>
      </c>
      <c r="AH114">
        <v>10</v>
      </c>
      <c r="AI114">
        <v>10</v>
      </c>
      <c r="AJ114">
        <v>8</v>
      </c>
      <c r="AK114">
        <v>7</v>
      </c>
      <c r="AL114">
        <v>211883440</v>
      </c>
      <c r="AM114">
        <v>228776384</v>
      </c>
      <c r="AN114">
        <v>139223824</v>
      </c>
      <c r="AO114">
        <v>122138160</v>
      </c>
      <c r="AP114">
        <v>184638288</v>
      </c>
      <c r="AQ114">
        <v>177872592</v>
      </c>
      <c r="AR114">
        <v>140736048</v>
      </c>
      <c r="AS114">
        <v>115130288</v>
      </c>
      <c r="AT114" s="23" t="s">
        <v>612</v>
      </c>
      <c r="AU114" s="18">
        <v>256560464</v>
      </c>
      <c r="AV114" s="18">
        <v>190567696</v>
      </c>
      <c r="AW114" s="19">
        <v>114866584</v>
      </c>
      <c r="AX114" s="19">
        <v>111012968</v>
      </c>
      <c r="AY114" s="20">
        <v>84601224</v>
      </c>
      <c r="AZ114" s="20">
        <v>88396704</v>
      </c>
      <c r="BA114" s="21">
        <v>80481952</v>
      </c>
      <c r="BB114" s="21">
        <v>88650600</v>
      </c>
    </row>
    <row r="115" spans="1:54">
      <c r="A115">
        <v>19994</v>
      </c>
      <c r="B115" t="s">
        <v>1177</v>
      </c>
      <c r="C115" t="s">
        <v>1178</v>
      </c>
      <c r="D115" t="s">
        <v>1179</v>
      </c>
      <c r="F115" t="s">
        <v>1180</v>
      </c>
      <c r="G115">
        <v>10.991</v>
      </c>
      <c r="H115" t="s">
        <v>57</v>
      </c>
      <c r="I115">
        <v>2</v>
      </c>
      <c r="J115">
        <v>18</v>
      </c>
      <c r="K115">
        <v>0</v>
      </c>
      <c r="L115">
        <v>6.43</v>
      </c>
      <c r="M115">
        <v>19415</v>
      </c>
      <c r="N115">
        <v>12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M115">
        <v>1042084.25</v>
      </c>
      <c r="AN115">
        <v>1205483.75</v>
      </c>
      <c r="AO115">
        <v>1019821.44</v>
      </c>
      <c r="AP115">
        <v>995719.56</v>
      </c>
      <c r="AQ115">
        <v>2111542.25</v>
      </c>
      <c r="AR115">
        <v>1544358.88</v>
      </c>
      <c r="AS115">
        <v>645247.5</v>
      </c>
      <c r="AT115" s="23" t="s">
        <v>1178</v>
      </c>
      <c r="AU115" s="18">
        <v>49505.43</v>
      </c>
      <c r="AV115" s="18">
        <v>804199.62</v>
      </c>
      <c r="AW115" s="19">
        <v>930754.69</v>
      </c>
      <c r="AX115" s="19">
        <v>906905.25</v>
      </c>
      <c r="AY115" s="20">
        <v>400952.12</v>
      </c>
      <c r="AZ115" s="20">
        <v>907714.12</v>
      </c>
      <c r="BA115" s="21">
        <v>826933.94</v>
      </c>
      <c r="BB115" s="21">
        <v>506439.28</v>
      </c>
    </row>
    <row r="116" spans="1:54">
      <c r="A116">
        <v>20189</v>
      </c>
      <c r="B116" t="s">
        <v>897</v>
      </c>
      <c r="C116" t="s">
        <v>898</v>
      </c>
      <c r="D116" t="s">
        <v>899</v>
      </c>
      <c r="F116" t="s">
        <v>900</v>
      </c>
      <c r="G116">
        <v>52.329000000000001</v>
      </c>
      <c r="H116" t="s">
        <v>57</v>
      </c>
      <c r="I116">
        <v>2</v>
      </c>
      <c r="J116">
        <v>2</v>
      </c>
      <c r="K116">
        <v>0</v>
      </c>
      <c r="L116">
        <v>6.43</v>
      </c>
      <c r="M116">
        <v>46176</v>
      </c>
      <c r="N116">
        <v>21</v>
      </c>
      <c r="O116">
        <v>1</v>
      </c>
      <c r="P116">
        <v>1</v>
      </c>
      <c r="Q116">
        <v>1</v>
      </c>
      <c r="R116">
        <v>1</v>
      </c>
      <c r="S116">
        <v>3</v>
      </c>
      <c r="T116">
        <v>3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836485.44</v>
      </c>
      <c r="AM116">
        <v>1111882.1200000001</v>
      </c>
      <c r="AN116">
        <v>692766.88</v>
      </c>
      <c r="AO116">
        <v>1782611.5</v>
      </c>
      <c r="AP116">
        <v>1638596.75</v>
      </c>
      <c r="AQ116">
        <v>1363496.62</v>
      </c>
      <c r="AR116">
        <v>2038504.62</v>
      </c>
      <c r="AS116">
        <v>1346424.38</v>
      </c>
      <c r="AT116" s="23" t="s">
        <v>898</v>
      </c>
      <c r="AU116" s="18">
        <v>836485.44</v>
      </c>
      <c r="AV116" s="18">
        <v>858064.19</v>
      </c>
      <c r="AW116" s="19">
        <v>534885.68999999994</v>
      </c>
      <c r="AX116" s="19">
        <v>1585238.12</v>
      </c>
      <c r="AY116" s="20">
        <v>659823.18999999994</v>
      </c>
      <c r="AZ116" s="20">
        <v>586142.75</v>
      </c>
      <c r="BA116" s="21">
        <v>1091526.5</v>
      </c>
      <c r="BB116" s="21">
        <v>1056776.25</v>
      </c>
    </row>
    <row r="117" spans="1:54">
      <c r="A117">
        <v>20062</v>
      </c>
      <c r="B117" t="s">
        <v>201</v>
      </c>
      <c r="C117" t="s">
        <v>202</v>
      </c>
      <c r="D117" t="s">
        <v>203</v>
      </c>
      <c r="E117" t="s">
        <v>204</v>
      </c>
      <c r="F117" t="s">
        <v>205</v>
      </c>
      <c r="G117">
        <v>995.75599999999997</v>
      </c>
      <c r="H117" t="s">
        <v>57</v>
      </c>
      <c r="I117">
        <v>2</v>
      </c>
      <c r="J117">
        <v>2</v>
      </c>
      <c r="K117">
        <v>1</v>
      </c>
      <c r="L117">
        <v>75.64</v>
      </c>
      <c r="M117">
        <v>57602</v>
      </c>
      <c r="N117">
        <v>32</v>
      </c>
      <c r="O117">
        <v>36</v>
      </c>
      <c r="P117">
        <v>25</v>
      </c>
      <c r="Q117">
        <v>36</v>
      </c>
      <c r="R117">
        <v>25</v>
      </c>
      <c r="S117">
        <v>368</v>
      </c>
      <c r="T117">
        <v>294</v>
      </c>
      <c r="U117">
        <v>25</v>
      </c>
      <c r="V117">
        <v>21</v>
      </c>
      <c r="W117">
        <v>22</v>
      </c>
      <c r="X117">
        <v>22</v>
      </c>
      <c r="Y117">
        <v>22</v>
      </c>
      <c r="Z117">
        <v>21</v>
      </c>
      <c r="AA117">
        <v>22</v>
      </c>
      <c r="AB117">
        <v>23</v>
      </c>
      <c r="AC117">
        <v>24</v>
      </c>
      <c r="AD117">
        <v>53</v>
      </c>
      <c r="AE117">
        <v>45</v>
      </c>
      <c r="AF117">
        <v>43</v>
      </c>
      <c r="AG117">
        <v>46</v>
      </c>
      <c r="AH117">
        <v>18</v>
      </c>
      <c r="AI117">
        <v>20</v>
      </c>
      <c r="AJ117">
        <v>39</v>
      </c>
      <c r="AK117">
        <v>30</v>
      </c>
      <c r="AL117">
        <v>410326336</v>
      </c>
      <c r="AM117">
        <v>511614528</v>
      </c>
      <c r="AN117">
        <v>480549472</v>
      </c>
      <c r="AO117">
        <v>449039968</v>
      </c>
      <c r="AP117">
        <v>220541856</v>
      </c>
      <c r="AQ117">
        <v>238118560</v>
      </c>
      <c r="AR117">
        <v>466254112</v>
      </c>
      <c r="AS117">
        <v>309535328</v>
      </c>
      <c r="AT117" s="23" t="s">
        <v>202</v>
      </c>
      <c r="AU117" s="18">
        <v>299589760</v>
      </c>
      <c r="AV117" s="18">
        <v>266378224</v>
      </c>
      <c r="AW117" s="19">
        <v>266835488</v>
      </c>
      <c r="AX117" s="19">
        <v>277921504</v>
      </c>
      <c r="AY117" s="20">
        <v>69720648</v>
      </c>
      <c r="AZ117" s="20">
        <v>80224344</v>
      </c>
      <c r="BA117" s="21">
        <v>192106384</v>
      </c>
      <c r="BB117" s="21">
        <v>218787040</v>
      </c>
    </row>
    <row r="118" spans="1:54">
      <c r="A118">
        <v>20063</v>
      </c>
      <c r="B118" t="s">
        <v>590</v>
      </c>
      <c r="C118" t="s">
        <v>591</v>
      </c>
      <c r="D118" t="s">
        <v>592</v>
      </c>
      <c r="F118" t="s">
        <v>593</v>
      </c>
      <c r="G118">
        <v>236.30199999999999</v>
      </c>
      <c r="H118" t="s">
        <v>57</v>
      </c>
      <c r="I118">
        <v>2</v>
      </c>
      <c r="J118">
        <v>3</v>
      </c>
      <c r="K118">
        <v>0</v>
      </c>
      <c r="L118">
        <v>20</v>
      </c>
      <c r="M118">
        <v>57825</v>
      </c>
      <c r="N118">
        <v>33</v>
      </c>
      <c r="O118">
        <v>12</v>
      </c>
      <c r="P118">
        <v>1</v>
      </c>
      <c r="Q118">
        <v>12</v>
      </c>
      <c r="R118">
        <v>1</v>
      </c>
      <c r="S118">
        <v>88</v>
      </c>
      <c r="T118">
        <v>14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2</v>
      </c>
      <c r="AE118">
        <v>2</v>
      </c>
      <c r="AF118">
        <v>2</v>
      </c>
      <c r="AG118">
        <v>2</v>
      </c>
      <c r="AH118">
        <v>1</v>
      </c>
      <c r="AI118">
        <v>1</v>
      </c>
      <c r="AJ118">
        <v>2</v>
      </c>
      <c r="AK118">
        <v>2</v>
      </c>
      <c r="AL118">
        <v>134068576</v>
      </c>
      <c r="AM118">
        <v>192561232</v>
      </c>
      <c r="AN118">
        <v>172087440</v>
      </c>
      <c r="AO118">
        <v>159198176</v>
      </c>
      <c r="AP118">
        <v>79763448</v>
      </c>
      <c r="AQ118">
        <v>86649312</v>
      </c>
      <c r="AR118">
        <v>158769152</v>
      </c>
      <c r="AS118">
        <v>106832256</v>
      </c>
      <c r="AT118" s="23" t="s">
        <v>591</v>
      </c>
      <c r="AU118" s="18">
        <v>5843394</v>
      </c>
      <c r="AV118" s="18">
        <v>3037934.25</v>
      </c>
      <c r="AW118" s="19">
        <v>3806617.75</v>
      </c>
      <c r="AX118" s="19">
        <v>3686639.25</v>
      </c>
      <c r="AY118" s="20">
        <v>799902.06</v>
      </c>
      <c r="AZ118" s="20">
        <v>870251.94</v>
      </c>
      <c r="BA118" s="21">
        <v>2013575</v>
      </c>
      <c r="BB118" s="21">
        <v>2505318</v>
      </c>
    </row>
    <row r="119" spans="1:54">
      <c r="A119">
        <v>20011</v>
      </c>
      <c r="B119" t="s">
        <v>1012</v>
      </c>
      <c r="C119" t="s">
        <v>1013</v>
      </c>
      <c r="D119" t="s">
        <v>1014</v>
      </c>
      <c r="F119" t="s">
        <v>1015</v>
      </c>
      <c r="G119">
        <v>28.765999999999998</v>
      </c>
      <c r="H119" t="s">
        <v>57</v>
      </c>
      <c r="I119">
        <v>2</v>
      </c>
      <c r="J119">
        <v>17</v>
      </c>
      <c r="K119">
        <v>0</v>
      </c>
      <c r="L119">
        <v>1.59</v>
      </c>
      <c r="M119">
        <v>84733</v>
      </c>
      <c r="N119">
        <v>42</v>
      </c>
      <c r="O119">
        <v>1</v>
      </c>
      <c r="P119">
        <v>1</v>
      </c>
      <c r="Q119">
        <v>1</v>
      </c>
      <c r="R119">
        <v>1</v>
      </c>
      <c r="S119">
        <v>4</v>
      </c>
      <c r="T119">
        <v>4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2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1992414.25</v>
      </c>
      <c r="AM119">
        <v>2095716.12</v>
      </c>
      <c r="AN119">
        <v>1621052.12</v>
      </c>
      <c r="AO119">
        <v>1742896.12</v>
      </c>
      <c r="AP119">
        <v>2848138.75</v>
      </c>
      <c r="AQ119">
        <v>1151350.6200000001</v>
      </c>
      <c r="AR119">
        <v>861125.5</v>
      </c>
      <c r="AS119">
        <v>565190.75</v>
      </c>
      <c r="AT119" s="23" t="s">
        <v>1013</v>
      </c>
      <c r="AU119" s="18">
        <v>1992414.25</v>
      </c>
      <c r="AV119" s="18">
        <v>1617310.75</v>
      </c>
      <c r="AW119" s="19">
        <v>1251615.25</v>
      </c>
      <c r="AX119" s="19">
        <v>1549920</v>
      </c>
      <c r="AY119" s="20">
        <v>1146876.5</v>
      </c>
      <c r="AZ119" s="20">
        <v>494945</v>
      </c>
      <c r="BA119" s="21">
        <v>461093.56</v>
      </c>
      <c r="BB119" s="21">
        <v>443604.66</v>
      </c>
    </row>
    <row r="120" spans="1:54">
      <c r="A120">
        <v>20057</v>
      </c>
      <c r="B120" t="s">
        <v>142</v>
      </c>
      <c r="C120" t="s">
        <v>143</v>
      </c>
      <c r="D120" t="s">
        <v>144</v>
      </c>
      <c r="E120" t="s">
        <v>145</v>
      </c>
      <c r="F120" t="s">
        <v>146</v>
      </c>
      <c r="G120">
        <v>1308.684</v>
      </c>
      <c r="H120" t="s">
        <v>57</v>
      </c>
      <c r="I120">
        <v>2</v>
      </c>
      <c r="J120">
        <v>10</v>
      </c>
      <c r="K120">
        <v>11</v>
      </c>
      <c r="L120">
        <v>57.16</v>
      </c>
      <c r="M120">
        <v>76239</v>
      </c>
      <c r="N120">
        <v>41</v>
      </c>
      <c r="O120">
        <v>31</v>
      </c>
      <c r="P120">
        <v>31</v>
      </c>
      <c r="Q120">
        <v>31</v>
      </c>
      <c r="R120">
        <v>31</v>
      </c>
      <c r="S120">
        <v>336</v>
      </c>
      <c r="T120">
        <v>336</v>
      </c>
      <c r="U120">
        <v>31</v>
      </c>
      <c r="V120">
        <v>25</v>
      </c>
      <c r="W120">
        <v>27</v>
      </c>
      <c r="X120">
        <v>27</v>
      </c>
      <c r="Y120">
        <v>28</v>
      </c>
      <c r="Z120">
        <v>30</v>
      </c>
      <c r="AA120">
        <v>29</v>
      </c>
      <c r="AB120">
        <v>29</v>
      </c>
      <c r="AC120">
        <v>31</v>
      </c>
      <c r="AD120">
        <v>48</v>
      </c>
      <c r="AE120">
        <v>51</v>
      </c>
      <c r="AF120">
        <v>52</v>
      </c>
      <c r="AG120">
        <v>49</v>
      </c>
      <c r="AH120">
        <v>23</v>
      </c>
      <c r="AI120">
        <v>28</v>
      </c>
      <c r="AJ120">
        <v>43</v>
      </c>
      <c r="AK120">
        <v>42</v>
      </c>
      <c r="AL120">
        <v>324568736</v>
      </c>
      <c r="AM120">
        <v>299328736</v>
      </c>
      <c r="AN120">
        <v>307498272</v>
      </c>
      <c r="AO120">
        <v>300342432</v>
      </c>
      <c r="AP120">
        <v>139346928</v>
      </c>
      <c r="AQ120">
        <v>154342992</v>
      </c>
      <c r="AR120">
        <v>317767360</v>
      </c>
      <c r="AS120">
        <v>233846848</v>
      </c>
      <c r="AT120" s="23" t="s">
        <v>143</v>
      </c>
      <c r="AU120" s="18">
        <v>349593952</v>
      </c>
      <c r="AV120" s="18">
        <v>283731904</v>
      </c>
      <c r="AW120" s="19">
        <v>286865120</v>
      </c>
      <c r="AX120" s="19">
        <v>301813920</v>
      </c>
      <c r="AY120" s="20">
        <v>69849888</v>
      </c>
      <c r="AZ120" s="20">
        <v>87661864</v>
      </c>
      <c r="BA120" s="21">
        <v>201648304</v>
      </c>
      <c r="BB120" s="21">
        <v>219159872</v>
      </c>
    </row>
    <row r="121" spans="1:54">
      <c r="A121">
        <v>19983</v>
      </c>
      <c r="B121" t="s">
        <v>147</v>
      </c>
      <c r="C121" t="s">
        <v>148</v>
      </c>
      <c r="D121" t="s">
        <v>149</v>
      </c>
      <c r="F121" t="s">
        <v>150</v>
      </c>
      <c r="G121">
        <v>1221.0840000000001</v>
      </c>
      <c r="H121" t="s">
        <v>57</v>
      </c>
      <c r="I121">
        <v>2</v>
      </c>
      <c r="J121">
        <v>3</v>
      </c>
      <c r="K121">
        <v>0</v>
      </c>
      <c r="L121">
        <v>67.41</v>
      </c>
      <c r="M121">
        <v>29613</v>
      </c>
      <c r="N121">
        <v>16</v>
      </c>
      <c r="O121">
        <v>26</v>
      </c>
      <c r="P121">
        <v>26</v>
      </c>
      <c r="Q121">
        <v>28</v>
      </c>
      <c r="R121">
        <v>28</v>
      </c>
      <c r="S121">
        <v>2934</v>
      </c>
      <c r="T121">
        <v>2934</v>
      </c>
      <c r="U121">
        <v>28</v>
      </c>
      <c r="V121">
        <v>23</v>
      </c>
      <c r="W121">
        <v>26</v>
      </c>
      <c r="X121">
        <v>27</v>
      </c>
      <c r="Y121">
        <v>27</v>
      </c>
      <c r="Z121">
        <v>28</v>
      </c>
      <c r="AA121">
        <v>27</v>
      </c>
      <c r="AB121">
        <v>28</v>
      </c>
      <c r="AC121">
        <v>28</v>
      </c>
      <c r="AD121">
        <v>274</v>
      </c>
      <c r="AE121">
        <v>334</v>
      </c>
      <c r="AF121">
        <v>405</v>
      </c>
      <c r="AG121">
        <v>335</v>
      </c>
      <c r="AH121">
        <v>281</v>
      </c>
      <c r="AI121">
        <v>328</v>
      </c>
      <c r="AJ121">
        <v>452</v>
      </c>
      <c r="AK121">
        <v>525</v>
      </c>
      <c r="AL121">
        <v>7965608960</v>
      </c>
      <c r="AM121">
        <v>8799005696</v>
      </c>
      <c r="AN121">
        <v>8940572672</v>
      </c>
      <c r="AO121">
        <v>7892573696</v>
      </c>
      <c r="AP121">
        <v>10751102976</v>
      </c>
      <c r="AQ121">
        <v>11348226048</v>
      </c>
      <c r="AR121">
        <v>14820665344</v>
      </c>
      <c r="AS121">
        <v>12295263232</v>
      </c>
      <c r="AT121" s="23" t="s">
        <v>148</v>
      </c>
      <c r="AU121" s="18">
        <v>6483794432</v>
      </c>
      <c r="AV121" s="18">
        <v>5833820672</v>
      </c>
      <c r="AW121" s="19">
        <v>5955674112</v>
      </c>
      <c r="AX121" s="19">
        <v>6893689856</v>
      </c>
      <c r="AY121" s="20">
        <v>4879346688</v>
      </c>
      <c r="AZ121" s="20">
        <v>5769380864</v>
      </c>
      <c r="BA121" s="21">
        <v>11455106048</v>
      </c>
      <c r="BB121" s="21">
        <v>13247745024</v>
      </c>
    </row>
    <row r="122" spans="1:54">
      <c r="A122">
        <v>20010</v>
      </c>
      <c r="B122" t="s">
        <v>408</v>
      </c>
      <c r="C122" t="s">
        <v>409</v>
      </c>
      <c r="D122" t="s">
        <v>410</v>
      </c>
      <c r="F122" t="s">
        <v>411</v>
      </c>
      <c r="G122">
        <v>434.77499999999998</v>
      </c>
      <c r="H122" t="s">
        <v>57</v>
      </c>
      <c r="I122">
        <v>2</v>
      </c>
      <c r="J122">
        <v>21</v>
      </c>
      <c r="K122">
        <v>0</v>
      </c>
      <c r="L122">
        <v>76.14</v>
      </c>
      <c r="M122">
        <v>10234</v>
      </c>
      <c r="N122">
        <v>7</v>
      </c>
      <c r="O122">
        <v>7</v>
      </c>
      <c r="P122">
        <v>7</v>
      </c>
      <c r="Q122">
        <v>9</v>
      </c>
      <c r="R122">
        <v>9</v>
      </c>
      <c r="S122">
        <v>706</v>
      </c>
      <c r="T122">
        <v>706</v>
      </c>
      <c r="U122">
        <v>9</v>
      </c>
      <c r="V122">
        <v>9</v>
      </c>
      <c r="W122">
        <v>8</v>
      </c>
      <c r="X122">
        <v>9</v>
      </c>
      <c r="Y122">
        <v>9</v>
      </c>
      <c r="Z122">
        <v>9</v>
      </c>
      <c r="AA122">
        <v>9</v>
      </c>
      <c r="AB122">
        <v>9</v>
      </c>
      <c r="AC122">
        <v>9</v>
      </c>
      <c r="AD122">
        <v>105</v>
      </c>
      <c r="AE122">
        <v>89</v>
      </c>
      <c r="AF122">
        <v>82</v>
      </c>
      <c r="AG122">
        <v>58</v>
      </c>
      <c r="AH122">
        <v>108</v>
      </c>
      <c r="AI122">
        <v>99</v>
      </c>
      <c r="AJ122">
        <v>74</v>
      </c>
      <c r="AK122">
        <v>91</v>
      </c>
      <c r="AL122">
        <v>508145792</v>
      </c>
      <c r="AM122">
        <v>722618880</v>
      </c>
      <c r="AN122">
        <v>688815552</v>
      </c>
      <c r="AO122">
        <v>544619392</v>
      </c>
      <c r="AP122">
        <v>1328345856</v>
      </c>
      <c r="AQ122">
        <v>1169685376</v>
      </c>
      <c r="AR122">
        <v>1375498752</v>
      </c>
      <c r="AS122">
        <v>802876352</v>
      </c>
      <c r="AT122" s="23" t="s">
        <v>409</v>
      </c>
      <c r="AU122" s="18">
        <v>682695104</v>
      </c>
      <c r="AV122" s="18">
        <v>824711360</v>
      </c>
      <c r="AW122" s="19">
        <v>689388672</v>
      </c>
      <c r="AX122" s="19">
        <v>673372224</v>
      </c>
      <c r="AY122" s="20">
        <v>781237568</v>
      </c>
      <c r="AZ122" s="20">
        <v>787860352</v>
      </c>
      <c r="BA122" s="21">
        <v>985203776</v>
      </c>
      <c r="BB122" s="21">
        <v>873574784</v>
      </c>
    </row>
    <row r="123" spans="1:54">
      <c r="A123">
        <v>20260</v>
      </c>
      <c r="B123" t="s">
        <v>666</v>
      </c>
      <c r="C123" t="s">
        <v>667</v>
      </c>
      <c r="D123" t="s">
        <v>666</v>
      </c>
      <c r="F123" t="s">
        <v>668</v>
      </c>
      <c r="G123">
        <v>152.01900000000001</v>
      </c>
      <c r="H123" t="s">
        <v>57</v>
      </c>
      <c r="I123">
        <v>2</v>
      </c>
      <c r="J123">
        <v>1</v>
      </c>
      <c r="K123">
        <v>0</v>
      </c>
      <c r="L123">
        <v>28.45</v>
      </c>
      <c r="M123">
        <v>49873</v>
      </c>
      <c r="N123">
        <v>22</v>
      </c>
      <c r="O123">
        <v>9</v>
      </c>
      <c r="P123">
        <v>9</v>
      </c>
      <c r="Q123">
        <v>9</v>
      </c>
      <c r="R123">
        <v>9</v>
      </c>
      <c r="S123">
        <v>38</v>
      </c>
      <c r="T123">
        <v>38</v>
      </c>
      <c r="U123">
        <v>9</v>
      </c>
      <c r="V123">
        <v>4</v>
      </c>
      <c r="W123">
        <v>6</v>
      </c>
      <c r="X123">
        <v>7</v>
      </c>
      <c r="Y123">
        <v>8</v>
      </c>
      <c r="Z123">
        <v>9</v>
      </c>
      <c r="AA123">
        <v>9</v>
      </c>
      <c r="AB123">
        <v>9</v>
      </c>
      <c r="AC123">
        <v>9</v>
      </c>
      <c r="AD123">
        <v>3</v>
      </c>
      <c r="AE123">
        <v>5</v>
      </c>
      <c r="AF123">
        <v>5</v>
      </c>
      <c r="AG123">
        <v>6</v>
      </c>
      <c r="AH123">
        <v>5</v>
      </c>
      <c r="AI123">
        <v>5</v>
      </c>
      <c r="AJ123">
        <v>6</v>
      </c>
      <c r="AK123">
        <v>3</v>
      </c>
      <c r="AL123">
        <v>19842204</v>
      </c>
      <c r="AM123">
        <v>27099220</v>
      </c>
      <c r="AN123">
        <v>18298908</v>
      </c>
      <c r="AO123">
        <v>17932638</v>
      </c>
      <c r="AP123">
        <v>31119836</v>
      </c>
      <c r="AQ123">
        <v>29893290</v>
      </c>
      <c r="AR123">
        <v>30762952</v>
      </c>
      <c r="AS123">
        <v>21462078</v>
      </c>
      <c r="AT123" s="23" t="s">
        <v>667</v>
      </c>
      <c r="AU123" s="18">
        <v>579079</v>
      </c>
      <c r="AV123" s="18">
        <v>10401533</v>
      </c>
      <c r="AW123" s="19">
        <v>15695305</v>
      </c>
      <c r="AX123" s="19">
        <v>21740678</v>
      </c>
      <c r="AY123" s="20">
        <v>13805927</v>
      </c>
      <c r="AZ123" s="20">
        <v>16293122</v>
      </c>
      <c r="BA123" s="21">
        <v>24373984</v>
      </c>
      <c r="BB123" s="21">
        <v>23922408</v>
      </c>
    </row>
    <row r="124" spans="1:54">
      <c r="A124">
        <v>19999</v>
      </c>
      <c r="B124" t="s">
        <v>991</v>
      </c>
      <c r="C124" t="s">
        <v>992</v>
      </c>
      <c r="D124" t="s">
        <v>991</v>
      </c>
      <c r="F124" t="s">
        <v>993</v>
      </c>
      <c r="G124">
        <v>32.756</v>
      </c>
      <c r="H124" t="s">
        <v>57</v>
      </c>
      <c r="I124">
        <v>2</v>
      </c>
      <c r="J124">
        <v>1</v>
      </c>
      <c r="K124">
        <v>0</v>
      </c>
      <c r="L124">
        <v>17.43</v>
      </c>
      <c r="M124">
        <v>33519</v>
      </c>
      <c r="N124">
        <v>22</v>
      </c>
      <c r="O124">
        <v>5</v>
      </c>
      <c r="P124">
        <v>5</v>
      </c>
      <c r="Q124">
        <v>5</v>
      </c>
      <c r="R124">
        <v>5</v>
      </c>
      <c r="S124">
        <v>10</v>
      </c>
      <c r="T124">
        <v>10</v>
      </c>
      <c r="U124">
        <v>5</v>
      </c>
      <c r="V124">
        <v>3</v>
      </c>
      <c r="W124">
        <v>2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4</v>
      </c>
      <c r="AD124">
        <v>0</v>
      </c>
      <c r="AE124">
        <v>0</v>
      </c>
      <c r="AF124">
        <v>0</v>
      </c>
      <c r="AG124">
        <v>2</v>
      </c>
      <c r="AH124">
        <v>3</v>
      </c>
      <c r="AI124">
        <v>3</v>
      </c>
      <c r="AJ124">
        <v>2</v>
      </c>
      <c r="AK124">
        <v>1</v>
      </c>
      <c r="AL124">
        <v>1838443.5</v>
      </c>
      <c r="AM124">
        <v>2210138</v>
      </c>
      <c r="AN124">
        <v>4305208.5</v>
      </c>
      <c r="AO124">
        <v>4014340.75</v>
      </c>
      <c r="AP124">
        <v>5916748.5</v>
      </c>
      <c r="AQ124">
        <v>5216630.5</v>
      </c>
      <c r="AR124">
        <v>4529489</v>
      </c>
      <c r="AS124">
        <v>2845614.75</v>
      </c>
      <c r="AT124" s="23" t="s">
        <v>992</v>
      </c>
      <c r="AU124" s="18">
        <v>1198386.5</v>
      </c>
      <c r="AV124" s="18">
        <v>85006.94</v>
      </c>
      <c r="AW124" s="19">
        <v>3675861.75</v>
      </c>
      <c r="AX124" s="19">
        <v>3897826.75</v>
      </c>
      <c r="AY124" s="20">
        <v>2698677.25</v>
      </c>
      <c r="AZ124" s="20">
        <v>2568095</v>
      </c>
      <c r="BA124" s="21">
        <v>2832813</v>
      </c>
      <c r="BB124" s="21">
        <v>2553464.75</v>
      </c>
    </row>
    <row r="125" spans="1:54">
      <c r="A125">
        <v>20141</v>
      </c>
      <c r="B125" t="s">
        <v>833</v>
      </c>
      <c r="C125" t="s">
        <v>834</v>
      </c>
      <c r="D125" t="s">
        <v>833</v>
      </c>
      <c r="F125" t="s">
        <v>835</v>
      </c>
      <c r="G125">
        <v>81.567999999999998</v>
      </c>
      <c r="H125" t="s">
        <v>57</v>
      </c>
      <c r="I125">
        <v>2</v>
      </c>
      <c r="J125">
        <v>1</v>
      </c>
      <c r="K125">
        <v>0</v>
      </c>
      <c r="L125">
        <v>26.61</v>
      </c>
      <c r="M125">
        <v>14259</v>
      </c>
      <c r="N125">
        <v>4</v>
      </c>
      <c r="O125">
        <v>2</v>
      </c>
      <c r="P125">
        <v>2</v>
      </c>
      <c r="Q125">
        <v>2</v>
      </c>
      <c r="R125">
        <v>2</v>
      </c>
      <c r="S125">
        <v>18</v>
      </c>
      <c r="T125">
        <v>18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4</v>
      </c>
      <c r="AE125">
        <v>3</v>
      </c>
      <c r="AF125">
        <v>2</v>
      </c>
      <c r="AG125">
        <v>0</v>
      </c>
      <c r="AH125">
        <v>3</v>
      </c>
      <c r="AI125">
        <v>2</v>
      </c>
      <c r="AJ125">
        <v>2</v>
      </c>
      <c r="AK125">
        <v>2</v>
      </c>
      <c r="AL125">
        <v>6992052</v>
      </c>
      <c r="AM125">
        <v>9410789</v>
      </c>
      <c r="AN125">
        <v>3980060.75</v>
      </c>
      <c r="AO125">
        <v>3665153.5</v>
      </c>
      <c r="AP125">
        <v>9525064</v>
      </c>
      <c r="AQ125">
        <v>9948264</v>
      </c>
      <c r="AR125">
        <v>4735286.5</v>
      </c>
      <c r="AS125">
        <v>2926785.75</v>
      </c>
      <c r="AT125" s="23" t="s">
        <v>834</v>
      </c>
      <c r="AU125" s="18">
        <v>7582543</v>
      </c>
      <c r="AV125" s="18">
        <v>7463229.5</v>
      </c>
      <c r="AW125" s="19">
        <v>3133360.75</v>
      </c>
      <c r="AX125" s="19">
        <v>3278219.25</v>
      </c>
      <c r="AY125" s="20">
        <v>3562969.25</v>
      </c>
      <c r="AZ125" s="20">
        <v>4194941</v>
      </c>
      <c r="BA125" s="21">
        <v>2244570.25</v>
      </c>
      <c r="BB125" s="21">
        <v>2211648.5</v>
      </c>
    </row>
    <row r="126" spans="1:54">
      <c r="A126">
        <v>20037</v>
      </c>
      <c r="B126" t="s">
        <v>510</v>
      </c>
      <c r="C126" t="s">
        <v>511</v>
      </c>
      <c r="D126" t="s">
        <v>512</v>
      </c>
      <c r="E126" t="s">
        <v>513</v>
      </c>
      <c r="F126" t="s">
        <v>514</v>
      </c>
      <c r="G126">
        <v>310.13400000000001</v>
      </c>
      <c r="H126" t="s">
        <v>57</v>
      </c>
      <c r="I126">
        <v>2</v>
      </c>
      <c r="J126">
        <v>16</v>
      </c>
      <c r="K126">
        <v>5</v>
      </c>
      <c r="L126">
        <v>23.01</v>
      </c>
      <c r="M126">
        <v>53597</v>
      </c>
      <c r="N126">
        <v>20</v>
      </c>
      <c r="O126">
        <v>9</v>
      </c>
      <c r="P126">
        <v>9</v>
      </c>
      <c r="Q126">
        <v>9</v>
      </c>
      <c r="R126">
        <v>9</v>
      </c>
      <c r="S126">
        <v>45</v>
      </c>
      <c r="T126">
        <v>45</v>
      </c>
      <c r="U126">
        <v>9</v>
      </c>
      <c r="V126">
        <v>7</v>
      </c>
      <c r="W126">
        <v>7</v>
      </c>
      <c r="X126">
        <v>9</v>
      </c>
      <c r="Y126">
        <v>9</v>
      </c>
      <c r="Z126">
        <v>7</v>
      </c>
      <c r="AA126">
        <v>7</v>
      </c>
      <c r="AB126">
        <v>7</v>
      </c>
      <c r="AC126">
        <v>8</v>
      </c>
      <c r="AD126">
        <v>4</v>
      </c>
      <c r="AE126">
        <v>2</v>
      </c>
      <c r="AF126">
        <v>7</v>
      </c>
      <c r="AG126">
        <v>6</v>
      </c>
      <c r="AH126">
        <v>5</v>
      </c>
      <c r="AI126">
        <v>7</v>
      </c>
      <c r="AJ126">
        <v>10</v>
      </c>
      <c r="AK126">
        <v>6</v>
      </c>
      <c r="AL126">
        <v>7827860.5</v>
      </c>
      <c r="AM126">
        <v>12532996</v>
      </c>
      <c r="AN126">
        <v>25027728</v>
      </c>
      <c r="AO126">
        <v>25936920</v>
      </c>
      <c r="AP126">
        <v>29509176</v>
      </c>
      <c r="AQ126">
        <v>29612732</v>
      </c>
      <c r="AR126">
        <v>34421436</v>
      </c>
      <c r="AS126">
        <v>23252826</v>
      </c>
      <c r="AT126" s="23" t="s">
        <v>511</v>
      </c>
      <c r="AU126" s="18">
        <v>5357466</v>
      </c>
      <c r="AV126" s="18">
        <v>9776355</v>
      </c>
      <c r="AW126" s="19">
        <v>20848430</v>
      </c>
      <c r="AX126" s="19">
        <v>24037518</v>
      </c>
      <c r="AY126" s="20">
        <v>12473406</v>
      </c>
      <c r="AZ126" s="20">
        <v>13996621</v>
      </c>
      <c r="BA126" s="21">
        <v>22470692</v>
      </c>
      <c r="BB126" s="21">
        <v>21643632</v>
      </c>
    </row>
    <row r="127" spans="1:54">
      <c r="A127">
        <v>20247</v>
      </c>
      <c r="B127" t="s">
        <v>933</v>
      </c>
      <c r="C127" t="s">
        <v>934</v>
      </c>
      <c r="D127" t="s">
        <v>935</v>
      </c>
      <c r="E127" t="s">
        <v>936</v>
      </c>
      <c r="F127" t="s">
        <v>937</v>
      </c>
      <c r="G127">
        <v>42.841000000000001</v>
      </c>
      <c r="H127" t="s">
        <v>57</v>
      </c>
      <c r="I127">
        <v>2</v>
      </c>
      <c r="J127">
        <v>2</v>
      </c>
      <c r="K127">
        <v>1</v>
      </c>
      <c r="L127">
        <v>5.86</v>
      </c>
      <c r="M127">
        <v>53388</v>
      </c>
      <c r="N127">
        <v>27</v>
      </c>
      <c r="O127">
        <v>2</v>
      </c>
      <c r="P127">
        <v>2</v>
      </c>
      <c r="Q127">
        <v>2</v>
      </c>
      <c r="R127">
        <v>2</v>
      </c>
      <c r="S127">
        <v>3</v>
      </c>
      <c r="T127">
        <v>3</v>
      </c>
      <c r="U127">
        <v>2</v>
      </c>
      <c r="Y127">
        <v>1</v>
      </c>
      <c r="Z127">
        <v>2</v>
      </c>
      <c r="AA127">
        <v>2</v>
      </c>
      <c r="AB127">
        <v>2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3</v>
      </c>
      <c r="AK127">
        <v>1</v>
      </c>
      <c r="AO127">
        <v>188365.98</v>
      </c>
      <c r="AP127">
        <v>1089909</v>
      </c>
      <c r="AQ127">
        <v>1132542</v>
      </c>
      <c r="AR127">
        <v>2067336.38</v>
      </c>
      <c r="AS127">
        <v>1434521.75</v>
      </c>
      <c r="AT127" s="23" t="s">
        <v>934</v>
      </c>
      <c r="AU127" s="18">
        <v>49505.43</v>
      </c>
      <c r="AV127" s="18">
        <v>111774.65</v>
      </c>
      <c r="AW127" s="19">
        <v>213953.23</v>
      </c>
      <c r="AX127" s="19">
        <v>43587.59</v>
      </c>
      <c r="AY127" s="20">
        <v>547118.25</v>
      </c>
      <c r="AZ127" s="20">
        <v>618270.68999999994</v>
      </c>
      <c r="BA127" s="21">
        <v>1246396.1200000001</v>
      </c>
      <c r="BB127" s="21">
        <v>801311.44</v>
      </c>
    </row>
    <row r="128" spans="1:54">
      <c r="A128">
        <v>20015</v>
      </c>
      <c r="B128" t="s">
        <v>460</v>
      </c>
      <c r="C128" t="s">
        <v>461</v>
      </c>
      <c r="D128" t="s">
        <v>462</v>
      </c>
      <c r="E128" t="s">
        <v>463</v>
      </c>
      <c r="F128" t="s">
        <v>464</v>
      </c>
      <c r="G128">
        <v>376.55</v>
      </c>
      <c r="H128" t="s">
        <v>57</v>
      </c>
      <c r="I128">
        <v>2</v>
      </c>
      <c r="J128">
        <v>12</v>
      </c>
      <c r="K128">
        <v>9</v>
      </c>
      <c r="L128">
        <v>80.42</v>
      </c>
      <c r="M128">
        <v>15463</v>
      </c>
      <c r="N128">
        <v>10</v>
      </c>
      <c r="O128">
        <v>7</v>
      </c>
      <c r="P128">
        <v>7</v>
      </c>
      <c r="Q128">
        <v>7</v>
      </c>
      <c r="R128">
        <v>7</v>
      </c>
      <c r="S128">
        <v>116</v>
      </c>
      <c r="T128">
        <v>116</v>
      </c>
      <c r="U128">
        <v>7</v>
      </c>
      <c r="V128">
        <v>5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7</v>
      </c>
      <c r="AC128">
        <v>7</v>
      </c>
      <c r="AD128">
        <v>14</v>
      </c>
      <c r="AE128">
        <v>18</v>
      </c>
      <c r="AF128">
        <v>16</v>
      </c>
      <c r="AG128">
        <v>14</v>
      </c>
      <c r="AH128">
        <v>9</v>
      </c>
      <c r="AI128">
        <v>9</v>
      </c>
      <c r="AJ128">
        <v>20</v>
      </c>
      <c r="AK128">
        <v>16</v>
      </c>
      <c r="AL128">
        <v>176675872</v>
      </c>
      <c r="AM128">
        <v>234778560</v>
      </c>
      <c r="AN128">
        <v>230194208</v>
      </c>
      <c r="AO128">
        <v>215219424</v>
      </c>
      <c r="AP128">
        <v>184192080</v>
      </c>
      <c r="AQ128">
        <v>171883792</v>
      </c>
      <c r="AR128">
        <v>381113184</v>
      </c>
      <c r="AS128">
        <v>200118928</v>
      </c>
      <c r="AT128" s="23" t="s">
        <v>461</v>
      </c>
      <c r="AU128" s="18">
        <v>153395680</v>
      </c>
      <c r="AV128" s="18">
        <v>209449952</v>
      </c>
      <c r="AW128" s="19">
        <v>198754992</v>
      </c>
      <c r="AX128" s="19">
        <v>207299664</v>
      </c>
      <c r="AY128" s="20">
        <v>83369312</v>
      </c>
      <c r="AZ128" s="20">
        <v>83229144</v>
      </c>
      <c r="BA128" s="21">
        <v>210039904</v>
      </c>
      <c r="BB128" s="21">
        <v>186095520</v>
      </c>
    </row>
    <row r="129" spans="1:54">
      <c r="A129">
        <v>19990</v>
      </c>
      <c r="B129" t="s">
        <v>606</v>
      </c>
      <c r="C129" t="s">
        <v>607</v>
      </c>
      <c r="D129" t="s">
        <v>608</v>
      </c>
      <c r="E129" t="s">
        <v>609</v>
      </c>
      <c r="F129" t="s">
        <v>610</v>
      </c>
      <c r="G129">
        <v>220.56</v>
      </c>
      <c r="H129" t="s">
        <v>57</v>
      </c>
      <c r="I129">
        <v>2</v>
      </c>
      <c r="J129">
        <v>2</v>
      </c>
      <c r="K129">
        <v>18</v>
      </c>
      <c r="L129">
        <v>20.260000000000002</v>
      </c>
      <c r="M129">
        <v>43285</v>
      </c>
      <c r="N129">
        <v>21</v>
      </c>
      <c r="O129">
        <v>5</v>
      </c>
      <c r="P129">
        <v>5</v>
      </c>
      <c r="Q129">
        <v>5</v>
      </c>
      <c r="R129">
        <v>5</v>
      </c>
      <c r="S129">
        <v>23</v>
      </c>
      <c r="T129">
        <v>23</v>
      </c>
      <c r="U129">
        <v>5</v>
      </c>
      <c r="V129">
        <v>2</v>
      </c>
      <c r="W129">
        <v>3</v>
      </c>
      <c r="X129">
        <v>4</v>
      </c>
      <c r="Y129">
        <v>4</v>
      </c>
      <c r="Z129">
        <v>5</v>
      </c>
      <c r="AA129">
        <v>5</v>
      </c>
      <c r="AB129">
        <v>5</v>
      </c>
      <c r="AC129">
        <v>5</v>
      </c>
      <c r="AD129">
        <v>2</v>
      </c>
      <c r="AE129">
        <v>3</v>
      </c>
      <c r="AF129">
        <v>3</v>
      </c>
      <c r="AG129">
        <v>2</v>
      </c>
      <c r="AH129">
        <v>6</v>
      </c>
      <c r="AI129">
        <v>3</v>
      </c>
      <c r="AJ129">
        <v>3</v>
      </c>
      <c r="AK129">
        <v>1</v>
      </c>
      <c r="AL129">
        <v>1462052.5</v>
      </c>
      <c r="AM129">
        <v>2285028.5</v>
      </c>
      <c r="AN129">
        <v>2506215</v>
      </c>
      <c r="AO129">
        <v>2338916.75</v>
      </c>
      <c r="AP129">
        <v>8993331</v>
      </c>
      <c r="AQ129">
        <v>5348173</v>
      </c>
      <c r="AR129">
        <v>2982085.25</v>
      </c>
      <c r="AS129">
        <v>2441960.5</v>
      </c>
      <c r="AT129" s="23" t="s">
        <v>607</v>
      </c>
      <c r="AU129" s="18">
        <v>186658.78</v>
      </c>
      <c r="AV129" s="18">
        <v>2455163.5</v>
      </c>
      <c r="AW129" s="19">
        <v>3506878.75</v>
      </c>
      <c r="AX129" s="19">
        <v>3790749.5</v>
      </c>
      <c r="AY129" s="20">
        <v>6125093.5</v>
      </c>
      <c r="AZ129" s="20">
        <v>4637060.5</v>
      </c>
      <c r="BA129" s="21">
        <v>2917824.5</v>
      </c>
      <c r="BB129" s="21">
        <v>2733283.25</v>
      </c>
    </row>
    <row r="130" spans="1:54">
      <c r="A130">
        <v>20186</v>
      </c>
      <c r="B130" t="s">
        <v>836</v>
      </c>
      <c r="C130" t="s">
        <v>837</v>
      </c>
      <c r="D130" t="s">
        <v>838</v>
      </c>
      <c r="F130" t="s">
        <v>839</v>
      </c>
      <c r="G130">
        <v>81.403000000000006</v>
      </c>
      <c r="H130" t="s">
        <v>57</v>
      </c>
      <c r="I130">
        <v>2</v>
      </c>
      <c r="J130">
        <v>2</v>
      </c>
      <c r="K130">
        <v>0</v>
      </c>
      <c r="L130">
        <v>11.27</v>
      </c>
      <c r="M130">
        <v>37200</v>
      </c>
      <c r="N130">
        <v>21</v>
      </c>
      <c r="O130">
        <v>3</v>
      </c>
      <c r="P130">
        <v>3</v>
      </c>
      <c r="Q130">
        <v>3</v>
      </c>
      <c r="R130">
        <v>3</v>
      </c>
      <c r="S130">
        <v>24</v>
      </c>
      <c r="T130">
        <v>24</v>
      </c>
      <c r="U130">
        <v>3</v>
      </c>
      <c r="V130">
        <v>2</v>
      </c>
      <c r="W130">
        <v>3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2</v>
      </c>
      <c r="AF130">
        <v>4</v>
      </c>
      <c r="AG130">
        <v>4</v>
      </c>
      <c r="AH130">
        <v>3</v>
      </c>
      <c r="AI130">
        <v>2</v>
      </c>
      <c r="AJ130">
        <v>3</v>
      </c>
      <c r="AK130">
        <v>2</v>
      </c>
      <c r="AL130">
        <v>27444502</v>
      </c>
      <c r="AM130">
        <v>28791264</v>
      </c>
      <c r="AN130">
        <v>15973851</v>
      </c>
      <c r="AO130">
        <v>17644738</v>
      </c>
      <c r="AP130">
        <v>24431404</v>
      </c>
      <c r="AQ130">
        <v>20825094</v>
      </c>
      <c r="AR130">
        <v>10501763</v>
      </c>
      <c r="AS130">
        <v>9290018</v>
      </c>
      <c r="AT130" s="23" t="s">
        <v>837</v>
      </c>
      <c r="AU130" s="18">
        <v>21666724</v>
      </c>
      <c r="AV130" s="18">
        <v>23481068</v>
      </c>
      <c r="AW130" s="19">
        <v>12886601</v>
      </c>
      <c r="AX130" s="19">
        <v>16066694</v>
      </c>
      <c r="AY130" s="20">
        <v>10232601</v>
      </c>
      <c r="AZ130" s="20">
        <v>9182068</v>
      </c>
      <c r="BA130" s="21">
        <v>6380858</v>
      </c>
      <c r="BB130" s="21">
        <v>8887548</v>
      </c>
    </row>
    <row r="131" spans="1:54">
      <c r="A131">
        <v>20041</v>
      </c>
      <c r="B131" t="s">
        <v>539</v>
      </c>
      <c r="C131" t="s">
        <v>540</v>
      </c>
      <c r="D131" t="s">
        <v>539</v>
      </c>
      <c r="E131" t="s">
        <v>541</v>
      </c>
      <c r="F131" t="s">
        <v>542</v>
      </c>
      <c r="G131">
        <v>280.83</v>
      </c>
      <c r="H131" t="s">
        <v>57</v>
      </c>
      <c r="I131">
        <v>2</v>
      </c>
      <c r="J131">
        <v>1</v>
      </c>
      <c r="K131">
        <v>6</v>
      </c>
      <c r="L131">
        <v>19.62</v>
      </c>
      <c r="M131">
        <v>40367</v>
      </c>
      <c r="N131">
        <v>21</v>
      </c>
      <c r="O131">
        <v>7</v>
      </c>
      <c r="P131">
        <v>7</v>
      </c>
      <c r="Q131">
        <v>7</v>
      </c>
      <c r="R131">
        <v>7</v>
      </c>
      <c r="S131">
        <v>89</v>
      </c>
      <c r="T131">
        <v>89</v>
      </c>
      <c r="U131">
        <v>7</v>
      </c>
      <c r="V131">
        <v>7</v>
      </c>
      <c r="W131">
        <v>7</v>
      </c>
      <c r="X131">
        <v>7</v>
      </c>
      <c r="Y131">
        <v>6</v>
      </c>
      <c r="Z131">
        <v>7</v>
      </c>
      <c r="AA131">
        <v>7</v>
      </c>
      <c r="AB131">
        <v>7</v>
      </c>
      <c r="AC131">
        <v>7</v>
      </c>
      <c r="AD131">
        <v>19</v>
      </c>
      <c r="AE131">
        <v>15</v>
      </c>
      <c r="AF131">
        <v>8</v>
      </c>
      <c r="AG131">
        <v>7</v>
      </c>
      <c r="AH131">
        <v>19</v>
      </c>
      <c r="AI131">
        <v>16</v>
      </c>
      <c r="AJ131">
        <v>3</v>
      </c>
      <c r="AK131">
        <v>2</v>
      </c>
      <c r="AL131">
        <v>62215964</v>
      </c>
      <c r="AM131">
        <v>73414680</v>
      </c>
      <c r="AN131">
        <v>21105946</v>
      </c>
      <c r="AO131">
        <v>19505682</v>
      </c>
      <c r="AP131">
        <v>81327104</v>
      </c>
      <c r="AQ131">
        <v>62487516</v>
      </c>
      <c r="AR131">
        <v>7387830</v>
      </c>
      <c r="AS131">
        <v>6618353.5</v>
      </c>
      <c r="AT131" s="23" t="s">
        <v>540</v>
      </c>
      <c r="AU131" s="18">
        <v>96952384</v>
      </c>
      <c r="AV131" s="18">
        <v>95663368</v>
      </c>
      <c r="AW131" s="19">
        <v>27974214</v>
      </c>
      <c r="AX131" s="19">
        <v>30040814</v>
      </c>
      <c r="AY131" s="20">
        <v>57106784</v>
      </c>
      <c r="AZ131" s="20">
        <v>51240052</v>
      </c>
      <c r="BA131" s="21">
        <v>7857661</v>
      </c>
      <c r="BB131" s="21">
        <v>8678348</v>
      </c>
    </row>
    <row r="132" spans="1:54">
      <c r="A132">
        <v>20123</v>
      </c>
      <c r="B132" t="s">
        <v>1031</v>
      </c>
      <c r="C132" t="s">
        <v>1032</v>
      </c>
      <c r="D132" t="s">
        <v>1033</v>
      </c>
      <c r="F132" t="s">
        <v>1034</v>
      </c>
      <c r="G132">
        <v>26.553000000000001</v>
      </c>
      <c r="H132" t="s">
        <v>57</v>
      </c>
      <c r="I132">
        <v>2</v>
      </c>
      <c r="J132">
        <v>2</v>
      </c>
      <c r="K132">
        <v>0</v>
      </c>
      <c r="L132">
        <v>2.84</v>
      </c>
      <c r="M132">
        <v>35592</v>
      </c>
      <c r="N132">
        <v>18</v>
      </c>
      <c r="O132">
        <v>1</v>
      </c>
      <c r="P132">
        <v>1</v>
      </c>
      <c r="Q132">
        <v>1</v>
      </c>
      <c r="R132">
        <v>1</v>
      </c>
      <c r="S132">
        <v>3</v>
      </c>
      <c r="T132">
        <v>3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0</v>
      </c>
      <c r="AL132">
        <v>2105478.5</v>
      </c>
      <c r="AM132">
        <v>1801557.88</v>
      </c>
      <c r="AN132">
        <v>769545.25</v>
      </c>
      <c r="AO132">
        <v>791518.25</v>
      </c>
      <c r="AP132">
        <v>4192730.5</v>
      </c>
      <c r="AQ132">
        <v>3120396.5</v>
      </c>
      <c r="AR132">
        <v>475785.97</v>
      </c>
      <c r="AS132">
        <v>352208.81</v>
      </c>
      <c r="AT132" s="23" t="s">
        <v>1032</v>
      </c>
      <c r="AU132" s="18">
        <v>2105478.5</v>
      </c>
      <c r="AV132" s="18">
        <v>1390302.38</v>
      </c>
      <c r="AW132" s="19">
        <v>594166.31000000006</v>
      </c>
      <c r="AX132" s="19">
        <v>703880.19</v>
      </c>
      <c r="AY132" s="20">
        <v>1688310.88</v>
      </c>
      <c r="AZ132" s="20">
        <v>1341402.5</v>
      </c>
      <c r="BA132" s="21">
        <v>254761.77</v>
      </c>
      <c r="BB132" s="21">
        <v>276440.25</v>
      </c>
    </row>
    <row r="133" spans="1:54">
      <c r="A133">
        <v>20165</v>
      </c>
      <c r="B133" t="s">
        <v>794</v>
      </c>
      <c r="C133" t="s">
        <v>795</v>
      </c>
      <c r="D133" t="s">
        <v>796</v>
      </c>
      <c r="F133" t="s">
        <v>797</v>
      </c>
      <c r="G133">
        <v>90.480999999999995</v>
      </c>
      <c r="H133" t="s">
        <v>57</v>
      </c>
      <c r="I133">
        <v>2</v>
      </c>
      <c r="J133">
        <v>3</v>
      </c>
      <c r="K133">
        <v>0</v>
      </c>
      <c r="L133">
        <v>25.73</v>
      </c>
      <c r="M133">
        <v>18602</v>
      </c>
      <c r="N133">
        <v>7</v>
      </c>
      <c r="O133">
        <v>4</v>
      </c>
      <c r="P133">
        <v>4</v>
      </c>
      <c r="Q133">
        <v>4</v>
      </c>
      <c r="R133">
        <v>4</v>
      </c>
      <c r="S133">
        <v>9</v>
      </c>
      <c r="T133">
        <v>9</v>
      </c>
      <c r="U133">
        <v>4</v>
      </c>
      <c r="V133">
        <v>4</v>
      </c>
      <c r="W133">
        <v>3</v>
      </c>
      <c r="X133">
        <v>1</v>
      </c>
      <c r="Y133">
        <v>2</v>
      </c>
      <c r="Z133">
        <v>4</v>
      </c>
      <c r="AA133">
        <v>4</v>
      </c>
      <c r="AB133">
        <v>1</v>
      </c>
      <c r="AC133">
        <v>1</v>
      </c>
      <c r="AD133">
        <v>3</v>
      </c>
      <c r="AE133">
        <v>2</v>
      </c>
      <c r="AF133">
        <v>0</v>
      </c>
      <c r="AG133">
        <v>1</v>
      </c>
      <c r="AH133">
        <v>2</v>
      </c>
      <c r="AI133">
        <v>2</v>
      </c>
      <c r="AJ133">
        <v>0</v>
      </c>
      <c r="AK133">
        <v>0</v>
      </c>
      <c r="AL133">
        <v>8524036</v>
      </c>
      <c r="AM133">
        <v>8703008</v>
      </c>
      <c r="AN133">
        <v>1446249.5</v>
      </c>
      <c r="AO133">
        <v>1922032.25</v>
      </c>
      <c r="AP133">
        <v>10528229</v>
      </c>
      <c r="AQ133">
        <v>9421481</v>
      </c>
      <c r="AR133">
        <v>882741.94</v>
      </c>
      <c r="AS133">
        <v>428784.78</v>
      </c>
      <c r="AT133" s="23" t="s">
        <v>795</v>
      </c>
      <c r="AU133" s="18">
        <v>8820268</v>
      </c>
      <c r="AV133" s="18">
        <v>4589417.5</v>
      </c>
      <c r="AW133" s="19">
        <v>45720.04</v>
      </c>
      <c r="AX133" s="19">
        <v>399744.72</v>
      </c>
      <c r="AY133" s="20">
        <v>6510954.5</v>
      </c>
      <c r="AZ133" s="20">
        <v>5943128.5</v>
      </c>
      <c r="BA133" s="21">
        <v>32245.02</v>
      </c>
      <c r="BB133" s="21">
        <v>29667.14</v>
      </c>
    </row>
    <row r="134" spans="1:54">
      <c r="A134">
        <v>20226</v>
      </c>
      <c r="B134" t="s">
        <v>1228</v>
      </c>
      <c r="C134" t="s">
        <v>1229</v>
      </c>
      <c r="D134" t="s">
        <v>1230</v>
      </c>
      <c r="F134" t="s">
        <v>1231</v>
      </c>
      <c r="G134">
        <v>9.2309999999999999</v>
      </c>
      <c r="H134" t="s">
        <v>57</v>
      </c>
      <c r="I134">
        <v>2</v>
      </c>
      <c r="J134">
        <v>2</v>
      </c>
      <c r="K134">
        <v>0</v>
      </c>
      <c r="L134">
        <v>27.68</v>
      </c>
      <c r="M134">
        <v>12020</v>
      </c>
      <c r="N134">
        <v>5</v>
      </c>
      <c r="O134">
        <v>2</v>
      </c>
      <c r="P134">
        <v>2</v>
      </c>
      <c r="Q134">
        <v>2</v>
      </c>
      <c r="R134">
        <v>2</v>
      </c>
      <c r="S134">
        <v>3</v>
      </c>
      <c r="T134">
        <v>3</v>
      </c>
      <c r="U134">
        <v>2</v>
      </c>
      <c r="X134">
        <v>1</v>
      </c>
      <c r="Y134">
        <v>1</v>
      </c>
      <c r="Z134">
        <v>2</v>
      </c>
      <c r="AA134">
        <v>2</v>
      </c>
      <c r="AB134">
        <v>2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3</v>
      </c>
      <c r="AI134">
        <v>2</v>
      </c>
      <c r="AJ134">
        <v>0</v>
      </c>
      <c r="AK134">
        <v>0</v>
      </c>
      <c r="AN134">
        <v>475515.38</v>
      </c>
      <c r="AO134">
        <v>213231.94</v>
      </c>
      <c r="AP134">
        <v>8005188</v>
      </c>
      <c r="AQ134">
        <v>4018771</v>
      </c>
      <c r="AR134">
        <v>1326550.25</v>
      </c>
      <c r="AS134">
        <v>905267.88</v>
      </c>
      <c r="AT134" s="23" t="s">
        <v>1229</v>
      </c>
      <c r="AU134" s="18">
        <v>49505.43</v>
      </c>
      <c r="AV134" s="18">
        <v>17163.39</v>
      </c>
      <c r="AW134" s="19">
        <v>24121.06</v>
      </c>
      <c r="AX134" s="19">
        <v>461820.81</v>
      </c>
      <c r="AY134" s="20">
        <v>3756966.5</v>
      </c>
      <c r="AZ134" s="20">
        <v>2492843</v>
      </c>
      <c r="BA134" s="21">
        <v>770573.56</v>
      </c>
      <c r="BB134" s="21">
        <v>771053.25</v>
      </c>
    </row>
    <row r="135" spans="1:54">
      <c r="A135">
        <v>20243</v>
      </c>
      <c r="B135" t="s">
        <v>565</v>
      </c>
      <c r="C135" t="s">
        <v>566</v>
      </c>
      <c r="D135" t="s">
        <v>567</v>
      </c>
      <c r="F135" t="s">
        <v>568</v>
      </c>
      <c r="G135">
        <v>254.70099999999999</v>
      </c>
      <c r="H135" t="s">
        <v>57</v>
      </c>
      <c r="I135">
        <v>2</v>
      </c>
      <c r="J135">
        <v>3</v>
      </c>
      <c r="K135">
        <v>0</v>
      </c>
      <c r="L135">
        <v>29.84</v>
      </c>
      <c r="M135">
        <v>34275</v>
      </c>
      <c r="N135">
        <v>17</v>
      </c>
      <c r="O135">
        <v>7</v>
      </c>
      <c r="P135">
        <v>7</v>
      </c>
      <c r="Q135">
        <v>7</v>
      </c>
      <c r="R135">
        <v>7</v>
      </c>
      <c r="S135">
        <v>34</v>
      </c>
      <c r="T135">
        <v>34</v>
      </c>
      <c r="U135">
        <v>7</v>
      </c>
      <c r="V135">
        <v>4</v>
      </c>
      <c r="W135">
        <v>4</v>
      </c>
      <c r="X135">
        <v>5</v>
      </c>
      <c r="Y135">
        <v>5</v>
      </c>
      <c r="Z135">
        <v>7</v>
      </c>
      <c r="AA135">
        <v>7</v>
      </c>
      <c r="AB135">
        <v>7</v>
      </c>
      <c r="AC135">
        <v>7</v>
      </c>
      <c r="AD135">
        <v>0</v>
      </c>
      <c r="AE135">
        <v>3</v>
      </c>
      <c r="AF135">
        <v>3</v>
      </c>
      <c r="AG135">
        <v>6</v>
      </c>
      <c r="AH135">
        <v>4</v>
      </c>
      <c r="AI135">
        <v>6</v>
      </c>
      <c r="AJ135">
        <v>7</v>
      </c>
      <c r="AK135">
        <v>5</v>
      </c>
      <c r="AL135">
        <v>7896976</v>
      </c>
      <c r="AM135">
        <v>8125843.5</v>
      </c>
      <c r="AN135">
        <v>14481958</v>
      </c>
      <c r="AO135">
        <v>17382110</v>
      </c>
      <c r="AP135">
        <v>27606580</v>
      </c>
      <c r="AQ135">
        <v>32280382</v>
      </c>
      <c r="AR135">
        <v>32913304</v>
      </c>
      <c r="AS135">
        <v>19408752</v>
      </c>
      <c r="AT135" s="23" t="s">
        <v>566</v>
      </c>
      <c r="AU135" s="18">
        <v>10133989</v>
      </c>
      <c r="AV135" s="18">
        <v>9205856</v>
      </c>
      <c r="AW135" s="19">
        <v>13910894</v>
      </c>
      <c r="AX135" s="19">
        <v>17688854</v>
      </c>
      <c r="AY135" s="20">
        <v>10609693</v>
      </c>
      <c r="AZ135" s="20">
        <v>13348281</v>
      </c>
      <c r="BA135" s="21">
        <v>19083206</v>
      </c>
      <c r="BB135" s="21">
        <v>17624300</v>
      </c>
    </row>
    <row r="136" spans="1:54">
      <c r="A136">
        <v>20102</v>
      </c>
      <c r="B136" t="s">
        <v>1240</v>
      </c>
      <c r="C136" t="s">
        <v>1241</v>
      </c>
      <c r="D136" t="s">
        <v>1242</v>
      </c>
      <c r="F136" t="s">
        <v>1243</v>
      </c>
      <c r="G136">
        <v>7.7519999999999998</v>
      </c>
      <c r="H136" t="s">
        <v>57</v>
      </c>
      <c r="I136">
        <v>2</v>
      </c>
      <c r="J136">
        <v>3</v>
      </c>
      <c r="K136">
        <v>0</v>
      </c>
      <c r="L136">
        <v>1.51</v>
      </c>
      <c r="M136">
        <v>53870</v>
      </c>
      <c r="N136">
        <v>33</v>
      </c>
      <c r="O136">
        <v>1</v>
      </c>
      <c r="P136">
        <v>1</v>
      </c>
      <c r="Q136">
        <v>1</v>
      </c>
      <c r="R136">
        <v>1</v>
      </c>
      <c r="S136">
        <v>3</v>
      </c>
      <c r="T136">
        <v>3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2770260.75</v>
      </c>
      <c r="AM136">
        <v>3236417.25</v>
      </c>
      <c r="AN136">
        <v>2639216.5</v>
      </c>
      <c r="AO136">
        <v>2872246.5</v>
      </c>
      <c r="AP136">
        <v>6021656</v>
      </c>
      <c r="AQ136">
        <v>5086465</v>
      </c>
      <c r="AR136">
        <v>3184317</v>
      </c>
      <c r="AS136">
        <v>2036217.38</v>
      </c>
      <c r="AT136" s="23" t="s">
        <v>1241</v>
      </c>
      <c r="AU136" s="18">
        <v>2770260.75</v>
      </c>
      <c r="AV136" s="18">
        <v>2497615.25</v>
      </c>
      <c r="AW136" s="19">
        <v>2037740.5</v>
      </c>
      <c r="AX136" s="19">
        <v>2554227</v>
      </c>
      <c r="AY136" s="20">
        <v>2424774.75</v>
      </c>
      <c r="AZ136" s="20">
        <v>2186580</v>
      </c>
      <c r="BA136" s="21">
        <v>1705057</v>
      </c>
      <c r="BB136" s="21">
        <v>1598178.12</v>
      </c>
    </row>
    <row r="137" spans="1:54">
      <c r="A137">
        <v>19972</v>
      </c>
      <c r="B137" t="s">
        <v>785</v>
      </c>
      <c r="C137" t="s">
        <v>786</v>
      </c>
      <c r="D137" t="s">
        <v>787</v>
      </c>
      <c r="F137" t="s">
        <v>788</v>
      </c>
      <c r="G137">
        <v>97.744</v>
      </c>
      <c r="H137" t="s">
        <v>57</v>
      </c>
      <c r="I137">
        <v>2</v>
      </c>
      <c r="J137">
        <v>19</v>
      </c>
      <c r="K137">
        <v>0</v>
      </c>
      <c r="L137">
        <v>11.25</v>
      </c>
      <c r="M137">
        <v>34841</v>
      </c>
      <c r="N137">
        <v>19</v>
      </c>
      <c r="O137">
        <v>3</v>
      </c>
      <c r="P137">
        <v>3</v>
      </c>
      <c r="Q137">
        <v>3</v>
      </c>
      <c r="R137">
        <v>3</v>
      </c>
      <c r="S137">
        <v>14</v>
      </c>
      <c r="T137">
        <v>14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2</v>
      </c>
      <c r="AA137">
        <v>2</v>
      </c>
      <c r="AB137">
        <v>3</v>
      </c>
      <c r="AC137">
        <v>1</v>
      </c>
      <c r="AD137">
        <v>4</v>
      </c>
      <c r="AE137">
        <v>3</v>
      </c>
      <c r="AF137">
        <v>1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9981792</v>
      </c>
      <c r="AM137">
        <v>9839844</v>
      </c>
      <c r="AN137">
        <v>7548198</v>
      </c>
      <c r="AO137">
        <v>6474597</v>
      </c>
      <c r="AP137">
        <v>12675528</v>
      </c>
      <c r="AQ137">
        <v>10462642</v>
      </c>
      <c r="AR137">
        <v>2854310</v>
      </c>
      <c r="AS137">
        <v>1961876.25</v>
      </c>
      <c r="AT137" s="23" t="s">
        <v>786</v>
      </c>
      <c r="AU137" s="18">
        <v>12762743</v>
      </c>
      <c r="AV137" s="18">
        <v>9649935</v>
      </c>
      <c r="AW137" s="19">
        <v>5602426.5</v>
      </c>
      <c r="AX137" s="19">
        <v>6043011</v>
      </c>
      <c r="AY137" s="20">
        <v>3330003.75</v>
      </c>
      <c r="AZ137" s="20">
        <v>3124908.75</v>
      </c>
      <c r="BA137" s="21">
        <v>2018844.25</v>
      </c>
      <c r="BB137" s="21">
        <v>116802.79</v>
      </c>
    </row>
    <row r="138" spans="1:54">
      <c r="A138">
        <v>20147</v>
      </c>
      <c r="B138" t="s">
        <v>905</v>
      </c>
      <c r="C138" t="s">
        <v>906</v>
      </c>
      <c r="D138" t="s">
        <v>907</v>
      </c>
      <c r="F138" t="s">
        <v>908</v>
      </c>
      <c r="G138">
        <v>49.930999999999997</v>
      </c>
      <c r="H138" t="s">
        <v>57</v>
      </c>
      <c r="I138">
        <v>2</v>
      </c>
      <c r="J138">
        <v>3</v>
      </c>
      <c r="K138">
        <v>0</v>
      </c>
      <c r="L138">
        <v>25.2</v>
      </c>
      <c r="M138">
        <v>28203</v>
      </c>
      <c r="N138">
        <v>18</v>
      </c>
      <c r="O138">
        <v>5</v>
      </c>
      <c r="P138">
        <v>5</v>
      </c>
      <c r="Q138">
        <v>5</v>
      </c>
      <c r="R138">
        <v>5</v>
      </c>
      <c r="S138">
        <v>12</v>
      </c>
      <c r="T138">
        <v>12</v>
      </c>
      <c r="U138">
        <v>5</v>
      </c>
      <c r="V138">
        <v>1</v>
      </c>
      <c r="W138">
        <v>4</v>
      </c>
      <c r="X138">
        <v>4</v>
      </c>
      <c r="Y138">
        <v>4</v>
      </c>
      <c r="Z138">
        <v>5</v>
      </c>
      <c r="AA138">
        <v>5</v>
      </c>
      <c r="AB138">
        <v>5</v>
      </c>
      <c r="AC138">
        <v>5</v>
      </c>
      <c r="AD138">
        <v>0</v>
      </c>
      <c r="AE138">
        <v>0</v>
      </c>
      <c r="AF138">
        <v>1</v>
      </c>
      <c r="AG138">
        <v>1</v>
      </c>
      <c r="AH138">
        <v>2</v>
      </c>
      <c r="AI138">
        <v>2</v>
      </c>
      <c r="AJ138">
        <v>3</v>
      </c>
      <c r="AK138">
        <v>3</v>
      </c>
      <c r="AL138">
        <v>1360071</v>
      </c>
      <c r="AM138">
        <v>2765196.5</v>
      </c>
      <c r="AN138">
        <v>4710923</v>
      </c>
      <c r="AO138">
        <v>6388041</v>
      </c>
      <c r="AP138">
        <v>9367706</v>
      </c>
      <c r="AQ138">
        <v>9340212</v>
      </c>
      <c r="AR138">
        <v>10054290</v>
      </c>
      <c r="AS138">
        <v>6059675</v>
      </c>
      <c r="AT138" s="23" t="s">
        <v>906</v>
      </c>
      <c r="AU138" s="18">
        <v>53296.45</v>
      </c>
      <c r="AV138" s="18">
        <v>1600052.5</v>
      </c>
      <c r="AW138" s="19">
        <v>2100503.25</v>
      </c>
      <c r="AX138" s="19">
        <v>6047239</v>
      </c>
      <c r="AY138" s="20">
        <v>4455225.5</v>
      </c>
      <c r="AZ138" s="20">
        <v>4379688</v>
      </c>
      <c r="BA138" s="21">
        <v>6282611</v>
      </c>
      <c r="BB138" s="21">
        <v>5529117.5</v>
      </c>
    </row>
    <row r="139" spans="1:54">
      <c r="A139">
        <v>20137</v>
      </c>
      <c r="B139" t="s">
        <v>685</v>
      </c>
      <c r="C139" t="s">
        <v>686</v>
      </c>
      <c r="D139" t="s">
        <v>685</v>
      </c>
      <c r="E139" t="s">
        <v>687</v>
      </c>
      <c r="F139" t="s">
        <v>688</v>
      </c>
      <c r="G139">
        <v>141.53200000000001</v>
      </c>
      <c r="H139" t="s">
        <v>57</v>
      </c>
      <c r="I139">
        <v>2</v>
      </c>
      <c r="J139">
        <v>1</v>
      </c>
      <c r="K139">
        <v>1</v>
      </c>
      <c r="L139">
        <v>6.05</v>
      </c>
      <c r="M139">
        <v>85356</v>
      </c>
      <c r="N139">
        <v>50</v>
      </c>
      <c r="O139">
        <v>5</v>
      </c>
      <c r="P139">
        <v>3</v>
      </c>
      <c r="Q139">
        <v>5</v>
      </c>
      <c r="R139">
        <v>3</v>
      </c>
      <c r="S139">
        <v>43</v>
      </c>
      <c r="T139">
        <v>21</v>
      </c>
      <c r="U139">
        <v>3</v>
      </c>
      <c r="V139">
        <v>2</v>
      </c>
      <c r="W139">
        <v>3</v>
      </c>
      <c r="X139">
        <v>2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2</v>
      </c>
      <c r="AE139">
        <v>2</v>
      </c>
      <c r="AF139">
        <v>2</v>
      </c>
      <c r="AG139">
        <v>2</v>
      </c>
      <c r="AH139">
        <v>6</v>
      </c>
      <c r="AI139">
        <v>4</v>
      </c>
      <c r="AJ139">
        <v>2</v>
      </c>
      <c r="AK139">
        <v>1</v>
      </c>
      <c r="AL139">
        <v>176598816</v>
      </c>
      <c r="AM139">
        <v>222073696</v>
      </c>
      <c r="AN139">
        <v>101808832</v>
      </c>
      <c r="AO139">
        <v>96350816</v>
      </c>
      <c r="AP139">
        <v>231005136</v>
      </c>
      <c r="AQ139">
        <v>208217808</v>
      </c>
      <c r="AR139">
        <v>44835360</v>
      </c>
      <c r="AS139">
        <v>38514784</v>
      </c>
      <c r="AT139" s="23" t="s">
        <v>686</v>
      </c>
      <c r="AU139" s="18">
        <v>55234620</v>
      </c>
      <c r="AV139" s="18">
        <v>46757092</v>
      </c>
      <c r="AW139" s="19">
        <v>37506712</v>
      </c>
      <c r="AX139" s="19">
        <v>45222228</v>
      </c>
      <c r="AY139" s="20">
        <v>26200472</v>
      </c>
      <c r="AZ139" s="20">
        <v>24397620</v>
      </c>
      <c r="BA139" s="21">
        <v>11924158</v>
      </c>
      <c r="BB139" s="21">
        <v>17959620</v>
      </c>
    </row>
    <row r="140" spans="1:54">
      <c r="A140">
        <v>20027</v>
      </c>
      <c r="B140" t="s">
        <v>777</v>
      </c>
      <c r="C140" t="s">
        <v>778</v>
      </c>
      <c r="D140" t="s">
        <v>779</v>
      </c>
      <c r="F140" t="s">
        <v>780</v>
      </c>
      <c r="G140">
        <v>99.372</v>
      </c>
      <c r="H140" t="s">
        <v>57</v>
      </c>
      <c r="I140">
        <v>2</v>
      </c>
      <c r="J140">
        <v>21</v>
      </c>
      <c r="K140">
        <v>0</v>
      </c>
      <c r="L140">
        <v>4.1900000000000004</v>
      </c>
      <c r="M140">
        <v>61470</v>
      </c>
      <c r="N140">
        <v>31</v>
      </c>
      <c r="O140">
        <v>2</v>
      </c>
      <c r="P140">
        <v>2</v>
      </c>
      <c r="Q140">
        <v>2</v>
      </c>
      <c r="R140">
        <v>2</v>
      </c>
      <c r="S140">
        <v>14</v>
      </c>
      <c r="T140">
        <v>14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3</v>
      </c>
      <c r="AE140">
        <v>3</v>
      </c>
      <c r="AF140">
        <v>1</v>
      </c>
      <c r="AG140">
        <v>1</v>
      </c>
      <c r="AH140">
        <v>2</v>
      </c>
      <c r="AI140">
        <v>2</v>
      </c>
      <c r="AJ140">
        <v>1</v>
      </c>
      <c r="AK140">
        <v>1</v>
      </c>
      <c r="AL140">
        <v>9486494</v>
      </c>
      <c r="AM140">
        <v>11931478</v>
      </c>
      <c r="AN140">
        <v>6322069</v>
      </c>
      <c r="AO140">
        <v>5752212</v>
      </c>
      <c r="AP140">
        <v>14927347</v>
      </c>
      <c r="AQ140">
        <v>12815216</v>
      </c>
      <c r="AR140">
        <v>2394784.25</v>
      </c>
      <c r="AS140">
        <v>2677151.5</v>
      </c>
      <c r="AT140" s="23" t="s">
        <v>778</v>
      </c>
      <c r="AU140" s="18">
        <v>14014733</v>
      </c>
      <c r="AV140" s="18">
        <v>11822207</v>
      </c>
      <c r="AW140" s="19">
        <v>7325256</v>
      </c>
      <c r="AX140" s="19">
        <v>6774148</v>
      </c>
      <c r="AY140" s="20">
        <v>7239551.5</v>
      </c>
      <c r="AZ140" s="20">
        <v>7282726.5</v>
      </c>
      <c r="BA140" s="21">
        <v>1704387.38</v>
      </c>
      <c r="BB140" s="21">
        <v>2985709.5</v>
      </c>
    </row>
    <row r="141" spans="1:54">
      <c r="A141">
        <v>20120</v>
      </c>
      <c r="B141" t="s">
        <v>650</v>
      </c>
      <c r="C141" t="s">
        <v>651</v>
      </c>
      <c r="D141" t="s">
        <v>652</v>
      </c>
      <c r="F141" t="s">
        <v>653</v>
      </c>
      <c r="G141">
        <v>160.21799999999999</v>
      </c>
      <c r="H141" t="s">
        <v>57</v>
      </c>
      <c r="I141">
        <v>2</v>
      </c>
      <c r="J141">
        <v>8</v>
      </c>
      <c r="K141">
        <v>0</v>
      </c>
      <c r="L141">
        <v>10.59</v>
      </c>
      <c r="M141">
        <v>41117</v>
      </c>
      <c r="N141">
        <v>23</v>
      </c>
      <c r="O141">
        <v>6</v>
      </c>
      <c r="P141">
        <v>6</v>
      </c>
      <c r="Q141">
        <v>6</v>
      </c>
      <c r="R141">
        <v>6</v>
      </c>
      <c r="S141">
        <v>30</v>
      </c>
      <c r="T141">
        <v>30</v>
      </c>
      <c r="U141">
        <v>6</v>
      </c>
      <c r="V141">
        <v>4</v>
      </c>
      <c r="W141">
        <v>6</v>
      </c>
      <c r="X141">
        <v>4</v>
      </c>
      <c r="Y141">
        <v>5</v>
      </c>
      <c r="Z141">
        <v>6</v>
      </c>
      <c r="AA141">
        <v>6</v>
      </c>
      <c r="AB141">
        <v>6</v>
      </c>
      <c r="AC141">
        <v>5</v>
      </c>
      <c r="AD141">
        <v>4</v>
      </c>
      <c r="AE141">
        <v>5</v>
      </c>
      <c r="AF141">
        <v>4</v>
      </c>
      <c r="AG141">
        <v>4</v>
      </c>
      <c r="AH141">
        <v>5</v>
      </c>
      <c r="AI141">
        <v>5</v>
      </c>
      <c r="AJ141">
        <v>2</v>
      </c>
      <c r="AK141">
        <v>1</v>
      </c>
      <c r="AL141">
        <v>36203248</v>
      </c>
      <c r="AM141">
        <v>38916764</v>
      </c>
      <c r="AN141">
        <v>22849060</v>
      </c>
      <c r="AO141">
        <v>23762090</v>
      </c>
      <c r="AP141">
        <v>53737432</v>
      </c>
      <c r="AQ141">
        <v>41618192</v>
      </c>
      <c r="AR141">
        <v>15934601</v>
      </c>
      <c r="AS141">
        <v>14265271</v>
      </c>
      <c r="AT141" s="23" t="s">
        <v>651</v>
      </c>
      <c r="AU141" s="18">
        <v>33074272</v>
      </c>
      <c r="AV141" s="18">
        <v>34452396</v>
      </c>
      <c r="AW141" s="19">
        <v>23337248</v>
      </c>
      <c r="AX141" s="19">
        <v>22368886</v>
      </c>
      <c r="AY141" s="20">
        <v>26979530</v>
      </c>
      <c r="AZ141" s="20">
        <v>21502626</v>
      </c>
      <c r="BA141" s="21">
        <v>9821567</v>
      </c>
      <c r="BB141" s="21">
        <v>12266588</v>
      </c>
    </row>
    <row r="142" spans="1:54">
      <c r="A142">
        <v>20176</v>
      </c>
      <c r="B142" t="s">
        <v>383</v>
      </c>
      <c r="C142" t="s">
        <v>384</v>
      </c>
      <c r="D142" t="s">
        <v>385</v>
      </c>
      <c r="F142" t="s">
        <v>386</v>
      </c>
      <c r="G142">
        <v>500.279</v>
      </c>
      <c r="H142" t="s">
        <v>57</v>
      </c>
      <c r="I142">
        <v>2</v>
      </c>
      <c r="J142">
        <v>2</v>
      </c>
      <c r="K142">
        <v>0</v>
      </c>
      <c r="L142">
        <v>41.19</v>
      </c>
      <c r="M142">
        <v>43110</v>
      </c>
      <c r="N142">
        <v>21</v>
      </c>
      <c r="O142">
        <v>15</v>
      </c>
      <c r="P142">
        <v>15</v>
      </c>
      <c r="Q142">
        <v>15</v>
      </c>
      <c r="R142">
        <v>15</v>
      </c>
      <c r="S142">
        <v>134</v>
      </c>
      <c r="T142">
        <v>134</v>
      </c>
      <c r="U142">
        <v>15</v>
      </c>
      <c r="V142">
        <v>8</v>
      </c>
      <c r="W142">
        <v>14</v>
      </c>
      <c r="X142">
        <v>15</v>
      </c>
      <c r="Y142">
        <v>15</v>
      </c>
      <c r="Z142">
        <v>14</v>
      </c>
      <c r="AA142">
        <v>15</v>
      </c>
      <c r="AB142">
        <v>15</v>
      </c>
      <c r="AC142">
        <v>15</v>
      </c>
      <c r="AD142">
        <v>7</v>
      </c>
      <c r="AE142">
        <v>13</v>
      </c>
      <c r="AF142">
        <v>22</v>
      </c>
      <c r="AG142">
        <v>22</v>
      </c>
      <c r="AH142">
        <v>17</v>
      </c>
      <c r="AI142">
        <v>14</v>
      </c>
      <c r="AJ142">
        <v>21</v>
      </c>
      <c r="AK142">
        <v>18</v>
      </c>
      <c r="AL142">
        <v>53949004</v>
      </c>
      <c r="AM142">
        <v>59704656</v>
      </c>
      <c r="AN142">
        <v>123003896</v>
      </c>
      <c r="AO142">
        <v>112520832</v>
      </c>
      <c r="AP142">
        <v>148432032</v>
      </c>
      <c r="AQ142">
        <v>157035488</v>
      </c>
      <c r="AR142">
        <v>143182560</v>
      </c>
      <c r="AS142">
        <v>93205800</v>
      </c>
      <c r="AT142" s="23" t="s">
        <v>384</v>
      </c>
      <c r="AU142" s="18">
        <v>14276073</v>
      </c>
      <c r="AV142" s="18">
        <v>48009112</v>
      </c>
      <c r="AW142" s="19">
        <v>98726072</v>
      </c>
      <c r="AX142" s="19">
        <v>112288752</v>
      </c>
      <c r="AY142" s="20">
        <v>61374420</v>
      </c>
      <c r="AZ142" s="20">
        <v>88164920</v>
      </c>
      <c r="BA142" s="21">
        <v>91726976</v>
      </c>
      <c r="BB142" s="21">
        <v>87630760</v>
      </c>
    </row>
    <row r="143" spans="1:54">
      <c r="A143">
        <v>19987</v>
      </c>
      <c r="B143" t="s">
        <v>340</v>
      </c>
      <c r="C143" t="s">
        <v>341</v>
      </c>
      <c r="D143" t="s">
        <v>342</v>
      </c>
      <c r="E143" t="s">
        <v>343</v>
      </c>
      <c r="F143" t="s">
        <v>344</v>
      </c>
      <c r="G143">
        <v>630.62400000000002</v>
      </c>
      <c r="H143" t="s">
        <v>57</v>
      </c>
      <c r="I143">
        <v>2</v>
      </c>
      <c r="J143">
        <v>7</v>
      </c>
      <c r="K143">
        <v>12</v>
      </c>
      <c r="L143">
        <v>59.02</v>
      </c>
      <c r="M143">
        <v>36831</v>
      </c>
      <c r="N143">
        <v>22</v>
      </c>
      <c r="O143">
        <v>18</v>
      </c>
      <c r="P143">
        <v>18</v>
      </c>
      <c r="Q143">
        <v>18</v>
      </c>
      <c r="R143">
        <v>18</v>
      </c>
      <c r="S143">
        <v>238</v>
      </c>
      <c r="T143">
        <v>238</v>
      </c>
      <c r="U143">
        <v>18</v>
      </c>
      <c r="V143">
        <v>15</v>
      </c>
      <c r="W143">
        <v>16</v>
      </c>
      <c r="X143">
        <v>16</v>
      </c>
      <c r="Y143">
        <v>16</v>
      </c>
      <c r="Z143">
        <v>13</v>
      </c>
      <c r="AA143">
        <v>15</v>
      </c>
      <c r="AB143">
        <v>16</v>
      </c>
      <c r="AC143">
        <v>15</v>
      </c>
      <c r="AD143">
        <v>34</v>
      </c>
      <c r="AE143">
        <v>33</v>
      </c>
      <c r="AF143">
        <v>39</v>
      </c>
      <c r="AG143">
        <v>39</v>
      </c>
      <c r="AH143">
        <v>14</v>
      </c>
      <c r="AI143">
        <v>18</v>
      </c>
      <c r="AJ143">
        <v>34</v>
      </c>
      <c r="AK143">
        <v>27</v>
      </c>
      <c r="AL143">
        <v>170847072</v>
      </c>
      <c r="AM143">
        <v>215585888</v>
      </c>
      <c r="AN143">
        <v>210865952</v>
      </c>
      <c r="AO143">
        <v>202520224</v>
      </c>
      <c r="AP143">
        <v>107873016</v>
      </c>
      <c r="AQ143">
        <v>121700056</v>
      </c>
      <c r="AR143">
        <v>245296688</v>
      </c>
      <c r="AS143">
        <v>149700816</v>
      </c>
      <c r="AT143" s="23" t="s">
        <v>341</v>
      </c>
      <c r="AU143" s="18">
        <v>207390192</v>
      </c>
      <c r="AV143" s="18">
        <v>191446816</v>
      </c>
      <c r="AW143" s="19">
        <v>181596640</v>
      </c>
      <c r="AX143" s="19">
        <v>201432784</v>
      </c>
      <c r="AY143" s="20">
        <v>55144784</v>
      </c>
      <c r="AZ143" s="20">
        <v>65225300</v>
      </c>
      <c r="BA143" s="21">
        <v>145386304</v>
      </c>
      <c r="BB143" s="21">
        <v>150596528</v>
      </c>
    </row>
    <row r="144" spans="1:54">
      <c r="A144">
        <v>20171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>
        <v>1057.17</v>
      </c>
      <c r="H144" t="s">
        <v>57</v>
      </c>
      <c r="I144">
        <v>2</v>
      </c>
      <c r="J144">
        <v>2</v>
      </c>
      <c r="K144">
        <v>1</v>
      </c>
      <c r="L144">
        <v>45.66</v>
      </c>
      <c r="M144">
        <v>87361</v>
      </c>
      <c r="N144">
        <v>44</v>
      </c>
      <c r="O144">
        <v>29</v>
      </c>
      <c r="P144">
        <v>29</v>
      </c>
      <c r="Q144">
        <v>29</v>
      </c>
      <c r="R144">
        <v>29</v>
      </c>
      <c r="S144">
        <v>334</v>
      </c>
      <c r="T144">
        <v>334</v>
      </c>
      <c r="U144">
        <v>29</v>
      </c>
      <c r="V144">
        <v>26</v>
      </c>
      <c r="W144">
        <v>29</v>
      </c>
      <c r="X144">
        <v>29</v>
      </c>
      <c r="Y144">
        <v>28</v>
      </c>
      <c r="Z144">
        <v>27</v>
      </c>
      <c r="AA144">
        <v>29</v>
      </c>
      <c r="AB144">
        <v>29</v>
      </c>
      <c r="AC144">
        <v>29</v>
      </c>
      <c r="AD144">
        <v>57</v>
      </c>
      <c r="AE144">
        <v>56</v>
      </c>
      <c r="AF144">
        <v>57</v>
      </c>
      <c r="AG144">
        <v>49</v>
      </c>
      <c r="AH144">
        <v>21</v>
      </c>
      <c r="AI144">
        <v>21</v>
      </c>
      <c r="AJ144">
        <v>37</v>
      </c>
      <c r="AK144">
        <v>36</v>
      </c>
      <c r="AL144">
        <v>308391776</v>
      </c>
      <c r="AM144">
        <v>435960256</v>
      </c>
      <c r="AN144">
        <v>457242560</v>
      </c>
      <c r="AO144">
        <v>427280448</v>
      </c>
      <c r="AP144">
        <v>244020448</v>
      </c>
      <c r="AQ144">
        <v>257711280</v>
      </c>
      <c r="AR144">
        <v>544076352</v>
      </c>
      <c r="AS144">
        <v>332548512</v>
      </c>
      <c r="AT144" s="23" t="s">
        <v>184</v>
      </c>
      <c r="AU144" s="18">
        <v>313915712</v>
      </c>
      <c r="AV144" s="18">
        <v>375631360</v>
      </c>
      <c r="AW144" s="19">
        <v>413266592</v>
      </c>
      <c r="AX144" s="19">
        <v>453418400</v>
      </c>
      <c r="AY144" s="20">
        <v>119681712</v>
      </c>
      <c r="AZ144" s="20">
        <v>135455280</v>
      </c>
      <c r="BA144" s="21">
        <v>330857984</v>
      </c>
      <c r="BB144" s="21">
        <v>307270592</v>
      </c>
    </row>
    <row r="145" spans="1:54">
      <c r="A145">
        <v>20210</v>
      </c>
      <c r="B145" t="s">
        <v>1236</v>
      </c>
      <c r="C145" t="s">
        <v>1237</v>
      </c>
      <c r="D145" t="s">
        <v>1238</v>
      </c>
      <c r="F145" t="s">
        <v>1239</v>
      </c>
      <c r="G145">
        <v>7.94</v>
      </c>
      <c r="H145" t="s">
        <v>57</v>
      </c>
      <c r="I145">
        <v>2</v>
      </c>
      <c r="J145">
        <v>2</v>
      </c>
      <c r="K145">
        <v>0</v>
      </c>
      <c r="L145">
        <v>1.44</v>
      </c>
      <c r="M145">
        <v>55279</v>
      </c>
      <c r="N145">
        <v>27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X145">
        <v>1</v>
      </c>
      <c r="Z145">
        <v>1</v>
      </c>
      <c r="AB145">
        <v>1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72110.34</v>
      </c>
      <c r="AN145">
        <v>3336861</v>
      </c>
      <c r="AP145">
        <v>398863.59</v>
      </c>
      <c r="AR145">
        <v>4549525.5</v>
      </c>
      <c r="AT145" s="23" t="s">
        <v>1237</v>
      </c>
      <c r="AU145" s="18">
        <v>72110.34</v>
      </c>
      <c r="AV145" s="18">
        <v>111774.65</v>
      </c>
      <c r="AW145" s="19">
        <v>2576392.25</v>
      </c>
      <c r="AX145" s="19">
        <v>170153.38</v>
      </c>
      <c r="AY145" s="20">
        <v>160612.70000000001</v>
      </c>
      <c r="AZ145" s="20">
        <v>247733</v>
      </c>
      <c r="BA145" s="21">
        <v>2436064.25</v>
      </c>
      <c r="BB145" s="21">
        <v>212391.23</v>
      </c>
    </row>
    <row r="146" spans="1:54">
      <c r="A146">
        <v>20042</v>
      </c>
      <c r="B146" t="s">
        <v>68</v>
      </c>
      <c r="C146" t="s">
        <v>69</v>
      </c>
      <c r="D146" t="s">
        <v>70</v>
      </c>
      <c r="E146" t="s">
        <v>71</v>
      </c>
      <c r="F146" t="s">
        <v>72</v>
      </c>
      <c r="G146">
        <v>3114.7310000000002</v>
      </c>
      <c r="H146" t="s">
        <v>57</v>
      </c>
      <c r="I146">
        <v>2</v>
      </c>
      <c r="J146">
        <v>3</v>
      </c>
      <c r="K146">
        <v>17</v>
      </c>
      <c r="L146">
        <v>73.52</v>
      </c>
      <c r="M146">
        <v>93695</v>
      </c>
      <c r="N146">
        <v>51</v>
      </c>
      <c r="O146">
        <v>57</v>
      </c>
      <c r="P146">
        <v>57</v>
      </c>
      <c r="Q146">
        <v>74</v>
      </c>
      <c r="R146">
        <v>74</v>
      </c>
      <c r="S146">
        <v>3767</v>
      </c>
      <c r="T146">
        <v>3767</v>
      </c>
      <c r="U146">
        <v>74</v>
      </c>
      <c r="V146">
        <v>64</v>
      </c>
      <c r="W146">
        <v>69</v>
      </c>
      <c r="X146">
        <v>69</v>
      </c>
      <c r="Y146">
        <v>69</v>
      </c>
      <c r="Z146">
        <v>69</v>
      </c>
      <c r="AA146">
        <v>69</v>
      </c>
      <c r="AB146">
        <v>71</v>
      </c>
      <c r="AC146">
        <v>73</v>
      </c>
      <c r="AD146">
        <v>394</v>
      </c>
      <c r="AE146">
        <v>409</v>
      </c>
      <c r="AF146">
        <v>441</v>
      </c>
      <c r="AG146">
        <v>400</v>
      </c>
      <c r="AH146">
        <v>342</v>
      </c>
      <c r="AI146">
        <v>433</v>
      </c>
      <c r="AJ146">
        <v>567</v>
      </c>
      <c r="AK146">
        <v>781</v>
      </c>
      <c r="AL146">
        <v>13368733696</v>
      </c>
      <c r="AM146">
        <v>15030872064</v>
      </c>
      <c r="AN146">
        <v>10578987008</v>
      </c>
      <c r="AO146">
        <v>11228256256</v>
      </c>
      <c r="AP146">
        <v>16080482304</v>
      </c>
      <c r="AQ146">
        <v>20537350144</v>
      </c>
      <c r="AR146">
        <v>33873577984</v>
      </c>
      <c r="AS146">
        <v>23677270016</v>
      </c>
      <c r="AT146" s="23" t="s">
        <v>69</v>
      </c>
      <c r="AU146" s="18">
        <v>9978921984</v>
      </c>
      <c r="AV146" s="18">
        <v>9867794432</v>
      </c>
      <c r="AW146" s="19">
        <v>7135065088</v>
      </c>
      <c r="AX146" s="19">
        <v>8926118912</v>
      </c>
      <c r="AY146" s="20">
        <v>7189866496</v>
      </c>
      <c r="AZ146" s="20">
        <v>10566246400</v>
      </c>
      <c r="BA146" s="21">
        <v>21554415616</v>
      </c>
      <c r="BB146" s="21">
        <v>25109669888</v>
      </c>
    </row>
    <row r="147" spans="1:54">
      <c r="A147">
        <v>20266</v>
      </c>
      <c r="B147" t="s">
        <v>353</v>
      </c>
      <c r="C147" t="s">
        <v>354</v>
      </c>
      <c r="D147" t="s">
        <v>353</v>
      </c>
      <c r="F147" t="s">
        <v>355</v>
      </c>
      <c r="G147">
        <v>598.33399999999995</v>
      </c>
      <c r="H147" t="s">
        <v>57</v>
      </c>
      <c r="I147">
        <v>2</v>
      </c>
      <c r="J147">
        <v>1</v>
      </c>
      <c r="K147">
        <v>0</v>
      </c>
      <c r="L147">
        <v>42.04</v>
      </c>
      <c r="M147">
        <v>27452</v>
      </c>
      <c r="N147">
        <v>13</v>
      </c>
      <c r="O147">
        <v>11</v>
      </c>
      <c r="P147">
        <v>11</v>
      </c>
      <c r="Q147">
        <v>14</v>
      </c>
      <c r="R147">
        <v>14</v>
      </c>
      <c r="S147">
        <v>1373</v>
      </c>
      <c r="T147">
        <v>1373</v>
      </c>
      <c r="U147">
        <v>14</v>
      </c>
      <c r="V147">
        <v>11</v>
      </c>
      <c r="W147">
        <v>10</v>
      </c>
      <c r="X147">
        <v>11</v>
      </c>
      <c r="Y147">
        <v>13</v>
      </c>
      <c r="Z147">
        <v>13</v>
      </c>
      <c r="AA147">
        <v>14</v>
      </c>
      <c r="AB147">
        <v>14</v>
      </c>
      <c r="AC147">
        <v>13</v>
      </c>
      <c r="AD147">
        <v>192</v>
      </c>
      <c r="AE147">
        <v>221</v>
      </c>
      <c r="AF147">
        <v>167</v>
      </c>
      <c r="AG147">
        <v>173</v>
      </c>
      <c r="AH147">
        <v>132</v>
      </c>
      <c r="AI147">
        <v>156</v>
      </c>
      <c r="AJ147">
        <v>134</v>
      </c>
      <c r="AK147">
        <v>198</v>
      </c>
      <c r="AL147">
        <v>2591675136</v>
      </c>
      <c r="AM147">
        <v>3503254528</v>
      </c>
      <c r="AN147">
        <v>1700710016</v>
      </c>
      <c r="AO147">
        <v>1736159488</v>
      </c>
      <c r="AP147">
        <v>3580801024</v>
      </c>
      <c r="AQ147">
        <v>3764242688</v>
      </c>
      <c r="AR147">
        <v>2332215552</v>
      </c>
      <c r="AS147">
        <v>1942255488</v>
      </c>
      <c r="AT147" s="23" t="s">
        <v>354</v>
      </c>
      <c r="AU147" s="18">
        <v>2191307264</v>
      </c>
      <c r="AV147" s="18">
        <v>2680437248</v>
      </c>
      <c r="AW147" s="19">
        <v>1494492160</v>
      </c>
      <c r="AX147" s="19">
        <v>1811916160</v>
      </c>
      <c r="AY147" s="20">
        <v>1794449408</v>
      </c>
      <c r="AZ147" s="20">
        <v>2273659136</v>
      </c>
      <c r="BA147" s="21">
        <v>2260351232</v>
      </c>
      <c r="BB147" s="21">
        <v>2888054784</v>
      </c>
    </row>
    <row r="148" spans="1:54">
      <c r="A148">
        <v>20107</v>
      </c>
      <c r="B148" t="s">
        <v>1124</v>
      </c>
      <c r="C148" t="s">
        <v>1125</v>
      </c>
      <c r="D148" t="s">
        <v>1126</v>
      </c>
      <c r="F148" t="s">
        <v>1127</v>
      </c>
      <c r="G148">
        <v>16.667000000000002</v>
      </c>
      <c r="H148" t="s">
        <v>57</v>
      </c>
      <c r="I148">
        <v>2</v>
      </c>
      <c r="J148">
        <v>3</v>
      </c>
      <c r="K148">
        <v>0</v>
      </c>
      <c r="L148">
        <v>5.1100000000000003</v>
      </c>
      <c r="M148">
        <v>19703</v>
      </c>
      <c r="N148">
        <v>11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Z148">
        <v>1</v>
      </c>
      <c r="AA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1151816.3799999999</v>
      </c>
      <c r="AM148">
        <v>647965.68999999994</v>
      </c>
      <c r="AP148">
        <v>1133400.8799999999</v>
      </c>
      <c r="AQ148">
        <v>658861.75</v>
      </c>
      <c r="AT148" s="23" t="s">
        <v>1125</v>
      </c>
      <c r="AU148" s="18">
        <v>1151816.3799999999</v>
      </c>
      <c r="AV148" s="18">
        <v>500049.56</v>
      </c>
      <c r="AW148" s="19">
        <v>213953.23</v>
      </c>
      <c r="AX148" s="19">
        <v>170153.38</v>
      </c>
      <c r="AY148" s="20">
        <v>456393.03</v>
      </c>
      <c r="AZ148" s="20">
        <v>283232.84000000003</v>
      </c>
      <c r="BA148" s="21">
        <v>199295.7</v>
      </c>
      <c r="BB148" s="21">
        <v>212391.23</v>
      </c>
    </row>
    <row r="149" spans="1:54">
      <c r="A149">
        <v>20244</v>
      </c>
      <c r="B149" t="s">
        <v>1209</v>
      </c>
      <c r="C149" t="s">
        <v>1210</v>
      </c>
      <c r="D149" t="s">
        <v>1209</v>
      </c>
      <c r="F149" t="s">
        <v>1211</v>
      </c>
      <c r="G149">
        <v>9.8659999999999997</v>
      </c>
      <c r="H149" t="s">
        <v>57</v>
      </c>
      <c r="I149">
        <v>2</v>
      </c>
      <c r="J149">
        <v>1</v>
      </c>
      <c r="K149">
        <v>0</v>
      </c>
      <c r="L149">
        <v>6.71</v>
      </c>
      <c r="M149">
        <v>18153</v>
      </c>
      <c r="N149">
        <v>10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Z149">
        <v>1</v>
      </c>
      <c r="AA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298672.75</v>
      </c>
      <c r="AM149">
        <v>401537.03</v>
      </c>
      <c r="AP149">
        <v>625833.88</v>
      </c>
      <c r="AQ149">
        <v>542864.43999999994</v>
      </c>
      <c r="AT149" s="23" t="s">
        <v>1210</v>
      </c>
      <c r="AU149" s="18">
        <v>298672.75</v>
      </c>
      <c r="AV149" s="18">
        <v>309875.06</v>
      </c>
      <c r="AW149" s="19">
        <v>213953.23</v>
      </c>
      <c r="AX149" s="19">
        <v>170153.38</v>
      </c>
      <c r="AY149" s="20">
        <v>252008.12</v>
      </c>
      <c r="AZ149" s="20">
        <v>233367.7</v>
      </c>
      <c r="BA149" s="21">
        <v>199295.7</v>
      </c>
      <c r="BB149" s="21">
        <v>212391.23</v>
      </c>
    </row>
    <row r="150" spans="1:54">
      <c r="A150">
        <v>20106</v>
      </c>
      <c r="B150" t="s">
        <v>822</v>
      </c>
      <c r="C150" t="s">
        <v>823</v>
      </c>
      <c r="D150" t="s">
        <v>824</v>
      </c>
      <c r="F150" t="s">
        <v>825</v>
      </c>
      <c r="G150">
        <v>82.959000000000003</v>
      </c>
      <c r="H150" t="s">
        <v>57</v>
      </c>
      <c r="I150">
        <v>2</v>
      </c>
      <c r="J150">
        <v>3</v>
      </c>
      <c r="K150">
        <v>0</v>
      </c>
      <c r="L150">
        <v>7.41</v>
      </c>
      <c r="M150">
        <v>80430</v>
      </c>
      <c r="N150">
        <v>49</v>
      </c>
      <c r="O150">
        <v>5</v>
      </c>
      <c r="P150">
        <v>5</v>
      </c>
      <c r="Q150">
        <v>5</v>
      </c>
      <c r="R150">
        <v>5</v>
      </c>
      <c r="S150">
        <v>8</v>
      </c>
      <c r="T150">
        <v>8</v>
      </c>
      <c r="U150">
        <v>5</v>
      </c>
      <c r="V150">
        <v>4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1</v>
      </c>
      <c r="AE150">
        <v>0</v>
      </c>
      <c r="AF150">
        <v>3</v>
      </c>
      <c r="AG150">
        <v>0</v>
      </c>
      <c r="AH150">
        <v>1</v>
      </c>
      <c r="AI150">
        <v>1</v>
      </c>
      <c r="AJ150">
        <v>3</v>
      </c>
      <c r="AK150">
        <v>1</v>
      </c>
      <c r="AL150">
        <v>6642002.5</v>
      </c>
      <c r="AM150">
        <v>5743447</v>
      </c>
      <c r="AN150">
        <v>6115093</v>
      </c>
      <c r="AO150">
        <v>4567465</v>
      </c>
      <c r="AP150">
        <v>9159174</v>
      </c>
      <c r="AQ150">
        <v>9028260</v>
      </c>
      <c r="AR150">
        <v>14416310</v>
      </c>
      <c r="AS150">
        <v>10334552</v>
      </c>
      <c r="AT150" s="23" t="s">
        <v>823</v>
      </c>
      <c r="AU150" s="18">
        <v>4324414.5</v>
      </c>
      <c r="AV150" s="18">
        <v>3324557.75</v>
      </c>
      <c r="AW150" s="19">
        <v>6171495.5</v>
      </c>
      <c r="AX150" s="19">
        <v>5886036</v>
      </c>
      <c r="AY150" s="20">
        <v>4614231.5</v>
      </c>
      <c r="AZ150" s="20">
        <v>4777966</v>
      </c>
      <c r="BA150" s="21">
        <v>6331230.5</v>
      </c>
      <c r="BB150" s="21">
        <v>7267738.5</v>
      </c>
    </row>
    <row r="151" spans="1:54">
      <c r="A151">
        <v>20136</v>
      </c>
      <c r="B151" t="s">
        <v>247</v>
      </c>
      <c r="C151" t="s">
        <v>248</v>
      </c>
      <c r="D151" t="s">
        <v>249</v>
      </c>
      <c r="E151" t="s">
        <v>250</v>
      </c>
      <c r="F151" t="s">
        <v>251</v>
      </c>
      <c r="G151">
        <v>814.428</v>
      </c>
      <c r="H151" t="s">
        <v>57</v>
      </c>
      <c r="I151">
        <v>2</v>
      </c>
      <c r="J151">
        <v>19</v>
      </c>
      <c r="K151">
        <v>2</v>
      </c>
      <c r="L151">
        <v>57.5</v>
      </c>
      <c r="M151">
        <v>40516</v>
      </c>
      <c r="N151">
        <v>25</v>
      </c>
      <c r="O151">
        <v>20</v>
      </c>
      <c r="P151">
        <v>20</v>
      </c>
      <c r="Q151">
        <v>21</v>
      </c>
      <c r="R151">
        <v>21</v>
      </c>
      <c r="S151">
        <v>334</v>
      </c>
      <c r="T151">
        <v>334</v>
      </c>
      <c r="U151">
        <v>21</v>
      </c>
      <c r="V151">
        <v>16</v>
      </c>
      <c r="W151">
        <v>18</v>
      </c>
      <c r="X151">
        <v>20</v>
      </c>
      <c r="Y151">
        <v>20</v>
      </c>
      <c r="Z151">
        <v>21</v>
      </c>
      <c r="AA151">
        <v>21</v>
      </c>
      <c r="AB151">
        <v>21</v>
      </c>
      <c r="AC151">
        <v>21</v>
      </c>
      <c r="AD151">
        <v>20</v>
      </c>
      <c r="AE151">
        <v>26</v>
      </c>
      <c r="AF151">
        <v>50</v>
      </c>
      <c r="AG151">
        <v>49</v>
      </c>
      <c r="AH151">
        <v>47</v>
      </c>
      <c r="AI151">
        <v>49</v>
      </c>
      <c r="AJ151">
        <v>47</v>
      </c>
      <c r="AK151">
        <v>46</v>
      </c>
      <c r="AL151">
        <v>124031504</v>
      </c>
      <c r="AM151">
        <v>204364208</v>
      </c>
      <c r="AN151">
        <v>609647424</v>
      </c>
      <c r="AO151">
        <v>509343168</v>
      </c>
      <c r="AP151">
        <v>1633192960</v>
      </c>
      <c r="AQ151">
        <v>1633259008</v>
      </c>
      <c r="AR151">
        <v>979847744</v>
      </c>
      <c r="AS151">
        <v>548266432</v>
      </c>
      <c r="AT151" s="23" t="s">
        <v>248</v>
      </c>
      <c r="AU151" s="18">
        <v>121807280</v>
      </c>
      <c r="AV151" s="18">
        <v>141976144</v>
      </c>
      <c r="AW151" s="19">
        <v>505322336</v>
      </c>
      <c r="AX151" s="19">
        <v>536007040</v>
      </c>
      <c r="AY151" s="20">
        <v>669822784</v>
      </c>
      <c r="AZ151" s="20">
        <v>787916096</v>
      </c>
      <c r="BA151" s="21">
        <v>588350336</v>
      </c>
      <c r="BB151" s="21">
        <v>483563808</v>
      </c>
    </row>
    <row r="152" spans="1:54">
      <c r="A152">
        <v>19975</v>
      </c>
      <c r="B152" t="s">
        <v>239</v>
      </c>
      <c r="C152" t="s">
        <v>240</v>
      </c>
      <c r="D152" t="s">
        <v>241</v>
      </c>
      <c r="E152" t="s">
        <v>242</v>
      </c>
      <c r="F152" t="s">
        <v>243</v>
      </c>
      <c r="G152">
        <v>842.79200000000003</v>
      </c>
      <c r="H152" t="s">
        <v>57</v>
      </c>
      <c r="I152">
        <v>2</v>
      </c>
      <c r="J152">
        <v>13</v>
      </c>
      <c r="K152">
        <v>2</v>
      </c>
      <c r="L152">
        <v>52.33</v>
      </c>
      <c r="M152">
        <v>41220</v>
      </c>
      <c r="N152">
        <v>21</v>
      </c>
      <c r="O152">
        <v>18</v>
      </c>
      <c r="P152">
        <v>18</v>
      </c>
      <c r="Q152">
        <v>18</v>
      </c>
      <c r="R152">
        <v>18</v>
      </c>
      <c r="S152">
        <v>214</v>
      </c>
      <c r="T152">
        <v>214</v>
      </c>
      <c r="U152">
        <v>18</v>
      </c>
      <c r="V152">
        <v>14</v>
      </c>
      <c r="W152">
        <v>17</v>
      </c>
      <c r="X152">
        <v>17</v>
      </c>
      <c r="Y152">
        <v>17</v>
      </c>
      <c r="Z152">
        <v>18</v>
      </c>
      <c r="AA152">
        <v>17</v>
      </c>
      <c r="AB152">
        <v>17</v>
      </c>
      <c r="AC152">
        <v>17</v>
      </c>
      <c r="AD152">
        <v>23</v>
      </c>
      <c r="AE152">
        <v>16</v>
      </c>
      <c r="AF152">
        <v>29</v>
      </c>
      <c r="AG152">
        <v>27</v>
      </c>
      <c r="AH152">
        <v>31</v>
      </c>
      <c r="AI152">
        <v>37</v>
      </c>
      <c r="AJ152">
        <v>25</v>
      </c>
      <c r="AK152">
        <v>26</v>
      </c>
      <c r="AL152">
        <v>113175496</v>
      </c>
      <c r="AM152">
        <v>142512832</v>
      </c>
      <c r="AN152">
        <v>522226720</v>
      </c>
      <c r="AO152">
        <v>455610752</v>
      </c>
      <c r="AP152">
        <v>971059008</v>
      </c>
      <c r="AQ152">
        <v>1087972608</v>
      </c>
      <c r="AR152">
        <v>689468160</v>
      </c>
      <c r="AS152">
        <v>350640096</v>
      </c>
      <c r="AT152" s="23" t="s">
        <v>240</v>
      </c>
      <c r="AU152" s="18">
        <v>95217496</v>
      </c>
      <c r="AV152" s="18">
        <v>99984096</v>
      </c>
      <c r="AW152" s="19">
        <v>385252288</v>
      </c>
      <c r="AX152" s="19">
        <v>425945984</v>
      </c>
      <c r="AY152" s="20">
        <v>398717760</v>
      </c>
      <c r="AZ152" s="20">
        <v>506911424</v>
      </c>
      <c r="BA152" s="21">
        <v>426686240</v>
      </c>
      <c r="BB152" s="21">
        <v>324686272</v>
      </c>
    </row>
    <row r="153" spans="1:54">
      <c r="A153">
        <v>19984</v>
      </c>
      <c r="B153" t="s">
        <v>128</v>
      </c>
      <c r="C153" t="s">
        <v>129</v>
      </c>
      <c r="D153" t="s">
        <v>130</v>
      </c>
      <c r="E153" t="s">
        <v>131</v>
      </c>
      <c r="F153" t="s">
        <v>132</v>
      </c>
      <c r="G153">
        <v>1351.077</v>
      </c>
      <c r="H153" t="s">
        <v>57</v>
      </c>
      <c r="I153">
        <v>2</v>
      </c>
      <c r="J153">
        <v>17</v>
      </c>
      <c r="K153">
        <v>1</v>
      </c>
      <c r="L153">
        <v>54.25</v>
      </c>
      <c r="M153">
        <v>59589</v>
      </c>
      <c r="N153">
        <v>28</v>
      </c>
      <c r="O153">
        <v>31</v>
      </c>
      <c r="P153">
        <v>31</v>
      </c>
      <c r="Q153">
        <v>32</v>
      </c>
      <c r="R153">
        <v>32</v>
      </c>
      <c r="S153">
        <v>452</v>
      </c>
      <c r="T153">
        <v>452</v>
      </c>
      <c r="U153">
        <v>32</v>
      </c>
      <c r="V153">
        <v>18</v>
      </c>
      <c r="W153">
        <v>24</v>
      </c>
      <c r="X153">
        <v>24</v>
      </c>
      <c r="Y153">
        <v>27</v>
      </c>
      <c r="Z153">
        <v>31</v>
      </c>
      <c r="AA153">
        <v>31</v>
      </c>
      <c r="AB153">
        <v>32</v>
      </c>
      <c r="AC153">
        <v>29</v>
      </c>
      <c r="AD153">
        <v>27</v>
      </c>
      <c r="AE153">
        <v>18</v>
      </c>
      <c r="AF153">
        <v>51</v>
      </c>
      <c r="AG153">
        <v>75</v>
      </c>
      <c r="AH153">
        <v>72</v>
      </c>
      <c r="AI153">
        <v>83</v>
      </c>
      <c r="AJ153">
        <v>72</v>
      </c>
      <c r="AK153">
        <v>52</v>
      </c>
      <c r="AL153">
        <v>79334160</v>
      </c>
      <c r="AM153">
        <v>98117032</v>
      </c>
      <c r="AN153">
        <v>375250880</v>
      </c>
      <c r="AO153">
        <v>370291968</v>
      </c>
      <c r="AP153">
        <v>772654272</v>
      </c>
      <c r="AQ153">
        <v>1014362496</v>
      </c>
      <c r="AR153">
        <v>651965312</v>
      </c>
      <c r="AS153">
        <v>375420128</v>
      </c>
      <c r="AT153" s="23" t="s">
        <v>129</v>
      </c>
      <c r="AU153" s="18">
        <v>72473632</v>
      </c>
      <c r="AV153" s="18">
        <v>87328464</v>
      </c>
      <c r="AW153" s="19">
        <v>289748064</v>
      </c>
      <c r="AX153" s="19">
        <v>368354912</v>
      </c>
      <c r="AY153" s="20">
        <v>445528960</v>
      </c>
      <c r="AZ153" s="20">
        <v>655766720</v>
      </c>
      <c r="BA153" s="21">
        <v>526747936</v>
      </c>
      <c r="BB153" s="21">
        <v>417476608</v>
      </c>
    </row>
    <row r="154" spans="1:54">
      <c r="A154">
        <v>20168</v>
      </c>
      <c r="B154" t="s">
        <v>877</v>
      </c>
      <c r="C154" t="s">
        <v>878</v>
      </c>
      <c r="D154" t="s">
        <v>877</v>
      </c>
      <c r="F154" t="s">
        <v>879</v>
      </c>
      <c r="G154">
        <v>58.219000000000001</v>
      </c>
      <c r="H154" t="s">
        <v>57</v>
      </c>
      <c r="I154">
        <v>2</v>
      </c>
      <c r="J154">
        <v>1</v>
      </c>
      <c r="K154">
        <v>0</v>
      </c>
      <c r="L154">
        <v>11.42</v>
      </c>
      <c r="M154">
        <v>32343</v>
      </c>
      <c r="N154">
        <v>10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1</v>
      </c>
      <c r="W154">
        <v>2</v>
      </c>
      <c r="X154">
        <v>2</v>
      </c>
      <c r="Y154">
        <v>2</v>
      </c>
      <c r="Z154">
        <v>3</v>
      </c>
      <c r="AA154">
        <v>3</v>
      </c>
      <c r="AB154">
        <v>3</v>
      </c>
      <c r="AC154">
        <v>3</v>
      </c>
      <c r="AD154">
        <v>1</v>
      </c>
      <c r="AE154">
        <v>1</v>
      </c>
      <c r="AF154">
        <v>1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1747738.62</v>
      </c>
      <c r="AM154">
        <v>2788121.25</v>
      </c>
      <c r="AN154">
        <v>4684409.5</v>
      </c>
      <c r="AO154">
        <v>4795902</v>
      </c>
      <c r="AP154">
        <v>7162364</v>
      </c>
      <c r="AQ154">
        <v>9835541</v>
      </c>
      <c r="AR154">
        <v>7981853.5</v>
      </c>
      <c r="AS154">
        <v>5428562</v>
      </c>
      <c r="AT154" s="23" t="s">
        <v>878</v>
      </c>
      <c r="AU154" s="18">
        <v>29198.880000000001</v>
      </c>
      <c r="AV154" s="18">
        <v>2574926.5</v>
      </c>
      <c r="AW154" s="19">
        <v>4400632.5</v>
      </c>
      <c r="AX154" s="19">
        <v>5170900</v>
      </c>
      <c r="AY154" s="20">
        <v>2753005.75</v>
      </c>
      <c r="AZ154" s="20">
        <v>4007709.25</v>
      </c>
      <c r="BA154" s="21">
        <v>4205950</v>
      </c>
      <c r="BB154" s="21">
        <v>4190267.5</v>
      </c>
    </row>
    <row r="155" spans="1:54">
      <c r="A155">
        <v>20112</v>
      </c>
      <c r="B155" t="s">
        <v>133</v>
      </c>
      <c r="C155" t="s">
        <v>134</v>
      </c>
      <c r="D155" t="s">
        <v>135</v>
      </c>
      <c r="E155" t="s">
        <v>136</v>
      </c>
      <c r="F155" t="s">
        <v>137</v>
      </c>
      <c r="G155">
        <v>1327.376</v>
      </c>
      <c r="H155" t="s">
        <v>57</v>
      </c>
      <c r="I155">
        <v>2</v>
      </c>
      <c r="J155">
        <v>3</v>
      </c>
      <c r="K155">
        <v>18</v>
      </c>
      <c r="L155">
        <v>63.81</v>
      </c>
      <c r="M155">
        <v>63691</v>
      </c>
      <c r="N155">
        <v>33</v>
      </c>
      <c r="O155">
        <v>28</v>
      </c>
      <c r="P155">
        <v>28</v>
      </c>
      <c r="Q155">
        <v>28</v>
      </c>
      <c r="R155">
        <v>28</v>
      </c>
      <c r="S155">
        <v>354</v>
      </c>
      <c r="T155">
        <v>354</v>
      </c>
      <c r="U155">
        <v>28</v>
      </c>
      <c r="V155">
        <v>24</v>
      </c>
      <c r="W155">
        <v>26</v>
      </c>
      <c r="X155">
        <v>28</v>
      </c>
      <c r="Y155">
        <v>27</v>
      </c>
      <c r="Z155">
        <v>26</v>
      </c>
      <c r="AA155">
        <v>27</v>
      </c>
      <c r="AB155">
        <v>28</v>
      </c>
      <c r="AC155">
        <v>27</v>
      </c>
      <c r="AD155">
        <v>50</v>
      </c>
      <c r="AE155">
        <v>56</v>
      </c>
      <c r="AF155">
        <v>57</v>
      </c>
      <c r="AG155">
        <v>55</v>
      </c>
      <c r="AH155">
        <v>28</v>
      </c>
      <c r="AI155">
        <v>27</v>
      </c>
      <c r="AJ155">
        <v>40</v>
      </c>
      <c r="AK155">
        <v>40</v>
      </c>
      <c r="AL155">
        <v>349682016</v>
      </c>
      <c r="AM155">
        <v>406205056</v>
      </c>
      <c r="AN155">
        <v>366943328</v>
      </c>
      <c r="AO155">
        <v>350612704</v>
      </c>
      <c r="AP155">
        <v>216238864</v>
      </c>
      <c r="AQ155">
        <v>230075568</v>
      </c>
      <c r="AR155">
        <v>369101696</v>
      </c>
      <c r="AS155">
        <v>299015168</v>
      </c>
      <c r="AT155" s="23" t="s">
        <v>134</v>
      </c>
      <c r="AU155" s="18">
        <v>393893984</v>
      </c>
      <c r="AV155" s="18">
        <v>350773984</v>
      </c>
      <c r="AW155" s="19">
        <v>316584896</v>
      </c>
      <c r="AX155" s="19">
        <v>339344000</v>
      </c>
      <c r="AY155" s="20">
        <v>95420056</v>
      </c>
      <c r="AZ155" s="20">
        <v>108191736</v>
      </c>
      <c r="BA155" s="21">
        <v>237735744</v>
      </c>
      <c r="BB155" s="21">
        <v>259477232</v>
      </c>
    </row>
    <row r="156" spans="1:54">
      <c r="A156">
        <v>20249</v>
      </c>
      <c r="B156" t="s">
        <v>1154</v>
      </c>
      <c r="C156" t="s">
        <v>1155</v>
      </c>
      <c r="D156" t="s">
        <v>1154</v>
      </c>
      <c r="F156" t="s">
        <v>1156</v>
      </c>
      <c r="G156">
        <v>12.930999999999999</v>
      </c>
      <c r="H156" t="s">
        <v>57</v>
      </c>
      <c r="I156">
        <v>2</v>
      </c>
      <c r="J156">
        <v>1</v>
      </c>
      <c r="K156">
        <v>0</v>
      </c>
      <c r="L156">
        <v>2</v>
      </c>
      <c r="M156">
        <v>44162</v>
      </c>
      <c r="N156">
        <v>21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0</v>
      </c>
      <c r="AM156">
        <v>477801.91</v>
      </c>
      <c r="AN156">
        <v>715679.5</v>
      </c>
      <c r="AO156">
        <v>657257.5</v>
      </c>
      <c r="AP156">
        <v>1601651</v>
      </c>
      <c r="AQ156">
        <v>1134278.3799999999</v>
      </c>
      <c r="AR156">
        <v>587295.93999999994</v>
      </c>
      <c r="AS156">
        <v>219238.11</v>
      </c>
      <c r="AT156" s="23" t="s">
        <v>1155</v>
      </c>
      <c r="AU156" s="18">
        <v>49505.43</v>
      </c>
      <c r="AV156" s="18">
        <v>368730.34</v>
      </c>
      <c r="AW156" s="19">
        <v>552576.56000000006</v>
      </c>
      <c r="AX156" s="19">
        <v>584485</v>
      </c>
      <c r="AY156" s="20">
        <v>644946</v>
      </c>
      <c r="AZ156" s="20">
        <v>487605.94</v>
      </c>
      <c r="BA156" s="21">
        <v>314470.28000000003</v>
      </c>
      <c r="BB156" s="21">
        <v>172074.73</v>
      </c>
    </row>
    <row r="157" spans="1:54">
      <c r="A157">
        <v>20095</v>
      </c>
      <c r="B157" t="s">
        <v>178</v>
      </c>
      <c r="C157" t="s">
        <v>179</v>
      </c>
      <c r="D157" t="s">
        <v>180</v>
      </c>
      <c r="E157" t="s">
        <v>181</v>
      </c>
      <c r="F157" t="s">
        <v>182</v>
      </c>
      <c r="G157">
        <v>1089.425</v>
      </c>
      <c r="H157" t="s">
        <v>57</v>
      </c>
      <c r="I157">
        <v>2</v>
      </c>
      <c r="J157">
        <v>14</v>
      </c>
      <c r="K157">
        <v>6</v>
      </c>
      <c r="L157">
        <v>76.09</v>
      </c>
      <c r="M157">
        <v>35933</v>
      </c>
      <c r="N157">
        <v>16</v>
      </c>
      <c r="O157">
        <v>22</v>
      </c>
      <c r="P157">
        <v>22</v>
      </c>
      <c r="Q157">
        <v>23</v>
      </c>
      <c r="R157">
        <v>23</v>
      </c>
      <c r="S157">
        <v>747</v>
      </c>
      <c r="T157">
        <v>747</v>
      </c>
      <c r="U157">
        <v>23</v>
      </c>
      <c r="V157">
        <v>19</v>
      </c>
      <c r="W157">
        <v>20</v>
      </c>
      <c r="X157">
        <v>21</v>
      </c>
      <c r="Y157">
        <v>21</v>
      </c>
      <c r="Z157">
        <v>23</v>
      </c>
      <c r="AA157">
        <v>23</v>
      </c>
      <c r="AB157">
        <v>23</v>
      </c>
      <c r="AC157">
        <v>23</v>
      </c>
      <c r="AD157">
        <v>93</v>
      </c>
      <c r="AE157">
        <v>80</v>
      </c>
      <c r="AF157">
        <v>73</v>
      </c>
      <c r="AG157">
        <v>92</v>
      </c>
      <c r="AH157">
        <v>106</v>
      </c>
      <c r="AI157">
        <v>116</v>
      </c>
      <c r="AJ157">
        <v>86</v>
      </c>
      <c r="AK157">
        <v>100</v>
      </c>
      <c r="AL157">
        <v>1893066624</v>
      </c>
      <c r="AM157">
        <v>2549821952</v>
      </c>
      <c r="AN157">
        <v>1215999104</v>
      </c>
      <c r="AO157">
        <v>1566769792</v>
      </c>
      <c r="AP157">
        <v>4413591552</v>
      </c>
      <c r="AQ157">
        <v>5166119936</v>
      </c>
      <c r="AR157">
        <v>3684414464</v>
      </c>
      <c r="AS157">
        <v>3083155968</v>
      </c>
      <c r="AT157" s="23" t="s">
        <v>179</v>
      </c>
      <c r="AU157" s="18">
        <v>1340785408</v>
      </c>
      <c r="AV157" s="18">
        <v>1712228352</v>
      </c>
      <c r="AW157" s="19">
        <v>957224704</v>
      </c>
      <c r="AX157" s="19">
        <v>1387743232</v>
      </c>
      <c r="AY157" s="20">
        <v>2081105792</v>
      </c>
      <c r="AZ157" s="20">
        <v>2713315584</v>
      </c>
      <c r="BA157" s="21">
        <v>2512185344</v>
      </c>
      <c r="BB157" s="21">
        <v>2899082240</v>
      </c>
    </row>
    <row r="158" spans="1:54">
      <c r="A158">
        <v>20251</v>
      </c>
      <c r="B158" t="s">
        <v>99</v>
      </c>
      <c r="C158" t="s">
        <v>100</v>
      </c>
      <c r="D158" t="s">
        <v>99</v>
      </c>
      <c r="F158" t="s">
        <v>101</v>
      </c>
      <c r="G158">
        <v>1703.2639999999999</v>
      </c>
      <c r="H158" t="s">
        <v>57</v>
      </c>
      <c r="I158">
        <v>2</v>
      </c>
      <c r="J158">
        <v>1</v>
      </c>
      <c r="K158">
        <v>0</v>
      </c>
      <c r="L158">
        <v>66.739999999999995</v>
      </c>
      <c r="M158">
        <v>52801</v>
      </c>
      <c r="N158">
        <v>29</v>
      </c>
      <c r="O158">
        <v>31</v>
      </c>
      <c r="P158">
        <v>31</v>
      </c>
      <c r="Q158">
        <v>37</v>
      </c>
      <c r="R158">
        <v>37</v>
      </c>
      <c r="S158">
        <v>1753</v>
      </c>
      <c r="T158">
        <v>1753</v>
      </c>
      <c r="U158">
        <v>36</v>
      </c>
      <c r="V158">
        <v>33</v>
      </c>
      <c r="W158">
        <v>34</v>
      </c>
      <c r="X158">
        <v>33</v>
      </c>
      <c r="Y158">
        <v>33</v>
      </c>
      <c r="Z158">
        <v>36</v>
      </c>
      <c r="AA158">
        <v>36</v>
      </c>
      <c r="AB158">
        <v>36</v>
      </c>
      <c r="AC158">
        <v>36</v>
      </c>
      <c r="AD158">
        <v>251</v>
      </c>
      <c r="AE158">
        <v>252</v>
      </c>
      <c r="AF158">
        <v>217</v>
      </c>
      <c r="AG158">
        <v>190</v>
      </c>
      <c r="AH158">
        <v>197</v>
      </c>
      <c r="AI158">
        <v>194</v>
      </c>
      <c r="AJ158">
        <v>209</v>
      </c>
      <c r="AK158">
        <v>241</v>
      </c>
      <c r="AL158">
        <v>3494991616</v>
      </c>
      <c r="AM158">
        <v>4571990528</v>
      </c>
      <c r="AN158">
        <v>2581673216</v>
      </c>
      <c r="AO158">
        <v>2674437888</v>
      </c>
      <c r="AP158">
        <v>5577135104</v>
      </c>
      <c r="AQ158">
        <v>5715003392</v>
      </c>
      <c r="AR158">
        <v>5031807488</v>
      </c>
      <c r="AS158">
        <v>3955810816</v>
      </c>
      <c r="AT158" s="23" t="s">
        <v>100</v>
      </c>
      <c r="AU158" s="18">
        <v>3408620544</v>
      </c>
      <c r="AV158" s="18">
        <v>3567621888</v>
      </c>
      <c r="AW158" s="19">
        <v>2039275008</v>
      </c>
      <c r="AX158" s="19">
        <v>2288376832</v>
      </c>
      <c r="AY158" s="20">
        <v>2761734912</v>
      </c>
      <c r="AZ158" s="20">
        <v>3002144512</v>
      </c>
      <c r="BA158" s="21">
        <v>3286767872</v>
      </c>
      <c r="BB158" s="21">
        <v>3639740416</v>
      </c>
    </row>
    <row r="159" spans="1:54">
      <c r="A159">
        <v>20231</v>
      </c>
      <c r="B159" t="s">
        <v>998</v>
      </c>
      <c r="C159" t="s">
        <v>999</v>
      </c>
      <c r="D159" t="s">
        <v>998</v>
      </c>
      <c r="F159" t="s">
        <v>1000</v>
      </c>
      <c r="G159">
        <v>31.372</v>
      </c>
      <c r="H159" t="s">
        <v>57</v>
      </c>
      <c r="I159">
        <v>2</v>
      </c>
      <c r="J159">
        <v>1</v>
      </c>
      <c r="K159">
        <v>0</v>
      </c>
      <c r="L159">
        <v>1.82</v>
      </c>
      <c r="M159">
        <v>77171</v>
      </c>
      <c r="N159">
        <v>37</v>
      </c>
      <c r="O159">
        <v>1</v>
      </c>
      <c r="P159">
        <v>1</v>
      </c>
      <c r="Q159">
        <v>1</v>
      </c>
      <c r="R159">
        <v>1</v>
      </c>
      <c r="S159">
        <v>2</v>
      </c>
      <c r="T159">
        <v>2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383999.91</v>
      </c>
      <c r="AM159">
        <v>297950.12</v>
      </c>
      <c r="AN159">
        <v>281108.56</v>
      </c>
      <c r="AO159">
        <v>235504.78</v>
      </c>
      <c r="AP159">
        <v>897037.56</v>
      </c>
      <c r="AQ159">
        <v>687932.38</v>
      </c>
      <c r="AR159">
        <v>497576.22</v>
      </c>
      <c r="AS159">
        <v>524880.18999999994</v>
      </c>
      <c r="AT159" s="23" t="s">
        <v>999</v>
      </c>
      <c r="AU159" s="18">
        <v>383999.91</v>
      </c>
      <c r="AV159" s="18">
        <v>229934.73</v>
      </c>
      <c r="AW159" s="19">
        <v>217044.09</v>
      </c>
      <c r="AX159" s="19">
        <v>209429.34</v>
      </c>
      <c r="AY159" s="20">
        <v>361215.28</v>
      </c>
      <c r="AZ159" s="20">
        <v>295729.78000000003</v>
      </c>
      <c r="BA159" s="21">
        <v>266429.46999999997</v>
      </c>
      <c r="BB159" s="21">
        <v>411965.84</v>
      </c>
    </row>
    <row r="160" spans="1:54">
      <c r="A160">
        <v>20126</v>
      </c>
      <c r="B160" t="s">
        <v>367</v>
      </c>
      <c r="C160" t="s">
        <v>368</v>
      </c>
      <c r="D160" t="s">
        <v>369</v>
      </c>
      <c r="E160" t="s">
        <v>370</v>
      </c>
      <c r="F160" t="s">
        <v>371</v>
      </c>
      <c r="G160">
        <v>548.88900000000001</v>
      </c>
      <c r="H160" t="s">
        <v>57</v>
      </c>
      <c r="I160">
        <v>2</v>
      </c>
      <c r="J160">
        <v>19</v>
      </c>
      <c r="K160">
        <v>1</v>
      </c>
      <c r="L160">
        <v>81.44</v>
      </c>
      <c r="M160">
        <v>21082</v>
      </c>
      <c r="N160">
        <v>14</v>
      </c>
      <c r="O160">
        <v>14</v>
      </c>
      <c r="P160">
        <v>14</v>
      </c>
      <c r="Q160">
        <v>14</v>
      </c>
      <c r="R160">
        <v>14</v>
      </c>
      <c r="S160">
        <v>380</v>
      </c>
      <c r="T160">
        <v>380</v>
      </c>
      <c r="U160">
        <v>14</v>
      </c>
      <c r="V160">
        <v>12</v>
      </c>
      <c r="W160">
        <v>14</v>
      </c>
      <c r="X160">
        <v>13</v>
      </c>
      <c r="Y160">
        <v>13</v>
      </c>
      <c r="Z160">
        <v>13</v>
      </c>
      <c r="AA160">
        <v>13</v>
      </c>
      <c r="AB160">
        <v>14</v>
      </c>
      <c r="AC160">
        <v>12</v>
      </c>
      <c r="AD160">
        <v>53</v>
      </c>
      <c r="AE160">
        <v>55</v>
      </c>
      <c r="AF160">
        <v>70</v>
      </c>
      <c r="AG160">
        <v>48</v>
      </c>
      <c r="AH160">
        <v>38</v>
      </c>
      <c r="AI160">
        <v>40</v>
      </c>
      <c r="AJ160">
        <v>37</v>
      </c>
      <c r="AK160">
        <v>38</v>
      </c>
      <c r="AL160">
        <v>1235063296</v>
      </c>
      <c r="AM160">
        <v>1588040320</v>
      </c>
      <c r="AN160">
        <v>685770880</v>
      </c>
      <c r="AO160">
        <v>660173312</v>
      </c>
      <c r="AP160">
        <v>638396032</v>
      </c>
      <c r="AQ160">
        <v>712425920</v>
      </c>
      <c r="AR160">
        <v>665305984</v>
      </c>
      <c r="AS160">
        <v>468033280</v>
      </c>
      <c r="AT160" s="23" t="s">
        <v>368</v>
      </c>
      <c r="AU160" s="18">
        <v>1325269632</v>
      </c>
      <c r="AV160" s="18">
        <v>1315071872</v>
      </c>
      <c r="AW160" s="19">
        <v>597005440</v>
      </c>
      <c r="AX160" s="19">
        <v>641541952</v>
      </c>
      <c r="AY160" s="20">
        <v>296747040</v>
      </c>
      <c r="AZ160" s="20">
        <v>346763200</v>
      </c>
      <c r="BA160" s="21">
        <v>391818688</v>
      </c>
      <c r="BB160" s="21">
        <v>401432768</v>
      </c>
    </row>
    <row r="161" spans="1:54">
      <c r="A161">
        <v>20240</v>
      </c>
      <c r="B161" t="s">
        <v>1212</v>
      </c>
      <c r="C161" t="s">
        <v>1213</v>
      </c>
      <c r="D161" t="s">
        <v>1214</v>
      </c>
      <c r="F161" t="s">
        <v>1215</v>
      </c>
      <c r="G161">
        <v>9.6679999999999993</v>
      </c>
      <c r="H161" t="s">
        <v>57</v>
      </c>
      <c r="I161">
        <v>2</v>
      </c>
      <c r="J161">
        <v>3</v>
      </c>
      <c r="K161">
        <v>0</v>
      </c>
      <c r="L161">
        <v>1.1399999999999999</v>
      </c>
      <c r="M161">
        <v>107806</v>
      </c>
      <c r="N161">
        <v>54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2</v>
      </c>
      <c r="AJ161">
        <v>1</v>
      </c>
      <c r="AK161">
        <v>2</v>
      </c>
      <c r="AL161">
        <v>375796.84</v>
      </c>
      <c r="AM161">
        <v>35744032</v>
      </c>
      <c r="AN161">
        <v>4730803.5</v>
      </c>
      <c r="AO161">
        <v>5677457.5</v>
      </c>
      <c r="AP161">
        <v>15580249</v>
      </c>
      <c r="AQ161">
        <v>13033701</v>
      </c>
      <c r="AR161">
        <v>4334099</v>
      </c>
      <c r="AS161">
        <v>7862109.5</v>
      </c>
      <c r="AT161" s="23" t="s">
        <v>1213</v>
      </c>
      <c r="AU161" s="18">
        <v>375796.84</v>
      </c>
      <c r="AV161" s="18">
        <v>27584464</v>
      </c>
      <c r="AW161" s="19">
        <v>3652656.25</v>
      </c>
      <c r="AX161" s="19">
        <v>5048841</v>
      </c>
      <c r="AY161" s="20">
        <v>6273788.5</v>
      </c>
      <c r="AZ161" s="20">
        <v>5602954.5</v>
      </c>
      <c r="BA161" s="21">
        <v>2320713</v>
      </c>
      <c r="BB161" s="21">
        <v>6170781</v>
      </c>
    </row>
    <row r="162" spans="1:54">
      <c r="A162">
        <v>20245</v>
      </c>
      <c r="B162" t="s">
        <v>913</v>
      </c>
      <c r="C162" t="s">
        <v>914</v>
      </c>
      <c r="D162" t="s">
        <v>915</v>
      </c>
      <c r="F162" t="s">
        <v>916</v>
      </c>
      <c r="G162">
        <v>48.372</v>
      </c>
      <c r="H162" t="s">
        <v>57</v>
      </c>
      <c r="I162">
        <v>2</v>
      </c>
      <c r="J162">
        <v>3</v>
      </c>
      <c r="K162">
        <v>0</v>
      </c>
      <c r="L162">
        <v>23.53</v>
      </c>
      <c r="M162">
        <v>9119</v>
      </c>
      <c r="N162">
        <v>6</v>
      </c>
      <c r="O162">
        <v>2</v>
      </c>
      <c r="P162">
        <v>2</v>
      </c>
      <c r="Q162">
        <v>2</v>
      </c>
      <c r="R162">
        <v>2</v>
      </c>
      <c r="S162">
        <v>3</v>
      </c>
      <c r="T162">
        <v>3</v>
      </c>
      <c r="U162">
        <v>2</v>
      </c>
      <c r="V162">
        <v>2</v>
      </c>
      <c r="W162">
        <v>2</v>
      </c>
      <c r="X162">
        <v>2</v>
      </c>
      <c r="Y162">
        <v>1</v>
      </c>
      <c r="Z162">
        <v>2</v>
      </c>
      <c r="AA162">
        <v>2</v>
      </c>
      <c r="AB162">
        <v>1</v>
      </c>
      <c r="AC162">
        <v>1</v>
      </c>
      <c r="AD162">
        <v>0</v>
      </c>
      <c r="AE162">
        <v>1</v>
      </c>
      <c r="AF162">
        <v>1</v>
      </c>
      <c r="AG162">
        <v>1</v>
      </c>
      <c r="AH162">
        <v>1</v>
      </c>
      <c r="AI162">
        <v>0</v>
      </c>
      <c r="AJ162">
        <v>0</v>
      </c>
      <c r="AK162">
        <v>0</v>
      </c>
      <c r="AL162">
        <v>7543566</v>
      </c>
      <c r="AM162">
        <v>6878601.5</v>
      </c>
      <c r="AN162">
        <v>4284256</v>
      </c>
      <c r="AO162">
        <v>3931147.75</v>
      </c>
      <c r="AP162">
        <v>10532617</v>
      </c>
      <c r="AQ162">
        <v>9241336</v>
      </c>
      <c r="AR162">
        <v>1471346</v>
      </c>
      <c r="AS162">
        <v>1227721.25</v>
      </c>
      <c r="AT162" s="23" t="s">
        <v>914</v>
      </c>
      <c r="AU162" s="18">
        <v>7086570.5</v>
      </c>
      <c r="AV162" s="18">
        <v>4696844</v>
      </c>
      <c r="AW162" s="19">
        <v>3129430.5</v>
      </c>
      <c r="AX162" s="19">
        <v>834792.12</v>
      </c>
      <c r="AY162" s="20">
        <v>5925943.5</v>
      </c>
      <c r="AZ162" s="20">
        <v>6180153.5</v>
      </c>
      <c r="BA162" s="21">
        <v>425782.34</v>
      </c>
      <c r="BB162" s="21">
        <v>520517</v>
      </c>
    </row>
    <row r="163" spans="1:54">
      <c r="A163">
        <v>20258</v>
      </c>
      <c r="B163" t="s">
        <v>708</v>
      </c>
      <c r="C163" t="s">
        <v>709</v>
      </c>
      <c r="D163" t="s">
        <v>708</v>
      </c>
      <c r="F163" t="s">
        <v>710</v>
      </c>
      <c r="G163">
        <v>129.75399999999999</v>
      </c>
      <c r="H163" t="s">
        <v>57</v>
      </c>
      <c r="I163">
        <v>2</v>
      </c>
      <c r="J163">
        <v>1</v>
      </c>
      <c r="K163">
        <v>0</v>
      </c>
      <c r="L163">
        <v>6.26</v>
      </c>
      <c r="M163">
        <v>63561</v>
      </c>
      <c r="N163">
        <v>34</v>
      </c>
      <c r="O163">
        <v>3</v>
      </c>
      <c r="P163">
        <v>3</v>
      </c>
      <c r="Q163">
        <v>3</v>
      </c>
      <c r="R163">
        <v>3</v>
      </c>
      <c r="S163">
        <v>12</v>
      </c>
      <c r="T163">
        <v>12</v>
      </c>
      <c r="U163">
        <v>3</v>
      </c>
      <c r="V163">
        <v>2</v>
      </c>
      <c r="W163">
        <v>3</v>
      </c>
      <c r="X163">
        <v>2</v>
      </c>
      <c r="Y163">
        <v>3</v>
      </c>
      <c r="Z163">
        <v>3</v>
      </c>
      <c r="AA163">
        <v>3</v>
      </c>
      <c r="AB163">
        <v>1</v>
      </c>
      <c r="AC163">
        <v>1</v>
      </c>
      <c r="AD163">
        <v>3</v>
      </c>
      <c r="AE163">
        <v>3</v>
      </c>
      <c r="AF163">
        <v>1</v>
      </c>
      <c r="AG163">
        <v>1</v>
      </c>
      <c r="AH163">
        <v>3</v>
      </c>
      <c r="AI163">
        <v>1</v>
      </c>
      <c r="AJ163">
        <v>0</v>
      </c>
      <c r="AK163">
        <v>0</v>
      </c>
      <c r="AL163">
        <v>2880865.5</v>
      </c>
      <c r="AM163">
        <v>4821864</v>
      </c>
      <c r="AN163">
        <v>1358903.88</v>
      </c>
      <c r="AO163">
        <v>2069344.75</v>
      </c>
      <c r="AP163">
        <v>8172268</v>
      </c>
      <c r="AQ163">
        <v>5988079</v>
      </c>
      <c r="AR163">
        <v>695152.12</v>
      </c>
      <c r="AS163">
        <v>471078.81</v>
      </c>
      <c r="AT163" s="23" t="s">
        <v>709</v>
      </c>
      <c r="AU163" s="18">
        <v>1628210.88</v>
      </c>
      <c r="AV163" s="18">
        <v>4591006.5</v>
      </c>
      <c r="AW163" s="19">
        <v>660280.25</v>
      </c>
      <c r="AX163" s="19">
        <v>2235437</v>
      </c>
      <c r="AY163" s="20">
        <v>3734622.75</v>
      </c>
      <c r="AZ163" s="20">
        <v>2936628.25</v>
      </c>
      <c r="BA163" s="21">
        <v>34422.769999999997</v>
      </c>
      <c r="BB163" s="21">
        <v>37385.49</v>
      </c>
    </row>
    <row r="164" spans="1:54">
      <c r="A164">
        <v>20179</v>
      </c>
      <c r="B164" t="s">
        <v>658</v>
      </c>
      <c r="C164" t="s">
        <v>659</v>
      </c>
      <c r="D164" t="s">
        <v>660</v>
      </c>
      <c r="F164" t="s">
        <v>661</v>
      </c>
      <c r="G164">
        <v>157.273</v>
      </c>
      <c r="H164" t="s">
        <v>57</v>
      </c>
      <c r="I164">
        <v>2</v>
      </c>
      <c r="J164">
        <v>2</v>
      </c>
      <c r="K164">
        <v>0</v>
      </c>
      <c r="L164">
        <v>29.61</v>
      </c>
      <c r="M164">
        <v>51542</v>
      </c>
      <c r="N164">
        <v>25</v>
      </c>
      <c r="O164">
        <v>12</v>
      </c>
      <c r="P164">
        <v>12</v>
      </c>
      <c r="Q164">
        <v>12</v>
      </c>
      <c r="R164">
        <v>12</v>
      </c>
      <c r="S164">
        <v>31</v>
      </c>
      <c r="T164">
        <v>31</v>
      </c>
      <c r="U164">
        <v>12</v>
      </c>
      <c r="V164">
        <v>11</v>
      </c>
      <c r="W164">
        <v>11</v>
      </c>
      <c r="X164">
        <v>11</v>
      </c>
      <c r="Y164">
        <v>11</v>
      </c>
      <c r="Z164">
        <v>12</v>
      </c>
      <c r="AA164">
        <v>12</v>
      </c>
      <c r="AB164">
        <v>12</v>
      </c>
      <c r="AC164">
        <v>11</v>
      </c>
      <c r="AD164">
        <v>1</v>
      </c>
      <c r="AE164">
        <v>1</v>
      </c>
      <c r="AF164">
        <v>7</v>
      </c>
      <c r="AG164">
        <v>9</v>
      </c>
      <c r="AH164">
        <v>2</v>
      </c>
      <c r="AI164">
        <v>3</v>
      </c>
      <c r="AJ164">
        <v>7</v>
      </c>
      <c r="AK164">
        <v>3</v>
      </c>
      <c r="AL164">
        <v>8843360</v>
      </c>
      <c r="AM164">
        <v>10101312</v>
      </c>
      <c r="AN164">
        <v>16855472</v>
      </c>
      <c r="AO164">
        <v>16126376</v>
      </c>
      <c r="AP164">
        <v>16234038</v>
      </c>
      <c r="AQ164">
        <v>22209428</v>
      </c>
      <c r="AR164">
        <v>20968974</v>
      </c>
      <c r="AS164">
        <v>13908331</v>
      </c>
      <c r="AT164" s="23" t="s">
        <v>659</v>
      </c>
      <c r="AU164" s="18">
        <v>8664933</v>
      </c>
      <c r="AV164" s="18">
        <v>8124736.5</v>
      </c>
      <c r="AW164" s="19">
        <v>13812072</v>
      </c>
      <c r="AX164" s="19">
        <v>15090405</v>
      </c>
      <c r="AY164" s="20">
        <v>6830965</v>
      </c>
      <c r="AZ164" s="20">
        <v>9510943</v>
      </c>
      <c r="BA164" s="21">
        <v>10984464</v>
      </c>
      <c r="BB164" s="21">
        <v>11379215</v>
      </c>
    </row>
    <row r="165" spans="1:54">
      <c r="A165">
        <v>20032</v>
      </c>
      <c r="B165" t="s">
        <v>704</v>
      </c>
      <c r="C165" t="s">
        <v>705</v>
      </c>
      <c r="D165" t="s">
        <v>706</v>
      </c>
      <c r="F165" t="s">
        <v>707</v>
      </c>
      <c r="G165">
        <v>131.828</v>
      </c>
      <c r="H165" t="s">
        <v>57</v>
      </c>
      <c r="I165">
        <v>2</v>
      </c>
      <c r="J165">
        <v>19</v>
      </c>
      <c r="K165">
        <v>0</v>
      </c>
      <c r="L165">
        <v>15.19</v>
      </c>
      <c r="M165">
        <v>26994</v>
      </c>
      <c r="N165">
        <v>18</v>
      </c>
      <c r="O165">
        <v>3</v>
      </c>
      <c r="P165">
        <v>3</v>
      </c>
      <c r="Q165">
        <v>3</v>
      </c>
      <c r="R165">
        <v>3</v>
      </c>
      <c r="S165">
        <v>10</v>
      </c>
      <c r="T165">
        <v>10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2</v>
      </c>
      <c r="AD165">
        <v>2</v>
      </c>
      <c r="AE165">
        <v>3</v>
      </c>
      <c r="AF165">
        <v>0</v>
      </c>
      <c r="AG165">
        <v>0</v>
      </c>
      <c r="AH165">
        <v>2</v>
      </c>
      <c r="AI165">
        <v>2</v>
      </c>
      <c r="AJ165">
        <v>1</v>
      </c>
      <c r="AK165">
        <v>1</v>
      </c>
      <c r="AL165">
        <v>3260223.5</v>
      </c>
      <c r="AM165">
        <v>4507693.5</v>
      </c>
      <c r="AN165">
        <v>1929642</v>
      </c>
      <c r="AO165">
        <v>2841306.75</v>
      </c>
      <c r="AP165">
        <v>6878109</v>
      </c>
      <c r="AQ165">
        <v>6178451.5</v>
      </c>
      <c r="AR165">
        <v>1791976.25</v>
      </c>
      <c r="AS165">
        <v>937213.88</v>
      </c>
      <c r="AT165" s="23" t="s">
        <v>705</v>
      </c>
      <c r="AU165" s="18">
        <v>3616659</v>
      </c>
      <c r="AV165" s="18">
        <v>3057748</v>
      </c>
      <c r="AW165" s="19">
        <v>1566957.75</v>
      </c>
      <c r="AX165" s="19">
        <v>1751694.38</v>
      </c>
      <c r="AY165" s="20">
        <v>2993401.25</v>
      </c>
      <c r="AZ165" s="20">
        <v>2783203.25</v>
      </c>
      <c r="BA165" s="21">
        <v>1102560.6200000001</v>
      </c>
      <c r="BB165" s="21">
        <v>947314.38</v>
      </c>
    </row>
    <row r="166" spans="1:54">
      <c r="A166">
        <v>20033</v>
      </c>
      <c r="B166" t="s">
        <v>1200</v>
      </c>
      <c r="C166" t="s">
        <v>1201</v>
      </c>
      <c r="D166" t="s">
        <v>1202</v>
      </c>
      <c r="E166" t="s">
        <v>1203</v>
      </c>
      <c r="F166" t="s">
        <v>1204</v>
      </c>
      <c r="G166">
        <v>10.419</v>
      </c>
      <c r="H166" t="s">
        <v>57</v>
      </c>
      <c r="I166">
        <v>2</v>
      </c>
      <c r="J166">
        <v>19</v>
      </c>
      <c r="K166">
        <v>1</v>
      </c>
      <c r="L166">
        <v>8.5</v>
      </c>
      <c r="M166">
        <v>38164</v>
      </c>
      <c r="N166">
        <v>22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1</v>
      </c>
      <c r="W166">
        <v>2</v>
      </c>
      <c r="X166">
        <v>1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1</v>
      </c>
      <c r="AL166">
        <v>666079.81000000006</v>
      </c>
      <c r="AM166">
        <v>2719819.75</v>
      </c>
      <c r="AN166">
        <v>689966.56</v>
      </c>
      <c r="AO166">
        <v>7247206</v>
      </c>
      <c r="AP166">
        <v>16911220</v>
      </c>
      <c r="AQ166">
        <v>14495470</v>
      </c>
      <c r="AR166">
        <v>13019716</v>
      </c>
      <c r="AS166">
        <v>9758630</v>
      </c>
      <c r="AT166" s="23" t="s">
        <v>1201</v>
      </c>
      <c r="AU166" s="18">
        <v>127701.52</v>
      </c>
      <c r="AV166" s="18">
        <v>1482671.75</v>
      </c>
      <c r="AW166" s="19">
        <v>23239.07</v>
      </c>
      <c r="AX166" s="19">
        <v>6573630</v>
      </c>
      <c r="AY166" s="20">
        <v>6693579.5</v>
      </c>
      <c r="AZ166" s="20">
        <v>6305536</v>
      </c>
      <c r="BA166" s="21">
        <v>7811925</v>
      </c>
      <c r="BB166" s="21">
        <v>8363962.5</v>
      </c>
    </row>
    <row r="167" spans="1:54">
      <c r="A167">
        <v>20174</v>
      </c>
      <c r="B167" t="s">
        <v>971</v>
      </c>
      <c r="C167" t="s">
        <v>972</v>
      </c>
      <c r="D167" t="s">
        <v>973</v>
      </c>
      <c r="F167" t="s">
        <v>974</v>
      </c>
      <c r="G167">
        <v>37.055999999999997</v>
      </c>
      <c r="H167" t="s">
        <v>57</v>
      </c>
      <c r="I167">
        <v>2</v>
      </c>
      <c r="J167">
        <v>2</v>
      </c>
      <c r="K167">
        <v>0</v>
      </c>
      <c r="L167">
        <v>5.71</v>
      </c>
      <c r="M167">
        <v>31920</v>
      </c>
      <c r="N167">
        <v>16</v>
      </c>
      <c r="O167">
        <v>2</v>
      </c>
      <c r="P167">
        <v>2</v>
      </c>
      <c r="Q167">
        <v>2</v>
      </c>
      <c r="R167">
        <v>2</v>
      </c>
      <c r="S167">
        <v>4</v>
      </c>
      <c r="T167">
        <v>4</v>
      </c>
      <c r="U167">
        <v>2</v>
      </c>
      <c r="V167">
        <v>1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0</v>
      </c>
      <c r="AE167">
        <v>1</v>
      </c>
      <c r="AF167">
        <v>1</v>
      </c>
      <c r="AG167">
        <v>0</v>
      </c>
      <c r="AH167">
        <v>1</v>
      </c>
      <c r="AI167">
        <v>2</v>
      </c>
      <c r="AJ167">
        <v>1</v>
      </c>
      <c r="AK167">
        <v>1</v>
      </c>
      <c r="AL167">
        <v>724467.62</v>
      </c>
      <c r="AM167">
        <v>1251994.75</v>
      </c>
      <c r="AN167">
        <v>2888393.5</v>
      </c>
      <c r="AO167">
        <v>1587203.5</v>
      </c>
      <c r="AP167">
        <v>2871122</v>
      </c>
      <c r="AQ167">
        <v>2765578.5</v>
      </c>
      <c r="AR167">
        <v>2160796</v>
      </c>
      <c r="AS167">
        <v>1597322.75</v>
      </c>
      <c r="AT167" s="23" t="s">
        <v>972</v>
      </c>
      <c r="AU167" s="18">
        <v>33707.910000000003</v>
      </c>
      <c r="AV167" s="18">
        <v>1035570.44</v>
      </c>
      <c r="AW167" s="19">
        <v>2346023.75</v>
      </c>
      <c r="AX167" s="19">
        <v>1505251.5</v>
      </c>
      <c r="AY167" s="20">
        <v>1222382.75</v>
      </c>
      <c r="AZ167" s="20">
        <v>1245820.3799999999</v>
      </c>
      <c r="BA167" s="21">
        <v>1246661.1200000001</v>
      </c>
      <c r="BB167" s="21">
        <v>1365444.25</v>
      </c>
    </row>
    <row r="168" spans="1:54">
      <c r="A168">
        <v>20268</v>
      </c>
      <c r="B168" t="s">
        <v>852</v>
      </c>
      <c r="C168" t="s">
        <v>853</v>
      </c>
      <c r="D168" t="s">
        <v>852</v>
      </c>
      <c r="F168" t="s">
        <v>854</v>
      </c>
      <c r="G168">
        <v>68.543000000000006</v>
      </c>
      <c r="H168" t="s">
        <v>57</v>
      </c>
      <c r="I168">
        <v>2</v>
      </c>
      <c r="J168">
        <v>1</v>
      </c>
      <c r="K168">
        <v>0</v>
      </c>
      <c r="L168">
        <v>6.04</v>
      </c>
      <c r="M168">
        <v>51356</v>
      </c>
      <c r="N168">
        <v>27</v>
      </c>
      <c r="O168">
        <v>3</v>
      </c>
      <c r="P168">
        <v>3</v>
      </c>
      <c r="Q168">
        <v>3</v>
      </c>
      <c r="R168">
        <v>3</v>
      </c>
      <c r="S168">
        <v>13</v>
      </c>
      <c r="T168">
        <v>13</v>
      </c>
      <c r="U168">
        <v>3</v>
      </c>
      <c r="V168">
        <v>2</v>
      </c>
      <c r="W168">
        <v>2</v>
      </c>
      <c r="X168">
        <v>2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1</v>
      </c>
      <c r="AE168">
        <v>1</v>
      </c>
      <c r="AF168">
        <v>1</v>
      </c>
      <c r="AG168">
        <v>1</v>
      </c>
      <c r="AH168">
        <v>3</v>
      </c>
      <c r="AI168">
        <v>3</v>
      </c>
      <c r="AJ168">
        <v>3</v>
      </c>
      <c r="AK168">
        <v>1</v>
      </c>
      <c r="AL168">
        <v>2790034</v>
      </c>
      <c r="AM168">
        <v>5158949</v>
      </c>
      <c r="AN168">
        <v>3270951</v>
      </c>
      <c r="AO168">
        <v>3413167.75</v>
      </c>
      <c r="AP168">
        <v>9469288</v>
      </c>
      <c r="AQ168">
        <v>8890635</v>
      </c>
      <c r="AR168">
        <v>3721600.5</v>
      </c>
      <c r="AS168">
        <v>2354185.5</v>
      </c>
      <c r="AT168" s="23" t="s">
        <v>853</v>
      </c>
      <c r="AU168" s="18">
        <v>4559944.5</v>
      </c>
      <c r="AV168" s="18">
        <v>4096087.5</v>
      </c>
      <c r="AW168" s="19">
        <v>2581585.5</v>
      </c>
      <c r="AX168" s="19">
        <v>2716235</v>
      </c>
      <c r="AY168" s="20">
        <v>3372562.5</v>
      </c>
      <c r="AZ168" s="20">
        <v>3435949</v>
      </c>
      <c r="BA168" s="21">
        <v>1741334.38</v>
      </c>
      <c r="BB168" s="21">
        <v>1621184.38</v>
      </c>
    </row>
    <row r="169" spans="1:54">
      <c r="A169">
        <v>20198</v>
      </c>
      <c r="B169" t="s">
        <v>983</v>
      </c>
      <c r="C169" t="s">
        <v>984</v>
      </c>
      <c r="D169" t="s">
        <v>985</v>
      </c>
      <c r="F169" t="s">
        <v>986</v>
      </c>
      <c r="G169">
        <v>35.463000000000001</v>
      </c>
      <c r="H169" t="s">
        <v>57</v>
      </c>
      <c r="I169">
        <v>2</v>
      </c>
      <c r="J169">
        <v>2</v>
      </c>
      <c r="K169">
        <v>0</v>
      </c>
      <c r="L169">
        <v>4.04</v>
      </c>
      <c r="M169">
        <v>50728</v>
      </c>
      <c r="N169">
        <v>27</v>
      </c>
      <c r="O169">
        <v>2</v>
      </c>
      <c r="P169">
        <v>2</v>
      </c>
      <c r="Q169">
        <v>2</v>
      </c>
      <c r="R169">
        <v>2</v>
      </c>
      <c r="S169">
        <v>3</v>
      </c>
      <c r="T169">
        <v>3</v>
      </c>
      <c r="U169">
        <v>2</v>
      </c>
      <c r="V169">
        <v>1</v>
      </c>
      <c r="W169">
        <v>2</v>
      </c>
      <c r="X169">
        <v>2</v>
      </c>
      <c r="Y169">
        <v>1</v>
      </c>
      <c r="Z169">
        <v>2</v>
      </c>
      <c r="AA169">
        <v>2</v>
      </c>
      <c r="AB169">
        <v>2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1091202.1200000001</v>
      </c>
      <c r="AM169">
        <v>2323702.75</v>
      </c>
      <c r="AN169">
        <v>1337736.1200000001</v>
      </c>
      <c r="AO169">
        <v>375317.41</v>
      </c>
      <c r="AP169">
        <v>2867876.25</v>
      </c>
      <c r="AQ169">
        <v>2780810.5</v>
      </c>
      <c r="AR169">
        <v>1113762.5</v>
      </c>
      <c r="AS169">
        <v>467441.22</v>
      </c>
      <c r="AT169" s="23" t="s">
        <v>984</v>
      </c>
      <c r="AU169" s="18">
        <v>29536.81</v>
      </c>
      <c r="AV169" s="18">
        <v>1833683.62</v>
      </c>
      <c r="AW169" s="19">
        <v>1024638.62</v>
      </c>
      <c r="AX169" s="19">
        <v>109027.95</v>
      </c>
      <c r="AY169" s="20">
        <v>1525220.5</v>
      </c>
      <c r="AZ169" s="20">
        <v>1575937.5</v>
      </c>
      <c r="BA169" s="21">
        <v>899576.38</v>
      </c>
      <c r="BB169" s="21">
        <v>305674.62</v>
      </c>
    </row>
    <row r="170" spans="1:54">
      <c r="A170">
        <v>20055</v>
      </c>
      <c r="B170" t="s">
        <v>1016</v>
      </c>
      <c r="C170" t="s">
        <v>1017</v>
      </c>
      <c r="D170" t="s">
        <v>1018</v>
      </c>
      <c r="F170" t="s">
        <v>1019</v>
      </c>
      <c r="G170">
        <v>28.152000000000001</v>
      </c>
      <c r="H170" t="s">
        <v>57</v>
      </c>
      <c r="I170">
        <v>2</v>
      </c>
      <c r="J170">
        <v>21</v>
      </c>
      <c r="K170">
        <v>0</v>
      </c>
      <c r="L170">
        <v>8.68</v>
      </c>
      <c r="M170">
        <v>34426</v>
      </c>
      <c r="N170">
        <v>20</v>
      </c>
      <c r="O170">
        <v>3</v>
      </c>
      <c r="P170">
        <v>3</v>
      </c>
      <c r="Q170">
        <v>3</v>
      </c>
      <c r="R170">
        <v>3</v>
      </c>
      <c r="S170">
        <v>5</v>
      </c>
      <c r="T170">
        <v>5</v>
      </c>
      <c r="U170">
        <v>3</v>
      </c>
      <c r="V170">
        <v>3</v>
      </c>
      <c r="W170">
        <v>1</v>
      </c>
      <c r="X170">
        <v>2</v>
      </c>
      <c r="Y170">
        <v>1</v>
      </c>
      <c r="Z170">
        <v>2</v>
      </c>
      <c r="AA170">
        <v>1</v>
      </c>
      <c r="AB170">
        <v>1</v>
      </c>
      <c r="AC170">
        <v>2</v>
      </c>
      <c r="AD170">
        <v>3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4216751</v>
      </c>
      <c r="AM170">
        <v>1172378.1200000001</v>
      </c>
      <c r="AN170">
        <v>2125773.5</v>
      </c>
      <c r="AO170">
        <v>1458639.12</v>
      </c>
      <c r="AP170">
        <v>2321420.25</v>
      </c>
      <c r="AQ170">
        <v>1803905.38</v>
      </c>
      <c r="AR170">
        <v>1561415.38</v>
      </c>
      <c r="AS170">
        <v>1984116</v>
      </c>
      <c r="AT170" s="23" t="s">
        <v>1017</v>
      </c>
      <c r="AU170" s="18">
        <v>10197287</v>
      </c>
      <c r="AV170" s="18">
        <v>30068.39</v>
      </c>
      <c r="AW170" s="19">
        <v>592772.25</v>
      </c>
      <c r="AX170" s="19">
        <v>61418.67</v>
      </c>
      <c r="AY170" s="20">
        <v>553633.18999999994</v>
      </c>
      <c r="AZ170" s="20">
        <v>51308.77</v>
      </c>
      <c r="BA170" s="21">
        <v>59252.14</v>
      </c>
      <c r="BB170" s="21">
        <v>1392579.12</v>
      </c>
    </row>
    <row r="171" spans="1:54">
      <c r="A171">
        <v>19958</v>
      </c>
      <c r="B171" t="s">
        <v>1120</v>
      </c>
      <c r="C171" t="s">
        <v>1121</v>
      </c>
      <c r="D171" t="s">
        <v>1122</v>
      </c>
      <c r="F171" t="s">
        <v>1123</v>
      </c>
      <c r="G171">
        <v>17.562000000000001</v>
      </c>
      <c r="H171" t="s">
        <v>57</v>
      </c>
      <c r="I171">
        <v>2</v>
      </c>
      <c r="J171">
        <v>21</v>
      </c>
      <c r="K171">
        <v>0</v>
      </c>
      <c r="L171">
        <v>9.15</v>
      </c>
      <c r="M171">
        <v>17120</v>
      </c>
      <c r="N171">
        <v>12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653093.93999999994</v>
      </c>
      <c r="AN171">
        <v>960739.19</v>
      </c>
      <c r="AO171">
        <v>729049.75</v>
      </c>
      <c r="AP171">
        <v>827091.12</v>
      </c>
      <c r="AQ171">
        <v>817359</v>
      </c>
      <c r="AR171">
        <v>1088114.3799999999</v>
      </c>
      <c r="AS171">
        <v>812508.75</v>
      </c>
      <c r="AT171" s="23" t="s">
        <v>1121</v>
      </c>
      <c r="AU171" s="18">
        <v>653093.93999999994</v>
      </c>
      <c r="AV171" s="18">
        <v>111774.65</v>
      </c>
      <c r="AW171" s="19">
        <v>741787.25</v>
      </c>
      <c r="AX171" s="19">
        <v>648328.25</v>
      </c>
      <c r="AY171" s="20">
        <v>333049.56</v>
      </c>
      <c r="AZ171" s="20">
        <v>351367.97</v>
      </c>
      <c r="BA171" s="21">
        <v>582635.75</v>
      </c>
      <c r="BB171" s="21">
        <v>637718.62</v>
      </c>
    </row>
    <row r="172" spans="1:54">
      <c r="A172">
        <v>20069</v>
      </c>
      <c r="B172" t="s">
        <v>818</v>
      </c>
      <c r="C172" t="s">
        <v>819</v>
      </c>
      <c r="D172" t="s">
        <v>820</v>
      </c>
      <c r="F172" t="s">
        <v>821</v>
      </c>
      <c r="G172">
        <v>86.649000000000001</v>
      </c>
      <c r="H172" t="s">
        <v>57</v>
      </c>
      <c r="I172">
        <v>2</v>
      </c>
      <c r="J172">
        <v>21</v>
      </c>
      <c r="K172">
        <v>0</v>
      </c>
      <c r="L172">
        <v>7.75</v>
      </c>
      <c r="M172">
        <v>32491</v>
      </c>
      <c r="N172">
        <v>16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1</v>
      </c>
      <c r="X172">
        <v>1</v>
      </c>
      <c r="Y172">
        <v>1</v>
      </c>
      <c r="Z172">
        <v>2</v>
      </c>
      <c r="AA172">
        <v>2</v>
      </c>
      <c r="AB172">
        <v>2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397931</v>
      </c>
      <c r="AN172">
        <v>477705.38</v>
      </c>
      <c r="AO172">
        <v>554611.38</v>
      </c>
      <c r="AP172">
        <v>1652693.88</v>
      </c>
      <c r="AQ172">
        <v>1824246.25</v>
      </c>
      <c r="AR172">
        <v>2684958.25</v>
      </c>
      <c r="AS172">
        <v>718794.5</v>
      </c>
      <c r="AT172" s="23" t="s">
        <v>819</v>
      </c>
      <c r="AU172" s="18">
        <v>53839.85</v>
      </c>
      <c r="AV172" s="18">
        <v>111774.65</v>
      </c>
      <c r="AW172" s="19">
        <v>36828.959999999999</v>
      </c>
      <c r="AX172" s="19">
        <v>42119.75</v>
      </c>
      <c r="AY172" s="20">
        <v>967023.88</v>
      </c>
      <c r="AZ172" s="20">
        <v>1130034.6200000001</v>
      </c>
      <c r="BA172" s="21">
        <v>1976548.75</v>
      </c>
      <c r="BB172" s="21">
        <v>315402.28000000003</v>
      </c>
    </row>
    <row r="173" spans="1:54">
      <c r="A173">
        <v>20103</v>
      </c>
      <c r="B173" t="s">
        <v>493</v>
      </c>
      <c r="C173" t="s">
        <v>494</v>
      </c>
      <c r="D173" t="s">
        <v>495</v>
      </c>
      <c r="F173" t="s">
        <v>496</v>
      </c>
      <c r="G173">
        <v>317.74200000000002</v>
      </c>
      <c r="H173" t="s">
        <v>57</v>
      </c>
      <c r="I173">
        <v>2</v>
      </c>
      <c r="J173">
        <v>21</v>
      </c>
      <c r="K173">
        <v>0</v>
      </c>
      <c r="L173">
        <v>63.16</v>
      </c>
      <c r="M173">
        <v>15154</v>
      </c>
      <c r="N173">
        <v>10</v>
      </c>
      <c r="O173">
        <v>7</v>
      </c>
      <c r="P173">
        <v>7</v>
      </c>
      <c r="Q173">
        <v>7</v>
      </c>
      <c r="R173">
        <v>7</v>
      </c>
      <c r="S173">
        <v>98</v>
      </c>
      <c r="T173">
        <v>98</v>
      </c>
      <c r="U173">
        <v>7</v>
      </c>
      <c r="V173">
        <v>6</v>
      </c>
      <c r="W173">
        <v>6</v>
      </c>
      <c r="X173">
        <v>6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8</v>
      </c>
      <c r="AE173">
        <v>14</v>
      </c>
      <c r="AF173">
        <v>12</v>
      </c>
      <c r="AG173">
        <v>13</v>
      </c>
      <c r="AH173">
        <v>16</v>
      </c>
      <c r="AI173">
        <v>13</v>
      </c>
      <c r="AJ173">
        <v>11</v>
      </c>
      <c r="AK173">
        <v>11</v>
      </c>
      <c r="AL173">
        <v>131438640</v>
      </c>
      <c r="AM173">
        <v>130739568</v>
      </c>
      <c r="AN173">
        <v>145224864</v>
      </c>
      <c r="AO173">
        <v>138650832</v>
      </c>
      <c r="AP173">
        <v>308187712</v>
      </c>
      <c r="AQ173">
        <v>271813376</v>
      </c>
      <c r="AR173">
        <v>157586096</v>
      </c>
      <c r="AS173">
        <v>97146304</v>
      </c>
      <c r="AT173" s="23" t="s">
        <v>494</v>
      </c>
      <c r="AU173" s="18">
        <v>127695496</v>
      </c>
      <c r="AV173" s="18">
        <v>109527168</v>
      </c>
      <c r="AW173" s="19">
        <v>129892632</v>
      </c>
      <c r="AX173" s="19">
        <v>153732800</v>
      </c>
      <c r="AY173" s="20">
        <v>151075168</v>
      </c>
      <c r="AZ173" s="20">
        <v>151221968</v>
      </c>
      <c r="BA173" s="21">
        <v>116923848</v>
      </c>
      <c r="BB173" s="21">
        <v>109185048</v>
      </c>
    </row>
    <row r="174" spans="1:54">
      <c r="A174">
        <v>20030</v>
      </c>
      <c r="B174" t="s">
        <v>1205</v>
      </c>
      <c r="C174" t="s">
        <v>1206</v>
      </c>
      <c r="D174" t="s">
        <v>1207</v>
      </c>
      <c r="F174" t="s">
        <v>1208</v>
      </c>
      <c r="G174">
        <v>10.41</v>
      </c>
      <c r="H174" t="s">
        <v>57</v>
      </c>
      <c r="I174">
        <v>2</v>
      </c>
      <c r="J174">
        <v>19</v>
      </c>
      <c r="K174">
        <v>0</v>
      </c>
      <c r="L174">
        <v>3.12</v>
      </c>
      <c r="M174">
        <v>37972</v>
      </c>
      <c r="N174">
        <v>21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0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854784.25</v>
      </c>
      <c r="AM174">
        <v>1260803.6200000001</v>
      </c>
      <c r="AN174">
        <v>1353946.5</v>
      </c>
      <c r="AO174">
        <v>1178134.8799999999</v>
      </c>
      <c r="AP174">
        <v>1393279.12</v>
      </c>
      <c r="AQ174">
        <v>1566674.75</v>
      </c>
      <c r="AR174">
        <v>911209.75</v>
      </c>
      <c r="AS174">
        <v>586862</v>
      </c>
      <c r="AT174" s="23" t="s">
        <v>1206</v>
      </c>
      <c r="AU174" s="18">
        <v>854784.25</v>
      </c>
      <c r="AV174" s="18">
        <v>972990.19</v>
      </c>
      <c r="AW174" s="19">
        <v>1045382.81</v>
      </c>
      <c r="AX174" s="19">
        <v>1047690</v>
      </c>
      <c r="AY174" s="20">
        <v>561039.75</v>
      </c>
      <c r="AZ174" s="20">
        <v>673485.44</v>
      </c>
      <c r="BA174" s="21">
        <v>487911.41</v>
      </c>
      <c r="BB174" s="21">
        <v>460613.91</v>
      </c>
    </row>
    <row r="175" spans="1:54">
      <c r="A175">
        <v>20255</v>
      </c>
      <c r="B175" t="s">
        <v>293</v>
      </c>
      <c r="C175" t="s">
        <v>294</v>
      </c>
      <c r="D175" t="s">
        <v>293</v>
      </c>
      <c r="F175" t="s">
        <v>295</v>
      </c>
      <c r="G175">
        <v>706.32500000000005</v>
      </c>
      <c r="H175" t="s">
        <v>57</v>
      </c>
      <c r="I175">
        <v>2</v>
      </c>
      <c r="J175">
        <v>1</v>
      </c>
      <c r="K175">
        <v>0</v>
      </c>
      <c r="L175">
        <v>51.1</v>
      </c>
      <c r="M175">
        <v>49988</v>
      </c>
      <c r="N175">
        <v>29</v>
      </c>
      <c r="O175">
        <v>18</v>
      </c>
      <c r="P175">
        <v>18</v>
      </c>
      <c r="Q175">
        <v>18</v>
      </c>
      <c r="R175">
        <v>18</v>
      </c>
      <c r="S175">
        <v>163</v>
      </c>
      <c r="T175">
        <v>163</v>
      </c>
      <c r="U175">
        <v>18</v>
      </c>
      <c r="V175">
        <v>15</v>
      </c>
      <c r="W175">
        <v>12</v>
      </c>
      <c r="X175">
        <v>15</v>
      </c>
      <c r="Y175">
        <v>14</v>
      </c>
      <c r="Z175">
        <v>16</v>
      </c>
      <c r="AA175">
        <v>18</v>
      </c>
      <c r="AB175">
        <v>17</v>
      </c>
      <c r="AC175">
        <v>17</v>
      </c>
      <c r="AD175">
        <v>14</v>
      </c>
      <c r="AE175">
        <v>9</v>
      </c>
      <c r="AF175">
        <v>19</v>
      </c>
      <c r="AG175">
        <v>21</v>
      </c>
      <c r="AH175">
        <v>25</v>
      </c>
      <c r="AI175">
        <v>26</v>
      </c>
      <c r="AJ175">
        <v>26</v>
      </c>
      <c r="AK175">
        <v>23</v>
      </c>
      <c r="AL175">
        <v>36013348</v>
      </c>
      <c r="AM175">
        <v>38076944</v>
      </c>
      <c r="AN175">
        <v>74211256</v>
      </c>
      <c r="AO175">
        <v>68804872</v>
      </c>
      <c r="AP175">
        <v>117664936</v>
      </c>
      <c r="AQ175">
        <v>119213616</v>
      </c>
      <c r="AR175">
        <v>136809600</v>
      </c>
      <c r="AS175">
        <v>92551184</v>
      </c>
      <c r="AT175" s="23" t="s">
        <v>294</v>
      </c>
      <c r="AU175" s="18">
        <v>39316120</v>
      </c>
      <c r="AV175" s="18">
        <v>36903444</v>
      </c>
      <c r="AW175" s="19">
        <v>65083368</v>
      </c>
      <c r="AX175" s="19">
        <v>72865632</v>
      </c>
      <c r="AY175" s="20">
        <v>58540212</v>
      </c>
      <c r="AZ175" s="20">
        <v>66413856</v>
      </c>
      <c r="BA175" s="21">
        <v>89588776</v>
      </c>
      <c r="BB175" s="21">
        <v>84657424</v>
      </c>
    </row>
    <row r="176" spans="1:54">
      <c r="A176">
        <v>20066</v>
      </c>
      <c r="B176" t="s">
        <v>1054</v>
      </c>
      <c r="C176" t="s">
        <v>1055</v>
      </c>
      <c r="D176" t="s">
        <v>1056</v>
      </c>
      <c r="F176" t="s">
        <v>1057</v>
      </c>
      <c r="G176">
        <v>24.359000000000002</v>
      </c>
      <c r="H176" t="s">
        <v>57</v>
      </c>
      <c r="I176">
        <v>2</v>
      </c>
      <c r="J176">
        <v>21</v>
      </c>
      <c r="K176">
        <v>0</v>
      </c>
      <c r="L176">
        <v>8.2899999999999991</v>
      </c>
      <c r="M176">
        <v>23353</v>
      </c>
      <c r="N176">
        <v>13</v>
      </c>
      <c r="O176">
        <v>2</v>
      </c>
      <c r="P176">
        <v>2</v>
      </c>
      <c r="Q176">
        <v>2</v>
      </c>
      <c r="R176">
        <v>2</v>
      </c>
      <c r="S176">
        <v>8</v>
      </c>
      <c r="T176">
        <v>8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1</v>
      </c>
      <c r="AE176">
        <v>1</v>
      </c>
      <c r="AF176">
        <v>1</v>
      </c>
      <c r="AG176">
        <v>2</v>
      </c>
      <c r="AH176">
        <v>1</v>
      </c>
      <c r="AI176">
        <v>1</v>
      </c>
      <c r="AJ176">
        <v>1</v>
      </c>
      <c r="AK176">
        <v>1</v>
      </c>
      <c r="AL176">
        <v>1580999.25</v>
      </c>
      <c r="AM176">
        <v>2521375.75</v>
      </c>
      <c r="AN176">
        <v>3335820</v>
      </c>
      <c r="AO176">
        <v>3073529.25</v>
      </c>
      <c r="AP176">
        <v>2915623.75</v>
      </c>
      <c r="AQ176">
        <v>3097467.5</v>
      </c>
      <c r="AR176">
        <v>2448791</v>
      </c>
      <c r="AS176">
        <v>1586848.88</v>
      </c>
      <c r="AT176" s="23" t="s">
        <v>1055</v>
      </c>
      <c r="AU176" s="18">
        <v>1636641.38</v>
      </c>
      <c r="AV176" s="18">
        <v>2077298.62</v>
      </c>
      <c r="AW176" s="19">
        <v>2678955.25</v>
      </c>
      <c r="AX176" s="19">
        <v>2810078.75</v>
      </c>
      <c r="AY176" s="20">
        <v>1240549</v>
      </c>
      <c r="AZ176" s="20">
        <v>1311718.5</v>
      </c>
      <c r="BA176" s="21">
        <v>1076542.1200000001</v>
      </c>
      <c r="BB176" s="21">
        <v>1061908.75</v>
      </c>
    </row>
    <row r="177" spans="1:54">
      <c r="A177">
        <v>20086</v>
      </c>
      <c r="B177" t="s">
        <v>677</v>
      </c>
      <c r="C177" t="s">
        <v>678</v>
      </c>
      <c r="D177" t="s">
        <v>679</v>
      </c>
      <c r="F177" t="s">
        <v>680</v>
      </c>
      <c r="G177">
        <v>142.02099999999999</v>
      </c>
      <c r="H177" t="s">
        <v>57</v>
      </c>
      <c r="I177">
        <v>2</v>
      </c>
      <c r="J177">
        <v>21</v>
      </c>
      <c r="K177">
        <v>0</v>
      </c>
      <c r="L177">
        <v>43.96</v>
      </c>
      <c r="M177">
        <v>20605</v>
      </c>
      <c r="N177">
        <v>12</v>
      </c>
      <c r="O177">
        <v>7</v>
      </c>
      <c r="P177">
        <v>7</v>
      </c>
      <c r="Q177">
        <v>7</v>
      </c>
      <c r="R177">
        <v>7</v>
      </c>
      <c r="S177">
        <v>21</v>
      </c>
      <c r="T177">
        <v>21</v>
      </c>
      <c r="U177">
        <v>7</v>
      </c>
      <c r="V177">
        <v>6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6</v>
      </c>
      <c r="AC177">
        <v>6</v>
      </c>
      <c r="AD177">
        <v>1</v>
      </c>
      <c r="AE177">
        <v>2</v>
      </c>
      <c r="AF177">
        <v>1</v>
      </c>
      <c r="AG177">
        <v>4</v>
      </c>
      <c r="AH177">
        <v>4</v>
      </c>
      <c r="AI177">
        <v>3</v>
      </c>
      <c r="AJ177">
        <v>3</v>
      </c>
      <c r="AK177">
        <v>3</v>
      </c>
      <c r="AL177">
        <v>8004741.5</v>
      </c>
      <c r="AM177">
        <v>10985611</v>
      </c>
      <c r="AN177">
        <v>11387178</v>
      </c>
      <c r="AO177">
        <v>10707967</v>
      </c>
      <c r="AP177">
        <v>19995704</v>
      </c>
      <c r="AQ177">
        <v>18311946</v>
      </c>
      <c r="AR177">
        <v>9653630</v>
      </c>
      <c r="AS177">
        <v>6708371</v>
      </c>
      <c r="AT177" s="23" t="s">
        <v>678</v>
      </c>
      <c r="AU177" s="18">
        <v>8428108</v>
      </c>
      <c r="AV177" s="18">
        <v>8544513</v>
      </c>
      <c r="AW177" s="19">
        <v>8801945</v>
      </c>
      <c r="AX177" s="19">
        <v>9287683</v>
      </c>
      <c r="AY177" s="20">
        <v>7454384.5</v>
      </c>
      <c r="AZ177" s="20">
        <v>7816648.5</v>
      </c>
      <c r="BA177" s="21">
        <v>5377835.5</v>
      </c>
      <c r="BB177" s="21">
        <v>5630168.5</v>
      </c>
    </row>
    <row r="178" spans="1:54">
      <c r="A178">
        <v>20158</v>
      </c>
      <c r="B178" t="s">
        <v>623</v>
      </c>
      <c r="C178" t="s">
        <v>624</v>
      </c>
      <c r="D178" t="s">
        <v>625</v>
      </c>
      <c r="E178" t="s">
        <v>626</v>
      </c>
      <c r="F178" t="s">
        <v>627</v>
      </c>
      <c r="G178">
        <v>189.804</v>
      </c>
      <c r="H178" t="s">
        <v>57</v>
      </c>
      <c r="I178">
        <v>2</v>
      </c>
      <c r="J178">
        <v>5</v>
      </c>
      <c r="K178">
        <v>7</v>
      </c>
      <c r="L178">
        <v>26.72</v>
      </c>
      <c r="M178">
        <v>42309</v>
      </c>
      <c r="N178">
        <v>22</v>
      </c>
      <c r="O178">
        <v>7</v>
      </c>
      <c r="P178">
        <v>7</v>
      </c>
      <c r="Q178">
        <v>7</v>
      </c>
      <c r="R178">
        <v>7</v>
      </c>
      <c r="S178">
        <v>22</v>
      </c>
      <c r="T178">
        <v>22</v>
      </c>
      <c r="U178">
        <v>7</v>
      </c>
      <c r="V178">
        <v>6</v>
      </c>
      <c r="W178">
        <v>7</v>
      </c>
      <c r="X178">
        <v>6</v>
      </c>
      <c r="Y178">
        <v>6</v>
      </c>
      <c r="Z178">
        <v>7</v>
      </c>
      <c r="AA178">
        <v>7</v>
      </c>
      <c r="AB178">
        <v>7</v>
      </c>
      <c r="AC178">
        <v>7</v>
      </c>
      <c r="AD178">
        <v>1</v>
      </c>
      <c r="AE178">
        <v>1</v>
      </c>
      <c r="AF178">
        <v>3</v>
      </c>
      <c r="AG178">
        <v>5</v>
      </c>
      <c r="AH178">
        <v>3</v>
      </c>
      <c r="AI178">
        <v>3</v>
      </c>
      <c r="AJ178">
        <v>3</v>
      </c>
      <c r="AK178">
        <v>3</v>
      </c>
      <c r="AL178">
        <v>8582850</v>
      </c>
      <c r="AM178">
        <v>10253629</v>
      </c>
      <c r="AN178">
        <v>18703462</v>
      </c>
      <c r="AO178">
        <v>16562366</v>
      </c>
      <c r="AP178">
        <v>18394630</v>
      </c>
      <c r="AQ178">
        <v>17802348</v>
      </c>
      <c r="AR178">
        <v>16229218</v>
      </c>
      <c r="AS178">
        <v>10918714</v>
      </c>
      <c r="AT178" s="23" t="s">
        <v>624</v>
      </c>
      <c r="AU178" s="18">
        <v>8173212.5</v>
      </c>
      <c r="AV178" s="18">
        <v>7661905</v>
      </c>
      <c r="AW178" s="19">
        <v>14257450</v>
      </c>
      <c r="AX178" s="19">
        <v>14390559</v>
      </c>
      <c r="AY178" s="20">
        <v>6872495.5</v>
      </c>
      <c r="AZ178" s="20">
        <v>7595149</v>
      </c>
      <c r="BA178" s="21">
        <v>9453275</v>
      </c>
      <c r="BB178" s="21">
        <v>9685716</v>
      </c>
    </row>
    <row r="179" spans="1:54">
      <c r="A179">
        <v>20075</v>
      </c>
      <c r="B179" t="s">
        <v>1362</v>
      </c>
      <c r="C179" t="s">
        <v>1363</v>
      </c>
      <c r="D179" t="s">
        <v>1364</v>
      </c>
      <c r="F179" t="s">
        <v>1365</v>
      </c>
      <c r="G179">
        <v>0</v>
      </c>
      <c r="H179" t="s">
        <v>57</v>
      </c>
      <c r="I179">
        <v>2</v>
      </c>
      <c r="J179">
        <v>2</v>
      </c>
      <c r="K179">
        <v>0</v>
      </c>
      <c r="L179">
        <v>3.16</v>
      </c>
      <c r="M179">
        <v>54763</v>
      </c>
      <c r="N179">
        <v>37</v>
      </c>
      <c r="O179">
        <v>2</v>
      </c>
      <c r="P179">
        <v>2</v>
      </c>
      <c r="Q179">
        <v>2</v>
      </c>
      <c r="R179">
        <v>2</v>
      </c>
      <c r="S179">
        <v>8</v>
      </c>
      <c r="T179">
        <v>8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3</v>
      </c>
      <c r="AE179">
        <v>3</v>
      </c>
      <c r="AF179">
        <v>3</v>
      </c>
      <c r="AG179">
        <v>3</v>
      </c>
      <c r="AH179">
        <v>4</v>
      </c>
      <c r="AI179">
        <v>5</v>
      </c>
      <c r="AJ179">
        <v>3</v>
      </c>
      <c r="AK179">
        <v>5</v>
      </c>
      <c r="AL179">
        <v>7023722</v>
      </c>
      <c r="AM179">
        <v>29821352</v>
      </c>
      <c r="AN179">
        <v>19990740</v>
      </c>
      <c r="AO179">
        <v>20218440</v>
      </c>
      <c r="AP179">
        <v>63868780</v>
      </c>
      <c r="AQ179">
        <v>68772784</v>
      </c>
      <c r="AR179">
        <v>42932484</v>
      </c>
      <c r="AS179">
        <v>32938646</v>
      </c>
      <c r="AT179" s="23" t="s">
        <v>1363</v>
      </c>
      <c r="AU179" s="18">
        <v>872364.25</v>
      </c>
      <c r="AV179" s="18">
        <v>25120948</v>
      </c>
      <c r="AW179" s="19">
        <v>15575412</v>
      </c>
      <c r="AX179" s="19">
        <v>18425078</v>
      </c>
      <c r="AY179" s="20">
        <v>28469352</v>
      </c>
      <c r="AZ179" s="20">
        <v>31723522</v>
      </c>
      <c r="BA179" s="21">
        <v>20727030</v>
      </c>
      <c r="BB179" s="21">
        <v>25253480</v>
      </c>
    </row>
    <row r="180" spans="1:54">
      <c r="A180">
        <v>20262</v>
      </c>
      <c r="B180" t="s">
        <v>954</v>
      </c>
      <c r="C180" t="s">
        <v>955</v>
      </c>
      <c r="D180" t="s">
        <v>954</v>
      </c>
      <c r="F180" t="s">
        <v>956</v>
      </c>
      <c r="G180">
        <v>41.040999999999997</v>
      </c>
      <c r="H180" t="s">
        <v>57</v>
      </c>
      <c r="I180">
        <v>2</v>
      </c>
      <c r="J180">
        <v>1</v>
      </c>
      <c r="K180">
        <v>0</v>
      </c>
      <c r="L180">
        <v>3.32</v>
      </c>
      <c r="M180">
        <v>92108</v>
      </c>
      <c r="N180">
        <v>49</v>
      </c>
      <c r="O180">
        <v>3</v>
      </c>
      <c r="P180">
        <v>3</v>
      </c>
      <c r="Q180">
        <v>3</v>
      </c>
      <c r="R180">
        <v>3</v>
      </c>
      <c r="S180">
        <v>5</v>
      </c>
      <c r="T180">
        <v>5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2</v>
      </c>
      <c r="AJ180">
        <v>1</v>
      </c>
      <c r="AK180">
        <v>0</v>
      </c>
      <c r="AL180">
        <v>1026989.31</v>
      </c>
      <c r="AM180">
        <v>2096546.88</v>
      </c>
      <c r="AN180">
        <v>1234613.75</v>
      </c>
      <c r="AO180">
        <v>1052049.8799999999</v>
      </c>
      <c r="AP180">
        <v>4333877</v>
      </c>
      <c r="AQ180">
        <v>4430238</v>
      </c>
      <c r="AR180">
        <v>2934543.5</v>
      </c>
      <c r="AS180">
        <v>1097343.1200000001</v>
      </c>
      <c r="AT180" s="23" t="s">
        <v>955</v>
      </c>
      <c r="AU180" s="18">
        <v>1270884.25</v>
      </c>
      <c r="AV180" s="18">
        <v>1183160</v>
      </c>
      <c r="AW180" s="19">
        <v>1128527.5</v>
      </c>
      <c r="AX180" s="19">
        <v>1262542.8799999999</v>
      </c>
      <c r="AY180" s="20">
        <v>1742012.88</v>
      </c>
      <c r="AZ180" s="20">
        <v>2048241.5</v>
      </c>
      <c r="BA180" s="21">
        <v>1164193.8799999999</v>
      </c>
      <c r="BB180" s="21">
        <v>830333.19</v>
      </c>
    </row>
    <row r="181" spans="1:54">
      <c r="A181">
        <v>20125</v>
      </c>
      <c r="B181" t="s">
        <v>95</v>
      </c>
      <c r="C181" t="s">
        <v>96</v>
      </c>
      <c r="D181" t="s">
        <v>95</v>
      </c>
      <c r="E181" t="s">
        <v>97</v>
      </c>
      <c r="F181" t="s">
        <v>98</v>
      </c>
      <c r="G181">
        <v>2038.5840000000001</v>
      </c>
      <c r="H181" t="s">
        <v>57</v>
      </c>
      <c r="I181">
        <v>2</v>
      </c>
      <c r="J181">
        <v>1</v>
      </c>
      <c r="K181">
        <v>19</v>
      </c>
      <c r="L181">
        <v>88.89</v>
      </c>
      <c r="M181">
        <v>24743</v>
      </c>
      <c r="N181">
        <v>15</v>
      </c>
      <c r="O181">
        <v>31</v>
      </c>
      <c r="P181">
        <v>31</v>
      </c>
      <c r="Q181">
        <v>38</v>
      </c>
      <c r="R181">
        <v>38</v>
      </c>
      <c r="S181">
        <v>3678</v>
      </c>
      <c r="T181">
        <v>3678</v>
      </c>
      <c r="U181">
        <v>37</v>
      </c>
      <c r="V181">
        <v>30</v>
      </c>
      <c r="W181">
        <v>33</v>
      </c>
      <c r="X181">
        <v>33</v>
      </c>
      <c r="Y181">
        <v>34</v>
      </c>
      <c r="Z181">
        <v>36</v>
      </c>
      <c r="AA181">
        <v>37</v>
      </c>
      <c r="AB181">
        <v>36</v>
      </c>
      <c r="AC181">
        <v>34</v>
      </c>
      <c r="AD181">
        <v>371</v>
      </c>
      <c r="AE181">
        <v>431</v>
      </c>
      <c r="AF181">
        <v>488</v>
      </c>
      <c r="AG181">
        <v>461</v>
      </c>
      <c r="AH181">
        <v>541</v>
      </c>
      <c r="AI181">
        <v>530</v>
      </c>
      <c r="AJ181">
        <v>469</v>
      </c>
      <c r="AK181">
        <v>386</v>
      </c>
      <c r="AL181">
        <v>10547123200</v>
      </c>
      <c r="AM181">
        <v>11396372480</v>
      </c>
      <c r="AN181">
        <v>10523552768</v>
      </c>
      <c r="AO181">
        <v>10584364032</v>
      </c>
      <c r="AP181">
        <v>18355470336</v>
      </c>
      <c r="AQ181">
        <v>17108591616</v>
      </c>
      <c r="AR181">
        <v>11598326784</v>
      </c>
      <c r="AS181">
        <v>8836291584</v>
      </c>
      <c r="AT181" s="23" t="s">
        <v>96</v>
      </c>
      <c r="AU181" s="18">
        <v>7310047744</v>
      </c>
      <c r="AV181" s="18">
        <v>8660091904</v>
      </c>
      <c r="AW181" s="19">
        <v>8718371840</v>
      </c>
      <c r="AX181" s="19">
        <v>10651386880</v>
      </c>
      <c r="AY181" s="20">
        <v>9672096768</v>
      </c>
      <c r="AZ181" s="20">
        <v>10155130880</v>
      </c>
      <c r="BA181" s="21">
        <v>8904524800</v>
      </c>
      <c r="BB181" s="21">
        <v>8930555904</v>
      </c>
    </row>
    <row r="182" spans="1:54">
      <c r="A182">
        <v>20113</v>
      </c>
      <c r="B182" t="s">
        <v>162</v>
      </c>
      <c r="C182" t="s">
        <v>163</v>
      </c>
      <c r="D182" t="s">
        <v>164</v>
      </c>
      <c r="F182" t="s">
        <v>165</v>
      </c>
      <c r="G182">
        <v>1199.692</v>
      </c>
      <c r="H182" t="s">
        <v>57</v>
      </c>
      <c r="I182">
        <v>2</v>
      </c>
      <c r="J182">
        <v>21</v>
      </c>
      <c r="K182">
        <v>0</v>
      </c>
      <c r="L182">
        <v>73.63</v>
      </c>
      <c r="M182">
        <v>29860</v>
      </c>
      <c r="N182">
        <v>18</v>
      </c>
      <c r="O182">
        <v>30</v>
      </c>
      <c r="P182">
        <v>30</v>
      </c>
      <c r="Q182">
        <v>34</v>
      </c>
      <c r="R182">
        <v>34</v>
      </c>
      <c r="S182">
        <v>1355</v>
      </c>
      <c r="T182">
        <v>1355</v>
      </c>
      <c r="U182">
        <v>34</v>
      </c>
      <c r="V182">
        <v>22</v>
      </c>
      <c r="W182">
        <v>29</v>
      </c>
      <c r="X182">
        <v>27</v>
      </c>
      <c r="Y182">
        <v>27</v>
      </c>
      <c r="Z182">
        <v>34</v>
      </c>
      <c r="AA182">
        <v>34</v>
      </c>
      <c r="AB182">
        <v>34</v>
      </c>
      <c r="AC182">
        <v>33</v>
      </c>
      <c r="AD182">
        <v>223</v>
      </c>
      <c r="AE182">
        <v>223</v>
      </c>
      <c r="AF182">
        <v>200</v>
      </c>
      <c r="AG182">
        <v>110</v>
      </c>
      <c r="AH182">
        <v>162</v>
      </c>
      <c r="AI182">
        <v>158</v>
      </c>
      <c r="AJ182">
        <v>131</v>
      </c>
      <c r="AK182">
        <v>148</v>
      </c>
      <c r="AL182">
        <v>993649920</v>
      </c>
      <c r="AM182">
        <v>1851504512</v>
      </c>
      <c r="AN182">
        <v>1187464832</v>
      </c>
      <c r="AO182">
        <v>830914688</v>
      </c>
      <c r="AP182">
        <v>4155383552</v>
      </c>
      <c r="AQ182">
        <v>3685877760</v>
      </c>
      <c r="AR182">
        <v>1940815360</v>
      </c>
      <c r="AS182">
        <v>2028811008</v>
      </c>
      <c r="AT182" s="23" t="s">
        <v>163</v>
      </c>
      <c r="AU182" s="18">
        <v>1015049792</v>
      </c>
      <c r="AV182" s="18">
        <v>1383228544</v>
      </c>
      <c r="AW182" s="19">
        <v>909391424</v>
      </c>
      <c r="AX182" s="19">
        <v>621974208</v>
      </c>
      <c r="AY182" s="20">
        <v>2185104384</v>
      </c>
      <c r="AZ182" s="20">
        <v>2145564160</v>
      </c>
      <c r="BA182" s="21">
        <v>1486115840</v>
      </c>
      <c r="BB182" s="21">
        <v>2036148224</v>
      </c>
    </row>
    <row r="183" spans="1:54">
      <c r="A183">
        <v>20031</v>
      </c>
      <c r="B183" t="s">
        <v>215</v>
      </c>
      <c r="C183" t="s">
        <v>216</v>
      </c>
      <c r="D183" t="s">
        <v>217</v>
      </c>
      <c r="F183" t="s">
        <v>218</v>
      </c>
      <c r="G183">
        <v>916.14400000000001</v>
      </c>
      <c r="H183" t="s">
        <v>57</v>
      </c>
      <c r="I183">
        <v>2</v>
      </c>
      <c r="J183">
        <v>21</v>
      </c>
      <c r="K183">
        <v>0</v>
      </c>
      <c r="L183">
        <v>89.47</v>
      </c>
      <c r="M183">
        <v>22243</v>
      </c>
      <c r="N183">
        <v>16</v>
      </c>
      <c r="O183">
        <v>31</v>
      </c>
      <c r="P183">
        <v>31</v>
      </c>
      <c r="Q183">
        <v>33</v>
      </c>
      <c r="R183">
        <v>33</v>
      </c>
      <c r="S183">
        <v>704</v>
      </c>
      <c r="T183">
        <v>704</v>
      </c>
      <c r="U183">
        <v>33</v>
      </c>
      <c r="V183">
        <v>23</v>
      </c>
      <c r="W183">
        <v>30</v>
      </c>
      <c r="X183">
        <v>28</v>
      </c>
      <c r="Y183">
        <v>29</v>
      </c>
      <c r="Z183">
        <v>30</v>
      </c>
      <c r="AA183">
        <v>28</v>
      </c>
      <c r="AB183">
        <v>28</v>
      </c>
      <c r="AC183">
        <v>27</v>
      </c>
      <c r="AD183">
        <v>145</v>
      </c>
      <c r="AE183">
        <v>102</v>
      </c>
      <c r="AF183">
        <v>104</v>
      </c>
      <c r="AG183">
        <v>61</v>
      </c>
      <c r="AH183">
        <v>84</v>
      </c>
      <c r="AI183">
        <v>68</v>
      </c>
      <c r="AJ183">
        <v>75</v>
      </c>
      <c r="AK183">
        <v>64</v>
      </c>
      <c r="AL183">
        <v>1036462528</v>
      </c>
      <c r="AM183">
        <v>1304613760</v>
      </c>
      <c r="AN183">
        <v>973015424</v>
      </c>
      <c r="AO183">
        <v>456779008</v>
      </c>
      <c r="AP183">
        <v>2433765632</v>
      </c>
      <c r="AQ183">
        <v>2002620672</v>
      </c>
      <c r="AR183">
        <v>903758784</v>
      </c>
      <c r="AS183">
        <v>1025769344</v>
      </c>
      <c r="AT183" s="23" t="s">
        <v>216</v>
      </c>
      <c r="AU183" s="18">
        <v>818432192</v>
      </c>
      <c r="AV183" s="18">
        <v>1118832896</v>
      </c>
      <c r="AW183" s="19">
        <v>868533696</v>
      </c>
      <c r="AX183" s="19">
        <v>392855104</v>
      </c>
      <c r="AY183" s="20">
        <v>1220939648</v>
      </c>
      <c r="AZ183" s="20">
        <v>1057215936</v>
      </c>
      <c r="BA183" s="21">
        <v>585833472</v>
      </c>
      <c r="BB183" s="21">
        <v>583814400</v>
      </c>
    </row>
    <row r="184" spans="1:54">
      <c r="A184">
        <v>19989</v>
      </c>
      <c r="B184" t="s">
        <v>192</v>
      </c>
      <c r="C184" t="s">
        <v>193</v>
      </c>
      <c r="D184" t="s">
        <v>194</v>
      </c>
      <c r="F184" t="s">
        <v>195</v>
      </c>
      <c r="G184">
        <v>1043.558</v>
      </c>
      <c r="H184" t="s">
        <v>57</v>
      </c>
      <c r="I184">
        <v>2</v>
      </c>
      <c r="J184">
        <v>21</v>
      </c>
      <c r="K184">
        <v>0</v>
      </c>
      <c r="L184">
        <v>92.04</v>
      </c>
      <c r="M184">
        <v>22086</v>
      </c>
      <c r="N184">
        <v>13</v>
      </c>
      <c r="O184">
        <v>29</v>
      </c>
      <c r="P184">
        <v>29</v>
      </c>
      <c r="Q184">
        <v>31</v>
      </c>
      <c r="R184">
        <v>31</v>
      </c>
      <c r="S184">
        <v>716</v>
      </c>
      <c r="T184">
        <v>716</v>
      </c>
      <c r="U184">
        <v>31</v>
      </c>
      <c r="V184">
        <v>22</v>
      </c>
      <c r="W184">
        <v>22</v>
      </c>
      <c r="X184">
        <v>27</v>
      </c>
      <c r="Y184">
        <v>22</v>
      </c>
      <c r="Z184">
        <v>28</v>
      </c>
      <c r="AA184">
        <v>27</v>
      </c>
      <c r="AB184">
        <v>28</v>
      </c>
      <c r="AC184">
        <v>26</v>
      </c>
      <c r="AD184">
        <v>91</v>
      </c>
      <c r="AE184">
        <v>83</v>
      </c>
      <c r="AF184">
        <v>95</v>
      </c>
      <c r="AG184">
        <v>59</v>
      </c>
      <c r="AH184">
        <v>93</v>
      </c>
      <c r="AI184">
        <v>96</v>
      </c>
      <c r="AJ184">
        <v>100</v>
      </c>
      <c r="AK184">
        <v>99</v>
      </c>
      <c r="AL184">
        <v>782863808</v>
      </c>
      <c r="AM184">
        <v>989644608</v>
      </c>
      <c r="AN184">
        <v>736328192</v>
      </c>
      <c r="AO184">
        <v>623618368</v>
      </c>
      <c r="AP184">
        <v>1896844672</v>
      </c>
      <c r="AQ184">
        <v>1626431232</v>
      </c>
      <c r="AR184">
        <v>855488320</v>
      </c>
      <c r="AS184">
        <v>974184832</v>
      </c>
      <c r="AT184" s="23" t="s">
        <v>193</v>
      </c>
      <c r="AU184" s="18">
        <v>608295424</v>
      </c>
      <c r="AV184" s="18">
        <v>556325056</v>
      </c>
      <c r="AW184" s="19">
        <v>612666560</v>
      </c>
      <c r="AX184" s="19">
        <v>392783776</v>
      </c>
      <c r="AY184" s="20">
        <v>1023378112</v>
      </c>
      <c r="AZ184" s="20">
        <v>1053526080</v>
      </c>
      <c r="BA184" s="21">
        <v>699385472</v>
      </c>
      <c r="BB184" s="21">
        <v>969831744</v>
      </c>
    </row>
    <row r="185" spans="1:54">
      <c r="A185">
        <v>20084</v>
      </c>
      <c r="B185" t="s">
        <v>151</v>
      </c>
      <c r="C185" t="s">
        <v>152</v>
      </c>
      <c r="D185" t="s">
        <v>153</v>
      </c>
      <c r="F185" t="s">
        <v>154</v>
      </c>
      <c r="G185">
        <v>1212.8409999999999</v>
      </c>
      <c r="H185" t="s">
        <v>57</v>
      </c>
      <c r="I185">
        <v>2</v>
      </c>
      <c r="J185">
        <v>21</v>
      </c>
      <c r="K185">
        <v>0</v>
      </c>
      <c r="L185">
        <v>92.74</v>
      </c>
      <c r="M185">
        <v>20301</v>
      </c>
      <c r="N185">
        <v>13</v>
      </c>
      <c r="O185">
        <v>27</v>
      </c>
      <c r="P185">
        <v>27</v>
      </c>
      <c r="Q185">
        <v>31</v>
      </c>
      <c r="R185">
        <v>31</v>
      </c>
      <c r="S185">
        <v>841</v>
      </c>
      <c r="T185">
        <v>841</v>
      </c>
      <c r="U185">
        <v>31</v>
      </c>
      <c r="V185">
        <v>21</v>
      </c>
      <c r="W185">
        <v>27</v>
      </c>
      <c r="X185">
        <v>27</v>
      </c>
      <c r="Y185">
        <v>25</v>
      </c>
      <c r="Z185">
        <v>30</v>
      </c>
      <c r="AA185">
        <v>30</v>
      </c>
      <c r="AB185">
        <v>29</v>
      </c>
      <c r="AC185">
        <v>27</v>
      </c>
      <c r="AD185">
        <v>113</v>
      </c>
      <c r="AE185">
        <v>115</v>
      </c>
      <c r="AF185">
        <v>127</v>
      </c>
      <c r="AG185">
        <v>94</v>
      </c>
      <c r="AH185">
        <v>110</v>
      </c>
      <c r="AI185">
        <v>105</v>
      </c>
      <c r="AJ185">
        <v>82</v>
      </c>
      <c r="AK185">
        <v>95</v>
      </c>
      <c r="AL185">
        <v>1427732352</v>
      </c>
      <c r="AM185">
        <v>1523295616</v>
      </c>
      <c r="AN185">
        <v>1223908736</v>
      </c>
      <c r="AO185">
        <v>845043712</v>
      </c>
      <c r="AP185">
        <v>2475184640</v>
      </c>
      <c r="AQ185">
        <v>2384209920</v>
      </c>
      <c r="AR185">
        <v>1262738176</v>
      </c>
      <c r="AS185">
        <v>1395899264</v>
      </c>
      <c r="AT185" s="23" t="s">
        <v>152</v>
      </c>
      <c r="AU185" s="18">
        <v>1351694336</v>
      </c>
      <c r="AV185" s="18">
        <v>1318155264</v>
      </c>
      <c r="AW185" s="19">
        <v>1168056576</v>
      </c>
      <c r="AX185" s="19">
        <v>882884032</v>
      </c>
      <c r="AY185" s="20">
        <v>1162579328</v>
      </c>
      <c r="AZ185" s="20">
        <v>1184834944</v>
      </c>
      <c r="BA185" s="21">
        <v>798975872</v>
      </c>
      <c r="BB185" s="21">
        <v>1255579392</v>
      </c>
    </row>
    <row r="186" spans="1:54">
      <c r="A186">
        <v>19988</v>
      </c>
      <c r="B186" t="s">
        <v>256</v>
      </c>
      <c r="C186" t="s">
        <v>257</v>
      </c>
      <c r="D186" t="s">
        <v>258</v>
      </c>
      <c r="F186" t="s">
        <v>259</v>
      </c>
      <c r="G186">
        <v>804.72</v>
      </c>
      <c r="H186" t="s">
        <v>57</v>
      </c>
      <c r="I186">
        <v>2</v>
      </c>
      <c r="J186">
        <v>21</v>
      </c>
      <c r="K186">
        <v>0</v>
      </c>
      <c r="L186">
        <v>68.36</v>
      </c>
      <c r="M186">
        <v>18903</v>
      </c>
      <c r="N186">
        <v>10</v>
      </c>
      <c r="O186">
        <v>18</v>
      </c>
      <c r="P186">
        <v>18</v>
      </c>
      <c r="Q186">
        <v>19</v>
      </c>
      <c r="R186">
        <v>19</v>
      </c>
      <c r="S186">
        <v>758</v>
      </c>
      <c r="T186">
        <v>758</v>
      </c>
      <c r="U186">
        <v>19</v>
      </c>
      <c r="V186">
        <v>17</v>
      </c>
      <c r="W186">
        <v>18</v>
      </c>
      <c r="X186">
        <v>17</v>
      </c>
      <c r="Y186">
        <v>17</v>
      </c>
      <c r="Z186">
        <v>18</v>
      </c>
      <c r="AA186">
        <v>16</v>
      </c>
      <c r="AB186">
        <v>17</v>
      </c>
      <c r="AC186">
        <v>17</v>
      </c>
      <c r="AD186">
        <v>124</v>
      </c>
      <c r="AE186">
        <v>110</v>
      </c>
      <c r="AF186">
        <v>101</v>
      </c>
      <c r="AG186">
        <v>84</v>
      </c>
      <c r="AH186">
        <v>78</v>
      </c>
      <c r="AI186">
        <v>70</v>
      </c>
      <c r="AJ186">
        <v>70</v>
      </c>
      <c r="AK186">
        <v>121</v>
      </c>
      <c r="AL186">
        <v>2719585280</v>
      </c>
      <c r="AM186">
        <v>3298373120</v>
      </c>
      <c r="AN186">
        <v>2884464384</v>
      </c>
      <c r="AO186">
        <v>2401855488</v>
      </c>
      <c r="AP186">
        <v>4801744896</v>
      </c>
      <c r="AQ186">
        <v>4512610304</v>
      </c>
      <c r="AR186">
        <v>3368031744</v>
      </c>
      <c r="AS186">
        <v>2691014144</v>
      </c>
      <c r="AT186" s="23" t="s">
        <v>257</v>
      </c>
      <c r="AU186" s="18">
        <v>2644429056</v>
      </c>
      <c r="AV186" s="18">
        <v>2873621760</v>
      </c>
      <c r="AW186" s="19">
        <v>2614212096</v>
      </c>
      <c r="AX186" s="19">
        <v>2385190144</v>
      </c>
      <c r="AY186" s="20">
        <v>1945952896</v>
      </c>
      <c r="AZ186" s="20">
        <v>1971788672</v>
      </c>
      <c r="BA186" s="21">
        <v>2141708160</v>
      </c>
      <c r="BB186" s="21">
        <v>2337634816</v>
      </c>
    </row>
    <row r="187" spans="1:54">
      <c r="A187">
        <v>20161</v>
      </c>
      <c r="B187" t="s">
        <v>305</v>
      </c>
      <c r="C187" t="s">
        <v>306</v>
      </c>
      <c r="D187" t="s">
        <v>307</v>
      </c>
      <c r="F187" t="s">
        <v>308</v>
      </c>
      <c r="G187">
        <v>690.76</v>
      </c>
      <c r="H187" t="s">
        <v>57</v>
      </c>
      <c r="I187">
        <v>2</v>
      </c>
      <c r="J187">
        <v>21</v>
      </c>
      <c r="K187">
        <v>0</v>
      </c>
      <c r="L187">
        <v>92.62</v>
      </c>
      <c r="M187">
        <v>15768</v>
      </c>
      <c r="N187">
        <v>14</v>
      </c>
      <c r="O187">
        <v>18</v>
      </c>
      <c r="P187">
        <v>18</v>
      </c>
      <c r="Q187">
        <v>19</v>
      </c>
      <c r="R187">
        <v>19</v>
      </c>
      <c r="S187">
        <v>1447</v>
      </c>
      <c r="T187">
        <v>1447</v>
      </c>
      <c r="U187">
        <v>19</v>
      </c>
      <c r="V187">
        <v>15</v>
      </c>
      <c r="W187">
        <v>19</v>
      </c>
      <c r="X187">
        <v>19</v>
      </c>
      <c r="Y187">
        <v>19</v>
      </c>
      <c r="Z187">
        <v>19</v>
      </c>
      <c r="AA187">
        <v>19</v>
      </c>
      <c r="AB187">
        <v>19</v>
      </c>
      <c r="AC187">
        <v>19</v>
      </c>
      <c r="AD187">
        <v>105</v>
      </c>
      <c r="AE187">
        <v>142</v>
      </c>
      <c r="AF187">
        <v>185</v>
      </c>
      <c r="AG187">
        <v>181</v>
      </c>
      <c r="AH187">
        <v>216</v>
      </c>
      <c r="AI187">
        <v>234</v>
      </c>
      <c r="AJ187">
        <v>193</v>
      </c>
      <c r="AK187">
        <v>191</v>
      </c>
      <c r="AL187">
        <v>4878218240</v>
      </c>
      <c r="AM187">
        <v>5715364352</v>
      </c>
      <c r="AN187">
        <v>5809709056</v>
      </c>
      <c r="AO187">
        <v>5607243264</v>
      </c>
      <c r="AP187">
        <v>8608840704</v>
      </c>
      <c r="AQ187">
        <v>8287457280</v>
      </c>
      <c r="AR187">
        <v>5336660480</v>
      </c>
      <c r="AS187">
        <v>4268685568</v>
      </c>
      <c r="AT187" s="23" t="s">
        <v>306</v>
      </c>
      <c r="AU187" s="18">
        <v>3825860352</v>
      </c>
      <c r="AV187" s="18">
        <v>4077630976</v>
      </c>
      <c r="AW187" s="19">
        <v>4627655680</v>
      </c>
      <c r="AX187" s="19">
        <v>4764429824</v>
      </c>
      <c r="AY187" s="20">
        <v>3871464960</v>
      </c>
      <c r="AZ187" s="20">
        <v>4285649152</v>
      </c>
      <c r="BA187" s="21">
        <v>3622643456</v>
      </c>
      <c r="BB187" s="21">
        <v>3584937984</v>
      </c>
    </row>
    <row r="188" spans="1:54">
      <c r="A188">
        <v>20073</v>
      </c>
      <c r="B188" t="s">
        <v>289</v>
      </c>
      <c r="C188" t="s">
        <v>290</v>
      </c>
      <c r="D188" t="s">
        <v>291</v>
      </c>
      <c r="F188" t="s">
        <v>292</v>
      </c>
      <c r="G188">
        <v>715.255</v>
      </c>
      <c r="H188" t="s">
        <v>57</v>
      </c>
      <c r="I188">
        <v>2</v>
      </c>
      <c r="J188">
        <v>21</v>
      </c>
      <c r="K188">
        <v>0</v>
      </c>
      <c r="L188">
        <v>83.64</v>
      </c>
      <c r="M188">
        <v>17711</v>
      </c>
      <c r="N188">
        <v>12</v>
      </c>
      <c r="O188">
        <v>16</v>
      </c>
      <c r="P188">
        <v>16</v>
      </c>
      <c r="Q188">
        <v>18</v>
      </c>
      <c r="R188">
        <v>18</v>
      </c>
      <c r="S188">
        <v>351</v>
      </c>
      <c r="T188">
        <v>351</v>
      </c>
      <c r="U188">
        <v>18</v>
      </c>
      <c r="V188">
        <v>14</v>
      </c>
      <c r="W188">
        <v>17</v>
      </c>
      <c r="X188">
        <v>16</v>
      </c>
      <c r="Y188">
        <v>18</v>
      </c>
      <c r="Z188">
        <v>18</v>
      </c>
      <c r="AA188">
        <v>18</v>
      </c>
      <c r="AB188">
        <v>18</v>
      </c>
      <c r="AC188">
        <v>18</v>
      </c>
      <c r="AD188">
        <v>43</v>
      </c>
      <c r="AE188">
        <v>49</v>
      </c>
      <c r="AF188">
        <v>48</v>
      </c>
      <c r="AG188">
        <v>53</v>
      </c>
      <c r="AH188">
        <v>40</v>
      </c>
      <c r="AI188">
        <v>39</v>
      </c>
      <c r="AJ188">
        <v>39</v>
      </c>
      <c r="AK188">
        <v>40</v>
      </c>
      <c r="AL188">
        <v>2284014592</v>
      </c>
      <c r="AM188">
        <v>2624120320</v>
      </c>
      <c r="AN188">
        <v>1918119296</v>
      </c>
      <c r="AO188">
        <v>1657765248</v>
      </c>
      <c r="AP188">
        <v>3062149888</v>
      </c>
      <c r="AQ188">
        <v>2868337152</v>
      </c>
      <c r="AR188">
        <v>2287473920</v>
      </c>
      <c r="AS188">
        <v>1717167616</v>
      </c>
      <c r="AT188" s="23" t="s">
        <v>290</v>
      </c>
      <c r="AU188" s="18">
        <v>1769244416</v>
      </c>
      <c r="AV188" s="18">
        <v>1930584448</v>
      </c>
      <c r="AW188" s="19">
        <v>1581310464</v>
      </c>
      <c r="AX188" s="19">
        <v>1549177472</v>
      </c>
      <c r="AY188" s="20">
        <v>1505490048</v>
      </c>
      <c r="AZ188" s="20">
        <v>1479593344</v>
      </c>
      <c r="BA188" s="21">
        <v>1391244544</v>
      </c>
      <c r="BB188" s="21">
        <v>1393004672</v>
      </c>
    </row>
    <row r="189" spans="1:54">
      <c r="A189">
        <v>19968</v>
      </c>
      <c r="B189" t="s">
        <v>356</v>
      </c>
      <c r="C189" t="s">
        <v>357</v>
      </c>
      <c r="D189" t="s">
        <v>358</v>
      </c>
      <c r="F189" t="s">
        <v>359</v>
      </c>
      <c r="G189">
        <v>594.16600000000005</v>
      </c>
      <c r="H189" t="s">
        <v>57</v>
      </c>
      <c r="I189">
        <v>2</v>
      </c>
      <c r="J189">
        <v>20</v>
      </c>
      <c r="K189">
        <v>0</v>
      </c>
      <c r="L189">
        <v>59.86</v>
      </c>
      <c r="M189">
        <v>14875</v>
      </c>
      <c r="N189">
        <v>10</v>
      </c>
      <c r="O189">
        <v>14</v>
      </c>
      <c r="P189">
        <v>14</v>
      </c>
      <c r="Q189">
        <v>18</v>
      </c>
      <c r="R189">
        <v>18</v>
      </c>
      <c r="S189">
        <v>396</v>
      </c>
      <c r="T189">
        <v>396</v>
      </c>
      <c r="U189">
        <v>18</v>
      </c>
      <c r="V189">
        <v>13</v>
      </c>
      <c r="W189">
        <v>15</v>
      </c>
      <c r="X189">
        <v>15</v>
      </c>
      <c r="Y189">
        <v>15</v>
      </c>
      <c r="Z189">
        <v>16</v>
      </c>
      <c r="AA189">
        <v>17</v>
      </c>
      <c r="AB189">
        <v>18</v>
      </c>
      <c r="AC189">
        <v>18</v>
      </c>
      <c r="AD189">
        <v>50</v>
      </c>
      <c r="AE189">
        <v>55</v>
      </c>
      <c r="AF189">
        <v>49</v>
      </c>
      <c r="AG189">
        <v>41</v>
      </c>
      <c r="AH189">
        <v>48</v>
      </c>
      <c r="AI189">
        <v>46</v>
      </c>
      <c r="AJ189">
        <v>46</v>
      </c>
      <c r="AK189">
        <v>61</v>
      </c>
      <c r="AL189">
        <v>2153531904</v>
      </c>
      <c r="AM189">
        <v>2236870912</v>
      </c>
      <c r="AN189">
        <v>2137909760</v>
      </c>
      <c r="AO189">
        <v>1815072000</v>
      </c>
      <c r="AP189">
        <v>2680274176</v>
      </c>
      <c r="AQ189">
        <v>2559346944</v>
      </c>
      <c r="AR189">
        <v>2123275776</v>
      </c>
      <c r="AS189">
        <v>1607012992</v>
      </c>
      <c r="AT189" s="23" t="s">
        <v>357</v>
      </c>
      <c r="AU189" s="18">
        <v>1901127040</v>
      </c>
      <c r="AV189" s="18">
        <v>1631463936</v>
      </c>
      <c r="AW189" s="19">
        <v>1572577408</v>
      </c>
      <c r="AX189" s="19">
        <v>1529005568</v>
      </c>
      <c r="AY189" s="20">
        <v>1113904000</v>
      </c>
      <c r="AZ189" s="20">
        <v>1229115520</v>
      </c>
      <c r="BA189" s="21">
        <v>1422934912</v>
      </c>
      <c r="BB189" s="21">
        <v>1548800256</v>
      </c>
    </row>
    <row r="190" spans="1:54">
      <c r="A190">
        <v>19977</v>
      </c>
      <c r="B190" t="s">
        <v>115</v>
      </c>
      <c r="C190" t="s">
        <v>116</v>
      </c>
      <c r="D190" t="s">
        <v>117</v>
      </c>
      <c r="E190" t="s">
        <v>118</v>
      </c>
      <c r="F190" t="s">
        <v>119</v>
      </c>
      <c r="G190">
        <v>1442.482</v>
      </c>
      <c r="H190" t="s">
        <v>57</v>
      </c>
      <c r="I190">
        <v>2</v>
      </c>
      <c r="J190">
        <v>19</v>
      </c>
      <c r="K190">
        <v>1</v>
      </c>
      <c r="L190">
        <v>96.69</v>
      </c>
      <c r="M190">
        <v>12295</v>
      </c>
      <c r="N190">
        <v>8</v>
      </c>
      <c r="O190">
        <v>19</v>
      </c>
      <c r="P190">
        <v>19</v>
      </c>
      <c r="Q190">
        <v>30</v>
      </c>
      <c r="R190">
        <v>30</v>
      </c>
      <c r="S190">
        <v>3722</v>
      </c>
      <c r="T190">
        <v>3722</v>
      </c>
      <c r="U190">
        <v>30</v>
      </c>
      <c r="V190">
        <v>19</v>
      </c>
      <c r="W190">
        <v>21</v>
      </c>
      <c r="X190">
        <v>25</v>
      </c>
      <c r="Y190">
        <v>25</v>
      </c>
      <c r="Z190">
        <v>26</v>
      </c>
      <c r="AA190">
        <v>26</v>
      </c>
      <c r="AB190">
        <v>26</v>
      </c>
      <c r="AC190">
        <v>30</v>
      </c>
      <c r="AD190">
        <v>384</v>
      </c>
      <c r="AE190">
        <v>412</v>
      </c>
      <c r="AF190">
        <v>456</v>
      </c>
      <c r="AG190">
        <v>465</v>
      </c>
      <c r="AH190">
        <v>499</v>
      </c>
      <c r="AI190">
        <v>503</v>
      </c>
      <c r="AJ190">
        <v>484</v>
      </c>
      <c r="AK190">
        <v>519</v>
      </c>
      <c r="AL190">
        <v>7422026752</v>
      </c>
      <c r="AM190">
        <v>8368109568</v>
      </c>
      <c r="AN190">
        <v>9131651072</v>
      </c>
      <c r="AO190">
        <v>9722706944</v>
      </c>
      <c r="AP190">
        <v>16224403456</v>
      </c>
      <c r="AQ190">
        <v>15522568192</v>
      </c>
      <c r="AR190">
        <v>11975379968</v>
      </c>
      <c r="AS190">
        <v>8397680640</v>
      </c>
      <c r="AT190" s="23" t="s">
        <v>116</v>
      </c>
      <c r="AU190" s="18">
        <v>585694080</v>
      </c>
      <c r="AV190" s="18">
        <v>3997719808</v>
      </c>
      <c r="AW190" s="19">
        <v>6859300864</v>
      </c>
      <c r="AX190" s="19">
        <v>8781181952</v>
      </c>
      <c r="AY190" s="20">
        <v>5183546368</v>
      </c>
      <c r="AZ190" s="20">
        <v>7029316096</v>
      </c>
      <c r="BA190" s="21">
        <v>9416752128</v>
      </c>
      <c r="BB190" s="21">
        <v>16386581504</v>
      </c>
    </row>
    <row r="191" spans="1:54">
      <c r="A191">
        <v>20044</v>
      </c>
      <c r="B191" t="s">
        <v>400</v>
      </c>
      <c r="C191" t="s">
        <v>401</v>
      </c>
      <c r="D191" t="s">
        <v>402</v>
      </c>
      <c r="F191" t="s">
        <v>403</v>
      </c>
      <c r="G191">
        <v>465.673</v>
      </c>
      <c r="H191" t="s">
        <v>57</v>
      </c>
      <c r="I191">
        <v>2</v>
      </c>
      <c r="J191">
        <v>21</v>
      </c>
      <c r="K191">
        <v>0</v>
      </c>
      <c r="L191">
        <v>80.989999999999995</v>
      </c>
      <c r="M191">
        <v>16018</v>
      </c>
      <c r="N191">
        <v>8</v>
      </c>
      <c r="O191">
        <v>14</v>
      </c>
      <c r="P191">
        <v>14</v>
      </c>
      <c r="Q191">
        <v>15</v>
      </c>
      <c r="R191">
        <v>15</v>
      </c>
      <c r="S191">
        <v>286</v>
      </c>
      <c r="T191">
        <v>286</v>
      </c>
      <c r="U191">
        <v>15</v>
      </c>
      <c r="V191">
        <v>10</v>
      </c>
      <c r="W191">
        <v>12</v>
      </c>
      <c r="X191">
        <v>14</v>
      </c>
      <c r="Y191">
        <v>12</v>
      </c>
      <c r="Z191">
        <v>14</v>
      </c>
      <c r="AA191">
        <v>14</v>
      </c>
      <c r="AB191">
        <v>13</v>
      </c>
      <c r="AC191">
        <v>13</v>
      </c>
      <c r="AD191">
        <v>39</v>
      </c>
      <c r="AE191">
        <v>40</v>
      </c>
      <c r="AF191">
        <v>36</v>
      </c>
      <c r="AG191">
        <v>28</v>
      </c>
      <c r="AH191">
        <v>28</v>
      </c>
      <c r="AI191">
        <v>29</v>
      </c>
      <c r="AJ191">
        <v>30</v>
      </c>
      <c r="AK191">
        <v>56</v>
      </c>
      <c r="AL191">
        <v>486568864</v>
      </c>
      <c r="AM191">
        <v>702782592</v>
      </c>
      <c r="AN191">
        <v>311698880</v>
      </c>
      <c r="AO191">
        <v>257456528</v>
      </c>
      <c r="AP191">
        <v>763546048</v>
      </c>
      <c r="AQ191">
        <v>763064640</v>
      </c>
      <c r="AR191">
        <v>358371456</v>
      </c>
      <c r="AS191">
        <v>603398144</v>
      </c>
      <c r="AT191" s="23" t="s">
        <v>401</v>
      </c>
      <c r="AU191" s="18">
        <v>330565760</v>
      </c>
      <c r="AV191" s="18">
        <v>478701792</v>
      </c>
      <c r="AW191" s="19">
        <v>283923840</v>
      </c>
      <c r="AX191" s="19">
        <v>274324544</v>
      </c>
      <c r="AY191" s="20">
        <v>387574464</v>
      </c>
      <c r="AZ191" s="20">
        <v>429386592</v>
      </c>
      <c r="BA191" s="21">
        <v>247810592</v>
      </c>
      <c r="BB191" s="21">
        <v>548967232</v>
      </c>
    </row>
    <row r="192" spans="1:54">
      <c r="A192">
        <v>19966</v>
      </c>
      <c r="B192" t="s">
        <v>437</v>
      </c>
      <c r="C192" t="s">
        <v>438</v>
      </c>
      <c r="D192" t="s">
        <v>439</v>
      </c>
      <c r="E192" t="s">
        <v>440</v>
      </c>
      <c r="F192" t="s">
        <v>441</v>
      </c>
      <c r="G192">
        <v>410.59800000000001</v>
      </c>
      <c r="H192" t="s">
        <v>57</v>
      </c>
      <c r="I192">
        <v>2</v>
      </c>
      <c r="J192">
        <v>20</v>
      </c>
      <c r="K192">
        <v>1</v>
      </c>
      <c r="L192">
        <v>64.23</v>
      </c>
      <c r="M192">
        <v>13540</v>
      </c>
      <c r="N192">
        <v>7</v>
      </c>
      <c r="O192">
        <v>11</v>
      </c>
      <c r="P192">
        <v>11</v>
      </c>
      <c r="Q192">
        <v>13</v>
      </c>
      <c r="R192">
        <v>13</v>
      </c>
      <c r="S192">
        <v>267</v>
      </c>
      <c r="T192">
        <v>267</v>
      </c>
      <c r="U192">
        <v>13</v>
      </c>
      <c r="V192">
        <v>12</v>
      </c>
      <c r="W192">
        <v>12</v>
      </c>
      <c r="X192">
        <v>13</v>
      </c>
      <c r="Y192">
        <v>10</v>
      </c>
      <c r="Z192">
        <v>13</v>
      </c>
      <c r="AA192">
        <v>13</v>
      </c>
      <c r="AB192">
        <v>13</v>
      </c>
      <c r="AC192">
        <v>12</v>
      </c>
      <c r="AD192">
        <v>55</v>
      </c>
      <c r="AE192">
        <v>37</v>
      </c>
      <c r="AF192">
        <v>37</v>
      </c>
      <c r="AG192">
        <v>15</v>
      </c>
      <c r="AH192">
        <v>30</v>
      </c>
      <c r="AI192">
        <v>29</v>
      </c>
      <c r="AJ192">
        <v>22</v>
      </c>
      <c r="AK192">
        <v>42</v>
      </c>
      <c r="AL192">
        <v>668275840</v>
      </c>
      <c r="AM192">
        <v>1048708288</v>
      </c>
      <c r="AN192">
        <v>613179904</v>
      </c>
      <c r="AO192">
        <v>281548256</v>
      </c>
      <c r="AP192">
        <v>1282721408</v>
      </c>
      <c r="AQ192">
        <v>1200856832</v>
      </c>
      <c r="AR192">
        <v>560205888</v>
      </c>
      <c r="AS192">
        <v>600098368</v>
      </c>
      <c r="AT192" s="23" t="s">
        <v>438</v>
      </c>
      <c r="AU192" s="18">
        <v>842444160</v>
      </c>
      <c r="AV192" s="18">
        <v>711587968</v>
      </c>
      <c r="AW192" s="19">
        <v>451726368</v>
      </c>
      <c r="AX192" s="19">
        <v>253315120</v>
      </c>
      <c r="AY192" s="20">
        <v>632465600</v>
      </c>
      <c r="AZ192" s="20">
        <v>558027520</v>
      </c>
      <c r="BA192" s="21">
        <v>344132608</v>
      </c>
      <c r="BB192" s="21">
        <v>548567488</v>
      </c>
    </row>
    <row r="193" spans="1:54">
      <c r="A193">
        <v>20151</v>
      </c>
      <c r="B193" t="s">
        <v>309</v>
      </c>
      <c r="C193" t="s">
        <v>310</v>
      </c>
      <c r="D193" t="s">
        <v>311</v>
      </c>
      <c r="E193" t="s">
        <v>312</v>
      </c>
      <c r="F193" t="s">
        <v>313</v>
      </c>
      <c r="G193">
        <v>665.24</v>
      </c>
      <c r="H193" t="s">
        <v>57</v>
      </c>
      <c r="I193">
        <v>2</v>
      </c>
      <c r="J193">
        <v>5</v>
      </c>
      <c r="K193">
        <v>16</v>
      </c>
      <c r="L193">
        <v>87.5</v>
      </c>
      <c r="M193">
        <v>14980</v>
      </c>
      <c r="N193">
        <v>11</v>
      </c>
      <c r="O193">
        <v>21</v>
      </c>
      <c r="P193">
        <v>21</v>
      </c>
      <c r="Q193">
        <v>23</v>
      </c>
      <c r="R193">
        <v>23</v>
      </c>
      <c r="S193">
        <v>581</v>
      </c>
      <c r="T193">
        <v>581</v>
      </c>
      <c r="U193">
        <v>23</v>
      </c>
      <c r="V193">
        <v>14</v>
      </c>
      <c r="W193">
        <v>18</v>
      </c>
      <c r="X193">
        <v>20</v>
      </c>
      <c r="Y193">
        <v>20</v>
      </c>
      <c r="Z193">
        <v>19</v>
      </c>
      <c r="AA193">
        <v>19</v>
      </c>
      <c r="AB193">
        <v>18</v>
      </c>
      <c r="AC193">
        <v>16</v>
      </c>
      <c r="AD193">
        <v>81</v>
      </c>
      <c r="AE193">
        <v>106</v>
      </c>
      <c r="AF193">
        <v>78</v>
      </c>
      <c r="AG193">
        <v>66</v>
      </c>
      <c r="AH193">
        <v>76</v>
      </c>
      <c r="AI193">
        <v>64</v>
      </c>
      <c r="AJ193">
        <v>42</v>
      </c>
      <c r="AK193">
        <v>68</v>
      </c>
      <c r="AL193">
        <v>1273917952</v>
      </c>
      <c r="AM193">
        <v>1452439424</v>
      </c>
      <c r="AN193">
        <v>1069109184</v>
      </c>
      <c r="AO193">
        <v>656350784</v>
      </c>
      <c r="AP193">
        <v>2131341952</v>
      </c>
      <c r="AQ193">
        <v>1983912960</v>
      </c>
      <c r="AR193">
        <v>1182091648</v>
      </c>
      <c r="AS193">
        <v>1134246144</v>
      </c>
      <c r="AT193" s="23" t="s">
        <v>310</v>
      </c>
      <c r="AU193" s="18">
        <v>894403584</v>
      </c>
      <c r="AV193" s="18">
        <v>1134862720</v>
      </c>
      <c r="AW193" s="19">
        <v>907895552</v>
      </c>
      <c r="AX193" s="19">
        <v>654002752</v>
      </c>
      <c r="AY193" s="20">
        <v>1079989888</v>
      </c>
      <c r="AZ193" s="20">
        <v>990000896</v>
      </c>
      <c r="BA193" s="21">
        <v>737851200</v>
      </c>
      <c r="BB193" s="21">
        <v>818973568</v>
      </c>
    </row>
    <row r="194" spans="1:54">
      <c r="A194">
        <v>20097</v>
      </c>
      <c r="B194" t="s">
        <v>314</v>
      </c>
      <c r="C194" t="s">
        <v>315</v>
      </c>
      <c r="D194" t="s">
        <v>316</v>
      </c>
      <c r="F194" t="s">
        <v>317</v>
      </c>
      <c r="G194">
        <v>653.83100000000002</v>
      </c>
      <c r="H194" t="s">
        <v>57</v>
      </c>
      <c r="I194">
        <v>2</v>
      </c>
      <c r="J194">
        <v>21</v>
      </c>
      <c r="K194">
        <v>0</v>
      </c>
      <c r="L194">
        <v>60.29</v>
      </c>
      <c r="M194">
        <v>15281</v>
      </c>
      <c r="N194">
        <v>5</v>
      </c>
      <c r="O194">
        <v>11</v>
      </c>
      <c r="P194">
        <v>11</v>
      </c>
      <c r="Q194">
        <v>12</v>
      </c>
      <c r="R194">
        <v>12</v>
      </c>
      <c r="S194">
        <v>433</v>
      </c>
      <c r="T194">
        <v>433</v>
      </c>
      <c r="U194">
        <v>12</v>
      </c>
      <c r="V194">
        <v>9</v>
      </c>
      <c r="W194">
        <v>10</v>
      </c>
      <c r="X194">
        <v>11</v>
      </c>
      <c r="Y194">
        <v>11</v>
      </c>
      <c r="Z194">
        <v>12</v>
      </c>
      <c r="AA194">
        <v>12</v>
      </c>
      <c r="AB194">
        <v>12</v>
      </c>
      <c r="AC194">
        <v>12</v>
      </c>
      <c r="AD194">
        <v>59</v>
      </c>
      <c r="AE194">
        <v>74</v>
      </c>
      <c r="AF194">
        <v>74</v>
      </c>
      <c r="AG194">
        <v>54</v>
      </c>
      <c r="AH194">
        <v>44</v>
      </c>
      <c r="AI194">
        <v>43</v>
      </c>
      <c r="AJ194">
        <v>38</v>
      </c>
      <c r="AK194">
        <v>47</v>
      </c>
      <c r="AL194">
        <v>945784064</v>
      </c>
      <c r="AM194">
        <v>1013484096</v>
      </c>
      <c r="AN194">
        <v>870566592</v>
      </c>
      <c r="AO194">
        <v>732476160</v>
      </c>
      <c r="AP194">
        <v>1534000384</v>
      </c>
      <c r="AQ194">
        <v>1425395584</v>
      </c>
      <c r="AR194">
        <v>951376896</v>
      </c>
      <c r="AS194">
        <v>935424192</v>
      </c>
      <c r="AT194" s="23" t="s">
        <v>315</v>
      </c>
      <c r="AU194" s="18">
        <v>764308864</v>
      </c>
      <c r="AV194" s="18">
        <v>701931520</v>
      </c>
      <c r="AW194" s="19">
        <v>749518912</v>
      </c>
      <c r="AX194" s="19">
        <v>494218336</v>
      </c>
      <c r="AY194" s="20">
        <v>871073024</v>
      </c>
      <c r="AZ194" s="20">
        <v>855195712</v>
      </c>
      <c r="BA194" s="21">
        <v>851118720</v>
      </c>
      <c r="BB194" s="21">
        <v>1063034240</v>
      </c>
    </row>
    <row r="195" spans="1:54">
      <c r="A195">
        <v>19995</v>
      </c>
      <c r="B195" t="s">
        <v>573</v>
      </c>
      <c r="C195" t="s">
        <v>574</v>
      </c>
      <c r="D195" t="s">
        <v>575</v>
      </c>
      <c r="E195" t="s">
        <v>576</v>
      </c>
      <c r="F195" t="s">
        <v>577</v>
      </c>
      <c r="G195">
        <v>242.98</v>
      </c>
      <c r="H195" t="s">
        <v>57</v>
      </c>
      <c r="I195">
        <v>2</v>
      </c>
      <c r="J195">
        <v>20</v>
      </c>
      <c r="K195">
        <v>1</v>
      </c>
      <c r="L195">
        <v>68.5</v>
      </c>
      <c r="M195">
        <v>14364</v>
      </c>
      <c r="N195">
        <v>8</v>
      </c>
      <c r="O195">
        <v>11</v>
      </c>
      <c r="P195">
        <v>11</v>
      </c>
      <c r="Q195">
        <v>12</v>
      </c>
      <c r="R195">
        <v>12</v>
      </c>
      <c r="S195">
        <v>122</v>
      </c>
      <c r="T195">
        <v>122</v>
      </c>
      <c r="U195">
        <v>12</v>
      </c>
      <c r="V195">
        <v>9</v>
      </c>
      <c r="W195">
        <v>9</v>
      </c>
      <c r="X195">
        <v>10</v>
      </c>
      <c r="Y195">
        <v>11</v>
      </c>
      <c r="Z195">
        <v>11</v>
      </c>
      <c r="AA195">
        <v>11</v>
      </c>
      <c r="AB195">
        <v>11</v>
      </c>
      <c r="AC195">
        <v>10</v>
      </c>
      <c r="AD195">
        <v>31</v>
      </c>
      <c r="AE195">
        <v>16</v>
      </c>
      <c r="AF195">
        <v>20</v>
      </c>
      <c r="AG195">
        <v>8</v>
      </c>
      <c r="AH195">
        <v>12</v>
      </c>
      <c r="AI195">
        <v>11</v>
      </c>
      <c r="AJ195">
        <v>10</v>
      </c>
      <c r="AK195">
        <v>14</v>
      </c>
      <c r="AL195">
        <v>463208352</v>
      </c>
      <c r="AM195">
        <v>707522048</v>
      </c>
      <c r="AN195">
        <v>368110624</v>
      </c>
      <c r="AO195">
        <v>280318656</v>
      </c>
      <c r="AP195">
        <v>474089856</v>
      </c>
      <c r="AQ195">
        <v>515790976</v>
      </c>
      <c r="AR195">
        <v>276364352</v>
      </c>
      <c r="AS195">
        <v>542727680</v>
      </c>
      <c r="AT195" s="23" t="s">
        <v>574</v>
      </c>
      <c r="AU195" s="18">
        <v>373349696</v>
      </c>
      <c r="AV195" s="18">
        <v>573774976</v>
      </c>
      <c r="AW195" s="19">
        <v>296338432</v>
      </c>
      <c r="AX195" s="19">
        <v>261275568</v>
      </c>
      <c r="AY195" s="20">
        <v>197861872</v>
      </c>
      <c r="AZ195" s="20">
        <v>225762016</v>
      </c>
      <c r="BA195" s="21">
        <v>184667552</v>
      </c>
      <c r="BB195" s="21">
        <v>433552320</v>
      </c>
    </row>
    <row r="196" spans="1:54">
      <c r="A196">
        <v>20096</v>
      </c>
      <c r="B196" t="s">
        <v>379</v>
      </c>
      <c r="C196" t="s">
        <v>380</v>
      </c>
      <c r="D196" t="s">
        <v>381</v>
      </c>
      <c r="F196" t="s">
        <v>382</v>
      </c>
      <c r="G196">
        <v>529.78399999999999</v>
      </c>
      <c r="H196" t="s">
        <v>57</v>
      </c>
      <c r="I196">
        <v>2</v>
      </c>
      <c r="J196">
        <v>21</v>
      </c>
      <c r="K196">
        <v>0</v>
      </c>
      <c r="L196">
        <v>87.18</v>
      </c>
      <c r="M196">
        <v>12769</v>
      </c>
      <c r="N196">
        <v>8</v>
      </c>
      <c r="O196">
        <v>15</v>
      </c>
      <c r="P196">
        <v>15</v>
      </c>
      <c r="Q196">
        <v>15</v>
      </c>
      <c r="R196">
        <v>15</v>
      </c>
      <c r="S196">
        <v>523</v>
      </c>
      <c r="T196">
        <v>523</v>
      </c>
      <c r="U196">
        <v>15</v>
      </c>
      <c r="V196">
        <v>13</v>
      </c>
      <c r="W196">
        <v>14</v>
      </c>
      <c r="X196">
        <v>15</v>
      </c>
      <c r="Y196">
        <v>13</v>
      </c>
      <c r="Z196">
        <v>14</v>
      </c>
      <c r="AA196">
        <v>14</v>
      </c>
      <c r="AB196">
        <v>14</v>
      </c>
      <c r="AC196">
        <v>14</v>
      </c>
      <c r="AD196">
        <v>81</v>
      </c>
      <c r="AE196">
        <v>85</v>
      </c>
      <c r="AF196">
        <v>93</v>
      </c>
      <c r="AG196">
        <v>48</v>
      </c>
      <c r="AH196">
        <v>61</v>
      </c>
      <c r="AI196">
        <v>53</v>
      </c>
      <c r="AJ196">
        <v>44</v>
      </c>
      <c r="AK196">
        <v>58</v>
      </c>
      <c r="AL196">
        <v>591740160</v>
      </c>
      <c r="AM196">
        <v>898070080</v>
      </c>
      <c r="AN196">
        <v>774051584</v>
      </c>
      <c r="AO196">
        <v>452140736</v>
      </c>
      <c r="AP196">
        <v>1327900160</v>
      </c>
      <c r="AQ196">
        <v>1268600576</v>
      </c>
      <c r="AR196">
        <v>750231168</v>
      </c>
      <c r="AS196">
        <v>714720576</v>
      </c>
      <c r="AT196" s="23" t="s">
        <v>380</v>
      </c>
      <c r="AU196" s="18">
        <v>450583808</v>
      </c>
      <c r="AV196" s="18">
        <v>666447488</v>
      </c>
      <c r="AW196" s="19">
        <v>646486848</v>
      </c>
      <c r="AX196" s="19">
        <v>257497536</v>
      </c>
      <c r="AY196" s="20">
        <v>727511744</v>
      </c>
      <c r="AZ196" s="20">
        <v>725138176</v>
      </c>
      <c r="BA196" s="21">
        <v>511018848</v>
      </c>
      <c r="BB196" s="21">
        <v>387668160</v>
      </c>
    </row>
    <row r="197" spans="1:54">
      <c r="A197">
        <v>19965</v>
      </c>
      <c r="B197" t="s">
        <v>433</v>
      </c>
      <c r="C197" t="s">
        <v>434</v>
      </c>
      <c r="D197" t="s">
        <v>435</v>
      </c>
      <c r="F197" t="s">
        <v>436</v>
      </c>
      <c r="G197">
        <v>416.62700000000001</v>
      </c>
      <c r="H197" t="s">
        <v>57</v>
      </c>
      <c r="I197">
        <v>2</v>
      </c>
      <c r="J197">
        <v>21</v>
      </c>
      <c r="K197">
        <v>0</v>
      </c>
      <c r="L197">
        <v>82.61</v>
      </c>
      <c r="M197">
        <v>13133</v>
      </c>
      <c r="N197">
        <v>9</v>
      </c>
      <c r="O197">
        <v>17</v>
      </c>
      <c r="P197">
        <v>17</v>
      </c>
      <c r="Q197">
        <v>17</v>
      </c>
      <c r="R197">
        <v>17</v>
      </c>
      <c r="S197">
        <v>384</v>
      </c>
      <c r="T197">
        <v>384</v>
      </c>
      <c r="U197">
        <v>17</v>
      </c>
      <c r="V197">
        <v>10</v>
      </c>
      <c r="W197">
        <v>13</v>
      </c>
      <c r="X197">
        <v>10</v>
      </c>
      <c r="Y197">
        <v>9</v>
      </c>
      <c r="Z197">
        <v>16</v>
      </c>
      <c r="AA197">
        <v>16</v>
      </c>
      <c r="AB197">
        <v>15</v>
      </c>
      <c r="AC197">
        <v>14</v>
      </c>
      <c r="AD197">
        <v>85</v>
      </c>
      <c r="AE197">
        <v>54</v>
      </c>
      <c r="AF197">
        <v>40</v>
      </c>
      <c r="AG197">
        <v>22</v>
      </c>
      <c r="AH197">
        <v>38</v>
      </c>
      <c r="AI197">
        <v>47</v>
      </c>
      <c r="AJ197">
        <v>35</v>
      </c>
      <c r="AK197">
        <v>63</v>
      </c>
      <c r="AL197">
        <v>172114896</v>
      </c>
      <c r="AM197">
        <v>422825408</v>
      </c>
      <c r="AN197">
        <v>212814112</v>
      </c>
      <c r="AO197">
        <v>153947568</v>
      </c>
      <c r="AP197">
        <v>481564448</v>
      </c>
      <c r="AQ197">
        <v>520336032</v>
      </c>
      <c r="AR197">
        <v>280180320</v>
      </c>
      <c r="AS197">
        <v>445167680</v>
      </c>
      <c r="AT197" s="23" t="s">
        <v>434</v>
      </c>
      <c r="AU197" s="18">
        <v>216507088</v>
      </c>
      <c r="AV197" s="18">
        <v>378220608</v>
      </c>
      <c r="AW197" s="19">
        <v>184916336</v>
      </c>
      <c r="AX197" s="19">
        <v>120284384</v>
      </c>
      <c r="AY197" s="20">
        <v>312344448</v>
      </c>
      <c r="AZ197" s="20">
        <v>418551328</v>
      </c>
      <c r="BA197" s="21">
        <v>247592032</v>
      </c>
      <c r="BB197" s="21">
        <v>429073312</v>
      </c>
    </row>
    <row r="198" spans="1:54">
      <c r="A198">
        <v>20058</v>
      </c>
      <c r="B198" t="s">
        <v>745</v>
      </c>
      <c r="C198" t="s">
        <v>746</v>
      </c>
      <c r="D198" t="s">
        <v>747</v>
      </c>
      <c r="F198" t="s">
        <v>748</v>
      </c>
      <c r="G198">
        <v>113.75700000000001</v>
      </c>
      <c r="H198" t="s">
        <v>57</v>
      </c>
      <c r="I198">
        <v>2</v>
      </c>
      <c r="J198">
        <v>21</v>
      </c>
      <c r="K198">
        <v>0</v>
      </c>
      <c r="L198">
        <v>22.88</v>
      </c>
      <c r="M198">
        <v>13496</v>
      </c>
      <c r="N198">
        <v>10</v>
      </c>
      <c r="O198">
        <v>5</v>
      </c>
      <c r="P198">
        <v>5</v>
      </c>
      <c r="Q198">
        <v>5</v>
      </c>
      <c r="R198">
        <v>5</v>
      </c>
      <c r="S198">
        <v>82</v>
      </c>
      <c r="T198">
        <v>82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22</v>
      </c>
      <c r="AE198">
        <v>10</v>
      </c>
      <c r="AF198">
        <v>10</v>
      </c>
      <c r="AG198">
        <v>10</v>
      </c>
      <c r="AH198">
        <v>10</v>
      </c>
      <c r="AI198">
        <v>9</v>
      </c>
      <c r="AJ198">
        <v>4</v>
      </c>
      <c r="AK198">
        <v>7</v>
      </c>
      <c r="AL198">
        <v>144202432</v>
      </c>
      <c r="AM198">
        <v>221001184</v>
      </c>
      <c r="AN198">
        <v>134740800</v>
      </c>
      <c r="AO198">
        <v>85298448</v>
      </c>
      <c r="AP198">
        <v>121495744</v>
      </c>
      <c r="AQ198">
        <v>147769968</v>
      </c>
      <c r="AR198">
        <v>95046552</v>
      </c>
      <c r="AS198">
        <v>143212320</v>
      </c>
      <c r="AT198" s="23" t="s">
        <v>746</v>
      </c>
      <c r="AU198" s="18">
        <v>147140144</v>
      </c>
      <c r="AV198" s="18">
        <v>171298064</v>
      </c>
      <c r="AW198" s="19">
        <v>107673024</v>
      </c>
      <c r="AX198" s="19">
        <v>108806960</v>
      </c>
      <c r="AY198" s="20">
        <v>42160420</v>
      </c>
      <c r="AZ198" s="20">
        <v>52887568</v>
      </c>
      <c r="BA198" s="21">
        <v>46856448</v>
      </c>
      <c r="BB198" s="21">
        <v>96977296</v>
      </c>
    </row>
    <row r="199" spans="1:54">
      <c r="A199">
        <v>19997</v>
      </c>
      <c r="B199" t="s">
        <v>594</v>
      </c>
      <c r="C199" t="s">
        <v>595</v>
      </c>
      <c r="D199" t="s">
        <v>596</v>
      </c>
      <c r="F199" t="s">
        <v>597</v>
      </c>
      <c r="G199">
        <v>235.55199999999999</v>
      </c>
      <c r="H199" t="s">
        <v>57</v>
      </c>
      <c r="I199">
        <v>2</v>
      </c>
      <c r="J199">
        <v>19</v>
      </c>
      <c r="K199">
        <v>0</v>
      </c>
      <c r="L199">
        <v>66.02</v>
      </c>
      <c r="M199">
        <v>11564</v>
      </c>
      <c r="N199">
        <v>7</v>
      </c>
      <c r="O199">
        <v>7</v>
      </c>
      <c r="P199">
        <v>7</v>
      </c>
      <c r="Q199">
        <v>8</v>
      </c>
      <c r="R199">
        <v>8</v>
      </c>
      <c r="S199">
        <v>109</v>
      </c>
      <c r="T199">
        <v>109</v>
      </c>
      <c r="U199">
        <v>8</v>
      </c>
      <c r="V199">
        <v>5</v>
      </c>
      <c r="W199">
        <v>7</v>
      </c>
      <c r="X199">
        <v>8</v>
      </c>
      <c r="Y199">
        <v>6</v>
      </c>
      <c r="Z199">
        <v>8</v>
      </c>
      <c r="AA199">
        <v>8</v>
      </c>
      <c r="AB199">
        <v>8</v>
      </c>
      <c r="AC199">
        <v>7</v>
      </c>
      <c r="AD199">
        <v>10</v>
      </c>
      <c r="AE199">
        <v>21</v>
      </c>
      <c r="AF199">
        <v>14</v>
      </c>
      <c r="AG199">
        <v>6</v>
      </c>
      <c r="AH199">
        <v>16</v>
      </c>
      <c r="AI199">
        <v>12</v>
      </c>
      <c r="AJ199">
        <v>12</v>
      </c>
      <c r="AK199">
        <v>18</v>
      </c>
      <c r="AL199">
        <v>324956448</v>
      </c>
      <c r="AM199">
        <v>507656544</v>
      </c>
      <c r="AN199">
        <v>194594976</v>
      </c>
      <c r="AO199">
        <v>156496272</v>
      </c>
      <c r="AP199">
        <v>422302112</v>
      </c>
      <c r="AQ199">
        <v>386327712</v>
      </c>
      <c r="AR199">
        <v>208892368</v>
      </c>
      <c r="AS199">
        <v>396557696</v>
      </c>
      <c r="AT199" s="23" t="s">
        <v>595</v>
      </c>
      <c r="AU199" s="18">
        <v>74519360</v>
      </c>
      <c r="AV199" s="18">
        <v>220669248</v>
      </c>
      <c r="AW199" s="19">
        <v>152517312</v>
      </c>
      <c r="AX199" s="19">
        <v>65648192</v>
      </c>
      <c r="AY199" s="20">
        <v>296692064</v>
      </c>
      <c r="AZ199" s="20">
        <v>370807008</v>
      </c>
      <c r="BA199" s="21">
        <v>226907696</v>
      </c>
      <c r="BB199" s="21">
        <v>291534176</v>
      </c>
    </row>
    <row r="200" spans="1:54">
      <c r="A200">
        <v>20051</v>
      </c>
      <c r="B200" t="s">
        <v>252</v>
      </c>
      <c r="C200" t="s">
        <v>253</v>
      </c>
      <c r="D200" t="s">
        <v>254</v>
      </c>
      <c r="F200" t="s">
        <v>255</v>
      </c>
      <c r="G200">
        <v>810.93499999999995</v>
      </c>
      <c r="H200" t="s">
        <v>57</v>
      </c>
      <c r="I200">
        <v>2</v>
      </c>
      <c r="J200">
        <v>21</v>
      </c>
      <c r="K200">
        <v>0</v>
      </c>
      <c r="L200">
        <v>77.27</v>
      </c>
      <c r="M200">
        <v>12226</v>
      </c>
      <c r="N200">
        <v>7</v>
      </c>
      <c r="O200">
        <v>16</v>
      </c>
      <c r="P200">
        <v>16</v>
      </c>
      <c r="Q200">
        <v>18</v>
      </c>
      <c r="R200">
        <v>18</v>
      </c>
      <c r="S200">
        <v>890</v>
      </c>
      <c r="T200">
        <v>890</v>
      </c>
      <c r="U200">
        <v>18</v>
      </c>
      <c r="V200">
        <v>15</v>
      </c>
      <c r="W200">
        <v>17</v>
      </c>
      <c r="X200">
        <v>17</v>
      </c>
      <c r="Y200">
        <v>12</v>
      </c>
      <c r="Z200">
        <v>17</v>
      </c>
      <c r="AA200">
        <v>17</v>
      </c>
      <c r="AB200">
        <v>17</v>
      </c>
      <c r="AC200">
        <v>17</v>
      </c>
      <c r="AD200">
        <v>116</v>
      </c>
      <c r="AE200">
        <v>139</v>
      </c>
      <c r="AF200">
        <v>124</v>
      </c>
      <c r="AG200">
        <v>88</v>
      </c>
      <c r="AH200">
        <v>140</v>
      </c>
      <c r="AI200">
        <v>120</v>
      </c>
      <c r="AJ200">
        <v>73</v>
      </c>
      <c r="AK200">
        <v>90</v>
      </c>
      <c r="AL200">
        <v>786498560</v>
      </c>
      <c r="AM200">
        <v>847803520</v>
      </c>
      <c r="AN200">
        <v>542687680</v>
      </c>
      <c r="AO200">
        <v>252406464</v>
      </c>
      <c r="AP200">
        <v>1401013376</v>
      </c>
      <c r="AQ200">
        <v>1205614464</v>
      </c>
      <c r="AR200">
        <v>539531776</v>
      </c>
      <c r="AS200">
        <v>602401728</v>
      </c>
      <c r="AT200" s="23" t="s">
        <v>253</v>
      </c>
      <c r="AU200" s="18">
        <v>727570944</v>
      </c>
      <c r="AV200" s="18">
        <v>739363648</v>
      </c>
      <c r="AW200" s="19">
        <v>489028544</v>
      </c>
      <c r="AX200" s="19">
        <v>222565968</v>
      </c>
      <c r="AY200" s="20">
        <v>783830080</v>
      </c>
      <c r="AZ200" s="20">
        <v>758962688</v>
      </c>
      <c r="BA200" s="21">
        <v>365060416</v>
      </c>
      <c r="BB200" s="21">
        <v>718472320</v>
      </c>
    </row>
    <row r="201" spans="1:54">
      <c r="A201">
        <v>20116</v>
      </c>
      <c r="B201" t="s">
        <v>477</v>
      </c>
      <c r="C201" t="s">
        <v>478</v>
      </c>
      <c r="D201" t="s">
        <v>479</v>
      </c>
      <c r="F201" t="s">
        <v>480</v>
      </c>
      <c r="G201">
        <v>330.93</v>
      </c>
      <c r="H201" t="s">
        <v>57</v>
      </c>
      <c r="I201">
        <v>2</v>
      </c>
      <c r="J201">
        <v>5</v>
      </c>
      <c r="K201">
        <v>0</v>
      </c>
      <c r="L201">
        <v>83</v>
      </c>
      <c r="M201">
        <v>11198</v>
      </c>
      <c r="N201">
        <v>6</v>
      </c>
      <c r="O201">
        <v>14</v>
      </c>
      <c r="P201">
        <v>14</v>
      </c>
      <c r="Q201">
        <v>14</v>
      </c>
      <c r="R201">
        <v>14</v>
      </c>
      <c r="S201">
        <v>387</v>
      </c>
      <c r="T201">
        <v>387</v>
      </c>
      <c r="U201">
        <v>14</v>
      </c>
      <c r="V201">
        <v>11</v>
      </c>
      <c r="W201">
        <v>9</v>
      </c>
      <c r="X201">
        <v>10</v>
      </c>
      <c r="Y201">
        <v>10</v>
      </c>
      <c r="Z201">
        <v>13</v>
      </c>
      <c r="AA201">
        <v>11</v>
      </c>
      <c r="AB201">
        <v>12</v>
      </c>
      <c r="AC201">
        <v>10</v>
      </c>
      <c r="AD201">
        <v>62</v>
      </c>
      <c r="AE201">
        <v>35</v>
      </c>
      <c r="AF201">
        <v>75</v>
      </c>
      <c r="AG201">
        <v>38</v>
      </c>
      <c r="AH201">
        <v>52</v>
      </c>
      <c r="AI201">
        <v>40</v>
      </c>
      <c r="AJ201">
        <v>51</v>
      </c>
      <c r="AK201">
        <v>34</v>
      </c>
      <c r="AL201">
        <v>268216928</v>
      </c>
      <c r="AM201">
        <v>233174576</v>
      </c>
      <c r="AN201">
        <v>184001472</v>
      </c>
      <c r="AO201">
        <v>66833520</v>
      </c>
      <c r="AP201">
        <v>529832192</v>
      </c>
      <c r="AQ201">
        <v>402385056</v>
      </c>
      <c r="AR201">
        <v>193294144</v>
      </c>
      <c r="AS201">
        <v>214653824</v>
      </c>
      <c r="AT201" s="23" t="s">
        <v>478</v>
      </c>
      <c r="AU201" s="18">
        <v>218394912</v>
      </c>
      <c r="AV201" s="18">
        <v>107975952</v>
      </c>
      <c r="AW201" s="19">
        <v>134198072</v>
      </c>
      <c r="AX201" s="19">
        <v>44280204</v>
      </c>
      <c r="AY201" s="20">
        <v>420659616</v>
      </c>
      <c r="AZ201" s="20">
        <v>176615136</v>
      </c>
      <c r="BA201" s="21">
        <v>96664208</v>
      </c>
      <c r="BB201" s="21">
        <v>90725304</v>
      </c>
    </row>
    <row r="202" spans="1:54">
      <c r="A202">
        <v>20036</v>
      </c>
      <c r="B202" t="s">
        <v>442</v>
      </c>
      <c r="C202" t="s">
        <v>443</v>
      </c>
      <c r="D202" t="s">
        <v>444</v>
      </c>
      <c r="E202" t="s">
        <v>445</v>
      </c>
      <c r="F202" t="s">
        <v>446</v>
      </c>
      <c r="G202">
        <v>393.78699999999998</v>
      </c>
      <c r="H202" t="s">
        <v>57</v>
      </c>
      <c r="I202">
        <v>2</v>
      </c>
      <c r="J202">
        <v>14</v>
      </c>
      <c r="K202">
        <v>7</v>
      </c>
      <c r="L202">
        <v>86.54</v>
      </c>
      <c r="M202">
        <v>11316</v>
      </c>
      <c r="N202">
        <v>6</v>
      </c>
      <c r="O202">
        <v>14</v>
      </c>
      <c r="P202">
        <v>14</v>
      </c>
      <c r="Q202">
        <v>14</v>
      </c>
      <c r="R202">
        <v>14</v>
      </c>
      <c r="S202">
        <v>289</v>
      </c>
      <c r="T202">
        <v>289</v>
      </c>
      <c r="U202">
        <v>14</v>
      </c>
      <c r="V202">
        <v>11</v>
      </c>
      <c r="W202">
        <v>13</v>
      </c>
      <c r="X202">
        <v>13</v>
      </c>
      <c r="Y202">
        <v>11</v>
      </c>
      <c r="Z202">
        <v>13</v>
      </c>
      <c r="AA202">
        <v>13</v>
      </c>
      <c r="AB202">
        <v>12</v>
      </c>
      <c r="AC202">
        <v>12</v>
      </c>
      <c r="AD202">
        <v>62</v>
      </c>
      <c r="AE202">
        <v>52</v>
      </c>
      <c r="AF202">
        <v>30</v>
      </c>
      <c r="AG202">
        <v>25</v>
      </c>
      <c r="AH202">
        <v>30</v>
      </c>
      <c r="AI202">
        <v>22</v>
      </c>
      <c r="AJ202">
        <v>22</v>
      </c>
      <c r="AK202">
        <v>46</v>
      </c>
      <c r="AL202">
        <v>298859424</v>
      </c>
      <c r="AM202">
        <v>419785952</v>
      </c>
      <c r="AN202">
        <v>153839552</v>
      </c>
      <c r="AO202">
        <v>145080368</v>
      </c>
      <c r="AP202">
        <v>309121792</v>
      </c>
      <c r="AQ202">
        <v>336540128</v>
      </c>
      <c r="AR202">
        <v>186702112</v>
      </c>
      <c r="AS202">
        <v>312163264</v>
      </c>
      <c r="AT202" s="23" t="s">
        <v>443</v>
      </c>
      <c r="AU202" s="18">
        <v>191622112</v>
      </c>
      <c r="AV202" s="18">
        <v>228854160</v>
      </c>
      <c r="AW202" s="19">
        <v>127468216</v>
      </c>
      <c r="AX202" s="19">
        <v>121135248</v>
      </c>
      <c r="AY202" s="20">
        <v>215632928</v>
      </c>
      <c r="AZ202" s="20">
        <v>242376256</v>
      </c>
      <c r="BA202" s="21">
        <v>175096656</v>
      </c>
      <c r="BB202" s="21">
        <v>241244752</v>
      </c>
    </row>
    <row r="203" spans="1:54">
      <c r="A203">
        <v>20085</v>
      </c>
      <c r="B203" t="s">
        <v>374</v>
      </c>
      <c r="C203" t="s">
        <v>375</v>
      </c>
      <c r="D203" t="s">
        <v>376</v>
      </c>
      <c r="E203" t="s">
        <v>377</v>
      </c>
      <c r="F203" t="s">
        <v>378</v>
      </c>
      <c r="G203">
        <v>533.28800000000001</v>
      </c>
      <c r="H203" t="s">
        <v>57</v>
      </c>
      <c r="I203">
        <v>2</v>
      </c>
      <c r="J203">
        <v>9</v>
      </c>
      <c r="K203">
        <v>10</v>
      </c>
      <c r="L203">
        <v>70.209999999999994</v>
      </c>
      <c r="M203">
        <v>10693</v>
      </c>
      <c r="N203">
        <v>7</v>
      </c>
      <c r="O203">
        <v>10</v>
      </c>
      <c r="P203">
        <v>10</v>
      </c>
      <c r="Q203">
        <v>12</v>
      </c>
      <c r="R203">
        <v>12</v>
      </c>
      <c r="S203">
        <v>881</v>
      </c>
      <c r="T203">
        <v>881</v>
      </c>
      <c r="U203">
        <v>12</v>
      </c>
      <c r="V203">
        <v>12</v>
      </c>
      <c r="W203">
        <v>9</v>
      </c>
      <c r="X203">
        <v>9</v>
      </c>
      <c r="Y203">
        <v>11</v>
      </c>
      <c r="Z203">
        <v>12</v>
      </c>
      <c r="AA203">
        <v>12</v>
      </c>
      <c r="AB203">
        <v>11</v>
      </c>
      <c r="AC203">
        <v>12</v>
      </c>
      <c r="AD203">
        <v>99</v>
      </c>
      <c r="AE203">
        <v>103</v>
      </c>
      <c r="AF203">
        <v>128</v>
      </c>
      <c r="AG203">
        <v>113</v>
      </c>
      <c r="AH203">
        <v>111</v>
      </c>
      <c r="AI203">
        <v>115</v>
      </c>
      <c r="AJ203">
        <v>95</v>
      </c>
      <c r="AK203">
        <v>117</v>
      </c>
      <c r="AL203">
        <v>467453568</v>
      </c>
      <c r="AM203">
        <v>618883392</v>
      </c>
      <c r="AN203">
        <v>682453888</v>
      </c>
      <c r="AO203">
        <v>581320512</v>
      </c>
      <c r="AP203">
        <v>1241952000</v>
      </c>
      <c r="AQ203">
        <v>1340390656</v>
      </c>
      <c r="AR203">
        <v>1189421312</v>
      </c>
      <c r="AS203">
        <v>873340544</v>
      </c>
      <c r="AT203" s="23" t="s">
        <v>375</v>
      </c>
      <c r="AU203" s="18">
        <v>661338688</v>
      </c>
      <c r="AV203" s="18">
        <v>589004416</v>
      </c>
      <c r="AW203" s="19">
        <v>594023296</v>
      </c>
      <c r="AX203" s="19">
        <v>745455040</v>
      </c>
      <c r="AY203" s="20">
        <v>580836352</v>
      </c>
      <c r="AZ203" s="20">
        <v>790519616</v>
      </c>
      <c r="BA203" s="21">
        <v>752213120</v>
      </c>
      <c r="BB203" s="21">
        <v>711310272</v>
      </c>
    </row>
    <row r="204" spans="1:54">
      <c r="A204">
        <v>20061</v>
      </c>
      <c r="B204" t="s">
        <v>635</v>
      </c>
      <c r="C204" t="s">
        <v>636</v>
      </c>
      <c r="D204" t="s">
        <v>637</v>
      </c>
      <c r="E204" t="s">
        <v>638</v>
      </c>
      <c r="F204" t="s">
        <v>639</v>
      </c>
      <c r="G204">
        <v>183.27799999999999</v>
      </c>
      <c r="H204" t="s">
        <v>57</v>
      </c>
      <c r="I204">
        <v>2</v>
      </c>
      <c r="J204">
        <v>19</v>
      </c>
      <c r="K204">
        <v>1</v>
      </c>
      <c r="L204">
        <v>49.41</v>
      </c>
      <c r="M204">
        <v>9124</v>
      </c>
      <c r="N204">
        <v>5</v>
      </c>
      <c r="O204">
        <v>7</v>
      </c>
      <c r="P204">
        <v>7</v>
      </c>
      <c r="Q204">
        <v>7</v>
      </c>
      <c r="R204">
        <v>7</v>
      </c>
      <c r="S204">
        <v>130</v>
      </c>
      <c r="T204">
        <v>130</v>
      </c>
      <c r="U204">
        <v>7</v>
      </c>
      <c r="V204">
        <v>4</v>
      </c>
      <c r="W204">
        <v>5</v>
      </c>
      <c r="X204">
        <v>6</v>
      </c>
      <c r="Y204">
        <v>4</v>
      </c>
      <c r="Z204">
        <v>6</v>
      </c>
      <c r="AA204">
        <v>6</v>
      </c>
      <c r="AB204">
        <v>6</v>
      </c>
      <c r="AC204">
        <v>5</v>
      </c>
      <c r="AD204">
        <v>13</v>
      </c>
      <c r="AE204">
        <v>16</v>
      </c>
      <c r="AF204">
        <v>24</v>
      </c>
      <c r="AG204">
        <v>11</v>
      </c>
      <c r="AH204">
        <v>21</v>
      </c>
      <c r="AI204">
        <v>16</v>
      </c>
      <c r="AJ204">
        <v>10</v>
      </c>
      <c r="AK204">
        <v>19</v>
      </c>
      <c r="AL204">
        <v>113331056</v>
      </c>
      <c r="AM204">
        <v>214478720</v>
      </c>
      <c r="AN204">
        <v>196268000</v>
      </c>
      <c r="AO204">
        <v>102026576</v>
      </c>
      <c r="AP204">
        <v>432300448</v>
      </c>
      <c r="AQ204">
        <v>335957504</v>
      </c>
      <c r="AR204">
        <v>203177344</v>
      </c>
      <c r="AS204">
        <v>155841504</v>
      </c>
      <c r="AT204" s="23" t="s">
        <v>636</v>
      </c>
      <c r="AU204" s="18">
        <v>128984800</v>
      </c>
      <c r="AV204" s="18">
        <v>161009040</v>
      </c>
      <c r="AW204" s="19">
        <v>165877808</v>
      </c>
      <c r="AX204" s="19">
        <v>96290600</v>
      </c>
      <c r="AY204" s="20">
        <v>144723392</v>
      </c>
      <c r="AZ204" s="20">
        <v>122633496</v>
      </c>
      <c r="BA204" s="21">
        <v>132286344</v>
      </c>
      <c r="BB204" s="21">
        <v>138212688</v>
      </c>
    </row>
    <row r="205" spans="1:54">
      <c r="A205">
        <v>20048</v>
      </c>
      <c r="B205" t="s">
        <v>720</v>
      </c>
      <c r="C205" t="s">
        <v>721</v>
      </c>
      <c r="D205" t="s">
        <v>722</v>
      </c>
      <c r="F205" t="s">
        <v>723</v>
      </c>
      <c r="G205">
        <v>118.111</v>
      </c>
      <c r="H205" t="s">
        <v>57</v>
      </c>
      <c r="I205">
        <v>2</v>
      </c>
      <c r="J205">
        <v>20</v>
      </c>
      <c r="K205">
        <v>0</v>
      </c>
      <c r="L205">
        <v>60.26</v>
      </c>
      <c r="M205">
        <v>9006</v>
      </c>
      <c r="N205">
        <v>6</v>
      </c>
      <c r="O205">
        <v>9</v>
      </c>
      <c r="P205">
        <v>9</v>
      </c>
      <c r="Q205">
        <v>9</v>
      </c>
      <c r="R205">
        <v>9</v>
      </c>
      <c r="S205">
        <v>303</v>
      </c>
      <c r="T205">
        <v>303</v>
      </c>
      <c r="U205">
        <v>9</v>
      </c>
      <c r="V205">
        <v>7</v>
      </c>
      <c r="W205">
        <v>6</v>
      </c>
      <c r="X205">
        <v>6</v>
      </c>
      <c r="Y205">
        <v>7</v>
      </c>
      <c r="Z205">
        <v>8</v>
      </c>
      <c r="AA205">
        <v>8</v>
      </c>
      <c r="AB205">
        <v>8</v>
      </c>
      <c r="AC205">
        <v>8</v>
      </c>
      <c r="AD205">
        <v>53</v>
      </c>
      <c r="AE205">
        <v>42</v>
      </c>
      <c r="AF205">
        <v>33</v>
      </c>
      <c r="AG205">
        <v>28</v>
      </c>
      <c r="AH205">
        <v>30</v>
      </c>
      <c r="AI205">
        <v>29</v>
      </c>
      <c r="AJ205">
        <v>31</v>
      </c>
      <c r="AK205">
        <v>57</v>
      </c>
      <c r="AL205">
        <v>254320832</v>
      </c>
      <c r="AM205">
        <v>282837920</v>
      </c>
      <c r="AN205">
        <v>184417552</v>
      </c>
      <c r="AO205">
        <v>129827488</v>
      </c>
      <c r="AP205">
        <v>377744864</v>
      </c>
      <c r="AQ205">
        <v>377911552</v>
      </c>
      <c r="AR205">
        <v>266368304</v>
      </c>
      <c r="AS205">
        <v>368975936</v>
      </c>
      <c r="AT205" s="23" t="s">
        <v>721</v>
      </c>
      <c r="AU205" s="18">
        <v>181565920</v>
      </c>
      <c r="AV205" s="18">
        <v>207265968</v>
      </c>
      <c r="AW205" s="19">
        <v>112593448</v>
      </c>
      <c r="AX205" s="19">
        <v>91447496</v>
      </c>
      <c r="AY205" s="20">
        <v>200375872</v>
      </c>
      <c r="AZ205" s="20">
        <v>239366272</v>
      </c>
      <c r="BA205" s="21">
        <v>200445600</v>
      </c>
      <c r="BB205" s="21">
        <v>306917760</v>
      </c>
    </row>
    <row r="206" spans="1:54">
      <c r="A206">
        <v>20026</v>
      </c>
      <c r="B206" t="s">
        <v>506</v>
      </c>
      <c r="C206" t="s">
        <v>507</v>
      </c>
      <c r="D206" t="s">
        <v>508</v>
      </c>
      <c r="F206" t="s">
        <v>509</v>
      </c>
      <c r="G206">
        <v>312.39600000000002</v>
      </c>
      <c r="H206" t="s">
        <v>57</v>
      </c>
      <c r="I206">
        <v>2</v>
      </c>
      <c r="J206">
        <v>20</v>
      </c>
      <c r="K206">
        <v>0</v>
      </c>
      <c r="L206">
        <v>80.95</v>
      </c>
      <c r="M206">
        <v>7273</v>
      </c>
      <c r="N206">
        <v>4</v>
      </c>
      <c r="O206">
        <v>7</v>
      </c>
      <c r="P206">
        <v>7</v>
      </c>
      <c r="Q206">
        <v>8</v>
      </c>
      <c r="R206">
        <v>8</v>
      </c>
      <c r="S206">
        <v>117</v>
      </c>
      <c r="T206">
        <v>117</v>
      </c>
      <c r="U206">
        <v>7</v>
      </c>
      <c r="V206">
        <v>4</v>
      </c>
      <c r="W206">
        <v>6</v>
      </c>
      <c r="X206">
        <v>7</v>
      </c>
      <c r="Y206">
        <v>6</v>
      </c>
      <c r="Z206">
        <v>5</v>
      </c>
      <c r="AA206">
        <v>6</v>
      </c>
      <c r="AB206">
        <v>6</v>
      </c>
      <c r="AC206">
        <v>6</v>
      </c>
      <c r="AD206">
        <v>16</v>
      </c>
      <c r="AE206">
        <v>21</v>
      </c>
      <c r="AF206">
        <v>10</v>
      </c>
      <c r="AG206">
        <v>14</v>
      </c>
      <c r="AH206">
        <v>10</v>
      </c>
      <c r="AI206">
        <v>12</v>
      </c>
      <c r="AJ206">
        <v>12</v>
      </c>
      <c r="AK206">
        <v>21</v>
      </c>
      <c r="AL206">
        <v>156624624</v>
      </c>
      <c r="AM206">
        <v>278187040</v>
      </c>
      <c r="AN206">
        <v>192158640</v>
      </c>
      <c r="AO206">
        <v>145761376</v>
      </c>
      <c r="AP206">
        <v>428713984</v>
      </c>
      <c r="AQ206">
        <v>344076544</v>
      </c>
      <c r="AR206">
        <v>240697264</v>
      </c>
      <c r="AS206">
        <v>280285664</v>
      </c>
      <c r="AT206" s="23" t="s">
        <v>507</v>
      </c>
      <c r="AU206" s="18">
        <v>203977296</v>
      </c>
      <c r="AV206" s="18">
        <v>253347280</v>
      </c>
      <c r="AW206" s="19">
        <v>192435552</v>
      </c>
      <c r="AX206" s="19">
        <v>158291760</v>
      </c>
      <c r="AY206" s="20">
        <v>132789576</v>
      </c>
      <c r="AZ206" s="20">
        <v>169102464</v>
      </c>
      <c r="BA206" s="21">
        <v>140138304</v>
      </c>
      <c r="BB206" s="21">
        <v>253248752</v>
      </c>
    </row>
    <row r="207" spans="1:54">
      <c r="A207">
        <v>20064</v>
      </c>
      <c r="B207" t="s">
        <v>557</v>
      </c>
      <c r="C207" t="s">
        <v>558</v>
      </c>
      <c r="D207" t="s">
        <v>559</v>
      </c>
      <c r="F207" t="s">
        <v>560</v>
      </c>
      <c r="G207">
        <v>264.11399999999998</v>
      </c>
      <c r="H207" t="s">
        <v>57</v>
      </c>
      <c r="I207">
        <v>2</v>
      </c>
      <c r="J207">
        <v>20</v>
      </c>
      <c r="K207">
        <v>0</v>
      </c>
      <c r="L207">
        <v>98.31</v>
      </c>
      <c r="M207">
        <v>6541</v>
      </c>
      <c r="N207">
        <v>4</v>
      </c>
      <c r="O207">
        <v>11</v>
      </c>
      <c r="P207">
        <v>11</v>
      </c>
      <c r="Q207">
        <v>11</v>
      </c>
      <c r="R207">
        <v>11</v>
      </c>
      <c r="S207">
        <v>329</v>
      </c>
      <c r="T207">
        <v>329</v>
      </c>
      <c r="U207">
        <v>11</v>
      </c>
      <c r="V207">
        <v>8</v>
      </c>
      <c r="W207">
        <v>9</v>
      </c>
      <c r="X207">
        <v>10</v>
      </c>
      <c r="Y207">
        <v>9</v>
      </c>
      <c r="Z207">
        <v>11</v>
      </c>
      <c r="AA207">
        <v>11</v>
      </c>
      <c r="AB207">
        <v>10</v>
      </c>
      <c r="AC207">
        <v>10</v>
      </c>
      <c r="AD207">
        <v>46</v>
      </c>
      <c r="AE207">
        <v>46</v>
      </c>
      <c r="AF207">
        <v>60</v>
      </c>
      <c r="AG207">
        <v>29</v>
      </c>
      <c r="AH207">
        <v>50</v>
      </c>
      <c r="AI207">
        <v>34</v>
      </c>
      <c r="AJ207">
        <v>28</v>
      </c>
      <c r="AK207">
        <v>36</v>
      </c>
      <c r="AL207">
        <v>409016512</v>
      </c>
      <c r="AM207">
        <v>511761600</v>
      </c>
      <c r="AN207">
        <v>370769440</v>
      </c>
      <c r="AO207">
        <v>246286128</v>
      </c>
      <c r="AP207">
        <v>604334016</v>
      </c>
      <c r="AQ207">
        <v>514536736</v>
      </c>
      <c r="AR207">
        <v>321935712</v>
      </c>
      <c r="AS207">
        <v>370301184</v>
      </c>
      <c r="AT207" s="23" t="s">
        <v>558</v>
      </c>
      <c r="AU207" s="18">
        <v>328020032</v>
      </c>
      <c r="AV207" s="18">
        <v>409485920</v>
      </c>
      <c r="AW207" s="19">
        <v>332083136</v>
      </c>
      <c r="AX207" s="19">
        <v>232786976</v>
      </c>
      <c r="AY207" s="20">
        <v>315170176</v>
      </c>
      <c r="AZ207" s="20">
        <v>294296032</v>
      </c>
      <c r="BA207" s="21">
        <v>192623760</v>
      </c>
      <c r="BB207" s="21">
        <v>248736736</v>
      </c>
    </row>
    <row r="208" spans="1:54">
      <c r="A208">
        <v>20130</v>
      </c>
      <c r="B208" t="s">
        <v>942</v>
      </c>
      <c r="C208" t="s">
        <v>943</v>
      </c>
      <c r="D208" t="s">
        <v>944</v>
      </c>
      <c r="F208" t="s">
        <v>945</v>
      </c>
      <c r="G208">
        <v>42.072000000000003</v>
      </c>
      <c r="H208" t="s">
        <v>57</v>
      </c>
      <c r="I208">
        <v>2</v>
      </c>
      <c r="J208">
        <v>20</v>
      </c>
      <c r="K208">
        <v>0</v>
      </c>
      <c r="L208">
        <v>11.43</v>
      </c>
      <c r="M208">
        <v>7870</v>
      </c>
      <c r="N208">
        <v>5</v>
      </c>
      <c r="O208">
        <v>2</v>
      </c>
      <c r="P208">
        <v>2</v>
      </c>
      <c r="Q208">
        <v>2</v>
      </c>
      <c r="R208">
        <v>2</v>
      </c>
      <c r="S208">
        <v>48</v>
      </c>
      <c r="T208">
        <v>48</v>
      </c>
      <c r="U208">
        <v>2</v>
      </c>
      <c r="V208">
        <v>1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5</v>
      </c>
      <c r="AE208">
        <v>7</v>
      </c>
      <c r="AF208">
        <v>5</v>
      </c>
      <c r="AG208">
        <v>6</v>
      </c>
      <c r="AH208">
        <v>6</v>
      </c>
      <c r="AI208">
        <v>7</v>
      </c>
      <c r="AJ208">
        <v>5</v>
      </c>
      <c r="AK208">
        <v>7</v>
      </c>
      <c r="AL208">
        <v>217149040</v>
      </c>
      <c r="AM208">
        <v>337957632</v>
      </c>
      <c r="AN208">
        <v>326916288</v>
      </c>
      <c r="AO208">
        <v>303670368</v>
      </c>
      <c r="AP208">
        <v>643587456</v>
      </c>
      <c r="AQ208">
        <v>537120128</v>
      </c>
      <c r="AR208">
        <v>300166336</v>
      </c>
      <c r="AS208">
        <v>189722640</v>
      </c>
      <c r="AT208" s="23" t="s">
        <v>943</v>
      </c>
      <c r="AU208" s="18">
        <v>404205.47</v>
      </c>
      <c r="AV208" s="18">
        <v>203118016</v>
      </c>
      <c r="AW208" s="19">
        <v>178726320</v>
      </c>
      <c r="AX208" s="19">
        <v>206199232</v>
      </c>
      <c r="AY208" s="20">
        <v>365411584</v>
      </c>
      <c r="AZ208" s="20">
        <v>331960928</v>
      </c>
      <c r="BA208" s="21">
        <v>244291824</v>
      </c>
      <c r="BB208" s="21">
        <v>209511760</v>
      </c>
    </row>
    <row r="209" spans="1:54">
      <c r="A209">
        <v>19980</v>
      </c>
      <c r="B209" t="s">
        <v>1131</v>
      </c>
      <c r="C209" t="s">
        <v>1132</v>
      </c>
      <c r="D209" t="s">
        <v>1133</v>
      </c>
      <c r="F209" t="s">
        <v>1134</v>
      </c>
      <c r="G209">
        <v>16.024999999999999</v>
      </c>
      <c r="H209" t="s">
        <v>57</v>
      </c>
      <c r="I209">
        <v>2</v>
      </c>
      <c r="J209">
        <v>15</v>
      </c>
      <c r="K209">
        <v>0</v>
      </c>
      <c r="L209">
        <v>11.49</v>
      </c>
      <c r="M209">
        <v>9920</v>
      </c>
      <c r="N209">
        <v>6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W209">
        <v>1</v>
      </c>
      <c r="X209">
        <v>1</v>
      </c>
      <c r="Y209">
        <v>1</v>
      </c>
      <c r="AA209">
        <v>1</v>
      </c>
      <c r="AB209">
        <v>1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554101.75</v>
      </c>
      <c r="AN209">
        <v>532507.18999999994</v>
      </c>
      <c r="AO209">
        <v>399783.72</v>
      </c>
      <c r="AQ209">
        <v>388477.56</v>
      </c>
      <c r="AR209">
        <v>196599.55</v>
      </c>
      <c r="AS209">
        <v>51192.25</v>
      </c>
      <c r="AT209" s="23" t="s">
        <v>1132</v>
      </c>
      <c r="AU209" s="18">
        <v>49505.43</v>
      </c>
      <c r="AV209" s="18">
        <v>427612.66</v>
      </c>
      <c r="AW209" s="19">
        <v>411149.12</v>
      </c>
      <c r="AX209" s="19">
        <v>355519.09</v>
      </c>
      <c r="AY209" s="20">
        <v>350962.88</v>
      </c>
      <c r="AZ209" s="20">
        <v>166999.53</v>
      </c>
      <c r="BA209" s="21">
        <v>105270.12</v>
      </c>
      <c r="BB209" s="21">
        <v>40179.57</v>
      </c>
    </row>
    <row r="210" spans="1:54">
      <c r="A210">
        <v>20082</v>
      </c>
      <c r="B210" t="s">
        <v>561</v>
      </c>
      <c r="C210" t="s">
        <v>562</v>
      </c>
      <c r="D210" t="s">
        <v>563</v>
      </c>
      <c r="F210" t="s">
        <v>564</v>
      </c>
      <c r="G210">
        <v>260.73399999999998</v>
      </c>
      <c r="H210" t="s">
        <v>57</v>
      </c>
      <c r="I210">
        <v>2</v>
      </c>
      <c r="J210">
        <v>18</v>
      </c>
      <c r="K210">
        <v>0</v>
      </c>
      <c r="L210">
        <v>75.44</v>
      </c>
      <c r="M210">
        <v>6446</v>
      </c>
      <c r="N210">
        <v>3</v>
      </c>
      <c r="O210">
        <v>5</v>
      </c>
      <c r="P210">
        <v>5</v>
      </c>
      <c r="Q210">
        <v>5</v>
      </c>
      <c r="R210">
        <v>5</v>
      </c>
      <c r="S210">
        <v>269</v>
      </c>
      <c r="T210">
        <v>269</v>
      </c>
      <c r="U210">
        <v>5</v>
      </c>
      <c r="V210">
        <v>4</v>
      </c>
      <c r="W210">
        <v>3</v>
      </c>
      <c r="X210">
        <v>3</v>
      </c>
      <c r="Y210">
        <v>5</v>
      </c>
      <c r="Z210">
        <v>4</v>
      </c>
      <c r="AA210">
        <v>5</v>
      </c>
      <c r="AB210">
        <v>4</v>
      </c>
      <c r="AC210">
        <v>3</v>
      </c>
      <c r="AD210">
        <v>29</v>
      </c>
      <c r="AE210">
        <v>34</v>
      </c>
      <c r="AF210">
        <v>23</v>
      </c>
      <c r="AG210">
        <v>19</v>
      </c>
      <c r="AH210">
        <v>54</v>
      </c>
      <c r="AI210">
        <v>48</v>
      </c>
      <c r="AJ210">
        <v>29</v>
      </c>
      <c r="AK210">
        <v>33</v>
      </c>
      <c r="AL210">
        <v>16701259</v>
      </c>
      <c r="AM210">
        <v>18417452</v>
      </c>
      <c r="AN210">
        <v>13933818</v>
      </c>
      <c r="AO210">
        <v>16395269</v>
      </c>
      <c r="AP210">
        <v>34067524</v>
      </c>
      <c r="AQ210">
        <v>26783480</v>
      </c>
      <c r="AR210">
        <v>17440052</v>
      </c>
      <c r="AS210">
        <v>14891760</v>
      </c>
      <c r="AT210" s="23" t="s">
        <v>562</v>
      </c>
      <c r="AU210" s="18">
        <v>10937966</v>
      </c>
      <c r="AV210" s="18">
        <v>14887161</v>
      </c>
      <c r="AW210" s="19">
        <v>5327015.5</v>
      </c>
      <c r="AX210" s="19">
        <v>11357419</v>
      </c>
      <c r="AY210" s="20">
        <v>32648984</v>
      </c>
      <c r="AZ210" s="20">
        <v>22010530</v>
      </c>
      <c r="BA210" s="21">
        <v>20367676</v>
      </c>
      <c r="BB210" s="21">
        <v>16693774</v>
      </c>
    </row>
    <row r="211" spans="1:54">
      <c r="A211">
        <v>20087</v>
      </c>
      <c r="B211" t="s">
        <v>615</v>
      </c>
      <c r="C211" t="s">
        <v>616</v>
      </c>
      <c r="D211" t="s">
        <v>617</v>
      </c>
      <c r="F211" t="s">
        <v>618</v>
      </c>
      <c r="G211">
        <v>210.00200000000001</v>
      </c>
      <c r="H211" t="s">
        <v>57</v>
      </c>
      <c r="I211">
        <v>2</v>
      </c>
      <c r="J211">
        <v>20</v>
      </c>
      <c r="K211">
        <v>0</v>
      </c>
      <c r="L211">
        <v>81.819999999999993</v>
      </c>
      <c r="M211">
        <v>6371</v>
      </c>
      <c r="N211">
        <v>3</v>
      </c>
      <c r="O211">
        <v>6</v>
      </c>
      <c r="P211">
        <v>6</v>
      </c>
      <c r="Q211">
        <v>6</v>
      </c>
      <c r="R211">
        <v>6</v>
      </c>
      <c r="S211">
        <v>273</v>
      </c>
      <c r="T211">
        <v>273</v>
      </c>
      <c r="U211">
        <v>6</v>
      </c>
      <c r="V211">
        <v>3</v>
      </c>
      <c r="W211">
        <v>5</v>
      </c>
      <c r="X211">
        <v>5</v>
      </c>
      <c r="Y211">
        <v>6</v>
      </c>
      <c r="Z211">
        <v>5</v>
      </c>
      <c r="AA211">
        <v>5</v>
      </c>
      <c r="AB211">
        <v>4</v>
      </c>
      <c r="AC211">
        <v>4</v>
      </c>
      <c r="AD211">
        <v>29</v>
      </c>
      <c r="AE211">
        <v>39</v>
      </c>
      <c r="AF211">
        <v>49</v>
      </c>
      <c r="AG211">
        <v>44</v>
      </c>
      <c r="AH211">
        <v>23</v>
      </c>
      <c r="AI211">
        <v>25</v>
      </c>
      <c r="AJ211">
        <v>26</v>
      </c>
      <c r="AK211">
        <v>38</v>
      </c>
      <c r="AL211">
        <v>118045536</v>
      </c>
      <c r="AM211">
        <v>264516640</v>
      </c>
      <c r="AN211">
        <v>319637888</v>
      </c>
      <c r="AO211">
        <v>362094080</v>
      </c>
      <c r="AP211">
        <v>712848640</v>
      </c>
      <c r="AQ211">
        <v>695426560</v>
      </c>
      <c r="AR211">
        <v>543689408</v>
      </c>
      <c r="AS211">
        <v>420657248</v>
      </c>
      <c r="AT211" s="23" t="s">
        <v>616</v>
      </c>
      <c r="AU211" s="18">
        <v>32362500</v>
      </c>
      <c r="AV211" s="18">
        <v>349068640</v>
      </c>
      <c r="AW211" s="19">
        <v>340736160</v>
      </c>
      <c r="AX211" s="19">
        <v>436537120</v>
      </c>
      <c r="AY211" s="20">
        <v>303026976</v>
      </c>
      <c r="AZ211" s="20">
        <v>292269216</v>
      </c>
      <c r="BA211" s="21">
        <v>246107776</v>
      </c>
      <c r="BB211" s="21">
        <v>270275072</v>
      </c>
    </row>
    <row r="212" spans="1:54">
      <c r="A212">
        <v>19969</v>
      </c>
      <c r="B212" t="s">
        <v>901</v>
      </c>
      <c r="C212" t="s">
        <v>902</v>
      </c>
      <c r="D212" t="s">
        <v>903</v>
      </c>
      <c r="F212" t="s">
        <v>904</v>
      </c>
      <c r="G212">
        <v>50.466000000000001</v>
      </c>
      <c r="H212" t="s">
        <v>57</v>
      </c>
      <c r="I212">
        <v>2</v>
      </c>
      <c r="J212">
        <v>19</v>
      </c>
      <c r="K212">
        <v>0</v>
      </c>
      <c r="L212">
        <v>63.04</v>
      </c>
      <c r="M212">
        <v>5380</v>
      </c>
      <c r="N212">
        <v>1</v>
      </c>
      <c r="O212">
        <v>6</v>
      </c>
      <c r="P212">
        <v>6</v>
      </c>
      <c r="Q212">
        <v>6</v>
      </c>
      <c r="R212">
        <v>6</v>
      </c>
      <c r="S212">
        <v>95</v>
      </c>
      <c r="T212">
        <v>95</v>
      </c>
      <c r="U212">
        <v>6</v>
      </c>
      <c r="V212">
        <v>3</v>
      </c>
      <c r="W212">
        <v>4</v>
      </c>
      <c r="X212">
        <v>4</v>
      </c>
      <c r="Y212">
        <v>5</v>
      </c>
      <c r="Z212">
        <v>4</v>
      </c>
      <c r="AA212">
        <v>4</v>
      </c>
      <c r="AB212">
        <v>5</v>
      </c>
      <c r="AC212">
        <v>4</v>
      </c>
      <c r="AD212">
        <v>16</v>
      </c>
      <c r="AE212">
        <v>15</v>
      </c>
      <c r="AF212">
        <v>14</v>
      </c>
      <c r="AG212">
        <v>18</v>
      </c>
      <c r="AH212">
        <v>10</v>
      </c>
      <c r="AI212">
        <v>8</v>
      </c>
      <c r="AJ212">
        <v>6</v>
      </c>
      <c r="AK212">
        <v>8</v>
      </c>
      <c r="AL212">
        <v>232949760</v>
      </c>
      <c r="AM212">
        <v>323079872</v>
      </c>
      <c r="AN212">
        <v>212164992</v>
      </c>
      <c r="AO212">
        <v>160530464</v>
      </c>
      <c r="AP212">
        <v>622913472</v>
      </c>
      <c r="AQ212">
        <v>544960576</v>
      </c>
      <c r="AR212">
        <v>286785216</v>
      </c>
      <c r="AS212">
        <v>303692800</v>
      </c>
      <c r="AT212" s="23" t="s">
        <v>902</v>
      </c>
      <c r="AU212" s="18">
        <v>98047296</v>
      </c>
      <c r="AV212" s="18">
        <v>289841888</v>
      </c>
      <c r="AW212" s="19">
        <v>211363632</v>
      </c>
      <c r="AX212" s="19">
        <v>324269312</v>
      </c>
      <c r="AY212" s="20">
        <v>349644672</v>
      </c>
      <c r="AZ212" s="20">
        <v>314384768</v>
      </c>
      <c r="BA212" s="21">
        <v>233679728</v>
      </c>
      <c r="BB212" s="21">
        <v>255139488</v>
      </c>
    </row>
    <row r="213" spans="1:54">
      <c r="A213">
        <v>20023</v>
      </c>
      <c r="B213" t="s">
        <v>1058</v>
      </c>
      <c r="C213" t="s">
        <v>1059</v>
      </c>
      <c r="D213" t="s">
        <v>1060</v>
      </c>
      <c r="F213" t="s">
        <v>1061</v>
      </c>
      <c r="G213">
        <v>23.872</v>
      </c>
      <c r="H213" t="s">
        <v>57</v>
      </c>
      <c r="I213">
        <v>2</v>
      </c>
      <c r="J213">
        <v>18</v>
      </c>
      <c r="K213">
        <v>0</v>
      </c>
      <c r="L213">
        <v>10.77</v>
      </c>
      <c r="M213">
        <v>7302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18</v>
      </c>
      <c r="T213">
        <v>18</v>
      </c>
      <c r="U213">
        <v>1</v>
      </c>
      <c r="W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0</v>
      </c>
      <c r="AE213">
        <v>7</v>
      </c>
      <c r="AF213">
        <v>0</v>
      </c>
      <c r="AG213">
        <v>5</v>
      </c>
      <c r="AH213">
        <v>3</v>
      </c>
      <c r="AI213">
        <v>2</v>
      </c>
      <c r="AJ213">
        <v>1</v>
      </c>
      <c r="AK213">
        <v>0</v>
      </c>
      <c r="AM213">
        <v>1638386.38</v>
      </c>
      <c r="AO213">
        <v>639140.88</v>
      </c>
      <c r="AP213">
        <v>3509066.25</v>
      </c>
      <c r="AQ213">
        <v>792093.56</v>
      </c>
      <c r="AR213">
        <v>444753.72</v>
      </c>
      <c r="AS213">
        <v>204744.28</v>
      </c>
      <c r="AT213" s="23" t="s">
        <v>1059</v>
      </c>
      <c r="AU213" s="18">
        <v>49505.43</v>
      </c>
      <c r="AV213" s="18">
        <v>1264379.25</v>
      </c>
      <c r="AW213" s="19">
        <v>213953.23</v>
      </c>
      <c r="AX213" s="19">
        <v>568374.25</v>
      </c>
      <c r="AY213" s="20">
        <v>1413015.88</v>
      </c>
      <c r="AZ213" s="20">
        <v>340506.81</v>
      </c>
      <c r="BA213" s="21">
        <v>238145.41</v>
      </c>
      <c r="BB213" s="21">
        <v>160698.89000000001</v>
      </c>
    </row>
    <row r="214" spans="1:54">
      <c r="A214">
        <v>20180</v>
      </c>
      <c r="B214" t="s">
        <v>53</v>
      </c>
      <c r="C214" t="s">
        <v>54</v>
      </c>
      <c r="D214" t="s">
        <v>55</v>
      </c>
      <c r="F214" t="s">
        <v>56</v>
      </c>
      <c r="G214">
        <v>3539.2159999999999</v>
      </c>
      <c r="H214" t="s">
        <v>57</v>
      </c>
      <c r="I214">
        <v>2</v>
      </c>
      <c r="J214">
        <v>3</v>
      </c>
      <c r="K214">
        <v>0</v>
      </c>
      <c r="L214">
        <v>83.48</v>
      </c>
      <c r="M214">
        <v>61157</v>
      </c>
      <c r="N214">
        <v>35</v>
      </c>
      <c r="O214">
        <v>60</v>
      </c>
      <c r="P214">
        <v>60</v>
      </c>
      <c r="Q214">
        <v>66</v>
      </c>
      <c r="R214">
        <v>66</v>
      </c>
      <c r="S214">
        <v>6106</v>
      </c>
      <c r="T214">
        <v>6106</v>
      </c>
      <c r="U214">
        <v>66</v>
      </c>
      <c r="V214">
        <v>49</v>
      </c>
      <c r="W214">
        <v>58</v>
      </c>
      <c r="X214">
        <v>55</v>
      </c>
      <c r="Y214">
        <v>60</v>
      </c>
      <c r="Z214">
        <v>63</v>
      </c>
      <c r="AA214">
        <v>62</v>
      </c>
      <c r="AB214">
        <v>65</v>
      </c>
      <c r="AC214">
        <v>63</v>
      </c>
      <c r="AD214">
        <v>568</v>
      </c>
      <c r="AE214">
        <v>643</v>
      </c>
      <c r="AF214">
        <v>737</v>
      </c>
      <c r="AG214">
        <v>734</v>
      </c>
      <c r="AH214">
        <v>956</v>
      </c>
      <c r="AI214">
        <v>974</v>
      </c>
      <c r="AJ214">
        <v>800</v>
      </c>
      <c r="AK214">
        <v>694</v>
      </c>
      <c r="AL214">
        <v>7309627904</v>
      </c>
      <c r="AM214">
        <v>8898011136</v>
      </c>
      <c r="AN214">
        <v>9314343936</v>
      </c>
      <c r="AO214">
        <v>9532409856</v>
      </c>
      <c r="AP214">
        <v>19003705344</v>
      </c>
      <c r="AQ214">
        <v>17092458496</v>
      </c>
      <c r="AR214">
        <v>11668918272</v>
      </c>
      <c r="AS214">
        <v>8183412224</v>
      </c>
      <c r="AT214" s="23" t="s">
        <v>54</v>
      </c>
      <c r="AU214" s="18">
        <v>5412142080</v>
      </c>
      <c r="AV214" s="18">
        <v>6736160768</v>
      </c>
      <c r="AW214" s="19">
        <v>7152666112</v>
      </c>
      <c r="AX214" s="19">
        <v>8680291328</v>
      </c>
      <c r="AY214" s="20">
        <v>9583460352</v>
      </c>
      <c r="AZ214" s="20">
        <v>9623705600</v>
      </c>
      <c r="BA214" s="21">
        <v>8809013248</v>
      </c>
      <c r="BB214" s="21">
        <v>7907022848</v>
      </c>
    </row>
    <row r="215" spans="1:54">
      <c r="A215">
        <v>19985</v>
      </c>
      <c r="B215" t="s">
        <v>158</v>
      </c>
      <c r="C215" t="s">
        <v>159</v>
      </c>
      <c r="D215" t="s">
        <v>160</v>
      </c>
      <c r="F215" t="s">
        <v>161</v>
      </c>
      <c r="G215">
        <v>1205.2280000000001</v>
      </c>
      <c r="H215" t="s">
        <v>57</v>
      </c>
      <c r="I215">
        <v>2</v>
      </c>
      <c r="J215">
        <v>16</v>
      </c>
      <c r="K215">
        <v>0</v>
      </c>
      <c r="L215">
        <v>82.16</v>
      </c>
      <c r="M215">
        <v>26743</v>
      </c>
      <c r="N215">
        <v>14</v>
      </c>
      <c r="O215">
        <v>25</v>
      </c>
      <c r="P215">
        <v>5</v>
      </c>
      <c r="Q215">
        <v>29</v>
      </c>
      <c r="R215">
        <v>5</v>
      </c>
      <c r="S215">
        <v>2358</v>
      </c>
      <c r="T215">
        <v>303</v>
      </c>
      <c r="U215">
        <v>5</v>
      </c>
      <c r="V215">
        <v>4</v>
      </c>
      <c r="W215">
        <v>4</v>
      </c>
      <c r="X215">
        <v>5</v>
      </c>
      <c r="Y215">
        <v>5</v>
      </c>
      <c r="Z215">
        <v>5</v>
      </c>
      <c r="AA215">
        <v>5</v>
      </c>
      <c r="AB215">
        <v>5</v>
      </c>
      <c r="AC215">
        <v>5</v>
      </c>
      <c r="AD215">
        <v>52</v>
      </c>
      <c r="AE215">
        <v>40</v>
      </c>
      <c r="AF215">
        <v>45</v>
      </c>
      <c r="AG215">
        <v>36</v>
      </c>
      <c r="AH215">
        <v>33</v>
      </c>
      <c r="AI215">
        <v>32</v>
      </c>
      <c r="AJ215">
        <v>27</v>
      </c>
      <c r="AK215">
        <v>38</v>
      </c>
      <c r="AL215">
        <v>5949499392</v>
      </c>
      <c r="AM215">
        <v>6616920064</v>
      </c>
      <c r="AN215">
        <v>6290901504</v>
      </c>
      <c r="AO215">
        <v>5901172736</v>
      </c>
      <c r="AP215">
        <v>12326180864</v>
      </c>
      <c r="AQ215">
        <v>10955528192</v>
      </c>
      <c r="AR215">
        <v>6731212800</v>
      </c>
      <c r="AS215">
        <v>5097117696</v>
      </c>
      <c r="AT215" s="23" t="s">
        <v>159</v>
      </c>
      <c r="AU215" s="18">
        <v>431972672</v>
      </c>
      <c r="AV215" s="18">
        <v>606553472</v>
      </c>
      <c r="AW215" s="19">
        <v>665437056</v>
      </c>
      <c r="AX215" s="19">
        <v>692120960</v>
      </c>
      <c r="AY215" s="20">
        <v>1564700928</v>
      </c>
      <c r="AZ215" s="20">
        <v>1144950272</v>
      </c>
      <c r="BA215" s="21">
        <v>863586688</v>
      </c>
      <c r="BB215" s="21">
        <v>689842176</v>
      </c>
    </row>
    <row r="216" spans="1:54">
      <c r="A216">
        <v>19986</v>
      </c>
      <c r="B216" t="s">
        <v>244</v>
      </c>
      <c r="C216" t="s">
        <v>159</v>
      </c>
      <c r="D216" t="s">
        <v>245</v>
      </c>
      <c r="F216" t="s">
        <v>246</v>
      </c>
      <c r="G216">
        <v>837.74300000000005</v>
      </c>
      <c r="H216" t="s">
        <v>57</v>
      </c>
      <c r="I216">
        <v>2</v>
      </c>
      <c r="J216">
        <v>5</v>
      </c>
      <c r="K216">
        <v>0</v>
      </c>
      <c r="L216">
        <v>80.5</v>
      </c>
      <c r="M216">
        <v>26757</v>
      </c>
      <c r="N216">
        <v>14</v>
      </c>
      <c r="O216">
        <v>21</v>
      </c>
      <c r="P216">
        <v>1</v>
      </c>
      <c r="Q216">
        <v>25</v>
      </c>
      <c r="R216">
        <v>1</v>
      </c>
      <c r="S216">
        <v>2056</v>
      </c>
      <c r="T216">
        <v>1</v>
      </c>
      <c r="U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5419309568</v>
      </c>
      <c r="AM216">
        <v>5829684224</v>
      </c>
      <c r="AN216">
        <v>5640120320</v>
      </c>
      <c r="AO216">
        <v>5185590784</v>
      </c>
      <c r="AP216">
        <v>10327418880</v>
      </c>
      <c r="AQ216">
        <v>9169611776</v>
      </c>
      <c r="AR216">
        <v>5515290112</v>
      </c>
      <c r="AS216">
        <v>4293542656</v>
      </c>
      <c r="AT216" s="23" t="s">
        <v>159</v>
      </c>
      <c r="AU216" s="18">
        <v>49505.43</v>
      </c>
      <c r="AV216" s="18">
        <v>111774.65</v>
      </c>
      <c r="AW216" s="19">
        <v>213953.23</v>
      </c>
      <c r="AX216" s="19">
        <v>620633.06000000006</v>
      </c>
      <c r="AY216" s="20">
        <v>576503.68999999994</v>
      </c>
      <c r="AZ216" s="20">
        <v>264737.40999999997</v>
      </c>
      <c r="BA216" s="21">
        <v>285111.90999999997</v>
      </c>
      <c r="BB216" s="21">
        <v>249785.08</v>
      </c>
    </row>
    <row r="217" spans="1:54">
      <c r="A217">
        <v>20065</v>
      </c>
      <c r="B217" t="s">
        <v>138</v>
      </c>
      <c r="C217" t="s">
        <v>139</v>
      </c>
      <c r="D217" t="s">
        <v>140</v>
      </c>
      <c r="F217" t="s">
        <v>141</v>
      </c>
      <c r="G217">
        <v>1322.8630000000001</v>
      </c>
      <c r="H217" t="s">
        <v>57</v>
      </c>
      <c r="I217">
        <v>2</v>
      </c>
      <c r="J217">
        <v>20</v>
      </c>
      <c r="K217">
        <v>0</v>
      </c>
      <c r="L217">
        <v>86.7</v>
      </c>
      <c r="M217">
        <v>25982</v>
      </c>
      <c r="N217">
        <v>16</v>
      </c>
      <c r="O217">
        <v>33</v>
      </c>
      <c r="P217">
        <v>33</v>
      </c>
      <c r="Q217">
        <v>34</v>
      </c>
      <c r="R217">
        <v>34</v>
      </c>
      <c r="S217">
        <v>1773</v>
      </c>
      <c r="T217">
        <v>1773</v>
      </c>
      <c r="U217">
        <v>34</v>
      </c>
      <c r="V217">
        <v>24</v>
      </c>
      <c r="W217">
        <v>27</v>
      </c>
      <c r="X217">
        <v>34</v>
      </c>
      <c r="Y217">
        <v>34</v>
      </c>
      <c r="Z217">
        <v>33</v>
      </c>
      <c r="AA217">
        <v>33</v>
      </c>
      <c r="AB217">
        <v>33</v>
      </c>
      <c r="AC217">
        <v>32</v>
      </c>
      <c r="AD217">
        <v>237</v>
      </c>
      <c r="AE217">
        <v>188</v>
      </c>
      <c r="AF217">
        <v>273</v>
      </c>
      <c r="AG217">
        <v>260</v>
      </c>
      <c r="AH217">
        <v>233</v>
      </c>
      <c r="AI217">
        <v>213</v>
      </c>
      <c r="AJ217">
        <v>184</v>
      </c>
      <c r="AK217">
        <v>185</v>
      </c>
      <c r="AL217">
        <v>6876911104</v>
      </c>
      <c r="AM217">
        <v>7784473600</v>
      </c>
      <c r="AN217">
        <v>7208879104</v>
      </c>
      <c r="AO217">
        <v>6632539136</v>
      </c>
      <c r="AP217">
        <v>14317442048</v>
      </c>
      <c r="AQ217">
        <v>12510676992</v>
      </c>
      <c r="AR217">
        <v>8558078976</v>
      </c>
      <c r="AS217">
        <v>6871955456</v>
      </c>
      <c r="AT217" s="23" t="s">
        <v>139</v>
      </c>
      <c r="AU217" s="18">
        <v>3597435904</v>
      </c>
      <c r="AV217" s="18">
        <v>4001790720</v>
      </c>
      <c r="AW217" s="19">
        <v>5925957632</v>
      </c>
      <c r="AX217" s="19">
        <v>5651542016</v>
      </c>
      <c r="AY217" s="20">
        <v>9149697024</v>
      </c>
      <c r="AZ217" s="20">
        <v>8455099392</v>
      </c>
      <c r="BA217" s="21">
        <v>6869596160</v>
      </c>
      <c r="BB217" s="21">
        <v>5598789632</v>
      </c>
    </row>
    <row r="218" spans="1:54">
      <c r="A218">
        <v>20077</v>
      </c>
      <c r="B218" t="s">
        <v>188</v>
      </c>
      <c r="C218" t="s">
        <v>189</v>
      </c>
      <c r="D218" t="s">
        <v>190</v>
      </c>
      <c r="F218" t="s">
        <v>191</v>
      </c>
      <c r="G218">
        <v>1048.481</v>
      </c>
      <c r="H218" t="s">
        <v>57</v>
      </c>
      <c r="I218">
        <v>2</v>
      </c>
      <c r="J218">
        <v>21</v>
      </c>
      <c r="K218">
        <v>0</v>
      </c>
      <c r="L218">
        <v>81.55</v>
      </c>
      <c r="M218">
        <v>23468</v>
      </c>
      <c r="N218">
        <v>14</v>
      </c>
      <c r="O218">
        <v>25</v>
      </c>
      <c r="P218">
        <v>25</v>
      </c>
      <c r="Q218">
        <v>28</v>
      </c>
      <c r="R218">
        <v>28</v>
      </c>
      <c r="S218">
        <v>1561</v>
      </c>
      <c r="T218">
        <v>1561</v>
      </c>
      <c r="U218">
        <v>28</v>
      </c>
      <c r="V218">
        <v>22</v>
      </c>
      <c r="W218">
        <v>24</v>
      </c>
      <c r="X218">
        <v>27</v>
      </c>
      <c r="Y218">
        <v>27</v>
      </c>
      <c r="Z218">
        <v>27</v>
      </c>
      <c r="AA218">
        <v>27</v>
      </c>
      <c r="AB218">
        <v>27</v>
      </c>
      <c r="AC218">
        <v>26</v>
      </c>
      <c r="AD218">
        <v>184</v>
      </c>
      <c r="AE218">
        <v>195</v>
      </c>
      <c r="AF218">
        <v>167</v>
      </c>
      <c r="AG218">
        <v>154</v>
      </c>
      <c r="AH218">
        <v>225</v>
      </c>
      <c r="AI218">
        <v>233</v>
      </c>
      <c r="AJ218">
        <v>179</v>
      </c>
      <c r="AK218">
        <v>224</v>
      </c>
      <c r="AL218">
        <v>10392297472</v>
      </c>
      <c r="AM218">
        <v>11651079168</v>
      </c>
      <c r="AN218">
        <v>3456958464</v>
      </c>
      <c r="AO218">
        <v>4144638464</v>
      </c>
      <c r="AP218">
        <v>14658176000</v>
      </c>
      <c r="AQ218">
        <v>13119557632</v>
      </c>
      <c r="AR218">
        <v>4042459904</v>
      </c>
      <c r="AS218">
        <v>5172328960</v>
      </c>
      <c r="AT218" s="23" t="s">
        <v>189</v>
      </c>
      <c r="AU218" s="18">
        <v>7188687872</v>
      </c>
      <c r="AV218" s="18">
        <v>6255472128</v>
      </c>
      <c r="AW218" s="19">
        <v>3359211264</v>
      </c>
      <c r="AX218" s="19">
        <v>4375516672</v>
      </c>
      <c r="AY218" s="20">
        <v>8425944064</v>
      </c>
      <c r="AZ218" s="20">
        <v>7822871552</v>
      </c>
      <c r="BA218" s="21">
        <v>3973091328</v>
      </c>
      <c r="BB218" s="21">
        <v>4579374592</v>
      </c>
    </row>
    <row r="219" spans="1:54">
      <c r="A219">
        <v>20060</v>
      </c>
      <c r="B219" t="s">
        <v>124</v>
      </c>
      <c r="C219" t="s">
        <v>125</v>
      </c>
      <c r="D219" t="s">
        <v>126</v>
      </c>
      <c r="F219" t="s">
        <v>127</v>
      </c>
      <c r="G219">
        <v>1351.13</v>
      </c>
      <c r="H219" t="s">
        <v>57</v>
      </c>
      <c r="I219">
        <v>2</v>
      </c>
      <c r="J219">
        <v>9</v>
      </c>
      <c r="K219">
        <v>0</v>
      </c>
      <c r="L219">
        <v>89.22</v>
      </c>
      <c r="M219">
        <v>17603</v>
      </c>
      <c r="N219">
        <v>13</v>
      </c>
      <c r="O219">
        <v>17</v>
      </c>
      <c r="P219">
        <v>17</v>
      </c>
      <c r="Q219">
        <v>24</v>
      </c>
      <c r="R219">
        <v>24</v>
      </c>
      <c r="S219">
        <v>1713</v>
      </c>
      <c r="T219">
        <v>1713</v>
      </c>
      <c r="U219">
        <v>24</v>
      </c>
      <c r="V219">
        <v>21</v>
      </c>
      <c r="W219">
        <v>20</v>
      </c>
      <c r="X219">
        <v>22</v>
      </c>
      <c r="Y219">
        <v>23</v>
      </c>
      <c r="Z219">
        <v>23</v>
      </c>
      <c r="AA219">
        <v>22</v>
      </c>
      <c r="AB219">
        <v>22</v>
      </c>
      <c r="AC219">
        <v>23</v>
      </c>
      <c r="AD219">
        <v>231</v>
      </c>
      <c r="AE219">
        <v>205</v>
      </c>
      <c r="AF219">
        <v>193</v>
      </c>
      <c r="AG219">
        <v>177</v>
      </c>
      <c r="AH219">
        <v>260</v>
      </c>
      <c r="AI219">
        <v>236</v>
      </c>
      <c r="AJ219">
        <v>182</v>
      </c>
      <c r="AK219">
        <v>229</v>
      </c>
      <c r="AL219">
        <v>8613956608</v>
      </c>
      <c r="AM219">
        <v>8969890816</v>
      </c>
      <c r="AN219">
        <v>7412240896</v>
      </c>
      <c r="AO219">
        <v>6881017856</v>
      </c>
      <c r="AP219">
        <v>14061840384</v>
      </c>
      <c r="AQ219">
        <v>12634175488</v>
      </c>
      <c r="AR219">
        <v>8492853248</v>
      </c>
      <c r="AS219">
        <v>6822824960</v>
      </c>
      <c r="AT219" s="23" t="s">
        <v>125</v>
      </c>
      <c r="AU219" s="18">
        <v>8683662336</v>
      </c>
      <c r="AV219" s="18">
        <v>7869022208</v>
      </c>
      <c r="AW219" s="19">
        <v>7344981504</v>
      </c>
      <c r="AX219" s="19">
        <v>7710939648</v>
      </c>
      <c r="AY219" s="20">
        <v>9059637248</v>
      </c>
      <c r="AZ219" s="20">
        <v>8409992192</v>
      </c>
      <c r="BA219" s="21">
        <v>6328027648</v>
      </c>
      <c r="BB219" s="21">
        <v>7345336832</v>
      </c>
    </row>
    <row r="220" spans="1:54">
      <c r="A220">
        <v>19993</v>
      </c>
      <c r="B220" t="s">
        <v>270</v>
      </c>
      <c r="C220" t="s">
        <v>271</v>
      </c>
      <c r="D220" t="s">
        <v>272</v>
      </c>
      <c r="E220" t="s">
        <v>273</v>
      </c>
      <c r="F220" t="s">
        <v>274</v>
      </c>
      <c r="G220">
        <v>756.86400000000003</v>
      </c>
      <c r="H220" t="s">
        <v>57</v>
      </c>
      <c r="I220">
        <v>2</v>
      </c>
      <c r="J220">
        <v>18</v>
      </c>
      <c r="K220">
        <v>2</v>
      </c>
      <c r="L220">
        <v>91.6</v>
      </c>
      <c r="M220">
        <v>15186</v>
      </c>
      <c r="N220">
        <v>8</v>
      </c>
      <c r="O220">
        <v>16</v>
      </c>
      <c r="P220">
        <v>16</v>
      </c>
      <c r="Q220">
        <v>20</v>
      </c>
      <c r="R220">
        <v>20</v>
      </c>
      <c r="S220">
        <v>1250</v>
      </c>
      <c r="T220">
        <v>1250</v>
      </c>
      <c r="U220">
        <v>20</v>
      </c>
      <c r="V220">
        <v>15</v>
      </c>
      <c r="W220">
        <v>17</v>
      </c>
      <c r="X220">
        <v>18</v>
      </c>
      <c r="Y220">
        <v>15</v>
      </c>
      <c r="Z220">
        <v>14</v>
      </c>
      <c r="AA220">
        <v>15</v>
      </c>
      <c r="AB220">
        <v>15</v>
      </c>
      <c r="AC220">
        <v>13</v>
      </c>
      <c r="AD220">
        <v>90</v>
      </c>
      <c r="AE220">
        <v>213</v>
      </c>
      <c r="AF220">
        <v>215</v>
      </c>
      <c r="AG220">
        <v>153</v>
      </c>
      <c r="AH220">
        <v>171</v>
      </c>
      <c r="AI220">
        <v>140</v>
      </c>
      <c r="AJ220">
        <v>112</v>
      </c>
      <c r="AK220">
        <v>155</v>
      </c>
      <c r="AL220">
        <v>2607904512</v>
      </c>
      <c r="AM220">
        <v>4490289152</v>
      </c>
      <c r="AN220">
        <v>2204466688</v>
      </c>
      <c r="AO220">
        <v>1723194368</v>
      </c>
      <c r="AP220">
        <v>6698370560</v>
      </c>
      <c r="AQ220">
        <v>5782870016</v>
      </c>
      <c r="AR220">
        <v>3351313920</v>
      </c>
      <c r="AS220">
        <v>2140300544</v>
      </c>
      <c r="AT220" s="23" t="s">
        <v>271</v>
      </c>
      <c r="AU220" s="18">
        <v>1816076416</v>
      </c>
      <c r="AV220" s="18">
        <v>2753684224</v>
      </c>
      <c r="AW220" s="19">
        <v>1862478720</v>
      </c>
      <c r="AX220" s="19">
        <v>1319223680</v>
      </c>
      <c r="AY220" s="20">
        <v>3319244288</v>
      </c>
      <c r="AZ220" s="20">
        <v>3334323456</v>
      </c>
      <c r="BA220" s="21">
        <v>2282012160</v>
      </c>
      <c r="BB220" s="21">
        <v>1614250752</v>
      </c>
    </row>
    <row r="221" spans="1:54">
      <c r="A221">
        <v>19962</v>
      </c>
      <c r="B221" t="s">
        <v>173</v>
      </c>
      <c r="C221" t="s">
        <v>174</v>
      </c>
      <c r="D221" t="s">
        <v>175</v>
      </c>
      <c r="E221" t="s">
        <v>176</v>
      </c>
      <c r="F221" t="s">
        <v>177</v>
      </c>
      <c r="G221">
        <v>1139.337</v>
      </c>
      <c r="H221" t="s">
        <v>57</v>
      </c>
      <c r="I221">
        <v>2</v>
      </c>
      <c r="J221">
        <v>3</v>
      </c>
      <c r="K221">
        <v>18</v>
      </c>
      <c r="L221">
        <v>78.209999999999994</v>
      </c>
      <c r="M221">
        <v>20018</v>
      </c>
      <c r="N221">
        <v>14</v>
      </c>
      <c r="O221">
        <v>24</v>
      </c>
      <c r="P221">
        <v>24</v>
      </c>
      <c r="Q221">
        <v>27</v>
      </c>
      <c r="R221">
        <v>27</v>
      </c>
      <c r="S221">
        <v>1780</v>
      </c>
      <c r="T221">
        <v>1780</v>
      </c>
      <c r="U221">
        <v>27</v>
      </c>
      <c r="V221">
        <v>23</v>
      </c>
      <c r="W221">
        <v>24</v>
      </c>
      <c r="X221">
        <v>26</v>
      </c>
      <c r="Y221">
        <v>26</v>
      </c>
      <c r="Z221">
        <v>25</v>
      </c>
      <c r="AA221">
        <v>25</v>
      </c>
      <c r="AB221">
        <v>25</v>
      </c>
      <c r="AC221">
        <v>25</v>
      </c>
      <c r="AD221">
        <v>180</v>
      </c>
      <c r="AE221">
        <v>262</v>
      </c>
      <c r="AF221">
        <v>260</v>
      </c>
      <c r="AG221">
        <v>260</v>
      </c>
      <c r="AH221">
        <v>275</v>
      </c>
      <c r="AI221">
        <v>215</v>
      </c>
      <c r="AJ221">
        <v>146</v>
      </c>
      <c r="AK221">
        <v>182</v>
      </c>
      <c r="AL221">
        <v>7874042880</v>
      </c>
      <c r="AM221">
        <v>9175818240</v>
      </c>
      <c r="AN221">
        <v>6634945536</v>
      </c>
      <c r="AO221">
        <v>6214667264</v>
      </c>
      <c r="AP221">
        <v>13732892672</v>
      </c>
      <c r="AQ221">
        <v>12526416896</v>
      </c>
      <c r="AR221">
        <v>7677069312</v>
      </c>
      <c r="AS221">
        <v>6341817856</v>
      </c>
      <c r="AT221" s="23" t="s">
        <v>174</v>
      </c>
      <c r="AU221" s="18">
        <v>5728802816</v>
      </c>
      <c r="AV221" s="18">
        <v>5826307584</v>
      </c>
      <c r="AW221" s="19">
        <v>5022211584</v>
      </c>
      <c r="AX221" s="19">
        <v>5766903296</v>
      </c>
      <c r="AY221" s="20">
        <v>8636633088</v>
      </c>
      <c r="AZ221" s="20">
        <v>7899057664</v>
      </c>
      <c r="BA221" s="21">
        <v>6399143424</v>
      </c>
      <c r="BB221" s="21">
        <v>6374024192</v>
      </c>
    </row>
    <row r="222" spans="1:54">
      <c r="A222">
        <v>20052</v>
      </c>
      <c r="B222" t="s">
        <v>296</v>
      </c>
      <c r="C222" t="s">
        <v>297</v>
      </c>
      <c r="D222" t="s">
        <v>298</v>
      </c>
      <c r="F222" t="s">
        <v>299</v>
      </c>
      <c r="G222">
        <v>700.44500000000005</v>
      </c>
      <c r="H222" t="s">
        <v>57</v>
      </c>
      <c r="I222">
        <v>2</v>
      </c>
      <c r="J222">
        <v>21</v>
      </c>
      <c r="K222">
        <v>0</v>
      </c>
      <c r="L222">
        <v>73.849999999999994</v>
      </c>
      <c r="M222">
        <v>14126</v>
      </c>
      <c r="N222">
        <v>11</v>
      </c>
      <c r="O222">
        <v>13</v>
      </c>
      <c r="P222">
        <v>13</v>
      </c>
      <c r="Q222">
        <v>16</v>
      </c>
      <c r="R222">
        <v>16</v>
      </c>
      <c r="S222">
        <v>822</v>
      </c>
      <c r="T222">
        <v>822</v>
      </c>
      <c r="U222">
        <v>16</v>
      </c>
      <c r="V222">
        <v>16</v>
      </c>
      <c r="W222">
        <v>16</v>
      </c>
      <c r="X222">
        <v>16</v>
      </c>
      <c r="Y222">
        <v>16</v>
      </c>
      <c r="Z222">
        <v>16</v>
      </c>
      <c r="AA222">
        <v>14</v>
      </c>
      <c r="AB222">
        <v>16</v>
      </c>
      <c r="AC222">
        <v>15</v>
      </c>
      <c r="AD222">
        <v>100</v>
      </c>
      <c r="AE222">
        <v>118</v>
      </c>
      <c r="AF222">
        <v>108</v>
      </c>
      <c r="AG222">
        <v>94</v>
      </c>
      <c r="AH222">
        <v>96</v>
      </c>
      <c r="AI222">
        <v>104</v>
      </c>
      <c r="AJ222">
        <v>88</v>
      </c>
      <c r="AK222">
        <v>113</v>
      </c>
      <c r="AL222">
        <v>3450688768</v>
      </c>
      <c r="AM222">
        <v>3779899648</v>
      </c>
      <c r="AN222">
        <v>1670974336</v>
      </c>
      <c r="AO222">
        <v>1291947008</v>
      </c>
      <c r="AP222">
        <v>3336931328</v>
      </c>
      <c r="AQ222">
        <v>3059270400</v>
      </c>
      <c r="AR222">
        <v>1787239424</v>
      </c>
      <c r="AS222">
        <v>1688622080</v>
      </c>
      <c r="AT222" s="23" t="s">
        <v>297</v>
      </c>
      <c r="AU222" s="18">
        <v>2761544448</v>
      </c>
      <c r="AV222" s="18">
        <v>3031801088</v>
      </c>
      <c r="AW222" s="19">
        <v>1480446592</v>
      </c>
      <c r="AX222" s="19">
        <v>1400136448</v>
      </c>
      <c r="AY222" s="20">
        <v>1127303936</v>
      </c>
      <c r="AZ222" s="20">
        <v>1245532800</v>
      </c>
      <c r="BA222" s="21">
        <v>1113303552</v>
      </c>
      <c r="BB222" s="21">
        <v>1636331904</v>
      </c>
    </row>
    <row r="223" spans="1:54">
      <c r="A223">
        <v>19967</v>
      </c>
      <c r="B223" t="s">
        <v>396</v>
      </c>
      <c r="C223" t="s">
        <v>397</v>
      </c>
      <c r="D223" t="s">
        <v>398</v>
      </c>
      <c r="F223" t="s">
        <v>399</v>
      </c>
      <c r="G223">
        <v>469.08199999999999</v>
      </c>
      <c r="H223" t="s">
        <v>57</v>
      </c>
      <c r="I223">
        <v>2</v>
      </c>
      <c r="J223">
        <v>21</v>
      </c>
      <c r="K223">
        <v>0</v>
      </c>
      <c r="L223">
        <v>75.38</v>
      </c>
      <c r="M223">
        <v>14856</v>
      </c>
      <c r="N223">
        <v>8</v>
      </c>
      <c r="O223">
        <v>16</v>
      </c>
      <c r="P223">
        <v>16</v>
      </c>
      <c r="Q223">
        <v>18</v>
      </c>
      <c r="R223">
        <v>18</v>
      </c>
      <c r="S223">
        <v>968</v>
      </c>
      <c r="T223">
        <v>968</v>
      </c>
      <c r="U223">
        <v>18</v>
      </c>
      <c r="V223">
        <v>13</v>
      </c>
      <c r="W223">
        <v>14</v>
      </c>
      <c r="X223">
        <v>16</v>
      </c>
      <c r="Y223">
        <v>16</v>
      </c>
      <c r="Z223">
        <v>15</v>
      </c>
      <c r="AA223">
        <v>16</v>
      </c>
      <c r="AB223">
        <v>16</v>
      </c>
      <c r="AC223">
        <v>15</v>
      </c>
      <c r="AD223">
        <v>130</v>
      </c>
      <c r="AE223">
        <v>116</v>
      </c>
      <c r="AF223">
        <v>136</v>
      </c>
      <c r="AG223">
        <v>119</v>
      </c>
      <c r="AH223">
        <v>139</v>
      </c>
      <c r="AI223">
        <v>126</v>
      </c>
      <c r="AJ223">
        <v>96</v>
      </c>
      <c r="AK223">
        <v>106</v>
      </c>
      <c r="AL223">
        <v>7093572608</v>
      </c>
      <c r="AM223">
        <v>7468241920</v>
      </c>
      <c r="AN223">
        <v>6219577344</v>
      </c>
      <c r="AO223">
        <v>5650538496</v>
      </c>
      <c r="AP223">
        <v>9657040896</v>
      </c>
      <c r="AQ223">
        <v>8697819136</v>
      </c>
      <c r="AR223">
        <v>5897227264</v>
      </c>
      <c r="AS223">
        <v>4595175936</v>
      </c>
      <c r="AT223" s="23" t="s">
        <v>397</v>
      </c>
      <c r="AU223" s="18">
        <v>4373073408</v>
      </c>
      <c r="AV223" s="18">
        <v>4931235840</v>
      </c>
      <c r="AW223" s="19">
        <v>4872453632</v>
      </c>
      <c r="AX223" s="19">
        <v>5667603456</v>
      </c>
      <c r="AY223" s="20">
        <v>4467407872</v>
      </c>
      <c r="AZ223" s="20">
        <v>4981185536</v>
      </c>
      <c r="BA223" s="21">
        <v>3816803328</v>
      </c>
      <c r="BB223" s="21">
        <v>3389443840</v>
      </c>
    </row>
    <row r="224" spans="1:54">
      <c r="A224">
        <v>19978</v>
      </c>
      <c r="B224" t="s">
        <v>345</v>
      </c>
      <c r="C224" t="s">
        <v>346</v>
      </c>
      <c r="D224" t="s">
        <v>347</v>
      </c>
      <c r="F224" t="s">
        <v>348</v>
      </c>
      <c r="G224">
        <v>602.12900000000002</v>
      </c>
      <c r="H224" t="s">
        <v>57</v>
      </c>
      <c r="I224">
        <v>2</v>
      </c>
      <c r="J224">
        <v>21</v>
      </c>
      <c r="K224">
        <v>0</v>
      </c>
      <c r="L224">
        <v>81.55</v>
      </c>
      <c r="M224">
        <v>11735</v>
      </c>
      <c r="N224">
        <v>8</v>
      </c>
      <c r="O224">
        <v>13</v>
      </c>
      <c r="P224">
        <v>13</v>
      </c>
      <c r="Q224">
        <v>14</v>
      </c>
      <c r="R224">
        <v>14</v>
      </c>
      <c r="S224">
        <v>1732</v>
      </c>
      <c r="T224">
        <v>1732</v>
      </c>
      <c r="U224">
        <v>14</v>
      </c>
      <c r="V224">
        <v>11</v>
      </c>
      <c r="W224">
        <v>12</v>
      </c>
      <c r="X224">
        <v>14</v>
      </c>
      <c r="Y224">
        <v>13</v>
      </c>
      <c r="Z224">
        <v>14</v>
      </c>
      <c r="AA224">
        <v>14</v>
      </c>
      <c r="AB224">
        <v>14</v>
      </c>
      <c r="AC224">
        <v>14</v>
      </c>
      <c r="AD224">
        <v>187</v>
      </c>
      <c r="AE224">
        <v>173</v>
      </c>
      <c r="AF224">
        <v>208</v>
      </c>
      <c r="AG224">
        <v>171</v>
      </c>
      <c r="AH224">
        <v>317</v>
      </c>
      <c r="AI224">
        <v>278</v>
      </c>
      <c r="AJ224">
        <v>193</v>
      </c>
      <c r="AK224">
        <v>205</v>
      </c>
      <c r="AL224">
        <v>5612685312</v>
      </c>
      <c r="AM224">
        <v>6074046464</v>
      </c>
      <c r="AN224">
        <v>5013151232</v>
      </c>
      <c r="AO224">
        <v>4393778176</v>
      </c>
      <c r="AP224">
        <v>9908874240</v>
      </c>
      <c r="AQ224">
        <v>8623049728</v>
      </c>
      <c r="AR224">
        <v>5614265344</v>
      </c>
      <c r="AS224">
        <v>4321063936</v>
      </c>
      <c r="AT224" s="23" t="s">
        <v>346</v>
      </c>
      <c r="AU224" s="18">
        <v>2860532736</v>
      </c>
      <c r="AV224" s="18">
        <v>2314444800</v>
      </c>
      <c r="AW224" s="19">
        <v>3928973312</v>
      </c>
      <c r="AX224" s="19">
        <v>3773369344</v>
      </c>
      <c r="AY224" s="20">
        <v>5083961344</v>
      </c>
      <c r="AZ224" s="20">
        <v>5525322752</v>
      </c>
      <c r="BA224" s="21">
        <v>5269319168</v>
      </c>
      <c r="BB224" s="21">
        <v>4623606784</v>
      </c>
    </row>
    <row r="225" spans="1:54">
      <c r="A225">
        <v>20146</v>
      </c>
      <c r="B225" t="s">
        <v>425</v>
      </c>
      <c r="C225" t="s">
        <v>426</v>
      </c>
      <c r="D225" t="s">
        <v>427</v>
      </c>
      <c r="F225" t="s">
        <v>428</v>
      </c>
      <c r="G225">
        <v>424.10599999999999</v>
      </c>
      <c r="H225" t="s">
        <v>57</v>
      </c>
      <c r="I225">
        <v>2</v>
      </c>
      <c r="J225">
        <v>21</v>
      </c>
      <c r="K225">
        <v>0</v>
      </c>
      <c r="L225">
        <v>52.71</v>
      </c>
      <c r="M225">
        <v>13844</v>
      </c>
      <c r="N225">
        <v>8</v>
      </c>
      <c r="O225">
        <v>7</v>
      </c>
      <c r="P225">
        <v>7</v>
      </c>
      <c r="Q225">
        <v>8</v>
      </c>
      <c r="R225">
        <v>8</v>
      </c>
      <c r="S225">
        <v>960</v>
      </c>
      <c r="T225">
        <v>960</v>
      </c>
      <c r="U225">
        <v>8</v>
      </c>
      <c r="V225">
        <v>6</v>
      </c>
      <c r="W225">
        <v>8</v>
      </c>
      <c r="X225">
        <v>8</v>
      </c>
      <c r="Y225">
        <v>8</v>
      </c>
      <c r="Z225">
        <v>8</v>
      </c>
      <c r="AA225">
        <v>8</v>
      </c>
      <c r="AB225">
        <v>8</v>
      </c>
      <c r="AC225">
        <v>8</v>
      </c>
      <c r="AD225">
        <v>43</v>
      </c>
      <c r="AE225">
        <v>55</v>
      </c>
      <c r="AF225">
        <v>85</v>
      </c>
      <c r="AG225">
        <v>105</v>
      </c>
      <c r="AH225">
        <v>137</v>
      </c>
      <c r="AI225">
        <v>156</v>
      </c>
      <c r="AJ225">
        <v>208</v>
      </c>
      <c r="AK225">
        <v>171</v>
      </c>
      <c r="AL225">
        <v>4193289728</v>
      </c>
      <c r="AM225">
        <v>4699016192</v>
      </c>
      <c r="AN225">
        <v>4616720896</v>
      </c>
      <c r="AO225">
        <v>4348672000</v>
      </c>
      <c r="AP225">
        <v>7255373824</v>
      </c>
      <c r="AQ225">
        <v>6385309184</v>
      </c>
      <c r="AR225">
        <v>4332526592</v>
      </c>
      <c r="AS225">
        <v>3187996928</v>
      </c>
      <c r="AT225" s="23" t="s">
        <v>426</v>
      </c>
      <c r="AU225" s="18">
        <v>2646715136</v>
      </c>
      <c r="AV225" s="18">
        <v>2500477952</v>
      </c>
      <c r="AW225" s="19">
        <v>2960327168</v>
      </c>
      <c r="AX225" s="19">
        <v>3878685440</v>
      </c>
      <c r="AY225" s="20">
        <v>3840947200</v>
      </c>
      <c r="AZ225" s="20">
        <v>3893894144</v>
      </c>
      <c r="BA225" s="21">
        <v>3033917696</v>
      </c>
      <c r="BB225" s="21">
        <v>3061139712</v>
      </c>
    </row>
    <row r="226" spans="1:54">
      <c r="A226">
        <v>20056</v>
      </c>
      <c r="B226" t="s">
        <v>543</v>
      </c>
      <c r="C226" t="s">
        <v>544</v>
      </c>
      <c r="D226" t="s">
        <v>545</v>
      </c>
      <c r="E226" t="s">
        <v>546</v>
      </c>
      <c r="F226" t="s">
        <v>547</v>
      </c>
      <c r="G226">
        <v>279.90499999999997</v>
      </c>
      <c r="H226" t="s">
        <v>57</v>
      </c>
      <c r="I226">
        <v>2</v>
      </c>
      <c r="J226">
        <v>18</v>
      </c>
      <c r="K226">
        <v>2</v>
      </c>
      <c r="L226">
        <v>54.84</v>
      </c>
      <c r="M226">
        <v>13736</v>
      </c>
      <c r="N226">
        <v>7</v>
      </c>
      <c r="O226">
        <v>9</v>
      </c>
      <c r="P226">
        <v>9</v>
      </c>
      <c r="Q226">
        <v>9</v>
      </c>
      <c r="R226">
        <v>9</v>
      </c>
      <c r="S226">
        <v>474</v>
      </c>
      <c r="T226">
        <v>474</v>
      </c>
      <c r="U226">
        <v>9</v>
      </c>
      <c r="V226">
        <v>7</v>
      </c>
      <c r="W226">
        <v>6</v>
      </c>
      <c r="X226">
        <v>9</v>
      </c>
      <c r="Y226">
        <v>9</v>
      </c>
      <c r="Z226">
        <v>7</v>
      </c>
      <c r="AA226">
        <v>7</v>
      </c>
      <c r="AB226">
        <v>7</v>
      </c>
      <c r="AC226">
        <v>7</v>
      </c>
      <c r="AD226">
        <v>15</v>
      </c>
      <c r="AE226">
        <v>10</v>
      </c>
      <c r="AF226">
        <v>37</v>
      </c>
      <c r="AG226">
        <v>80</v>
      </c>
      <c r="AH226">
        <v>65</v>
      </c>
      <c r="AI226">
        <v>80</v>
      </c>
      <c r="AJ226">
        <v>92</v>
      </c>
      <c r="AK226">
        <v>95</v>
      </c>
      <c r="AL226">
        <v>1894243712</v>
      </c>
      <c r="AM226">
        <v>2200312320</v>
      </c>
      <c r="AN226">
        <v>1319555328</v>
      </c>
      <c r="AO226">
        <v>1341590272</v>
      </c>
      <c r="AP226">
        <v>3641562624</v>
      </c>
      <c r="AQ226">
        <v>2957091584</v>
      </c>
      <c r="AR226">
        <v>1177380992</v>
      </c>
      <c r="AS226">
        <v>1148560640</v>
      </c>
      <c r="AT226" s="23" t="s">
        <v>544</v>
      </c>
      <c r="AU226" s="18">
        <v>274903456</v>
      </c>
      <c r="AV226" s="18">
        <v>416064320</v>
      </c>
      <c r="AW226" s="19">
        <v>1008369856</v>
      </c>
      <c r="AX226" s="19">
        <v>1652686848</v>
      </c>
      <c r="AY226" s="20">
        <v>1911096064</v>
      </c>
      <c r="AZ226" s="20">
        <v>2356818176</v>
      </c>
      <c r="BA226" s="21">
        <v>1081278976</v>
      </c>
      <c r="BB226" s="21">
        <v>954230592</v>
      </c>
    </row>
    <row r="227" spans="1:54">
      <c r="A227">
        <v>20169</v>
      </c>
      <c r="B227" t="s">
        <v>336</v>
      </c>
      <c r="C227" t="s">
        <v>337</v>
      </c>
      <c r="D227" t="s">
        <v>338</v>
      </c>
      <c r="F227" t="s">
        <v>339</v>
      </c>
      <c r="G227">
        <v>633</v>
      </c>
      <c r="H227" t="s">
        <v>57</v>
      </c>
      <c r="I227">
        <v>2</v>
      </c>
      <c r="J227">
        <v>6</v>
      </c>
      <c r="K227">
        <v>0</v>
      </c>
      <c r="L227">
        <v>71.19</v>
      </c>
      <c r="M227">
        <v>13099</v>
      </c>
      <c r="N227">
        <v>7</v>
      </c>
      <c r="O227">
        <v>15</v>
      </c>
      <c r="P227">
        <v>15</v>
      </c>
      <c r="Q227">
        <v>18</v>
      </c>
      <c r="R227">
        <v>18</v>
      </c>
      <c r="S227">
        <v>1607</v>
      </c>
      <c r="T227">
        <v>1607</v>
      </c>
      <c r="U227">
        <v>18</v>
      </c>
      <c r="V227">
        <v>14</v>
      </c>
      <c r="W227">
        <v>15</v>
      </c>
      <c r="X227">
        <v>16</v>
      </c>
      <c r="Y227">
        <v>16</v>
      </c>
      <c r="Z227">
        <v>18</v>
      </c>
      <c r="AA227">
        <v>16</v>
      </c>
      <c r="AB227">
        <v>18</v>
      </c>
      <c r="AC227">
        <v>16</v>
      </c>
      <c r="AD227">
        <v>249</v>
      </c>
      <c r="AE227">
        <v>223</v>
      </c>
      <c r="AF227">
        <v>204</v>
      </c>
      <c r="AG227">
        <v>184</v>
      </c>
      <c r="AH227">
        <v>239</v>
      </c>
      <c r="AI227">
        <v>226</v>
      </c>
      <c r="AJ227">
        <v>140</v>
      </c>
      <c r="AK227">
        <v>142</v>
      </c>
      <c r="AL227">
        <v>2685934848</v>
      </c>
      <c r="AM227">
        <v>4191150592</v>
      </c>
      <c r="AN227">
        <v>2899766016</v>
      </c>
      <c r="AO227">
        <v>2961686528</v>
      </c>
      <c r="AP227">
        <v>6493814784</v>
      </c>
      <c r="AQ227">
        <v>5699543040</v>
      </c>
      <c r="AR227">
        <v>3559460864</v>
      </c>
      <c r="AS227">
        <v>2966063616</v>
      </c>
      <c r="AT227" s="23" t="s">
        <v>337</v>
      </c>
      <c r="AU227" s="18">
        <v>2060531584</v>
      </c>
      <c r="AV227" s="18">
        <v>3084792320</v>
      </c>
      <c r="AW227" s="19">
        <v>2863852288</v>
      </c>
      <c r="AX227" s="19">
        <v>3462209536</v>
      </c>
      <c r="AY227" s="20">
        <v>4722862080</v>
      </c>
      <c r="AZ227" s="20">
        <v>4627465728</v>
      </c>
      <c r="BA227" s="21">
        <v>3933507840</v>
      </c>
      <c r="BB227" s="21">
        <v>3781873920</v>
      </c>
    </row>
    <row r="228" spans="1:54">
      <c r="A228">
        <v>20047</v>
      </c>
      <c r="B228" t="s">
        <v>469</v>
      </c>
      <c r="C228" t="s">
        <v>470</v>
      </c>
      <c r="D228" t="s">
        <v>471</v>
      </c>
      <c r="F228" t="s">
        <v>472</v>
      </c>
      <c r="G228">
        <v>342.88799999999998</v>
      </c>
      <c r="H228" t="s">
        <v>57</v>
      </c>
      <c r="I228">
        <v>2</v>
      </c>
      <c r="J228">
        <v>16</v>
      </c>
      <c r="K228">
        <v>0</v>
      </c>
      <c r="L228">
        <v>57.43</v>
      </c>
      <c r="M228">
        <v>11580</v>
      </c>
      <c r="N228">
        <v>7</v>
      </c>
      <c r="O228">
        <v>13</v>
      </c>
      <c r="P228">
        <v>2</v>
      </c>
      <c r="Q228">
        <v>13</v>
      </c>
      <c r="R228">
        <v>2</v>
      </c>
      <c r="S228">
        <v>1041</v>
      </c>
      <c r="T228">
        <v>546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80</v>
      </c>
      <c r="AE228">
        <v>64</v>
      </c>
      <c r="AF228">
        <v>65</v>
      </c>
      <c r="AG228">
        <v>50</v>
      </c>
      <c r="AH228">
        <v>100</v>
      </c>
      <c r="AI228">
        <v>96</v>
      </c>
      <c r="AJ228">
        <v>52</v>
      </c>
      <c r="AK228">
        <v>39</v>
      </c>
      <c r="AL228">
        <v>672298432</v>
      </c>
      <c r="AM228">
        <v>949983616</v>
      </c>
      <c r="AN228">
        <v>937564608</v>
      </c>
      <c r="AO228">
        <v>956669824</v>
      </c>
      <c r="AP228">
        <v>3487603968</v>
      </c>
      <c r="AQ228">
        <v>2986215168</v>
      </c>
      <c r="AR228">
        <v>1492400256</v>
      </c>
      <c r="AS228">
        <v>980557632</v>
      </c>
      <c r="AT228" s="23" t="s">
        <v>470</v>
      </c>
      <c r="AU228" s="18">
        <v>83226296</v>
      </c>
      <c r="AV228" s="18">
        <v>152477680</v>
      </c>
      <c r="AW228" s="19">
        <v>219362160</v>
      </c>
      <c r="AX228" s="19">
        <v>298973408</v>
      </c>
      <c r="AY228" s="20">
        <v>270843392</v>
      </c>
      <c r="AZ228" s="20">
        <v>361853472</v>
      </c>
      <c r="BA228" s="21">
        <v>320317856</v>
      </c>
      <c r="BB228" s="21">
        <v>392924160</v>
      </c>
    </row>
    <row r="229" spans="1:54">
      <c r="A229">
        <v>20046</v>
      </c>
      <c r="B229" t="s">
        <v>571</v>
      </c>
      <c r="C229" t="s">
        <v>470</v>
      </c>
      <c r="D229" t="s">
        <v>571</v>
      </c>
      <c r="F229" t="s">
        <v>572</v>
      </c>
      <c r="G229">
        <v>248.31899999999999</v>
      </c>
      <c r="H229" t="s">
        <v>57</v>
      </c>
      <c r="I229">
        <v>2</v>
      </c>
      <c r="J229">
        <v>1</v>
      </c>
      <c r="K229">
        <v>0</v>
      </c>
      <c r="L229">
        <v>51.49</v>
      </c>
      <c r="M229">
        <v>11594</v>
      </c>
      <c r="N229">
        <v>7</v>
      </c>
      <c r="O229">
        <v>12</v>
      </c>
      <c r="P229">
        <v>1</v>
      </c>
      <c r="Q229">
        <v>12</v>
      </c>
      <c r="R229">
        <v>1</v>
      </c>
      <c r="S229">
        <v>504</v>
      </c>
      <c r="T229">
        <v>9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2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550905472</v>
      </c>
      <c r="AM229">
        <v>749905792</v>
      </c>
      <c r="AN229">
        <v>725427072</v>
      </c>
      <c r="AO229">
        <v>647786304</v>
      </c>
      <c r="AP229">
        <v>2924041728</v>
      </c>
      <c r="AQ229">
        <v>2418269184</v>
      </c>
      <c r="AR229">
        <v>1093097600</v>
      </c>
      <c r="AS229">
        <v>648063040</v>
      </c>
      <c r="AT229" s="23" t="s">
        <v>470</v>
      </c>
      <c r="AU229" s="18">
        <v>2452051</v>
      </c>
      <c r="AV229" s="18">
        <v>1811835.25</v>
      </c>
      <c r="AW229" s="19">
        <v>1211380</v>
      </c>
      <c r="AX229" s="19">
        <v>979552.5</v>
      </c>
      <c r="AY229" s="20">
        <v>1114968.3799999999</v>
      </c>
      <c r="AZ229" s="20">
        <v>1305523.3799999999</v>
      </c>
      <c r="BA229" s="21">
        <v>1128789.3799999999</v>
      </c>
      <c r="BB229" s="21">
        <v>1028869.81</v>
      </c>
    </row>
    <row r="230" spans="1:54">
      <c r="A230">
        <v>20071</v>
      </c>
      <c r="B230" t="s">
        <v>552</v>
      </c>
      <c r="C230" t="s">
        <v>553</v>
      </c>
      <c r="D230" t="s">
        <v>554</v>
      </c>
      <c r="E230" t="s">
        <v>555</v>
      </c>
      <c r="F230" t="s">
        <v>556</v>
      </c>
      <c r="G230">
        <v>267.32499999999999</v>
      </c>
      <c r="H230" t="s">
        <v>57</v>
      </c>
      <c r="I230">
        <v>2</v>
      </c>
      <c r="J230">
        <v>19</v>
      </c>
      <c r="K230">
        <v>2</v>
      </c>
      <c r="L230">
        <v>70.790000000000006</v>
      </c>
      <c r="M230">
        <v>10268</v>
      </c>
      <c r="N230">
        <v>5</v>
      </c>
      <c r="O230">
        <v>9</v>
      </c>
      <c r="P230">
        <v>9</v>
      </c>
      <c r="Q230">
        <v>9</v>
      </c>
      <c r="R230">
        <v>9</v>
      </c>
      <c r="S230">
        <v>269</v>
      </c>
      <c r="T230">
        <v>269</v>
      </c>
      <c r="U230">
        <v>9</v>
      </c>
      <c r="V230">
        <v>7</v>
      </c>
      <c r="W230">
        <v>7</v>
      </c>
      <c r="X230">
        <v>6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26</v>
      </c>
      <c r="AE230">
        <v>26</v>
      </c>
      <c r="AF230">
        <v>40</v>
      </c>
      <c r="AG230">
        <v>29</v>
      </c>
      <c r="AH230">
        <v>46</v>
      </c>
      <c r="AI230">
        <v>39</v>
      </c>
      <c r="AJ230">
        <v>31</v>
      </c>
      <c r="AK230">
        <v>32</v>
      </c>
      <c r="AL230">
        <v>1598065664</v>
      </c>
      <c r="AM230">
        <v>1563269376</v>
      </c>
      <c r="AN230">
        <v>675598912</v>
      </c>
      <c r="AO230">
        <v>550677120</v>
      </c>
      <c r="AP230">
        <v>1899647232</v>
      </c>
      <c r="AQ230">
        <v>1773118720</v>
      </c>
      <c r="AR230">
        <v>727359680</v>
      </c>
      <c r="AS230">
        <v>596218240</v>
      </c>
      <c r="AT230" s="23" t="s">
        <v>553</v>
      </c>
      <c r="AU230" s="18">
        <v>583131264</v>
      </c>
      <c r="AV230" s="18">
        <v>551354560</v>
      </c>
      <c r="AW230" s="19">
        <v>412165728</v>
      </c>
      <c r="AX230" s="19">
        <v>445861856</v>
      </c>
      <c r="AY230" s="20">
        <v>929736704</v>
      </c>
      <c r="AZ230" s="20">
        <v>1455221248</v>
      </c>
      <c r="BA230" s="21">
        <v>846119552</v>
      </c>
      <c r="BB230" s="21">
        <v>813323200</v>
      </c>
    </row>
    <row r="231" spans="1:54">
      <c r="A231">
        <v>20009</v>
      </c>
      <c r="B231" t="s">
        <v>429</v>
      </c>
      <c r="C231" t="s">
        <v>430</v>
      </c>
      <c r="D231" t="s">
        <v>431</v>
      </c>
      <c r="F231" t="s">
        <v>432</v>
      </c>
      <c r="G231">
        <v>423.56200000000001</v>
      </c>
      <c r="H231" t="s">
        <v>57</v>
      </c>
      <c r="I231">
        <v>2</v>
      </c>
      <c r="J231">
        <v>19</v>
      </c>
      <c r="K231">
        <v>0</v>
      </c>
      <c r="L231">
        <v>73.17</v>
      </c>
      <c r="M231">
        <v>9190</v>
      </c>
      <c r="N231">
        <v>4</v>
      </c>
      <c r="O231">
        <v>10</v>
      </c>
      <c r="P231">
        <v>10</v>
      </c>
      <c r="Q231">
        <v>10</v>
      </c>
      <c r="R231">
        <v>10</v>
      </c>
      <c r="S231">
        <v>983</v>
      </c>
      <c r="T231">
        <v>983</v>
      </c>
      <c r="U231">
        <v>10</v>
      </c>
      <c r="V231">
        <v>8</v>
      </c>
      <c r="W231">
        <v>8</v>
      </c>
      <c r="X231">
        <v>9</v>
      </c>
      <c r="Y231">
        <v>9</v>
      </c>
      <c r="Z231">
        <v>10</v>
      </c>
      <c r="AA231">
        <v>10</v>
      </c>
      <c r="AB231">
        <v>10</v>
      </c>
      <c r="AC231">
        <v>9</v>
      </c>
      <c r="AD231">
        <v>146</v>
      </c>
      <c r="AE231">
        <v>151</v>
      </c>
      <c r="AF231">
        <v>98</v>
      </c>
      <c r="AG231">
        <v>92</v>
      </c>
      <c r="AH231">
        <v>141</v>
      </c>
      <c r="AI231">
        <v>125</v>
      </c>
      <c r="AJ231">
        <v>84</v>
      </c>
      <c r="AK231">
        <v>146</v>
      </c>
      <c r="AL231">
        <v>1602563456</v>
      </c>
      <c r="AM231">
        <v>2306500608</v>
      </c>
      <c r="AN231">
        <v>591206272</v>
      </c>
      <c r="AO231">
        <v>777903104</v>
      </c>
      <c r="AP231">
        <v>3339402240</v>
      </c>
      <c r="AQ231">
        <v>2958905856</v>
      </c>
      <c r="AR231">
        <v>943557120</v>
      </c>
      <c r="AS231">
        <v>1388160000</v>
      </c>
      <c r="AT231" s="23" t="s">
        <v>430</v>
      </c>
      <c r="AU231" s="18">
        <v>1884943104</v>
      </c>
      <c r="AV231" s="18">
        <v>2306015232</v>
      </c>
      <c r="AW231" s="19">
        <v>724101568</v>
      </c>
      <c r="AX231" s="19">
        <v>991135360</v>
      </c>
      <c r="AY231" s="20">
        <v>2522881536</v>
      </c>
      <c r="AZ231" s="20">
        <v>2220320512</v>
      </c>
      <c r="BA231" s="21">
        <v>916314816</v>
      </c>
      <c r="BB231" s="21">
        <v>1599673856</v>
      </c>
    </row>
    <row r="232" spans="1:54">
      <c r="A232">
        <v>19981</v>
      </c>
      <c r="B232" t="s">
        <v>810</v>
      </c>
      <c r="C232" t="s">
        <v>811</v>
      </c>
      <c r="D232" t="s">
        <v>812</v>
      </c>
      <c r="F232" t="s">
        <v>813</v>
      </c>
      <c r="G232">
        <v>87.626999999999995</v>
      </c>
      <c r="H232" t="s">
        <v>57</v>
      </c>
      <c r="I232">
        <v>2</v>
      </c>
      <c r="J232">
        <v>21</v>
      </c>
      <c r="K232">
        <v>0</v>
      </c>
      <c r="L232">
        <v>47.62</v>
      </c>
      <c r="M232">
        <v>9704</v>
      </c>
      <c r="N232">
        <v>4</v>
      </c>
      <c r="O232">
        <v>5</v>
      </c>
      <c r="P232">
        <v>5</v>
      </c>
      <c r="Q232">
        <v>5</v>
      </c>
      <c r="R232">
        <v>5</v>
      </c>
      <c r="S232">
        <v>132</v>
      </c>
      <c r="T232">
        <v>132</v>
      </c>
      <c r="U232">
        <v>5</v>
      </c>
      <c r="V232">
        <v>5</v>
      </c>
      <c r="W232">
        <v>4</v>
      </c>
      <c r="X232">
        <v>4</v>
      </c>
      <c r="Y232">
        <v>4</v>
      </c>
      <c r="Z232">
        <v>5</v>
      </c>
      <c r="AA232">
        <v>4</v>
      </c>
      <c r="AB232">
        <v>4</v>
      </c>
      <c r="AC232">
        <v>3</v>
      </c>
      <c r="AD232">
        <v>27</v>
      </c>
      <c r="AE232">
        <v>20</v>
      </c>
      <c r="AF232">
        <v>15</v>
      </c>
      <c r="AG232">
        <v>12</v>
      </c>
      <c r="AH232">
        <v>16</v>
      </c>
      <c r="AI232">
        <v>16</v>
      </c>
      <c r="AJ232">
        <v>12</v>
      </c>
      <c r="AK232">
        <v>14</v>
      </c>
      <c r="AL232">
        <v>834736000</v>
      </c>
      <c r="AM232">
        <v>833174400</v>
      </c>
      <c r="AN232">
        <v>283740608</v>
      </c>
      <c r="AO232">
        <v>268306496</v>
      </c>
      <c r="AP232">
        <v>763044352</v>
      </c>
      <c r="AQ232">
        <v>721085312</v>
      </c>
      <c r="AR232">
        <v>216661952</v>
      </c>
      <c r="AS232">
        <v>243159568</v>
      </c>
      <c r="AT232" s="23" t="s">
        <v>811</v>
      </c>
      <c r="AU232" s="18">
        <v>236087120</v>
      </c>
      <c r="AV232" s="18">
        <v>197236640</v>
      </c>
      <c r="AW232" s="19">
        <v>137472400</v>
      </c>
      <c r="AX232" s="19">
        <v>160217824</v>
      </c>
      <c r="AY232" s="20">
        <v>920811072</v>
      </c>
      <c r="AZ232" s="20">
        <v>566752576</v>
      </c>
      <c r="BA232" s="21">
        <v>240920400</v>
      </c>
      <c r="BB232" s="21">
        <v>161398880</v>
      </c>
    </row>
    <row r="233" spans="1:54">
      <c r="A233">
        <v>20081</v>
      </c>
      <c r="B233" t="s">
        <v>456</v>
      </c>
      <c r="C233" t="s">
        <v>457</v>
      </c>
      <c r="D233" t="s">
        <v>458</v>
      </c>
      <c r="F233" t="s">
        <v>459</v>
      </c>
      <c r="G233">
        <v>378.09500000000003</v>
      </c>
      <c r="H233" t="s">
        <v>57</v>
      </c>
      <c r="I233">
        <v>2</v>
      </c>
      <c r="J233">
        <v>20</v>
      </c>
      <c r="K233">
        <v>0</v>
      </c>
      <c r="L233">
        <v>66.67</v>
      </c>
      <c r="M233">
        <v>8986</v>
      </c>
      <c r="N233">
        <v>4</v>
      </c>
      <c r="O233">
        <v>9</v>
      </c>
      <c r="P233">
        <v>9</v>
      </c>
      <c r="Q233">
        <v>9</v>
      </c>
      <c r="R233">
        <v>9</v>
      </c>
      <c r="S233">
        <v>520</v>
      </c>
      <c r="T233">
        <v>520</v>
      </c>
      <c r="U233">
        <v>9</v>
      </c>
      <c r="V233">
        <v>6</v>
      </c>
      <c r="W233">
        <v>7</v>
      </c>
      <c r="X233">
        <v>7</v>
      </c>
      <c r="Y233">
        <v>8</v>
      </c>
      <c r="Z233">
        <v>8</v>
      </c>
      <c r="AA233">
        <v>8</v>
      </c>
      <c r="AB233">
        <v>8</v>
      </c>
      <c r="AC233">
        <v>8</v>
      </c>
      <c r="AD233">
        <v>92</v>
      </c>
      <c r="AE233">
        <v>89</v>
      </c>
      <c r="AF233">
        <v>63</v>
      </c>
      <c r="AG233">
        <v>48</v>
      </c>
      <c r="AH233">
        <v>70</v>
      </c>
      <c r="AI233">
        <v>60</v>
      </c>
      <c r="AJ233">
        <v>45</v>
      </c>
      <c r="AK233">
        <v>53</v>
      </c>
      <c r="AL233">
        <v>1702863488</v>
      </c>
      <c r="AM233">
        <v>2353023232</v>
      </c>
      <c r="AN233">
        <v>1233986816</v>
      </c>
      <c r="AO233">
        <v>897659392</v>
      </c>
      <c r="AP233">
        <v>2334435072</v>
      </c>
      <c r="AQ233">
        <v>1736480512</v>
      </c>
      <c r="AR233">
        <v>1214803840</v>
      </c>
      <c r="AS233">
        <v>858250816</v>
      </c>
      <c r="AT233" s="23" t="s">
        <v>457</v>
      </c>
      <c r="AU233" s="18">
        <v>626370432</v>
      </c>
      <c r="AV233" s="18">
        <v>1190230144</v>
      </c>
      <c r="AW233" s="19">
        <v>1183418624</v>
      </c>
      <c r="AX233" s="19">
        <v>1092243968</v>
      </c>
      <c r="AY233" s="20">
        <v>1194032256</v>
      </c>
      <c r="AZ233" s="20">
        <v>1025853888</v>
      </c>
      <c r="BA233" s="21">
        <v>1011673856</v>
      </c>
      <c r="BB233" s="21">
        <v>828938944</v>
      </c>
    </row>
    <row r="234" spans="1:54">
      <c r="A234">
        <v>20144</v>
      </c>
      <c r="B234" t="s">
        <v>447</v>
      </c>
      <c r="C234" t="s">
        <v>448</v>
      </c>
      <c r="D234" t="s">
        <v>449</v>
      </c>
      <c r="F234" t="s">
        <v>450</v>
      </c>
      <c r="G234">
        <v>390.65100000000001</v>
      </c>
      <c r="H234" t="s">
        <v>57</v>
      </c>
      <c r="I234">
        <v>2</v>
      </c>
      <c r="J234">
        <v>21</v>
      </c>
      <c r="K234">
        <v>0</v>
      </c>
      <c r="L234">
        <v>70.650000000000006</v>
      </c>
      <c r="M234">
        <v>10430</v>
      </c>
      <c r="N234">
        <v>6</v>
      </c>
      <c r="O234">
        <v>8</v>
      </c>
      <c r="P234">
        <v>8</v>
      </c>
      <c r="Q234">
        <v>9</v>
      </c>
      <c r="R234">
        <v>9</v>
      </c>
      <c r="S234">
        <v>1577</v>
      </c>
      <c r="T234">
        <v>1577</v>
      </c>
      <c r="U234">
        <v>9</v>
      </c>
      <c r="V234">
        <v>5</v>
      </c>
      <c r="W234">
        <v>7</v>
      </c>
      <c r="X234">
        <v>7</v>
      </c>
      <c r="Y234">
        <v>8</v>
      </c>
      <c r="Z234">
        <v>8</v>
      </c>
      <c r="AA234">
        <v>9</v>
      </c>
      <c r="AB234">
        <v>8</v>
      </c>
      <c r="AC234">
        <v>8</v>
      </c>
      <c r="AD234">
        <v>140</v>
      </c>
      <c r="AE234">
        <v>217</v>
      </c>
      <c r="AF234">
        <v>241</v>
      </c>
      <c r="AG234">
        <v>225</v>
      </c>
      <c r="AH234">
        <v>227</v>
      </c>
      <c r="AI234">
        <v>198</v>
      </c>
      <c r="AJ234">
        <v>154</v>
      </c>
      <c r="AK234">
        <v>175</v>
      </c>
      <c r="AL234">
        <v>2343406592</v>
      </c>
      <c r="AM234">
        <v>2308364544</v>
      </c>
      <c r="AN234">
        <v>1906861440</v>
      </c>
      <c r="AO234">
        <v>1736401920</v>
      </c>
      <c r="AP234">
        <v>3010696960</v>
      </c>
      <c r="AQ234">
        <v>2848722688</v>
      </c>
      <c r="AR234">
        <v>1921215104</v>
      </c>
      <c r="AS234">
        <v>1595166464</v>
      </c>
      <c r="AT234" s="23" t="s">
        <v>448</v>
      </c>
      <c r="AU234" s="18">
        <v>1555860352</v>
      </c>
      <c r="AV234" s="18">
        <v>1443448832</v>
      </c>
      <c r="AW234" s="19">
        <v>1209174400</v>
      </c>
      <c r="AX234" s="19">
        <v>1615952000</v>
      </c>
      <c r="AY234" s="20">
        <v>1747656320</v>
      </c>
      <c r="AZ234" s="20">
        <v>1873372416</v>
      </c>
      <c r="BA234" s="21">
        <v>1419498880</v>
      </c>
      <c r="BB234" s="21">
        <v>1540559744</v>
      </c>
    </row>
    <row r="235" spans="1:54">
      <c r="A235">
        <v>20090</v>
      </c>
      <c r="B235" t="s">
        <v>404</v>
      </c>
      <c r="C235" t="s">
        <v>405</v>
      </c>
      <c r="D235" t="s">
        <v>406</v>
      </c>
      <c r="F235" t="s">
        <v>407</v>
      </c>
      <c r="G235">
        <v>435.94600000000003</v>
      </c>
      <c r="H235" t="s">
        <v>57</v>
      </c>
      <c r="I235">
        <v>2</v>
      </c>
      <c r="J235">
        <v>20</v>
      </c>
      <c r="K235">
        <v>0</v>
      </c>
      <c r="L235">
        <v>50.57</v>
      </c>
      <c r="M235">
        <v>9684</v>
      </c>
      <c r="N235">
        <v>4</v>
      </c>
      <c r="O235">
        <v>10</v>
      </c>
      <c r="P235">
        <v>10</v>
      </c>
      <c r="Q235">
        <v>11</v>
      </c>
      <c r="R235">
        <v>11</v>
      </c>
      <c r="S235">
        <v>830</v>
      </c>
      <c r="T235">
        <v>830</v>
      </c>
      <c r="U235">
        <v>11</v>
      </c>
      <c r="V235">
        <v>9</v>
      </c>
      <c r="W235">
        <v>9</v>
      </c>
      <c r="X235">
        <v>9</v>
      </c>
      <c r="Y235">
        <v>10</v>
      </c>
      <c r="Z235">
        <v>10</v>
      </c>
      <c r="AA235">
        <v>11</v>
      </c>
      <c r="AB235">
        <v>11</v>
      </c>
      <c r="AC235">
        <v>9</v>
      </c>
      <c r="AD235">
        <v>141</v>
      </c>
      <c r="AE235">
        <v>136</v>
      </c>
      <c r="AF235">
        <v>48</v>
      </c>
      <c r="AG235">
        <v>69</v>
      </c>
      <c r="AH235">
        <v>158</v>
      </c>
      <c r="AI235">
        <v>127</v>
      </c>
      <c r="AJ235">
        <v>52</v>
      </c>
      <c r="AK235">
        <v>98</v>
      </c>
      <c r="AL235">
        <v>2534528000</v>
      </c>
      <c r="AM235">
        <v>3140916224</v>
      </c>
      <c r="AN235">
        <v>757045504</v>
      </c>
      <c r="AO235">
        <v>991432384</v>
      </c>
      <c r="AP235">
        <v>2976256256</v>
      </c>
      <c r="AQ235">
        <v>2773338112</v>
      </c>
      <c r="AR235">
        <v>900335552</v>
      </c>
      <c r="AS235">
        <v>1376781312</v>
      </c>
      <c r="AT235" s="23" t="s">
        <v>405</v>
      </c>
      <c r="AU235" s="18">
        <v>1730709504</v>
      </c>
      <c r="AV235" s="18">
        <v>1328628608</v>
      </c>
      <c r="AW235" s="19">
        <v>551839168</v>
      </c>
      <c r="AX235" s="19">
        <v>869402432</v>
      </c>
      <c r="AY235" s="20">
        <v>1913682048</v>
      </c>
      <c r="AZ235" s="20">
        <v>1793014784</v>
      </c>
      <c r="BA235" s="21">
        <v>839552704</v>
      </c>
      <c r="BB235" s="21">
        <v>1111224064</v>
      </c>
    </row>
    <row r="236" spans="1:54">
      <c r="A236">
        <v>20039</v>
      </c>
      <c r="B236" t="s">
        <v>586</v>
      </c>
      <c r="C236" t="s">
        <v>587</v>
      </c>
      <c r="D236" t="s">
        <v>588</v>
      </c>
      <c r="F236" t="s">
        <v>589</v>
      </c>
      <c r="G236">
        <v>240.08699999999999</v>
      </c>
      <c r="H236" t="s">
        <v>57</v>
      </c>
      <c r="I236">
        <v>2</v>
      </c>
      <c r="J236">
        <v>20</v>
      </c>
      <c r="K236">
        <v>0</v>
      </c>
      <c r="L236">
        <v>46.48</v>
      </c>
      <c r="M236">
        <v>8499</v>
      </c>
      <c r="N236">
        <v>2</v>
      </c>
      <c r="O236">
        <v>8</v>
      </c>
      <c r="P236">
        <v>8</v>
      </c>
      <c r="Q236">
        <v>8</v>
      </c>
      <c r="R236">
        <v>8</v>
      </c>
      <c r="S236">
        <v>571</v>
      </c>
      <c r="T236">
        <v>571</v>
      </c>
      <c r="U236">
        <v>8</v>
      </c>
      <c r="V236">
        <v>7</v>
      </c>
      <c r="W236">
        <v>6</v>
      </c>
      <c r="X236">
        <v>6</v>
      </c>
      <c r="Y236">
        <v>6</v>
      </c>
      <c r="Z236">
        <v>8</v>
      </c>
      <c r="AA236">
        <v>8</v>
      </c>
      <c r="AB236">
        <v>8</v>
      </c>
      <c r="AC236">
        <v>8</v>
      </c>
      <c r="AD236">
        <v>79</v>
      </c>
      <c r="AE236">
        <v>61</v>
      </c>
      <c r="AF236">
        <v>65</v>
      </c>
      <c r="AG236">
        <v>59</v>
      </c>
      <c r="AH236">
        <v>73</v>
      </c>
      <c r="AI236">
        <v>74</v>
      </c>
      <c r="AJ236">
        <v>58</v>
      </c>
      <c r="AK236">
        <v>102</v>
      </c>
      <c r="AL236">
        <v>2945553408</v>
      </c>
      <c r="AM236">
        <v>3500552960</v>
      </c>
      <c r="AN236">
        <v>3780375296</v>
      </c>
      <c r="AO236">
        <v>3849906688</v>
      </c>
      <c r="AP236">
        <v>6732758528</v>
      </c>
      <c r="AQ236">
        <v>6023613952</v>
      </c>
      <c r="AR236">
        <v>3811768832</v>
      </c>
      <c r="AS236">
        <v>2563842816</v>
      </c>
      <c r="AT236" s="23" t="s">
        <v>587</v>
      </c>
      <c r="AU236" s="18">
        <v>1921419520</v>
      </c>
      <c r="AV236" s="18">
        <v>2003593344</v>
      </c>
      <c r="AW236" s="19">
        <v>1944615296</v>
      </c>
      <c r="AX236" s="19">
        <v>2134893056</v>
      </c>
      <c r="AY236" s="20">
        <v>4386932224</v>
      </c>
      <c r="AZ236" s="20">
        <v>4040634112</v>
      </c>
      <c r="BA236" s="21">
        <v>2878987520</v>
      </c>
      <c r="BB236" s="21">
        <v>2972839680</v>
      </c>
    </row>
    <row r="237" spans="1:54">
      <c r="A237">
        <v>20043</v>
      </c>
      <c r="B237" t="s">
        <v>1046</v>
      </c>
      <c r="C237" t="s">
        <v>1047</v>
      </c>
      <c r="D237" t="s">
        <v>1048</v>
      </c>
      <c r="F237" t="s">
        <v>1049</v>
      </c>
      <c r="G237">
        <v>24.864999999999998</v>
      </c>
      <c r="H237" t="s">
        <v>57</v>
      </c>
      <c r="I237">
        <v>2</v>
      </c>
      <c r="J237">
        <v>20</v>
      </c>
      <c r="K237">
        <v>0</v>
      </c>
      <c r="L237">
        <v>6.83</v>
      </c>
      <c r="M237">
        <v>17360</v>
      </c>
      <c r="N237">
        <v>6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1202181.5</v>
      </c>
      <c r="AM237">
        <v>1233203.3799999999</v>
      </c>
      <c r="AN237">
        <v>959560.44</v>
      </c>
      <c r="AO237">
        <v>955861.56</v>
      </c>
      <c r="AP237">
        <v>3346981</v>
      </c>
      <c r="AQ237">
        <v>4026808.75</v>
      </c>
      <c r="AR237">
        <v>1653191</v>
      </c>
      <c r="AS237">
        <v>1097751.8799999999</v>
      </c>
      <c r="AT237" s="23" t="s">
        <v>1047</v>
      </c>
      <c r="AU237" s="18">
        <v>1202181.5</v>
      </c>
      <c r="AV237" s="18">
        <v>951690.5</v>
      </c>
      <c r="AW237" s="19">
        <v>740877.19</v>
      </c>
      <c r="AX237" s="19">
        <v>850027.12</v>
      </c>
      <c r="AY237" s="20">
        <v>1347748.12</v>
      </c>
      <c r="AZ237" s="20">
        <v>1731053</v>
      </c>
      <c r="BA237" s="21">
        <v>885208.62</v>
      </c>
      <c r="BB237" s="21">
        <v>861599.12</v>
      </c>
    </row>
    <row r="238" spans="1:54">
      <c r="A238">
        <v>20213</v>
      </c>
      <c r="B238" t="s">
        <v>700</v>
      </c>
      <c r="C238" t="s">
        <v>701</v>
      </c>
      <c r="D238" t="s">
        <v>702</v>
      </c>
      <c r="F238" t="s">
        <v>703</v>
      </c>
      <c r="G238">
        <v>133.60900000000001</v>
      </c>
      <c r="H238" t="s">
        <v>57</v>
      </c>
      <c r="I238">
        <v>2</v>
      </c>
      <c r="J238">
        <v>2</v>
      </c>
      <c r="K238">
        <v>0</v>
      </c>
      <c r="L238">
        <v>78.099999999999994</v>
      </c>
      <c r="M238">
        <v>11582</v>
      </c>
      <c r="N238">
        <v>5</v>
      </c>
      <c r="O238">
        <v>6</v>
      </c>
      <c r="P238">
        <v>6</v>
      </c>
      <c r="Q238">
        <v>6</v>
      </c>
      <c r="R238">
        <v>6</v>
      </c>
      <c r="S238">
        <v>28</v>
      </c>
      <c r="T238">
        <v>28</v>
      </c>
      <c r="U238">
        <v>6</v>
      </c>
      <c r="V238">
        <v>4</v>
      </c>
      <c r="W238">
        <v>3</v>
      </c>
      <c r="X238">
        <v>4</v>
      </c>
      <c r="Y238">
        <v>5</v>
      </c>
      <c r="Z238">
        <v>5</v>
      </c>
      <c r="AA238">
        <v>4</v>
      </c>
      <c r="AB238">
        <v>5</v>
      </c>
      <c r="AC238">
        <v>5</v>
      </c>
      <c r="AD238">
        <v>2</v>
      </c>
      <c r="AE238">
        <v>4</v>
      </c>
      <c r="AF238">
        <v>3</v>
      </c>
      <c r="AG238">
        <v>4</v>
      </c>
      <c r="AH238">
        <v>4</v>
      </c>
      <c r="AI238">
        <v>4</v>
      </c>
      <c r="AJ238">
        <v>4</v>
      </c>
      <c r="AK238">
        <v>3</v>
      </c>
      <c r="AL238">
        <v>17536696</v>
      </c>
      <c r="AM238">
        <v>16340030</v>
      </c>
      <c r="AN238">
        <v>9908567</v>
      </c>
      <c r="AO238">
        <v>9604528</v>
      </c>
      <c r="AP238">
        <v>14263504</v>
      </c>
      <c r="AQ238">
        <v>15141308</v>
      </c>
      <c r="AR238">
        <v>13738201</v>
      </c>
      <c r="AS238">
        <v>13292655</v>
      </c>
      <c r="AT238" s="23" t="s">
        <v>701</v>
      </c>
      <c r="AU238" s="18">
        <v>10887893</v>
      </c>
      <c r="AV238" s="18">
        <v>1039109.81</v>
      </c>
      <c r="AW238" s="19">
        <v>4752592.5</v>
      </c>
      <c r="AX238" s="19">
        <v>8238077.5</v>
      </c>
      <c r="AY238" s="20">
        <v>13463007</v>
      </c>
      <c r="AZ238" s="20">
        <v>13511587</v>
      </c>
      <c r="BA238" s="21">
        <v>8789377</v>
      </c>
      <c r="BB238" s="21">
        <v>12196886</v>
      </c>
    </row>
    <row r="239" spans="1:54">
      <c r="A239">
        <v>20140</v>
      </c>
      <c r="B239" t="s">
        <v>349</v>
      </c>
      <c r="C239" t="s">
        <v>350</v>
      </c>
      <c r="D239" t="s">
        <v>351</v>
      </c>
      <c r="F239" t="s">
        <v>352</v>
      </c>
      <c r="G239">
        <v>598.99699999999996</v>
      </c>
      <c r="H239" t="s">
        <v>57</v>
      </c>
      <c r="I239">
        <v>2</v>
      </c>
      <c r="J239">
        <v>2</v>
      </c>
      <c r="K239">
        <v>0</v>
      </c>
      <c r="L239">
        <v>55.59</v>
      </c>
      <c r="M239">
        <v>31347</v>
      </c>
      <c r="N239">
        <v>18</v>
      </c>
      <c r="O239">
        <v>12</v>
      </c>
      <c r="P239">
        <v>12</v>
      </c>
      <c r="Q239">
        <v>12</v>
      </c>
      <c r="R239">
        <v>12</v>
      </c>
      <c r="S239">
        <v>211</v>
      </c>
      <c r="T239">
        <v>211</v>
      </c>
      <c r="U239">
        <v>12</v>
      </c>
      <c r="V239">
        <v>8</v>
      </c>
      <c r="W239">
        <v>9</v>
      </c>
      <c r="X239">
        <v>10</v>
      </c>
      <c r="Y239">
        <v>11</v>
      </c>
      <c r="Z239">
        <v>12</v>
      </c>
      <c r="AA239">
        <v>12</v>
      </c>
      <c r="AB239">
        <v>12</v>
      </c>
      <c r="AC239">
        <v>12</v>
      </c>
      <c r="AD239">
        <v>11</v>
      </c>
      <c r="AE239">
        <v>17</v>
      </c>
      <c r="AF239">
        <v>29</v>
      </c>
      <c r="AG239">
        <v>30</v>
      </c>
      <c r="AH239">
        <v>25</v>
      </c>
      <c r="AI239">
        <v>28</v>
      </c>
      <c r="AJ239">
        <v>37</v>
      </c>
      <c r="AK239">
        <v>34</v>
      </c>
      <c r="AL239">
        <v>37643640</v>
      </c>
      <c r="AM239">
        <v>46334288</v>
      </c>
      <c r="AN239">
        <v>94798968</v>
      </c>
      <c r="AO239">
        <v>93244000</v>
      </c>
      <c r="AP239">
        <v>138272016</v>
      </c>
      <c r="AQ239">
        <v>147556352</v>
      </c>
      <c r="AR239">
        <v>146959712</v>
      </c>
      <c r="AS239">
        <v>99963176</v>
      </c>
      <c r="AT239" s="23" t="s">
        <v>350</v>
      </c>
      <c r="AU239" s="18">
        <v>36210096</v>
      </c>
      <c r="AV239" s="18">
        <v>43718948</v>
      </c>
      <c r="AW239" s="19">
        <v>88805256</v>
      </c>
      <c r="AX239" s="19">
        <v>94048696</v>
      </c>
      <c r="AY239" s="20">
        <v>70331368</v>
      </c>
      <c r="AZ239" s="20">
        <v>81667152</v>
      </c>
      <c r="BA239" s="21">
        <v>105518352</v>
      </c>
      <c r="BB239" s="21">
        <v>115898376</v>
      </c>
    </row>
    <row r="240" spans="1:54">
      <c r="A240">
        <v>20190</v>
      </c>
      <c r="B240" t="s">
        <v>548</v>
      </c>
      <c r="C240" t="s">
        <v>549</v>
      </c>
      <c r="D240" t="s">
        <v>550</v>
      </c>
      <c r="F240" t="s">
        <v>551</v>
      </c>
      <c r="G240">
        <v>268.12400000000002</v>
      </c>
      <c r="H240" t="s">
        <v>57</v>
      </c>
      <c r="I240">
        <v>2</v>
      </c>
      <c r="J240">
        <v>3</v>
      </c>
      <c r="K240">
        <v>0</v>
      </c>
      <c r="L240">
        <v>15.31</v>
      </c>
      <c r="M240">
        <v>64421</v>
      </c>
      <c r="N240">
        <v>37</v>
      </c>
      <c r="O240">
        <v>8</v>
      </c>
      <c r="P240">
        <v>8</v>
      </c>
      <c r="Q240">
        <v>8</v>
      </c>
      <c r="R240">
        <v>8</v>
      </c>
      <c r="S240">
        <v>28</v>
      </c>
      <c r="T240">
        <v>28</v>
      </c>
      <c r="U240">
        <v>8</v>
      </c>
      <c r="V240">
        <v>6</v>
      </c>
      <c r="W240">
        <v>7</v>
      </c>
      <c r="X240">
        <v>8</v>
      </c>
      <c r="Y240">
        <v>8</v>
      </c>
      <c r="Z240">
        <v>8</v>
      </c>
      <c r="AA240">
        <v>8</v>
      </c>
      <c r="AB240">
        <v>8</v>
      </c>
      <c r="AC240">
        <v>8</v>
      </c>
      <c r="AD240">
        <v>2</v>
      </c>
      <c r="AE240">
        <v>1</v>
      </c>
      <c r="AF240">
        <v>5</v>
      </c>
      <c r="AG240">
        <v>4</v>
      </c>
      <c r="AH240">
        <v>2</v>
      </c>
      <c r="AI240">
        <v>4</v>
      </c>
      <c r="AJ240">
        <v>6</v>
      </c>
      <c r="AK240">
        <v>4</v>
      </c>
      <c r="AL240">
        <v>6592169.5</v>
      </c>
      <c r="AM240">
        <v>10644797</v>
      </c>
      <c r="AN240">
        <v>16158400</v>
      </c>
      <c r="AO240">
        <v>14621720</v>
      </c>
      <c r="AP240">
        <v>17158268</v>
      </c>
      <c r="AQ240">
        <v>16334774</v>
      </c>
      <c r="AR240">
        <v>18669504</v>
      </c>
      <c r="AS240">
        <v>12132113</v>
      </c>
      <c r="AT240" s="23" t="s">
        <v>549</v>
      </c>
      <c r="AU240" s="18">
        <v>7659790</v>
      </c>
      <c r="AV240" s="18">
        <v>7665721.5</v>
      </c>
      <c r="AW240" s="19">
        <v>12534449</v>
      </c>
      <c r="AX240" s="19">
        <v>12717089</v>
      </c>
      <c r="AY240" s="20">
        <v>6707185.5</v>
      </c>
      <c r="AZ240" s="20">
        <v>7015992</v>
      </c>
      <c r="BA240" s="21">
        <v>9803924</v>
      </c>
      <c r="BB240" s="21">
        <v>9783749</v>
      </c>
    </row>
    <row r="241" spans="1:54">
      <c r="A241">
        <v>20237</v>
      </c>
      <c r="B241" t="s">
        <v>1224</v>
      </c>
      <c r="C241" t="s">
        <v>1225</v>
      </c>
      <c r="D241" t="s">
        <v>1226</v>
      </c>
      <c r="F241" t="s">
        <v>1227</v>
      </c>
      <c r="G241">
        <v>9.266</v>
      </c>
      <c r="H241" t="s">
        <v>57</v>
      </c>
      <c r="I241">
        <v>2</v>
      </c>
      <c r="J241">
        <v>2</v>
      </c>
      <c r="K241">
        <v>0</v>
      </c>
      <c r="L241">
        <v>7.18</v>
      </c>
      <c r="M241">
        <v>20315</v>
      </c>
      <c r="N241">
        <v>10</v>
      </c>
      <c r="O241">
        <v>1</v>
      </c>
      <c r="P241">
        <v>1</v>
      </c>
      <c r="Q241">
        <v>1</v>
      </c>
      <c r="R241">
        <v>1</v>
      </c>
      <c r="S241">
        <v>2</v>
      </c>
      <c r="T241">
        <v>2</v>
      </c>
      <c r="U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M241">
        <v>672163.5</v>
      </c>
      <c r="AN241">
        <v>712470.19</v>
      </c>
      <c r="AO241">
        <v>790759.62</v>
      </c>
      <c r="AP241">
        <v>976466.81</v>
      </c>
      <c r="AQ241">
        <v>1209774</v>
      </c>
      <c r="AS241">
        <v>469385.72</v>
      </c>
      <c r="AT241" s="23" t="s">
        <v>1225</v>
      </c>
      <c r="AU241" s="18">
        <v>49505.43</v>
      </c>
      <c r="AV241" s="18">
        <v>518723.53</v>
      </c>
      <c r="AW241" s="19">
        <v>550098.62</v>
      </c>
      <c r="AX241" s="19">
        <v>703205.56</v>
      </c>
      <c r="AY241" s="20">
        <v>393199.47</v>
      </c>
      <c r="AZ241" s="20">
        <v>520060.15999999997</v>
      </c>
      <c r="BA241" s="21">
        <v>199295.7</v>
      </c>
      <c r="BB241" s="21">
        <v>368409.59</v>
      </c>
    </row>
    <row r="242" spans="1:54">
      <c r="A242">
        <v>19991</v>
      </c>
      <c r="B242" t="s">
        <v>1008</v>
      </c>
      <c r="C242" t="s">
        <v>1009</v>
      </c>
      <c r="D242" t="s">
        <v>1010</v>
      </c>
      <c r="F242" t="s">
        <v>1011</v>
      </c>
      <c r="G242">
        <v>28.831</v>
      </c>
      <c r="H242" t="s">
        <v>57</v>
      </c>
      <c r="I242">
        <v>2</v>
      </c>
      <c r="J242">
        <v>3</v>
      </c>
      <c r="K242">
        <v>0</v>
      </c>
      <c r="L242">
        <v>2.44</v>
      </c>
      <c r="M242">
        <v>44175</v>
      </c>
      <c r="N242">
        <v>20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3</v>
      </c>
      <c r="U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1</v>
      </c>
      <c r="AJ242">
        <v>0</v>
      </c>
      <c r="AK242">
        <v>0</v>
      </c>
      <c r="AM242">
        <v>1321989</v>
      </c>
      <c r="AN242">
        <v>866650.56</v>
      </c>
      <c r="AO242">
        <v>1004416.81</v>
      </c>
      <c r="AP242">
        <v>4801168</v>
      </c>
      <c r="AQ242">
        <v>4336725</v>
      </c>
      <c r="AR242">
        <v>817794.44</v>
      </c>
      <c r="AS242">
        <v>628867.12</v>
      </c>
      <c r="AT242" s="23" t="s">
        <v>1009</v>
      </c>
      <c r="AU242" s="18">
        <v>49505.43</v>
      </c>
      <c r="AV242" s="18">
        <v>18935.7</v>
      </c>
      <c r="AW242" s="19">
        <v>20085.28</v>
      </c>
      <c r="AX242" s="19">
        <v>1752294.25</v>
      </c>
      <c r="AY242" s="20">
        <v>4746559</v>
      </c>
      <c r="AZ242" s="20">
        <v>4302763.5</v>
      </c>
      <c r="BA242" s="21">
        <v>819614.69</v>
      </c>
      <c r="BB242" s="21">
        <v>993378.12</v>
      </c>
    </row>
    <row r="243" spans="1:54">
      <c r="A243">
        <v>20083</v>
      </c>
      <c r="B243" t="s">
        <v>231</v>
      </c>
      <c r="C243" t="s">
        <v>232</v>
      </c>
      <c r="D243" t="s">
        <v>233</v>
      </c>
      <c r="F243" t="s">
        <v>234</v>
      </c>
      <c r="G243">
        <v>859.05899999999997</v>
      </c>
      <c r="H243" t="s">
        <v>57</v>
      </c>
      <c r="I243">
        <v>2</v>
      </c>
      <c r="J243">
        <v>21</v>
      </c>
      <c r="K243">
        <v>0</v>
      </c>
      <c r="L243">
        <v>66.739999999999995</v>
      </c>
      <c r="M243">
        <v>48413</v>
      </c>
      <c r="N243">
        <v>28</v>
      </c>
      <c r="O243">
        <v>25</v>
      </c>
      <c r="P243">
        <v>25</v>
      </c>
      <c r="Q243">
        <v>25</v>
      </c>
      <c r="R243">
        <v>25</v>
      </c>
      <c r="S243">
        <v>380</v>
      </c>
      <c r="T243">
        <v>380</v>
      </c>
      <c r="U243">
        <v>25</v>
      </c>
      <c r="V243">
        <v>22</v>
      </c>
      <c r="W243">
        <v>24</v>
      </c>
      <c r="X243">
        <v>23</v>
      </c>
      <c r="Y243">
        <v>25</v>
      </c>
      <c r="Z243">
        <v>23</v>
      </c>
      <c r="AA243">
        <v>23</v>
      </c>
      <c r="AB243">
        <v>24</v>
      </c>
      <c r="AC243">
        <v>24</v>
      </c>
      <c r="AD243">
        <v>55</v>
      </c>
      <c r="AE243">
        <v>57</v>
      </c>
      <c r="AF243">
        <v>58</v>
      </c>
      <c r="AG243">
        <v>60</v>
      </c>
      <c r="AH243">
        <v>28</v>
      </c>
      <c r="AI243">
        <v>30</v>
      </c>
      <c r="AJ243">
        <v>47</v>
      </c>
      <c r="AK243">
        <v>45</v>
      </c>
      <c r="AL243">
        <v>821212224</v>
      </c>
      <c r="AM243">
        <v>902442816</v>
      </c>
      <c r="AN243">
        <v>940716544</v>
      </c>
      <c r="AO243">
        <v>897058368</v>
      </c>
      <c r="AP243">
        <v>470684800</v>
      </c>
      <c r="AQ243">
        <v>469154464</v>
      </c>
      <c r="AR243">
        <v>975671744</v>
      </c>
      <c r="AS243">
        <v>624926784</v>
      </c>
      <c r="AT243" s="23" t="s">
        <v>232</v>
      </c>
      <c r="AU243" s="18">
        <v>796694208</v>
      </c>
      <c r="AV243" s="18">
        <v>722260736</v>
      </c>
      <c r="AW243" s="19">
        <v>766122496</v>
      </c>
      <c r="AX243" s="19">
        <v>855291072</v>
      </c>
      <c r="AY243" s="20">
        <v>191084768</v>
      </c>
      <c r="AZ243" s="20">
        <v>209773840</v>
      </c>
      <c r="BA243" s="21">
        <v>577447680</v>
      </c>
      <c r="BB243" s="21">
        <v>544570624</v>
      </c>
    </row>
    <row r="244" spans="1:54">
      <c r="A244">
        <v>20019</v>
      </c>
      <c r="B244" t="s">
        <v>689</v>
      </c>
      <c r="C244" t="s">
        <v>690</v>
      </c>
      <c r="D244" t="s">
        <v>691</v>
      </c>
      <c r="F244" t="s">
        <v>692</v>
      </c>
      <c r="G244">
        <v>141.47900000000001</v>
      </c>
      <c r="H244" t="s">
        <v>57</v>
      </c>
      <c r="I244">
        <v>2</v>
      </c>
      <c r="J244">
        <v>3</v>
      </c>
      <c r="K244">
        <v>0</v>
      </c>
      <c r="L244">
        <v>22.36</v>
      </c>
      <c r="M244">
        <v>17688</v>
      </c>
      <c r="N244">
        <v>11</v>
      </c>
      <c r="O244">
        <v>3</v>
      </c>
      <c r="P244">
        <v>3</v>
      </c>
      <c r="Q244">
        <v>3</v>
      </c>
      <c r="R244">
        <v>3</v>
      </c>
      <c r="S244">
        <v>20</v>
      </c>
      <c r="T244">
        <v>20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4</v>
      </c>
      <c r="AF244">
        <v>4</v>
      </c>
      <c r="AG244">
        <v>3</v>
      </c>
      <c r="AH244">
        <v>4</v>
      </c>
      <c r="AI244">
        <v>2</v>
      </c>
      <c r="AJ244">
        <v>0</v>
      </c>
      <c r="AK244">
        <v>0</v>
      </c>
      <c r="AL244">
        <v>9412238</v>
      </c>
      <c r="AM244">
        <v>12585446</v>
      </c>
      <c r="AN244">
        <v>5297729</v>
      </c>
      <c r="AO244">
        <v>4477192</v>
      </c>
      <c r="AP244">
        <v>13140250</v>
      </c>
      <c r="AQ244">
        <v>10298239</v>
      </c>
      <c r="AR244">
        <v>2258501.75</v>
      </c>
      <c r="AS244">
        <v>2146726.25</v>
      </c>
      <c r="AT244" s="23" t="s">
        <v>690</v>
      </c>
      <c r="AU244" s="18">
        <v>12793272</v>
      </c>
      <c r="AV244" s="18">
        <v>11414145</v>
      </c>
      <c r="AW244" s="19">
        <v>4865025.5</v>
      </c>
      <c r="AX244" s="19">
        <v>5360645.5</v>
      </c>
      <c r="AY244" s="20">
        <v>6821637.5</v>
      </c>
      <c r="AZ244" s="20">
        <v>6200209</v>
      </c>
      <c r="BA244" s="21">
        <v>1532493.38</v>
      </c>
      <c r="BB244" s="21">
        <v>1684543.88</v>
      </c>
    </row>
    <row r="245" spans="1:54">
      <c r="A245">
        <v>20035</v>
      </c>
      <c r="B245" t="s">
        <v>473</v>
      </c>
      <c r="C245" t="s">
        <v>474</v>
      </c>
      <c r="D245" t="s">
        <v>475</v>
      </c>
      <c r="F245" t="s">
        <v>476</v>
      </c>
      <c r="G245">
        <v>339.31599999999997</v>
      </c>
      <c r="H245" t="s">
        <v>57</v>
      </c>
      <c r="I245">
        <v>2</v>
      </c>
      <c r="J245">
        <v>3</v>
      </c>
      <c r="K245">
        <v>0</v>
      </c>
      <c r="L245">
        <v>67.349999999999994</v>
      </c>
      <c r="M245">
        <v>20852</v>
      </c>
      <c r="N245">
        <v>5</v>
      </c>
      <c r="O245">
        <v>6</v>
      </c>
      <c r="P245">
        <v>6</v>
      </c>
      <c r="Q245">
        <v>6</v>
      </c>
      <c r="R245">
        <v>6</v>
      </c>
      <c r="S245">
        <v>120</v>
      </c>
      <c r="T245">
        <v>120</v>
      </c>
      <c r="U245">
        <v>6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6</v>
      </c>
      <c r="AB245">
        <v>6</v>
      </c>
      <c r="AC245">
        <v>4</v>
      </c>
      <c r="AD245">
        <v>9</v>
      </c>
      <c r="AE245">
        <v>8</v>
      </c>
      <c r="AF245">
        <v>23</v>
      </c>
      <c r="AG245">
        <v>19</v>
      </c>
      <c r="AH245">
        <v>14</v>
      </c>
      <c r="AI245">
        <v>16</v>
      </c>
      <c r="AJ245">
        <v>23</v>
      </c>
      <c r="AK245">
        <v>8</v>
      </c>
      <c r="AL245">
        <v>27026676</v>
      </c>
      <c r="AM245">
        <v>40801852</v>
      </c>
      <c r="AN245">
        <v>87579472</v>
      </c>
      <c r="AO245">
        <v>88651344</v>
      </c>
      <c r="AP245">
        <v>76064680</v>
      </c>
      <c r="AQ245">
        <v>87345728</v>
      </c>
      <c r="AR245">
        <v>131869816</v>
      </c>
      <c r="AS245">
        <v>83721552</v>
      </c>
      <c r="AT245" s="23" t="s">
        <v>474</v>
      </c>
      <c r="AU245" s="18">
        <v>22502754</v>
      </c>
      <c r="AV245" s="18">
        <v>29570104</v>
      </c>
      <c r="AW245" s="19">
        <v>68883912</v>
      </c>
      <c r="AX245" s="19">
        <v>80717096</v>
      </c>
      <c r="AY245" s="20">
        <v>32525066</v>
      </c>
      <c r="AZ245" s="20">
        <v>44708856</v>
      </c>
      <c r="BA245" s="21">
        <v>80709592</v>
      </c>
      <c r="BB245" s="21">
        <v>64732224</v>
      </c>
    </row>
    <row r="246" spans="1:54">
      <c r="A246">
        <v>20076</v>
      </c>
      <c r="B246" t="s">
        <v>646</v>
      </c>
      <c r="C246" t="s">
        <v>647</v>
      </c>
      <c r="D246" t="s">
        <v>648</v>
      </c>
      <c r="F246" t="s">
        <v>649</v>
      </c>
      <c r="G246">
        <v>163.36600000000001</v>
      </c>
      <c r="H246" t="s">
        <v>57</v>
      </c>
      <c r="I246">
        <v>2</v>
      </c>
      <c r="J246">
        <v>21</v>
      </c>
      <c r="K246">
        <v>0</v>
      </c>
      <c r="L246">
        <v>30</v>
      </c>
      <c r="M246">
        <v>18268</v>
      </c>
      <c r="N246">
        <v>8</v>
      </c>
      <c r="O246">
        <v>6</v>
      </c>
      <c r="P246">
        <v>6</v>
      </c>
      <c r="Q246">
        <v>6</v>
      </c>
      <c r="R246">
        <v>6</v>
      </c>
      <c r="S246">
        <v>93</v>
      </c>
      <c r="T246">
        <v>93</v>
      </c>
      <c r="U246">
        <v>6</v>
      </c>
      <c r="V246">
        <v>4</v>
      </c>
      <c r="W246">
        <v>4</v>
      </c>
      <c r="X246">
        <v>5</v>
      </c>
      <c r="Y246">
        <v>5</v>
      </c>
      <c r="Z246">
        <v>6</v>
      </c>
      <c r="AA246">
        <v>6</v>
      </c>
      <c r="AB246">
        <v>6</v>
      </c>
      <c r="AC246">
        <v>5</v>
      </c>
      <c r="AD246">
        <v>11</v>
      </c>
      <c r="AE246">
        <v>11</v>
      </c>
      <c r="AF246">
        <v>12</v>
      </c>
      <c r="AG246">
        <v>12</v>
      </c>
      <c r="AH246">
        <v>13</v>
      </c>
      <c r="AI246">
        <v>16</v>
      </c>
      <c r="AJ246">
        <v>11</v>
      </c>
      <c r="AK246">
        <v>7</v>
      </c>
      <c r="AL246">
        <v>66391692</v>
      </c>
      <c r="AM246">
        <v>75055136</v>
      </c>
      <c r="AN246">
        <v>71754248</v>
      </c>
      <c r="AO246">
        <v>62712444</v>
      </c>
      <c r="AP246">
        <v>158439104</v>
      </c>
      <c r="AQ246">
        <v>149876944</v>
      </c>
      <c r="AR246">
        <v>72477616</v>
      </c>
      <c r="AS246">
        <v>39520052</v>
      </c>
      <c r="AT246" s="23" t="s">
        <v>647</v>
      </c>
      <c r="AU246" s="18">
        <v>6222466.5</v>
      </c>
      <c r="AV246" s="18">
        <v>4142222</v>
      </c>
      <c r="AW246" s="19">
        <v>11277149</v>
      </c>
      <c r="AX246" s="19">
        <v>8829970</v>
      </c>
      <c r="AY246" s="20">
        <v>155213792</v>
      </c>
      <c r="AZ246" s="20">
        <v>110948760</v>
      </c>
      <c r="BA246" s="21">
        <v>61576072</v>
      </c>
      <c r="BB246" s="21">
        <v>45032588</v>
      </c>
    </row>
    <row r="247" spans="1:54">
      <c r="A247">
        <v>20162</v>
      </c>
      <c r="B247" t="s">
        <v>497</v>
      </c>
      <c r="C247" t="s">
        <v>498</v>
      </c>
      <c r="D247" t="s">
        <v>499</v>
      </c>
      <c r="F247" t="s">
        <v>500</v>
      </c>
      <c r="G247">
        <v>317.69400000000002</v>
      </c>
      <c r="H247" t="s">
        <v>57</v>
      </c>
      <c r="I247">
        <v>2</v>
      </c>
      <c r="J247">
        <v>2</v>
      </c>
      <c r="K247">
        <v>0</v>
      </c>
      <c r="L247">
        <v>24.74</v>
      </c>
      <c r="M247">
        <v>43659</v>
      </c>
      <c r="N247">
        <v>19</v>
      </c>
      <c r="O247">
        <v>7</v>
      </c>
      <c r="P247">
        <v>7</v>
      </c>
      <c r="Q247">
        <v>7</v>
      </c>
      <c r="R247">
        <v>7</v>
      </c>
      <c r="S247">
        <v>16</v>
      </c>
      <c r="T247">
        <v>16</v>
      </c>
      <c r="U247">
        <v>7</v>
      </c>
      <c r="V247">
        <v>4</v>
      </c>
      <c r="W247">
        <v>4</v>
      </c>
      <c r="X247">
        <v>1</v>
      </c>
      <c r="Y247">
        <v>3</v>
      </c>
      <c r="Z247">
        <v>7</v>
      </c>
      <c r="AA247">
        <v>7</v>
      </c>
      <c r="AB247">
        <v>4</v>
      </c>
      <c r="AC247">
        <v>3</v>
      </c>
      <c r="AD247">
        <v>1</v>
      </c>
      <c r="AE247">
        <v>1</v>
      </c>
      <c r="AF247">
        <v>0</v>
      </c>
      <c r="AG247">
        <v>0</v>
      </c>
      <c r="AH247">
        <v>8</v>
      </c>
      <c r="AI247">
        <v>6</v>
      </c>
      <c r="AJ247">
        <v>0</v>
      </c>
      <c r="AK247">
        <v>0</v>
      </c>
      <c r="AL247">
        <v>5018908</v>
      </c>
      <c r="AM247">
        <v>3267186</v>
      </c>
      <c r="AN247">
        <v>619508.88</v>
      </c>
      <c r="AO247">
        <v>1424178.88</v>
      </c>
      <c r="AP247">
        <v>31475514</v>
      </c>
      <c r="AQ247">
        <v>26676012</v>
      </c>
      <c r="AR247">
        <v>2047005.25</v>
      </c>
      <c r="AS247">
        <v>1555547.5</v>
      </c>
      <c r="AT247" s="23" t="s">
        <v>498</v>
      </c>
      <c r="AU247" s="18">
        <v>2711086.75</v>
      </c>
      <c r="AV247" s="18">
        <v>3987404.5</v>
      </c>
      <c r="AW247" s="19">
        <v>20692.05</v>
      </c>
      <c r="AX247" s="19">
        <v>363888.56</v>
      </c>
      <c r="AY247" s="20">
        <v>18043556</v>
      </c>
      <c r="AZ247" s="20">
        <v>14632340</v>
      </c>
      <c r="BA247" s="21">
        <v>511733.56</v>
      </c>
      <c r="BB247" s="21">
        <v>199918.95</v>
      </c>
    </row>
    <row r="248" spans="1:54">
      <c r="A248">
        <v>20089</v>
      </c>
      <c r="B248" t="s">
        <v>752</v>
      </c>
      <c r="C248" t="s">
        <v>753</v>
      </c>
      <c r="D248" t="s">
        <v>754</v>
      </c>
      <c r="F248" t="s">
        <v>755</v>
      </c>
      <c r="G248">
        <v>113.634</v>
      </c>
      <c r="H248" t="s">
        <v>57</v>
      </c>
      <c r="I248">
        <v>2</v>
      </c>
      <c r="J248">
        <v>2</v>
      </c>
      <c r="K248">
        <v>0</v>
      </c>
      <c r="L248">
        <v>11.76</v>
      </c>
      <c r="M248">
        <v>35371</v>
      </c>
      <c r="N248">
        <v>25</v>
      </c>
      <c r="O248">
        <v>3</v>
      </c>
      <c r="P248">
        <v>3</v>
      </c>
      <c r="Q248">
        <v>3</v>
      </c>
      <c r="R248">
        <v>3</v>
      </c>
      <c r="S248">
        <v>4</v>
      </c>
      <c r="T248">
        <v>4</v>
      </c>
      <c r="U248">
        <v>3</v>
      </c>
      <c r="V248">
        <v>1</v>
      </c>
      <c r="W248">
        <v>1</v>
      </c>
      <c r="Z248">
        <v>3</v>
      </c>
      <c r="AA248">
        <v>3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2</v>
      </c>
      <c r="AJ248">
        <v>0</v>
      </c>
      <c r="AK248">
        <v>0</v>
      </c>
      <c r="AL248">
        <v>747001</v>
      </c>
      <c r="AM248">
        <v>465693.94</v>
      </c>
      <c r="AP248">
        <v>11195318</v>
      </c>
      <c r="AQ248">
        <v>8563059</v>
      </c>
      <c r="AR248">
        <v>655710.18999999994</v>
      </c>
      <c r="AS248">
        <v>422440.19</v>
      </c>
      <c r="AT248" s="23" t="s">
        <v>753</v>
      </c>
      <c r="AU248" s="18">
        <v>25449.919999999998</v>
      </c>
      <c r="AV248" s="18">
        <v>12316.51</v>
      </c>
      <c r="AW248" s="19">
        <v>213953.23</v>
      </c>
      <c r="AX248" s="19">
        <v>170153.38</v>
      </c>
      <c r="AY248" s="20">
        <v>5184991.5</v>
      </c>
      <c r="AZ248" s="20">
        <v>4398773.5</v>
      </c>
      <c r="BA248" s="21">
        <v>10940.52</v>
      </c>
      <c r="BB248" s="21">
        <v>11581.04</v>
      </c>
    </row>
    <row r="249" spans="1:54">
      <c r="A249">
        <v>20202</v>
      </c>
      <c r="B249" t="s">
        <v>925</v>
      </c>
      <c r="C249" t="s">
        <v>926</v>
      </c>
      <c r="D249" t="s">
        <v>927</v>
      </c>
      <c r="F249" t="s">
        <v>928</v>
      </c>
      <c r="G249">
        <v>43.436999999999998</v>
      </c>
      <c r="H249" t="s">
        <v>57</v>
      </c>
      <c r="I249">
        <v>2</v>
      </c>
      <c r="J249">
        <v>2</v>
      </c>
      <c r="K249">
        <v>0</v>
      </c>
      <c r="L249">
        <v>13.44</v>
      </c>
      <c r="M249">
        <v>21886</v>
      </c>
      <c r="N249">
        <v>13</v>
      </c>
      <c r="O249">
        <v>2</v>
      </c>
      <c r="P249">
        <v>2</v>
      </c>
      <c r="Q249">
        <v>2</v>
      </c>
      <c r="R249">
        <v>2</v>
      </c>
      <c r="S249">
        <v>3</v>
      </c>
      <c r="T249">
        <v>3</v>
      </c>
      <c r="U249">
        <v>2</v>
      </c>
      <c r="W249">
        <v>1</v>
      </c>
      <c r="X249">
        <v>1</v>
      </c>
      <c r="Y249">
        <v>1</v>
      </c>
      <c r="Z249">
        <v>2</v>
      </c>
      <c r="AA249">
        <v>2</v>
      </c>
      <c r="AB249">
        <v>2</v>
      </c>
      <c r="AC249">
        <v>2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2</v>
      </c>
      <c r="AJ249">
        <v>1</v>
      </c>
      <c r="AK249">
        <v>0</v>
      </c>
      <c r="AM249">
        <v>1135269.6200000001</v>
      </c>
      <c r="AN249">
        <v>1281131</v>
      </c>
      <c r="AO249">
        <v>1023826.62</v>
      </c>
      <c r="AP249">
        <v>2720558.25</v>
      </c>
      <c r="AQ249">
        <v>3202945.5</v>
      </c>
      <c r="AR249">
        <v>2114441</v>
      </c>
      <c r="AS249">
        <v>1731921.38</v>
      </c>
      <c r="AT249" s="23" t="s">
        <v>926</v>
      </c>
      <c r="AU249" s="18">
        <v>49505.43</v>
      </c>
      <c r="AV249" s="18">
        <v>38230.660000000003</v>
      </c>
      <c r="AW249" s="19">
        <v>46554.43</v>
      </c>
      <c r="AX249" s="19">
        <v>44291.57</v>
      </c>
      <c r="AY249" s="20">
        <v>1762834</v>
      </c>
      <c r="AZ249" s="20">
        <v>2023998.88</v>
      </c>
      <c r="BA249" s="21">
        <v>1730567.5</v>
      </c>
      <c r="BB249" s="21">
        <v>1837065.75</v>
      </c>
    </row>
    <row r="250" spans="1:54">
      <c r="A250">
        <v>20224</v>
      </c>
      <c r="B250" t="s">
        <v>1232</v>
      </c>
      <c r="C250" t="s">
        <v>1233</v>
      </c>
      <c r="D250" t="s">
        <v>1234</v>
      </c>
      <c r="F250" t="s">
        <v>1235</v>
      </c>
      <c r="G250">
        <v>8.3650000000000002</v>
      </c>
      <c r="H250" t="s">
        <v>57</v>
      </c>
      <c r="I250">
        <v>2</v>
      </c>
      <c r="J250">
        <v>2</v>
      </c>
      <c r="K250">
        <v>0</v>
      </c>
      <c r="L250">
        <v>1.57</v>
      </c>
      <c r="M250">
        <v>79341</v>
      </c>
      <c r="N250">
        <v>39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788154.5</v>
      </c>
      <c r="AM250">
        <v>1137982</v>
      </c>
      <c r="AN250">
        <v>1042478.5</v>
      </c>
      <c r="AO250">
        <v>995219.75</v>
      </c>
      <c r="AP250">
        <v>1983839.62</v>
      </c>
      <c r="AQ250">
        <v>1003727.5</v>
      </c>
      <c r="AR250">
        <v>1164306.1200000001</v>
      </c>
      <c r="AS250">
        <v>853257.31</v>
      </c>
      <c r="AT250" s="23" t="s">
        <v>1233</v>
      </c>
      <c r="AU250" s="18">
        <v>788154.5</v>
      </c>
      <c r="AV250" s="18">
        <v>878206</v>
      </c>
      <c r="AW250" s="19">
        <v>804898.25</v>
      </c>
      <c r="AX250" s="19">
        <v>885027.5</v>
      </c>
      <c r="AY250" s="20">
        <v>798844.06</v>
      </c>
      <c r="AZ250" s="20">
        <v>431484.47</v>
      </c>
      <c r="BA250" s="21">
        <v>623433</v>
      </c>
      <c r="BB250" s="21">
        <v>669701.18999999994</v>
      </c>
    </row>
    <row r="251" spans="1:54">
      <c r="A251">
        <v>20163</v>
      </c>
      <c r="B251" t="s">
        <v>946</v>
      </c>
      <c r="C251" t="s">
        <v>947</v>
      </c>
      <c r="D251" t="s">
        <v>948</v>
      </c>
      <c r="F251" t="s">
        <v>949</v>
      </c>
      <c r="G251">
        <v>41.253</v>
      </c>
      <c r="H251" t="s">
        <v>57</v>
      </c>
      <c r="I251">
        <v>2</v>
      </c>
      <c r="J251">
        <v>5</v>
      </c>
      <c r="K251">
        <v>0</v>
      </c>
      <c r="L251">
        <v>22.22</v>
      </c>
      <c r="M251">
        <v>5095</v>
      </c>
      <c r="N251">
        <v>3</v>
      </c>
      <c r="O251">
        <v>1</v>
      </c>
      <c r="P251">
        <v>1</v>
      </c>
      <c r="Q251">
        <v>1</v>
      </c>
      <c r="R251">
        <v>1</v>
      </c>
      <c r="S251">
        <v>15</v>
      </c>
      <c r="T251">
        <v>15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1</v>
      </c>
      <c r="AL251">
        <v>12427780</v>
      </c>
      <c r="AM251">
        <v>14872508</v>
      </c>
      <c r="AN251">
        <v>12396366</v>
      </c>
      <c r="AO251">
        <v>13161624</v>
      </c>
      <c r="AP251">
        <v>28863086</v>
      </c>
      <c r="AQ251">
        <v>23108538</v>
      </c>
      <c r="AR251">
        <v>8114743.5</v>
      </c>
      <c r="AS251">
        <v>5546748</v>
      </c>
      <c r="AT251" s="23" t="s">
        <v>947</v>
      </c>
      <c r="AU251" s="18">
        <v>12427780</v>
      </c>
      <c r="AV251" s="18">
        <v>11477446</v>
      </c>
      <c r="AW251" s="19">
        <v>9571242</v>
      </c>
      <c r="AX251" s="19">
        <v>11704349</v>
      </c>
      <c r="AY251" s="20">
        <v>11622465</v>
      </c>
      <c r="AZ251" s="20">
        <v>9933947</v>
      </c>
      <c r="BA251" s="21">
        <v>4345076.5</v>
      </c>
      <c r="BB251" s="21">
        <v>4353509.5</v>
      </c>
    </row>
    <row r="252" spans="1:54">
      <c r="A252">
        <v>20195</v>
      </c>
      <c r="B252" t="s">
        <v>909</v>
      </c>
      <c r="C252" t="s">
        <v>910</v>
      </c>
      <c r="D252" t="s">
        <v>911</v>
      </c>
      <c r="F252" t="s">
        <v>912</v>
      </c>
      <c r="G252">
        <v>48.734000000000002</v>
      </c>
      <c r="H252" t="s">
        <v>57</v>
      </c>
      <c r="I252">
        <v>2</v>
      </c>
      <c r="J252">
        <v>3</v>
      </c>
      <c r="K252">
        <v>0</v>
      </c>
      <c r="L252">
        <v>7.87</v>
      </c>
      <c r="M252">
        <v>18974</v>
      </c>
      <c r="N252">
        <v>10</v>
      </c>
      <c r="O252">
        <v>1</v>
      </c>
      <c r="P252">
        <v>1</v>
      </c>
      <c r="Q252">
        <v>1</v>
      </c>
      <c r="R252">
        <v>1</v>
      </c>
      <c r="S252">
        <v>2</v>
      </c>
      <c r="T252">
        <v>2</v>
      </c>
      <c r="U252">
        <v>1</v>
      </c>
      <c r="V252">
        <v>1</v>
      </c>
      <c r="W252">
        <v>1</v>
      </c>
      <c r="X252">
        <v>1</v>
      </c>
      <c r="Z252">
        <v>1</v>
      </c>
      <c r="AA252">
        <v>1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1179749.25</v>
      </c>
      <c r="AM252">
        <v>1382865.75</v>
      </c>
      <c r="AN252">
        <v>677975.69</v>
      </c>
      <c r="AP252">
        <v>1109121.25</v>
      </c>
      <c r="AQ252">
        <v>1392511.5</v>
      </c>
      <c r="AT252" s="23" t="s">
        <v>910</v>
      </c>
      <c r="AU252" s="18">
        <v>1179749.25</v>
      </c>
      <c r="AV252" s="18">
        <v>1067188.25</v>
      </c>
      <c r="AW252" s="19">
        <v>523465.38</v>
      </c>
      <c r="AX252" s="19">
        <v>170153.38</v>
      </c>
      <c r="AY252" s="20">
        <v>446616.22</v>
      </c>
      <c r="AZ252" s="20">
        <v>598615.75</v>
      </c>
      <c r="BA252" s="21">
        <v>199295.7</v>
      </c>
      <c r="BB252" s="21">
        <v>212391.23</v>
      </c>
    </row>
    <row r="253" spans="1:54">
      <c r="A253">
        <v>20053</v>
      </c>
      <c r="B253" t="s">
        <v>387</v>
      </c>
      <c r="C253" t="s">
        <v>388</v>
      </c>
      <c r="D253" t="s">
        <v>389</v>
      </c>
      <c r="E253" t="s">
        <v>390</v>
      </c>
      <c r="F253" t="s">
        <v>391</v>
      </c>
      <c r="G253">
        <v>488.82499999999999</v>
      </c>
      <c r="H253" t="s">
        <v>57</v>
      </c>
      <c r="I253">
        <v>2</v>
      </c>
      <c r="J253">
        <v>15</v>
      </c>
      <c r="K253">
        <v>6</v>
      </c>
      <c r="L253">
        <v>46.78</v>
      </c>
      <c r="M253">
        <v>51559</v>
      </c>
      <c r="N253">
        <v>27</v>
      </c>
      <c r="O253">
        <v>14</v>
      </c>
      <c r="P253">
        <v>14</v>
      </c>
      <c r="Q253">
        <v>14</v>
      </c>
      <c r="R253">
        <v>14</v>
      </c>
      <c r="S253">
        <v>77</v>
      </c>
      <c r="T253">
        <v>77</v>
      </c>
      <c r="U253">
        <v>14</v>
      </c>
      <c r="V253">
        <v>9</v>
      </c>
      <c r="W253">
        <v>10</v>
      </c>
      <c r="X253">
        <v>11</v>
      </c>
      <c r="Y253">
        <v>14</v>
      </c>
      <c r="Z253">
        <v>14</v>
      </c>
      <c r="AA253">
        <v>14</v>
      </c>
      <c r="AB253">
        <v>14</v>
      </c>
      <c r="AC253">
        <v>14</v>
      </c>
      <c r="AD253">
        <v>3</v>
      </c>
      <c r="AE253">
        <v>4</v>
      </c>
      <c r="AF253">
        <v>9</v>
      </c>
      <c r="AG253">
        <v>17</v>
      </c>
      <c r="AH253">
        <v>8</v>
      </c>
      <c r="AI253">
        <v>8</v>
      </c>
      <c r="AJ253">
        <v>17</v>
      </c>
      <c r="AK253">
        <v>11</v>
      </c>
      <c r="AL253">
        <v>24137116</v>
      </c>
      <c r="AM253">
        <v>30087926</v>
      </c>
      <c r="AN253">
        <v>55162984</v>
      </c>
      <c r="AO253">
        <v>55637560</v>
      </c>
      <c r="AP253">
        <v>71182336</v>
      </c>
      <c r="AQ253">
        <v>71743184</v>
      </c>
      <c r="AR253">
        <v>82303896</v>
      </c>
      <c r="AS253">
        <v>55196668</v>
      </c>
      <c r="AT253" s="23" t="s">
        <v>388</v>
      </c>
      <c r="AU253" s="18">
        <v>14258093</v>
      </c>
      <c r="AV253" s="18">
        <v>24124366</v>
      </c>
      <c r="AW253" s="19">
        <v>43266204</v>
      </c>
      <c r="AX253" s="19">
        <v>54827332</v>
      </c>
      <c r="AY253" s="20">
        <v>33681756</v>
      </c>
      <c r="AZ253" s="20">
        <v>36924992</v>
      </c>
      <c r="BA253" s="21">
        <v>52247224</v>
      </c>
      <c r="BB253" s="21">
        <v>53632420</v>
      </c>
    </row>
    <row r="254" spans="1:54">
      <c r="A254">
        <v>20220</v>
      </c>
      <c r="B254" t="s">
        <v>729</v>
      </c>
      <c r="C254" t="s">
        <v>730</v>
      </c>
      <c r="D254" t="s">
        <v>731</v>
      </c>
      <c r="F254" t="s">
        <v>732</v>
      </c>
      <c r="G254">
        <v>117.496</v>
      </c>
      <c r="H254" t="s">
        <v>57</v>
      </c>
      <c r="I254">
        <v>2</v>
      </c>
      <c r="J254">
        <v>2</v>
      </c>
      <c r="K254">
        <v>0</v>
      </c>
      <c r="L254">
        <v>37.31</v>
      </c>
      <c r="M254">
        <v>15347</v>
      </c>
      <c r="N254">
        <v>9</v>
      </c>
      <c r="O254">
        <v>4</v>
      </c>
      <c r="P254">
        <v>4</v>
      </c>
      <c r="Q254">
        <v>4</v>
      </c>
      <c r="R254">
        <v>4</v>
      </c>
      <c r="S254">
        <v>9</v>
      </c>
      <c r="T254">
        <v>9</v>
      </c>
      <c r="U254">
        <v>4</v>
      </c>
      <c r="V254">
        <v>3</v>
      </c>
      <c r="W254">
        <v>4</v>
      </c>
      <c r="X254">
        <v>2</v>
      </c>
      <c r="Y254">
        <v>2</v>
      </c>
      <c r="Z254">
        <v>2</v>
      </c>
      <c r="AA254">
        <v>2</v>
      </c>
      <c r="AD254">
        <v>2</v>
      </c>
      <c r="AE254">
        <v>3</v>
      </c>
      <c r="AF254">
        <v>0</v>
      </c>
      <c r="AG254">
        <v>0</v>
      </c>
      <c r="AH254">
        <v>2</v>
      </c>
      <c r="AI254">
        <v>2</v>
      </c>
      <c r="AJ254">
        <v>0</v>
      </c>
      <c r="AK254">
        <v>0</v>
      </c>
      <c r="AL254">
        <v>5538283.5</v>
      </c>
      <c r="AM254">
        <v>7339177</v>
      </c>
      <c r="AN254">
        <v>1395649</v>
      </c>
      <c r="AO254">
        <v>1303664.1200000001</v>
      </c>
      <c r="AP254">
        <v>5118380</v>
      </c>
      <c r="AQ254">
        <v>4436185.5</v>
      </c>
      <c r="AT254" s="23" t="s">
        <v>730</v>
      </c>
      <c r="AU254" s="18">
        <v>6408374</v>
      </c>
      <c r="AV254" s="18">
        <v>5950456.5</v>
      </c>
      <c r="AW254" s="19">
        <v>840733.5</v>
      </c>
      <c r="AX254" s="19">
        <v>952839.81</v>
      </c>
      <c r="AY254" s="20">
        <v>1771635.75</v>
      </c>
      <c r="AZ254" s="20">
        <v>1672092.25</v>
      </c>
      <c r="BA254" s="21">
        <v>199295.7</v>
      </c>
      <c r="BB254" s="21">
        <v>212391.23</v>
      </c>
    </row>
    <row r="255" spans="1:54">
      <c r="A255">
        <v>20025</v>
      </c>
      <c r="B255" t="s">
        <v>392</v>
      </c>
      <c r="C255" t="s">
        <v>393</v>
      </c>
      <c r="D255" t="s">
        <v>394</v>
      </c>
      <c r="F255" t="s">
        <v>395</v>
      </c>
      <c r="G255">
        <v>484.34800000000001</v>
      </c>
      <c r="H255" t="s">
        <v>57</v>
      </c>
      <c r="I255">
        <v>2</v>
      </c>
      <c r="J255">
        <v>3</v>
      </c>
      <c r="K255">
        <v>0</v>
      </c>
      <c r="L255">
        <v>24.65</v>
      </c>
      <c r="M255">
        <v>105060</v>
      </c>
      <c r="N255">
        <v>51</v>
      </c>
      <c r="O255">
        <v>18</v>
      </c>
      <c r="P255">
        <v>18</v>
      </c>
      <c r="Q255">
        <v>18</v>
      </c>
      <c r="R255">
        <v>18</v>
      </c>
      <c r="S255">
        <v>68</v>
      </c>
      <c r="T255">
        <v>68</v>
      </c>
      <c r="U255">
        <v>18</v>
      </c>
      <c r="V255">
        <v>8</v>
      </c>
      <c r="W255">
        <v>13</v>
      </c>
      <c r="X255">
        <v>17</v>
      </c>
      <c r="Y255">
        <v>17</v>
      </c>
      <c r="Z255">
        <v>18</v>
      </c>
      <c r="AA255">
        <v>18</v>
      </c>
      <c r="AB255">
        <v>18</v>
      </c>
      <c r="AC255">
        <v>18</v>
      </c>
      <c r="AD255">
        <v>2</v>
      </c>
      <c r="AE255">
        <v>2</v>
      </c>
      <c r="AF255">
        <v>10</v>
      </c>
      <c r="AG255">
        <v>9</v>
      </c>
      <c r="AH255">
        <v>11</v>
      </c>
      <c r="AI255">
        <v>10</v>
      </c>
      <c r="AJ255">
        <v>13</v>
      </c>
      <c r="AK255">
        <v>11</v>
      </c>
      <c r="AL255">
        <v>8032933</v>
      </c>
      <c r="AM255">
        <v>13518410</v>
      </c>
      <c r="AN255">
        <v>27554024</v>
      </c>
      <c r="AO255">
        <v>23748672</v>
      </c>
      <c r="AP255">
        <v>33955224</v>
      </c>
      <c r="AQ255">
        <v>34869684</v>
      </c>
      <c r="AR255">
        <v>38851344</v>
      </c>
      <c r="AS255">
        <v>23482966</v>
      </c>
      <c r="AT255" s="23" t="s">
        <v>393</v>
      </c>
      <c r="AU255" s="18">
        <v>1027757.44</v>
      </c>
      <c r="AV255" s="18">
        <v>8882716</v>
      </c>
      <c r="AW255" s="19">
        <v>22954322</v>
      </c>
      <c r="AX255" s="19">
        <v>22498836</v>
      </c>
      <c r="AY255" s="20">
        <v>15831409</v>
      </c>
      <c r="AZ255" s="20">
        <v>17100352</v>
      </c>
      <c r="BA255" s="21">
        <v>22614964</v>
      </c>
      <c r="BB255" s="21">
        <v>19771512</v>
      </c>
    </row>
    <row r="256" spans="1:54">
      <c r="A256">
        <v>20225</v>
      </c>
      <c r="B256" t="s">
        <v>662</v>
      </c>
      <c r="C256" t="s">
        <v>663</v>
      </c>
      <c r="D256" t="s">
        <v>664</v>
      </c>
      <c r="F256" t="s">
        <v>665</v>
      </c>
      <c r="G256">
        <v>156.66800000000001</v>
      </c>
      <c r="H256" t="s">
        <v>57</v>
      </c>
      <c r="I256">
        <v>2</v>
      </c>
      <c r="J256">
        <v>2</v>
      </c>
      <c r="K256">
        <v>0</v>
      </c>
      <c r="L256">
        <v>21.23</v>
      </c>
      <c r="M256">
        <v>44010</v>
      </c>
      <c r="N256">
        <v>21</v>
      </c>
      <c r="O256">
        <v>7</v>
      </c>
      <c r="P256">
        <v>7</v>
      </c>
      <c r="Q256">
        <v>7</v>
      </c>
      <c r="R256">
        <v>7</v>
      </c>
      <c r="S256">
        <v>27</v>
      </c>
      <c r="T256">
        <v>27</v>
      </c>
      <c r="U256">
        <v>7</v>
      </c>
      <c r="V256">
        <v>4</v>
      </c>
      <c r="W256">
        <v>5</v>
      </c>
      <c r="X256">
        <v>7</v>
      </c>
      <c r="Y256">
        <v>7</v>
      </c>
      <c r="Z256">
        <v>6</v>
      </c>
      <c r="AA256">
        <v>5</v>
      </c>
      <c r="AB256">
        <v>7</v>
      </c>
      <c r="AC256">
        <v>7</v>
      </c>
      <c r="AD256">
        <v>2</v>
      </c>
      <c r="AE256">
        <v>2</v>
      </c>
      <c r="AF256">
        <v>3</v>
      </c>
      <c r="AG256">
        <v>4</v>
      </c>
      <c r="AH256">
        <v>3</v>
      </c>
      <c r="AI256">
        <v>4</v>
      </c>
      <c r="AJ256">
        <v>7</v>
      </c>
      <c r="AK256">
        <v>2</v>
      </c>
      <c r="AL256">
        <v>3695623.25</v>
      </c>
      <c r="AM256">
        <v>5143137</v>
      </c>
      <c r="AN256">
        <v>10402757</v>
      </c>
      <c r="AO256">
        <v>9983545</v>
      </c>
      <c r="AP256">
        <v>12393126</v>
      </c>
      <c r="AQ256">
        <v>11070586</v>
      </c>
      <c r="AR256">
        <v>14634772</v>
      </c>
      <c r="AS256">
        <v>8788425</v>
      </c>
      <c r="AT256" s="23" t="s">
        <v>663</v>
      </c>
      <c r="AU256" s="18">
        <v>1947916.38</v>
      </c>
      <c r="AV256" s="18">
        <v>4102097.75</v>
      </c>
      <c r="AW256" s="19">
        <v>8153090.5</v>
      </c>
      <c r="AX256" s="19">
        <v>8984909</v>
      </c>
      <c r="AY256" s="20">
        <v>4903279.5</v>
      </c>
      <c r="AZ256" s="20">
        <v>4569227.5</v>
      </c>
      <c r="BA256" s="21">
        <v>9647685</v>
      </c>
      <c r="BB256" s="21">
        <v>8350384.5</v>
      </c>
    </row>
    <row r="257" spans="1:54">
      <c r="A257">
        <v>20002</v>
      </c>
      <c r="B257" t="s">
        <v>531</v>
      </c>
      <c r="C257" t="s">
        <v>532</v>
      </c>
      <c r="D257" t="s">
        <v>531</v>
      </c>
      <c r="F257" t="s">
        <v>533</v>
      </c>
      <c r="G257">
        <v>282.86599999999999</v>
      </c>
      <c r="H257" t="s">
        <v>57</v>
      </c>
      <c r="I257">
        <v>2</v>
      </c>
      <c r="J257">
        <v>1</v>
      </c>
      <c r="K257">
        <v>0</v>
      </c>
      <c r="L257">
        <v>46.99</v>
      </c>
      <c r="M257">
        <v>28633</v>
      </c>
      <c r="N257">
        <v>14</v>
      </c>
      <c r="O257">
        <v>8</v>
      </c>
      <c r="P257">
        <v>8</v>
      </c>
      <c r="Q257">
        <v>8</v>
      </c>
      <c r="R257">
        <v>8</v>
      </c>
      <c r="S257">
        <v>49</v>
      </c>
      <c r="T257">
        <v>49</v>
      </c>
      <c r="U257">
        <v>8</v>
      </c>
      <c r="V257">
        <v>7</v>
      </c>
      <c r="W257">
        <v>7</v>
      </c>
      <c r="X257">
        <v>7</v>
      </c>
      <c r="Y257">
        <v>8</v>
      </c>
      <c r="Z257">
        <v>8</v>
      </c>
      <c r="AA257">
        <v>7</v>
      </c>
      <c r="AB257">
        <v>8</v>
      </c>
      <c r="AC257">
        <v>8</v>
      </c>
      <c r="AD257">
        <v>3</v>
      </c>
      <c r="AE257">
        <v>3</v>
      </c>
      <c r="AF257">
        <v>6</v>
      </c>
      <c r="AG257">
        <v>9</v>
      </c>
      <c r="AH257">
        <v>6</v>
      </c>
      <c r="AI257">
        <v>6</v>
      </c>
      <c r="AJ257">
        <v>10</v>
      </c>
      <c r="AK257">
        <v>6</v>
      </c>
      <c r="AL257">
        <v>5813473</v>
      </c>
      <c r="AM257">
        <v>7874937</v>
      </c>
      <c r="AN257">
        <v>15439851</v>
      </c>
      <c r="AO257">
        <v>15153859</v>
      </c>
      <c r="AP257">
        <v>21845736</v>
      </c>
      <c r="AQ257">
        <v>18838488</v>
      </c>
      <c r="AR257">
        <v>20070454</v>
      </c>
      <c r="AS257">
        <v>13898468</v>
      </c>
      <c r="AT257" s="23" t="s">
        <v>532</v>
      </c>
      <c r="AU257" s="18">
        <v>7248892.5</v>
      </c>
      <c r="AV257" s="18">
        <v>7084170.5</v>
      </c>
      <c r="AW257" s="19">
        <v>13362268</v>
      </c>
      <c r="AX257" s="19">
        <v>14288459</v>
      </c>
      <c r="AY257" s="20">
        <v>8719911</v>
      </c>
      <c r="AZ257" s="20">
        <v>8532306</v>
      </c>
      <c r="BA257" s="21">
        <v>10662195</v>
      </c>
      <c r="BB257" s="21">
        <v>11530654</v>
      </c>
    </row>
    <row r="258" spans="1:54">
      <c r="A258">
        <v>20101</v>
      </c>
      <c r="B258" t="s">
        <v>534</v>
      </c>
      <c r="C258" t="s">
        <v>535</v>
      </c>
      <c r="D258" t="s">
        <v>536</v>
      </c>
      <c r="E258" t="s">
        <v>537</v>
      </c>
      <c r="F258" t="s">
        <v>538</v>
      </c>
      <c r="G258">
        <v>281.166</v>
      </c>
      <c r="H258" t="s">
        <v>57</v>
      </c>
      <c r="I258">
        <v>2</v>
      </c>
      <c r="J258">
        <v>6</v>
      </c>
      <c r="K258">
        <v>15</v>
      </c>
      <c r="L258">
        <v>35.880000000000003</v>
      </c>
      <c r="M258">
        <v>27337</v>
      </c>
      <c r="N258">
        <v>7</v>
      </c>
      <c r="O258">
        <v>6</v>
      </c>
      <c r="P258">
        <v>6</v>
      </c>
      <c r="Q258">
        <v>6</v>
      </c>
      <c r="R258">
        <v>6</v>
      </c>
      <c r="S258">
        <v>40</v>
      </c>
      <c r="T258">
        <v>40</v>
      </c>
      <c r="U258">
        <v>6</v>
      </c>
      <c r="V258">
        <v>3</v>
      </c>
      <c r="W258">
        <v>4</v>
      </c>
      <c r="X258">
        <v>6</v>
      </c>
      <c r="Y258">
        <v>4</v>
      </c>
      <c r="Z258">
        <v>6</v>
      </c>
      <c r="AA258">
        <v>6</v>
      </c>
      <c r="AB258">
        <v>6</v>
      </c>
      <c r="AC258">
        <v>6</v>
      </c>
      <c r="AD258">
        <v>3</v>
      </c>
      <c r="AE258">
        <v>3</v>
      </c>
      <c r="AF258">
        <v>3</v>
      </c>
      <c r="AG258">
        <v>2</v>
      </c>
      <c r="AH258">
        <v>6</v>
      </c>
      <c r="AI258">
        <v>8</v>
      </c>
      <c r="AJ258">
        <v>9</v>
      </c>
      <c r="AK258">
        <v>6</v>
      </c>
      <c r="AL258">
        <v>10452453</v>
      </c>
      <c r="AM258">
        <v>9960622</v>
      </c>
      <c r="AN258">
        <v>17166674</v>
      </c>
      <c r="AO258">
        <v>14219129</v>
      </c>
      <c r="AP258">
        <v>27955342</v>
      </c>
      <c r="AQ258">
        <v>33121520</v>
      </c>
      <c r="AR258">
        <v>37567184</v>
      </c>
      <c r="AS258">
        <v>31373532</v>
      </c>
      <c r="AT258" s="23" t="s">
        <v>535</v>
      </c>
      <c r="AU258" s="18">
        <v>13591943</v>
      </c>
      <c r="AV258" s="18">
        <v>9636381</v>
      </c>
      <c r="AW258" s="19">
        <v>13495655</v>
      </c>
      <c r="AX258" s="19">
        <v>9207158</v>
      </c>
      <c r="AY258" s="20">
        <v>15069182</v>
      </c>
      <c r="AZ258" s="20">
        <v>20462292</v>
      </c>
      <c r="BA258" s="21">
        <v>30149014</v>
      </c>
      <c r="BB258" s="21">
        <v>40426784</v>
      </c>
    </row>
    <row r="259" spans="1:54">
      <c r="A259">
        <v>20001</v>
      </c>
      <c r="B259" t="s">
        <v>327</v>
      </c>
      <c r="C259" t="s">
        <v>328</v>
      </c>
      <c r="D259" t="s">
        <v>329</v>
      </c>
      <c r="E259" t="s">
        <v>330</v>
      </c>
      <c r="F259" t="s">
        <v>331</v>
      </c>
      <c r="G259">
        <v>650.00300000000004</v>
      </c>
      <c r="H259" t="s">
        <v>57</v>
      </c>
      <c r="I259">
        <v>2</v>
      </c>
      <c r="J259">
        <v>15</v>
      </c>
      <c r="K259">
        <v>6</v>
      </c>
      <c r="L259">
        <v>31.93</v>
      </c>
      <c r="M259">
        <v>74013</v>
      </c>
      <c r="N259">
        <v>46</v>
      </c>
      <c r="O259">
        <v>25</v>
      </c>
      <c r="P259">
        <v>25</v>
      </c>
      <c r="Q259">
        <v>25</v>
      </c>
      <c r="R259">
        <v>25</v>
      </c>
      <c r="S259">
        <v>136</v>
      </c>
      <c r="T259">
        <v>136</v>
      </c>
      <c r="U259">
        <v>25</v>
      </c>
      <c r="V259">
        <v>19</v>
      </c>
      <c r="W259">
        <v>20</v>
      </c>
      <c r="X259">
        <v>22</v>
      </c>
      <c r="Y259">
        <v>21</v>
      </c>
      <c r="Z259">
        <v>22</v>
      </c>
      <c r="AA259">
        <v>22</v>
      </c>
      <c r="AB259">
        <v>23</v>
      </c>
      <c r="AC259">
        <v>23</v>
      </c>
      <c r="AD259">
        <v>22</v>
      </c>
      <c r="AE259">
        <v>20</v>
      </c>
      <c r="AF259">
        <v>21</v>
      </c>
      <c r="AG259">
        <v>21</v>
      </c>
      <c r="AH259">
        <v>8</v>
      </c>
      <c r="AI259">
        <v>12</v>
      </c>
      <c r="AJ259">
        <v>21</v>
      </c>
      <c r="AK259">
        <v>11</v>
      </c>
      <c r="AL259">
        <v>128720408</v>
      </c>
      <c r="AM259">
        <v>166876304</v>
      </c>
      <c r="AN259">
        <v>164124112</v>
      </c>
      <c r="AO259">
        <v>130365184</v>
      </c>
      <c r="AP259">
        <v>184433408</v>
      </c>
      <c r="AQ259">
        <v>99062616</v>
      </c>
      <c r="AR259">
        <v>186082976</v>
      </c>
      <c r="AS259">
        <v>114906688</v>
      </c>
      <c r="AT259" s="23" t="s">
        <v>328</v>
      </c>
      <c r="AU259" s="18">
        <v>138947552</v>
      </c>
      <c r="AV259" s="18">
        <v>133280232</v>
      </c>
      <c r="AW259" s="19">
        <v>126228704</v>
      </c>
      <c r="AX259" s="19">
        <v>121761200</v>
      </c>
      <c r="AY259" s="20">
        <v>46516492</v>
      </c>
      <c r="AZ259" s="20">
        <v>48645384</v>
      </c>
      <c r="BA259" s="21">
        <v>109309864</v>
      </c>
      <c r="BB259" s="21">
        <v>108350320</v>
      </c>
    </row>
    <row r="260" spans="1:54">
      <c r="A260">
        <v>19961</v>
      </c>
      <c r="B260" t="s">
        <v>863</v>
      </c>
      <c r="C260" t="s">
        <v>864</v>
      </c>
      <c r="D260" t="s">
        <v>865</v>
      </c>
      <c r="E260" t="s">
        <v>866</v>
      </c>
      <c r="F260" t="s">
        <v>867</v>
      </c>
      <c r="G260">
        <v>64.745999999999995</v>
      </c>
      <c r="H260" t="s">
        <v>57</v>
      </c>
      <c r="I260">
        <v>2</v>
      </c>
      <c r="J260">
        <v>19</v>
      </c>
      <c r="K260">
        <v>2</v>
      </c>
      <c r="L260">
        <v>9.26</v>
      </c>
      <c r="M260">
        <v>48178</v>
      </c>
      <c r="N260">
        <v>30</v>
      </c>
      <c r="O260">
        <v>4</v>
      </c>
      <c r="P260">
        <v>4</v>
      </c>
      <c r="Q260">
        <v>4</v>
      </c>
      <c r="R260">
        <v>4</v>
      </c>
      <c r="S260">
        <v>11</v>
      </c>
      <c r="T260">
        <v>11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4</v>
      </c>
      <c r="AA260">
        <v>4</v>
      </c>
      <c r="AB260">
        <v>4</v>
      </c>
      <c r="AC260">
        <v>4</v>
      </c>
      <c r="AD260">
        <v>1</v>
      </c>
      <c r="AE260">
        <v>0</v>
      </c>
      <c r="AF260">
        <v>1</v>
      </c>
      <c r="AG260">
        <v>3</v>
      </c>
      <c r="AH260">
        <v>3</v>
      </c>
      <c r="AI260">
        <v>1</v>
      </c>
      <c r="AJ260">
        <v>2</v>
      </c>
      <c r="AK260">
        <v>1</v>
      </c>
      <c r="AL260">
        <v>4379435</v>
      </c>
      <c r="AM260">
        <v>3487108.5</v>
      </c>
      <c r="AN260">
        <v>5361073.5</v>
      </c>
      <c r="AO260">
        <v>4853551</v>
      </c>
      <c r="AP260">
        <v>60019624</v>
      </c>
      <c r="AQ260">
        <v>6788155</v>
      </c>
      <c r="AR260">
        <v>4844062</v>
      </c>
      <c r="AS260">
        <v>4176228.25</v>
      </c>
      <c r="AT260" s="23" t="s">
        <v>864</v>
      </c>
      <c r="AU260" s="18">
        <v>7920340.5</v>
      </c>
      <c r="AV260" s="18">
        <v>4974640</v>
      </c>
      <c r="AW260" s="19">
        <v>6849141.5</v>
      </c>
      <c r="AX260" s="19">
        <v>7616098</v>
      </c>
      <c r="AY260" s="20">
        <v>7920340.5</v>
      </c>
      <c r="AZ260" s="20">
        <v>5694066.5</v>
      </c>
      <c r="BA260" s="21">
        <v>5035547.5</v>
      </c>
      <c r="BB260" s="21">
        <v>6068741.5</v>
      </c>
    </row>
    <row r="261" spans="1:54">
      <c r="A261">
        <v>20216</v>
      </c>
      <c r="B261" t="s">
        <v>1171</v>
      </c>
      <c r="C261" t="s">
        <v>1172</v>
      </c>
      <c r="D261" t="s">
        <v>1171</v>
      </c>
      <c r="F261" t="s">
        <v>1173</v>
      </c>
      <c r="G261">
        <v>11.112</v>
      </c>
      <c r="H261" t="s">
        <v>57</v>
      </c>
      <c r="I261">
        <v>2</v>
      </c>
      <c r="J261">
        <v>1</v>
      </c>
      <c r="K261">
        <v>0</v>
      </c>
      <c r="L261">
        <v>3.62</v>
      </c>
      <c r="M261">
        <v>72210</v>
      </c>
      <c r="N261">
        <v>36</v>
      </c>
      <c r="O261">
        <v>3</v>
      </c>
      <c r="P261">
        <v>2</v>
      </c>
      <c r="Q261">
        <v>3</v>
      </c>
      <c r="R261">
        <v>2</v>
      </c>
      <c r="S261">
        <v>4</v>
      </c>
      <c r="T261">
        <v>2</v>
      </c>
      <c r="U261">
        <v>2</v>
      </c>
      <c r="V261">
        <v>1</v>
      </c>
      <c r="Y261">
        <v>1</v>
      </c>
      <c r="Z261">
        <v>2</v>
      </c>
      <c r="AA261">
        <v>2</v>
      </c>
      <c r="AB261">
        <v>2</v>
      </c>
      <c r="AC261">
        <v>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</v>
      </c>
      <c r="AJ261">
        <v>0</v>
      </c>
      <c r="AK261">
        <v>0</v>
      </c>
      <c r="AL261">
        <v>520037.75</v>
      </c>
      <c r="AM261">
        <v>1165528.5</v>
      </c>
      <c r="AN261">
        <v>1130162.75</v>
      </c>
      <c r="AO261">
        <v>1095182</v>
      </c>
      <c r="AP261">
        <v>17698542</v>
      </c>
      <c r="AQ261">
        <v>16322148</v>
      </c>
      <c r="AR261">
        <v>5208608.5</v>
      </c>
      <c r="AS261">
        <v>3752331.75</v>
      </c>
      <c r="AT261" s="23" t="s">
        <v>1172</v>
      </c>
      <c r="AU261" s="18">
        <v>13378.27</v>
      </c>
      <c r="AV261" s="18">
        <v>111774.65</v>
      </c>
      <c r="AW261" s="19">
        <v>213953.23</v>
      </c>
      <c r="AX261" s="19">
        <v>12906.63</v>
      </c>
      <c r="AY261" s="20">
        <v>6344578.5</v>
      </c>
      <c r="AZ261" s="20">
        <v>6126870.5</v>
      </c>
      <c r="BA261" s="21">
        <v>2404051</v>
      </c>
      <c r="BB261" s="21">
        <v>2534034</v>
      </c>
    </row>
    <row r="262" spans="1:54">
      <c r="A262">
        <v>20215</v>
      </c>
      <c r="B262" t="s">
        <v>1168</v>
      </c>
      <c r="C262" t="s">
        <v>1169</v>
      </c>
      <c r="D262" t="s">
        <v>1168</v>
      </c>
      <c r="F262" t="s">
        <v>1170</v>
      </c>
      <c r="G262">
        <v>11.112</v>
      </c>
      <c r="H262" t="s">
        <v>57</v>
      </c>
      <c r="I262">
        <v>2</v>
      </c>
      <c r="J262">
        <v>1</v>
      </c>
      <c r="K262">
        <v>0</v>
      </c>
      <c r="L262">
        <v>2.5499999999999998</v>
      </c>
      <c r="M262">
        <v>73041</v>
      </c>
      <c r="N262">
        <v>34</v>
      </c>
      <c r="O262">
        <v>2</v>
      </c>
      <c r="P262">
        <v>1</v>
      </c>
      <c r="Q262">
        <v>2</v>
      </c>
      <c r="R262">
        <v>1</v>
      </c>
      <c r="S262">
        <v>3</v>
      </c>
      <c r="T262">
        <v>1</v>
      </c>
      <c r="U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426658.53</v>
      </c>
      <c r="AM262">
        <v>2716614.5</v>
      </c>
      <c r="AN262">
        <v>2023106</v>
      </c>
      <c r="AO262">
        <v>2517164.75</v>
      </c>
      <c r="AP262">
        <v>4723643.5</v>
      </c>
      <c r="AQ262">
        <v>4413655.5</v>
      </c>
      <c r="AR262">
        <v>1855827.25</v>
      </c>
      <c r="AS262">
        <v>1218077.3799999999</v>
      </c>
      <c r="AT262" s="23" t="s">
        <v>1169</v>
      </c>
      <c r="AU262" s="18">
        <v>49505.43</v>
      </c>
      <c r="AV262" s="18">
        <v>1197007.75</v>
      </c>
      <c r="AW262" s="19">
        <v>689442</v>
      </c>
      <c r="AX262" s="19">
        <v>1483783.5</v>
      </c>
      <c r="AY262" s="20">
        <v>703543.62</v>
      </c>
      <c r="AZ262" s="20">
        <v>913517.19</v>
      </c>
      <c r="BA262" s="21">
        <v>728488.06</v>
      </c>
      <c r="BB262" s="21">
        <v>774503.19</v>
      </c>
    </row>
    <row r="263" spans="1:54">
      <c r="A263">
        <v>20252</v>
      </c>
      <c r="B263" t="s">
        <v>1374</v>
      </c>
      <c r="C263" t="s">
        <v>1375</v>
      </c>
      <c r="D263" t="s">
        <v>1376</v>
      </c>
      <c r="F263" t="s">
        <v>1377</v>
      </c>
      <c r="G263">
        <v>0</v>
      </c>
      <c r="H263" t="s">
        <v>57</v>
      </c>
      <c r="I263">
        <v>2</v>
      </c>
      <c r="J263">
        <v>2</v>
      </c>
      <c r="K263">
        <v>0</v>
      </c>
      <c r="L263">
        <v>4.93</v>
      </c>
      <c r="M263">
        <v>33011</v>
      </c>
      <c r="N263">
        <v>23</v>
      </c>
      <c r="O263">
        <v>2</v>
      </c>
      <c r="P263">
        <v>2</v>
      </c>
      <c r="Q263">
        <v>2</v>
      </c>
      <c r="R263">
        <v>2</v>
      </c>
      <c r="S263">
        <v>3</v>
      </c>
      <c r="T263">
        <v>3</v>
      </c>
      <c r="U263">
        <v>2</v>
      </c>
      <c r="V263">
        <v>1</v>
      </c>
      <c r="W263">
        <v>2</v>
      </c>
      <c r="X263">
        <v>2</v>
      </c>
      <c r="Y263">
        <v>2</v>
      </c>
      <c r="Z263">
        <v>1</v>
      </c>
      <c r="AA263">
        <v>1</v>
      </c>
      <c r="AB263">
        <v>1</v>
      </c>
      <c r="AC263">
        <v>2</v>
      </c>
      <c r="AD263">
        <v>1</v>
      </c>
      <c r="AE263">
        <v>1</v>
      </c>
      <c r="AF263">
        <v>3</v>
      </c>
      <c r="AG263">
        <v>0</v>
      </c>
      <c r="AH263">
        <v>0</v>
      </c>
      <c r="AI263">
        <v>1</v>
      </c>
      <c r="AJ263">
        <v>1</v>
      </c>
      <c r="AK263">
        <v>2</v>
      </c>
      <c r="AL263">
        <v>5274715</v>
      </c>
      <c r="AM263">
        <v>11307331</v>
      </c>
      <c r="AN263">
        <v>16638047</v>
      </c>
      <c r="AO263">
        <v>12384457</v>
      </c>
      <c r="AP263">
        <v>6970086.5</v>
      </c>
      <c r="AQ263">
        <v>7049741.5</v>
      </c>
      <c r="AR263">
        <v>38407956</v>
      </c>
      <c r="AS263">
        <v>16954914</v>
      </c>
      <c r="AT263" s="23" t="s">
        <v>1375</v>
      </c>
      <c r="AU263" s="18">
        <v>410614.38</v>
      </c>
      <c r="AV263" s="18">
        <v>10616963</v>
      </c>
      <c r="AW263" s="19">
        <v>15646391</v>
      </c>
      <c r="AX263" s="19">
        <v>13424101</v>
      </c>
      <c r="AY263" s="20">
        <v>1011484.25</v>
      </c>
      <c r="AZ263" s="20">
        <v>1091365.1200000001</v>
      </c>
      <c r="BA263" s="21">
        <v>6105739.5</v>
      </c>
      <c r="BB263" s="21">
        <v>31060110</v>
      </c>
    </row>
    <row r="264" spans="1:54">
      <c r="A264">
        <v>20219</v>
      </c>
      <c r="B264" t="s">
        <v>975</v>
      </c>
      <c r="C264" t="s">
        <v>976</v>
      </c>
      <c r="D264" t="s">
        <v>977</v>
      </c>
      <c r="F264" t="s">
        <v>978</v>
      </c>
      <c r="G264">
        <v>36.456000000000003</v>
      </c>
      <c r="H264" t="s">
        <v>57</v>
      </c>
      <c r="I264">
        <v>2</v>
      </c>
      <c r="J264">
        <v>3</v>
      </c>
      <c r="K264">
        <v>0</v>
      </c>
      <c r="L264">
        <v>13.1</v>
      </c>
      <c r="M264">
        <v>17835</v>
      </c>
      <c r="N264">
        <v>7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1</v>
      </c>
      <c r="AA264">
        <v>2</v>
      </c>
      <c r="AB264">
        <v>1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3145849.5</v>
      </c>
      <c r="AM264">
        <v>3803412.5</v>
      </c>
      <c r="AN264">
        <v>1686749.88</v>
      </c>
      <c r="AO264">
        <v>1414765</v>
      </c>
      <c r="AP264">
        <v>2247078.25</v>
      </c>
      <c r="AQ264">
        <v>2918066</v>
      </c>
      <c r="AR264">
        <v>464474.47</v>
      </c>
      <c r="AT264" s="23" t="s">
        <v>976</v>
      </c>
      <c r="AU264" s="18">
        <v>2911038.25</v>
      </c>
      <c r="AV264" s="18">
        <v>2820726.25</v>
      </c>
      <c r="AW264" s="19">
        <v>1250554.8799999999</v>
      </c>
      <c r="AX264" s="19">
        <v>1208603.75</v>
      </c>
      <c r="AY264" s="20">
        <v>367057.03</v>
      </c>
      <c r="AZ264" s="20">
        <v>2249292.25</v>
      </c>
      <c r="BA264" s="21">
        <v>189955.47</v>
      </c>
      <c r="BB264" s="21">
        <v>212391.23</v>
      </c>
    </row>
    <row r="265" spans="1:54">
      <c r="A265">
        <v>20021</v>
      </c>
      <c r="B265" t="s">
        <v>619</v>
      </c>
      <c r="C265" t="s">
        <v>620</v>
      </c>
      <c r="D265" t="s">
        <v>621</v>
      </c>
      <c r="F265" t="s">
        <v>622</v>
      </c>
      <c r="G265">
        <v>209.238</v>
      </c>
      <c r="H265" t="s">
        <v>57</v>
      </c>
      <c r="I265">
        <v>2</v>
      </c>
      <c r="J265">
        <v>20</v>
      </c>
      <c r="K265">
        <v>0</v>
      </c>
      <c r="L265">
        <v>27.06</v>
      </c>
      <c r="M265">
        <v>28422</v>
      </c>
      <c r="N265">
        <v>16</v>
      </c>
      <c r="O265">
        <v>6</v>
      </c>
      <c r="P265">
        <v>6</v>
      </c>
      <c r="Q265">
        <v>6</v>
      </c>
      <c r="R265">
        <v>6</v>
      </c>
      <c r="S265">
        <v>38</v>
      </c>
      <c r="T265">
        <v>38</v>
      </c>
      <c r="U265">
        <v>6</v>
      </c>
      <c r="V265">
        <v>3</v>
      </c>
      <c r="W265">
        <v>5</v>
      </c>
      <c r="X265">
        <v>6</v>
      </c>
      <c r="Y265">
        <v>6</v>
      </c>
      <c r="Z265">
        <v>6</v>
      </c>
      <c r="AA265">
        <v>6</v>
      </c>
      <c r="AB265">
        <v>6</v>
      </c>
      <c r="AC265">
        <v>6</v>
      </c>
      <c r="AD265">
        <v>0</v>
      </c>
      <c r="AE265">
        <v>1</v>
      </c>
      <c r="AF265">
        <v>5</v>
      </c>
      <c r="AG265">
        <v>7</v>
      </c>
      <c r="AH265">
        <v>7</v>
      </c>
      <c r="AI265">
        <v>6</v>
      </c>
      <c r="AJ265">
        <v>8</v>
      </c>
      <c r="AK265">
        <v>5</v>
      </c>
      <c r="AL265">
        <v>6914419.5</v>
      </c>
      <c r="AM265">
        <v>11813186</v>
      </c>
      <c r="AN265">
        <v>29778424</v>
      </c>
      <c r="AO265">
        <v>28447556</v>
      </c>
      <c r="AP265">
        <v>38220712</v>
      </c>
      <c r="AQ265">
        <v>39430196</v>
      </c>
      <c r="AR265">
        <v>39919328</v>
      </c>
      <c r="AS265">
        <v>23600704</v>
      </c>
      <c r="AT265" s="23" t="s">
        <v>620</v>
      </c>
      <c r="AU265" s="18">
        <v>231392.92</v>
      </c>
      <c r="AV265" s="18">
        <v>10026103</v>
      </c>
      <c r="AW265" s="19">
        <v>21802340</v>
      </c>
      <c r="AX265" s="19">
        <v>27555024</v>
      </c>
      <c r="AY265" s="20">
        <v>18710252</v>
      </c>
      <c r="AZ265" s="20">
        <v>20534426</v>
      </c>
      <c r="BA265" s="21">
        <v>24851214</v>
      </c>
      <c r="BB265" s="21">
        <v>21734052</v>
      </c>
    </row>
    <row r="266" spans="1:54">
      <c r="A266">
        <v>20115</v>
      </c>
      <c r="B266" t="s">
        <v>360</v>
      </c>
      <c r="C266" t="s">
        <v>361</v>
      </c>
      <c r="D266" t="s">
        <v>360</v>
      </c>
      <c r="E266" t="s">
        <v>362</v>
      </c>
      <c r="F266" t="s">
        <v>363</v>
      </c>
      <c r="G266">
        <v>588.46900000000005</v>
      </c>
      <c r="H266" t="s">
        <v>57</v>
      </c>
      <c r="I266">
        <v>2</v>
      </c>
      <c r="J266">
        <v>1</v>
      </c>
      <c r="K266">
        <v>2</v>
      </c>
      <c r="L266">
        <v>54.49</v>
      </c>
      <c r="M266">
        <v>37437</v>
      </c>
      <c r="N266">
        <v>17</v>
      </c>
      <c r="O266">
        <v>15</v>
      </c>
      <c r="P266">
        <v>15</v>
      </c>
      <c r="Q266">
        <v>15</v>
      </c>
      <c r="R266">
        <v>15</v>
      </c>
      <c r="S266">
        <v>156</v>
      </c>
      <c r="T266">
        <v>156</v>
      </c>
      <c r="U266">
        <v>15</v>
      </c>
      <c r="V266">
        <v>14</v>
      </c>
      <c r="W266">
        <v>14</v>
      </c>
      <c r="X266">
        <v>14</v>
      </c>
      <c r="Y266">
        <v>15</v>
      </c>
      <c r="Z266">
        <v>15</v>
      </c>
      <c r="AA266">
        <v>15</v>
      </c>
      <c r="AB266">
        <v>14</v>
      </c>
      <c r="AC266">
        <v>14</v>
      </c>
      <c r="AD266">
        <v>23</v>
      </c>
      <c r="AE266">
        <v>23</v>
      </c>
      <c r="AF266">
        <v>18</v>
      </c>
      <c r="AG266">
        <v>21</v>
      </c>
      <c r="AH266">
        <v>15</v>
      </c>
      <c r="AI266">
        <v>16</v>
      </c>
      <c r="AJ266">
        <v>22</v>
      </c>
      <c r="AK266">
        <v>18</v>
      </c>
      <c r="AL266">
        <v>191399456</v>
      </c>
      <c r="AM266">
        <v>206419552</v>
      </c>
      <c r="AN266">
        <v>219228672</v>
      </c>
      <c r="AO266">
        <v>212647808</v>
      </c>
      <c r="AP266">
        <v>126855808</v>
      </c>
      <c r="AQ266">
        <v>131060896</v>
      </c>
      <c r="AR266">
        <v>254428544</v>
      </c>
      <c r="AS266">
        <v>159284480</v>
      </c>
      <c r="AT266" s="23" t="s">
        <v>361</v>
      </c>
      <c r="AU266" s="18">
        <v>187884912</v>
      </c>
      <c r="AV266" s="18">
        <v>169683136</v>
      </c>
      <c r="AW266" s="19">
        <v>191125584</v>
      </c>
      <c r="AX266" s="19">
        <v>215567056</v>
      </c>
      <c r="AY266" s="20">
        <v>61601072</v>
      </c>
      <c r="AZ266" s="20">
        <v>69102392</v>
      </c>
      <c r="BA266" s="21">
        <v>154779232</v>
      </c>
      <c r="BB266" s="21">
        <v>147608560</v>
      </c>
    </row>
    <row r="267" spans="1:54">
      <c r="A267">
        <v>19970</v>
      </c>
      <c r="B267" t="s">
        <v>102</v>
      </c>
      <c r="C267" t="s">
        <v>103</v>
      </c>
      <c r="D267" t="s">
        <v>104</v>
      </c>
      <c r="F267" t="s">
        <v>105</v>
      </c>
      <c r="G267">
        <v>1602.2090000000001</v>
      </c>
      <c r="H267" t="s">
        <v>57</v>
      </c>
      <c r="I267">
        <v>2</v>
      </c>
      <c r="J267">
        <v>20</v>
      </c>
      <c r="K267">
        <v>0</v>
      </c>
      <c r="L267">
        <v>79.510000000000005</v>
      </c>
      <c r="M267">
        <v>30422</v>
      </c>
      <c r="N267">
        <v>22</v>
      </c>
      <c r="O267">
        <v>32</v>
      </c>
      <c r="P267">
        <v>32</v>
      </c>
      <c r="Q267">
        <v>36</v>
      </c>
      <c r="R267">
        <v>36</v>
      </c>
      <c r="S267">
        <v>1857</v>
      </c>
      <c r="T267">
        <v>1857</v>
      </c>
      <c r="U267">
        <v>36</v>
      </c>
      <c r="V267">
        <v>24</v>
      </c>
      <c r="W267">
        <v>29</v>
      </c>
      <c r="X267">
        <v>34</v>
      </c>
      <c r="Y267">
        <v>34</v>
      </c>
      <c r="Z267">
        <v>35</v>
      </c>
      <c r="AA267">
        <v>34</v>
      </c>
      <c r="AB267">
        <v>35</v>
      </c>
      <c r="AC267">
        <v>33</v>
      </c>
      <c r="AD267">
        <v>162</v>
      </c>
      <c r="AE267">
        <v>147</v>
      </c>
      <c r="AF267">
        <v>268</v>
      </c>
      <c r="AG267">
        <v>242</v>
      </c>
      <c r="AH267">
        <v>245</v>
      </c>
      <c r="AI267">
        <v>241</v>
      </c>
      <c r="AJ267">
        <v>287</v>
      </c>
      <c r="AK267">
        <v>265</v>
      </c>
      <c r="AL267">
        <v>2432948992</v>
      </c>
      <c r="AM267">
        <v>2416085504</v>
      </c>
      <c r="AN267">
        <v>4452716544</v>
      </c>
      <c r="AO267">
        <v>3916259840</v>
      </c>
      <c r="AP267">
        <v>4567101440</v>
      </c>
      <c r="AQ267">
        <v>4530392576</v>
      </c>
      <c r="AR267">
        <v>4773047296</v>
      </c>
      <c r="AS267">
        <v>3276695040</v>
      </c>
      <c r="AT267" s="23" t="s">
        <v>103</v>
      </c>
      <c r="AU267" s="18">
        <v>1225031552</v>
      </c>
      <c r="AV267" s="18">
        <v>1620341888</v>
      </c>
      <c r="AW267" s="19">
        <v>3399326208</v>
      </c>
      <c r="AX267" s="19">
        <v>3589280256</v>
      </c>
      <c r="AY267" s="20">
        <v>2216979968</v>
      </c>
      <c r="AZ267" s="20">
        <v>2488537088</v>
      </c>
      <c r="BA267" s="21">
        <v>3363970560</v>
      </c>
      <c r="BB267" s="21">
        <v>3153223168</v>
      </c>
    </row>
    <row r="268" spans="1:54">
      <c r="A268">
        <v>19971</v>
      </c>
      <c r="B268" t="s">
        <v>81</v>
      </c>
      <c r="C268" t="s">
        <v>82</v>
      </c>
      <c r="D268" t="s">
        <v>83</v>
      </c>
      <c r="E268" t="s">
        <v>84</v>
      </c>
      <c r="F268" t="s">
        <v>85</v>
      </c>
      <c r="G268">
        <v>2456.125</v>
      </c>
      <c r="H268" t="s">
        <v>57</v>
      </c>
      <c r="I268">
        <v>2</v>
      </c>
      <c r="J268">
        <v>7</v>
      </c>
      <c r="K268">
        <v>9</v>
      </c>
      <c r="L268">
        <v>85.53</v>
      </c>
      <c r="M268">
        <v>43283</v>
      </c>
      <c r="N268">
        <v>26</v>
      </c>
      <c r="O268">
        <v>42</v>
      </c>
      <c r="P268">
        <v>42</v>
      </c>
      <c r="Q268">
        <v>50</v>
      </c>
      <c r="R268">
        <v>50</v>
      </c>
      <c r="S268">
        <v>5127</v>
      </c>
      <c r="T268">
        <v>5127</v>
      </c>
      <c r="U268">
        <v>50</v>
      </c>
      <c r="V268">
        <v>39</v>
      </c>
      <c r="W268">
        <v>42</v>
      </c>
      <c r="X268">
        <v>44</v>
      </c>
      <c r="Y268">
        <v>43</v>
      </c>
      <c r="Z268">
        <v>46</v>
      </c>
      <c r="AA268">
        <v>45</v>
      </c>
      <c r="AB268">
        <v>49</v>
      </c>
      <c r="AC268">
        <v>47</v>
      </c>
      <c r="AD268">
        <v>509</v>
      </c>
      <c r="AE268">
        <v>453</v>
      </c>
      <c r="AF268">
        <v>659</v>
      </c>
      <c r="AG268">
        <v>721</v>
      </c>
      <c r="AH268">
        <v>655</v>
      </c>
      <c r="AI268">
        <v>604</v>
      </c>
      <c r="AJ268">
        <v>663</v>
      </c>
      <c r="AK268">
        <v>863</v>
      </c>
      <c r="AL268">
        <v>8997977088</v>
      </c>
      <c r="AM268">
        <v>8942587904</v>
      </c>
      <c r="AN268">
        <v>11964743680</v>
      </c>
      <c r="AO268">
        <v>10853673984</v>
      </c>
      <c r="AP268">
        <v>12881625088</v>
      </c>
      <c r="AQ268">
        <v>13981803520</v>
      </c>
      <c r="AR268">
        <v>14822415360</v>
      </c>
      <c r="AS268">
        <v>11803324416</v>
      </c>
      <c r="AT268" s="23" t="s">
        <v>82</v>
      </c>
      <c r="AU268" s="18">
        <v>7777034752</v>
      </c>
      <c r="AV268" s="18">
        <v>6644984832</v>
      </c>
      <c r="AW268" s="19">
        <v>9140657152</v>
      </c>
      <c r="AX268" s="19">
        <v>9839272960</v>
      </c>
      <c r="AY268" s="20">
        <v>6118230528</v>
      </c>
      <c r="AZ268" s="20">
        <v>7397501440</v>
      </c>
      <c r="BA268" s="21">
        <v>10111890432</v>
      </c>
      <c r="BB268" s="21">
        <v>12299078656</v>
      </c>
    </row>
    <row r="269" spans="1:54">
      <c r="A269">
        <v>20218</v>
      </c>
      <c r="B269" t="s">
        <v>1220</v>
      </c>
      <c r="C269" t="s">
        <v>1221</v>
      </c>
      <c r="D269" t="s">
        <v>1222</v>
      </c>
      <c r="F269" t="s">
        <v>1223</v>
      </c>
      <c r="G269">
        <v>9.2759999999999998</v>
      </c>
      <c r="H269" t="s">
        <v>57</v>
      </c>
      <c r="I269">
        <v>2</v>
      </c>
      <c r="J269">
        <v>4</v>
      </c>
      <c r="K269">
        <v>0</v>
      </c>
      <c r="L269">
        <v>1.1499999999999999</v>
      </c>
      <c r="M269">
        <v>67354</v>
      </c>
      <c r="N269">
        <v>29</v>
      </c>
      <c r="O269">
        <v>1</v>
      </c>
      <c r="P269">
        <v>1</v>
      </c>
      <c r="Q269">
        <v>1</v>
      </c>
      <c r="R269">
        <v>1</v>
      </c>
      <c r="S269">
        <v>12</v>
      </c>
      <c r="T269">
        <v>12</v>
      </c>
      <c r="U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0</v>
      </c>
      <c r="AE269">
        <v>2</v>
      </c>
      <c r="AF269">
        <v>2</v>
      </c>
      <c r="AG269">
        <v>2</v>
      </c>
      <c r="AH269">
        <v>1</v>
      </c>
      <c r="AI269">
        <v>1</v>
      </c>
      <c r="AJ269">
        <v>2</v>
      </c>
      <c r="AK269">
        <v>2</v>
      </c>
      <c r="AM269">
        <v>13806898</v>
      </c>
      <c r="AN269">
        <v>13054426</v>
      </c>
      <c r="AO269">
        <v>12283094</v>
      </c>
      <c r="AP269">
        <v>11626178</v>
      </c>
      <c r="AQ269">
        <v>10447286</v>
      </c>
      <c r="AR269">
        <v>16354938</v>
      </c>
      <c r="AS269">
        <v>6697461</v>
      </c>
      <c r="AT269" s="23" t="s">
        <v>1221</v>
      </c>
      <c r="AU269" s="18">
        <v>49505.43</v>
      </c>
      <c r="AV269" s="18">
        <v>10655090</v>
      </c>
      <c r="AW269" s="19">
        <v>10079330</v>
      </c>
      <c r="AX269" s="19">
        <v>10923091</v>
      </c>
      <c r="AY269" s="20">
        <v>4681580</v>
      </c>
      <c r="AZ269" s="20">
        <v>4491101</v>
      </c>
      <c r="BA269" s="21">
        <v>8757326</v>
      </c>
      <c r="BB269" s="21">
        <v>5256676.5</v>
      </c>
    </row>
    <row r="270" spans="1:54">
      <c r="A270">
        <v>20040</v>
      </c>
      <c r="B270" t="s">
        <v>219</v>
      </c>
      <c r="C270" t="s">
        <v>220</v>
      </c>
      <c r="D270" t="s">
        <v>221</v>
      </c>
      <c r="E270" t="s">
        <v>222</v>
      </c>
      <c r="F270" t="s">
        <v>223</v>
      </c>
      <c r="G270">
        <v>910.452</v>
      </c>
      <c r="H270" t="s">
        <v>57</v>
      </c>
      <c r="I270">
        <v>2</v>
      </c>
      <c r="J270">
        <v>12</v>
      </c>
      <c r="K270">
        <v>8</v>
      </c>
      <c r="L270">
        <v>45.99</v>
      </c>
      <c r="M270">
        <v>47526</v>
      </c>
      <c r="N270">
        <v>18</v>
      </c>
      <c r="O270">
        <v>16</v>
      </c>
      <c r="P270">
        <v>16</v>
      </c>
      <c r="Q270">
        <v>16</v>
      </c>
      <c r="R270">
        <v>16</v>
      </c>
      <c r="S270">
        <v>218</v>
      </c>
      <c r="T270">
        <v>218</v>
      </c>
      <c r="U270">
        <v>16</v>
      </c>
      <c r="V270">
        <v>13</v>
      </c>
      <c r="W270">
        <v>16</v>
      </c>
      <c r="X270">
        <v>15</v>
      </c>
      <c r="Y270">
        <v>15</v>
      </c>
      <c r="Z270">
        <v>15</v>
      </c>
      <c r="AA270">
        <v>15</v>
      </c>
      <c r="AB270">
        <v>15</v>
      </c>
      <c r="AC270">
        <v>15</v>
      </c>
      <c r="AD270">
        <v>33</v>
      </c>
      <c r="AE270">
        <v>28</v>
      </c>
      <c r="AF270">
        <v>27</v>
      </c>
      <c r="AG270">
        <v>28</v>
      </c>
      <c r="AH270">
        <v>22</v>
      </c>
      <c r="AI270">
        <v>21</v>
      </c>
      <c r="AJ270">
        <v>30</v>
      </c>
      <c r="AK270">
        <v>28</v>
      </c>
      <c r="AL270">
        <v>156765536</v>
      </c>
      <c r="AM270">
        <v>184683152</v>
      </c>
      <c r="AN270">
        <v>194107920</v>
      </c>
      <c r="AO270">
        <v>174056256</v>
      </c>
      <c r="AP270">
        <v>117424928</v>
      </c>
      <c r="AQ270">
        <v>122621720</v>
      </c>
      <c r="AR270">
        <v>241598192</v>
      </c>
      <c r="AS270">
        <v>157443152</v>
      </c>
      <c r="AT270" s="23" t="s">
        <v>220</v>
      </c>
      <c r="AU270" s="18">
        <v>182156416</v>
      </c>
      <c r="AV270" s="18">
        <v>201262560</v>
      </c>
      <c r="AW270" s="19">
        <v>185451808</v>
      </c>
      <c r="AX270" s="19">
        <v>210692816</v>
      </c>
      <c r="AY270" s="20">
        <v>71413056</v>
      </c>
      <c r="AZ270" s="20">
        <v>77761968</v>
      </c>
      <c r="BA270" s="21">
        <v>190680080</v>
      </c>
      <c r="BB270" s="21">
        <v>177393312</v>
      </c>
    </row>
    <row r="271" spans="1:54">
      <c r="A271">
        <v>20050</v>
      </c>
      <c r="B271" t="s">
        <v>1001</v>
      </c>
      <c r="C271" t="s">
        <v>1002</v>
      </c>
      <c r="D271" t="s">
        <v>1001</v>
      </c>
      <c r="F271" t="s">
        <v>1003</v>
      </c>
      <c r="G271">
        <v>31.111999999999998</v>
      </c>
      <c r="H271" t="s">
        <v>57</v>
      </c>
      <c r="I271">
        <v>2</v>
      </c>
      <c r="J271">
        <v>1</v>
      </c>
      <c r="K271">
        <v>0</v>
      </c>
      <c r="L271">
        <v>15.62</v>
      </c>
      <c r="M271">
        <v>11275</v>
      </c>
      <c r="N271">
        <v>9</v>
      </c>
      <c r="O271">
        <v>2</v>
      </c>
      <c r="P271">
        <v>2</v>
      </c>
      <c r="Q271">
        <v>2</v>
      </c>
      <c r="R271">
        <v>2</v>
      </c>
      <c r="S271">
        <v>4</v>
      </c>
      <c r="T271">
        <v>4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1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2</v>
      </c>
      <c r="AI271">
        <v>1</v>
      </c>
      <c r="AJ271">
        <v>0</v>
      </c>
      <c r="AK271">
        <v>0</v>
      </c>
      <c r="AL271">
        <v>3198891</v>
      </c>
      <c r="AM271">
        <v>2829834.5</v>
      </c>
      <c r="AN271">
        <v>1531474.5</v>
      </c>
      <c r="AO271">
        <v>972706.06</v>
      </c>
      <c r="AP271">
        <v>3738868</v>
      </c>
      <c r="AQ271">
        <v>3228264.75</v>
      </c>
      <c r="AR271">
        <v>444614.03</v>
      </c>
      <c r="AS271">
        <v>778648.88</v>
      </c>
      <c r="AT271" s="23" t="s">
        <v>1002</v>
      </c>
      <c r="AU271" s="18">
        <v>3216767</v>
      </c>
      <c r="AV271" s="18">
        <v>2207694.5</v>
      </c>
      <c r="AW271" s="19">
        <v>1179239.25</v>
      </c>
      <c r="AX271" s="19">
        <v>864204.56</v>
      </c>
      <c r="AY271" s="20">
        <v>1549289.5</v>
      </c>
      <c r="AZ271" s="20">
        <v>1430380.25</v>
      </c>
      <c r="BA271" s="21">
        <v>199353.27</v>
      </c>
      <c r="BB271" s="21">
        <v>508304.53</v>
      </c>
    </row>
    <row r="272" spans="1:54">
      <c r="A272">
        <v>20264</v>
      </c>
      <c r="B272" t="s">
        <v>830</v>
      </c>
      <c r="C272" t="s">
        <v>831</v>
      </c>
      <c r="D272" t="s">
        <v>830</v>
      </c>
      <c r="F272" t="s">
        <v>832</v>
      </c>
      <c r="G272">
        <v>81.772000000000006</v>
      </c>
      <c r="H272" t="s">
        <v>57</v>
      </c>
      <c r="I272">
        <v>2</v>
      </c>
      <c r="J272">
        <v>1</v>
      </c>
      <c r="K272">
        <v>0</v>
      </c>
      <c r="L272">
        <v>15.81</v>
      </c>
      <c r="M272">
        <v>27158</v>
      </c>
      <c r="N272">
        <v>14</v>
      </c>
      <c r="O272">
        <v>4</v>
      </c>
      <c r="P272">
        <v>4</v>
      </c>
      <c r="Q272">
        <v>4</v>
      </c>
      <c r="R272">
        <v>4</v>
      </c>
      <c r="S272">
        <v>16</v>
      </c>
      <c r="T272">
        <v>16</v>
      </c>
      <c r="U272">
        <v>4</v>
      </c>
      <c r="V272">
        <v>2</v>
      </c>
      <c r="W272">
        <v>4</v>
      </c>
      <c r="X272">
        <v>4</v>
      </c>
      <c r="Y272">
        <v>4</v>
      </c>
      <c r="Z272">
        <v>3</v>
      </c>
      <c r="AA272">
        <v>3</v>
      </c>
      <c r="AB272">
        <v>2</v>
      </c>
      <c r="AC272">
        <v>1</v>
      </c>
      <c r="AD272">
        <v>1</v>
      </c>
      <c r="AE272">
        <v>4</v>
      </c>
      <c r="AF272">
        <v>3</v>
      </c>
      <c r="AG272">
        <v>5</v>
      </c>
      <c r="AH272">
        <v>1</v>
      </c>
      <c r="AI272">
        <v>2</v>
      </c>
      <c r="AJ272">
        <v>1</v>
      </c>
      <c r="AK272">
        <v>0</v>
      </c>
      <c r="AL272">
        <v>3337915.5</v>
      </c>
      <c r="AM272">
        <v>7187121.5</v>
      </c>
      <c r="AN272">
        <v>5164797</v>
      </c>
      <c r="AO272">
        <v>5264485</v>
      </c>
      <c r="AP272">
        <v>7356435.5</v>
      </c>
      <c r="AQ272">
        <v>6316975</v>
      </c>
      <c r="AR272">
        <v>1180882.25</v>
      </c>
      <c r="AS272">
        <v>511128.06</v>
      </c>
      <c r="AT272" s="23" t="s">
        <v>831</v>
      </c>
      <c r="AU272" s="18">
        <v>62002.41</v>
      </c>
      <c r="AV272" s="18">
        <v>7489251</v>
      </c>
      <c r="AW272" s="19">
        <v>5008650</v>
      </c>
      <c r="AX272" s="19">
        <v>5712456.5</v>
      </c>
      <c r="AY272" s="20">
        <v>4710873.5</v>
      </c>
      <c r="AZ272" s="20">
        <v>4169665.25</v>
      </c>
      <c r="BA272" s="21">
        <v>1349467.38</v>
      </c>
      <c r="BB272" s="21">
        <v>15952.25</v>
      </c>
    </row>
    <row r="273" spans="1:54">
      <c r="A273">
        <v>20135</v>
      </c>
      <c r="B273" t="s">
        <v>855</v>
      </c>
      <c r="C273" t="s">
        <v>856</v>
      </c>
      <c r="D273" t="s">
        <v>855</v>
      </c>
      <c r="E273" t="s">
        <v>857</v>
      </c>
      <c r="F273" t="s">
        <v>858</v>
      </c>
      <c r="G273">
        <v>67.685000000000002</v>
      </c>
      <c r="H273" t="s">
        <v>57</v>
      </c>
      <c r="I273">
        <v>2</v>
      </c>
      <c r="J273">
        <v>1</v>
      </c>
      <c r="K273">
        <v>3</v>
      </c>
      <c r="L273">
        <v>18.059999999999999</v>
      </c>
      <c r="M273">
        <v>16016</v>
      </c>
      <c r="N273">
        <v>8</v>
      </c>
      <c r="O273">
        <v>2</v>
      </c>
      <c r="P273">
        <v>2</v>
      </c>
      <c r="Q273">
        <v>2</v>
      </c>
      <c r="R273">
        <v>2</v>
      </c>
      <c r="S273">
        <v>10</v>
      </c>
      <c r="T273">
        <v>10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1</v>
      </c>
      <c r="AE273">
        <v>2</v>
      </c>
      <c r="AF273">
        <v>2</v>
      </c>
      <c r="AG273">
        <v>2</v>
      </c>
      <c r="AH273">
        <v>1</v>
      </c>
      <c r="AI273">
        <v>2</v>
      </c>
      <c r="AJ273">
        <v>0</v>
      </c>
      <c r="AK273">
        <v>0</v>
      </c>
      <c r="AL273">
        <v>4716360.5</v>
      </c>
      <c r="AM273">
        <v>4890901.5</v>
      </c>
      <c r="AN273">
        <v>4020673.5</v>
      </c>
      <c r="AO273">
        <v>3920285.75</v>
      </c>
      <c r="AP273">
        <v>5777273</v>
      </c>
      <c r="AQ273">
        <v>4722270</v>
      </c>
      <c r="AR273">
        <v>1813178.5</v>
      </c>
      <c r="AS273">
        <v>1543597.75</v>
      </c>
      <c r="AT273" s="23" t="s">
        <v>856</v>
      </c>
      <c r="AU273" s="18">
        <v>1682093.38</v>
      </c>
      <c r="AV273" s="18">
        <v>4186562.75</v>
      </c>
      <c r="AW273" s="19">
        <v>3570045</v>
      </c>
      <c r="AX273" s="19">
        <v>3856532</v>
      </c>
      <c r="AY273" s="20">
        <v>4998301</v>
      </c>
      <c r="AZ273" s="20">
        <v>4566162.5</v>
      </c>
      <c r="BA273" s="21">
        <v>1733536.62</v>
      </c>
      <c r="BB273" s="21">
        <v>1191725.5</v>
      </c>
    </row>
    <row r="274" spans="1:54">
      <c r="A274">
        <v>20142</v>
      </c>
      <c r="B274" t="s">
        <v>111</v>
      </c>
      <c r="C274" t="s">
        <v>112</v>
      </c>
      <c r="D274" t="s">
        <v>111</v>
      </c>
      <c r="E274" t="s">
        <v>113</v>
      </c>
      <c r="F274" t="s">
        <v>114</v>
      </c>
      <c r="G274">
        <v>1513.8130000000001</v>
      </c>
      <c r="H274" t="s">
        <v>57</v>
      </c>
      <c r="I274">
        <v>2</v>
      </c>
      <c r="J274">
        <v>1</v>
      </c>
      <c r="K274">
        <v>2</v>
      </c>
      <c r="L274">
        <v>52.89</v>
      </c>
      <c r="M274">
        <v>108191</v>
      </c>
      <c r="N274">
        <v>64</v>
      </c>
      <c r="O274">
        <v>49</v>
      </c>
      <c r="P274">
        <v>49</v>
      </c>
      <c r="Q274">
        <v>49</v>
      </c>
      <c r="R274">
        <v>49</v>
      </c>
      <c r="S274">
        <v>447</v>
      </c>
      <c r="T274">
        <v>447</v>
      </c>
      <c r="U274">
        <v>49</v>
      </c>
      <c r="V274">
        <v>37</v>
      </c>
      <c r="W274">
        <v>43</v>
      </c>
      <c r="X274">
        <v>44</v>
      </c>
      <c r="Y274">
        <v>46</v>
      </c>
      <c r="Z274">
        <v>42</v>
      </c>
      <c r="AA274">
        <v>41</v>
      </c>
      <c r="AB274">
        <v>45</v>
      </c>
      <c r="AC274">
        <v>47</v>
      </c>
      <c r="AD274">
        <v>58</v>
      </c>
      <c r="AE274">
        <v>68</v>
      </c>
      <c r="AF274">
        <v>67</v>
      </c>
      <c r="AG274">
        <v>63</v>
      </c>
      <c r="AH274">
        <v>33</v>
      </c>
      <c r="AI274">
        <v>35</v>
      </c>
      <c r="AJ274">
        <v>63</v>
      </c>
      <c r="AK274">
        <v>60</v>
      </c>
      <c r="AL274">
        <v>420561824</v>
      </c>
      <c r="AM274">
        <v>506586752</v>
      </c>
      <c r="AN274">
        <v>460575040</v>
      </c>
      <c r="AO274">
        <v>434456640</v>
      </c>
      <c r="AP274">
        <v>369346912</v>
      </c>
      <c r="AQ274">
        <v>428982112</v>
      </c>
      <c r="AR274">
        <v>694914304</v>
      </c>
      <c r="AS274">
        <v>462072928</v>
      </c>
      <c r="AT274" s="23" t="s">
        <v>112</v>
      </c>
      <c r="AU274" s="18">
        <v>504175040</v>
      </c>
      <c r="AV274" s="18">
        <v>472743008</v>
      </c>
      <c r="AW274" s="19">
        <v>420094144</v>
      </c>
      <c r="AX274" s="19">
        <v>464730528</v>
      </c>
      <c r="AY274" s="20">
        <v>128213104</v>
      </c>
      <c r="AZ274" s="20">
        <v>155848432</v>
      </c>
      <c r="BA274" s="21">
        <v>347794080</v>
      </c>
      <c r="BB274" s="21">
        <v>387836928</v>
      </c>
    </row>
    <row r="275" spans="1:54">
      <c r="A275">
        <v>20239</v>
      </c>
      <c r="B275" t="s">
        <v>1075</v>
      </c>
      <c r="C275" t="s">
        <v>1076</v>
      </c>
      <c r="D275" t="s">
        <v>1075</v>
      </c>
      <c r="F275" t="s">
        <v>1077</v>
      </c>
      <c r="G275">
        <v>23.111999999999998</v>
      </c>
      <c r="H275" t="s">
        <v>57</v>
      </c>
      <c r="I275">
        <v>2</v>
      </c>
      <c r="J275">
        <v>1</v>
      </c>
      <c r="K275">
        <v>0</v>
      </c>
      <c r="L275">
        <v>8.85</v>
      </c>
      <c r="M275">
        <v>20694</v>
      </c>
      <c r="N275">
        <v>8</v>
      </c>
      <c r="O275">
        <v>1</v>
      </c>
      <c r="P275">
        <v>1</v>
      </c>
      <c r="Q275">
        <v>1</v>
      </c>
      <c r="R275">
        <v>1</v>
      </c>
      <c r="S275">
        <v>5</v>
      </c>
      <c r="T275">
        <v>5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586648.75</v>
      </c>
      <c r="AM275">
        <v>1207246.8799999999</v>
      </c>
      <c r="AN275">
        <v>1639124.88</v>
      </c>
      <c r="AO275">
        <v>1377295.75</v>
      </c>
      <c r="AP275">
        <v>2435824.25</v>
      </c>
      <c r="AQ275">
        <v>1829740.38</v>
      </c>
      <c r="AR275">
        <v>2362187.5</v>
      </c>
      <c r="AS275">
        <v>1587458.12</v>
      </c>
      <c r="AT275" s="23" t="s">
        <v>1076</v>
      </c>
      <c r="AU275" s="18">
        <v>586648.75</v>
      </c>
      <c r="AV275" s="18">
        <v>931659.31</v>
      </c>
      <c r="AW275" s="19">
        <v>1265569.25</v>
      </c>
      <c r="AX275" s="19">
        <v>1224799.5</v>
      </c>
      <c r="AY275" s="20">
        <v>980847.38</v>
      </c>
      <c r="AZ275" s="20">
        <v>786572.62</v>
      </c>
      <c r="BA275" s="21">
        <v>1264844</v>
      </c>
      <c r="BB275" s="21">
        <v>1245957.75</v>
      </c>
    </row>
    <row r="276" spans="1:54">
      <c r="A276">
        <v>20094</v>
      </c>
      <c r="B276" t="s">
        <v>880</v>
      </c>
      <c r="C276" t="s">
        <v>881</v>
      </c>
      <c r="D276" t="s">
        <v>882</v>
      </c>
      <c r="E276" t="s">
        <v>883</v>
      </c>
      <c r="F276" t="s">
        <v>884</v>
      </c>
      <c r="G276">
        <v>58.078000000000003</v>
      </c>
      <c r="H276" t="s">
        <v>57</v>
      </c>
      <c r="I276">
        <v>2</v>
      </c>
      <c r="J276">
        <v>8</v>
      </c>
      <c r="K276">
        <v>11</v>
      </c>
      <c r="L276">
        <v>8.5500000000000007</v>
      </c>
      <c r="M276">
        <v>51859</v>
      </c>
      <c r="N276">
        <v>33</v>
      </c>
      <c r="O276">
        <v>4</v>
      </c>
      <c r="P276">
        <v>4</v>
      </c>
      <c r="Q276">
        <v>4</v>
      </c>
      <c r="R276">
        <v>4</v>
      </c>
      <c r="S276">
        <v>6</v>
      </c>
      <c r="T276">
        <v>6</v>
      </c>
      <c r="U276">
        <v>4</v>
      </c>
      <c r="V276">
        <v>1</v>
      </c>
      <c r="W276">
        <v>3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4</v>
      </c>
      <c r="AD276">
        <v>0</v>
      </c>
      <c r="AE276">
        <v>1</v>
      </c>
      <c r="AF276">
        <v>2</v>
      </c>
      <c r="AG276">
        <v>2</v>
      </c>
      <c r="AH276">
        <v>1</v>
      </c>
      <c r="AI276">
        <v>1</v>
      </c>
      <c r="AJ276">
        <v>2</v>
      </c>
      <c r="AK276">
        <v>0</v>
      </c>
      <c r="AL276">
        <v>363535.19</v>
      </c>
      <c r="AM276">
        <v>2138464</v>
      </c>
      <c r="AN276">
        <v>2986704</v>
      </c>
      <c r="AO276">
        <v>2779811</v>
      </c>
      <c r="AP276">
        <v>5517460.5</v>
      </c>
      <c r="AQ276">
        <v>5691586</v>
      </c>
      <c r="AR276">
        <v>3655361.25</v>
      </c>
      <c r="AS276">
        <v>2601705</v>
      </c>
      <c r="AT276" s="23" t="s">
        <v>881</v>
      </c>
      <c r="AU276" s="18">
        <v>27197.47</v>
      </c>
      <c r="AV276" s="18">
        <v>2150287.5</v>
      </c>
      <c r="AW276" s="19">
        <v>2221251.75</v>
      </c>
      <c r="AX276" s="19">
        <v>2433532.75</v>
      </c>
      <c r="AY276" s="20">
        <v>2249698.25</v>
      </c>
      <c r="AZ276" s="20">
        <v>2433137</v>
      </c>
      <c r="BA276" s="21">
        <v>1959409.75</v>
      </c>
      <c r="BB276" s="21">
        <v>1954336.12</v>
      </c>
    </row>
    <row r="277" spans="1:54">
      <c r="A277">
        <v>20105</v>
      </c>
      <c r="B277" t="s">
        <v>711</v>
      </c>
      <c r="C277" t="s">
        <v>712</v>
      </c>
      <c r="D277" t="s">
        <v>713</v>
      </c>
      <c r="E277" t="s">
        <v>714</v>
      </c>
      <c r="F277" t="s">
        <v>715</v>
      </c>
      <c r="G277">
        <v>125.622</v>
      </c>
      <c r="H277" t="s">
        <v>57</v>
      </c>
      <c r="I277">
        <v>2</v>
      </c>
      <c r="J277">
        <v>19</v>
      </c>
      <c r="K277">
        <v>1</v>
      </c>
      <c r="L277">
        <v>73.75</v>
      </c>
      <c r="M277">
        <v>8951</v>
      </c>
      <c r="N277">
        <v>6</v>
      </c>
      <c r="O277">
        <v>5</v>
      </c>
      <c r="P277">
        <v>5</v>
      </c>
      <c r="Q277">
        <v>5</v>
      </c>
      <c r="R277">
        <v>5</v>
      </c>
      <c r="S277">
        <v>32</v>
      </c>
      <c r="T277">
        <v>32</v>
      </c>
      <c r="U277">
        <v>5</v>
      </c>
      <c r="V277">
        <v>3</v>
      </c>
      <c r="W277">
        <v>4</v>
      </c>
      <c r="X277">
        <v>5</v>
      </c>
      <c r="Y277">
        <v>5</v>
      </c>
      <c r="Z277">
        <v>5</v>
      </c>
      <c r="AA277">
        <v>4</v>
      </c>
      <c r="AB277">
        <v>5</v>
      </c>
      <c r="AC277">
        <v>5</v>
      </c>
      <c r="AD277">
        <v>1</v>
      </c>
      <c r="AE277">
        <v>4</v>
      </c>
      <c r="AF277">
        <v>5</v>
      </c>
      <c r="AG277">
        <v>6</v>
      </c>
      <c r="AH277">
        <v>3</v>
      </c>
      <c r="AI277">
        <v>4</v>
      </c>
      <c r="AJ277">
        <v>5</v>
      </c>
      <c r="AK277">
        <v>4</v>
      </c>
      <c r="AL277">
        <v>9053684</v>
      </c>
      <c r="AM277">
        <v>9493831</v>
      </c>
      <c r="AN277">
        <v>17153712</v>
      </c>
      <c r="AO277">
        <v>15946868</v>
      </c>
      <c r="AP277">
        <v>17138132</v>
      </c>
      <c r="AQ277">
        <v>19174756</v>
      </c>
      <c r="AR277">
        <v>19277520</v>
      </c>
      <c r="AS277">
        <v>12911465</v>
      </c>
      <c r="AT277" s="23" t="s">
        <v>712</v>
      </c>
      <c r="AU277" s="18">
        <v>937973.25</v>
      </c>
      <c r="AV277" s="18">
        <v>6123337</v>
      </c>
      <c r="AW277" s="19">
        <v>15251917</v>
      </c>
      <c r="AX277" s="19">
        <v>18506684</v>
      </c>
      <c r="AY277" s="20">
        <v>8761357</v>
      </c>
      <c r="AZ277" s="20">
        <v>7190348.5</v>
      </c>
      <c r="BA277" s="21">
        <v>13604331</v>
      </c>
      <c r="BB277" s="21">
        <v>11625668</v>
      </c>
    </row>
    <row r="278" spans="1:54">
      <c r="A278">
        <v>20166</v>
      </c>
      <c r="B278" t="s">
        <v>1028</v>
      </c>
      <c r="C278" t="s">
        <v>1029</v>
      </c>
      <c r="D278" t="s">
        <v>1028</v>
      </c>
      <c r="F278" t="s">
        <v>1030</v>
      </c>
      <c r="G278">
        <v>26.788</v>
      </c>
      <c r="H278" t="s">
        <v>57</v>
      </c>
      <c r="I278">
        <v>2</v>
      </c>
      <c r="J278">
        <v>1</v>
      </c>
      <c r="K278">
        <v>0</v>
      </c>
      <c r="L278">
        <v>17.579999999999998</v>
      </c>
      <c r="M278">
        <v>9895</v>
      </c>
      <c r="N278">
        <v>5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W278">
        <v>1</v>
      </c>
      <c r="Y278">
        <v>1</v>
      </c>
      <c r="Z278">
        <v>1</v>
      </c>
      <c r="AA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416794.56</v>
      </c>
      <c r="AO278">
        <v>167350.19</v>
      </c>
      <c r="AP278">
        <v>665829.75</v>
      </c>
      <c r="AQ278">
        <v>482016.59</v>
      </c>
      <c r="AT278" s="23" t="s">
        <v>1029</v>
      </c>
      <c r="AU278" s="18">
        <v>49505.43</v>
      </c>
      <c r="AV278" s="18">
        <v>321649.65999999997</v>
      </c>
      <c r="AW278" s="19">
        <v>213953.23</v>
      </c>
      <c r="AX278" s="19">
        <v>148820.92000000001</v>
      </c>
      <c r="AY278" s="20">
        <v>268113.5</v>
      </c>
      <c r="AZ278" s="20">
        <v>207210.3</v>
      </c>
      <c r="BA278" s="21">
        <v>199295.7</v>
      </c>
      <c r="BB278" s="21">
        <v>212391.23</v>
      </c>
    </row>
    <row r="279" spans="1:54">
      <c r="A279">
        <v>20093</v>
      </c>
      <c r="B279" t="s">
        <v>1139</v>
      </c>
      <c r="C279" t="s">
        <v>1140</v>
      </c>
      <c r="D279" t="s">
        <v>1141</v>
      </c>
      <c r="F279" t="s">
        <v>1142</v>
      </c>
      <c r="G279">
        <v>14.965</v>
      </c>
      <c r="H279" t="s">
        <v>57</v>
      </c>
      <c r="I279">
        <v>2</v>
      </c>
      <c r="J279">
        <v>20</v>
      </c>
      <c r="K279">
        <v>0</v>
      </c>
      <c r="L279">
        <v>6.75</v>
      </c>
      <c r="M279">
        <v>18343</v>
      </c>
      <c r="N279">
        <v>10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D279">
        <v>0</v>
      </c>
      <c r="AE279">
        <v>1</v>
      </c>
      <c r="AF279">
        <v>0</v>
      </c>
      <c r="AG279">
        <v>0</v>
      </c>
      <c r="AH279">
        <v>1</v>
      </c>
      <c r="AI279">
        <v>1</v>
      </c>
      <c r="AJ279">
        <v>0</v>
      </c>
      <c r="AK279">
        <v>0</v>
      </c>
      <c r="AM279">
        <v>1160701.25</v>
      </c>
      <c r="AN279">
        <v>498354.34</v>
      </c>
      <c r="AO279">
        <v>532768.56000000006</v>
      </c>
      <c r="AP279">
        <v>1487539.88</v>
      </c>
      <c r="AQ279">
        <v>1140679.3799999999</v>
      </c>
      <c r="AT279" s="23" t="s">
        <v>1140</v>
      </c>
      <c r="AU279" s="18">
        <v>49505.43</v>
      </c>
      <c r="AV279" s="18">
        <v>895739</v>
      </c>
      <c r="AW279" s="19">
        <v>384779.66</v>
      </c>
      <c r="AX279" s="19">
        <v>473779.62</v>
      </c>
      <c r="AY279" s="20">
        <v>598996.25</v>
      </c>
      <c r="AZ279" s="20">
        <v>490357.62</v>
      </c>
      <c r="BA279" s="21">
        <v>199295.7</v>
      </c>
      <c r="BB279" s="21">
        <v>212391.23</v>
      </c>
    </row>
    <row r="280" spans="1:54">
      <c r="A280">
        <v>20024</v>
      </c>
      <c r="B280" t="s">
        <v>654</v>
      </c>
      <c r="C280" t="s">
        <v>655</v>
      </c>
      <c r="D280" t="s">
        <v>656</v>
      </c>
      <c r="F280" t="s">
        <v>657</v>
      </c>
      <c r="G280">
        <v>158.327</v>
      </c>
      <c r="H280" t="s">
        <v>57</v>
      </c>
      <c r="I280">
        <v>2</v>
      </c>
      <c r="J280">
        <v>20</v>
      </c>
      <c r="K280">
        <v>0</v>
      </c>
      <c r="L280">
        <v>55.17</v>
      </c>
      <c r="M280">
        <v>9827</v>
      </c>
      <c r="N280">
        <v>4</v>
      </c>
      <c r="O280">
        <v>3</v>
      </c>
      <c r="P280">
        <v>3</v>
      </c>
      <c r="Q280">
        <v>3</v>
      </c>
      <c r="R280">
        <v>3</v>
      </c>
      <c r="S280">
        <v>14</v>
      </c>
      <c r="T280">
        <v>14</v>
      </c>
      <c r="U280">
        <v>3</v>
      </c>
      <c r="V280">
        <v>2</v>
      </c>
      <c r="W280">
        <v>2</v>
      </c>
      <c r="X280">
        <v>2</v>
      </c>
      <c r="Y280">
        <v>2</v>
      </c>
      <c r="Z280">
        <v>3</v>
      </c>
      <c r="AA280">
        <v>3</v>
      </c>
      <c r="AB280">
        <v>3</v>
      </c>
      <c r="AC280">
        <v>3</v>
      </c>
      <c r="AD280">
        <v>2</v>
      </c>
      <c r="AE280">
        <v>1</v>
      </c>
      <c r="AF280">
        <v>1</v>
      </c>
      <c r="AG280">
        <v>1</v>
      </c>
      <c r="AH280">
        <v>3</v>
      </c>
      <c r="AI280">
        <v>3</v>
      </c>
      <c r="AJ280">
        <v>2</v>
      </c>
      <c r="AK280">
        <v>2</v>
      </c>
      <c r="AL280">
        <v>4292546</v>
      </c>
      <c r="AM280">
        <v>3848399.75</v>
      </c>
      <c r="AN280">
        <v>1712063.5</v>
      </c>
      <c r="AO280">
        <v>1586096.5</v>
      </c>
      <c r="AP280">
        <v>11973274</v>
      </c>
      <c r="AQ280">
        <v>10173826</v>
      </c>
      <c r="AR280">
        <v>3015128.5</v>
      </c>
      <c r="AS280">
        <v>2564850.25</v>
      </c>
      <c r="AT280" s="23" t="s">
        <v>655</v>
      </c>
      <c r="AU280" s="18">
        <v>5639389</v>
      </c>
      <c r="AV280" s="18">
        <v>4128497.75</v>
      </c>
      <c r="AW280" s="19">
        <v>1811013.5</v>
      </c>
      <c r="AX280" s="19">
        <v>2028071.75</v>
      </c>
      <c r="AY280" s="20">
        <v>3271564</v>
      </c>
      <c r="AZ280" s="20">
        <v>3425273.75</v>
      </c>
      <c r="BA280" s="21">
        <v>1417337.75</v>
      </c>
      <c r="BB280" s="21">
        <v>1725390.5</v>
      </c>
    </row>
    <row r="281" spans="1:54">
      <c r="A281">
        <v>20079</v>
      </c>
      <c r="B281" t="s">
        <v>1038</v>
      </c>
      <c r="C281" t="s">
        <v>1039</v>
      </c>
      <c r="D281" t="s">
        <v>1040</v>
      </c>
      <c r="F281" t="s">
        <v>1041</v>
      </c>
      <c r="G281">
        <v>25.905000000000001</v>
      </c>
      <c r="H281" t="s">
        <v>57</v>
      </c>
      <c r="I281">
        <v>2</v>
      </c>
      <c r="J281">
        <v>2</v>
      </c>
      <c r="K281">
        <v>0</v>
      </c>
      <c r="L281">
        <v>19.12</v>
      </c>
      <c r="M281">
        <v>8274</v>
      </c>
      <c r="N281">
        <v>5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C281">
        <v>1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M281">
        <v>2716549.75</v>
      </c>
      <c r="AN281">
        <v>646120.06000000006</v>
      </c>
      <c r="AO281">
        <v>1020944.81</v>
      </c>
      <c r="AP281">
        <v>4000988.25</v>
      </c>
      <c r="AQ281">
        <v>1690561.38</v>
      </c>
      <c r="AS281">
        <v>695304.38</v>
      </c>
      <c r="AT281" s="23" t="s">
        <v>1039</v>
      </c>
      <c r="AU281" s="18">
        <v>49505.43</v>
      </c>
      <c r="AV281" s="18">
        <v>2096422</v>
      </c>
      <c r="AW281" s="19">
        <v>498869.66</v>
      </c>
      <c r="AX281" s="19">
        <v>907904.31</v>
      </c>
      <c r="AY281" s="20">
        <v>1611100.88</v>
      </c>
      <c r="AZ281" s="20">
        <v>726742.06</v>
      </c>
      <c r="BA281" s="21">
        <v>199295.7</v>
      </c>
      <c r="BB281" s="21">
        <v>545727.75</v>
      </c>
    </row>
    <row r="282" spans="1:54">
      <c r="A282">
        <v>20267</v>
      </c>
      <c r="B282" t="s">
        <v>1072</v>
      </c>
      <c r="C282" t="s">
        <v>1073</v>
      </c>
      <c r="D282" t="s">
        <v>1072</v>
      </c>
      <c r="F282" t="s">
        <v>1074</v>
      </c>
      <c r="G282">
        <v>23.216000000000001</v>
      </c>
      <c r="H282" t="s">
        <v>57</v>
      </c>
      <c r="I282">
        <v>2</v>
      </c>
      <c r="J282">
        <v>1</v>
      </c>
      <c r="K282">
        <v>0</v>
      </c>
      <c r="L282">
        <v>4.0599999999999996</v>
      </c>
      <c r="M282">
        <v>35048</v>
      </c>
      <c r="N282">
        <v>18</v>
      </c>
      <c r="O282">
        <v>1</v>
      </c>
      <c r="P282">
        <v>1</v>
      </c>
      <c r="Q282">
        <v>1</v>
      </c>
      <c r="R282">
        <v>1</v>
      </c>
      <c r="S282">
        <v>4</v>
      </c>
      <c r="T282">
        <v>4</v>
      </c>
      <c r="U282">
        <v>1</v>
      </c>
      <c r="V282">
        <v>1</v>
      </c>
      <c r="W282">
        <v>1</v>
      </c>
      <c r="X282">
        <v>1</v>
      </c>
      <c r="Y282">
        <v>1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1</v>
      </c>
      <c r="AK282">
        <v>1</v>
      </c>
      <c r="AL282">
        <v>550655.56000000006</v>
      </c>
      <c r="AM282">
        <v>660268.75</v>
      </c>
      <c r="AN282">
        <v>954472.38</v>
      </c>
      <c r="AO282">
        <v>754036.69</v>
      </c>
      <c r="AR282">
        <v>1148887.8799999999</v>
      </c>
      <c r="AS282">
        <v>802136.94</v>
      </c>
      <c r="AT282" s="23" t="s">
        <v>1073</v>
      </c>
      <c r="AU282" s="18">
        <v>550655.56000000006</v>
      </c>
      <c r="AV282" s="18">
        <v>509544.06</v>
      </c>
      <c r="AW282" s="19">
        <v>736948.69</v>
      </c>
      <c r="AX282" s="19">
        <v>670548.62</v>
      </c>
      <c r="AY282" s="20">
        <v>350962.88</v>
      </c>
      <c r="AZ282" s="20">
        <v>247733</v>
      </c>
      <c r="BA282" s="21">
        <v>615177.25</v>
      </c>
      <c r="BB282" s="21">
        <v>629578</v>
      </c>
    </row>
    <row r="283" spans="1:54">
      <c r="A283">
        <v>20223</v>
      </c>
      <c r="B283" t="s">
        <v>602</v>
      </c>
      <c r="C283" t="s">
        <v>603</v>
      </c>
      <c r="D283" t="s">
        <v>604</v>
      </c>
      <c r="F283" t="s">
        <v>605</v>
      </c>
      <c r="G283">
        <v>228.18600000000001</v>
      </c>
      <c r="H283" t="s">
        <v>57</v>
      </c>
      <c r="I283">
        <v>2</v>
      </c>
      <c r="J283">
        <v>2</v>
      </c>
      <c r="K283">
        <v>0</v>
      </c>
      <c r="L283">
        <v>20.66</v>
      </c>
      <c r="M283">
        <v>39666</v>
      </c>
      <c r="N283">
        <v>22</v>
      </c>
      <c r="O283">
        <v>6</v>
      </c>
      <c r="P283">
        <v>6</v>
      </c>
      <c r="Q283">
        <v>6</v>
      </c>
      <c r="R283">
        <v>6</v>
      </c>
      <c r="S283">
        <v>25</v>
      </c>
      <c r="T283">
        <v>25</v>
      </c>
      <c r="U283">
        <v>6</v>
      </c>
      <c r="V283">
        <v>5</v>
      </c>
      <c r="W283">
        <v>5</v>
      </c>
      <c r="X283">
        <v>5</v>
      </c>
      <c r="Y283">
        <v>5</v>
      </c>
      <c r="Z283">
        <v>6</v>
      </c>
      <c r="AA283">
        <v>6</v>
      </c>
      <c r="AB283">
        <v>6</v>
      </c>
      <c r="AC283">
        <v>6</v>
      </c>
      <c r="AD283">
        <v>4</v>
      </c>
      <c r="AE283">
        <v>1</v>
      </c>
      <c r="AF283">
        <v>1</v>
      </c>
      <c r="AG283">
        <v>2</v>
      </c>
      <c r="AH283">
        <v>6</v>
      </c>
      <c r="AI283">
        <v>6</v>
      </c>
      <c r="AJ283">
        <v>3</v>
      </c>
      <c r="AK283">
        <v>2</v>
      </c>
      <c r="AL283">
        <v>8247413.5</v>
      </c>
      <c r="AM283">
        <v>8494103</v>
      </c>
      <c r="AN283">
        <v>7093873</v>
      </c>
      <c r="AO283">
        <v>7151520.5</v>
      </c>
      <c r="AP283">
        <v>19059616</v>
      </c>
      <c r="AQ283">
        <v>16756610</v>
      </c>
      <c r="AR283">
        <v>7868091</v>
      </c>
      <c r="AS283">
        <v>5869868.5</v>
      </c>
      <c r="AT283" s="23" t="s">
        <v>603</v>
      </c>
      <c r="AU283" s="18">
        <v>8578247</v>
      </c>
      <c r="AV283" s="18">
        <v>7297106.5</v>
      </c>
      <c r="AW283" s="19">
        <v>5723201.5</v>
      </c>
      <c r="AX283" s="19">
        <v>6173093</v>
      </c>
      <c r="AY283" s="20">
        <v>7736060.5</v>
      </c>
      <c r="AZ283" s="20">
        <v>7548666.5</v>
      </c>
      <c r="BA283" s="21">
        <v>4336744</v>
      </c>
      <c r="BB283" s="21">
        <v>4714811.5</v>
      </c>
    </row>
    <row r="284" spans="1:54">
      <c r="A284">
        <v>20175</v>
      </c>
      <c r="B284" t="s">
        <v>1020</v>
      </c>
      <c r="C284" t="s">
        <v>1021</v>
      </c>
      <c r="D284" t="s">
        <v>1022</v>
      </c>
      <c r="F284" t="s">
        <v>1023</v>
      </c>
      <c r="G284">
        <v>27.95</v>
      </c>
      <c r="H284" t="s">
        <v>57</v>
      </c>
      <c r="I284">
        <v>2</v>
      </c>
      <c r="J284">
        <v>3</v>
      </c>
      <c r="K284">
        <v>0</v>
      </c>
      <c r="L284">
        <v>12.99</v>
      </c>
      <c r="M284">
        <v>8799</v>
      </c>
      <c r="N284">
        <v>6</v>
      </c>
      <c r="O284">
        <v>1</v>
      </c>
      <c r="P284">
        <v>1</v>
      </c>
      <c r="Q284">
        <v>1</v>
      </c>
      <c r="R284">
        <v>1</v>
      </c>
      <c r="S284">
        <v>2</v>
      </c>
      <c r="T284">
        <v>2</v>
      </c>
      <c r="U284">
        <v>1</v>
      </c>
      <c r="Z284">
        <v>1</v>
      </c>
      <c r="AA284">
        <v>1</v>
      </c>
      <c r="AB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0</v>
      </c>
      <c r="AP284">
        <v>2105678.75</v>
      </c>
      <c r="AQ284">
        <v>1225045.6200000001</v>
      </c>
      <c r="AR284">
        <v>371999.44</v>
      </c>
      <c r="AT284" s="23" t="s">
        <v>1021</v>
      </c>
      <c r="AU284" s="18">
        <v>49505.43</v>
      </c>
      <c r="AV284" s="18">
        <v>111774.65</v>
      </c>
      <c r="AW284" s="19">
        <v>213953.23</v>
      </c>
      <c r="AX284" s="19">
        <v>170153.38</v>
      </c>
      <c r="AY284" s="20">
        <v>847905.81</v>
      </c>
      <c r="AZ284" s="20">
        <v>526625.12</v>
      </c>
      <c r="BA284" s="21">
        <v>199188.8</v>
      </c>
      <c r="BB284" s="21">
        <v>212391.23</v>
      </c>
    </row>
    <row r="285" spans="1:54">
      <c r="A285">
        <v>20156</v>
      </c>
      <c r="B285" t="s">
        <v>673</v>
      </c>
      <c r="C285" t="s">
        <v>674</v>
      </c>
      <c r="D285" t="s">
        <v>675</v>
      </c>
      <c r="F285" t="s">
        <v>676</v>
      </c>
      <c r="G285">
        <v>147.31800000000001</v>
      </c>
      <c r="H285" t="s">
        <v>57</v>
      </c>
      <c r="I285">
        <v>2</v>
      </c>
      <c r="J285">
        <v>3</v>
      </c>
      <c r="K285">
        <v>0</v>
      </c>
      <c r="L285">
        <v>50.75</v>
      </c>
      <c r="M285">
        <v>7276</v>
      </c>
      <c r="N285">
        <v>6</v>
      </c>
      <c r="O285">
        <v>3</v>
      </c>
      <c r="P285">
        <v>3</v>
      </c>
      <c r="Q285">
        <v>3</v>
      </c>
      <c r="R285">
        <v>3</v>
      </c>
      <c r="S285">
        <v>20</v>
      </c>
      <c r="T285">
        <v>20</v>
      </c>
      <c r="U285">
        <v>3</v>
      </c>
      <c r="V285">
        <v>2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2</v>
      </c>
      <c r="AE285">
        <v>4</v>
      </c>
      <c r="AF285">
        <v>3</v>
      </c>
      <c r="AG285">
        <v>3</v>
      </c>
      <c r="AH285">
        <v>3</v>
      </c>
      <c r="AI285">
        <v>3</v>
      </c>
      <c r="AJ285">
        <v>1</v>
      </c>
      <c r="AK285">
        <v>1</v>
      </c>
      <c r="AL285">
        <v>31589072</v>
      </c>
      <c r="AM285">
        <v>35879704</v>
      </c>
      <c r="AN285">
        <v>7888432.5</v>
      </c>
      <c r="AO285">
        <v>7929517</v>
      </c>
      <c r="AP285">
        <v>35944724</v>
      </c>
      <c r="AQ285">
        <v>33569216</v>
      </c>
      <c r="AR285">
        <v>4624926.5</v>
      </c>
      <c r="AS285">
        <v>4218015</v>
      </c>
      <c r="AT285" s="23" t="s">
        <v>674</v>
      </c>
      <c r="AU285" s="18">
        <v>28863088</v>
      </c>
      <c r="AV285" s="18">
        <v>29459956</v>
      </c>
      <c r="AW285" s="19">
        <v>6421258.5</v>
      </c>
      <c r="AX285" s="19">
        <v>7224062.5</v>
      </c>
      <c r="AY285" s="20">
        <v>14371600</v>
      </c>
      <c r="AZ285" s="20">
        <v>14902357</v>
      </c>
      <c r="BA285" s="21">
        <v>2544661.75</v>
      </c>
      <c r="BB285" s="21">
        <v>3025146.5</v>
      </c>
    </row>
    <row r="286" spans="1:54">
      <c r="A286">
        <v>20259</v>
      </c>
      <c r="B286" t="s">
        <v>1069</v>
      </c>
      <c r="C286" t="s">
        <v>1070</v>
      </c>
      <c r="D286" t="s">
        <v>1069</v>
      </c>
      <c r="F286" t="s">
        <v>1071</v>
      </c>
      <c r="G286">
        <v>23.393999999999998</v>
      </c>
      <c r="H286" t="s">
        <v>57</v>
      </c>
      <c r="I286">
        <v>2</v>
      </c>
      <c r="J286">
        <v>1</v>
      </c>
      <c r="K286">
        <v>0</v>
      </c>
      <c r="L286">
        <v>5.44</v>
      </c>
      <c r="M286">
        <v>32665</v>
      </c>
      <c r="N286">
        <v>15</v>
      </c>
      <c r="O286">
        <v>1</v>
      </c>
      <c r="P286">
        <v>1</v>
      </c>
      <c r="Q286">
        <v>1</v>
      </c>
      <c r="R286">
        <v>1</v>
      </c>
      <c r="S286">
        <v>2</v>
      </c>
      <c r="T286">
        <v>2</v>
      </c>
      <c r="U286">
        <v>1</v>
      </c>
      <c r="V286">
        <v>1</v>
      </c>
      <c r="W286">
        <v>1</v>
      </c>
      <c r="X286">
        <v>1</v>
      </c>
      <c r="Z286">
        <v>1</v>
      </c>
      <c r="AA286">
        <v>1</v>
      </c>
      <c r="AD286">
        <v>1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803542.38</v>
      </c>
      <c r="AM286">
        <v>817248.06</v>
      </c>
      <c r="AN286">
        <v>475592.78</v>
      </c>
      <c r="AP286">
        <v>886768.44</v>
      </c>
      <c r="AQ286">
        <v>689750.31</v>
      </c>
      <c r="AT286" s="23" t="s">
        <v>1070</v>
      </c>
      <c r="AU286" s="18">
        <v>803542.38</v>
      </c>
      <c r="AV286" s="18">
        <v>630688.5</v>
      </c>
      <c r="AW286" s="19">
        <v>367205.47</v>
      </c>
      <c r="AX286" s="19">
        <v>170153.38</v>
      </c>
      <c r="AY286" s="20">
        <v>357080.16</v>
      </c>
      <c r="AZ286" s="20">
        <v>296511.28000000003</v>
      </c>
      <c r="BA286" s="21">
        <v>199295.7</v>
      </c>
      <c r="BB286" s="21">
        <v>212391.23</v>
      </c>
    </row>
    <row r="287" spans="1:54">
      <c r="A287">
        <v>20184</v>
      </c>
      <c r="B287" t="s">
        <v>1244</v>
      </c>
      <c r="C287" t="s">
        <v>1245</v>
      </c>
      <c r="D287" t="s">
        <v>1246</v>
      </c>
      <c r="F287" t="s">
        <v>1247</v>
      </c>
      <c r="G287">
        <v>7.41</v>
      </c>
      <c r="H287" t="s">
        <v>57</v>
      </c>
      <c r="I287">
        <v>2</v>
      </c>
      <c r="J287">
        <v>5</v>
      </c>
      <c r="K287">
        <v>0</v>
      </c>
      <c r="L287">
        <v>4.62</v>
      </c>
      <c r="M287">
        <v>25838</v>
      </c>
      <c r="N287">
        <v>13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0</v>
      </c>
      <c r="AH287">
        <v>1</v>
      </c>
      <c r="AI287">
        <v>1</v>
      </c>
      <c r="AJ287">
        <v>1</v>
      </c>
      <c r="AK287">
        <v>0</v>
      </c>
      <c r="AL287">
        <v>203238.11</v>
      </c>
      <c r="AM287">
        <v>536729.81000000006</v>
      </c>
      <c r="AN287">
        <v>523578.06</v>
      </c>
      <c r="AP287">
        <v>611428.43999999994</v>
      </c>
      <c r="AQ287">
        <v>563095.93999999994</v>
      </c>
      <c r="AR287">
        <v>289758.31</v>
      </c>
      <c r="AS287">
        <v>290026.88</v>
      </c>
      <c r="AT287" s="23" t="s">
        <v>1245</v>
      </c>
      <c r="AU287" s="18">
        <v>203238.11</v>
      </c>
      <c r="AV287" s="18">
        <v>414206.34</v>
      </c>
      <c r="AW287" s="19">
        <v>404254.91</v>
      </c>
      <c r="AX287" s="19">
        <v>170153.38</v>
      </c>
      <c r="AY287" s="20">
        <v>246207.41</v>
      </c>
      <c r="AZ287" s="20">
        <v>242064.86</v>
      </c>
      <c r="BA287" s="21">
        <v>155152.41</v>
      </c>
      <c r="BB287" s="21">
        <v>227635.14</v>
      </c>
    </row>
    <row r="288" spans="1:54">
      <c r="A288">
        <v>20188</v>
      </c>
      <c r="B288" t="s">
        <v>1366</v>
      </c>
      <c r="C288" t="s">
        <v>1367</v>
      </c>
      <c r="D288" t="s">
        <v>1366</v>
      </c>
      <c r="E288" t="s">
        <v>1368</v>
      </c>
      <c r="F288" t="s">
        <v>1369</v>
      </c>
      <c r="G288">
        <v>0</v>
      </c>
      <c r="H288" t="s">
        <v>57</v>
      </c>
      <c r="I288">
        <v>2</v>
      </c>
      <c r="J288">
        <v>1</v>
      </c>
      <c r="K288">
        <v>1</v>
      </c>
      <c r="L288">
        <v>3.72</v>
      </c>
      <c r="M288">
        <v>71176</v>
      </c>
      <c r="N288">
        <v>30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1</v>
      </c>
      <c r="W288">
        <v>2</v>
      </c>
      <c r="X288">
        <v>1</v>
      </c>
      <c r="Y288">
        <v>1</v>
      </c>
      <c r="Z288">
        <v>2</v>
      </c>
      <c r="AA288">
        <v>2</v>
      </c>
      <c r="AB288">
        <v>2</v>
      </c>
      <c r="AC288">
        <v>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558949.06000000006</v>
      </c>
      <c r="AM288">
        <v>3772383</v>
      </c>
      <c r="AN288">
        <v>3834173</v>
      </c>
      <c r="AO288">
        <v>3716511.5</v>
      </c>
      <c r="AP288">
        <v>8095450.5</v>
      </c>
      <c r="AQ288">
        <v>9463632</v>
      </c>
      <c r="AR288">
        <v>5726501</v>
      </c>
      <c r="AS288">
        <v>3387330.5</v>
      </c>
      <c r="AT288" s="23" t="s">
        <v>1367</v>
      </c>
      <c r="AU288" s="18">
        <v>30486.97</v>
      </c>
      <c r="AV288" s="18">
        <v>861903.5</v>
      </c>
      <c r="AW288" s="19">
        <v>65719.7</v>
      </c>
      <c r="AX288" s="19">
        <v>68599.78</v>
      </c>
      <c r="AY288" s="20">
        <v>3945668.5</v>
      </c>
      <c r="AZ288" s="20">
        <v>7795566.5</v>
      </c>
      <c r="BA288" s="21">
        <v>4962122</v>
      </c>
      <c r="BB288" s="21">
        <v>4262138</v>
      </c>
    </row>
    <row r="289" spans="1:54">
      <c r="A289">
        <v>20049</v>
      </c>
      <c r="B289" t="s">
        <v>1349</v>
      </c>
      <c r="C289" t="s">
        <v>1350</v>
      </c>
      <c r="D289" t="s">
        <v>1349</v>
      </c>
      <c r="F289" t="s">
        <v>1351</v>
      </c>
      <c r="G289">
        <v>3.1720000000000002</v>
      </c>
      <c r="H289" t="s">
        <v>57</v>
      </c>
      <c r="I289">
        <v>2</v>
      </c>
      <c r="J289">
        <v>1</v>
      </c>
      <c r="K289">
        <v>0</v>
      </c>
      <c r="L289">
        <v>1.77</v>
      </c>
      <c r="M289">
        <v>51192</v>
      </c>
      <c r="N289">
        <v>28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0</v>
      </c>
      <c r="AM289">
        <v>900444.19</v>
      </c>
      <c r="AN289">
        <v>1258670</v>
      </c>
      <c r="AO289">
        <v>1186511.5</v>
      </c>
      <c r="AP289">
        <v>1862569.38</v>
      </c>
      <c r="AQ289">
        <v>1765656.62</v>
      </c>
      <c r="AR289">
        <v>1516320.5</v>
      </c>
      <c r="AS289">
        <v>693256.62</v>
      </c>
      <c r="AT289" s="23" t="s">
        <v>1350</v>
      </c>
      <c r="AU289" s="18">
        <v>49505.43</v>
      </c>
      <c r="AV289" s="18">
        <v>694892.81</v>
      </c>
      <c r="AW289" s="19">
        <v>971819.81</v>
      </c>
      <c r="AX289" s="19">
        <v>1055139.25</v>
      </c>
      <c r="AY289" s="20">
        <v>750011.5</v>
      </c>
      <c r="AZ289" s="20">
        <v>759024.19</v>
      </c>
      <c r="BA289" s="21">
        <v>811920.69</v>
      </c>
      <c r="BB289" s="21">
        <v>544120.5</v>
      </c>
    </row>
    <row r="290" spans="1:54">
      <c r="A290">
        <v>19992</v>
      </c>
      <c r="B290" t="s">
        <v>1352</v>
      </c>
      <c r="C290" t="s">
        <v>1353</v>
      </c>
      <c r="D290" t="s">
        <v>1354</v>
      </c>
      <c r="F290" t="s">
        <v>1355</v>
      </c>
      <c r="G290">
        <v>2.5190000000000001</v>
      </c>
      <c r="H290" t="s">
        <v>57</v>
      </c>
      <c r="I290">
        <v>2</v>
      </c>
      <c r="J290">
        <v>18</v>
      </c>
      <c r="K290">
        <v>0</v>
      </c>
      <c r="L290">
        <v>9.15</v>
      </c>
      <c r="M290">
        <v>19584</v>
      </c>
      <c r="N290">
        <v>13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1</v>
      </c>
      <c r="W290">
        <v>2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2</v>
      </c>
      <c r="AD290">
        <v>0</v>
      </c>
      <c r="AE290">
        <v>2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917436.75</v>
      </c>
      <c r="AM290">
        <v>2846666.5</v>
      </c>
      <c r="AN290">
        <v>1529665.88</v>
      </c>
      <c r="AO290">
        <v>1371130.8799999999</v>
      </c>
      <c r="AP290">
        <v>2274571</v>
      </c>
      <c r="AQ290">
        <v>2543114.5</v>
      </c>
      <c r="AR290">
        <v>893342.81</v>
      </c>
      <c r="AS290">
        <v>924228.81</v>
      </c>
      <c r="AT290" s="23" t="s">
        <v>1353</v>
      </c>
      <c r="AU290" s="18">
        <v>41721.42</v>
      </c>
      <c r="AV290" s="18">
        <v>2464340.5</v>
      </c>
      <c r="AW290" s="19">
        <v>1277467.8799999999</v>
      </c>
      <c r="AX290" s="19">
        <v>1183192</v>
      </c>
      <c r="AY290" s="20">
        <v>987631.75</v>
      </c>
      <c r="AZ290" s="20">
        <v>1243562.6200000001</v>
      </c>
      <c r="BA290" s="21">
        <v>528029.68999999994</v>
      </c>
      <c r="BB290" s="21">
        <v>886981</v>
      </c>
    </row>
    <row r="291" spans="1:54">
      <c r="A291">
        <v>20170</v>
      </c>
      <c r="B291" t="s">
        <v>868</v>
      </c>
      <c r="C291" t="s">
        <v>869</v>
      </c>
      <c r="D291" t="s">
        <v>870</v>
      </c>
      <c r="F291" t="s">
        <v>871</v>
      </c>
      <c r="G291">
        <v>60.987000000000002</v>
      </c>
      <c r="H291" t="s">
        <v>57</v>
      </c>
      <c r="I291">
        <v>2</v>
      </c>
      <c r="J291">
        <v>2</v>
      </c>
      <c r="K291">
        <v>0</v>
      </c>
      <c r="L291">
        <v>13.83</v>
      </c>
      <c r="M291">
        <v>10317</v>
      </c>
      <c r="N291">
        <v>5</v>
      </c>
      <c r="O291">
        <v>1</v>
      </c>
      <c r="P291">
        <v>1</v>
      </c>
      <c r="Q291">
        <v>1</v>
      </c>
      <c r="R291">
        <v>1</v>
      </c>
      <c r="S291">
        <v>6</v>
      </c>
      <c r="T291">
        <v>6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2621655</v>
      </c>
      <c r="AM291">
        <v>2550735</v>
      </c>
      <c r="AN291">
        <v>1781815</v>
      </c>
      <c r="AO291">
        <v>1385016.38</v>
      </c>
      <c r="AP291">
        <v>2414965</v>
      </c>
      <c r="AQ291">
        <v>2395746</v>
      </c>
      <c r="AR291">
        <v>999667.19</v>
      </c>
      <c r="AS291">
        <v>849853.06</v>
      </c>
      <c r="AT291" s="23" t="s">
        <v>869</v>
      </c>
      <c r="AU291" s="18">
        <v>2621655</v>
      </c>
      <c r="AV291" s="18">
        <v>1968458.88</v>
      </c>
      <c r="AW291" s="19">
        <v>1375740.38</v>
      </c>
      <c r="AX291" s="19">
        <v>1231665.25</v>
      </c>
      <c r="AY291" s="20">
        <v>972447.81</v>
      </c>
      <c r="AZ291" s="20">
        <v>1029888.25</v>
      </c>
      <c r="BA291" s="21">
        <v>535276.31000000006</v>
      </c>
      <c r="BB291" s="21">
        <v>667029.25</v>
      </c>
    </row>
    <row r="292" spans="1:54">
      <c r="A292">
        <v>20173</v>
      </c>
      <c r="B292" t="s">
        <v>631</v>
      </c>
      <c r="C292" t="s">
        <v>632</v>
      </c>
      <c r="D292" t="s">
        <v>633</v>
      </c>
      <c r="F292" t="s">
        <v>634</v>
      </c>
      <c r="G292">
        <v>183.88499999999999</v>
      </c>
      <c r="H292" t="s">
        <v>57</v>
      </c>
      <c r="I292">
        <v>2</v>
      </c>
      <c r="J292">
        <v>3</v>
      </c>
      <c r="K292">
        <v>0</v>
      </c>
      <c r="L292">
        <v>56.64</v>
      </c>
      <c r="M292">
        <v>12784</v>
      </c>
      <c r="N292">
        <v>8</v>
      </c>
      <c r="O292">
        <v>5</v>
      </c>
      <c r="P292">
        <v>5</v>
      </c>
      <c r="Q292">
        <v>5</v>
      </c>
      <c r="R292">
        <v>5</v>
      </c>
      <c r="S292">
        <v>74</v>
      </c>
      <c r="T292">
        <v>74</v>
      </c>
      <c r="U292">
        <v>5</v>
      </c>
      <c r="V292">
        <v>4</v>
      </c>
      <c r="W292">
        <v>4</v>
      </c>
      <c r="X292">
        <v>4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13</v>
      </c>
      <c r="AE292">
        <v>12</v>
      </c>
      <c r="AF292">
        <v>10</v>
      </c>
      <c r="AG292">
        <v>6</v>
      </c>
      <c r="AH292">
        <v>12</v>
      </c>
      <c r="AI292">
        <v>11</v>
      </c>
      <c r="AJ292">
        <v>5</v>
      </c>
      <c r="AK292">
        <v>5</v>
      </c>
      <c r="AL292">
        <v>55742876</v>
      </c>
      <c r="AM292">
        <v>56343656</v>
      </c>
      <c r="AN292">
        <v>53765680</v>
      </c>
      <c r="AO292">
        <v>50310552</v>
      </c>
      <c r="AP292">
        <v>95076496</v>
      </c>
      <c r="AQ292">
        <v>81658336</v>
      </c>
      <c r="AR292">
        <v>50426392</v>
      </c>
      <c r="AS292">
        <v>30590984</v>
      </c>
      <c r="AT292" s="23" t="s">
        <v>632</v>
      </c>
      <c r="AU292" s="18">
        <v>48616320</v>
      </c>
      <c r="AV292" s="18">
        <v>41614492</v>
      </c>
      <c r="AW292" s="19">
        <v>41431060</v>
      </c>
      <c r="AX292" s="19">
        <v>46415140</v>
      </c>
      <c r="AY292" s="20">
        <v>54848688</v>
      </c>
      <c r="AZ292" s="20">
        <v>50769872</v>
      </c>
      <c r="BA292" s="21">
        <v>40072632</v>
      </c>
      <c r="BB292" s="21">
        <v>36403148</v>
      </c>
    </row>
    <row r="293" spans="1:54">
      <c r="A293">
        <v>20206</v>
      </c>
      <c r="B293" t="s">
        <v>1143</v>
      </c>
      <c r="C293" t="s">
        <v>1144</v>
      </c>
      <c r="D293" t="s">
        <v>1145</v>
      </c>
      <c r="F293" t="s">
        <v>1146</v>
      </c>
      <c r="G293">
        <v>14.582000000000001</v>
      </c>
      <c r="H293" t="s">
        <v>57</v>
      </c>
      <c r="I293">
        <v>2</v>
      </c>
      <c r="J293">
        <v>2</v>
      </c>
      <c r="K293">
        <v>0</v>
      </c>
      <c r="L293">
        <v>26.67</v>
      </c>
      <c r="M293">
        <v>8174</v>
      </c>
      <c r="N293">
        <v>5</v>
      </c>
      <c r="O293">
        <v>1</v>
      </c>
      <c r="P293">
        <v>1</v>
      </c>
      <c r="Q293">
        <v>1</v>
      </c>
      <c r="R293">
        <v>1</v>
      </c>
      <c r="S293">
        <v>2</v>
      </c>
      <c r="T293">
        <v>2</v>
      </c>
      <c r="U293">
        <v>1</v>
      </c>
      <c r="V293">
        <v>1</v>
      </c>
      <c r="W293">
        <v>1</v>
      </c>
      <c r="X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882547.12</v>
      </c>
      <c r="AM293">
        <v>945592.5</v>
      </c>
      <c r="AN293">
        <v>645308.06000000006</v>
      </c>
      <c r="AP293">
        <v>916775.38</v>
      </c>
      <c r="AQ293">
        <v>669351.06000000006</v>
      </c>
      <c r="AR293">
        <v>585666.68999999994</v>
      </c>
      <c r="AS293">
        <v>481502.12</v>
      </c>
      <c r="AT293" s="23" t="s">
        <v>1144</v>
      </c>
      <c r="AU293" s="18">
        <v>882547.12</v>
      </c>
      <c r="AV293" s="18">
        <v>729734.81</v>
      </c>
      <c r="AW293" s="19">
        <v>498242.72</v>
      </c>
      <c r="AX293" s="19">
        <v>170153.38</v>
      </c>
      <c r="AY293" s="20">
        <v>369163.22</v>
      </c>
      <c r="AZ293" s="20">
        <v>287742.03000000003</v>
      </c>
      <c r="BA293" s="21">
        <v>313597.88</v>
      </c>
      <c r="BB293" s="21">
        <v>377919.47</v>
      </c>
    </row>
    <row r="294" spans="1:54">
      <c r="A294">
        <v>20145</v>
      </c>
      <c r="B294" t="s">
        <v>1193</v>
      </c>
      <c r="C294" t="s">
        <v>1194</v>
      </c>
      <c r="D294" t="s">
        <v>1195</v>
      </c>
      <c r="F294" t="s">
        <v>1196</v>
      </c>
      <c r="G294">
        <v>10.515000000000001</v>
      </c>
      <c r="H294" t="s">
        <v>57</v>
      </c>
      <c r="I294">
        <v>2</v>
      </c>
      <c r="J294">
        <v>3</v>
      </c>
      <c r="K294">
        <v>0</v>
      </c>
      <c r="L294">
        <v>18.559999999999999</v>
      </c>
      <c r="M294">
        <v>10783</v>
      </c>
      <c r="N294">
        <v>7</v>
      </c>
      <c r="O294">
        <v>2</v>
      </c>
      <c r="P294">
        <v>2</v>
      </c>
      <c r="Q294">
        <v>2</v>
      </c>
      <c r="R294">
        <v>2</v>
      </c>
      <c r="S294">
        <v>11</v>
      </c>
      <c r="T294">
        <v>11</v>
      </c>
      <c r="U294">
        <v>2</v>
      </c>
      <c r="V294">
        <v>2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2</v>
      </c>
      <c r="AC294">
        <v>1</v>
      </c>
      <c r="AD294">
        <v>7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</v>
      </c>
      <c r="AK294">
        <v>0</v>
      </c>
      <c r="AL294">
        <v>5961723</v>
      </c>
      <c r="AM294">
        <v>891655.94</v>
      </c>
      <c r="AN294">
        <v>401244.28</v>
      </c>
      <c r="AO294">
        <v>252449.83</v>
      </c>
      <c r="AP294">
        <v>507927.09</v>
      </c>
      <c r="AQ294">
        <v>460931.38</v>
      </c>
      <c r="AR294">
        <v>4246500</v>
      </c>
      <c r="AS294">
        <v>419621.56</v>
      </c>
      <c r="AT294" s="23" t="s">
        <v>1194</v>
      </c>
      <c r="AU294" s="18">
        <v>12023699</v>
      </c>
      <c r="AV294" s="18">
        <v>16205.88</v>
      </c>
      <c r="AW294" s="19">
        <v>12316.89</v>
      </c>
      <c r="AX294" s="19">
        <v>10341.99</v>
      </c>
      <c r="AY294" s="20">
        <v>195149.92</v>
      </c>
      <c r="AZ294" s="20">
        <v>8731.09</v>
      </c>
      <c r="BA294" s="21">
        <v>5638479.5</v>
      </c>
      <c r="BB294" s="21">
        <v>503776.44</v>
      </c>
    </row>
    <row r="295" spans="1:54">
      <c r="A295">
        <v>20197</v>
      </c>
      <c r="B295" t="s">
        <v>979</v>
      </c>
      <c r="C295" t="s">
        <v>980</v>
      </c>
      <c r="D295" t="s">
        <v>981</v>
      </c>
      <c r="F295" t="s">
        <v>982</v>
      </c>
      <c r="G295">
        <v>36.228000000000002</v>
      </c>
      <c r="H295" t="s">
        <v>57</v>
      </c>
      <c r="I295">
        <v>2</v>
      </c>
      <c r="J295">
        <v>2</v>
      </c>
      <c r="K295">
        <v>0</v>
      </c>
      <c r="L295">
        <v>12.64</v>
      </c>
      <c r="M295">
        <v>9196</v>
      </c>
      <c r="N295">
        <v>4</v>
      </c>
      <c r="O295">
        <v>1</v>
      </c>
      <c r="P295">
        <v>1</v>
      </c>
      <c r="Q295">
        <v>1</v>
      </c>
      <c r="R295">
        <v>1</v>
      </c>
      <c r="S295">
        <v>6</v>
      </c>
      <c r="T295">
        <v>6</v>
      </c>
      <c r="U295">
        <v>1</v>
      </c>
      <c r="V295">
        <v>1</v>
      </c>
      <c r="W295">
        <v>1</v>
      </c>
      <c r="Y295">
        <v>1</v>
      </c>
      <c r="Z295">
        <v>1</v>
      </c>
      <c r="AA295">
        <v>1</v>
      </c>
      <c r="AB295">
        <v>1</v>
      </c>
      <c r="AD295">
        <v>1</v>
      </c>
      <c r="AE295">
        <v>1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0</v>
      </c>
      <c r="AL295">
        <v>3072654.25</v>
      </c>
      <c r="AM295">
        <v>2897761.25</v>
      </c>
      <c r="AO295">
        <v>1334512.75</v>
      </c>
      <c r="AP295">
        <v>2664925.75</v>
      </c>
      <c r="AQ295">
        <v>2189591</v>
      </c>
      <c r="AR295">
        <v>716104.44</v>
      </c>
      <c r="AT295" s="23" t="s">
        <v>980</v>
      </c>
      <c r="AU295" s="18">
        <v>3072654.25</v>
      </c>
      <c r="AV295" s="18">
        <v>2236267</v>
      </c>
      <c r="AW295" s="19">
        <v>213953.23</v>
      </c>
      <c r="AX295" s="19">
        <v>1186753.5</v>
      </c>
      <c r="AY295" s="20">
        <v>1073101</v>
      </c>
      <c r="AZ295" s="20">
        <v>941265.94</v>
      </c>
      <c r="BA295" s="21">
        <v>383441.38</v>
      </c>
      <c r="BB295" s="21">
        <v>212391.23</v>
      </c>
    </row>
    <row r="296" spans="1:54">
      <c r="A296">
        <v>20008</v>
      </c>
      <c r="B296" t="s">
        <v>1035</v>
      </c>
      <c r="C296" t="s">
        <v>1036</v>
      </c>
      <c r="D296" t="s">
        <v>1035</v>
      </c>
      <c r="F296" t="s">
        <v>1037</v>
      </c>
      <c r="G296">
        <v>25.937999999999999</v>
      </c>
      <c r="H296" t="s">
        <v>57</v>
      </c>
      <c r="I296">
        <v>2</v>
      </c>
      <c r="J296">
        <v>1</v>
      </c>
      <c r="K296">
        <v>0</v>
      </c>
      <c r="L296">
        <v>3.23</v>
      </c>
      <c r="M296">
        <v>51569</v>
      </c>
      <c r="N296">
        <v>29</v>
      </c>
      <c r="O296">
        <v>2</v>
      </c>
      <c r="P296">
        <v>2</v>
      </c>
      <c r="Q296">
        <v>2</v>
      </c>
      <c r="R296">
        <v>2</v>
      </c>
      <c r="S296">
        <v>8</v>
      </c>
      <c r="T296">
        <v>8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3</v>
      </c>
      <c r="AG296">
        <v>2</v>
      </c>
      <c r="AH296">
        <v>0</v>
      </c>
      <c r="AI296">
        <v>0</v>
      </c>
      <c r="AJ296">
        <v>0</v>
      </c>
      <c r="AK296">
        <v>1</v>
      </c>
      <c r="AL296">
        <v>5738199</v>
      </c>
      <c r="AM296">
        <v>7174905.5</v>
      </c>
      <c r="AN296">
        <v>7008172</v>
      </c>
      <c r="AO296">
        <v>8526352</v>
      </c>
      <c r="AP296">
        <v>3106448.25</v>
      </c>
      <c r="AQ296">
        <v>3227564</v>
      </c>
      <c r="AR296">
        <v>5589221.5</v>
      </c>
      <c r="AS296">
        <v>4361677.5</v>
      </c>
      <c r="AT296" s="23" t="s">
        <v>1036</v>
      </c>
      <c r="AU296" s="18">
        <v>5010065.5</v>
      </c>
      <c r="AV296" s="18">
        <v>6755579.5</v>
      </c>
      <c r="AW296" s="19">
        <v>6610559</v>
      </c>
      <c r="AX296" s="19">
        <v>9032479</v>
      </c>
      <c r="AY296" s="20">
        <v>831975.19</v>
      </c>
      <c r="AZ296" s="20">
        <v>922671.62</v>
      </c>
      <c r="BA296" s="21">
        <v>1987018.12</v>
      </c>
      <c r="BB296" s="21">
        <v>2273173.25</v>
      </c>
    </row>
    <row r="297" spans="1:54">
      <c r="A297">
        <v>20172</v>
      </c>
      <c r="B297" t="s">
        <v>1189</v>
      </c>
      <c r="C297" t="s">
        <v>1190</v>
      </c>
      <c r="D297" t="s">
        <v>1191</v>
      </c>
      <c r="F297" t="s">
        <v>1192</v>
      </c>
      <c r="G297">
        <v>10.597</v>
      </c>
      <c r="H297" t="s">
        <v>57</v>
      </c>
      <c r="I297">
        <v>2</v>
      </c>
      <c r="J297">
        <v>3</v>
      </c>
      <c r="K297">
        <v>0</v>
      </c>
      <c r="L297">
        <v>9.82</v>
      </c>
      <c r="M297">
        <v>13133</v>
      </c>
      <c r="N297">
        <v>9</v>
      </c>
      <c r="O297">
        <v>1</v>
      </c>
      <c r="P297">
        <v>1</v>
      </c>
      <c r="Q297">
        <v>1</v>
      </c>
      <c r="R297">
        <v>1</v>
      </c>
      <c r="S297">
        <v>2</v>
      </c>
      <c r="T297">
        <v>2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1</v>
      </c>
      <c r="AJ297">
        <v>0</v>
      </c>
      <c r="AK297">
        <v>0</v>
      </c>
      <c r="AL297">
        <v>303317.19</v>
      </c>
      <c r="AM297">
        <v>662288.38</v>
      </c>
      <c r="AN297">
        <v>449228.66</v>
      </c>
      <c r="AO297">
        <v>436130.38</v>
      </c>
      <c r="AP297">
        <v>2842485</v>
      </c>
      <c r="AQ297">
        <v>1836728.38</v>
      </c>
      <c r="AR297">
        <v>224707.56</v>
      </c>
      <c r="AS297">
        <v>132884.17000000001</v>
      </c>
      <c r="AT297" s="23" t="s">
        <v>1190</v>
      </c>
      <c r="AU297" s="18">
        <v>303317.19</v>
      </c>
      <c r="AV297" s="18">
        <v>511102.66</v>
      </c>
      <c r="AW297" s="19">
        <v>346849.72</v>
      </c>
      <c r="AX297" s="19">
        <v>387841.38</v>
      </c>
      <c r="AY297" s="20">
        <v>1144599.75</v>
      </c>
      <c r="AZ297" s="20">
        <v>789576.62</v>
      </c>
      <c r="BA297" s="21">
        <v>120320.69</v>
      </c>
      <c r="BB297" s="21">
        <v>104297.60000000001</v>
      </c>
    </row>
    <row r="298" spans="1:54">
      <c r="A298">
        <v>20254</v>
      </c>
      <c r="B298" t="s">
        <v>1066</v>
      </c>
      <c r="C298" t="s">
        <v>1067</v>
      </c>
      <c r="D298" t="s">
        <v>1066</v>
      </c>
      <c r="F298" t="s">
        <v>1068</v>
      </c>
      <c r="G298">
        <v>23.574999999999999</v>
      </c>
      <c r="H298" t="s">
        <v>57</v>
      </c>
      <c r="I298">
        <v>2</v>
      </c>
      <c r="J298">
        <v>1</v>
      </c>
      <c r="K298">
        <v>0</v>
      </c>
      <c r="L298">
        <v>16.170000000000002</v>
      </c>
      <c r="M298">
        <v>26728</v>
      </c>
      <c r="N298">
        <v>15</v>
      </c>
      <c r="O298">
        <v>3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3</v>
      </c>
      <c r="V298">
        <v>2</v>
      </c>
      <c r="W298">
        <v>2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0</v>
      </c>
      <c r="AE298">
        <v>0</v>
      </c>
      <c r="AF298">
        <v>1</v>
      </c>
      <c r="AG298">
        <v>2</v>
      </c>
      <c r="AH298">
        <v>0</v>
      </c>
      <c r="AI298">
        <v>0</v>
      </c>
      <c r="AJ298">
        <v>1</v>
      </c>
      <c r="AK298">
        <v>0</v>
      </c>
      <c r="AL298">
        <v>873485.62</v>
      </c>
      <c r="AM298">
        <v>10148889</v>
      </c>
      <c r="AN298">
        <v>8513755</v>
      </c>
      <c r="AO298">
        <v>8437054</v>
      </c>
      <c r="AP298">
        <v>6573329.5</v>
      </c>
      <c r="AQ298">
        <v>6311722.5</v>
      </c>
      <c r="AR298">
        <v>7915116</v>
      </c>
      <c r="AS298">
        <v>2047684.75</v>
      </c>
      <c r="AT298" s="23" t="s">
        <v>1067</v>
      </c>
      <c r="AU298" s="18">
        <v>738643.5</v>
      </c>
      <c r="AV298" s="18">
        <v>4183479.75</v>
      </c>
      <c r="AW298" s="19">
        <v>5643627</v>
      </c>
      <c r="AX298" s="19">
        <v>7983170</v>
      </c>
      <c r="AY298" s="20">
        <v>3279078.5</v>
      </c>
      <c r="AZ298" s="20">
        <v>3129397.75</v>
      </c>
      <c r="BA298" s="21">
        <v>4671538.5</v>
      </c>
      <c r="BB298" s="21">
        <v>4231219</v>
      </c>
    </row>
    <row r="299" spans="1:54">
      <c r="A299">
        <v>20109</v>
      </c>
      <c r="B299" t="s">
        <v>756</v>
      </c>
      <c r="C299" t="s">
        <v>757</v>
      </c>
      <c r="D299" t="s">
        <v>758</v>
      </c>
      <c r="F299" t="s">
        <v>759</v>
      </c>
      <c r="G299">
        <v>113.13500000000001</v>
      </c>
      <c r="H299" t="s">
        <v>57</v>
      </c>
      <c r="I299">
        <v>2</v>
      </c>
      <c r="J299">
        <v>3</v>
      </c>
      <c r="K299">
        <v>0</v>
      </c>
      <c r="L299">
        <v>11.25</v>
      </c>
      <c r="M299">
        <v>37093</v>
      </c>
      <c r="N299">
        <v>19</v>
      </c>
      <c r="O299">
        <v>3</v>
      </c>
      <c r="P299">
        <v>3</v>
      </c>
      <c r="Q299">
        <v>3</v>
      </c>
      <c r="R299">
        <v>3</v>
      </c>
      <c r="S299">
        <v>12</v>
      </c>
      <c r="T299">
        <v>12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1</v>
      </c>
      <c r="AE299">
        <v>1</v>
      </c>
      <c r="AF299">
        <v>1</v>
      </c>
      <c r="AG299">
        <v>3</v>
      </c>
      <c r="AH299">
        <v>1</v>
      </c>
      <c r="AI299">
        <v>2</v>
      </c>
      <c r="AJ299">
        <v>1</v>
      </c>
      <c r="AK299">
        <v>2</v>
      </c>
      <c r="AL299">
        <v>4125629</v>
      </c>
      <c r="AM299">
        <v>4920805</v>
      </c>
      <c r="AN299">
        <v>7425115.5</v>
      </c>
      <c r="AO299">
        <v>7228154.5</v>
      </c>
      <c r="AP299">
        <v>10501773</v>
      </c>
      <c r="AQ299">
        <v>8389638</v>
      </c>
      <c r="AR299">
        <v>8410776</v>
      </c>
      <c r="AS299">
        <v>5134679.5</v>
      </c>
      <c r="AT299" s="23" t="s">
        <v>757</v>
      </c>
      <c r="AU299" s="18">
        <v>4297257.5</v>
      </c>
      <c r="AV299" s="18">
        <v>3943456.25</v>
      </c>
      <c r="AW299" s="19">
        <v>5850078.5</v>
      </c>
      <c r="AX299" s="19">
        <v>6623332</v>
      </c>
      <c r="AY299" s="20">
        <v>3849424.5</v>
      </c>
      <c r="AZ299" s="20">
        <v>3460133.75</v>
      </c>
      <c r="BA299" s="21">
        <v>4572310.5</v>
      </c>
      <c r="BB299" s="21">
        <v>3977405.25</v>
      </c>
    </row>
    <row r="300" spans="1:54">
      <c r="A300">
        <v>20246</v>
      </c>
      <c r="B300" t="s">
        <v>929</v>
      </c>
      <c r="C300" t="s">
        <v>930</v>
      </c>
      <c r="D300" t="s">
        <v>931</v>
      </c>
      <c r="F300" t="s">
        <v>932</v>
      </c>
      <c r="G300">
        <v>43.033999999999999</v>
      </c>
      <c r="H300" t="s">
        <v>57</v>
      </c>
      <c r="I300">
        <v>2</v>
      </c>
      <c r="J300">
        <v>3</v>
      </c>
      <c r="K300">
        <v>0</v>
      </c>
      <c r="L300">
        <v>15.32</v>
      </c>
      <c r="M300">
        <v>12344</v>
      </c>
      <c r="N300">
        <v>5</v>
      </c>
      <c r="O300">
        <v>1</v>
      </c>
      <c r="P300">
        <v>1</v>
      </c>
      <c r="Q300">
        <v>1</v>
      </c>
      <c r="R300">
        <v>1</v>
      </c>
      <c r="S300">
        <v>3</v>
      </c>
      <c r="T300">
        <v>3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2045463.88</v>
      </c>
      <c r="AM300">
        <v>2074823.88</v>
      </c>
      <c r="AN300">
        <v>856893.25</v>
      </c>
      <c r="AO300">
        <v>1129740.1200000001</v>
      </c>
      <c r="AP300">
        <v>2516030.25</v>
      </c>
      <c r="AQ300">
        <v>2141545</v>
      </c>
      <c r="AR300">
        <v>1195290.8799999999</v>
      </c>
      <c r="AS300">
        <v>1094457.25</v>
      </c>
      <c r="AT300" s="23" t="s">
        <v>930</v>
      </c>
      <c r="AU300" s="18">
        <v>2045463.88</v>
      </c>
      <c r="AV300" s="18">
        <v>1601187.75</v>
      </c>
      <c r="AW300" s="19">
        <v>661607.75</v>
      </c>
      <c r="AX300" s="19">
        <v>1004653.62</v>
      </c>
      <c r="AY300" s="20">
        <v>1013144.38</v>
      </c>
      <c r="AZ300" s="20">
        <v>920611.81</v>
      </c>
      <c r="BA300" s="21">
        <v>640023.93999999994</v>
      </c>
      <c r="BB300" s="21">
        <v>859013.25</v>
      </c>
    </row>
    <row r="301" spans="1:54">
      <c r="A301">
        <v>20241</v>
      </c>
      <c r="B301" t="s">
        <v>885</v>
      </c>
      <c r="C301" t="s">
        <v>886</v>
      </c>
      <c r="D301" t="s">
        <v>887</v>
      </c>
      <c r="F301" t="s">
        <v>888</v>
      </c>
      <c r="G301">
        <v>53.040999999999997</v>
      </c>
      <c r="H301" t="s">
        <v>57</v>
      </c>
      <c r="I301">
        <v>2</v>
      </c>
      <c r="J301">
        <v>2</v>
      </c>
      <c r="K301">
        <v>0</v>
      </c>
      <c r="L301">
        <v>17.190000000000001</v>
      </c>
      <c r="M301">
        <v>13611</v>
      </c>
      <c r="N301">
        <v>8</v>
      </c>
      <c r="O301">
        <v>2</v>
      </c>
      <c r="P301">
        <v>2</v>
      </c>
      <c r="Q301">
        <v>2</v>
      </c>
      <c r="R301">
        <v>2</v>
      </c>
      <c r="S301">
        <v>15</v>
      </c>
      <c r="T301">
        <v>15</v>
      </c>
      <c r="U301">
        <v>2</v>
      </c>
      <c r="V301">
        <v>1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1</v>
      </c>
      <c r="AE301">
        <v>2</v>
      </c>
      <c r="AF301">
        <v>2</v>
      </c>
      <c r="AG301">
        <v>2</v>
      </c>
      <c r="AH301">
        <v>2</v>
      </c>
      <c r="AI301">
        <v>2</v>
      </c>
      <c r="AJ301">
        <v>2</v>
      </c>
      <c r="AK301">
        <v>2</v>
      </c>
      <c r="AL301">
        <v>3040066</v>
      </c>
      <c r="AM301">
        <v>4518369</v>
      </c>
      <c r="AN301">
        <v>4125860</v>
      </c>
      <c r="AO301">
        <v>3696870.5</v>
      </c>
      <c r="AP301">
        <v>7805221</v>
      </c>
      <c r="AQ301">
        <v>7001620</v>
      </c>
      <c r="AR301">
        <v>2370108</v>
      </c>
      <c r="AS301">
        <v>2231322.5</v>
      </c>
      <c r="AT301" s="23" t="s">
        <v>886</v>
      </c>
      <c r="AU301" s="18">
        <v>36621.699999999997</v>
      </c>
      <c r="AV301" s="18">
        <v>3950583.75</v>
      </c>
      <c r="AW301" s="19">
        <v>3473790.5</v>
      </c>
      <c r="AX301" s="19">
        <v>3685411.75</v>
      </c>
      <c r="AY301" s="20">
        <v>3619669.25</v>
      </c>
      <c r="AZ301" s="20">
        <v>3512599.25</v>
      </c>
      <c r="BA301" s="21">
        <v>1462901.62</v>
      </c>
      <c r="BB301" s="21">
        <v>1976375.62</v>
      </c>
    </row>
    <row r="302" spans="1:54">
      <c r="A302">
        <v>20068</v>
      </c>
      <c r="B302" t="s">
        <v>1248</v>
      </c>
      <c r="C302" t="s">
        <v>1249</v>
      </c>
      <c r="D302" t="s">
        <v>1250</v>
      </c>
      <c r="F302" t="s">
        <v>1251</v>
      </c>
      <c r="G302">
        <v>6.4630000000000001</v>
      </c>
      <c r="H302" t="s">
        <v>57</v>
      </c>
      <c r="I302">
        <v>2</v>
      </c>
      <c r="J302">
        <v>21</v>
      </c>
      <c r="K302">
        <v>0</v>
      </c>
      <c r="L302">
        <v>10.62</v>
      </c>
      <c r="M302">
        <v>12942</v>
      </c>
      <c r="N302">
        <v>6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Z302">
        <v>1</v>
      </c>
      <c r="AA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555471.31000000006</v>
      </c>
      <c r="AM302">
        <v>592218</v>
      </c>
      <c r="AP302">
        <v>608923.81000000006</v>
      </c>
      <c r="AQ302">
        <v>451672.47</v>
      </c>
      <c r="AT302" s="23" t="s">
        <v>1249</v>
      </c>
      <c r="AU302" s="18">
        <v>555471.31000000006</v>
      </c>
      <c r="AV302" s="18">
        <v>457027.81</v>
      </c>
      <c r="AW302" s="19">
        <v>213953.23</v>
      </c>
      <c r="AX302" s="19">
        <v>170153.38</v>
      </c>
      <c r="AY302" s="20">
        <v>245198.86</v>
      </c>
      <c r="AZ302" s="20">
        <v>194165.89</v>
      </c>
      <c r="BA302" s="21">
        <v>199295.7</v>
      </c>
      <c r="BB302" s="21">
        <v>212391.23</v>
      </c>
    </row>
    <row r="303" spans="1:54">
      <c r="A303">
        <v>20234</v>
      </c>
      <c r="B303" t="s">
        <v>1174</v>
      </c>
      <c r="C303" t="s">
        <v>1175</v>
      </c>
      <c r="D303" t="s">
        <v>1174</v>
      </c>
      <c r="F303" t="s">
        <v>1176</v>
      </c>
      <c r="G303">
        <v>11.055999999999999</v>
      </c>
      <c r="H303" t="s">
        <v>57</v>
      </c>
      <c r="I303">
        <v>2</v>
      </c>
      <c r="J303">
        <v>1</v>
      </c>
      <c r="K303">
        <v>0</v>
      </c>
      <c r="L303">
        <v>1.24</v>
      </c>
      <c r="M303">
        <v>89778</v>
      </c>
      <c r="N303">
        <v>49</v>
      </c>
      <c r="O303">
        <v>1</v>
      </c>
      <c r="P303">
        <v>1</v>
      </c>
      <c r="Q303">
        <v>1</v>
      </c>
      <c r="R303">
        <v>1</v>
      </c>
      <c r="S303">
        <v>2</v>
      </c>
      <c r="T303">
        <v>2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D303">
        <v>1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399251.09</v>
      </c>
      <c r="AM303">
        <v>693024.56</v>
      </c>
      <c r="AN303">
        <v>201044.77</v>
      </c>
      <c r="AO303">
        <v>195470.28</v>
      </c>
      <c r="AP303">
        <v>329546.5</v>
      </c>
      <c r="AQ303">
        <v>346371.19</v>
      </c>
      <c r="AR303">
        <v>58490.52</v>
      </c>
      <c r="AT303" s="23" t="s">
        <v>1175</v>
      </c>
      <c r="AU303" s="18">
        <v>399251.09</v>
      </c>
      <c r="AV303" s="18">
        <v>534822.5</v>
      </c>
      <c r="AW303" s="19">
        <v>155226.78</v>
      </c>
      <c r="AX303" s="19">
        <v>173827.52</v>
      </c>
      <c r="AY303" s="20">
        <v>132700.38</v>
      </c>
      <c r="AZ303" s="20">
        <v>148898.76999999999</v>
      </c>
      <c r="BA303" s="21">
        <v>31319.02</v>
      </c>
      <c r="BB303" s="21">
        <v>212391.23</v>
      </c>
    </row>
    <row r="304" spans="1:54">
      <c r="A304">
        <v>20238</v>
      </c>
      <c r="B304" t="s">
        <v>1165</v>
      </c>
      <c r="C304" t="s">
        <v>1166</v>
      </c>
      <c r="D304" t="s">
        <v>1165</v>
      </c>
      <c r="F304" t="s">
        <v>1167</v>
      </c>
      <c r="G304">
        <v>11.215999999999999</v>
      </c>
      <c r="H304" t="s">
        <v>57</v>
      </c>
      <c r="I304">
        <v>2</v>
      </c>
      <c r="J304">
        <v>1</v>
      </c>
      <c r="K304">
        <v>0</v>
      </c>
      <c r="L304">
        <v>42.11</v>
      </c>
      <c r="M304">
        <v>2407</v>
      </c>
      <c r="N304">
        <v>2</v>
      </c>
      <c r="O304">
        <v>1</v>
      </c>
      <c r="P304">
        <v>1</v>
      </c>
      <c r="Q304">
        <v>1</v>
      </c>
      <c r="R304">
        <v>1</v>
      </c>
      <c r="S304">
        <v>4</v>
      </c>
      <c r="T304">
        <v>4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2</v>
      </c>
      <c r="AE304">
        <v>1</v>
      </c>
      <c r="AF304">
        <v>1</v>
      </c>
      <c r="AG304">
        <v>1</v>
      </c>
      <c r="AH304">
        <v>1</v>
      </c>
      <c r="AI304">
        <v>2</v>
      </c>
      <c r="AJ304">
        <v>0</v>
      </c>
      <c r="AK304">
        <v>0</v>
      </c>
      <c r="AL304">
        <v>1458459.88</v>
      </c>
      <c r="AM304">
        <v>2007833.62</v>
      </c>
      <c r="AN304">
        <v>1299099.8799999999</v>
      </c>
      <c r="AO304">
        <v>933328.38</v>
      </c>
      <c r="AP304">
        <v>2348755.5</v>
      </c>
      <c r="AQ304">
        <v>2652135.5</v>
      </c>
      <c r="AR304">
        <v>521015.78</v>
      </c>
      <c r="AS304">
        <v>647424.43999999994</v>
      </c>
      <c r="AT304" s="23" t="s">
        <v>1166</v>
      </c>
      <c r="AU304" s="18">
        <v>1458459.88</v>
      </c>
      <c r="AV304" s="18">
        <v>1549489.88</v>
      </c>
      <c r="AW304" s="19">
        <v>1003035.75</v>
      </c>
      <c r="AX304" s="19">
        <v>829988.88</v>
      </c>
      <c r="AY304" s="20">
        <v>945786.88</v>
      </c>
      <c r="AZ304" s="20">
        <v>1140105.5</v>
      </c>
      <c r="BA304" s="21">
        <v>278980.28000000003</v>
      </c>
      <c r="BB304" s="21">
        <v>508147.94</v>
      </c>
    </row>
    <row r="305" spans="1:54">
      <c r="A305">
        <v>20045</v>
      </c>
      <c r="B305" t="s">
        <v>1359</v>
      </c>
      <c r="C305" t="s">
        <v>1360</v>
      </c>
      <c r="D305" t="s">
        <v>1359</v>
      </c>
      <c r="F305" t="s">
        <v>1361</v>
      </c>
      <c r="G305">
        <v>0</v>
      </c>
      <c r="H305" t="s">
        <v>57</v>
      </c>
      <c r="I305">
        <v>2</v>
      </c>
      <c r="J305">
        <v>1</v>
      </c>
      <c r="K305">
        <v>0</v>
      </c>
      <c r="L305">
        <v>2.71</v>
      </c>
      <c r="M305">
        <v>60698</v>
      </c>
      <c r="N305">
        <v>35</v>
      </c>
      <c r="O305">
        <v>2</v>
      </c>
      <c r="P305">
        <v>2</v>
      </c>
      <c r="Q305">
        <v>2</v>
      </c>
      <c r="R305">
        <v>2</v>
      </c>
      <c r="S305">
        <v>5</v>
      </c>
      <c r="T305">
        <v>5</v>
      </c>
      <c r="U305">
        <v>2</v>
      </c>
      <c r="V305">
        <v>1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3</v>
      </c>
      <c r="AK305">
        <v>2</v>
      </c>
      <c r="AL305">
        <v>7986373.5</v>
      </c>
      <c r="AM305">
        <v>8365929</v>
      </c>
      <c r="AN305">
        <v>9992270</v>
      </c>
      <c r="AO305">
        <v>9379240</v>
      </c>
      <c r="AP305">
        <v>13489273</v>
      </c>
      <c r="AQ305">
        <v>12541042</v>
      </c>
      <c r="AR305">
        <v>20207318</v>
      </c>
      <c r="AS305">
        <v>12585604</v>
      </c>
      <c r="AT305" s="23" t="s">
        <v>1360</v>
      </c>
      <c r="AU305" s="18">
        <v>337853.78</v>
      </c>
      <c r="AV305" s="18">
        <v>5563875.5</v>
      </c>
      <c r="AW305" s="19">
        <v>7286995</v>
      </c>
      <c r="AX305" s="19">
        <v>6378788.5</v>
      </c>
      <c r="AY305" s="20">
        <v>6694392</v>
      </c>
      <c r="AZ305" s="20">
        <v>7186806.5</v>
      </c>
      <c r="BA305" s="21">
        <v>14603181</v>
      </c>
      <c r="BB305" s="21">
        <v>12613407</v>
      </c>
    </row>
    <row r="306" spans="1:54">
      <c r="A306">
        <v>20153</v>
      </c>
      <c r="B306" t="s">
        <v>1112</v>
      </c>
      <c r="C306" t="s">
        <v>1113</v>
      </c>
      <c r="D306" t="s">
        <v>1114</v>
      </c>
      <c r="F306" t="s">
        <v>1115</v>
      </c>
      <c r="G306">
        <v>18.059000000000001</v>
      </c>
      <c r="H306" t="s">
        <v>57</v>
      </c>
      <c r="I306">
        <v>2</v>
      </c>
      <c r="J306">
        <v>3</v>
      </c>
      <c r="K306">
        <v>0</v>
      </c>
      <c r="L306">
        <v>9.9</v>
      </c>
      <c r="M306">
        <v>11051</v>
      </c>
      <c r="N306">
        <v>6</v>
      </c>
      <c r="O306">
        <v>1</v>
      </c>
      <c r="P306">
        <v>1</v>
      </c>
      <c r="Q306">
        <v>1</v>
      </c>
      <c r="R306">
        <v>1</v>
      </c>
      <c r="S306">
        <v>2</v>
      </c>
      <c r="T306">
        <v>2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972094.88</v>
      </c>
      <c r="AM306">
        <v>1273306.5</v>
      </c>
      <c r="AN306">
        <v>391353.16</v>
      </c>
      <c r="AO306">
        <v>340579.81</v>
      </c>
      <c r="AP306">
        <v>1150665.6200000001</v>
      </c>
      <c r="AQ306">
        <v>479234.97</v>
      </c>
      <c r="AR306">
        <v>366013.75</v>
      </c>
      <c r="AS306">
        <v>443898.59</v>
      </c>
      <c r="AT306" s="23" t="s">
        <v>1113</v>
      </c>
      <c r="AU306" s="18">
        <v>972094.88</v>
      </c>
      <c r="AV306" s="18">
        <v>982638.94</v>
      </c>
      <c r="AW306" s="19">
        <v>302164</v>
      </c>
      <c r="AX306" s="19">
        <v>302870.31</v>
      </c>
      <c r="AY306" s="20">
        <v>463345.16</v>
      </c>
      <c r="AZ306" s="20">
        <v>206014.53</v>
      </c>
      <c r="BA306" s="21">
        <v>195983.72</v>
      </c>
      <c r="BB306" s="21">
        <v>348405.34</v>
      </c>
    </row>
    <row r="307" spans="1:54">
      <c r="A307">
        <v>20003</v>
      </c>
      <c r="B307" t="s">
        <v>501</v>
      </c>
      <c r="C307" t="s">
        <v>502</v>
      </c>
      <c r="D307" t="s">
        <v>503</v>
      </c>
      <c r="E307" t="s">
        <v>504</v>
      </c>
      <c r="F307" t="s">
        <v>505</v>
      </c>
      <c r="G307">
        <v>313.19900000000001</v>
      </c>
      <c r="H307" t="s">
        <v>57</v>
      </c>
      <c r="I307">
        <v>2</v>
      </c>
      <c r="J307">
        <v>3</v>
      </c>
      <c r="K307">
        <v>17</v>
      </c>
      <c r="L307">
        <v>67.09</v>
      </c>
      <c r="M307">
        <v>9402</v>
      </c>
      <c r="N307">
        <v>6</v>
      </c>
      <c r="O307">
        <v>5</v>
      </c>
      <c r="P307">
        <v>5</v>
      </c>
      <c r="Q307">
        <v>5</v>
      </c>
      <c r="R307">
        <v>5</v>
      </c>
      <c r="S307">
        <v>61</v>
      </c>
      <c r="T307">
        <v>61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4</v>
      </c>
      <c r="AC307">
        <v>4</v>
      </c>
      <c r="AD307">
        <v>13</v>
      </c>
      <c r="AE307">
        <v>7</v>
      </c>
      <c r="AF307">
        <v>8</v>
      </c>
      <c r="AG307">
        <v>9</v>
      </c>
      <c r="AH307">
        <v>7</v>
      </c>
      <c r="AI307">
        <v>8</v>
      </c>
      <c r="AJ307">
        <v>4</v>
      </c>
      <c r="AK307">
        <v>5</v>
      </c>
      <c r="AL307">
        <v>39744640</v>
      </c>
      <c r="AM307">
        <v>65379588</v>
      </c>
      <c r="AN307">
        <v>49219800</v>
      </c>
      <c r="AO307">
        <v>49597948</v>
      </c>
      <c r="AP307">
        <v>88146584</v>
      </c>
      <c r="AQ307">
        <v>85272792</v>
      </c>
      <c r="AR307">
        <v>29522544</v>
      </c>
      <c r="AS307">
        <v>22468784</v>
      </c>
      <c r="AT307" s="23" t="s">
        <v>502</v>
      </c>
      <c r="AU307" s="18">
        <v>43460636</v>
      </c>
      <c r="AV307" s="18">
        <v>52686592</v>
      </c>
      <c r="AW307" s="19">
        <v>39009608</v>
      </c>
      <c r="AX307" s="19">
        <v>46004340</v>
      </c>
      <c r="AY307" s="20">
        <v>41719540</v>
      </c>
      <c r="AZ307" s="20">
        <v>39460932</v>
      </c>
      <c r="BA307" s="21">
        <v>19260206</v>
      </c>
      <c r="BB307" s="21">
        <v>23748616</v>
      </c>
    </row>
    <row r="308" spans="1:54">
      <c r="A308">
        <v>20235</v>
      </c>
      <c r="B308" t="s">
        <v>1157</v>
      </c>
      <c r="C308" t="s">
        <v>1158</v>
      </c>
      <c r="D308" t="s">
        <v>1159</v>
      </c>
      <c r="F308" t="s">
        <v>1160</v>
      </c>
      <c r="G308">
        <v>12.128</v>
      </c>
      <c r="H308" t="s">
        <v>57</v>
      </c>
      <c r="I308">
        <v>2</v>
      </c>
      <c r="J308">
        <v>2</v>
      </c>
      <c r="K308">
        <v>0</v>
      </c>
      <c r="L308">
        <v>13.48</v>
      </c>
      <c r="M308">
        <v>16179</v>
      </c>
      <c r="N308">
        <v>12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1000873.56</v>
      </c>
      <c r="AN308">
        <v>834621.5</v>
      </c>
      <c r="AO308">
        <v>674004.94</v>
      </c>
      <c r="AP308">
        <v>889012.31</v>
      </c>
      <c r="AQ308">
        <v>899270.75</v>
      </c>
      <c r="AR308">
        <v>1063713.8799999999</v>
      </c>
      <c r="AS308">
        <v>591732.88</v>
      </c>
      <c r="AT308" s="23" t="s">
        <v>1158</v>
      </c>
      <c r="AU308" s="18">
        <v>49505.43</v>
      </c>
      <c r="AV308" s="18">
        <v>772396.38</v>
      </c>
      <c r="AW308" s="19">
        <v>644411.75</v>
      </c>
      <c r="AX308" s="19">
        <v>599378.12</v>
      </c>
      <c r="AY308" s="20">
        <v>357983.72</v>
      </c>
      <c r="AZ308" s="20">
        <v>386580.38</v>
      </c>
      <c r="BA308" s="21">
        <v>569570.43999999994</v>
      </c>
      <c r="BB308" s="21">
        <v>464436.94</v>
      </c>
    </row>
    <row r="309" spans="1:54">
      <c r="A309">
        <v>20150</v>
      </c>
      <c r="B309" t="s">
        <v>224</v>
      </c>
      <c r="D309" t="s">
        <v>225</v>
      </c>
      <c r="F309" t="s">
        <v>226</v>
      </c>
      <c r="G309">
        <v>895.40499999999997</v>
      </c>
      <c r="H309" t="s">
        <v>57</v>
      </c>
      <c r="I309">
        <v>2</v>
      </c>
      <c r="J309">
        <v>4</v>
      </c>
      <c r="K309">
        <v>0</v>
      </c>
      <c r="L309">
        <v>26.35</v>
      </c>
      <c r="M309">
        <v>84600</v>
      </c>
      <c r="N309">
        <v>34</v>
      </c>
      <c r="O309">
        <v>18</v>
      </c>
      <c r="P309">
        <v>18</v>
      </c>
      <c r="Q309">
        <v>24</v>
      </c>
      <c r="R309">
        <v>24</v>
      </c>
      <c r="S309">
        <v>304</v>
      </c>
      <c r="T309">
        <v>304</v>
      </c>
      <c r="U309">
        <v>24</v>
      </c>
      <c r="V309">
        <v>16</v>
      </c>
      <c r="W309">
        <v>20</v>
      </c>
      <c r="X309">
        <v>15</v>
      </c>
      <c r="Y309">
        <v>14</v>
      </c>
      <c r="Z309">
        <v>22</v>
      </c>
      <c r="AA309">
        <v>22</v>
      </c>
      <c r="AB309">
        <v>20</v>
      </c>
      <c r="AC309">
        <v>19</v>
      </c>
      <c r="AD309">
        <v>56</v>
      </c>
      <c r="AE309">
        <v>62</v>
      </c>
      <c r="AF309">
        <v>16</v>
      </c>
      <c r="AG309">
        <v>19</v>
      </c>
      <c r="AH309">
        <v>47</v>
      </c>
      <c r="AI309">
        <v>52</v>
      </c>
      <c r="AJ309">
        <v>31</v>
      </c>
      <c r="AK309">
        <v>21</v>
      </c>
      <c r="AL309">
        <v>711875712</v>
      </c>
      <c r="AM309">
        <v>781310080</v>
      </c>
      <c r="AN309">
        <v>135677344</v>
      </c>
      <c r="AO309">
        <v>116176824</v>
      </c>
      <c r="AP309">
        <v>944991296</v>
      </c>
      <c r="AQ309">
        <v>712457856</v>
      </c>
      <c r="AR309">
        <v>311107520</v>
      </c>
      <c r="AS309">
        <v>179457136</v>
      </c>
      <c r="AT309" s="23" t="s">
        <v>224</v>
      </c>
      <c r="AU309" s="18">
        <v>522967776</v>
      </c>
      <c r="AV309" s="18">
        <v>633046464</v>
      </c>
      <c r="AW309" s="19">
        <v>114818200</v>
      </c>
      <c r="AX309" s="19">
        <v>113220800</v>
      </c>
      <c r="AY309" s="20">
        <v>460591744</v>
      </c>
      <c r="AZ309" s="20">
        <v>401651872</v>
      </c>
      <c r="BA309" s="21">
        <v>225142624</v>
      </c>
      <c r="BB309" s="21">
        <v>192217808</v>
      </c>
    </row>
    <row r="310" spans="1:54">
      <c r="A310">
        <v>20078</v>
      </c>
      <c r="B310" t="s">
        <v>364</v>
      </c>
      <c r="D310" t="s">
        <v>364</v>
      </c>
      <c r="E310" t="s">
        <v>365</v>
      </c>
      <c r="F310" t="s">
        <v>366</v>
      </c>
      <c r="G310">
        <v>558.63800000000003</v>
      </c>
      <c r="H310" t="s">
        <v>57</v>
      </c>
      <c r="I310">
        <v>2</v>
      </c>
      <c r="J310">
        <v>1</v>
      </c>
      <c r="K310">
        <v>1</v>
      </c>
      <c r="L310">
        <v>66.94</v>
      </c>
      <c r="M310">
        <v>27714</v>
      </c>
      <c r="N310">
        <v>13</v>
      </c>
      <c r="O310">
        <v>11</v>
      </c>
      <c r="P310">
        <v>11</v>
      </c>
      <c r="Q310">
        <v>12</v>
      </c>
      <c r="R310">
        <v>12</v>
      </c>
      <c r="S310">
        <v>469</v>
      </c>
      <c r="T310">
        <v>469</v>
      </c>
      <c r="U310">
        <v>12</v>
      </c>
      <c r="V310">
        <v>8</v>
      </c>
      <c r="W310">
        <v>9</v>
      </c>
      <c r="X310">
        <v>9</v>
      </c>
      <c r="Y310">
        <v>11</v>
      </c>
      <c r="Z310">
        <v>11</v>
      </c>
      <c r="AA310">
        <v>11</v>
      </c>
      <c r="AB310">
        <v>12</v>
      </c>
      <c r="AC310">
        <v>12</v>
      </c>
      <c r="AD310">
        <v>69</v>
      </c>
      <c r="AE310">
        <v>71</v>
      </c>
      <c r="AF310">
        <v>41</v>
      </c>
      <c r="AG310">
        <v>39</v>
      </c>
      <c r="AH310">
        <v>77</v>
      </c>
      <c r="AI310">
        <v>67</v>
      </c>
      <c r="AJ310">
        <v>43</v>
      </c>
      <c r="AK310">
        <v>62</v>
      </c>
      <c r="AL310">
        <v>460645600</v>
      </c>
      <c r="AM310">
        <v>678849728</v>
      </c>
      <c r="AN310">
        <v>242221440</v>
      </c>
      <c r="AO310">
        <v>271669152</v>
      </c>
      <c r="AP310">
        <v>1554415488</v>
      </c>
      <c r="AQ310">
        <v>1334275072</v>
      </c>
      <c r="AR310">
        <v>457079744</v>
      </c>
      <c r="AS310">
        <v>403346112</v>
      </c>
      <c r="AT310" s="23" t="s">
        <v>364</v>
      </c>
      <c r="AU310" s="18">
        <v>284390336</v>
      </c>
      <c r="AV310" s="18">
        <v>371244096</v>
      </c>
      <c r="AW310" s="19">
        <v>144580032</v>
      </c>
      <c r="AX310" s="19">
        <v>189679680</v>
      </c>
      <c r="AY310" s="20">
        <v>752762304</v>
      </c>
      <c r="AZ310" s="20">
        <v>702680640</v>
      </c>
      <c r="BA310" s="21">
        <v>391209056</v>
      </c>
      <c r="BB310" s="21">
        <v>458612832</v>
      </c>
    </row>
    <row r="311" spans="1:54">
      <c r="A311">
        <v>20143</v>
      </c>
      <c r="B311" t="s">
        <v>569</v>
      </c>
      <c r="D311" t="s">
        <v>569</v>
      </c>
      <c r="F311" t="s">
        <v>570</v>
      </c>
      <c r="G311">
        <v>250.41200000000001</v>
      </c>
      <c r="H311" t="s">
        <v>57</v>
      </c>
      <c r="I311">
        <v>2</v>
      </c>
      <c r="J311">
        <v>1</v>
      </c>
      <c r="K311">
        <v>0</v>
      </c>
      <c r="L311">
        <v>25.11</v>
      </c>
      <c r="M311">
        <v>24409</v>
      </c>
      <c r="N311">
        <v>12</v>
      </c>
      <c r="O311">
        <v>4</v>
      </c>
      <c r="P311">
        <v>4</v>
      </c>
      <c r="Q311">
        <v>5</v>
      </c>
      <c r="R311">
        <v>5</v>
      </c>
      <c r="S311">
        <v>133</v>
      </c>
      <c r="T311">
        <v>133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19</v>
      </c>
      <c r="AE311">
        <v>15</v>
      </c>
      <c r="AF311">
        <v>19</v>
      </c>
      <c r="AG311">
        <v>17</v>
      </c>
      <c r="AH311">
        <v>13</v>
      </c>
      <c r="AI311">
        <v>13</v>
      </c>
      <c r="AJ311">
        <v>17</v>
      </c>
      <c r="AK311">
        <v>20</v>
      </c>
      <c r="AL311">
        <v>1561640448</v>
      </c>
      <c r="AM311">
        <v>1370350336</v>
      </c>
      <c r="AN311">
        <v>1335456512</v>
      </c>
      <c r="AO311">
        <v>1345870464</v>
      </c>
      <c r="AP311">
        <v>1289725312</v>
      </c>
      <c r="AQ311">
        <v>1318624640</v>
      </c>
      <c r="AR311">
        <v>1298822400</v>
      </c>
      <c r="AS311">
        <v>1083227264</v>
      </c>
      <c r="AT311" s="23" t="s">
        <v>569</v>
      </c>
      <c r="AU311" s="18">
        <v>932254464</v>
      </c>
      <c r="AV311" s="18">
        <v>795665344</v>
      </c>
      <c r="AW311" s="19">
        <v>1071917888</v>
      </c>
      <c r="AX311" s="19">
        <v>1174658048</v>
      </c>
      <c r="AY311" s="20">
        <v>636945728</v>
      </c>
      <c r="AZ311" s="20">
        <v>753728000</v>
      </c>
      <c r="BA311" s="21">
        <v>976053952</v>
      </c>
      <c r="BB311" s="21">
        <v>1247016960</v>
      </c>
    </row>
    <row r="312" spans="1:54">
      <c r="A312">
        <v>20253</v>
      </c>
      <c r="B312" t="s">
        <v>957</v>
      </c>
      <c r="D312" t="s">
        <v>957</v>
      </c>
      <c r="F312" t="s">
        <v>958</v>
      </c>
      <c r="G312">
        <v>40.436999999999998</v>
      </c>
      <c r="H312" t="s">
        <v>57</v>
      </c>
      <c r="I312">
        <v>2</v>
      </c>
      <c r="J312">
        <v>1</v>
      </c>
      <c r="K312">
        <v>0</v>
      </c>
      <c r="L312">
        <v>6.01</v>
      </c>
      <c r="M312">
        <v>18833</v>
      </c>
      <c r="N312">
        <v>8</v>
      </c>
      <c r="O312">
        <v>1</v>
      </c>
      <c r="P312">
        <v>1</v>
      </c>
      <c r="Q312">
        <v>1</v>
      </c>
      <c r="R312">
        <v>1</v>
      </c>
      <c r="S312">
        <v>16</v>
      </c>
      <c r="T312">
        <v>16</v>
      </c>
      <c r="U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0</v>
      </c>
      <c r="AE312">
        <v>2</v>
      </c>
      <c r="AF312">
        <v>3</v>
      </c>
      <c r="AG312">
        <v>2</v>
      </c>
      <c r="AH312">
        <v>2</v>
      </c>
      <c r="AI312">
        <v>2</v>
      </c>
      <c r="AJ312">
        <v>2</v>
      </c>
      <c r="AK312">
        <v>3</v>
      </c>
      <c r="AM312">
        <v>6205286</v>
      </c>
      <c r="AN312">
        <v>7010433</v>
      </c>
      <c r="AO312">
        <v>8077357.5</v>
      </c>
      <c r="AP312">
        <v>8801096</v>
      </c>
      <c r="AQ312">
        <v>10052837</v>
      </c>
      <c r="AR312">
        <v>8753265</v>
      </c>
      <c r="AS312">
        <v>5623334</v>
      </c>
      <c r="AT312" s="23" t="s">
        <v>957</v>
      </c>
      <c r="AU312" s="18">
        <v>49505.43</v>
      </c>
      <c r="AV312" s="18">
        <v>4788757</v>
      </c>
      <c r="AW312" s="19">
        <v>5412759</v>
      </c>
      <c r="AX312" s="19">
        <v>7183020.5</v>
      </c>
      <c r="AY312" s="20">
        <v>3543988</v>
      </c>
      <c r="AZ312" s="20">
        <v>4321534.5</v>
      </c>
      <c r="BA312" s="21">
        <v>4686975.5</v>
      </c>
      <c r="BB312" s="21">
        <v>4413620</v>
      </c>
    </row>
  </sheetData>
  <autoFilter ref="A1:BB312" xr:uid="{06CB099D-6FD7-47AB-B991-7A2099F2CF1D}">
    <sortState xmlns:xlrd2="http://schemas.microsoft.com/office/spreadsheetml/2017/richdata2" ref="A2:BB312">
      <sortCondition ref="AT1:AT312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EE87-C327-49CA-B7F6-0030417318DA}">
  <sheetPr filterMode="1"/>
  <dimension ref="A1:BJ312"/>
  <sheetViews>
    <sheetView tabSelected="1" topLeftCell="BC1" zoomScale="86" zoomScaleNormal="86" workbookViewId="0">
      <selection activeCell="BI27" sqref="BI27"/>
    </sheetView>
  </sheetViews>
  <sheetFormatPr baseColWidth="10" defaultColWidth="8.75" defaultRowHeight="14.25"/>
  <cols>
    <col min="1" max="1" width="15" customWidth="1"/>
    <col min="2" max="2" width="23" customWidth="1"/>
    <col min="3" max="3" width="15" customWidth="1"/>
    <col min="4" max="6" width="3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5" width="27" customWidth="1"/>
    <col min="26" max="28" width="26" customWidth="1"/>
    <col min="29" max="29" width="27" customWidth="1"/>
    <col min="30" max="33" width="22" customWidth="1"/>
    <col min="34" max="36" width="21" customWidth="1"/>
    <col min="37" max="37" width="22" customWidth="1"/>
    <col min="38" max="41" width="26" customWidth="1"/>
    <col min="42" max="44" width="25" customWidth="1"/>
    <col min="45" max="45" width="26" customWidth="1"/>
    <col min="46" max="46" width="22.75" style="23" bestFit="1" customWidth="1"/>
    <col min="47" max="48" width="22.875" style="18" bestFit="1" customWidth="1"/>
    <col min="49" max="49" width="22.5" style="19" bestFit="1" customWidth="1"/>
    <col min="50" max="50" width="22.375" style="19" bestFit="1" customWidth="1"/>
    <col min="51" max="52" width="21.875" style="20" bestFit="1" customWidth="1"/>
    <col min="53" max="53" width="21.5" style="21" bestFit="1" customWidth="1"/>
    <col min="54" max="54" width="22.375" style="21" bestFit="1" customWidth="1"/>
    <col min="56" max="56" width="18" customWidth="1"/>
    <col min="57" max="57" width="17.375" customWidth="1"/>
    <col min="58" max="58" width="12.375" customWidth="1"/>
    <col min="59" max="59" width="14.125" customWidth="1"/>
    <col min="60" max="60" width="24.25" bestFit="1" customWidth="1"/>
    <col min="61" max="61" width="23" bestFit="1" customWidth="1"/>
    <col min="62" max="62" width="21.25" bestFit="1" customWidth="1"/>
  </cols>
  <sheetData>
    <row r="1" spans="1:62" ht="15">
      <c r="A1" s="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22" t="s">
        <v>2</v>
      </c>
      <c r="AU1" s="14" t="s">
        <v>45</v>
      </c>
      <c r="AV1" s="14" t="s">
        <v>46</v>
      </c>
      <c r="AW1" s="15" t="s">
        <v>47</v>
      </c>
      <c r="AX1" s="15" t="s">
        <v>48</v>
      </c>
      <c r="AY1" s="16" t="s">
        <v>49</v>
      </c>
      <c r="AZ1" s="16" t="s">
        <v>50</v>
      </c>
      <c r="BA1" s="17" t="s">
        <v>51</v>
      </c>
      <c r="BB1" s="17" t="s">
        <v>52</v>
      </c>
      <c r="BC1" s="22" t="s">
        <v>2</v>
      </c>
      <c r="BD1" t="s">
        <v>1502</v>
      </c>
      <c r="BE1" t="s">
        <v>1503</v>
      </c>
      <c r="BF1" t="s">
        <v>1504</v>
      </c>
      <c r="BG1" t="s">
        <v>1505</v>
      </c>
      <c r="BH1" s="25" t="s">
        <v>2</v>
      </c>
      <c r="BI1" t="s">
        <v>1506</v>
      </c>
      <c r="BJ1" t="s">
        <v>1507</v>
      </c>
    </row>
    <row r="2" spans="1:62">
      <c r="A2">
        <v>20250</v>
      </c>
      <c r="B2" t="s">
        <v>73</v>
      </c>
      <c r="C2" t="s">
        <v>74</v>
      </c>
      <c r="D2" t="s">
        <v>73</v>
      </c>
      <c r="F2" t="s">
        <v>75</v>
      </c>
      <c r="G2">
        <v>2784.471</v>
      </c>
      <c r="H2" t="s">
        <v>57</v>
      </c>
      <c r="I2">
        <v>2</v>
      </c>
      <c r="J2">
        <v>1</v>
      </c>
      <c r="K2">
        <v>0</v>
      </c>
      <c r="L2">
        <v>76</v>
      </c>
      <c r="M2">
        <v>66713</v>
      </c>
      <c r="N2">
        <v>40</v>
      </c>
      <c r="O2">
        <v>59</v>
      </c>
      <c r="P2">
        <v>59</v>
      </c>
      <c r="Q2">
        <v>65</v>
      </c>
      <c r="R2">
        <v>65</v>
      </c>
      <c r="S2">
        <v>3207</v>
      </c>
      <c r="T2">
        <v>3207</v>
      </c>
      <c r="U2">
        <v>65</v>
      </c>
      <c r="V2">
        <v>51</v>
      </c>
      <c r="W2">
        <v>53</v>
      </c>
      <c r="X2">
        <v>52</v>
      </c>
      <c r="Y2">
        <v>57</v>
      </c>
      <c r="Z2">
        <v>62</v>
      </c>
      <c r="AA2">
        <v>62</v>
      </c>
      <c r="AB2">
        <v>64</v>
      </c>
      <c r="AC2">
        <v>64</v>
      </c>
      <c r="AD2">
        <v>348</v>
      </c>
      <c r="AE2">
        <v>385</v>
      </c>
      <c r="AF2">
        <v>353</v>
      </c>
      <c r="AG2">
        <v>326</v>
      </c>
      <c r="AH2">
        <v>410</v>
      </c>
      <c r="AI2">
        <v>426</v>
      </c>
      <c r="AJ2">
        <v>442</v>
      </c>
      <c r="AK2">
        <v>514</v>
      </c>
      <c r="AL2">
        <v>5467235328</v>
      </c>
      <c r="AM2">
        <v>6261265920</v>
      </c>
      <c r="AN2">
        <v>4886194176</v>
      </c>
      <c r="AO2">
        <v>4717083648</v>
      </c>
      <c r="AP2">
        <v>11030105088</v>
      </c>
      <c r="AQ2">
        <v>11841957888</v>
      </c>
      <c r="AR2">
        <v>10495655936</v>
      </c>
      <c r="AS2">
        <v>8645220352</v>
      </c>
      <c r="AT2" s="23" t="s">
        <v>73</v>
      </c>
      <c r="AU2" s="18">
        <v>3556477184</v>
      </c>
      <c r="AV2" s="18">
        <v>3597851648</v>
      </c>
      <c r="AW2" s="19">
        <v>3297831168</v>
      </c>
      <c r="AX2" s="19">
        <v>4066207488</v>
      </c>
      <c r="AY2" s="20">
        <v>5413147648</v>
      </c>
      <c r="AZ2" s="20">
        <v>6560602112</v>
      </c>
      <c r="BA2" s="21">
        <v>8187294720</v>
      </c>
      <c r="BB2" s="21">
        <v>8480015360</v>
      </c>
      <c r="BC2" s="23" t="s">
        <v>73</v>
      </c>
      <c r="BD2" s="24">
        <f>AVERAGE(AU2:AV2)</f>
        <v>3577164416</v>
      </c>
      <c r="BE2" s="24">
        <f>AVERAGE(AW2:AX2)</f>
        <v>3682019328</v>
      </c>
      <c r="BF2" s="24">
        <f>AVERAGE(AY2:AZ2)</f>
        <v>5986874880</v>
      </c>
      <c r="BG2" s="24">
        <f>AVERAGE(BA2:BB2)</f>
        <v>8333655040</v>
      </c>
      <c r="BH2" s="26" t="s">
        <v>73</v>
      </c>
      <c r="BI2" s="24">
        <f>(BD2-BE2)/BE2</f>
        <v>-2.8477556106951539E-2</v>
      </c>
      <c r="BJ2" s="24">
        <f>(BF2-BG2)/BG2</f>
        <v>-0.28160274798223467</v>
      </c>
    </row>
    <row r="3" spans="1:62">
      <c r="A3">
        <v>20187</v>
      </c>
      <c r="B3" t="s">
        <v>155</v>
      </c>
      <c r="C3" t="s">
        <v>156</v>
      </c>
      <c r="D3" t="s">
        <v>155</v>
      </c>
      <c r="F3" t="s">
        <v>157</v>
      </c>
      <c r="G3">
        <v>1209.4000000000001</v>
      </c>
      <c r="H3" t="s">
        <v>57</v>
      </c>
      <c r="I3">
        <v>2</v>
      </c>
      <c r="J3">
        <v>1</v>
      </c>
      <c r="K3">
        <v>0</v>
      </c>
      <c r="L3">
        <v>73.31</v>
      </c>
      <c r="M3">
        <v>31048</v>
      </c>
      <c r="N3">
        <v>16</v>
      </c>
      <c r="O3">
        <v>23</v>
      </c>
      <c r="P3">
        <v>23</v>
      </c>
      <c r="Q3">
        <v>26</v>
      </c>
      <c r="R3">
        <v>26</v>
      </c>
      <c r="S3">
        <v>1213</v>
      </c>
      <c r="T3">
        <v>1213</v>
      </c>
      <c r="U3">
        <v>26</v>
      </c>
      <c r="V3">
        <v>25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157</v>
      </c>
      <c r="AE3">
        <v>136</v>
      </c>
      <c r="AF3">
        <v>151</v>
      </c>
      <c r="AG3">
        <v>151</v>
      </c>
      <c r="AH3">
        <v>119</v>
      </c>
      <c r="AI3">
        <v>130</v>
      </c>
      <c r="AJ3">
        <v>170</v>
      </c>
      <c r="AK3">
        <v>199</v>
      </c>
      <c r="AL3">
        <v>817894272</v>
      </c>
      <c r="AM3">
        <v>952473728</v>
      </c>
      <c r="AN3">
        <v>1059456704</v>
      </c>
      <c r="AO3">
        <v>1051098496</v>
      </c>
      <c r="AP3">
        <v>2986709504</v>
      </c>
      <c r="AQ3">
        <v>3021337600</v>
      </c>
      <c r="AR3">
        <v>3153860608</v>
      </c>
      <c r="AS3">
        <v>1891885056</v>
      </c>
      <c r="AT3" s="23" t="s">
        <v>155</v>
      </c>
      <c r="AU3" s="18">
        <v>680942400</v>
      </c>
      <c r="AV3" s="18">
        <v>781715520</v>
      </c>
      <c r="AW3" s="19">
        <v>880583168</v>
      </c>
      <c r="AX3" s="19">
        <v>1033139008</v>
      </c>
      <c r="AY3" s="20">
        <v>1248250112</v>
      </c>
      <c r="AZ3" s="20">
        <v>1523752704</v>
      </c>
      <c r="BA3" s="21">
        <v>2062135808</v>
      </c>
      <c r="BB3" s="21">
        <v>1858248704</v>
      </c>
      <c r="BC3" s="23" t="s">
        <v>155</v>
      </c>
      <c r="BD3" s="24">
        <f>AVERAGE(AU3:AV3)</f>
        <v>731328960</v>
      </c>
      <c r="BE3" s="24">
        <f>AVERAGE(AW3:AX3)</f>
        <v>956861088</v>
      </c>
      <c r="BF3" s="24">
        <f>AVERAGE(AY3:AZ3)</f>
        <v>1386001408</v>
      </c>
      <c r="BG3" s="24">
        <f>AVERAGE(BA3:BB3)</f>
        <v>1960192256</v>
      </c>
      <c r="BH3" s="26" t="s">
        <v>155</v>
      </c>
      <c r="BI3" s="24">
        <f>(BD3-BE3)/BE3</f>
        <v>-0.23569996818597769</v>
      </c>
      <c r="BJ3" s="24">
        <f>(BF3-BG3)/BG3</f>
        <v>-0.29292578125561169</v>
      </c>
    </row>
    <row r="4" spans="1:62" hidden="1">
      <c r="A4">
        <v>20236</v>
      </c>
      <c r="B4" t="s">
        <v>693</v>
      </c>
      <c r="C4" t="s">
        <v>694</v>
      </c>
      <c r="D4" t="s">
        <v>693</v>
      </c>
      <c r="F4" t="s">
        <v>695</v>
      </c>
      <c r="G4">
        <v>139.10300000000001</v>
      </c>
      <c r="H4" t="s">
        <v>57</v>
      </c>
      <c r="I4">
        <v>2</v>
      </c>
      <c r="J4">
        <v>1</v>
      </c>
      <c r="K4">
        <v>0</v>
      </c>
      <c r="L4">
        <v>14.68</v>
      </c>
      <c r="M4">
        <v>46587</v>
      </c>
      <c r="N4">
        <v>20</v>
      </c>
      <c r="O4">
        <v>5</v>
      </c>
      <c r="P4">
        <v>5</v>
      </c>
      <c r="Q4">
        <v>5</v>
      </c>
      <c r="R4">
        <v>5</v>
      </c>
      <c r="S4">
        <v>17</v>
      </c>
      <c r="T4">
        <v>17</v>
      </c>
      <c r="U4">
        <v>5</v>
      </c>
      <c r="V4">
        <v>3</v>
      </c>
      <c r="W4">
        <v>5</v>
      </c>
      <c r="X4">
        <v>5</v>
      </c>
      <c r="Y4">
        <v>5</v>
      </c>
      <c r="Z4">
        <v>5</v>
      </c>
      <c r="AA4">
        <v>5</v>
      </c>
      <c r="AB4">
        <v>4</v>
      </c>
      <c r="AC4">
        <v>5</v>
      </c>
      <c r="AD4">
        <v>2</v>
      </c>
      <c r="AE4">
        <v>0</v>
      </c>
      <c r="AF4">
        <v>2</v>
      </c>
      <c r="AG4">
        <v>5</v>
      </c>
      <c r="AH4">
        <v>1</v>
      </c>
      <c r="AI4">
        <v>2</v>
      </c>
      <c r="AJ4">
        <v>2</v>
      </c>
      <c r="AK4">
        <v>3</v>
      </c>
      <c r="AL4">
        <v>2649939.5</v>
      </c>
      <c r="AM4">
        <v>6087591</v>
      </c>
      <c r="AN4">
        <v>9724753</v>
      </c>
      <c r="AO4">
        <v>8214922</v>
      </c>
      <c r="AP4">
        <v>8341151.5</v>
      </c>
      <c r="AQ4">
        <v>8137196</v>
      </c>
      <c r="AR4">
        <v>8335143.5</v>
      </c>
      <c r="AS4">
        <v>6712980.5</v>
      </c>
      <c r="AT4" s="23" t="s">
        <v>694</v>
      </c>
      <c r="AU4" s="18">
        <v>2974693.75</v>
      </c>
      <c r="AV4" s="18">
        <v>4420332</v>
      </c>
      <c r="AW4" s="19">
        <v>7134781</v>
      </c>
      <c r="AX4" s="19">
        <v>7255375.5</v>
      </c>
      <c r="AY4" s="20">
        <v>3477205.5</v>
      </c>
      <c r="AZ4" s="20">
        <v>4030741</v>
      </c>
      <c r="BA4" s="21">
        <v>5482598</v>
      </c>
      <c r="BB4" s="21">
        <v>6190264</v>
      </c>
      <c r="BC4" s="23" t="s">
        <v>939</v>
      </c>
      <c r="BH4" s="26" t="s">
        <v>939</v>
      </c>
    </row>
    <row r="5" spans="1:62" hidden="1">
      <c r="A5">
        <v>20222</v>
      </c>
      <c r="B5" t="s">
        <v>120</v>
      </c>
      <c r="C5" t="s">
        <v>121</v>
      </c>
      <c r="D5" t="s">
        <v>122</v>
      </c>
      <c r="F5" t="s">
        <v>123</v>
      </c>
      <c r="G5">
        <v>1374.2719999999999</v>
      </c>
      <c r="H5" t="s">
        <v>57</v>
      </c>
      <c r="I5">
        <v>2</v>
      </c>
      <c r="J5">
        <v>2</v>
      </c>
      <c r="K5">
        <v>0</v>
      </c>
      <c r="L5">
        <v>57.72</v>
      </c>
      <c r="M5">
        <v>99667</v>
      </c>
      <c r="N5">
        <v>55</v>
      </c>
      <c r="O5">
        <v>41</v>
      </c>
      <c r="P5">
        <v>41</v>
      </c>
      <c r="Q5">
        <v>41</v>
      </c>
      <c r="R5">
        <v>41</v>
      </c>
      <c r="S5">
        <v>282</v>
      </c>
      <c r="T5">
        <v>282</v>
      </c>
      <c r="U5">
        <v>41</v>
      </c>
      <c r="V5">
        <v>29</v>
      </c>
      <c r="W5">
        <v>34</v>
      </c>
      <c r="X5">
        <v>38</v>
      </c>
      <c r="Y5">
        <v>39</v>
      </c>
      <c r="Z5">
        <v>39</v>
      </c>
      <c r="AA5">
        <v>39</v>
      </c>
      <c r="AB5">
        <v>40</v>
      </c>
      <c r="AC5">
        <v>40</v>
      </c>
      <c r="AD5">
        <v>23</v>
      </c>
      <c r="AE5">
        <v>25</v>
      </c>
      <c r="AF5">
        <v>44</v>
      </c>
      <c r="AG5">
        <v>45</v>
      </c>
      <c r="AH5">
        <v>32</v>
      </c>
      <c r="AI5">
        <v>34</v>
      </c>
      <c r="AJ5">
        <v>45</v>
      </c>
      <c r="AK5">
        <v>32</v>
      </c>
      <c r="AL5">
        <v>117895784</v>
      </c>
      <c r="AM5">
        <v>132127064</v>
      </c>
      <c r="AN5">
        <v>247481536</v>
      </c>
      <c r="AO5">
        <v>236125952</v>
      </c>
      <c r="AP5">
        <v>274383360</v>
      </c>
      <c r="AQ5">
        <v>268043904</v>
      </c>
      <c r="AR5">
        <v>295705376</v>
      </c>
      <c r="AS5">
        <v>176141616</v>
      </c>
      <c r="AT5" s="23" t="s">
        <v>121</v>
      </c>
      <c r="AU5" s="18">
        <v>110101648</v>
      </c>
      <c r="AV5" s="18">
        <v>103446048</v>
      </c>
      <c r="AW5" s="19">
        <v>196495552</v>
      </c>
      <c r="AX5" s="19">
        <v>224101040</v>
      </c>
      <c r="AY5" s="20">
        <v>112826832</v>
      </c>
      <c r="AZ5" s="20">
        <v>117625712</v>
      </c>
      <c r="BA5" s="21">
        <v>168484240</v>
      </c>
      <c r="BB5" s="21">
        <v>153518400</v>
      </c>
      <c r="BC5" s="23" t="s">
        <v>228</v>
      </c>
      <c r="BH5" s="26" t="s">
        <v>228</v>
      </c>
    </row>
    <row r="6" spans="1:62" hidden="1">
      <c r="A6">
        <v>20034</v>
      </c>
      <c r="B6" t="s">
        <v>798</v>
      </c>
      <c r="C6" t="s">
        <v>799</v>
      </c>
      <c r="D6" t="s">
        <v>800</v>
      </c>
      <c r="F6" t="s">
        <v>801</v>
      </c>
      <c r="G6">
        <v>89.518000000000001</v>
      </c>
      <c r="H6" t="s">
        <v>57</v>
      </c>
      <c r="I6">
        <v>2</v>
      </c>
      <c r="J6">
        <v>18</v>
      </c>
      <c r="K6">
        <v>0</v>
      </c>
      <c r="L6">
        <v>42.31</v>
      </c>
      <c r="M6">
        <v>8639</v>
      </c>
      <c r="N6">
        <v>3</v>
      </c>
      <c r="O6">
        <v>4</v>
      </c>
      <c r="P6">
        <v>4</v>
      </c>
      <c r="Q6">
        <v>4</v>
      </c>
      <c r="R6">
        <v>4</v>
      </c>
      <c r="S6">
        <v>34</v>
      </c>
      <c r="T6">
        <v>34</v>
      </c>
      <c r="U6">
        <v>4</v>
      </c>
      <c r="V6">
        <v>3</v>
      </c>
      <c r="W6">
        <v>4</v>
      </c>
      <c r="X6">
        <v>3</v>
      </c>
      <c r="Y6">
        <v>4</v>
      </c>
      <c r="Z6">
        <v>4</v>
      </c>
      <c r="AA6">
        <v>3</v>
      </c>
      <c r="AB6">
        <v>4</v>
      </c>
      <c r="AC6">
        <v>4</v>
      </c>
      <c r="AD6">
        <v>4</v>
      </c>
      <c r="AE6">
        <v>6</v>
      </c>
      <c r="AF6">
        <v>3</v>
      </c>
      <c r="AG6">
        <v>5</v>
      </c>
      <c r="AH6">
        <v>4</v>
      </c>
      <c r="AI6">
        <v>3</v>
      </c>
      <c r="AJ6">
        <v>4</v>
      </c>
      <c r="AK6">
        <v>5</v>
      </c>
      <c r="AL6">
        <v>66662948</v>
      </c>
      <c r="AM6">
        <v>59725776</v>
      </c>
      <c r="AN6">
        <v>27549616</v>
      </c>
      <c r="AO6">
        <v>26905022</v>
      </c>
      <c r="AP6">
        <v>85664504</v>
      </c>
      <c r="AQ6">
        <v>83777512</v>
      </c>
      <c r="AR6">
        <v>35495028</v>
      </c>
      <c r="AS6">
        <v>22126018</v>
      </c>
      <c r="AT6" s="23" t="s">
        <v>799</v>
      </c>
      <c r="AU6" s="18">
        <v>83527216</v>
      </c>
      <c r="AV6" s="18">
        <v>62658924</v>
      </c>
      <c r="AW6" s="19">
        <v>27442282</v>
      </c>
      <c r="AX6" s="19">
        <v>29820296</v>
      </c>
      <c r="AY6" s="20">
        <v>36244848</v>
      </c>
      <c r="AZ6" s="20">
        <v>38055584</v>
      </c>
      <c r="BA6" s="21">
        <v>21152896</v>
      </c>
      <c r="BB6" s="21">
        <v>20753106</v>
      </c>
      <c r="BC6" s="23" t="s">
        <v>92</v>
      </c>
      <c r="BH6" s="26" t="s">
        <v>92</v>
      </c>
    </row>
    <row r="7" spans="1:62" hidden="1">
      <c r="A7">
        <v>20194</v>
      </c>
      <c r="B7" t="s">
        <v>760</v>
      </c>
      <c r="C7" t="s">
        <v>761</v>
      </c>
      <c r="D7" t="s">
        <v>762</v>
      </c>
      <c r="F7" t="s">
        <v>763</v>
      </c>
      <c r="G7">
        <v>108.661</v>
      </c>
      <c r="H7" t="s">
        <v>57</v>
      </c>
      <c r="I7">
        <v>2</v>
      </c>
      <c r="J7">
        <v>2</v>
      </c>
      <c r="K7">
        <v>0</v>
      </c>
      <c r="L7">
        <v>4.04</v>
      </c>
      <c r="M7">
        <v>96126</v>
      </c>
      <c r="N7">
        <v>47</v>
      </c>
      <c r="O7">
        <v>3</v>
      </c>
      <c r="P7">
        <v>3</v>
      </c>
      <c r="Q7">
        <v>3</v>
      </c>
      <c r="R7">
        <v>3</v>
      </c>
      <c r="S7">
        <v>14</v>
      </c>
      <c r="T7">
        <v>14</v>
      </c>
      <c r="U7">
        <v>3</v>
      </c>
      <c r="V7">
        <v>1</v>
      </c>
      <c r="W7">
        <v>3</v>
      </c>
      <c r="X7">
        <v>3</v>
      </c>
      <c r="Y7">
        <v>2</v>
      </c>
      <c r="Z7">
        <v>3</v>
      </c>
      <c r="AA7">
        <v>3</v>
      </c>
      <c r="AB7">
        <v>2</v>
      </c>
      <c r="AC7">
        <v>1</v>
      </c>
      <c r="AD7">
        <v>2</v>
      </c>
      <c r="AE7">
        <v>4</v>
      </c>
      <c r="AF7">
        <v>2</v>
      </c>
      <c r="AG7">
        <v>1</v>
      </c>
      <c r="AH7">
        <v>2</v>
      </c>
      <c r="AI7">
        <v>3</v>
      </c>
      <c r="AJ7">
        <v>0</v>
      </c>
      <c r="AK7">
        <v>0</v>
      </c>
      <c r="AL7">
        <v>4804060</v>
      </c>
      <c r="AM7">
        <v>9511237</v>
      </c>
      <c r="AN7">
        <v>3600673.75</v>
      </c>
      <c r="AO7">
        <v>1281462.25</v>
      </c>
      <c r="AP7">
        <v>17652948</v>
      </c>
      <c r="AQ7">
        <v>13370434</v>
      </c>
      <c r="AR7">
        <v>1998242.75</v>
      </c>
      <c r="AS7">
        <v>1256682.1200000001</v>
      </c>
      <c r="AT7" s="23" t="s">
        <v>761</v>
      </c>
      <c r="AU7" s="18">
        <v>63107.97</v>
      </c>
      <c r="AV7" s="18">
        <v>8498450</v>
      </c>
      <c r="AW7" s="19">
        <v>3895804.5</v>
      </c>
      <c r="AX7" s="19">
        <v>3209686.5</v>
      </c>
      <c r="AY7" s="20">
        <v>7236746.5</v>
      </c>
      <c r="AZ7" s="20">
        <v>6580899.5</v>
      </c>
      <c r="BA7" s="21">
        <v>850137</v>
      </c>
      <c r="BB7" s="21">
        <v>32680.27</v>
      </c>
      <c r="BC7" s="23" t="s">
        <v>148</v>
      </c>
      <c r="BH7" s="26" t="s">
        <v>148</v>
      </c>
    </row>
    <row r="8" spans="1:62" hidden="1">
      <c r="A8">
        <v>20005</v>
      </c>
      <c r="B8" t="s">
        <v>1042</v>
      </c>
      <c r="C8" t="s">
        <v>1043</v>
      </c>
      <c r="D8" t="s">
        <v>1044</v>
      </c>
      <c r="F8" t="s">
        <v>1045</v>
      </c>
      <c r="G8">
        <v>25.882000000000001</v>
      </c>
      <c r="H8" t="s">
        <v>57</v>
      </c>
      <c r="I8">
        <v>2</v>
      </c>
      <c r="J8">
        <v>18</v>
      </c>
      <c r="K8">
        <v>0</v>
      </c>
      <c r="L8">
        <v>9.81</v>
      </c>
      <c r="M8">
        <v>23585</v>
      </c>
      <c r="N8">
        <v>16</v>
      </c>
      <c r="O8">
        <v>2</v>
      </c>
      <c r="P8">
        <v>2</v>
      </c>
      <c r="Q8">
        <v>2</v>
      </c>
      <c r="R8">
        <v>2</v>
      </c>
      <c r="S8">
        <v>4</v>
      </c>
      <c r="T8">
        <v>4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D8">
        <v>2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3990656.5</v>
      </c>
      <c r="AM8">
        <v>4623904</v>
      </c>
      <c r="AN8">
        <v>2261336.25</v>
      </c>
      <c r="AO8">
        <v>1667218.38</v>
      </c>
      <c r="AP8">
        <v>4366448</v>
      </c>
      <c r="AQ8">
        <v>3757024.5</v>
      </c>
      <c r="AR8">
        <v>979379.12</v>
      </c>
      <c r="AT8" s="23" t="s">
        <v>1043</v>
      </c>
      <c r="AU8" s="18">
        <v>3943387</v>
      </c>
      <c r="AV8" s="18">
        <v>3585143.25</v>
      </c>
      <c r="AW8" s="19">
        <v>1666434.38</v>
      </c>
      <c r="AX8" s="19">
        <v>1332278.6200000001</v>
      </c>
      <c r="AY8" s="20">
        <v>1878705</v>
      </c>
      <c r="AZ8" s="20">
        <v>1697932.5</v>
      </c>
      <c r="BA8" s="21">
        <v>536350.68999999994</v>
      </c>
      <c r="BB8" s="21">
        <v>212391.23</v>
      </c>
      <c r="BC8" s="23" t="s">
        <v>409</v>
      </c>
      <c r="BH8" s="26" t="s">
        <v>409</v>
      </c>
    </row>
    <row r="9" spans="1:62" hidden="1">
      <c r="A9">
        <v>20080</v>
      </c>
      <c r="B9" t="s">
        <v>1104</v>
      </c>
      <c r="C9" t="s">
        <v>1105</v>
      </c>
      <c r="D9" t="s">
        <v>1106</v>
      </c>
      <c r="F9" t="s">
        <v>1107</v>
      </c>
      <c r="G9">
        <v>18.989999999999998</v>
      </c>
      <c r="H9" t="s">
        <v>57</v>
      </c>
      <c r="I9">
        <v>2</v>
      </c>
      <c r="J9">
        <v>3</v>
      </c>
      <c r="K9">
        <v>0</v>
      </c>
      <c r="L9">
        <v>9.09</v>
      </c>
      <c r="M9">
        <v>20761</v>
      </c>
      <c r="N9">
        <v>11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1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D9">
        <v>1</v>
      </c>
      <c r="AE9">
        <v>0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754985.94</v>
      </c>
      <c r="AM9">
        <v>3979078.25</v>
      </c>
      <c r="AN9">
        <v>2630079</v>
      </c>
      <c r="AO9">
        <v>3090357</v>
      </c>
      <c r="AP9">
        <v>2327818</v>
      </c>
      <c r="AQ9">
        <v>2580856.5</v>
      </c>
      <c r="AR9">
        <v>1367147.12</v>
      </c>
      <c r="AT9" s="23" t="s">
        <v>1105</v>
      </c>
      <c r="AU9" s="18">
        <v>22541.39</v>
      </c>
      <c r="AV9" s="18">
        <v>3025885.5</v>
      </c>
      <c r="AW9" s="19">
        <v>2136494.25</v>
      </c>
      <c r="AX9" s="19">
        <v>2985127.25</v>
      </c>
      <c r="AY9" s="20">
        <v>1062421.1200000001</v>
      </c>
      <c r="AZ9" s="20">
        <v>1229255</v>
      </c>
      <c r="BA9" s="21">
        <v>804646.31</v>
      </c>
      <c r="BB9" s="21">
        <v>212391.23</v>
      </c>
      <c r="BC9" s="23" t="s">
        <v>69</v>
      </c>
      <c r="BH9" s="26" t="s">
        <v>69</v>
      </c>
    </row>
    <row r="10" spans="1:62" hidden="1">
      <c r="A10">
        <v>20204</v>
      </c>
      <c r="B10" t="s">
        <v>528</v>
      </c>
      <c r="C10" t="s">
        <v>529</v>
      </c>
      <c r="D10" t="s">
        <v>528</v>
      </c>
      <c r="F10" t="s">
        <v>530</v>
      </c>
      <c r="G10">
        <v>285.63499999999999</v>
      </c>
      <c r="H10" t="s">
        <v>57</v>
      </c>
      <c r="I10">
        <v>2</v>
      </c>
      <c r="J10">
        <v>1</v>
      </c>
      <c r="K10">
        <v>0</v>
      </c>
      <c r="L10">
        <v>32.44</v>
      </c>
      <c r="M10">
        <v>56176</v>
      </c>
      <c r="N10">
        <v>30</v>
      </c>
      <c r="O10">
        <v>14</v>
      </c>
      <c r="P10">
        <v>14</v>
      </c>
      <c r="Q10">
        <v>14</v>
      </c>
      <c r="R10">
        <v>14</v>
      </c>
      <c r="S10">
        <v>58</v>
      </c>
      <c r="T10">
        <v>58</v>
      </c>
      <c r="U10">
        <v>13</v>
      </c>
      <c r="V10">
        <v>7</v>
      </c>
      <c r="W10">
        <v>10</v>
      </c>
      <c r="X10">
        <v>13</v>
      </c>
      <c r="Y10">
        <v>13</v>
      </c>
      <c r="Z10">
        <v>13</v>
      </c>
      <c r="AA10">
        <v>13</v>
      </c>
      <c r="AB10">
        <v>12</v>
      </c>
      <c r="AC10">
        <v>13</v>
      </c>
      <c r="AD10">
        <v>2</v>
      </c>
      <c r="AE10">
        <v>3</v>
      </c>
      <c r="AF10">
        <v>8</v>
      </c>
      <c r="AG10">
        <v>9</v>
      </c>
      <c r="AH10">
        <v>10</v>
      </c>
      <c r="AI10">
        <v>7</v>
      </c>
      <c r="AJ10">
        <v>8</v>
      </c>
      <c r="AK10">
        <v>10</v>
      </c>
      <c r="AL10">
        <v>15549959</v>
      </c>
      <c r="AM10">
        <v>21028760</v>
      </c>
      <c r="AN10">
        <v>38508988</v>
      </c>
      <c r="AO10">
        <v>38586872</v>
      </c>
      <c r="AP10">
        <v>40689188</v>
      </c>
      <c r="AQ10">
        <v>45237364</v>
      </c>
      <c r="AR10">
        <v>41382420</v>
      </c>
      <c r="AS10">
        <v>33874468</v>
      </c>
      <c r="AT10" s="23" t="s">
        <v>529</v>
      </c>
      <c r="AU10" s="18">
        <v>17139614</v>
      </c>
      <c r="AV10" s="18">
        <v>17165442</v>
      </c>
      <c r="AW10" s="19">
        <v>31641504</v>
      </c>
      <c r="AX10" s="19">
        <v>32347302</v>
      </c>
      <c r="AY10" s="20">
        <v>15758737</v>
      </c>
      <c r="AZ10" s="20">
        <v>17997536</v>
      </c>
      <c r="BA10" s="21">
        <v>22222782</v>
      </c>
      <c r="BB10" s="21">
        <v>26555638</v>
      </c>
      <c r="BC10" s="23" t="s">
        <v>354</v>
      </c>
      <c r="BH10" s="26" t="s">
        <v>354</v>
      </c>
    </row>
    <row r="11" spans="1:62" hidden="1">
      <c r="A11">
        <v>20182</v>
      </c>
      <c r="B11" t="s">
        <v>525</v>
      </c>
      <c r="C11" t="s">
        <v>526</v>
      </c>
      <c r="D11" t="s">
        <v>525</v>
      </c>
      <c r="F11" t="s">
        <v>527</v>
      </c>
      <c r="G11">
        <v>288.12299999999999</v>
      </c>
      <c r="H11" t="s">
        <v>57</v>
      </c>
      <c r="I11">
        <v>2</v>
      </c>
      <c r="J11">
        <v>1</v>
      </c>
      <c r="K11">
        <v>0</v>
      </c>
      <c r="L11">
        <v>27.67</v>
      </c>
      <c r="M11">
        <v>46215</v>
      </c>
      <c r="N11">
        <v>24</v>
      </c>
      <c r="O11">
        <v>13</v>
      </c>
      <c r="P11">
        <v>13</v>
      </c>
      <c r="Q11">
        <v>13</v>
      </c>
      <c r="R11">
        <v>13</v>
      </c>
      <c r="S11">
        <v>44</v>
      </c>
      <c r="T11">
        <v>44</v>
      </c>
      <c r="U11">
        <v>13</v>
      </c>
      <c r="V11">
        <v>7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0</v>
      </c>
      <c r="AE11">
        <v>3</v>
      </c>
      <c r="AF11">
        <v>10</v>
      </c>
      <c r="AG11">
        <v>3</v>
      </c>
      <c r="AH11">
        <v>6</v>
      </c>
      <c r="AI11">
        <v>7</v>
      </c>
      <c r="AJ11">
        <v>10</v>
      </c>
      <c r="AK11">
        <v>5</v>
      </c>
      <c r="AL11">
        <v>6629210</v>
      </c>
      <c r="AM11">
        <v>20437998</v>
      </c>
      <c r="AN11">
        <v>33012648</v>
      </c>
      <c r="AO11">
        <v>27284032</v>
      </c>
      <c r="AP11">
        <v>32954930</v>
      </c>
      <c r="AQ11">
        <v>29720366</v>
      </c>
      <c r="AR11">
        <v>28646038</v>
      </c>
      <c r="AS11">
        <v>17857152</v>
      </c>
      <c r="AT11" s="23" t="s">
        <v>526</v>
      </c>
      <c r="AU11" s="18">
        <v>6892046.5</v>
      </c>
      <c r="AV11" s="18">
        <v>13711373</v>
      </c>
      <c r="AW11" s="19">
        <v>22332558</v>
      </c>
      <c r="AX11" s="19">
        <v>23262274</v>
      </c>
      <c r="AY11" s="20">
        <v>14451925</v>
      </c>
      <c r="AZ11" s="20">
        <v>14627497</v>
      </c>
      <c r="BA11" s="21">
        <v>18223250</v>
      </c>
      <c r="BB11" s="21">
        <v>16666993</v>
      </c>
      <c r="BC11" s="23" t="s">
        <v>179</v>
      </c>
      <c r="BH11" s="26" t="s">
        <v>179</v>
      </c>
    </row>
    <row r="12" spans="1:62" hidden="1">
      <c r="A12">
        <v>20164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2745.395</v>
      </c>
      <c r="H12" t="s">
        <v>57</v>
      </c>
      <c r="I12">
        <v>2</v>
      </c>
      <c r="J12">
        <v>3</v>
      </c>
      <c r="K12">
        <v>7</v>
      </c>
      <c r="L12">
        <v>66.78</v>
      </c>
      <c r="M12">
        <v>96031</v>
      </c>
      <c r="N12">
        <v>59</v>
      </c>
      <c r="O12">
        <v>57</v>
      </c>
      <c r="P12">
        <v>57</v>
      </c>
      <c r="Q12">
        <v>61</v>
      </c>
      <c r="R12">
        <v>61</v>
      </c>
      <c r="S12">
        <v>1115</v>
      </c>
      <c r="T12">
        <v>1115</v>
      </c>
      <c r="U12">
        <v>61</v>
      </c>
      <c r="V12">
        <v>54</v>
      </c>
      <c r="W12">
        <v>53</v>
      </c>
      <c r="X12">
        <v>59</v>
      </c>
      <c r="Y12">
        <v>59</v>
      </c>
      <c r="Z12">
        <v>56</v>
      </c>
      <c r="AA12">
        <v>55</v>
      </c>
      <c r="AB12">
        <v>60</v>
      </c>
      <c r="AC12">
        <v>59</v>
      </c>
      <c r="AD12">
        <v>159</v>
      </c>
      <c r="AE12">
        <v>153</v>
      </c>
      <c r="AF12">
        <v>170</v>
      </c>
      <c r="AG12">
        <v>179</v>
      </c>
      <c r="AH12">
        <v>77</v>
      </c>
      <c r="AI12">
        <v>87</v>
      </c>
      <c r="AJ12">
        <v>144</v>
      </c>
      <c r="AK12">
        <v>145</v>
      </c>
      <c r="AL12">
        <v>1936718080</v>
      </c>
      <c r="AM12">
        <v>4393303040</v>
      </c>
      <c r="AN12">
        <v>3799403264</v>
      </c>
      <c r="AO12">
        <v>3351048192</v>
      </c>
      <c r="AP12">
        <v>4022245376</v>
      </c>
      <c r="AQ12">
        <v>3865703680</v>
      </c>
      <c r="AR12">
        <v>3934773248</v>
      </c>
      <c r="AS12">
        <v>3153837568</v>
      </c>
      <c r="AT12" s="23" t="s">
        <v>77</v>
      </c>
      <c r="AU12" s="18">
        <v>3016878592</v>
      </c>
      <c r="AV12" s="18">
        <v>3167813632</v>
      </c>
      <c r="AW12" s="19">
        <v>3127595520</v>
      </c>
      <c r="AX12" s="19">
        <v>3195326464</v>
      </c>
      <c r="AY12" s="20">
        <v>1031015040</v>
      </c>
      <c r="AZ12" s="20">
        <v>1176395648</v>
      </c>
      <c r="BA12" s="21">
        <v>2652162560</v>
      </c>
      <c r="BB12" s="21">
        <v>2753293312</v>
      </c>
      <c r="BC12" s="23" t="s">
        <v>100</v>
      </c>
      <c r="BH12" s="26" t="s">
        <v>100</v>
      </c>
    </row>
    <row r="13" spans="1:62" hidden="1">
      <c r="A13">
        <v>20214</v>
      </c>
      <c r="B13" t="s">
        <v>741</v>
      </c>
      <c r="C13" t="s">
        <v>742</v>
      </c>
      <c r="D13" t="s">
        <v>743</v>
      </c>
      <c r="F13" t="s">
        <v>744</v>
      </c>
      <c r="G13">
        <v>114.22499999999999</v>
      </c>
      <c r="H13" t="s">
        <v>57</v>
      </c>
      <c r="I13">
        <v>2</v>
      </c>
      <c r="J13">
        <v>2</v>
      </c>
      <c r="K13">
        <v>0</v>
      </c>
      <c r="L13">
        <v>23.08</v>
      </c>
      <c r="M13">
        <v>37126</v>
      </c>
      <c r="N13">
        <v>12</v>
      </c>
      <c r="O13">
        <v>4</v>
      </c>
      <c r="P13">
        <v>4</v>
      </c>
      <c r="Q13">
        <v>4</v>
      </c>
      <c r="R13">
        <v>4</v>
      </c>
      <c r="S13">
        <v>27</v>
      </c>
      <c r="T13">
        <v>27</v>
      </c>
      <c r="U13">
        <v>4</v>
      </c>
      <c r="V13">
        <v>3</v>
      </c>
      <c r="W13">
        <v>3</v>
      </c>
      <c r="X13">
        <v>3</v>
      </c>
      <c r="Y13">
        <v>3</v>
      </c>
      <c r="Z13">
        <v>3</v>
      </c>
      <c r="AA13">
        <v>4</v>
      </c>
      <c r="AB13">
        <v>4</v>
      </c>
      <c r="AC13">
        <v>4</v>
      </c>
      <c r="AD13">
        <v>1</v>
      </c>
      <c r="AE13">
        <v>1</v>
      </c>
      <c r="AF13">
        <v>4</v>
      </c>
      <c r="AG13">
        <v>5</v>
      </c>
      <c r="AH13">
        <v>4</v>
      </c>
      <c r="AI13">
        <v>3</v>
      </c>
      <c r="AJ13">
        <v>4</v>
      </c>
      <c r="AK13">
        <v>5</v>
      </c>
      <c r="AL13">
        <v>4581343.5</v>
      </c>
      <c r="AM13">
        <v>5085438</v>
      </c>
      <c r="AN13">
        <v>7917922.5</v>
      </c>
      <c r="AO13">
        <v>7784024</v>
      </c>
      <c r="AP13">
        <v>11393478</v>
      </c>
      <c r="AQ13">
        <v>12147518</v>
      </c>
      <c r="AR13">
        <v>10467234</v>
      </c>
      <c r="AS13">
        <v>7927087</v>
      </c>
      <c r="AT13" s="23" t="s">
        <v>742</v>
      </c>
      <c r="AU13" s="18">
        <v>6740458</v>
      </c>
      <c r="AV13" s="18">
        <v>6840711.5</v>
      </c>
      <c r="AW13" s="19">
        <v>10799514</v>
      </c>
      <c r="AX13" s="19">
        <v>12754419</v>
      </c>
      <c r="AY13" s="20">
        <v>8252773</v>
      </c>
      <c r="AZ13" s="20">
        <v>8146673</v>
      </c>
      <c r="BA13" s="21">
        <v>9662896</v>
      </c>
      <c r="BB13" s="21">
        <v>10404875</v>
      </c>
      <c r="BC13" s="23" t="s">
        <v>224</v>
      </c>
      <c r="BH13" s="26" t="s">
        <v>224</v>
      </c>
    </row>
    <row r="14" spans="1:62" hidden="1">
      <c r="A14">
        <v>20088</v>
      </c>
      <c r="B14" t="s">
        <v>696</v>
      </c>
      <c r="C14" t="s">
        <v>697</v>
      </c>
      <c r="D14" t="s">
        <v>698</v>
      </c>
      <c r="F14" t="s">
        <v>699</v>
      </c>
      <c r="G14">
        <v>135.40299999999999</v>
      </c>
      <c r="H14" t="s">
        <v>57</v>
      </c>
      <c r="I14">
        <v>2</v>
      </c>
      <c r="J14">
        <v>19</v>
      </c>
      <c r="K14">
        <v>0</v>
      </c>
      <c r="L14">
        <v>19.32</v>
      </c>
      <c r="M14">
        <v>42363</v>
      </c>
      <c r="N14">
        <v>18</v>
      </c>
      <c r="O14">
        <v>5</v>
      </c>
      <c r="P14">
        <v>5</v>
      </c>
      <c r="Q14">
        <v>5</v>
      </c>
      <c r="R14">
        <v>5</v>
      </c>
      <c r="S14">
        <v>18</v>
      </c>
      <c r="T14">
        <v>18</v>
      </c>
      <c r="U14">
        <v>5</v>
      </c>
      <c r="V14">
        <v>3</v>
      </c>
      <c r="W14">
        <v>5</v>
      </c>
      <c r="X14">
        <v>4</v>
      </c>
      <c r="Y14">
        <v>4</v>
      </c>
      <c r="Z14">
        <v>5</v>
      </c>
      <c r="AA14">
        <v>5</v>
      </c>
      <c r="AB14">
        <v>5</v>
      </c>
      <c r="AC14">
        <v>5</v>
      </c>
      <c r="AD14">
        <v>0</v>
      </c>
      <c r="AE14">
        <v>1</v>
      </c>
      <c r="AF14">
        <v>2</v>
      </c>
      <c r="AG14">
        <v>2</v>
      </c>
      <c r="AH14">
        <v>3</v>
      </c>
      <c r="AI14">
        <v>5</v>
      </c>
      <c r="AJ14">
        <v>4</v>
      </c>
      <c r="AK14">
        <v>2</v>
      </c>
      <c r="AL14">
        <v>2546736</v>
      </c>
      <c r="AM14">
        <v>3630647.25</v>
      </c>
      <c r="AN14">
        <v>3877093</v>
      </c>
      <c r="AO14">
        <v>3507632.5</v>
      </c>
      <c r="AP14">
        <v>9002897</v>
      </c>
      <c r="AQ14">
        <v>8919050</v>
      </c>
      <c r="AR14">
        <v>9546324</v>
      </c>
      <c r="AS14">
        <v>5519778</v>
      </c>
      <c r="AT14" s="23" t="s">
        <v>697</v>
      </c>
      <c r="AU14" s="18">
        <v>1818149</v>
      </c>
      <c r="AV14" s="18">
        <v>2680303</v>
      </c>
      <c r="AW14" s="19">
        <v>2761163.25</v>
      </c>
      <c r="AX14" s="19">
        <v>3488359.5</v>
      </c>
      <c r="AY14" s="20">
        <v>3059105</v>
      </c>
      <c r="AZ14" s="20">
        <v>3200768.5</v>
      </c>
      <c r="BA14" s="21">
        <v>6045101</v>
      </c>
      <c r="BB14" s="21">
        <v>5493703.5</v>
      </c>
      <c r="BC14" s="23" t="s">
        <v>364</v>
      </c>
      <c r="BH14" s="26" t="s">
        <v>364</v>
      </c>
    </row>
    <row r="15" spans="1:62" hidden="1">
      <c r="A15">
        <v>20004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>
        <v>753.51800000000003</v>
      </c>
      <c r="H15" t="s">
        <v>57</v>
      </c>
      <c r="I15">
        <v>2</v>
      </c>
      <c r="J15">
        <v>3</v>
      </c>
      <c r="K15">
        <v>18</v>
      </c>
      <c r="L15">
        <v>48.18</v>
      </c>
      <c r="M15">
        <v>64682</v>
      </c>
      <c r="N15">
        <v>37</v>
      </c>
      <c r="O15">
        <v>21</v>
      </c>
      <c r="P15">
        <v>21</v>
      </c>
      <c r="Q15">
        <v>21</v>
      </c>
      <c r="R15">
        <v>21</v>
      </c>
      <c r="S15">
        <v>79</v>
      </c>
      <c r="T15">
        <v>79</v>
      </c>
      <c r="U15">
        <v>21</v>
      </c>
      <c r="V15">
        <v>18</v>
      </c>
      <c r="W15">
        <v>19</v>
      </c>
      <c r="X15">
        <v>20</v>
      </c>
      <c r="Y15">
        <v>19</v>
      </c>
      <c r="Z15">
        <v>14</v>
      </c>
      <c r="AA15">
        <v>18</v>
      </c>
      <c r="AB15">
        <v>18</v>
      </c>
      <c r="AC15">
        <v>21</v>
      </c>
      <c r="AD15">
        <v>12</v>
      </c>
      <c r="AE15">
        <v>11</v>
      </c>
      <c r="AF15">
        <v>12</v>
      </c>
      <c r="AG15">
        <v>12</v>
      </c>
      <c r="AH15">
        <v>4</v>
      </c>
      <c r="AI15">
        <v>3</v>
      </c>
      <c r="AJ15">
        <v>13</v>
      </c>
      <c r="AK15">
        <v>12</v>
      </c>
      <c r="AL15">
        <v>60970704</v>
      </c>
      <c r="AM15">
        <v>66535728</v>
      </c>
      <c r="AN15">
        <v>67788016</v>
      </c>
      <c r="AO15">
        <v>47842112</v>
      </c>
      <c r="AP15">
        <v>31021902</v>
      </c>
      <c r="AQ15">
        <v>35840472</v>
      </c>
      <c r="AR15">
        <v>63496132</v>
      </c>
      <c r="AS15">
        <v>62088136</v>
      </c>
      <c r="AT15" s="23" t="s">
        <v>276</v>
      </c>
      <c r="AU15" s="18">
        <v>65614136</v>
      </c>
      <c r="AV15" s="18">
        <v>54191964</v>
      </c>
      <c r="AW15" s="19">
        <v>50291432</v>
      </c>
      <c r="AX15" s="19">
        <v>44991916</v>
      </c>
      <c r="AY15" s="20">
        <v>12136709</v>
      </c>
      <c r="AZ15" s="20">
        <v>14709024</v>
      </c>
      <c r="BA15" s="21">
        <v>32819116</v>
      </c>
      <c r="BB15" s="21">
        <v>46047936</v>
      </c>
    </row>
    <row r="16" spans="1:62" hidden="1">
      <c r="A16">
        <v>20070</v>
      </c>
      <c r="B16" t="s">
        <v>840</v>
      </c>
      <c r="C16" t="s">
        <v>841</v>
      </c>
      <c r="D16" t="s">
        <v>842</v>
      </c>
      <c r="E16" t="s">
        <v>843</v>
      </c>
      <c r="F16" t="s">
        <v>844</v>
      </c>
      <c r="G16">
        <v>79.156999999999996</v>
      </c>
      <c r="H16" t="s">
        <v>57</v>
      </c>
      <c r="I16">
        <v>2</v>
      </c>
      <c r="J16">
        <v>12</v>
      </c>
      <c r="K16">
        <v>9</v>
      </c>
      <c r="L16">
        <v>8.64</v>
      </c>
      <c r="M16">
        <v>74358</v>
      </c>
      <c r="N16">
        <v>42</v>
      </c>
      <c r="O16">
        <v>5</v>
      </c>
      <c r="P16">
        <v>5</v>
      </c>
      <c r="Q16">
        <v>5</v>
      </c>
      <c r="R16">
        <v>5</v>
      </c>
      <c r="S16">
        <v>7</v>
      </c>
      <c r="T16">
        <v>7</v>
      </c>
      <c r="U16">
        <v>5</v>
      </c>
      <c r="V16">
        <v>3</v>
      </c>
      <c r="W16">
        <v>4</v>
      </c>
      <c r="X16">
        <v>4</v>
      </c>
      <c r="Y16">
        <v>4</v>
      </c>
      <c r="Z16">
        <v>4</v>
      </c>
      <c r="AA16">
        <v>4</v>
      </c>
      <c r="AB16">
        <v>5</v>
      </c>
      <c r="AC16">
        <v>4</v>
      </c>
      <c r="AD16">
        <v>2</v>
      </c>
      <c r="AE16">
        <v>0</v>
      </c>
      <c r="AF16">
        <v>0</v>
      </c>
      <c r="AG16">
        <v>1</v>
      </c>
      <c r="AH16">
        <v>0</v>
      </c>
      <c r="AI16">
        <v>2</v>
      </c>
      <c r="AJ16">
        <v>4</v>
      </c>
      <c r="AK16">
        <v>1</v>
      </c>
      <c r="AL16">
        <v>1159699.75</v>
      </c>
      <c r="AM16">
        <v>2170684.75</v>
      </c>
      <c r="AN16">
        <v>3617846.5</v>
      </c>
      <c r="AO16">
        <v>3402944.5</v>
      </c>
      <c r="AP16">
        <v>7866065</v>
      </c>
      <c r="AQ16">
        <v>6179821</v>
      </c>
      <c r="AR16">
        <v>6228664</v>
      </c>
      <c r="AS16">
        <v>3069677.5</v>
      </c>
      <c r="AT16" s="23" t="s">
        <v>841</v>
      </c>
      <c r="AU16" s="18">
        <v>424329.62</v>
      </c>
      <c r="AV16" s="18">
        <v>1902470.75</v>
      </c>
      <c r="AW16" s="19">
        <v>2785046</v>
      </c>
      <c r="AX16" s="19">
        <v>3109771</v>
      </c>
      <c r="AY16" s="20">
        <v>2799073</v>
      </c>
      <c r="AZ16" s="20">
        <v>2817990.5</v>
      </c>
      <c r="BA16" s="21">
        <v>3414030.75</v>
      </c>
      <c r="BB16" s="21">
        <v>2989806.5</v>
      </c>
    </row>
    <row r="17" spans="1:62" hidden="1">
      <c r="A17">
        <v>20233</v>
      </c>
      <c r="B17" t="s">
        <v>420</v>
      </c>
      <c r="C17" t="s">
        <v>421</v>
      </c>
      <c r="D17" t="s">
        <v>422</v>
      </c>
      <c r="E17" t="s">
        <v>423</v>
      </c>
      <c r="F17" t="s">
        <v>424</v>
      </c>
      <c r="G17">
        <v>424.55900000000003</v>
      </c>
      <c r="H17" t="s">
        <v>57</v>
      </c>
      <c r="I17">
        <v>2</v>
      </c>
      <c r="J17">
        <v>2</v>
      </c>
      <c r="K17">
        <v>1</v>
      </c>
      <c r="L17">
        <v>30.57</v>
      </c>
      <c r="M17">
        <v>38009</v>
      </c>
      <c r="N17">
        <v>19</v>
      </c>
      <c r="O17">
        <v>7</v>
      </c>
      <c r="P17">
        <v>7</v>
      </c>
      <c r="Q17">
        <v>7</v>
      </c>
      <c r="R17">
        <v>7</v>
      </c>
      <c r="S17">
        <v>95</v>
      </c>
      <c r="T17">
        <v>95</v>
      </c>
      <c r="U17">
        <v>7</v>
      </c>
      <c r="V17">
        <v>6</v>
      </c>
      <c r="W17">
        <v>6</v>
      </c>
      <c r="X17">
        <v>7</v>
      </c>
      <c r="Y17">
        <v>7</v>
      </c>
      <c r="Z17">
        <v>7</v>
      </c>
      <c r="AA17">
        <v>7</v>
      </c>
      <c r="AB17">
        <v>7</v>
      </c>
      <c r="AC17">
        <v>7</v>
      </c>
      <c r="AD17">
        <v>7</v>
      </c>
      <c r="AE17">
        <v>8</v>
      </c>
      <c r="AF17">
        <v>17</v>
      </c>
      <c r="AG17">
        <v>13</v>
      </c>
      <c r="AH17">
        <v>10</v>
      </c>
      <c r="AI17">
        <v>11</v>
      </c>
      <c r="AJ17">
        <v>14</v>
      </c>
      <c r="AK17">
        <v>15</v>
      </c>
      <c r="AL17">
        <v>51117696</v>
      </c>
      <c r="AM17">
        <v>59887856</v>
      </c>
      <c r="AN17">
        <v>121139608</v>
      </c>
      <c r="AO17">
        <v>114226720</v>
      </c>
      <c r="AP17">
        <v>160365536</v>
      </c>
      <c r="AQ17">
        <v>174278064</v>
      </c>
      <c r="AR17">
        <v>167353456</v>
      </c>
      <c r="AS17">
        <v>111595792</v>
      </c>
      <c r="AT17" s="23" t="s">
        <v>421</v>
      </c>
      <c r="AU17" s="18">
        <v>47958408</v>
      </c>
      <c r="AV17" s="18">
        <v>48005448</v>
      </c>
      <c r="AW17" s="19">
        <v>96366648</v>
      </c>
      <c r="AX17" s="19">
        <v>103702736</v>
      </c>
      <c r="AY17" s="20">
        <v>67849304</v>
      </c>
      <c r="AZ17" s="20">
        <v>76605648</v>
      </c>
      <c r="BA17" s="21">
        <v>101683864</v>
      </c>
      <c r="BB17" s="21">
        <v>107210192</v>
      </c>
    </row>
    <row r="18" spans="1:62" hidden="1">
      <c r="A18">
        <v>20121</v>
      </c>
      <c r="B18" t="s">
        <v>265</v>
      </c>
      <c r="C18" t="s">
        <v>266</v>
      </c>
      <c r="D18" t="s">
        <v>267</v>
      </c>
      <c r="E18" t="s">
        <v>268</v>
      </c>
      <c r="F18" t="s">
        <v>269</v>
      </c>
      <c r="G18">
        <v>773.47500000000002</v>
      </c>
      <c r="H18" t="s">
        <v>57</v>
      </c>
      <c r="I18">
        <v>2</v>
      </c>
      <c r="J18">
        <v>7</v>
      </c>
      <c r="K18">
        <v>1</v>
      </c>
      <c r="L18">
        <v>55.79</v>
      </c>
      <c r="M18">
        <v>52569</v>
      </c>
      <c r="N18">
        <v>28</v>
      </c>
      <c r="O18">
        <v>20</v>
      </c>
      <c r="P18">
        <v>20</v>
      </c>
      <c r="Q18">
        <v>20</v>
      </c>
      <c r="R18">
        <v>20</v>
      </c>
      <c r="S18">
        <v>280</v>
      </c>
      <c r="T18">
        <v>280</v>
      </c>
      <c r="U18">
        <v>20</v>
      </c>
      <c r="V18">
        <v>17</v>
      </c>
      <c r="W18">
        <v>16</v>
      </c>
      <c r="X18">
        <v>19</v>
      </c>
      <c r="Y18">
        <v>19</v>
      </c>
      <c r="Z18">
        <v>19</v>
      </c>
      <c r="AA18">
        <v>19</v>
      </c>
      <c r="AB18">
        <v>20</v>
      </c>
      <c r="AC18">
        <v>20</v>
      </c>
      <c r="AD18">
        <v>32</v>
      </c>
      <c r="AE18">
        <v>37</v>
      </c>
      <c r="AF18">
        <v>46</v>
      </c>
      <c r="AG18">
        <v>48</v>
      </c>
      <c r="AH18">
        <v>22</v>
      </c>
      <c r="AI18">
        <v>22</v>
      </c>
      <c r="AJ18">
        <v>36</v>
      </c>
      <c r="AK18">
        <v>37</v>
      </c>
      <c r="AL18">
        <v>491229184</v>
      </c>
      <c r="AM18">
        <v>467081792</v>
      </c>
      <c r="AN18">
        <v>493781568</v>
      </c>
      <c r="AO18">
        <v>459105920</v>
      </c>
      <c r="AP18">
        <v>246754496</v>
      </c>
      <c r="AQ18">
        <v>260934320</v>
      </c>
      <c r="AR18">
        <v>542954176</v>
      </c>
      <c r="AS18">
        <v>345602752</v>
      </c>
      <c r="AT18" s="23" t="s">
        <v>266</v>
      </c>
      <c r="AU18" s="18">
        <v>436944224</v>
      </c>
      <c r="AV18" s="18">
        <v>391022464</v>
      </c>
      <c r="AW18" s="19">
        <v>411415232</v>
      </c>
      <c r="AX18" s="19">
        <v>454109568</v>
      </c>
      <c r="AY18" s="20">
        <v>104762072</v>
      </c>
      <c r="AZ18" s="20">
        <v>118759848</v>
      </c>
      <c r="BA18" s="21">
        <v>325366368</v>
      </c>
      <c r="BB18" s="21">
        <v>302569440</v>
      </c>
    </row>
    <row r="19" spans="1:62" hidden="1">
      <c r="A19">
        <v>19959</v>
      </c>
      <c r="B19" t="s">
        <v>451</v>
      </c>
      <c r="C19" t="s">
        <v>452</v>
      </c>
      <c r="D19" t="s">
        <v>453</v>
      </c>
      <c r="E19" t="s">
        <v>454</v>
      </c>
      <c r="F19" t="s">
        <v>455</v>
      </c>
      <c r="G19">
        <v>382.41199999999998</v>
      </c>
      <c r="H19" t="s">
        <v>57</v>
      </c>
      <c r="I19">
        <v>2</v>
      </c>
      <c r="J19">
        <v>4</v>
      </c>
      <c r="K19">
        <v>17</v>
      </c>
      <c r="L19">
        <v>36.270000000000003</v>
      </c>
      <c r="M19">
        <v>65912</v>
      </c>
      <c r="N19">
        <v>38</v>
      </c>
      <c r="O19">
        <v>19</v>
      </c>
      <c r="P19">
        <v>19</v>
      </c>
      <c r="Q19">
        <v>19</v>
      </c>
      <c r="R19">
        <v>19</v>
      </c>
      <c r="S19">
        <v>77</v>
      </c>
      <c r="T19">
        <v>77</v>
      </c>
      <c r="U19">
        <v>19</v>
      </c>
      <c r="V19">
        <v>15</v>
      </c>
      <c r="W19">
        <v>17</v>
      </c>
      <c r="X19">
        <v>19</v>
      </c>
      <c r="Y19">
        <v>15</v>
      </c>
      <c r="Z19">
        <v>17</v>
      </c>
      <c r="AA19">
        <v>17</v>
      </c>
      <c r="AB19">
        <v>18</v>
      </c>
      <c r="AC19">
        <v>17</v>
      </c>
      <c r="AD19">
        <v>15</v>
      </c>
      <c r="AE19">
        <v>11</v>
      </c>
      <c r="AF19">
        <v>8</v>
      </c>
      <c r="AG19">
        <v>7</v>
      </c>
      <c r="AH19">
        <v>6</v>
      </c>
      <c r="AI19">
        <v>8</v>
      </c>
      <c r="AJ19">
        <v>15</v>
      </c>
      <c r="AK19">
        <v>7</v>
      </c>
      <c r="AL19">
        <v>58300920</v>
      </c>
      <c r="AM19">
        <v>50520292</v>
      </c>
      <c r="AN19">
        <v>51910652</v>
      </c>
      <c r="AO19">
        <v>36618276</v>
      </c>
      <c r="AP19">
        <v>34543416</v>
      </c>
      <c r="AQ19">
        <v>35934652</v>
      </c>
      <c r="AR19">
        <v>54124704</v>
      </c>
      <c r="AS19">
        <v>31350352</v>
      </c>
      <c r="AT19" s="23" t="s">
        <v>452</v>
      </c>
      <c r="AU19" s="18">
        <v>58744884</v>
      </c>
      <c r="AV19" s="18">
        <v>40300912</v>
      </c>
      <c r="AW19" s="19">
        <v>34854852</v>
      </c>
      <c r="AX19" s="19">
        <v>29530342</v>
      </c>
      <c r="AY19" s="20">
        <v>14925116</v>
      </c>
      <c r="AZ19" s="20">
        <v>16184646</v>
      </c>
      <c r="BA19" s="21">
        <v>29248912</v>
      </c>
      <c r="BB19" s="21">
        <v>32044766</v>
      </c>
    </row>
    <row r="20" spans="1:62" hidden="1">
      <c r="A20">
        <v>19963</v>
      </c>
      <c r="B20" t="s">
        <v>1252</v>
      </c>
      <c r="C20" t="s">
        <v>1253</v>
      </c>
      <c r="D20" t="s">
        <v>1254</v>
      </c>
      <c r="F20" t="s">
        <v>1255</v>
      </c>
      <c r="G20">
        <v>5.8529999999999998</v>
      </c>
      <c r="H20" t="s">
        <v>57</v>
      </c>
      <c r="I20">
        <v>2</v>
      </c>
      <c r="J20">
        <v>21</v>
      </c>
      <c r="K20">
        <v>0</v>
      </c>
      <c r="L20">
        <v>7.83</v>
      </c>
      <c r="M20">
        <v>50324</v>
      </c>
      <c r="N20">
        <v>24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0</v>
      </c>
      <c r="AE20">
        <v>0</v>
      </c>
      <c r="AF20">
        <v>1</v>
      </c>
      <c r="AG20">
        <v>0</v>
      </c>
      <c r="AH20">
        <v>3</v>
      </c>
      <c r="AI20">
        <v>0</v>
      </c>
      <c r="AJ20">
        <v>0</v>
      </c>
      <c r="AK20">
        <v>0</v>
      </c>
      <c r="AL20">
        <v>21362496</v>
      </c>
      <c r="AM20">
        <v>22767560</v>
      </c>
      <c r="AN20">
        <v>22474176</v>
      </c>
      <c r="AO20">
        <v>47001392</v>
      </c>
      <c r="AP20">
        <v>40815808</v>
      </c>
      <c r="AQ20">
        <v>39601480</v>
      </c>
      <c r="AR20">
        <v>25228930</v>
      </c>
      <c r="AS20">
        <v>20341424</v>
      </c>
      <c r="AT20" s="23" t="s">
        <v>1253</v>
      </c>
      <c r="AU20" s="18">
        <v>28823442</v>
      </c>
      <c r="AV20" s="18">
        <v>20971664</v>
      </c>
      <c r="AW20" s="19">
        <v>17642736</v>
      </c>
      <c r="AX20" s="19">
        <v>25330210</v>
      </c>
      <c r="AY20" s="20">
        <v>19153434</v>
      </c>
      <c r="AZ20" s="20">
        <v>17790354</v>
      </c>
      <c r="BA20" s="21">
        <v>14163351</v>
      </c>
      <c r="BB20" s="21">
        <v>16835548</v>
      </c>
    </row>
    <row r="21" spans="1:62" hidden="1">
      <c r="A21">
        <v>20261</v>
      </c>
      <c r="B21" t="s">
        <v>1197</v>
      </c>
      <c r="C21" t="s">
        <v>1198</v>
      </c>
      <c r="D21" t="s">
        <v>1197</v>
      </c>
      <c r="F21" t="s">
        <v>1199</v>
      </c>
      <c r="G21">
        <v>10.512</v>
      </c>
      <c r="H21" t="s">
        <v>57</v>
      </c>
      <c r="I21">
        <v>2</v>
      </c>
      <c r="J21">
        <v>1</v>
      </c>
      <c r="K21">
        <v>0</v>
      </c>
      <c r="L21">
        <v>3.6</v>
      </c>
      <c r="M21">
        <v>46710</v>
      </c>
      <c r="N21">
        <v>25</v>
      </c>
      <c r="O21">
        <v>2</v>
      </c>
      <c r="P21">
        <v>2</v>
      </c>
      <c r="Q21">
        <v>2</v>
      </c>
      <c r="R21">
        <v>2</v>
      </c>
      <c r="S21">
        <v>6</v>
      </c>
      <c r="T21">
        <v>6</v>
      </c>
      <c r="U21">
        <v>2</v>
      </c>
      <c r="V21">
        <v>1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0</v>
      </c>
      <c r="AE21">
        <v>1</v>
      </c>
      <c r="AF21">
        <v>2</v>
      </c>
      <c r="AG21">
        <v>2</v>
      </c>
      <c r="AH21">
        <v>0</v>
      </c>
      <c r="AI21">
        <v>1</v>
      </c>
      <c r="AJ21">
        <v>1</v>
      </c>
      <c r="AK21">
        <v>0</v>
      </c>
      <c r="AL21">
        <v>301704.03000000003</v>
      </c>
      <c r="AM21">
        <v>16643313</v>
      </c>
      <c r="AN21">
        <v>4103728</v>
      </c>
      <c r="AO21">
        <v>4202560.5</v>
      </c>
      <c r="AP21">
        <v>42902124</v>
      </c>
      <c r="AQ21">
        <v>42226708</v>
      </c>
      <c r="AR21">
        <v>5905545.5</v>
      </c>
      <c r="AS21">
        <v>4176298.5</v>
      </c>
      <c r="AT21" s="23" t="s">
        <v>1198</v>
      </c>
      <c r="AU21" s="18">
        <v>142218.79999999999</v>
      </c>
      <c r="AV21" s="18">
        <v>8369052</v>
      </c>
      <c r="AW21" s="19">
        <v>5966456.5</v>
      </c>
      <c r="AX21" s="19">
        <v>6552837.5</v>
      </c>
      <c r="AY21" s="20">
        <v>12563386</v>
      </c>
      <c r="AZ21" s="20">
        <v>13472957</v>
      </c>
      <c r="BA21" s="21">
        <v>7686227</v>
      </c>
      <c r="BB21" s="21">
        <v>8899976</v>
      </c>
    </row>
    <row r="22" spans="1:62" hidden="1">
      <c r="A22">
        <v>20020</v>
      </c>
      <c r="B22" t="s">
        <v>1108</v>
      </c>
      <c r="C22" t="s">
        <v>1109</v>
      </c>
      <c r="D22" t="s">
        <v>1110</v>
      </c>
      <c r="F22" t="s">
        <v>1111</v>
      </c>
      <c r="G22">
        <v>18.553999999999998</v>
      </c>
      <c r="H22" t="s">
        <v>57</v>
      </c>
      <c r="I22">
        <v>2</v>
      </c>
      <c r="J22">
        <v>17</v>
      </c>
      <c r="K22">
        <v>0</v>
      </c>
      <c r="L22">
        <v>1.63</v>
      </c>
      <c r="M22">
        <v>52932</v>
      </c>
      <c r="N22">
        <v>25</v>
      </c>
      <c r="O22">
        <v>1</v>
      </c>
      <c r="P22">
        <v>1</v>
      </c>
      <c r="Q22">
        <v>1</v>
      </c>
      <c r="R22">
        <v>1</v>
      </c>
      <c r="S22">
        <v>3</v>
      </c>
      <c r="T22">
        <v>3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2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3278714.5</v>
      </c>
      <c r="AM22">
        <v>4665330.5</v>
      </c>
      <c r="AN22">
        <v>8097159</v>
      </c>
      <c r="AO22">
        <v>7960554.5</v>
      </c>
      <c r="AP22">
        <v>6680162.5</v>
      </c>
      <c r="AQ22">
        <v>5889769</v>
      </c>
      <c r="AR22">
        <v>6729270.5</v>
      </c>
      <c r="AS22">
        <v>2913190.5</v>
      </c>
      <c r="AT22" s="23" t="s">
        <v>1109</v>
      </c>
      <c r="AU22" s="18">
        <v>3278714.5</v>
      </c>
      <c r="AV22" s="18">
        <v>3600339.5</v>
      </c>
      <c r="AW22" s="19">
        <v>6251821.5</v>
      </c>
      <c r="AX22" s="19">
        <v>7079150</v>
      </c>
      <c r="AY22" s="20">
        <v>2689939.5</v>
      </c>
      <c r="AZ22" s="20">
        <v>2531906.25</v>
      </c>
      <c r="BA22" s="21">
        <v>3603218.5</v>
      </c>
      <c r="BB22" s="21">
        <v>2286493.25</v>
      </c>
    </row>
    <row r="23" spans="1:62" hidden="1">
      <c r="A23">
        <v>20242</v>
      </c>
      <c r="B23" t="s">
        <v>1098</v>
      </c>
      <c r="C23" t="s">
        <v>1099</v>
      </c>
      <c r="D23" t="s">
        <v>1098</v>
      </c>
      <c r="F23" t="s">
        <v>1100</v>
      </c>
      <c r="G23">
        <v>20.341000000000001</v>
      </c>
      <c r="H23" t="s">
        <v>57</v>
      </c>
      <c r="I23">
        <v>2</v>
      </c>
      <c r="J23">
        <v>1</v>
      </c>
      <c r="K23">
        <v>0</v>
      </c>
      <c r="L23">
        <v>7.34</v>
      </c>
      <c r="M23">
        <v>31514</v>
      </c>
      <c r="N23">
        <v>22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1</v>
      </c>
      <c r="W23">
        <v>1</v>
      </c>
      <c r="X23">
        <v>1</v>
      </c>
      <c r="Y23">
        <v>1</v>
      </c>
      <c r="Z23">
        <v>2</v>
      </c>
      <c r="AA23">
        <v>2</v>
      </c>
      <c r="AB23">
        <v>2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512094.44</v>
      </c>
      <c r="AM23">
        <v>511488.62</v>
      </c>
      <c r="AN23">
        <v>722419.88</v>
      </c>
      <c r="AO23">
        <v>468147.03</v>
      </c>
      <c r="AP23">
        <v>1782067.38</v>
      </c>
      <c r="AQ23">
        <v>1407245.25</v>
      </c>
      <c r="AR23">
        <v>1237780.5</v>
      </c>
      <c r="AS23">
        <v>419739.19</v>
      </c>
      <c r="AT23" s="23" t="s">
        <v>1099</v>
      </c>
      <c r="AU23" s="18">
        <v>78301.88</v>
      </c>
      <c r="AV23" s="18">
        <v>50964.22</v>
      </c>
      <c r="AW23" s="19">
        <v>69642.98</v>
      </c>
      <c r="AX23" s="19">
        <v>57390.46</v>
      </c>
      <c r="AY23" s="20">
        <v>1314438.6200000001</v>
      </c>
      <c r="AZ23" s="20">
        <v>1096344.3799999999</v>
      </c>
      <c r="BA23" s="21">
        <v>1124834</v>
      </c>
      <c r="BB23" s="21">
        <v>124031.19</v>
      </c>
    </row>
    <row r="24" spans="1:62" hidden="1">
      <c r="A24">
        <v>20263</v>
      </c>
      <c r="B24" t="s">
        <v>1378</v>
      </c>
      <c r="C24" t="s">
        <v>1379</v>
      </c>
      <c r="D24" t="s">
        <v>1378</v>
      </c>
      <c r="F24" t="s">
        <v>1380</v>
      </c>
      <c r="G24">
        <v>0</v>
      </c>
      <c r="H24" t="s">
        <v>57</v>
      </c>
      <c r="I24">
        <v>2</v>
      </c>
      <c r="J24">
        <v>1</v>
      </c>
      <c r="K24">
        <v>0</v>
      </c>
      <c r="L24">
        <v>0.9</v>
      </c>
      <c r="M24">
        <v>187250</v>
      </c>
      <c r="N24">
        <v>108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1</v>
      </c>
      <c r="W24">
        <v>2</v>
      </c>
      <c r="X24">
        <v>2</v>
      </c>
      <c r="Y24">
        <v>2</v>
      </c>
      <c r="Z24">
        <v>2</v>
      </c>
      <c r="AA24">
        <v>1</v>
      </c>
      <c r="AB24">
        <v>2</v>
      </c>
      <c r="AC24">
        <v>2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398790.56</v>
      </c>
      <c r="AM24">
        <v>2049339.5</v>
      </c>
      <c r="AN24">
        <v>1241650</v>
      </c>
      <c r="AO24">
        <v>1645374.75</v>
      </c>
      <c r="AP24">
        <v>703120.62</v>
      </c>
      <c r="AQ24">
        <v>398074.91</v>
      </c>
      <c r="AR24">
        <v>480231.91</v>
      </c>
      <c r="AS24">
        <v>779220.5</v>
      </c>
      <c r="AT24" s="23" t="s">
        <v>1379</v>
      </c>
      <c r="AU24" s="18">
        <v>47880.71</v>
      </c>
      <c r="AV24" s="18">
        <v>1617806.25</v>
      </c>
      <c r="AW24" s="19">
        <v>947593.75</v>
      </c>
      <c r="AX24" s="19">
        <v>1429297.12</v>
      </c>
      <c r="AY24" s="20">
        <v>290115.19</v>
      </c>
      <c r="AZ24" s="20">
        <v>52059</v>
      </c>
      <c r="BA24" s="21">
        <v>393589.72</v>
      </c>
      <c r="BB24" s="21">
        <v>940836.38</v>
      </c>
    </row>
    <row r="25" spans="1:62" hidden="1">
      <c r="A25">
        <v>20199</v>
      </c>
      <c r="B25" t="s">
        <v>583</v>
      </c>
      <c r="C25" t="s">
        <v>584</v>
      </c>
      <c r="D25" t="s">
        <v>583</v>
      </c>
      <c r="F25" t="s">
        <v>585</v>
      </c>
      <c r="G25">
        <v>242.01499999999999</v>
      </c>
      <c r="H25" t="s">
        <v>57</v>
      </c>
      <c r="I25">
        <v>2</v>
      </c>
      <c r="J25">
        <v>1</v>
      </c>
      <c r="K25">
        <v>0</v>
      </c>
      <c r="L25">
        <v>25.91</v>
      </c>
      <c r="M25">
        <v>25096</v>
      </c>
      <c r="N25">
        <v>11</v>
      </c>
      <c r="O25">
        <v>6</v>
      </c>
      <c r="P25">
        <v>6</v>
      </c>
      <c r="Q25">
        <v>6</v>
      </c>
      <c r="R25">
        <v>6</v>
      </c>
      <c r="S25">
        <v>56</v>
      </c>
      <c r="T25">
        <v>56</v>
      </c>
      <c r="U25">
        <v>6</v>
      </c>
      <c r="V25">
        <v>5</v>
      </c>
      <c r="W25">
        <v>6</v>
      </c>
      <c r="X25">
        <v>6</v>
      </c>
      <c r="Y25">
        <v>6</v>
      </c>
      <c r="Z25">
        <v>6</v>
      </c>
      <c r="AA25">
        <v>6</v>
      </c>
      <c r="AB25">
        <v>6</v>
      </c>
      <c r="AC25">
        <v>6</v>
      </c>
      <c r="AD25">
        <v>6</v>
      </c>
      <c r="AE25">
        <v>4</v>
      </c>
      <c r="AF25">
        <v>8</v>
      </c>
      <c r="AG25">
        <v>9</v>
      </c>
      <c r="AH25">
        <v>6</v>
      </c>
      <c r="AI25">
        <v>8</v>
      </c>
      <c r="AJ25">
        <v>8</v>
      </c>
      <c r="AK25">
        <v>7</v>
      </c>
      <c r="AL25">
        <v>19867436</v>
      </c>
      <c r="AM25">
        <v>25401308</v>
      </c>
      <c r="AN25">
        <v>38430220</v>
      </c>
      <c r="AO25">
        <v>37370192</v>
      </c>
      <c r="AP25">
        <v>38327988</v>
      </c>
      <c r="AQ25">
        <v>44986932</v>
      </c>
      <c r="AR25">
        <v>48249736</v>
      </c>
      <c r="AS25">
        <v>39360348</v>
      </c>
      <c r="AT25" s="23" t="s">
        <v>584</v>
      </c>
      <c r="AU25" s="18">
        <v>18827786</v>
      </c>
      <c r="AV25" s="18">
        <v>19546068</v>
      </c>
      <c r="AW25" s="19">
        <v>33299264</v>
      </c>
      <c r="AX25" s="19">
        <v>35882492</v>
      </c>
      <c r="AY25" s="20">
        <v>16433163</v>
      </c>
      <c r="AZ25" s="20">
        <v>22560848</v>
      </c>
      <c r="BA25" s="21">
        <v>25980174</v>
      </c>
      <c r="BB25" s="21">
        <v>31869462</v>
      </c>
    </row>
    <row r="26" spans="1:62" hidden="1">
      <c r="A26">
        <v>20006</v>
      </c>
      <c r="B26" t="s">
        <v>1082</v>
      </c>
      <c r="C26" t="s">
        <v>1083</v>
      </c>
      <c r="D26" t="s">
        <v>1084</v>
      </c>
      <c r="F26" t="s">
        <v>1085</v>
      </c>
      <c r="G26">
        <v>21.991</v>
      </c>
      <c r="H26" t="s">
        <v>57</v>
      </c>
      <c r="I26">
        <v>2</v>
      </c>
      <c r="J26">
        <v>21</v>
      </c>
      <c r="K26">
        <v>0</v>
      </c>
      <c r="L26">
        <v>8.17</v>
      </c>
      <c r="M26">
        <v>34424</v>
      </c>
      <c r="N26">
        <v>16</v>
      </c>
      <c r="O26">
        <v>2</v>
      </c>
      <c r="P26">
        <v>2</v>
      </c>
      <c r="Q26">
        <v>2</v>
      </c>
      <c r="R26">
        <v>2</v>
      </c>
      <c r="S26">
        <v>4</v>
      </c>
      <c r="T26">
        <v>4</v>
      </c>
      <c r="U26">
        <v>2</v>
      </c>
      <c r="V26">
        <v>1</v>
      </c>
      <c r="W26">
        <v>2</v>
      </c>
      <c r="X26">
        <v>2</v>
      </c>
      <c r="Y26">
        <v>2</v>
      </c>
      <c r="Z26">
        <v>2</v>
      </c>
      <c r="AA26">
        <v>2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1661495.38</v>
      </c>
      <c r="AM26">
        <v>887951.44</v>
      </c>
      <c r="AN26">
        <v>1158410.75</v>
      </c>
      <c r="AO26">
        <v>2118065.5</v>
      </c>
      <c r="AP26">
        <v>2963953</v>
      </c>
      <c r="AQ26">
        <v>3180113.75</v>
      </c>
      <c r="AR26">
        <v>2422437.25</v>
      </c>
      <c r="AS26">
        <v>1326623.8799999999</v>
      </c>
      <c r="AT26" s="23" t="s">
        <v>1083</v>
      </c>
      <c r="AU26" s="18">
        <v>107482.04</v>
      </c>
      <c r="AV26" s="18">
        <v>899668.69</v>
      </c>
      <c r="AW26" s="19">
        <v>1183452.8799999999</v>
      </c>
      <c r="AX26" s="19">
        <v>2446205.5</v>
      </c>
      <c r="AY26" s="20">
        <v>1129136.3799999999</v>
      </c>
      <c r="AZ26" s="20">
        <v>1709413.88</v>
      </c>
      <c r="BA26" s="21">
        <v>484238.88</v>
      </c>
      <c r="BB26" s="21">
        <v>1971222.62</v>
      </c>
    </row>
    <row r="27" spans="1:62">
      <c r="A27">
        <v>20232</v>
      </c>
      <c r="B27" t="s">
        <v>938</v>
      </c>
      <c r="C27" t="s">
        <v>939</v>
      </c>
      <c r="D27" t="s">
        <v>940</v>
      </c>
      <c r="F27" t="s">
        <v>941</v>
      </c>
      <c r="G27">
        <v>42.106000000000002</v>
      </c>
      <c r="H27" t="s">
        <v>57</v>
      </c>
      <c r="I27">
        <v>2</v>
      </c>
      <c r="J27">
        <v>2</v>
      </c>
      <c r="K27">
        <v>0</v>
      </c>
      <c r="L27">
        <v>5.26</v>
      </c>
      <c r="M27">
        <v>31453</v>
      </c>
      <c r="N27">
        <v>4</v>
      </c>
      <c r="O27">
        <v>1</v>
      </c>
      <c r="P27">
        <v>1</v>
      </c>
      <c r="Q27">
        <v>1</v>
      </c>
      <c r="R27">
        <v>1</v>
      </c>
      <c r="S27">
        <v>52</v>
      </c>
      <c r="T27">
        <v>52</v>
      </c>
      <c r="U27">
        <v>1</v>
      </c>
      <c r="V27">
        <v>1</v>
      </c>
      <c r="W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3</v>
      </c>
      <c r="AE27">
        <v>12</v>
      </c>
      <c r="AF27">
        <v>0</v>
      </c>
      <c r="AG27">
        <v>5</v>
      </c>
      <c r="AH27">
        <v>10</v>
      </c>
      <c r="AI27">
        <v>10</v>
      </c>
      <c r="AJ27">
        <v>7</v>
      </c>
      <c r="AK27">
        <v>5</v>
      </c>
      <c r="AL27">
        <v>4804760.5</v>
      </c>
      <c r="AM27">
        <v>4441485</v>
      </c>
      <c r="AO27">
        <v>1660834.25</v>
      </c>
      <c r="AP27">
        <v>47669564</v>
      </c>
      <c r="AQ27">
        <v>82911136</v>
      </c>
      <c r="AR27">
        <v>18868880</v>
      </c>
      <c r="AS27">
        <v>8920728</v>
      </c>
      <c r="AT27" s="23" t="s">
        <v>939</v>
      </c>
      <c r="AU27" s="18">
        <v>4552840.5</v>
      </c>
      <c r="AV27" s="18">
        <v>3472631</v>
      </c>
      <c r="AW27" s="19">
        <v>213953.23</v>
      </c>
      <c r="AX27" s="19">
        <v>149424.70000000001</v>
      </c>
      <c r="AY27" s="20">
        <v>28339168</v>
      </c>
      <c r="AZ27" s="20">
        <v>51929040</v>
      </c>
      <c r="BA27" s="21">
        <v>15321608</v>
      </c>
      <c r="BB27" s="21">
        <v>10264347</v>
      </c>
      <c r="BC27" s="23" t="s">
        <v>939</v>
      </c>
      <c r="BD27" s="24">
        <f>AVERAGE(AU27:AV27)</f>
        <v>4012735.75</v>
      </c>
      <c r="BE27" s="24">
        <f>AVERAGE(AW27:AX27)</f>
        <v>181688.96500000003</v>
      </c>
      <c r="BF27" s="24">
        <f>AVERAGE(AY27:AZ27)</f>
        <v>40134104</v>
      </c>
      <c r="BG27" s="24">
        <f>AVERAGE(BA27:BB27)</f>
        <v>12792977.5</v>
      </c>
      <c r="BH27" s="23" t="s">
        <v>939</v>
      </c>
      <c r="BI27" s="24">
        <f>(BD27-BE27)/BE27</f>
        <v>21.085742796762585</v>
      </c>
      <c r="BJ27" s="24">
        <f>(BF27-BG27)/BG27</f>
        <v>2.1371980447866807</v>
      </c>
    </row>
    <row r="28" spans="1:62" hidden="1">
      <c r="A28">
        <v>20196</v>
      </c>
      <c r="B28" t="s">
        <v>1370</v>
      </c>
      <c r="C28" t="s">
        <v>1371</v>
      </c>
      <c r="D28" t="s">
        <v>1370</v>
      </c>
      <c r="E28" t="s">
        <v>1372</v>
      </c>
      <c r="F28" t="s">
        <v>1373</v>
      </c>
      <c r="G28">
        <v>0</v>
      </c>
      <c r="H28" t="s">
        <v>57</v>
      </c>
      <c r="I28">
        <v>2</v>
      </c>
      <c r="J28">
        <v>1</v>
      </c>
      <c r="K28">
        <v>1</v>
      </c>
      <c r="L28">
        <v>6.79</v>
      </c>
      <c r="M28">
        <v>30852</v>
      </c>
      <c r="N28">
        <v>19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1341527.25</v>
      </c>
      <c r="AM28">
        <v>5350500.5</v>
      </c>
      <c r="AN28">
        <v>11310988</v>
      </c>
      <c r="AO28">
        <v>2697597</v>
      </c>
      <c r="AP28">
        <v>8301416</v>
      </c>
      <c r="AQ28">
        <v>7897683.5</v>
      </c>
      <c r="AR28">
        <v>16340786</v>
      </c>
      <c r="AS28">
        <v>4150068.5</v>
      </c>
      <c r="AT28" s="23" t="s">
        <v>1371</v>
      </c>
      <c r="AU28" s="18">
        <v>1237020.6200000001</v>
      </c>
      <c r="AV28" s="18">
        <v>5264432</v>
      </c>
      <c r="AW28" s="19">
        <v>6101430</v>
      </c>
      <c r="AX28" s="19">
        <v>3243499.25</v>
      </c>
      <c r="AY28" s="20">
        <v>4035266.5</v>
      </c>
      <c r="AZ28" s="20">
        <v>3624168.75</v>
      </c>
      <c r="BA28" s="21">
        <v>7798757.5</v>
      </c>
      <c r="BB28" s="21">
        <v>4035491.5</v>
      </c>
    </row>
    <row r="29" spans="1:62" hidden="1">
      <c r="A29">
        <v>20229</v>
      </c>
      <c r="B29" t="s">
        <v>1256</v>
      </c>
      <c r="C29" t="s">
        <v>1257</v>
      </c>
      <c r="D29" t="s">
        <v>1258</v>
      </c>
      <c r="F29" t="s">
        <v>1259</v>
      </c>
      <c r="G29">
        <v>5.6769999999999996</v>
      </c>
      <c r="H29" t="s">
        <v>57</v>
      </c>
      <c r="I29">
        <v>2</v>
      </c>
      <c r="J29">
        <v>3</v>
      </c>
      <c r="K29">
        <v>0</v>
      </c>
      <c r="L29">
        <v>0.82</v>
      </c>
      <c r="M29">
        <v>95583</v>
      </c>
      <c r="N29">
        <v>58</v>
      </c>
      <c r="O29">
        <v>1</v>
      </c>
      <c r="P29">
        <v>1</v>
      </c>
      <c r="Q29">
        <v>1</v>
      </c>
      <c r="R29">
        <v>1</v>
      </c>
      <c r="S29">
        <v>5</v>
      </c>
      <c r="T29">
        <v>5</v>
      </c>
      <c r="U29">
        <v>1</v>
      </c>
      <c r="W29">
        <v>1</v>
      </c>
      <c r="X29">
        <v>1</v>
      </c>
      <c r="Y29">
        <v>1</v>
      </c>
      <c r="Z29">
        <v>1</v>
      </c>
      <c r="AB29">
        <v>1</v>
      </c>
      <c r="AC29">
        <v>1</v>
      </c>
      <c r="AD29">
        <v>0</v>
      </c>
      <c r="AE29">
        <v>3</v>
      </c>
      <c r="AF29">
        <v>3</v>
      </c>
      <c r="AG29">
        <v>3</v>
      </c>
      <c r="AH29">
        <v>3</v>
      </c>
      <c r="AI29">
        <v>0</v>
      </c>
      <c r="AJ29">
        <v>2</v>
      </c>
      <c r="AK29">
        <v>6</v>
      </c>
      <c r="AM29">
        <v>96915248</v>
      </c>
      <c r="AN29">
        <v>87751280</v>
      </c>
      <c r="AO29">
        <v>81469232</v>
      </c>
      <c r="AP29">
        <v>149342976</v>
      </c>
      <c r="AR29">
        <v>75912024</v>
      </c>
      <c r="AS29">
        <v>64913396</v>
      </c>
      <c r="AT29" s="23" t="s">
        <v>1257</v>
      </c>
      <c r="AU29" s="18">
        <v>49505.43</v>
      </c>
      <c r="AV29" s="18">
        <v>74791656</v>
      </c>
      <c r="AW29" s="19">
        <v>67752816</v>
      </c>
      <c r="AX29" s="19">
        <v>72448832</v>
      </c>
      <c r="AY29" s="20">
        <v>60136796</v>
      </c>
      <c r="AZ29" s="20">
        <v>247733</v>
      </c>
      <c r="BA29" s="21">
        <v>40647436</v>
      </c>
      <c r="BB29" s="21">
        <v>50948968</v>
      </c>
    </row>
    <row r="30" spans="1:62" hidden="1">
      <c r="A30">
        <v>20131</v>
      </c>
      <c r="B30" t="s">
        <v>598</v>
      </c>
      <c r="C30" t="s">
        <v>599</v>
      </c>
      <c r="D30" t="s">
        <v>600</v>
      </c>
      <c r="F30" t="s">
        <v>601</v>
      </c>
      <c r="G30">
        <v>230.708</v>
      </c>
      <c r="H30" t="s">
        <v>57</v>
      </c>
      <c r="I30">
        <v>2</v>
      </c>
      <c r="J30">
        <v>3</v>
      </c>
      <c r="K30">
        <v>0</v>
      </c>
      <c r="L30">
        <v>22.75</v>
      </c>
      <c r="M30">
        <v>37998</v>
      </c>
      <c r="N30">
        <v>18</v>
      </c>
      <c r="O30">
        <v>7</v>
      </c>
      <c r="P30">
        <v>7</v>
      </c>
      <c r="Q30">
        <v>7</v>
      </c>
      <c r="R30">
        <v>7</v>
      </c>
      <c r="S30">
        <v>27</v>
      </c>
      <c r="T30">
        <v>27</v>
      </c>
      <c r="U30">
        <v>7</v>
      </c>
      <c r="V30">
        <v>7</v>
      </c>
      <c r="W30">
        <v>7</v>
      </c>
      <c r="X30">
        <v>7</v>
      </c>
      <c r="Y30">
        <v>7</v>
      </c>
      <c r="Z30">
        <v>6</v>
      </c>
      <c r="AA30">
        <v>6</v>
      </c>
      <c r="AB30">
        <v>6</v>
      </c>
      <c r="AC30">
        <v>6</v>
      </c>
      <c r="AD30">
        <v>2</v>
      </c>
      <c r="AE30">
        <v>1</v>
      </c>
      <c r="AF30">
        <v>5</v>
      </c>
      <c r="AG30">
        <v>3</v>
      </c>
      <c r="AH30">
        <v>4</v>
      </c>
      <c r="AI30">
        <v>3</v>
      </c>
      <c r="AJ30">
        <v>6</v>
      </c>
      <c r="AK30">
        <v>3</v>
      </c>
      <c r="AL30">
        <v>10919367</v>
      </c>
      <c r="AM30">
        <v>12154719</v>
      </c>
      <c r="AN30">
        <v>24229808</v>
      </c>
      <c r="AO30">
        <v>21281884</v>
      </c>
      <c r="AP30">
        <v>30760402</v>
      </c>
      <c r="AQ30">
        <v>23194576</v>
      </c>
      <c r="AR30">
        <v>29625418</v>
      </c>
      <c r="AS30">
        <v>14903398</v>
      </c>
      <c r="AT30" s="23" t="s">
        <v>599</v>
      </c>
      <c r="AU30" s="18">
        <v>12249306</v>
      </c>
      <c r="AV30" s="18">
        <v>10170373</v>
      </c>
      <c r="AW30" s="19">
        <v>19150172</v>
      </c>
      <c r="AX30" s="19">
        <v>18264086</v>
      </c>
      <c r="AY30" s="20">
        <v>11520971</v>
      </c>
      <c r="AZ30" s="20">
        <v>10359236</v>
      </c>
      <c r="BA30" s="21">
        <v>16340200</v>
      </c>
      <c r="BB30" s="21">
        <v>14479140</v>
      </c>
    </row>
    <row r="31" spans="1:62" hidden="1">
      <c r="A31">
        <v>20155</v>
      </c>
      <c r="B31" t="s">
        <v>859</v>
      </c>
      <c r="C31" t="s">
        <v>860</v>
      </c>
      <c r="D31" t="s">
        <v>861</v>
      </c>
      <c r="F31" t="s">
        <v>862</v>
      </c>
      <c r="G31">
        <v>67.019000000000005</v>
      </c>
      <c r="H31" t="s">
        <v>57</v>
      </c>
      <c r="I31">
        <v>2</v>
      </c>
      <c r="J31">
        <v>3</v>
      </c>
      <c r="K31">
        <v>0</v>
      </c>
      <c r="L31">
        <v>35.71</v>
      </c>
      <c r="M31">
        <v>7403</v>
      </c>
      <c r="N31">
        <v>7</v>
      </c>
      <c r="O31">
        <v>2</v>
      </c>
      <c r="P31">
        <v>2</v>
      </c>
      <c r="Q31">
        <v>2</v>
      </c>
      <c r="R31">
        <v>2</v>
      </c>
      <c r="S31">
        <v>3</v>
      </c>
      <c r="T31">
        <v>3</v>
      </c>
      <c r="U31">
        <v>2</v>
      </c>
      <c r="V31">
        <v>1</v>
      </c>
      <c r="W31">
        <v>1</v>
      </c>
      <c r="X31">
        <v>1</v>
      </c>
      <c r="Y31">
        <v>2</v>
      </c>
      <c r="Z31">
        <v>2</v>
      </c>
      <c r="AA31">
        <v>2</v>
      </c>
      <c r="AB31">
        <v>2</v>
      </c>
      <c r="AC31">
        <v>2</v>
      </c>
      <c r="AD31">
        <v>0</v>
      </c>
      <c r="AE31">
        <v>2</v>
      </c>
      <c r="AF31">
        <v>1</v>
      </c>
      <c r="AG31">
        <v>1</v>
      </c>
      <c r="AH31">
        <v>2</v>
      </c>
      <c r="AI31">
        <v>3</v>
      </c>
      <c r="AJ31">
        <v>1</v>
      </c>
      <c r="AK31">
        <v>1</v>
      </c>
      <c r="AL31">
        <v>5430967.5</v>
      </c>
      <c r="AM31">
        <v>8451036</v>
      </c>
      <c r="AN31">
        <v>3997290.75</v>
      </c>
      <c r="AO31">
        <v>5375262</v>
      </c>
      <c r="AP31">
        <v>16405725</v>
      </c>
      <c r="AQ31">
        <v>18643450</v>
      </c>
      <c r="AR31">
        <v>6558443.5</v>
      </c>
      <c r="AS31">
        <v>4701384</v>
      </c>
      <c r="AT31" s="23" t="s">
        <v>860</v>
      </c>
      <c r="AU31" s="18">
        <v>163397.09</v>
      </c>
      <c r="AV31" s="18">
        <v>112026.33</v>
      </c>
      <c r="AW31" s="19">
        <v>98801.34</v>
      </c>
      <c r="AX31" s="19">
        <v>5915725.5</v>
      </c>
      <c r="AY31" s="20">
        <v>6979404</v>
      </c>
      <c r="AZ31" s="20">
        <v>12392577</v>
      </c>
      <c r="BA31" s="21">
        <v>6371405.5</v>
      </c>
      <c r="BB31" s="21">
        <v>8476943</v>
      </c>
    </row>
    <row r="32" spans="1:62" hidden="1">
      <c r="A32">
        <v>20193</v>
      </c>
      <c r="B32" t="s">
        <v>781</v>
      </c>
      <c r="C32" t="s">
        <v>782</v>
      </c>
      <c r="D32" t="s">
        <v>783</v>
      </c>
      <c r="F32" t="s">
        <v>784</v>
      </c>
      <c r="G32">
        <v>99.325999999999993</v>
      </c>
      <c r="H32" t="s">
        <v>57</v>
      </c>
      <c r="I32">
        <v>2</v>
      </c>
      <c r="J32">
        <v>4</v>
      </c>
      <c r="K32">
        <v>0</v>
      </c>
      <c r="L32">
        <v>46.38</v>
      </c>
      <c r="M32">
        <v>7463</v>
      </c>
      <c r="N32">
        <v>6</v>
      </c>
      <c r="O32">
        <v>3</v>
      </c>
      <c r="P32">
        <v>3</v>
      </c>
      <c r="Q32">
        <v>3</v>
      </c>
      <c r="R32">
        <v>3</v>
      </c>
      <c r="S32">
        <v>35</v>
      </c>
      <c r="T32">
        <v>35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2</v>
      </c>
      <c r="AE32">
        <v>4</v>
      </c>
      <c r="AF32">
        <v>4</v>
      </c>
      <c r="AG32">
        <v>4</v>
      </c>
      <c r="AH32">
        <v>6</v>
      </c>
      <c r="AI32">
        <v>6</v>
      </c>
      <c r="AJ32">
        <v>4</v>
      </c>
      <c r="AK32">
        <v>5</v>
      </c>
      <c r="AL32">
        <v>31350350</v>
      </c>
      <c r="AM32">
        <v>61597144</v>
      </c>
      <c r="AN32">
        <v>23425946</v>
      </c>
      <c r="AO32">
        <v>20997610</v>
      </c>
      <c r="AP32">
        <v>99110672</v>
      </c>
      <c r="AQ32">
        <v>86215536</v>
      </c>
      <c r="AR32">
        <v>16342014</v>
      </c>
      <c r="AS32">
        <v>14643252</v>
      </c>
      <c r="AT32" s="23" t="s">
        <v>782</v>
      </c>
      <c r="AU32" s="18">
        <v>38392708</v>
      </c>
      <c r="AV32" s="18">
        <v>48212524</v>
      </c>
      <c r="AW32" s="19">
        <v>18457120</v>
      </c>
      <c r="AX32" s="19">
        <v>18520270</v>
      </c>
      <c r="AY32" s="20">
        <v>36898728</v>
      </c>
      <c r="AZ32" s="20">
        <v>34149392</v>
      </c>
      <c r="BA32" s="21">
        <v>8420872</v>
      </c>
      <c r="BB32" s="21">
        <v>11606088</v>
      </c>
    </row>
    <row r="33" spans="1:54" hidden="1">
      <c r="A33">
        <v>20152</v>
      </c>
      <c r="B33" t="s">
        <v>893</v>
      </c>
      <c r="C33" t="s">
        <v>894</v>
      </c>
      <c r="D33" t="s">
        <v>895</v>
      </c>
      <c r="F33" t="s">
        <v>896</v>
      </c>
      <c r="G33">
        <v>52.524999999999999</v>
      </c>
      <c r="H33" t="s">
        <v>57</v>
      </c>
      <c r="I33">
        <v>2</v>
      </c>
      <c r="J33">
        <v>3</v>
      </c>
      <c r="K33">
        <v>0</v>
      </c>
      <c r="L33">
        <v>10.19</v>
      </c>
      <c r="M33">
        <v>36150</v>
      </c>
      <c r="N33">
        <v>19</v>
      </c>
      <c r="O33">
        <v>3</v>
      </c>
      <c r="P33">
        <v>3</v>
      </c>
      <c r="Q33">
        <v>3</v>
      </c>
      <c r="R33">
        <v>3</v>
      </c>
      <c r="S33">
        <v>8</v>
      </c>
      <c r="T33">
        <v>8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2</v>
      </c>
      <c r="AC33">
        <v>2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3</v>
      </c>
      <c r="AJ33">
        <v>2</v>
      </c>
      <c r="AK33">
        <v>2</v>
      </c>
      <c r="AL33">
        <v>2275450.25</v>
      </c>
      <c r="AM33">
        <v>2911423.5</v>
      </c>
      <c r="AN33">
        <v>3670982</v>
      </c>
      <c r="AO33">
        <v>3939633.5</v>
      </c>
      <c r="AP33">
        <v>7257951</v>
      </c>
      <c r="AQ33">
        <v>6891798.5</v>
      </c>
      <c r="AR33">
        <v>3449925.25</v>
      </c>
      <c r="AS33">
        <v>3280660.5</v>
      </c>
      <c r="AT33" s="23" t="s">
        <v>894</v>
      </c>
      <c r="AU33" s="18">
        <v>2390042.25</v>
      </c>
      <c r="AV33" s="18">
        <v>2258983.5</v>
      </c>
      <c r="AW33" s="19">
        <v>2952711.5</v>
      </c>
      <c r="AX33" s="19">
        <v>3728781.25</v>
      </c>
      <c r="AY33" s="20">
        <v>2549348</v>
      </c>
      <c r="AZ33" s="20">
        <v>2329654</v>
      </c>
      <c r="BA33" s="21">
        <v>2143828.5</v>
      </c>
      <c r="BB33" s="21">
        <v>3014690.75</v>
      </c>
    </row>
    <row r="34" spans="1:54" hidden="1">
      <c r="A34">
        <v>20230</v>
      </c>
      <c r="B34" t="s">
        <v>950</v>
      </c>
      <c r="C34" t="s">
        <v>951</v>
      </c>
      <c r="D34" t="s">
        <v>952</v>
      </c>
      <c r="F34" t="s">
        <v>953</v>
      </c>
      <c r="G34">
        <v>41.134</v>
      </c>
      <c r="H34" t="s">
        <v>57</v>
      </c>
      <c r="I34">
        <v>2</v>
      </c>
      <c r="J34">
        <v>2</v>
      </c>
      <c r="K34">
        <v>0</v>
      </c>
      <c r="L34">
        <v>8.36</v>
      </c>
      <c r="M34">
        <v>34489</v>
      </c>
      <c r="N34">
        <v>15</v>
      </c>
      <c r="O34">
        <v>2</v>
      </c>
      <c r="P34">
        <v>2</v>
      </c>
      <c r="Q34">
        <v>2</v>
      </c>
      <c r="R34">
        <v>2</v>
      </c>
      <c r="S34">
        <v>3</v>
      </c>
      <c r="T34">
        <v>3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1</v>
      </c>
      <c r="AJ34">
        <v>0</v>
      </c>
      <c r="AK34">
        <v>0</v>
      </c>
      <c r="AL34">
        <v>3552904</v>
      </c>
      <c r="AM34">
        <v>3681324.75</v>
      </c>
      <c r="AN34">
        <v>2526837.25</v>
      </c>
      <c r="AO34">
        <v>1803059.62</v>
      </c>
      <c r="AP34">
        <v>13203108</v>
      </c>
      <c r="AQ34">
        <v>11241371</v>
      </c>
      <c r="AR34">
        <v>2263391.5</v>
      </c>
      <c r="AS34">
        <v>550861.06000000006</v>
      </c>
      <c r="AT34" s="23" t="s">
        <v>951</v>
      </c>
      <c r="AU34" s="18">
        <v>3261313.5</v>
      </c>
      <c r="AV34" s="18">
        <v>3149490.5</v>
      </c>
      <c r="AW34" s="19">
        <v>2108132.5</v>
      </c>
      <c r="AX34" s="19">
        <v>2019445.5</v>
      </c>
      <c r="AY34" s="20">
        <v>4749370.5</v>
      </c>
      <c r="AZ34" s="20">
        <v>4155660.75</v>
      </c>
      <c r="BA34" s="21">
        <v>1357857</v>
      </c>
      <c r="BB34" s="21">
        <v>1182725.6200000001</v>
      </c>
    </row>
    <row r="35" spans="1:54" hidden="1">
      <c r="A35">
        <v>19996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>
        <v>1027.5229999999999</v>
      </c>
      <c r="H35" t="s">
        <v>57</v>
      </c>
      <c r="I35">
        <v>2</v>
      </c>
      <c r="J35">
        <v>3</v>
      </c>
      <c r="K35">
        <v>18</v>
      </c>
      <c r="L35">
        <v>61.82</v>
      </c>
      <c r="M35">
        <v>52201</v>
      </c>
      <c r="N35">
        <v>25</v>
      </c>
      <c r="O35">
        <v>24</v>
      </c>
      <c r="P35">
        <v>24</v>
      </c>
      <c r="Q35">
        <v>25</v>
      </c>
      <c r="R35">
        <v>25</v>
      </c>
      <c r="S35">
        <v>352</v>
      </c>
      <c r="T35">
        <v>352</v>
      </c>
      <c r="U35">
        <v>25</v>
      </c>
      <c r="V35">
        <v>23</v>
      </c>
      <c r="W35">
        <v>23</v>
      </c>
      <c r="X35">
        <v>23</v>
      </c>
      <c r="Y35">
        <v>24</v>
      </c>
      <c r="Z35">
        <v>23</v>
      </c>
      <c r="AA35">
        <v>24</v>
      </c>
      <c r="AB35">
        <v>23</v>
      </c>
      <c r="AC35">
        <v>24</v>
      </c>
      <c r="AD35">
        <v>43</v>
      </c>
      <c r="AE35">
        <v>50</v>
      </c>
      <c r="AF35">
        <v>47</v>
      </c>
      <c r="AG35">
        <v>51</v>
      </c>
      <c r="AH35">
        <v>28</v>
      </c>
      <c r="AI35">
        <v>29</v>
      </c>
      <c r="AJ35">
        <v>54</v>
      </c>
      <c r="AK35">
        <v>49</v>
      </c>
      <c r="AL35">
        <v>364794784</v>
      </c>
      <c r="AM35">
        <v>389742752</v>
      </c>
      <c r="AN35">
        <v>384095968</v>
      </c>
      <c r="AO35">
        <v>364033216</v>
      </c>
      <c r="AP35">
        <v>201508832</v>
      </c>
      <c r="AQ35">
        <v>186846896</v>
      </c>
      <c r="AR35">
        <v>390247072</v>
      </c>
      <c r="AS35">
        <v>244338992</v>
      </c>
      <c r="AT35" s="23" t="s">
        <v>197</v>
      </c>
      <c r="AU35" s="18">
        <v>367360320</v>
      </c>
      <c r="AV35" s="18">
        <v>320793440</v>
      </c>
      <c r="AW35" s="19">
        <v>320747776</v>
      </c>
      <c r="AX35" s="19">
        <v>364503552</v>
      </c>
      <c r="AY35" s="20">
        <v>86800304</v>
      </c>
      <c r="AZ35" s="20">
        <v>98168608</v>
      </c>
      <c r="BA35" s="21">
        <v>244094896</v>
      </c>
      <c r="BB35" s="21">
        <v>244247184</v>
      </c>
    </row>
    <row r="36" spans="1:54" hidden="1">
      <c r="A36">
        <v>20114</v>
      </c>
      <c r="B36" t="s">
        <v>987</v>
      </c>
      <c r="C36" t="s">
        <v>988</v>
      </c>
      <c r="D36" t="s">
        <v>989</v>
      </c>
      <c r="F36" t="s">
        <v>990</v>
      </c>
      <c r="G36">
        <v>34.430999999999997</v>
      </c>
      <c r="H36" t="s">
        <v>57</v>
      </c>
      <c r="I36">
        <v>2</v>
      </c>
      <c r="J36">
        <v>3</v>
      </c>
      <c r="K36">
        <v>0</v>
      </c>
      <c r="L36">
        <v>4.29</v>
      </c>
      <c r="M36">
        <v>70575</v>
      </c>
      <c r="N36">
        <v>40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1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1499269.25</v>
      </c>
      <c r="AM36">
        <v>1012772.25</v>
      </c>
      <c r="AN36">
        <v>1643135.25</v>
      </c>
      <c r="AO36">
        <v>1298054.75</v>
      </c>
      <c r="AP36">
        <v>2600196.5</v>
      </c>
      <c r="AQ36">
        <v>2131286</v>
      </c>
      <c r="AR36">
        <v>2020291</v>
      </c>
      <c r="AS36">
        <v>1338118.25</v>
      </c>
      <c r="AT36" s="23" t="s">
        <v>988</v>
      </c>
      <c r="AU36" s="18">
        <v>1061922.3799999999</v>
      </c>
      <c r="AV36" s="18">
        <v>32791.82</v>
      </c>
      <c r="AW36" s="19">
        <v>1438638.5</v>
      </c>
      <c r="AX36" s="19">
        <v>1250773.8799999999</v>
      </c>
      <c r="AY36" s="20">
        <v>1255164.1200000001</v>
      </c>
      <c r="AZ36" s="20">
        <v>1087701.3799999999</v>
      </c>
      <c r="BA36" s="21">
        <v>1313554.6200000001</v>
      </c>
      <c r="BB36" s="21">
        <v>1228545.6200000001</v>
      </c>
    </row>
    <row r="37" spans="1:54" hidden="1">
      <c r="A37">
        <v>20013</v>
      </c>
      <c r="B37" t="s">
        <v>967</v>
      </c>
      <c r="C37" t="s">
        <v>968</v>
      </c>
      <c r="D37" t="s">
        <v>969</v>
      </c>
      <c r="F37" t="s">
        <v>970</v>
      </c>
      <c r="G37">
        <v>37.737000000000002</v>
      </c>
      <c r="H37" t="s">
        <v>57</v>
      </c>
      <c r="I37">
        <v>2</v>
      </c>
      <c r="J37">
        <v>3</v>
      </c>
      <c r="K37">
        <v>0</v>
      </c>
      <c r="L37">
        <v>3.19</v>
      </c>
      <c r="M37">
        <v>129898</v>
      </c>
      <c r="N37">
        <v>76</v>
      </c>
      <c r="O37">
        <v>4</v>
      </c>
      <c r="P37">
        <v>4</v>
      </c>
      <c r="Q37">
        <v>4</v>
      </c>
      <c r="R37">
        <v>4</v>
      </c>
      <c r="S37">
        <v>7</v>
      </c>
      <c r="T37">
        <v>7</v>
      </c>
      <c r="U37">
        <v>4</v>
      </c>
      <c r="V37">
        <v>2</v>
      </c>
      <c r="W37">
        <v>4</v>
      </c>
      <c r="X37">
        <v>3</v>
      </c>
      <c r="Y37">
        <v>3</v>
      </c>
      <c r="Z37">
        <v>4</v>
      </c>
      <c r="AA37">
        <v>4</v>
      </c>
      <c r="AB37">
        <v>4</v>
      </c>
      <c r="AC37">
        <v>4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4</v>
      </c>
      <c r="AJ37">
        <v>1</v>
      </c>
      <c r="AK37">
        <v>0</v>
      </c>
      <c r="AL37">
        <v>1451553.25</v>
      </c>
      <c r="AM37">
        <v>2010176.75</v>
      </c>
      <c r="AN37">
        <v>1945426.88</v>
      </c>
      <c r="AO37">
        <v>2683614.75</v>
      </c>
      <c r="AP37">
        <v>4492859</v>
      </c>
      <c r="AQ37">
        <v>4196498</v>
      </c>
      <c r="AR37">
        <v>4315399.5</v>
      </c>
      <c r="AS37">
        <v>2238126.5</v>
      </c>
      <c r="AT37" s="23" t="s">
        <v>968</v>
      </c>
      <c r="AU37" s="18">
        <v>591599.81000000006</v>
      </c>
      <c r="AV37" s="18">
        <v>1707072.62</v>
      </c>
      <c r="AW37" s="19">
        <v>1182411.5</v>
      </c>
      <c r="AX37" s="19">
        <v>2040439.75</v>
      </c>
      <c r="AY37" s="20">
        <v>2617376.75</v>
      </c>
      <c r="AZ37" s="20">
        <v>2358226.5</v>
      </c>
      <c r="BA37" s="21">
        <v>1992115.88</v>
      </c>
      <c r="BB37" s="21">
        <v>1755740.88</v>
      </c>
    </row>
    <row r="38" spans="1:54" hidden="1">
      <c r="A38">
        <v>19976</v>
      </c>
      <c r="B38" t="s">
        <v>724</v>
      </c>
      <c r="C38" t="s">
        <v>725</v>
      </c>
      <c r="D38" t="s">
        <v>726</v>
      </c>
      <c r="E38" t="s">
        <v>727</v>
      </c>
      <c r="F38" t="s">
        <v>728</v>
      </c>
      <c r="G38">
        <v>117.59399999999999</v>
      </c>
      <c r="H38" t="s">
        <v>57</v>
      </c>
      <c r="I38">
        <v>2</v>
      </c>
      <c r="J38">
        <v>16</v>
      </c>
      <c r="K38">
        <v>3</v>
      </c>
      <c r="L38">
        <v>15.43</v>
      </c>
      <c r="M38">
        <v>41043</v>
      </c>
      <c r="N38">
        <v>17</v>
      </c>
      <c r="O38">
        <v>6</v>
      </c>
      <c r="P38">
        <v>6</v>
      </c>
      <c r="Q38">
        <v>6</v>
      </c>
      <c r="R38">
        <v>6</v>
      </c>
      <c r="S38">
        <v>36</v>
      </c>
      <c r="T38">
        <v>36</v>
      </c>
      <c r="U38">
        <v>6</v>
      </c>
      <c r="V38">
        <v>3</v>
      </c>
      <c r="W38">
        <v>6</v>
      </c>
      <c r="X38">
        <v>6</v>
      </c>
      <c r="Y38">
        <v>6</v>
      </c>
      <c r="Z38">
        <v>6</v>
      </c>
      <c r="AA38">
        <v>6</v>
      </c>
      <c r="AB38">
        <v>5</v>
      </c>
      <c r="AC38">
        <v>6</v>
      </c>
      <c r="AD38">
        <v>1</v>
      </c>
      <c r="AE38">
        <v>6</v>
      </c>
      <c r="AF38">
        <v>5</v>
      </c>
      <c r="AG38">
        <v>5</v>
      </c>
      <c r="AH38">
        <v>5</v>
      </c>
      <c r="AI38">
        <v>6</v>
      </c>
      <c r="AJ38">
        <v>5</v>
      </c>
      <c r="AK38">
        <v>3</v>
      </c>
      <c r="AL38">
        <v>5784342.5</v>
      </c>
      <c r="AM38">
        <v>12059188</v>
      </c>
      <c r="AN38">
        <v>14878145</v>
      </c>
      <c r="AO38">
        <v>15536294</v>
      </c>
      <c r="AP38">
        <v>23080888</v>
      </c>
      <c r="AQ38">
        <v>23212208</v>
      </c>
      <c r="AR38">
        <v>20614486</v>
      </c>
      <c r="AS38">
        <v>14176316</v>
      </c>
      <c r="AT38" s="23" t="s">
        <v>725</v>
      </c>
      <c r="AU38" s="18">
        <v>449119.34</v>
      </c>
      <c r="AV38" s="18">
        <v>10601214</v>
      </c>
      <c r="AW38" s="19">
        <v>10937802</v>
      </c>
      <c r="AX38" s="19">
        <v>16887346</v>
      </c>
      <c r="AY38" s="20">
        <v>10737207</v>
      </c>
      <c r="AZ38" s="20">
        <v>9542702</v>
      </c>
      <c r="BA38" s="21">
        <v>8491329</v>
      </c>
      <c r="BB38" s="21">
        <v>13777278</v>
      </c>
    </row>
    <row r="39" spans="1:54" hidden="1">
      <c r="A39">
        <v>20134</v>
      </c>
      <c r="B39" t="s">
        <v>465</v>
      </c>
      <c r="C39" t="s">
        <v>466</v>
      </c>
      <c r="D39" t="s">
        <v>467</v>
      </c>
      <c r="F39" t="s">
        <v>468</v>
      </c>
      <c r="G39">
        <v>343.70400000000001</v>
      </c>
      <c r="H39" t="s">
        <v>57</v>
      </c>
      <c r="I39">
        <v>2</v>
      </c>
      <c r="J39">
        <v>9</v>
      </c>
      <c r="K39">
        <v>0</v>
      </c>
      <c r="L39">
        <v>24.14</v>
      </c>
      <c r="M39">
        <v>69114</v>
      </c>
      <c r="N39">
        <v>39</v>
      </c>
      <c r="O39">
        <v>13</v>
      </c>
      <c r="P39">
        <v>13</v>
      </c>
      <c r="Q39">
        <v>13</v>
      </c>
      <c r="R39">
        <v>13</v>
      </c>
      <c r="S39">
        <v>84</v>
      </c>
      <c r="T39">
        <v>84</v>
      </c>
      <c r="U39">
        <v>13</v>
      </c>
      <c r="V39">
        <v>9</v>
      </c>
      <c r="W39">
        <v>12</v>
      </c>
      <c r="X39">
        <v>12</v>
      </c>
      <c r="Y39">
        <v>12</v>
      </c>
      <c r="Z39">
        <v>11</v>
      </c>
      <c r="AA39">
        <v>11</v>
      </c>
      <c r="AB39">
        <v>10</v>
      </c>
      <c r="AC39">
        <v>9</v>
      </c>
      <c r="AD39">
        <v>9</v>
      </c>
      <c r="AE39">
        <v>8</v>
      </c>
      <c r="AF39">
        <v>14</v>
      </c>
      <c r="AG39">
        <v>13</v>
      </c>
      <c r="AH39">
        <v>8</v>
      </c>
      <c r="AI39">
        <v>10</v>
      </c>
      <c r="AJ39">
        <v>14</v>
      </c>
      <c r="AK39">
        <v>8</v>
      </c>
      <c r="AL39">
        <v>28500220</v>
      </c>
      <c r="AM39">
        <v>31860988</v>
      </c>
      <c r="AN39">
        <v>42649144</v>
      </c>
      <c r="AO39">
        <v>54952504</v>
      </c>
      <c r="AP39">
        <v>47856004</v>
      </c>
      <c r="AQ39">
        <v>54353728</v>
      </c>
      <c r="AR39">
        <v>52905868</v>
      </c>
      <c r="AS39">
        <v>39480100</v>
      </c>
      <c r="AT39" s="23" t="s">
        <v>466</v>
      </c>
      <c r="AU39" s="18">
        <v>27818362</v>
      </c>
      <c r="AV39" s="18">
        <v>24963328</v>
      </c>
      <c r="AW39" s="19">
        <v>41549440</v>
      </c>
      <c r="AX39" s="19">
        <v>48471784</v>
      </c>
      <c r="AY39" s="20">
        <v>17575826</v>
      </c>
      <c r="AZ39" s="20">
        <v>22426912</v>
      </c>
      <c r="BA39" s="21">
        <v>29559868</v>
      </c>
      <c r="BB39" s="21">
        <v>32995710</v>
      </c>
    </row>
    <row r="40" spans="1:54" hidden="1">
      <c r="A40">
        <v>20217</v>
      </c>
      <c r="B40" t="s">
        <v>519</v>
      </c>
      <c r="C40" t="s">
        <v>520</v>
      </c>
      <c r="D40" t="s">
        <v>519</v>
      </c>
      <c r="F40" t="s">
        <v>521</v>
      </c>
      <c r="G40">
        <v>296.31</v>
      </c>
      <c r="H40" t="s">
        <v>57</v>
      </c>
      <c r="I40">
        <v>2</v>
      </c>
      <c r="J40">
        <v>1</v>
      </c>
      <c r="K40">
        <v>0</v>
      </c>
      <c r="L40">
        <v>25.35</v>
      </c>
      <c r="M40">
        <v>71136</v>
      </c>
      <c r="N40">
        <v>44</v>
      </c>
      <c r="O40">
        <v>15</v>
      </c>
      <c r="P40">
        <v>15</v>
      </c>
      <c r="Q40">
        <v>15</v>
      </c>
      <c r="R40">
        <v>15</v>
      </c>
      <c r="S40">
        <v>55</v>
      </c>
      <c r="T40">
        <v>55</v>
      </c>
      <c r="U40">
        <v>14</v>
      </c>
      <c r="V40">
        <v>9</v>
      </c>
      <c r="W40">
        <v>12</v>
      </c>
      <c r="X40">
        <v>13</v>
      </c>
      <c r="Y40">
        <v>13</v>
      </c>
      <c r="Z40">
        <v>13</v>
      </c>
      <c r="AA40">
        <v>14</v>
      </c>
      <c r="AB40">
        <v>13</v>
      </c>
      <c r="AC40">
        <v>14</v>
      </c>
      <c r="AD40">
        <v>3</v>
      </c>
      <c r="AE40">
        <v>6</v>
      </c>
      <c r="AF40">
        <v>10</v>
      </c>
      <c r="AG40">
        <v>8</v>
      </c>
      <c r="AH40">
        <v>5</v>
      </c>
      <c r="AI40">
        <v>5</v>
      </c>
      <c r="AJ40">
        <v>10</v>
      </c>
      <c r="AK40">
        <v>7</v>
      </c>
      <c r="AL40">
        <v>11288192</v>
      </c>
      <c r="AM40">
        <v>13054560</v>
      </c>
      <c r="AN40">
        <v>29333650</v>
      </c>
      <c r="AO40">
        <v>25049384</v>
      </c>
      <c r="AP40">
        <v>36582120</v>
      </c>
      <c r="AQ40">
        <v>36205872</v>
      </c>
      <c r="AR40">
        <v>35744156</v>
      </c>
      <c r="AS40">
        <v>24925068</v>
      </c>
      <c r="AT40" s="23" t="s">
        <v>520</v>
      </c>
      <c r="AU40" s="18">
        <v>12539183</v>
      </c>
      <c r="AV40" s="18">
        <v>11958857</v>
      </c>
      <c r="AW40" s="19">
        <v>23484362</v>
      </c>
      <c r="AX40" s="19">
        <v>22951728</v>
      </c>
      <c r="AY40" s="20">
        <v>16160017</v>
      </c>
      <c r="AZ40" s="20">
        <v>16635954</v>
      </c>
      <c r="BA40" s="21">
        <v>20613614</v>
      </c>
      <c r="BB40" s="21">
        <v>21205398</v>
      </c>
    </row>
    <row r="41" spans="1:54" hidden="1">
      <c r="A41">
        <v>20074</v>
      </c>
      <c r="B41" t="s">
        <v>669</v>
      </c>
      <c r="C41" t="s">
        <v>670</v>
      </c>
      <c r="D41" t="s">
        <v>671</v>
      </c>
      <c r="F41" t="s">
        <v>672</v>
      </c>
      <c r="G41">
        <v>150.53</v>
      </c>
      <c r="H41" t="s">
        <v>57</v>
      </c>
      <c r="I41">
        <v>2</v>
      </c>
      <c r="J41">
        <v>20</v>
      </c>
      <c r="K41">
        <v>0</v>
      </c>
      <c r="L41">
        <v>42.51</v>
      </c>
      <c r="M41">
        <v>18695</v>
      </c>
      <c r="N41">
        <v>13</v>
      </c>
      <c r="O41">
        <v>6</v>
      </c>
      <c r="P41">
        <v>6</v>
      </c>
      <c r="Q41">
        <v>6</v>
      </c>
      <c r="R41">
        <v>6</v>
      </c>
      <c r="S41">
        <v>28</v>
      </c>
      <c r="T41">
        <v>28</v>
      </c>
      <c r="U41">
        <v>6</v>
      </c>
      <c r="V41">
        <v>6</v>
      </c>
      <c r="W41">
        <v>6</v>
      </c>
      <c r="X41">
        <v>6</v>
      </c>
      <c r="Y41">
        <v>5</v>
      </c>
      <c r="Z41">
        <v>5</v>
      </c>
      <c r="AA41">
        <v>4</v>
      </c>
      <c r="AB41">
        <v>3</v>
      </c>
      <c r="AC41">
        <v>2</v>
      </c>
      <c r="AD41">
        <v>7</v>
      </c>
      <c r="AE41">
        <v>6</v>
      </c>
      <c r="AF41">
        <v>5</v>
      </c>
      <c r="AG41">
        <v>4</v>
      </c>
      <c r="AH41">
        <v>2</v>
      </c>
      <c r="AI41">
        <v>1</v>
      </c>
      <c r="AJ41">
        <v>2</v>
      </c>
      <c r="AK41">
        <v>1</v>
      </c>
      <c r="AL41">
        <v>27086664</v>
      </c>
      <c r="AM41">
        <v>24100300</v>
      </c>
      <c r="AN41">
        <v>20911368</v>
      </c>
      <c r="AO41">
        <v>18912322</v>
      </c>
      <c r="AP41">
        <v>18486384</v>
      </c>
      <c r="AQ41">
        <v>17966638</v>
      </c>
      <c r="AR41">
        <v>6324039</v>
      </c>
      <c r="AS41">
        <v>5172877</v>
      </c>
      <c r="AT41" s="23" t="s">
        <v>670</v>
      </c>
      <c r="AU41" s="18">
        <v>31826390</v>
      </c>
      <c r="AV41" s="18">
        <v>20954408</v>
      </c>
      <c r="AW41" s="19">
        <v>16658309</v>
      </c>
      <c r="AX41" s="19">
        <v>16330380</v>
      </c>
      <c r="AY41" s="20">
        <v>8979384</v>
      </c>
      <c r="AZ41" s="20">
        <v>5408979</v>
      </c>
      <c r="BA41" s="21">
        <v>1251165.8799999999</v>
      </c>
      <c r="BB41" s="21">
        <v>228444.11</v>
      </c>
    </row>
    <row r="42" spans="1:54" hidden="1">
      <c r="A42">
        <v>20110</v>
      </c>
      <c r="B42" t="s">
        <v>994</v>
      </c>
      <c r="C42" t="s">
        <v>995</v>
      </c>
      <c r="D42" t="s">
        <v>996</v>
      </c>
      <c r="F42" t="s">
        <v>997</v>
      </c>
      <c r="G42">
        <v>31.905999999999999</v>
      </c>
      <c r="H42" t="s">
        <v>57</v>
      </c>
      <c r="I42">
        <v>2</v>
      </c>
      <c r="J42">
        <v>20</v>
      </c>
      <c r="K42">
        <v>0</v>
      </c>
      <c r="L42">
        <v>4.55</v>
      </c>
      <c r="M42">
        <v>20845</v>
      </c>
      <c r="N42">
        <v>10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2366811</v>
      </c>
      <c r="AM42">
        <v>2426456.25</v>
      </c>
      <c r="AN42">
        <v>1300366.1200000001</v>
      </c>
      <c r="AO42">
        <v>1131350.3799999999</v>
      </c>
      <c r="AP42">
        <v>4693375</v>
      </c>
      <c r="AQ42">
        <v>3331533.25</v>
      </c>
      <c r="AR42">
        <v>309523.34000000003</v>
      </c>
      <c r="AS42">
        <v>402183.38</v>
      </c>
      <c r="AT42" s="23" t="s">
        <v>995</v>
      </c>
      <c r="AU42" s="18">
        <v>2366811</v>
      </c>
      <c r="AV42" s="18">
        <v>1872550.25</v>
      </c>
      <c r="AW42" s="19">
        <v>1004013.44</v>
      </c>
      <c r="AX42" s="19">
        <v>1006085.56</v>
      </c>
      <c r="AY42" s="20">
        <v>1889908.25</v>
      </c>
      <c r="AZ42" s="20">
        <v>1432166.5</v>
      </c>
      <c r="BA42" s="21">
        <v>165735.67000000001</v>
      </c>
      <c r="BB42" s="21">
        <v>315664.09000000003</v>
      </c>
    </row>
    <row r="43" spans="1:54" hidden="1">
      <c r="A43">
        <v>20059</v>
      </c>
      <c r="B43" t="s">
        <v>802</v>
      </c>
      <c r="C43" t="s">
        <v>803</v>
      </c>
      <c r="D43" t="s">
        <v>804</v>
      </c>
      <c r="F43" t="s">
        <v>805</v>
      </c>
      <c r="G43">
        <v>88.671999999999997</v>
      </c>
      <c r="H43" t="s">
        <v>57</v>
      </c>
      <c r="I43">
        <v>2</v>
      </c>
      <c r="J43">
        <v>3</v>
      </c>
      <c r="K43">
        <v>0</v>
      </c>
      <c r="L43">
        <v>39.58</v>
      </c>
      <c r="M43">
        <v>4809</v>
      </c>
      <c r="N43">
        <v>2</v>
      </c>
      <c r="O43">
        <v>1</v>
      </c>
      <c r="P43">
        <v>1</v>
      </c>
      <c r="Q43">
        <v>1</v>
      </c>
      <c r="R43">
        <v>1</v>
      </c>
      <c r="S43">
        <v>9</v>
      </c>
      <c r="T43">
        <v>9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2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5981193</v>
      </c>
      <c r="AM43">
        <v>6588858.5</v>
      </c>
      <c r="AN43">
        <v>2369934.75</v>
      </c>
      <c r="AO43">
        <v>2402124.75</v>
      </c>
      <c r="AP43">
        <v>6538786.5</v>
      </c>
      <c r="AQ43">
        <v>4942407.5</v>
      </c>
      <c r="AR43">
        <v>1207723.6200000001</v>
      </c>
      <c r="AS43">
        <v>1421176.88</v>
      </c>
      <c r="AT43" s="23" t="s">
        <v>803</v>
      </c>
      <c r="AU43" s="18">
        <v>5981193</v>
      </c>
      <c r="AV43" s="18">
        <v>5084769</v>
      </c>
      <c r="AW43" s="19">
        <v>1829828</v>
      </c>
      <c r="AX43" s="19">
        <v>2136157.75</v>
      </c>
      <c r="AY43" s="20">
        <v>2633010.75</v>
      </c>
      <c r="AZ43" s="20">
        <v>2124652.25</v>
      </c>
      <c r="BA43" s="21">
        <v>646681.12</v>
      </c>
      <c r="BB43" s="21">
        <v>1115447.6200000001</v>
      </c>
    </row>
    <row r="44" spans="1:54" hidden="1">
      <c r="A44">
        <v>20211</v>
      </c>
      <c r="B44" t="s">
        <v>889</v>
      </c>
      <c r="C44" t="s">
        <v>890</v>
      </c>
      <c r="D44" t="s">
        <v>891</v>
      </c>
      <c r="F44" t="s">
        <v>892</v>
      </c>
      <c r="G44">
        <v>52.741</v>
      </c>
      <c r="H44" t="s">
        <v>57</v>
      </c>
      <c r="I44">
        <v>2</v>
      </c>
      <c r="J44">
        <v>2</v>
      </c>
      <c r="K44">
        <v>0</v>
      </c>
      <c r="L44">
        <v>9.75</v>
      </c>
      <c r="M44">
        <v>39146</v>
      </c>
      <c r="N44">
        <v>18</v>
      </c>
      <c r="O44">
        <v>2</v>
      </c>
      <c r="P44">
        <v>2</v>
      </c>
      <c r="Q44">
        <v>2</v>
      </c>
      <c r="R44">
        <v>2</v>
      </c>
      <c r="S44">
        <v>6</v>
      </c>
      <c r="T44">
        <v>6</v>
      </c>
      <c r="U44">
        <v>2</v>
      </c>
      <c r="V44">
        <v>2</v>
      </c>
      <c r="W44">
        <v>2</v>
      </c>
      <c r="X44">
        <v>1</v>
      </c>
      <c r="Y44">
        <v>1</v>
      </c>
      <c r="Z44">
        <v>2</v>
      </c>
      <c r="AA44">
        <v>2</v>
      </c>
      <c r="AB44">
        <v>1</v>
      </c>
      <c r="AC44">
        <v>2</v>
      </c>
      <c r="AD44">
        <v>2</v>
      </c>
      <c r="AE44">
        <v>2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8372636</v>
      </c>
      <c r="AM44">
        <v>15285458</v>
      </c>
      <c r="AN44">
        <v>7705551.5</v>
      </c>
      <c r="AO44">
        <v>7588985</v>
      </c>
      <c r="AP44">
        <v>35066176</v>
      </c>
      <c r="AQ44">
        <v>26335984</v>
      </c>
      <c r="AR44">
        <v>6089725.5</v>
      </c>
      <c r="AS44">
        <v>6347414</v>
      </c>
      <c r="AT44" s="23" t="s">
        <v>890</v>
      </c>
      <c r="AU44" s="18">
        <v>10373884</v>
      </c>
      <c r="AV44" s="18">
        <v>14330616</v>
      </c>
      <c r="AW44" s="19">
        <v>7180930</v>
      </c>
      <c r="AX44" s="19">
        <v>5761187</v>
      </c>
      <c r="AY44" s="20">
        <v>14340013</v>
      </c>
      <c r="AZ44" s="20">
        <v>15033891</v>
      </c>
      <c r="BA44" s="21">
        <v>3095660.5</v>
      </c>
      <c r="BB44" s="21">
        <v>6291155.5</v>
      </c>
    </row>
    <row r="45" spans="1:54" hidden="1">
      <c r="A45">
        <v>20256</v>
      </c>
      <c r="B45" t="s">
        <v>806</v>
      </c>
      <c r="C45" t="s">
        <v>807</v>
      </c>
      <c r="D45" t="s">
        <v>808</v>
      </c>
      <c r="F45" t="s">
        <v>809</v>
      </c>
      <c r="G45">
        <v>88.212999999999994</v>
      </c>
      <c r="H45" t="s">
        <v>57</v>
      </c>
      <c r="I45">
        <v>2</v>
      </c>
      <c r="J45">
        <v>2</v>
      </c>
      <c r="K45">
        <v>0</v>
      </c>
      <c r="L45">
        <v>10.44</v>
      </c>
      <c r="M45">
        <v>18110</v>
      </c>
      <c r="N45">
        <v>4</v>
      </c>
      <c r="O45">
        <v>1</v>
      </c>
      <c r="P45">
        <v>1</v>
      </c>
      <c r="Q45">
        <v>1</v>
      </c>
      <c r="R45">
        <v>1</v>
      </c>
      <c r="S45">
        <v>8</v>
      </c>
      <c r="T45">
        <v>8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2</v>
      </c>
      <c r="AE45">
        <v>2</v>
      </c>
      <c r="AF45">
        <v>0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9157794</v>
      </c>
      <c r="AM45">
        <v>9072432</v>
      </c>
      <c r="AN45">
        <v>1987309.75</v>
      </c>
      <c r="AO45">
        <v>1915780.5</v>
      </c>
      <c r="AP45">
        <v>12965880</v>
      </c>
      <c r="AQ45">
        <v>11258864</v>
      </c>
      <c r="AR45">
        <v>1377769.38</v>
      </c>
      <c r="AS45">
        <v>1025328.06</v>
      </c>
      <c r="AT45" s="23" t="s">
        <v>807</v>
      </c>
      <c r="AU45" s="18">
        <v>9157794</v>
      </c>
      <c r="AV45" s="18">
        <v>7001397.5</v>
      </c>
      <c r="AW45" s="19">
        <v>1534403</v>
      </c>
      <c r="AX45" s="19">
        <v>1703662.38</v>
      </c>
      <c r="AY45" s="20">
        <v>5221045.5</v>
      </c>
      <c r="AZ45" s="20">
        <v>4839984</v>
      </c>
      <c r="BA45" s="21">
        <v>737732.88</v>
      </c>
      <c r="BB45" s="21">
        <v>804755.38</v>
      </c>
    </row>
    <row r="46" spans="1:54" hidden="1">
      <c r="A46">
        <v>20201</v>
      </c>
      <c r="B46" t="s">
        <v>485</v>
      </c>
      <c r="C46" t="s">
        <v>486</v>
      </c>
      <c r="D46" t="s">
        <v>487</v>
      </c>
      <c r="F46" t="s">
        <v>488</v>
      </c>
      <c r="G46">
        <v>326.56200000000001</v>
      </c>
      <c r="H46" t="s">
        <v>57</v>
      </c>
      <c r="I46">
        <v>2</v>
      </c>
      <c r="J46">
        <v>3</v>
      </c>
      <c r="K46">
        <v>0</v>
      </c>
      <c r="L46">
        <v>49.43</v>
      </c>
      <c r="M46">
        <v>19736</v>
      </c>
      <c r="N46">
        <v>8</v>
      </c>
      <c r="O46">
        <v>7</v>
      </c>
      <c r="P46">
        <v>7</v>
      </c>
      <c r="Q46">
        <v>7</v>
      </c>
      <c r="R46">
        <v>7</v>
      </c>
      <c r="S46">
        <v>115</v>
      </c>
      <c r="T46">
        <v>115</v>
      </c>
      <c r="U46">
        <v>7</v>
      </c>
      <c r="V46">
        <v>7</v>
      </c>
      <c r="W46">
        <v>7</v>
      </c>
      <c r="X46">
        <v>6</v>
      </c>
      <c r="Y46">
        <v>6</v>
      </c>
      <c r="Z46">
        <v>6</v>
      </c>
      <c r="AA46">
        <v>5</v>
      </c>
      <c r="AB46">
        <v>5</v>
      </c>
      <c r="AC46">
        <v>6</v>
      </c>
      <c r="AD46">
        <v>26</v>
      </c>
      <c r="AE46">
        <v>26</v>
      </c>
      <c r="AF46">
        <v>14</v>
      </c>
      <c r="AG46">
        <v>11</v>
      </c>
      <c r="AH46">
        <v>13</v>
      </c>
      <c r="AI46">
        <v>9</v>
      </c>
      <c r="AJ46">
        <v>9</v>
      </c>
      <c r="AK46">
        <v>7</v>
      </c>
      <c r="AL46">
        <v>66202152</v>
      </c>
      <c r="AM46">
        <v>95335904</v>
      </c>
      <c r="AN46">
        <v>37141644</v>
      </c>
      <c r="AO46">
        <v>35459392</v>
      </c>
      <c r="AP46">
        <v>103679640</v>
      </c>
      <c r="AQ46">
        <v>118975728</v>
      </c>
      <c r="AR46">
        <v>53703480</v>
      </c>
      <c r="AS46">
        <v>41692008</v>
      </c>
      <c r="AT46" s="23" t="s">
        <v>486</v>
      </c>
      <c r="AU46" s="18">
        <v>69166192</v>
      </c>
      <c r="AV46" s="18">
        <v>109690752</v>
      </c>
      <c r="AW46" s="19">
        <v>41211416</v>
      </c>
      <c r="AX46" s="19">
        <v>48385752</v>
      </c>
      <c r="AY46" s="20">
        <v>90021968</v>
      </c>
      <c r="AZ46" s="20">
        <v>102236496</v>
      </c>
      <c r="BA46" s="21">
        <v>53938132</v>
      </c>
      <c r="BB46" s="21">
        <v>65293592</v>
      </c>
    </row>
    <row r="47" spans="1:54" hidden="1">
      <c r="A47">
        <v>20149</v>
      </c>
      <c r="B47" t="s">
        <v>1128</v>
      </c>
      <c r="C47" t="s">
        <v>1129</v>
      </c>
      <c r="D47" t="s">
        <v>1128</v>
      </c>
      <c r="F47" t="s">
        <v>1130</v>
      </c>
      <c r="G47">
        <v>16.062000000000001</v>
      </c>
      <c r="H47" t="s">
        <v>57</v>
      </c>
      <c r="I47">
        <v>2</v>
      </c>
      <c r="J47">
        <v>1</v>
      </c>
      <c r="K47">
        <v>0</v>
      </c>
      <c r="L47">
        <v>0.5</v>
      </c>
      <c r="M47">
        <v>248069</v>
      </c>
      <c r="N47">
        <v>77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X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549855.18999999994</v>
      </c>
      <c r="AT47" s="23" t="s">
        <v>1129</v>
      </c>
      <c r="AU47" s="18">
        <v>49505.43</v>
      </c>
      <c r="AV47" s="18">
        <v>111774.65</v>
      </c>
      <c r="AW47" s="19">
        <v>424543.5</v>
      </c>
      <c r="AX47" s="19">
        <v>170153.38</v>
      </c>
      <c r="AY47" s="20">
        <v>350962.88</v>
      </c>
      <c r="AZ47" s="20">
        <v>247733</v>
      </c>
      <c r="BA47" s="21">
        <v>199295.7</v>
      </c>
      <c r="BB47" s="21">
        <v>212391.23</v>
      </c>
    </row>
    <row r="48" spans="1:54" hidden="1">
      <c r="A48">
        <v>20007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>
        <v>730.28</v>
      </c>
      <c r="H48" t="s">
        <v>57</v>
      </c>
      <c r="I48">
        <v>2</v>
      </c>
      <c r="J48">
        <v>9</v>
      </c>
      <c r="K48">
        <v>12</v>
      </c>
      <c r="L48">
        <v>57.46</v>
      </c>
      <c r="M48">
        <v>34154</v>
      </c>
      <c r="N48">
        <v>21</v>
      </c>
      <c r="O48">
        <v>15</v>
      </c>
      <c r="P48">
        <v>15</v>
      </c>
      <c r="Q48">
        <v>15</v>
      </c>
      <c r="R48">
        <v>15</v>
      </c>
      <c r="S48">
        <v>183</v>
      </c>
      <c r="T48">
        <v>183</v>
      </c>
      <c r="U48">
        <v>15</v>
      </c>
      <c r="V48">
        <v>11</v>
      </c>
      <c r="W48">
        <v>13</v>
      </c>
      <c r="X48">
        <v>15</v>
      </c>
      <c r="Y48">
        <v>15</v>
      </c>
      <c r="Z48">
        <v>15</v>
      </c>
      <c r="AA48">
        <v>14</v>
      </c>
      <c r="AB48">
        <v>14</v>
      </c>
      <c r="AC48">
        <v>15</v>
      </c>
      <c r="AD48">
        <v>22</v>
      </c>
      <c r="AE48">
        <v>23</v>
      </c>
      <c r="AF48">
        <v>28</v>
      </c>
      <c r="AG48">
        <v>32</v>
      </c>
      <c r="AH48">
        <v>16</v>
      </c>
      <c r="AI48">
        <v>16</v>
      </c>
      <c r="AJ48">
        <v>25</v>
      </c>
      <c r="AK48">
        <v>21</v>
      </c>
      <c r="AL48">
        <v>302988896</v>
      </c>
      <c r="AM48">
        <v>335861696</v>
      </c>
      <c r="AN48">
        <v>335197504</v>
      </c>
      <c r="AO48">
        <v>306491808</v>
      </c>
      <c r="AP48">
        <v>146185712</v>
      </c>
      <c r="AQ48">
        <v>157623504</v>
      </c>
      <c r="AR48">
        <v>321977984</v>
      </c>
      <c r="AS48">
        <v>229600896</v>
      </c>
      <c r="AT48" s="23" t="s">
        <v>285</v>
      </c>
      <c r="AU48" s="18">
        <v>304632384</v>
      </c>
      <c r="AV48" s="18">
        <v>275401536</v>
      </c>
      <c r="AW48" s="19">
        <v>286426944</v>
      </c>
      <c r="AX48" s="19">
        <v>299290080</v>
      </c>
      <c r="AY48" s="20">
        <v>66975656</v>
      </c>
      <c r="AZ48" s="20">
        <v>80516872</v>
      </c>
      <c r="BA48" s="21">
        <v>199240144</v>
      </c>
      <c r="BB48" s="21">
        <v>202909424</v>
      </c>
    </row>
    <row r="49" spans="1:62" hidden="1">
      <c r="A49">
        <v>20221</v>
      </c>
      <c r="B49" t="s">
        <v>1147</v>
      </c>
      <c r="C49" t="s">
        <v>1148</v>
      </c>
      <c r="D49" t="s">
        <v>1147</v>
      </c>
      <c r="F49" t="s">
        <v>1149</v>
      </c>
      <c r="G49">
        <v>13.222</v>
      </c>
      <c r="H49" t="s">
        <v>57</v>
      </c>
      <c r="I49">
        <v>2</v>
      </c>
      <c r="J49">
        <v>1</v>
      </c>
      <c r="K49">
        <v>0</v>
      </c>
      <c r="L49">
        <v>2.16</v>
      </c>
      <c r="M49">
        <v>65970</v>
      </c>
      <c r="N49">
        <v>37</v>
      </c>
      <c r="O49">
        <v>1</v>
      </c>
      <c r="P49">
        <v>1</v>
      </c>
      <c r="Q49">
        <v>1</v>
      </c>
      <c r="R49">
        <v>1</v>
      </c>
      <c r="S49">
        <v>3</v>
      </c>
      <c r="T49">
        <v>3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773115.62</v>
      </c>
      <c r="AM49">
        <v>387707.31</v>
      </c>
      <c r="AN49">
        <v>640738.75</v>
      </c>
      <c r="AO49">
        <v>574193.38</v>
      </c>
      <c r="AP49">
        <v>2150890.75</v>
      </c>
      <c r="AQ49">
        <v>1313124.75</v>
      </c>
      <c r="AT49" s="23" t="s">
        <v>1148</v>
      </c>
      <c r="AU49" s="18">
        <v>773115.62</v>
      </c>
      <c r="AV49" s="18">
        <v>299202.34000000003</v>
      </c>
      <c r="AW49" s="19">
        <v>494714.78</v>
      </c>
      <c r="AX49" s="19">
        <v>510617.84</v>
      </c>
      <c r="AY49" s="20">
        <v>866111.56</v>
      </c>
      <c r="AZ49" s="20">
        <v>564488.75</v>
      </c>
      <c r="BA49" s="21">
        <v>199295.7</v>
      </c>
      <c r="BB49" s="21">
        <v>212391.23</v>
      </c>
    </row>
    <row r="50" spans="1:62" hidden="1">
      <c r="A50">
        <v>20133</v>
      </c>
      <c r="B50" t="s">
        <v>206</v>
      </c>
      <c r="C50" t="s">
        <v>207</v>
      </c>
      <c r="D50" t="s">
        <v>208</v>
      </c>
      <c r="F50" t="s">
        <v>209</v>
      </c>
      <c r="G50">
        <v>950.93799999999999</v>
      </c>
      <c r="H50" t="s">
        <v>57</v>
      </c>
      <c r="I50">
        <v>2</v>
      </c>
      <c r="J50">
        <v>20</v>
      </c>
      <c r="K50">
        <v>0</v>
      </c>
      <c r="L50">
        <v>61.08</v>
      </c>
      <c r="M50">
        <v>20638</v>
      </c>
      <c r="N50">
        <v>14</v>
      </c>
      <c r="O50">
        <v>17</v>
      </c>
      <c r="P50">
        <v>17</v>
      </c>
      <c r="Q50">
        <v>21</v>
      </c>
      <c r="R50">
        <v>21</v>
      </c>
      <c r="S50">
        <v>736</v>
      </c>
      <c r="T50">
        <v>736</v>
      </c>
      <c r="U50">
        <v>21</v>
      </c>
      <c r="V50">
        <v>19</v>
      </c>
      <c r="W50">
        <v>18</v>
      </c>
      <c r="X50">
        <v>20</v>
      </c>
      <c r="Y50">
        <v>21</v>
      </c>
      <c r="Z50">
        <v>21</v>
      </c>
      <c r="AA50">
        <v>21</v>
      </c>
      <c r="AB50">
        <v>21</v>
      </c>
      <c r="AC50">
        <v>21</v>
      </c>
      <c r="AD50">
        <v>67</v>
      </c>
      <c r="AE50">
        <v>58</v>
      </c>
      <c r="AF50">
        <v>106</v>
      </c>
      <c r="AG50">
        <v>99</v>
      </c>
      <c r="AH50">
        <v>111</v>
      </c>
      <c r="AI50">
        <v>118</v>
      </c>
      <c r="AJ50">
        <v>94</v>
      </c>
      <c r="AK50">
        <v>82</v>
      </c>
      <c r="AL50">
        <v>936381952</v>
      </c>
      <c r="AM50">
        <v>1174530048</v>
      </c>
      <c r="AN50">
        <v>4264150272</v>
      </c>
      <c r="AO50">
        <v>4001084416</v>
      </c>
      <c r="AP50">
        <v>8166968320</v>
      </c>
      <c r="AQ50">
        <v>9071500288</v>
      </c>
      <c r="AR50">
        <v>5923218432</v>
      </c>
      <c r="AS50">
        <v>3174955776</v>
      </c>
      <c r="AT50" s="23" t="s">
        <v>207</v>
      </c>
      <c r="AU50" s="18">
        <v>933659200</v>
      </c>
      <c r="AV50" s="18">
        <v>922804160</v>
      </c>
      <c r="AW50" s="19">
        <v>3208828928</v>
      </c>
      <c r="AX50" s="19">
        <v>3282298368</v>
      </c>
      <c r="AY50" s="20">
        <v>3527198464</v>
      </c>
      <c r="AZ50" s="20">
        <v>4507006976</v>
      </c>
      <c r="BA50" s="21">
        <v>3655296768</v>
      </c>
      <c r="BB50" s="21">
        <v>2883181824</v>
      </c>
    </row>
    <row r="51" spans="1:62">
      <c r="A51">
        <v>20100</v>
      </c>
      <c r="B51" t="s">
        <v>227</v>
      </c>
      <c r="C51" t="s">
        <v>228</v>
      </c>
      <c r="D51" t="s">
        <v>229</v>
      </c>
      <c r="F51" t="s">
        <v>230</v>
      </c>
      <c r="G51">
        <v>860.92100000000005</v>
      </c>
      <c r="H51" t="s">
        <v>57</v>
      </c>
      <c r="I51">
        <v>2</v>
      </c>
      <c r="J51">
        <v>3</v>
      </c>
      <c r="K51">
        <v>0</v>
      </c>
      <c r="L51">
        <v>49.76</v>
      </c>
      <c r="M51">
        <v>45329</v>
      </c>
      <c r="N51">
        <v>20</v>
      </c>
      <c r="O51">
        <v>17</v>
      </c>
      <c r="P51">
        <v>17</v>
      </c>
      <c r="Q51">
        <v>17</v>
      </c>
      <c r="R51">
        <v>17</v>
      </c>
      <c r="S51">
        <v>537</v>
      </c>
      <c r="T51">
        <v>537</v>
      </c>
      <c r="U51">
        <v>17</v>
      </c>
      <c r="V51">
        <v>14</v>
      </c>
      <c r="W51">
        <v>17</v>
      </c>
      <c r="X51">
        <v>15</v>
      </c>
      <c r="Y51">
        <v>17</v>
      </c>
      <c r="Z51">
        <v>17</v>
      </c>
      <c r="AA51">
        <v>17</v>
      </c>
      <c r="AB51">
        <v>17</v>
      </c>
      <c r="AC51">
        <v>17</v>
      </c>
      <c r="AD51">
        <v>54</v>
      </c>
      <c r="AE51">
        <v>61</v>
      </c>
      <c r="AF51">
        <v>43</v>
      </c>
      <c r="AG51">
        <v>42</v>
      </c>
      <c r="AH51">
        <v>107</v>
      </c>
      <c r="AI51">
        <v>116</v>
      </c>
      <c r="AJ51">
        <v>62</v>
      </c>
      <c r="AK51">
        <v>52</v>
      </c>
      <c r="AL51">
        <v>324227072</v>
      </c>
      <c r="AM51">
        <v>446503072</v>
      </c>
      <c r="AN51">
        <v>200503392</v>
      </c>
      <c r="AO51">
        <v>213686656</v>
      </c>
      <c r="AP51">
        <v>1659179904</v>
      </c>
      <c r="AQ51">
        <v>1774159744</v>
      </c>
      <c r="AR51">
        <v>453315744</v>
      </c>
      <c r="AS51">
        <v>378083008</v>
      </c>
      <c r="AT51" s="23" t="s">
        <v>228</v>
      </c>
      <c r="AU51" s="18">
        <v>265915264</v>
      </c>
      <c r="AV51" s="18">
        <v>379152832</v>
      </c>
      <c r="AW51" s="19">
        <v>194095664</v>
      </c>
      <c r="AX51" s="19">
        <v>224627536</v>
      </c>
      <c r="AY51" s="20">
        <v>885325312</v>
      </c>
      <c r="AZ51" s="20">
        <v>990522496</v>
      </c>
      <c r="BA51" s="21">
        <v>380585024</v>
      </c>
      <c r="BB51" s="21">
        <v>431795232</v>
      </c>
      <c r="BC51" s="23" t="s">
        <v>228</v>
      </c>
      <c r="BD51" s="24">
        <f t="shared" ref="BD51:BD52" si="0">AVERAGE(AU51:AV51)</f>
        <v>322534048</v>
      </c>
      <c r="BE51" s="24">
        <f t="shared" ref="BE51:BE52" si="1">AVERAGE(AW51:AX51)</f>
        <v>209361600</v>
      </c>
      <c r="BF51" s="24">
        <f t="shared" ref="BF51:BF52" si="2">AVERAGE(AY51:AZ51)</f>
        <v>937923904</v>
      </c>
      <c r="BG51" s="24">
        <f t="shared" ref="BG51:BG52" si="3">AVERAGE(BA51:BB51)</f>
        <v>406190128</v>
      </c>
      <c r="BH51" s="23" t="s">
        <v>228</v>
      </c>
      <c r="BI51" s="24">
        <f t="shared" ref="BI51:BI52" si="4">(BD51-BE51)/BE51</f>
        <v>0.54055972059823765</v>
      </c>
      <c r="BJ51" s="24">
        <f t="shared" ref="BJ51:BJ52" si="5">(BF51-BG51)/BG51</f>
        <v>1.309076068928982</v>
      </c>
    </row>
    <row r="52" spans="1:62">
      <c r="A52">
        <v>20139</v>
      </c>
      <c r="B52" t="s">
        <v>91</v>
      </c>
      <c r="C52" t="s">
        <v>92</v>
      </c>
      <c r="D52" t="s">
        <v>93</v>
      </c>
      <c r="F52" t="s">
        <v>94</v>
      </c>
      <c r="G52">
        <v>2168.558</v>
      </c>
      <c r="H52" t="s">
        <v>57</v>
      </c>
      <c r="I52">
        <v>2</v>
      </c>
      <c r="J52">
        <v>3</v>
      </c>
      <c r="K52">
        <v>0</v>
      </c>
      <c r="L52">
        <v>92.95</v>
      </c>
      <c r="M52">
        <v>40323</v>
      </c>
      <c r="N52">
        <v>24</v>
      </c>
      <c r="O52">
        <v>34</v>
      </c>
      <c r="P52">
        <v>34</v>
      </c>
      <c r="Q52">
        <v>41</v>
      </c>
      <c r="R52">
        <v>41</v>
      </c>
      <c r="S52">
        <v>1525</v>
      </c>
      <c r="T52">
        <v>1525</v>
      </c>
      <c r="U52">
        <v>40</v>
      </c>
      <c r="V52">
        <v>37</v>
      </c>
      <c r="W52">
        <v>37</v>
      </c>
      <c r="X52">
        <v>37</v>
      </c>
      <c r="Y52">
        <v>38</v>
      </c>
      <c r="Z52">
        <v>40</v>
      </c>
      <c r="AA52">
        <v>40</v>
      </c>
      <c r="AB52">
        <v>40</v>
      </c>
      <c r="AC52">
        <v>40</v>
      </c>
      <c r="AD52">
        <v>215</v>
      </c>
      <c r="AE52">
        <v>202</v>
      </c>
      <c r="AF52">
        <v>163</v>
      </c>
      <c r="AG52">
        <v>153</v>
      </c>
      <c r="AH52">
        <v>223</v>
      </c>
      <c r="AI52">
        <v>212</v>
      </c>
      <c r="AJ52">
        <v>162</v>
      </c>
      <c r="AK52">
        <v>193</v>
      </c>
      <c r="AL52">
        <v>2060228736</v>
      </c>
      <c r="AM52">
        <v>2904388096</v>
      </c>
      <c r="AN52">
        <v>1871960960</v>
      </c>
      <c r="AO52">
        <v>1929468288</v>
      </c>
      <c r="AP52">
        <v>6745964544</v>
      </c>
      <c r="AQ52">
        <v>6984459264</v>
      </c>
      <c r="AR52">
        <v>3949890048</v>
      </c>
      <c r="AS52">
        <v>3225436160</v>
      </c>
      <c r="AT52" s="23" t="s">
        <v>92</v>
      </c>
      <c r="AU52" s="18">
        <v>2272049920</v>
      </c>
      <c r="AV52" s="18">
        <v>2395785472</v>
      </c>
      <c r="AW52" s="19">
        <v>1646196864</v>
      </c>
      <c r="AX52" s="19">
        <v>1920960640</v>
      </c>
      <c r="AY52" s="20">
        <v>3033626112</v>
      </c>
      <c r="AZ52" s="20">
        <v>3492357632</v>
      </c>
      <c r="BA52" s="21">
        <v>2645876224</v>
      </c>
      <c r="BB52" s="21">
        <v>3060478464</v>
      </c>
      <c r="BC52" s="23" t="s">
        <v>92</v>
      </c>
      <c r="BD52" s="24">
        <f t="shared" si="0"/>
        <v>2333917696</v>
      </c>
      <c r="BE52" s="24">
        <f t="shared" si="1"/>
        <v>1783578752</v>
      </c>
      <c r="BF52" s="24">
        <f t="shared" si="2"/>
        <v>3262991872</v>
      </c>
      <c r="BG52" s="24">
        <f t="shared" si="3"/>
        <v>2853177344</v>
      </c>
      <c r="BH52" s="23" t="s">
        <v>92</v>
      </c>
      <c r="BI52" s="24">
        <f t="shared" si="4"/>
        <v>0.30855881377981342</v>
      </c>
      <c r="BJ52" s="24">
        <f t="shared" si="5"/>
        <v>0.14363443928986983</v>
      </c>
    </row>
    <row r="53" spans="1:62" hidden="1">
      <c r="A53">
        <v>20177</v>
      </c>
      <c r="B53" t="s">
        <v>515</v>
      </c>
      <c r="C53" t="s">
        <v>516</v>
      </c>
      <c r="D53" t="s">
        <v>517</v>
      </c>
      <c r="F53" t="s">
        <v>518</v>
      </c>
      <c r="G53">
        <v>303.51799999999997</v>
      </c>
      <c r="H53" t="s">
        <v>57</v>
      </c>
      <c r="I53">
        <v>2</v>
      </c>
      <c r="J53">
        <v>3</v>
      </c>
      <c r="K53">
        <v>0</v>
      </c>
      <c r="L53">
        <v>40.54</v>
      </c>
      <c r="M53">
        <v>16794</v>
      </c>
      <c r="N53">
        <v>9</v>
      </c>
      <c r="O53">
        <v>4</v>
      </c>
      <c r="P53">
        <v>4</v>
      </c>
      <c r="Q53">
        <v>4</v>
      </c>
      <c r="R53">
        <v>4</v>
      </c>
      <c r="S53">
        <v>74</v>
      </c>
      <c r="T53">
        <v>74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5</v>
      </c>
      <c r="AE53">
        <v>7</v>
      </c>
      <c r="AF53">
        <v>11</v>
      </c>
      <c r="AG53">
        <v>13</v>
      </c>
      <c r="AH53">
        <v>7</v>
      </c>
      <c r="AI53">
        <v>8</v>
      </c>
      <c r="AJ53">
        <v>11</v>
      </c>
      <c r="AK53">
        <v>12</v>
      </c>
      <c r="AL53">
        <v>27006440</v>
      </c>
      <c r="AM53">
        <v>35457304</v>
      </c>
      <c r="AN53">
        <v>75072680</v>
      </c>
      <c r="AO53">
        <v>69348240</v>
      </c>
      <c r="AP53">
        <v>88494408</v>
      </c>
      <c r="AQ53">
        <v>91849400</v>
      </c>
      <c r="AR53">
        <v>90529432</v>
      </c>
      <c r="AS53">
        <v>63045920</v>
      </c>
      <c r="AT53" s="23" t="s">
        <v>516</v>
      </c>
      <c r="AU53" s="18">
        <v>29115236</v>
      </c>
      <c r="AV53" s="18">
        <v>30114724</v>
      </c>
      <c r="AW53" s="19">
        <v>66900220</v>
      </c>
      <c r="AX53" s="19">
        <v>72125848</v>
      </c>
      <c r="AY53" s="20">
        <v>35746752</v>
      </c>
      <c r="AZ53" s="20">
        <v>42549624</v>
      </c>
      <c r="BA53" s="21">
        <v>59006728</v>
      </c>
      <c r="BB53" s="21">
        <v>56988356</v>
      </c>
      <c r="BC53" s="23" t="s">
        <v>148</v>
      </c>
    </row>
    <row r="54" spans="1:62" hidden="1">
      <c r="A54">
        <v>20122</v>
      </c>
      <c r="B54" t="s">
        <v>63</v>
      </c>
      <c r="C54" t="s">
        <v>64</v>
      </c>
      <c r="D54" t="s">
        <v>65</v>
      </c>
      <c r="E54" t="s">
        <v>66</v>
      </c>
      <c r="F54" t="s">
        <v>67</v>
      </c>
      <c r="G54">
        <v>3176.04</v>
      </c>
      <c r="H54" t="s">
        <v>57</v>
      </c>
      <c r="I54">
        <v>2</v>
      </c>
      <c r="J54">
        <v>20</v>
      </c>
      <c r="K54">
        <v>1</v>
      </c>
      <c r="L54">
        <v>82.24</v>
      </c>
      <c r="M54">
        <v>77580</v>
      </c>
      <c r="N54">
        <v>43</v>
      </c>
      <c r="O54">
        <v>56</v>
      </c>
      <c r="P54">
        <v>56</v>
      </c>
      <c r="Q54">
        <v>67</v>
      </c>
      <c r="R54">
        <v>67</v>
      </c>
      <c r="S54">
        <v>3298</v>
      </c>
      <c r="T54">
        <v>3298</v>
      </c>
      <c r="U54">
        <v>67</v>
      </c>
      <c r="V54">
        <v>53</v>
      </c>
      <c r="W54">
        <v>55</v>
      </c>
      <c r="X54">
        <v>64</v>
      </c>
      <c r="Y54">
        <v>65</v>
      </c>
      <c r="Z54">
        <v>62</v>
      </c>
      <c r="AA54">
        <v>60</v>
      </c>
      <c r="AB54">
        <v>62</v>
      </c>
      <c r="AC54">
        <v>62</v>
      </c>
      <c r="AD54">
        <v>321</v>
      </c>
      <c r="AE54">
        <v>309</v>
      </c>
      <c r="AF54">
        <v>514</v>
      </c>
      <c r="AG54">
        <v>501</v>
      </c>
      <c r="AH54">
        <v>365</v>
      </c>
      <c r="AI54">
        <v>394</v>
      </c>
      <c r="AJ54">
        <v>446</v>
      </c>
      <c r="AK54">
        <v>447</v>
      </c>
      <c r="AL54">
        <v>3296783872</v>
      </c>
      <c r="AM54">
        <v>3460004096</v>
      </c>
      <c r="AN54">
        <v>6232353280</v>
      </c>
      <c r="AO54">
        <v>6322582528</v>
      </c>
      <c r="AP54">
        <v>6252636160</v>
      </c>
      <c r="AQ54">
        <v>6726343680</v>
      </c>
      <c r="AR54">
        <v>6962091008</v>
      </c>
      <c r="AS54">
        <v>5051504128</v>
      </c>
      <c r="AT54" s="23" t="s">
        <v>64</v>
      </c>
      <c r="AU54" s="18">
        <v>2412592640</v>
      </c>
      <c r="AV54" s="18">
        <v>2412592640</v>
      </c>
      <c r="AW54" s="19">
        <v>5222230016</v>
      </c>
      <c r="AX54" s="19">
        <v>5893990400</v>
      </c>
      <c r="AY54" s="20">
        <v>3071336448</v>
      </c>
      <c r="AZ54" s="20">
        <v>3641678592</v>
      </c>
      <c r="BA54" s="21">
        <v>5305633280</v>
      </c>
      <c r="BB54" s="21">
        <v>5375531520</v>
      </c>
      <c r="BC54" s="23" t="s">
        <v>409</v>
      </c>
    </row>
    <row r="55" spans="1:62" hidden="1">
      <c r="A55">
        <v>20154</v>
      </c>
      <c r="B55" t="s">
        <v>1024</v>
      </c>
      <c r="C55" t="s">
        <v>1025</v>
      </c>
      <c r="D55" t="s">
        <v>1026</v>
      </c>
      <c r="F55" t="s">
        <v>1027</v>
      </c>
      <c r="G55">
        <v>27.631</v>
      </c>
      <c r="H55" t="s">
        <v>57</v>
      </c>
      <c r="I55">
        <v>2</v>
      </c>
      <c r="J55">
        <v>3</v>
      </c>
      <c r="K55">
        <v>0</v>
      </c>
      <c r="L55">
        <v>1.93</v>
      </c>
      <c r="M55">
        <v>52667</v>
      </c>
      <c r="N55">
        <v>26</v>
      </c>
      <c r="O55">
        <v>1</v>
      </c>
      <c r="P55">
        <v>1</v>
      </c>
      <c r="Q55">
        <v>1</v>
      </c>
      <c r="R55">
        <v>1</v>
      </c>
      <c r="S55">
        <v>4</v>
      </c>
      <c r="T55">
        <v>4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6047424.5</v>
      </c>
      <c r="AM55">
        <v>5325212</v>
      </c>
      <c r="AN55">
        <v>3257361.25</v>
      </c>
      <c r="AO55">
        <v>2742983</v>
      </c>
      <c r="AP55">
        <v>6657420.5</v>
      </c>
      <c r="AQ55">
        <v>5402382</v>
      </c>
      <c r="AR55">
        <v>1121118</v>
      </c>
      <c r="AS55">
        <v>1057862.8799999999</v>
      </c>
      <c r="AT55" s="23" t="s">
        <v>1025</v>
      </c>
      <c r="AU55" s="18">
        <v>6047424.5</v>
      </c>
      <c r="AV55" s="18">
        <v>4109584.5</v>
      </c>
      <c r="AW55" s="19">
        <v>2515010.5</v>
      </c>
      <c r="AX55" s="19">
        <v>2439275.75</v>
      </c>
      <c r="AY55" s="20">
        <v>2680781.75</v>
      </c>
      <c r="AZ55" s="20">
        <v>2322387.25</v>
      </c>
      <c r="BA55" s="21">
        <v>600307.75</v>
      </c>
      <c r="BB55" s="21">
        <v>830291.19</v>
      </c>
      <c r="BC55" s="23" t="s">
        <v>69</v>
      </c>
    </row>
    <row r="56" spans="1:62" hidden="1">
      <c r="A56">
        <v>20185</v>
      </c>
      <c r="B56" t="s">
        <v>522</v>
      </c>
      <c r="C56" t="s">
        <v>523</v>
      </c>
      <c r="D56" t="s">
        <v>522</v>
      </c>
      <c r="F56" t="s">
        <v>524</v>
      </c>
      <c r="G56">
        <v>294.20499999999998</v>
      </c>
      <c r="H56" t="s">
        <v>57</v>
      </c>
      <c r="I56">
        <v>2</v>
      </c>
      <c r="J56">
        <v>1</v>
      </c>
      <c r="K56">
        <v>0</v>
      </c>
      <c r="L56">
        <v>30.61</v>
      </c>
      <c r="M56">
        <v>37093</v>
      </c>
      <c r="N56">
        <v>20</v>
      </c>
      <c r="O56">
        <v>9</v>
      </c>
      <c r="P56">
        <v>9</v>
      </c>
      <c r="Q56">
        <v>9</v>
      </c>
      <c r="R56">
        <v>9</v>
      </c>
      <c r="S56">
        <v>49</v>
      </c>
      <c r="T56">
        <v>49</v>
      </c>
      <c r="U56">
        <v>9</v>
      </c>
      <c r="V56">
        <v>5</v>
      </c>
      <c r="W56">
        <v>6</v>
      </c>
      <c r="X56">
        <v>8</v>
      </c>
      <c r="Y56">
        <v>7</v>
      </c>
      <c r="Z56">
        <v>9</v>
      </c>
      <c r="AA56">
        <v>9</v>
      </c>
      <c r="AB56">
        <v>8</v>
      </c>
      <c r="AC56">
        <v>9</v>
      </c>
      <c r="AD56">
        <v>1</v>
      </c>
      <c r="AE56">
        <v>2</v>
      </c>
      <c r="AF56">
        <v>6</v>
      </c>
      <c r="AG56">
        <v>7</v>
      </c>
      <c r="AH56">
        <v>8</v>
      </c>
      <c r="AI56">
        <v>7</v>
      </c>
      <c r="AJ56">
        <v>10</v>
      </c>
      <c r="AK56">
        <v>8</v>
      </c>
      <c r="AL56">
        <v>14374616</v>
      </c>
      <c r="AM56">
        <v>18962492</v>
      </c>
      <c r="AN56">
        <v>34098160</v>
      </c>
      <c r="AO56">
        <v>29398316</v>
      </c>
      <c r="AP56">
        <v>47578476</v>
      </c>
      <c r="AQ56">
        <v>48082948</v>
      </c>
      <c r="AR56">
        <v>44065144</v>
      </c>
      <c r="AS56">
        <v>30364266</v>
      </c>
      <c r="AT56" s="23" t="s">
        <v>523</v>
      </c>
      <c r="AU56" s="18">
        <v>14938877</v>
      </c>
      <c r="AV56" s="18">
        <v>15982361</v>
      </c>
      <c r="AW56" s="19">
        <v>28332632</v>
      </c>
      <c r="AX56" s="19">
        <v>26762834</v>
      </c>
      <c r="AY56" s="20">
        <v>18454806</v>
      </c>
      <c r="AZ56" s="20">
        <v>20837542</v>
      </c>
      <c r="BA56" s="21">
        <v>25482104</v>
      </c>
      <c r="BB56" s="21">
        <v>25493312</v>
      </c>
      <c r="BC56" s="23" t="s">
        <v>354</v>
      </c>
    </row>
    <row r="57" spans="1:62" hidden="1">
      <c r="A57">
        <v>20072</v>
      </c>
      <c r="B57" t="s">
        <v>772</v>
      </c>
      <c r="C57" t="s">
        <v>773</v>
      </c>
      <c r="D57" t="s">
        <v>774</v>
      </c>
      <c r="E57" t="s">
        <v>775</v>
      </c>
      <c r="F57" t="s">
        <v>776</v>
      </c>
      <c r="G57">
        <v>99.828000000000003</v>
      </c>
      <c r="H57" t="s">
        <v>57</v>
      </c>
      <c r="I57">
        <v>2</v>
      </c>
      <c r="J57">
        <v>3</v>
      </c>
      <c r="K57">
        <v>1</v>
      </c>
      <c r="L57">
        <v>19.03</v>
      </c>
      <c r="M57">
        <v>35532</v>
      </c>
      <c r="N57">
        <v>24</v>
      </c>
      <c r="O57">
        <v>7</v>
      </c>
      <c r="P57">
        <v>7</v>
      </c>
      <c r="Q57">
        <v>7</v>
      </c>
      <c r="R57">
        <v>7</v>
      </c>
      <c r="S57">
        <v>19</v>
      </c>
      <c r="T57">
        <v>19</v>
      </c>
      <c r="U57">
        <v>7</v>
      </c>
      <c r="V57">
        <v>4</v>
      </c>
      <c r="W57">
        <v>5</v>
      </c>
      <c r="X57">
        <v>5</v>
      </c>
      <c r="Y57">
        <v>6</v>
      </c>
      <c r="Z57">
        <v>6</v>
      </c>
      <c r="AA57">
        <v>6</v>
      </c>
      <c r="AB57">
        <v>6</v>
      </c>
      <c r="AC57">
        <v>5</v>
      </c>
      <c r="AD57">
        <v>2</v>
      </c>
      <c r="AE57">
        <v>2</v>
      </c>
      <c r="AF57">
        <v>2</v>
      </c>
      <c r="AG57">
        <v>2</v>
      </c>
      <c r="AH57">
        <v>3</v>
      </c>
      <c r="AI57">
        <v>4</v>
      </c>
      <c r="AJ57">
        <v>4</v>
      </c>
      <c r="AK57">
        <v>0</v>
      </c>
      <c r="AL57">
        <v>2278235.25</v>
      </c>
      <c r="AM57">
        <v>20176700</v>
      </c>
      <c r="AN57">
        <v>9224281</v>
      </c>
      <c r="AO57">
        <v>9707934</v>
      </c>
      <c r="AP57">
        <v>26602926</v>
      </c>
      <c r="AQ57">
        <v>20531834</v>
      </c>
      <c r="AR57">
        <v>7748223</v>
      </c>
      <c r="AS57">
        <v>5550377</v>
      </c>
      <c r="AT57" s="23" t="s">
        <v>773</v>
      </c>
      <c r="AU57" s="18">
        <v>5943061</v>
      </c>
      <c r="AV57" s="18">
        <v>9167706</v>
      </c>
      <c r="AW57" s="19">
        <v>5226031</v>
      </c>
      <c r="AX57" s="19">
        <v>8143485.5</v>
      </c>
      <c r="AY57" s="20">
        <v>11407419</v>
      </c>
      <c r="AZ57" s="20">
        <v>9687887</v>
      </c>
      <c r="BA57" s="21">
        <v>7350735</v>
      </c>
      <c r="BB57" s="21">
        <v>4585285</v>
      </c>
      <c r="BC57" s="23" t="s">
        <v>179</v>
      </c>
    </row>
    <row r="58" spans="1:62" hidden="1">
      <c r="A58">
        <v>20000</v>
      </c>
      <c r="B58" t="s">
        <v>1050</v>
      </c>
      <c r="C58" t="s">
        <v>1051</v>
      </c>
      <c r="D58" t="s">
        <v>1052</v>
      </c>
      <c r="F58" t="s">
        <v>1053</v>
      </c>
      <c r="G58">
        <v>24.783999999999999</v>
      </c>
      <c r="H58" t="s">
        <v>57</v>
      </c>
      <c r="I58">
        <v>2</v>
      </c>
      <c r="J58">
        <v>16</v>
      </c>
      <c r="K58">
        <v>0</v>
      </c>
      <c r="L58">
        <v>6.98</v>
      </c>
      <c r="M58">
        <v>13841</v>
      </c>
      <c r="N58">
        <v>3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6198599</v>
      </c>
      <c r="AM58">
        <v>6571498</v>
      </c>
      <c r="AN58">
        <v>2757059.5</v>
      </c>
      <c r="AO58">
        <v>2634763.25</v>
      </c>
      <c r="AP58">
        <v>5535033</v>
      </c>
      <c r="AQ58">
        <v>4931830</v>
      </c>
      <c r="AR58">
        <v>922871.69</v>
      </c>
      <c r="AS58">
        <v>863691.75</v>
      </c>
      <c r="AT58" s="23" t="s">
        <v>1051</v>
      </c>
      <c r="AU58" s="18">
        <v>6272002</v>
      </c>
      <c r="AV58" s="18">
        <v>5127427</v>
      </c>
      <c r="AW58" s="19">
        <v>1857733.12</v>
      </c>
      <c r="AX58" s="19">
        <v>2222081.75</v>
      </c>
      <c r="AY58" s="20">
        <v>2422020.5</v>
      </c>
      <c r="AZ58" s="20">
        <v>2297798.75</v>
      </c>
      <c r="BA58" s="21">
        <v>423816.81</v>
      </c>
      <c r="BB58" s="21">
        <v>580829.38</v>
      </c>
      <c r="BC58" s="23" t="s">
        <v>100</v>
      </c>
    </row>
    <row r="59" spans="1:62" hidden="1">
      <c r="A59">
        <v>20212</v>
      </c>
      <c r="B59" t="s">
        <v>1090</v>
      </c>
      <c r="C59" t="s">
        <v>1091</v>
      </c>
      <c r="D59" t="s">
        <v>1092</v>
      </c>
      <c r="F59" t="s">
        <v>1093</v>
      </c>
      <c r="G59">
        <v>21.837</v>
      </c>
      <c r="H59" t="s">
        <v>57</v>
      </c>
      <c r="I59">
        <v>2</v>
      </c>
      <c r="J59">
        <v>2</v>
      </c>
      <c r="K59">
        <v>0</v>
      </c>
      <c r="L59">
        <v>2.72</v>
      </c>
      <c r="M59">
        <v>38711</v>
      </c>
      <c r="N59">
        <v>16</v>
      </c>
      <c r="O59">
        <v>1</v>
      </c>
      <c r="P59">
        <v>1</v>
      </c>
      <c r="Q59">
        <v>1</v>
      </c>
      <c r="R59">
        <v>1</v>
      </c>
      <c r="S59">
        <v>3</v>
      </c>
      <c r="T59">
        <v>3</v>
      </c>
      <c r="U59">
        <v>1</v>
      </c>
      <c r="V59">
        <v>1</v>
      </c>
      <c r="X59">
        <v>1</v>
      </c>
      <c r="Y59">
        <v>1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1735210.62</v>
      </c>
      <c r="AN59">
        <v>1060864.6200000001</v>
      </c>
      <c r="AO59">
        <v>1023064.81</v>
      </c>
      <c r="AT59" s="23" t="s">
        <v>1091</v>
      </c>
      <c r="AU59" s="18">
        <v>1735210.62</v>
      </c>
      <c r="AV59" s="18">
        <v>111774.65</v>
      </c>
      <c r="AW59" s="19">
        <v>819094.19</v>
      </c>
      <c r="AX59" s="19">
        <v>909789.56</v>
      </c>
      <c r="AY59" s="20">
        <v>350962.88</v>
      </c>
      <c r="AZ59" s="20">
        <v>247733</v>
      </c>
      <c r="BA59" s="21">
        <v>199295.7</v>
      </c>
      <c r="BB59" s="21">
        <v>212391.23</v>
      </c>
      <c r="BC59" s="23" t="s">
        <v>224</v>
      </c>
    </row>
    <row r="60" spans="1:62" hidden="1">
      <c r="A60">
        <v>20207</v>
      </c>
      <c r="B60" t="s">
        <v>764</v>
      </c>
      <c r="C60" t="s">
        <v>765</v>
      </c>
      <c r="D60" t="s">
        <v>766</v>
      </c>
      <c r="F60" t="s">
        <v>767</v>
      </c>
      <c r="G60">
        <v>107.15900000000001</v>
      </c>
      <c r="H60" t="s">
        <v>57</v>
      </c>
      <c r="I60">
        <v>2</v>
      </c>
      <c r="J60">
        <v>3</v>
      </c>
      <c r="K60">
        <v>0</v>
      </c>
      <c r="L60">
        <v>11.99</v>
      </c>
      <c r="M60">
        <v>66907</v>
      </c>
      <c r="N60">
        <v>32</v>
      </c>
      <c r="O60">
        <v>6</v>
      </c>
      <c r="P60">
        <v>6</v>
      </c>
      <c r="Q60">
        <v>6</v>
      </c>
      <c r="R60">
        <v>6</v>
      </c>
      <c r="S60">
        <v>8</v>
      </c>
      <c r="T60">
        <v>8</v>
      </c>
      <c r="U60">
        <v>6</v>
      </c>
      <c r="V60">
        <v>3</v>
      </c>
      <c r="W60">
        <v>6</v>
      </c>
      <c r="X60">
        <v>6</v>
      </c>
      <c r="Y60">
        <v>5</v>
      </c>
      <c r="Z60">
        <v>5</v>
      </c>
      <c r="AA60">
        <v>4</v>
      </c>
      <c r="AB60">
        <v>5</v>
      </c>
      <c r="AC60">
        <v>4</v>
      </c>
      <c r="AD60">
        <v>1</v>
      </c>
      <c r="AE60">
        <v>2</v>
      </c>
      <c r="AF60">
        <v>2</v>
      </c>
      <c r="AG60">
        <v>1</v>
      </c>
      <c r="AH60">
        <v>0</v>
      </c>
      <c r="AI60">
        <v>0</v>
      </c>
      <c r="AJ60">
        <v>3</v>
      </c>
      <c r="AK60">
        <v>0</v>
      </c>
      <c r="AL60">
        <v>2142063.5</v>
      </c>
      <c r="AM60">
        <v>6094724.5</v>
      </c>
      <c r="AN60">
        <v>6753462.5</v>
      </c>
      <c r="AO60">
        <v>4817430.5</v>
      </c>
      <c r="AP60">
        <v>6535263.5</v>
      </c>
      <c r="AQ60">
        <v>7006959</v>
      </c>
      <c r="AR60">
        <v>8302075</v>
      </c>
      <c r="AS60">
        <v>5070150</v>
      </c>
      <c r="AT60" s="23" t="s">
        <v>765</v>
      </c>
      <c r="AU60" s="18">
        <v>348312.59</v>
      </c>
      <c r="AV60" s="18">
        <v>3749346.75</v>
      </c>
      <c r="AW60" s="19">
        <v>6342095</v>
      </c>
      <c r="AX60" s="19">
        <v>5065343</v>
      </c>
      <c r="AY60" s="20">
        <v>3561931.5</v>
      </c>
      <c r="AZ60" s="20">
        <v>2887348.25</v>
      </c>
      <c r="BA60" s="21">
        <v>5299951</v>
      </c>
      <c r="BB60" s="21">
        <v>2665285.75</v>
      </c>
      <c r="BC60" s="23" t="s">
        <v>364</v>
      </c>
    </row>
    <row r="61" spans="1:62" hidden="1">
      <c r="A61">
        <v>20111</v>
      </c>
      <c r="B61" t="s">
        <v>1161</v>
      </c>
      <c r="C61" t="s">
        <v>1162</v>
      </c>
      <c r="D61" t="s">
        <v>1163</v>
      </c>
      <c r="F61" t="s">
        <v>1164</v>
      </c>
      <c r="G61">
        <v>11.843999999999999</v>
      </c>
      <c r="H61" t="s">
        <v>57</v>
      </c>
      <c r="I61">
        <v>2</v>
      </c>
      <c r="J61">
        <v>21</v>
      </c>
      <c r="K61">
        <v>0</v>
      </c>
      <c r="L61">
        <v>1.24</v>
      </c>
      <c r="M61">
        <v>102352</v>
      </c>
      <c r="N61">
        <v>62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696983.31</v>
      </c>
      <c r="AM61">
        <v>457265.16</v>
      </c>
      <c r="AN61">
        <v>622373.56000000006</v>
      </c>
      <c r="AO61">
        <v>652391.93999999994</v>
      </c>
      <c r="AP61">
        <v>866513.06</v>
      </c>
      <c r="AQ61">
        <v>871051.62</v>
      </c>
      <c r="AR61">
        <v>716849.38</v>
      </c>
      <c r="AS61">
        <v>723399.94</v>
      </c>
      <c r="AT61" s="23" t="s">
        <v>1162</v>
      </c>
      <c r="AU61" s="18">
        <v>696983.31</v>
      </c>
      <c r="AV61" s="18">
        <v>352881.69</v>
      </c>
      <c r="AW61" s="19">
        <v>480535</v>
      </c>
      <c r="AX61" s="19">
        <v>580158.12</v>
      </c>
      <c r="AY61" s="20">
        <v>348923.78</v>
      </c>
      <c r="AZ61" s="20">
        <v>374449.47</v>
      </c>
      <c r="BA61" s="21">
        <v>383840.28</v>
      </c>
      <c r="BB61" s="21">
        <v>567779.25</v>
      </c>
    </row>
    <row r="62" spans="1:62" hidden="1">
      <c r="A62">
        <v>19973</v>
      </c>
      <c r="B62" t="s">
        <v>489</v>
      </c>
      <c r="C62" t="s">
        <v>490</v>
      </c>
      <c r="D62" t="s">
        <v>491</v>
      </c>
      <c r="F62" t="s">
        <v>492</v>
      </c>
      <c r="G62">
        <v>325.50099999999998</v>
      </c>
      <c r="H62" t="s">
        <v>57</v>
      </c>
      <c r="I62">
        <v>2</v>
      </c>
      <c r="J62">
        <v>21</v>
      </c>
      <c r="K62">
        <v>0</v>
      </c>
      <c r="L62">
        <v>23.83</v>
      </c>
      <c r="M62">
        <v>63477</v>
      </c>
      <c r="N62">
        <v>41</v>
      </c>
      <c r="O62">
        <v>13</v>
      </c>
      <c r="P62">
        <v>13</v>
      </c>
      <c r="Q62">
        <v>13</v>
      </c>
      <c r="R62">
        <v>13</v>
      </c>
      <c r="S62">
        <v>39</v>
      </c>
      <c r="T62">
        <v>39</v>
      </c>
      <c r="U62">
        <v>13</v>
      </c>
      <c r="V62">
        <v>10</v>
      </c>
      <c r="W62">
        <v>11</v>
      </c>
      <c r="X62">
        <v>10</v>
      </c>
      <c r="Y62">
        <v>10</v>
      </c>
      <c r="Z62">
        <v>7</v>
      </c>
      <c r="AA62">
        <v>11</v>
      </c>
      <c r="AB62">
        <v>11</v>
      </c>
      <c r="AC62">
        <v>11</v>
      </c>
      <c r="AD62">
        <v>9</v>
      </c>
      <c r="AE62">
        <v>5</v>
      </c>
      <c r="AF62">
        <v>8</v>
      </c>
      <c r="AG62">
        <v>6</v>
      </c>
      <c r="AH62">
        <v>0</v>
      </c>
      <c r="AI62">
        <v>1</v>
      </c>
      <c r="AJ62">
        <v>8</v>
      </c>
      <c r="AK62">
        <v>3</v>
      </c>
      <c r="AL62">
        <v>28810924</v>
      </c>
      <c r="AM62">
        <v>22490638</v>
      </c>
      <c r="AN62">
        <v>30658154</v>
      </c>
      <c r="AO62">
        <v>22691874</v>
      </c>
      <c r="AP62">
        <v>7647988</v>
      </c>
      <c r="AQ62">
        <v>13431511</v>
      </c>
      <c r="AR62">
        <v>22976504</v>
      </c>
      <c r="AS62">
        <v>14388911</v>
      </c>
      <c r="AT62" s="23" t="s">
        <v>490</v>
      </c>
      <c r="AU62" s="18">
        <v>29865310</v>
      </c>
      <c r="AV62" s="18">
        <v>17008638</v>
      </c>
      <c r="AW62" s="19">
        <v>23880520</v>
      </c>
      <c r="AX62" s="19">
        <v>22535224</v>
      </c>
      <c r="AY62" s="20">
        <v>3939314</v>
      </c>
      <c r="AZ62" s="20">
        <v>5609726.5</v>
      </c>
      <c r="BA62" s="21">
        <v>12557919</v>
      </c>
      <c r="BB62" s="21">
        <v>13822428</v>
      </c>
    </row>
    <row r="63" spans="1:62" hidden="1">
      <c r="A63">
        <v>20167</v>
      </c>
      <c r="B63" t="s">
        <v>628</v>
      </c>
      <c r="C63" t="s">
        <v>629</v>
      </c>
      <c r="D63" t="s">
        <v>628</v>
      </c>
      <c r="F63" t="s">
        <v>630</v>
      </c>
      <c r="G63">
        <v>187.40100000000001</v>
      </c>
      <c r="H63" t="s">
        <v>57</v>
      </c>
      <c r="I63">
        <v>2</v>
      </c>
      <c r="J63">
        <v>1</v>
      </c>
      <c r="K63">
        <v>0</v>
      </c>
      <c r="L63">
        <v>30.16</v>
      </c>
      <c r="M63">
        <v>28047</v>
      </c>
      <c r="N63">
        <v>11</v>
      </c>
      <c r="O63">
        <v>5</v>
      </c>
      <c r="P63">
        <v>5</v>
      </c>
      <c r="Q63">
        <v>5</v>
      </c>
      <c r="R63">
        <v>5</v>
      </c>
      <c r="S63">
        <v>13</v>
      </c>
      <c r="T63">
        <v>13</v>
      </c>
      <c r="U63">
        <v>5</v>
      </c>
      <c r="V63">
        <v>2</v>
      </c>
      <c r="W63">
        <v>2</v>
      </c>
      <c r="X63">
        <v>3</v>
      </c>
      <c r="Y63">
        <v>4</v>
      </c>
      <c r="Z63">
        <v>4</v>
      </c>
      <c r="AA63">
        <v>4</v>
      </c>
      <c r="AB63">
        <v>5</v>
      </c>
      <c r="AC63">
        <v>5</v>
      </c>
      <c r="AD63">
        <v>1</v>
      </c>
      <c r="AE63">
        <v>0</v>
      </c>
      <c r="AF63">
        <v>2</v>
      </c>
      <c r="AG63">
        <v>3</v>
      </c>
      <c r="AH63">
        <v>2</v>
      </c>
      <c r="AI63">
        <v>1</v>
      </c>
      <c r="AJ63">
        <v>3</v>
      </c>
      <c r="AK63">
        <v>1</v>
      </c>
      <c r="AL63">
        <v>2173835</v>
      </c>
      <c r="AM63">
        <v>2402165.5</v>
      </c>
      <c r="AN63">
        <v>5391700</v>
      </c>
      <c r="AO63">
        <v>5773578.5</v>
      </c>
      <c r="AP63">
        <v>5922837.5</v>
      </c>
      <c r="AQ63">
        <v>6469316</v>
      </c>
      <c r="AR63">
        <v>8637125</v>
      </c>
      <c r="AS63">
        <v>6938970</v>
      </c>
      <c r="AT63" s="23" t="s">
        <v>629</v>
      </c>
      <c r="AU63" s="18">
        <v>139349.62</v>
      </c>
      <c r="AV63" s="18">
        <v>84219.61</v>
      </c>
      <c r="AW63" s="19">
        <v>2125454.25</v>
      </c>
      <c r="AX63" s="19">
        <v>6274998</v>
      </c>
      <c r="AY63" s="20">
        <v>2774389.25</v>
      </c>
      <c r="AZ63" s="20">
        <v>3426416.75</v>
      </c>
      <c r="BA63" s="21">
        <v>6332526.5</v>
      </c>
      <c r="BB63" s="21">
        <v>7084258.5</v>
      </c>
    </row>
    <row r="64" spans="1:62" hidden="1">
      <c r="A64">
        <v>20257</v>
      </c>
      <c r="B64" t="s">
        <v>1345</v>
      </c>
      <c r="C64" t="s">
        <v>1346</v>
      </c>
      <c r="D64" t="s">
        <v>1347</v>
      </c>
      <c r="F64" t="s">
        <v>1348</v>
      </c>
      <c r="G64">
        <v>4.0670000000000002</v>
      </c>
      <c r="H64" t="s">
        <v>57</v>
      </c>
      <c r="I64">
        <v>2</v>
      </c>
      <c r="J64">
        <v>2</v>
      </c>
      <c r="K64">
        <v>0</v>
      </c>
      <c r="L64">
        <v>1.58</v>
      </c>
      <c r="M64">
        <v>49147</v>
      </c>
      <c r="N64">
        <v>26</v>
      </c>
      <c r="O64">
        <v>1</v>
      </c>
      <c r="P64">
        <v>1</v>
      </c>
      <c r="Q64">
        <v>1</v>
      </c>
      <c r="R64">
        <v>1</v>
      </c>
      <c r="S64">
        <v>4</v>
      </c>
      <c r="T64">
        <v>4</v>
      </c>
      <c r="U64">
        <v>1</v>
      </c>
      <c r="W64">
        <v>1</v>
      </c>
      <c r="X64">
        <v>1</v>
      </c>
      <c r="Z64">
        <v>1</v>
      </c>
      <c r="AA64">
        <v>1</v>
      </c>
      <c r="AC64">
        <v>1</v>
      </c>
      <c r="AD64">
        <v>0</v>
      </c>
      <c r="AE64">
        <v>2</v>
      </c>
      <c r="AF64">
        <v>2</v>
      </c>
      <c r="AG64">
        <v>0</v>
      </c>
      <c r="AH64">
        <v>3</v>
      </c>
      <c r="AI64">
        <v>4</v>
      </c>
      <c r="AJ64">
        <v>0</v>
      </c>
      <c r="AK64">
        <v>3</v>
      </c>
      <c r="AM64">
        <v>96915248</v>
      </c>
      <c r="AN64">
        <v>87751280</v>
      </c>
      <c r="AP64">
        <v>149342976</v>
      </c>
      <c r="AQ64">
        <v>140140048</v>
      </c>
      <c r="AS64">
        <v>64913396</v>
      </c>
      <c r="AT64" s="23" t="s">
        <v>1346</v>
      </c>
      <c r="AU64" s="18">
        <v>49505.43</v>
      </c>
      <c r="AV64" s="18">
        <v>74791656</v>
      </c>
      <c r="AW64" s="19">
        <v>67752816</v>
      </c>
      <c r="AX64" s="19">
        <v>170153.38</v>
      </c>
      <c r="AY64" s="20">
        <v>60136796</v>
      </c>
      <c r="AZ64" s="20">
        <v>60243692</v>
      </c>
      <c r="BA64" s="21">
        <v>199295.7</v>
      </c>
      <c r="BB64" s="21">
        <v>50948968</v>
      </c>
    </row>
    <row r="65" spans="1:54" hidden="1">
      <c r="A65">
        <v>20022</v>
      </c>
      <c r="B65" t="s">
        <v>260</v>
      </c>
      <c r="C65" t="s">
        <v>261</v>
      </c>
      <c r="D65" t="s">
        <v>262</v>
      </c>
      <c r="E65" t="s">
        <v>263</v>
      </c>
      <c r="F65" t="s">
        <v>264</v>
      </c>
      <c r="G65">
        <v>779.96400000000006</v>
      </c>
      <c r="H65" t="s">
        <v>57</v>
      </c>
      <c r="I65">
        <v>2</v>
      </c>
      <c r="J65">
        <v>6</v>
      </c>
      <c r="K65">
        <v>7</v>
      </c>
      <c r="L65">
        <v>57.75</v>
      </c>
      <c r="M65">
        <v>53815</v>
      </c>
      <c r="N65">
        <v>27</v>
      </c>
      <c r="O65">
        <v>21</v>
      </c>
      <c r="P65">
        <v>21</v>
      </c>
      <c r="Q65">
        <v>21</v>
      </c>
      <c r="R65">
        <v>21</v>
      </c>
      <c r="S65">
        <v>151</v>
      </c>
      <c r="T65">
        <v>151</v>
      </c>
      <c r="U65">
        <v>21</v>
      </c>
      <c r="V65">
        <v>18</v>
      </c>
      <c r="W65">
        <v>18</v>
      </c>
      <c r="X65">
        <v>18</v>
      </c>
      <c r="Y65">
        <v>19</v>
      </c>
      <c r="Z65">
        <v>18</v>
      </c>
      <c r="AA65">
        <v>18</v>
      </c>
      <c r="AB65">
        <v>20</v>
      </c>
      <c r="AC65">
        <v>18</v>
      </c>
      <c r="AD65">
        <v>26</v>
      </c>
      <c r="AE65">
        <v>24</v>
      </c>
      <c r="AF65">
        <v>20</v>
      </c>
      <c r="AG65">
        <v>22</v>
      </c>
      <c r="AH65">
        <v>9</v>
      </c>
      <c r="AI65">
        <v>16</v>
      </c>
      <c r="AJ65">
        <v>19</v>
      </c>
      <c r="AK65">
        <v>15</v>
      </c>
      <c r="AL65">
        <v>137781440</v>
      </c>
      <c r="AM65">
        <v>125166984</v>
      </c>
      <c r="AN65">
        <v>85135064</v>
      </c>
      <c r="AO65">
        <v>79319480</v>
      </c>
      <c r="AP65">
        <v>58404232</v>
      </c>
      <c r="AQ65">
        <v>66640012</v>
      </c>
      <c r="AR65">
        <v>85083856</v>
      </c>
      <c r="AS65">
        <v>67142496</v>
      </c>
      <c r="AT65" s="23" t="s">
        <v>261</v>
      </c>
      <c r="AU65" s="18">
        <v>138791072</v>
      </c>
      <c r="AV65" s="18">
        <v>97819240</v>
      </c>
      <c r="AW65" s="19">
        <v>70281824</v>
      </c>
      <c r="AX65" s="19">
        <v>70369328</v>
      </c>
      <c r="AY65" s="20">
        <v>24472340</v>
      </c>
      <c r="AZ65" s="20">
        <v>28414326</v>
      </c>
      <c r="BA65" s="21">
        <v>52208272</v>
      </c>
      <c r="BB65" s="21">
        <v>54657344</v>
      </c>
    </row>
    <row r="66" spans="1:54" hidden="1">
      <c r="A66">
        <v>20054</v>
      </c>
      <c r="B66" t="s">
        <v>768</v>
      </c>
      <c r="C66" t="s">
        <v>769</v>
      </c>
      <c r="D66" t="s">
        <v>770</v>
      </c>
      <c r="F66" t="s">
        <v>771</v>
      </c>
      <c r="G66">
        <v>101.15300000000001</v>
      </c>
      <c r="H66" t="s">
        <v>57</v>
      </c>
      <c r="I66">
        <v>2</v>
      </c>
      <c r="J66">
        <v>21</v>
      </c>
      <c r="K66">
        <v>0</v>
      </c>
      <c r="L66">
        <v>7.43</v>
      </c>
      <c r="M66">
        <v>45316</v>
      </c>
      <c r="N66">
        <v>22</v>
      </c>
      <c r="O66">
        <v>2</v>
      </c>
      <c r="P66">
        <v>2</v>
      </c>
      <c r="Q66">
        <v>2</v>
      </c>
      <c r="R66">
        <v>2</v>
      </c>
      <c r="S66">
        <v>10</v>
      </c>
      <c r="T66">
        <v>10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1</v>
      </c>
      <c r="AF66">
        <v>1</v>
      </c>
      <c r="AG66">
        <v>1</v>
      </c>
      <c r="AH66">
        <v>3</v>
      </c>
      <c r="AI66">
        <v>2</v>
      </c>
      <c r="AJ66">
        <v>1</v>
      </c>
      <c r="AK66">
        <v>1</v>
      </c>
      <c r="AL66">
        <v>4940461.5</v>
      </c>
      <c r="AM66">
        <v>2722339.5</v>
      </c>
      <c r="AN66">
        <v>2790654</v>
      </c>
      <c r="AO66">
        <v>2821392.25</v>
      </c>
      <c r="AP66">
        <v>8403733</v>
      </c>
      <c r="AQ66">
        <v>7087489</v>
      </c>
      <c r="AR66">
        <v>1568496.75</v>
      </c>
      <c r="AS66">
        <v>1241559.75</v>
      </c>
      <c r="AT66" s="23" t="s">
        <v>769</v>
      </c>
      <c r="AU66" s="18">
        <v>4857371.5</v>
      </c>
      <c r="AV66" s="18">
        <v>1400749.62</v>
      </c>
      <c r="AW66" s="19">
        <v>2008369.25</v>
      </c>
      <c r="AX66" s="19">
        <v>2289721</v>
      </c>
      <c r="AY66" s="20">
        <v>3789703.5</v>
      </c>
      <c r="AZ66" s="20">
        <v>3445328.75</v>
      </c>
      <c r="BA66" s="21">
        <v>935354.5</v>
      </c>
      <c r="BB66" s="21">
        <v>1052350.25</v>
      </c>
    </row>
    <row r="67" spans="1:54" hidden="1">
      <c r="A67">
        <v>20038</v>
      </c>
      <c r="B67" t="s">
        <v>300</v>
      </c>
      <c r="C67" t="s">
        <v>301</v>
      </c>
      <c r="D67" t="s">
        <v>302</v>
      </c>
      <c r="E67" t="s">
        <v>303</v>
      </c>
      <c r="F67" t="s">
        <v>304</v>
      </c>
      <c r="G67">
        <v>693.74400000000003</v>
      </c>
      <c r="H67" t="s">
        <v>57</v>
      </c>
      <c r="I67">
        <v>2</v>
      </c>
      <c r="J67">
        <v>19</v>
      </c>
      <c r="K67">
        <v>1</v>
      </c>
      <c r="L67">
        <v>50.5</v>
      </c>
      <c r="M67">
        <v>34715</v>
      </c>
      <c r="N67">
        <v>14</v>
      </c>
      <c r="O67">
        <v>12</v>
      </c>
      <c r="P67">
        <v>12</v>
      </c>
      <c r="Q67">
        <v>13</v>
      </c>
      <c r="R67">
        <v>13</v>
      </c>
      <c r="S67">
        <v>222</v>
      </c>
      <c r="T67">
        <v>222</v>
      </c>
      <c r="U67">
        <v>13</v>
      </c>
      <c r="V67">
        <v>12</v>
      </c>
      <c r="W67">
        <v>11</v>
      </c>
      <c r="X67">
        <v>13</v>
      </c>
      <c r="Y67">
        <v>13</v>
      </c>
      <c r="Z67">
        <v>12</v>
      </c>
      <c r="AA67">
        <v>12</v>
      </c>
      <c r="AB67">
        <v>11</v>
      </c>
      <c r="AC67">
        <v>11</v>
      </c>
      <c r="AD67">
        <v>36</v>
      </c>
      <c r="AE67">
        <v>32</v>
      </c>
      <c r="AF67">
        <v>29</v>
      </c>
      <c r="AG67">
        <v>30</v>
      </c>
      <c r="AH67">
        <v>17</v>
      </c>
      <c r="AI67">
        <v>19</v>
      </c>
      <c r="AJ67">
        <v>30</v>
      </c>
      <c r="AK67">
        <v>29</v>
      </c>
      <c r="AL67">
        <v>231100768</v>
      </c>
      <c r="AM67">
        <v>289091296</v>
      </c>
      <c r="AN67">
        <v>284345120</v>
      </c>
      <c r="AO67">
        <v>288822848</v>
      </c>
      <c r="AP67">
        <v>191300960</v>
      </c>
      <c r="AQ67">
        <v>172637600</v>
      </c>
      <c r="AR67">
        <v>411465696</v>
      </c>
      <c r="AS67">
        <v>232464864</v>
      </c>
      <c r="AT67" s="23" t="s">
        <v>301</v>
      </c>
      <c r="AU67" s="18">
        <v>285765600</v>
      </c>
      <c r="AV67" s="18">
        <v>251160816</v>
      </c>
      <c r="AW67" s="19">
        <v>293901248</v>
      </c>
      <c r="AX67" s="19">
        <v>343899232</v>
      </c>
      <c r="AY67" s="20">
        <v>87104752</v>
      </c>
      <c r="AZ67" s="20">
        <v>89930600</v>
      </c>
      <c r="BA67" s="21">
        <v>236132896</v>
      </c>
      <c r="BB67" s="21">
        <v>239063152</v>
      </c>
    </row>
    <row r="68" spans="1:54" hidden="1">
      <c r="A68">
        <v>19974</v>
      </c>
      <c r="B68" t="s">
        <v>86</v>
      </c>
      <c r="C68" t="s">
        <v>87</v>
      </c>
      <c r="D68" t="s">
        <v>88</v>
      </c>
      <c r="E68" t="s">
        <v>89</v>
      </c>
      <c r="F68" t="s">
        <v>90</v>
      </c>
      <c r="G68">
        <v>2366.85</v>
      </c>
      <c r="H68" t="s">
        <v>57</v>
      </c>
      <c r="I68">
        <v>2</v>
      </c>
      <c r="J68">
        <v>5</v>
      </c>
      <c r="K68">
        <v>16</v>
      </c>
      <c r="L68">
        <v>77.790000000000006</v>
      </c>
      <c r="M68">
        <v>76812</v>
      </c>
      <c r="N68">
        <v>46</v>
      </c>
      <c r="O68">
        <v>53</v>
      </c>
      <c r="P68">
        <v>53</v>
      </c>
      <c r="Q68">
        <v>56</v>
      </c>
      <c r="R68">
        <v>56</v>
      </c>
      <c r="S68">
        <v>850</v>
      </c>
      <c r="T68">
        <v>850</v>
      </c>
      <c r="U68">
        <v>56</v>
      </c>
      <c r="V68">
        <v>47</v>
      </c>
      <c r="W68">
        <v>51</v>
      </c>
      <c r="X68">
        <v>51</v>
      </c>
      <c r="Y68">
        <v>53</v>
      </c>
      <c r="Z68">
        <v>53</v>
      </c>
      <c r="AA68">
        <v>52</v>
      </c>
      <c r="AB68">
        <v>52</v>
      </c>
      <c r="AC68">
        <v>55</v>
      </c>
      <c r="AD68">
        <v>117</v>
      </c>
      <c r="AE68">
        <v>135</v>
      </c>
      <c r="AF68">
        <v>129</v>
      </c>
      <c r="AG68">
        <v>124</v>
      </c>
      <c r="AH68">
        <v>70</v>
      </c>
      <c r="AI68">
        <v>65</v>
      </c>
      <c r="AJ68">
        <v>104</v>
      </c>
      <c r="AK68">
        <v>106</v>
      </c>
      <c r="AL68">
        <v>706761408</v>
      </c>
      <c r="AM68">
        <v>900879808</v>
      </c>
      <c r="AN68">
        <v>898374976</v>
      </c>
      <c r="AO68">
        <v>850958848</v>
      </c>
      <c r="AP68">
        <v>484086048</v>
      </c>
      <c r="AQ68">
        <v>493854112</v>
      </c>
      <c r="AR68">
        <v>1031793408</v>
      </c>
      <c r="AS68">
        <v>672865536</v>
      </c>
      <c r="AT68" s="23" t="s">
        <v>87</v>
      </c>
      <c r="AU68" s="18">
        <v>762377216</v>
      </c>
      <c r="AV68" s="18">
        <v>744302592</v>
      </c>
      <c r="AW68" s="19">
        <v>791326464</v>
      </c>
      <c r="AX68" s="19">
        <v>855218880</v>
      </c>
      <c r="AY68" s="20">
        <v>236219920</v>
      </c>
      <c r="AZ68" s="20">
        <v>255417360</v>
      </c>
      <c r="BA68" s="21">
        <v>655711104</v>
      </c>
      <c r="BB68" s="21">
        <v>638819328</v>
      </c>
    </row>
    <row r="69" spans="1:54" hidden="1">
      <c r="A69">
        <v>20248</v>
      </c>
      <c r="B69" t="s">
        <v>921</v>
      </c>
      <c r="C69" t="s">
        <v>922</v>
      </c>
      <c r="D69" t="s">
        <v>921</v>
      </c>
      <c r="E69" t="s">
        <v>923</v>
      </c>
      <c r="F69" t="s">
        <v>924</v>
      </c>
      <c r="G69">
        <v>43.576000000000001</v>
      </c>
      <c r="H69" t="s">
        <v>57</v>
      </c>
      <c r="I69">
        <v>2</v>
      </c>
      <c r="J69">
        <v>1</v>
      </c>
      <c r="K69">
        <v>1</v>
      </c>
      <c r="L69">
        <v>5.98</v>
      </c>
      <c r="M69">
        <v>51480</v>
      </c>
      <c r="N69">
        <v>30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2</v>
      </c>
      <c r="X69">
        <v>2</v>
      </c>
      <c r="Y69">
        <v>2</v>
      </c>
      <c r="Z69">
        <v>2</v>
      </c>
      <c r="AA69">
        <v>2</v>
      </c>
      <c r="AB69">
        <v>1</v>
      </c>
      <c r="AC69">
        <v>1</v>
      </c>
      <c r="AD69">
        <v>2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2355872.75</v>
      </c>
      <c r="AM69">
        <v>3590653</v>
      </c>
      <c r="AN69">
        <v>2558348.5</v>
      </c>
      <c r="AO69">
        <v>3192167.25</v>
      </c>
      <c r="AP69">
        <v>3861754.5</v>
      </c>
      <c r="AQ69">
        <v>3538051.5</v>
      </c>
      <c r="AR69">
        <v>470602.09</v>
      </c>
      <c r="AS69">
        <v>477373.06</v>
      </c>
      <c r="AT69" s="23" t="s">
        <v>922</v>
      </c>
      <c r="AU69" s="18">
        <v>5324527.5</v>
      </c>
      <c r="AV69" s="18">
        <v>1956255.5</v>
      </c>
      <c r="AW69" s="19">
        <v>1553215.25</v>
      </c>
      <c r="AX69" s="19">
        <v>2309655.25</v>
      </c>
      <c r="AY69" s="20">
        <v>1191330.75</v>
      </c>
      <c r="AZ69" s="20">
        <v>1295544</v>
      </c>
      <c r="BA69" s="21">
        <v>160592.32999999999</v>
      </c>
      <c r="BB69" s="21">
        <v>231936.64000000001</v>
      </c>
    </row>
    <row r="70" spans="1:54" hidden="1">
      <c r="A70">
        <v>20209</v>
      </c>
      <c r="B70" t="s">
        <v>733</v>
      </c>
      <c r="C70" t="s">
        <v>734</v>
      </c>
      <c r="D70" t="s">
        <v>733</v>
      </c>
      <c r="E70" t="s">
        <v>735</v>
      </c>
      <c r="F70" t="s">
        <v>736</v>
      </c>
      <c r="G70">
        <v>116.788</v>
      </c>
      <c r="H70" t="s">
        <v>57</v>
      </c>
      <c r="I70">
        <v>2</v>
      </c>
      <c r="J70">
        <v>1</v>
      </c>
      <c r="K70">
        <v>2</v>
      </c>
      <c r="L70">
        <v>66.67</v>
      </c>
      <c r="M70">
        <v>6547</v>
      </c>
      <c r="N70">
        <v>4</v>
      </c>
      <c r="O70">
        <v>4</v>
      </c>
      <c r="P70">
        <v>4</v>
      </c>
      <c r="Q70">
        <v>4</v>
      </c>
      <c r="R70">
        <v>4</v>
      </c>
      <c r="S70">
        <v>28</v>
      </c>
      <c r="T70">
        <v>28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8</v>
      </c>
      <c r="AE70">
        <v>5</v>
      </c>
      <c r="AF70">
        <v>7</v>
      </c>
      <c r="AG70">
        <v>3</v>
      </c>
      <c r="AH70">
        <v>2</v>
      </c>
      <c r="AI70">
        <v>1</v>
      </c>
      <c r="AJ70">
        <v>1</v>
      </c>
      <c r="AK70">
        <v>1</v>
      </c>
      <c r="AL70">
        <v>17604896</v>
      </c>
      <c r="AM70">
        <v>20550762</v>
      </c>
      <c r="AN70">
        <v>23168256</v>
      </c>
      <c r="AO70">
        <v>22925060</v>
      </c>
      <c r="AP70">
        <v>20811066</v>
      </c>
      <c r="AQ70">
        <v>20359660</v>
      </c>
      <c r="AR70">
        <v>10752340</v>
      </c>
      <c r="AS70">
        <v>10192436</v>
      </c>
      <c r="AT70" s="23" t="s">
        <v>734</v>
      </c>
      <c r="AU70" s="18">
        <v>14605484</v>
      </c>
      <c r="AV70" s="18">
        <v>14413799</v>
      </c>
      <c r="AW70" s="19">
        <v>18245918</v>
      </c>
      <c r="AX70" s="19">
        <v>21569160</v>
      </c>
      <c r="AY70" s="20">
        <v>7848415.5</v>
      </c>
      <c r="AZ70" s="20">
        <v>9511506</v>
      </c>
      <c r="BA70" s="21">
        <v>7068571.5</v>
      </c>
      <c r="BB70" s="21">
        <v>9072383</v>
      </c>
    </row>
    <row r="71" spans="1:54" hidden="1">
      <c r="A71">
        <v>20138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>
        <v>653.702</v>
      </c>
      <c r="H71" t="s">
        <v>57</v>
      </c>
      <c r="I71">
        <v>2</v>
      </c>
      <c r="J71">
        <v>12</v>
      </c>
      <c r="K71">
        <v>9</v>
      </c>
      <c r="L71">
        <v>87.4</v>
      </c>
      <c r="M71">
        <v>14284</v>
      </c>
      <c r="N71">
        <v>11</v>
      </c>
      <c r="O71">
        <v>14</v>
      </c>
      <c r="P71">
        <v>12</v>
      </c>
      <c r="Q71">
        <v>15</v>
      </c>
      <c r="R71">
        <v>13</v>
      </c>
      <c r="S71">
        <v>246</v>
      </c>
      <c r="T71">
        <v>224</v>
      </c>
      <c r="U71">
        <v>13</v>
      </c>
      <c r="V71">
        <v>12</v>
      </c>
      <c r="W71">
        <v>13</v>
      </c>
      <c r="X71">
        <v>12</v>
      </c>
      <c r="Y71">
        <v>12</v>
      </c>
      <c r="Z71">
        <v>12</v>
      </c>
      <c r="AA71">
        <v>12</v>
      </c>
      <c r="AB71">
        <v>11</v>
      </c>
      <c r="AC71">
        <v>12</v>
      </c>
      <c r="AD71">
        <v>45</v>
      </c>
      <c r="AE71">
        <v>38</v>
      </c>
      <c r="AF71">
        <v>25</v>
      </c>
      <c r="AG71">
        <v>24</v>
      </c>
      <c r="AH71">
        <v>30</v>
      </c>
      <c r="AI71">
        <v>26</v>
      </c>
      <c r="AJ71">
        <v>15</v>
      </c>
      <c r="AK71">
        <v>21</v>
      </c>
      <c r="AL71">
        <v>714070784</v>
      </c>
      <c r="AM71">
        <v>886224576</v>
      </c>
      <c r="AN71">
        <v>293202464</v>
      </c>
      <c r="AO71">
        <v>282424608</v>
      </c>
      <c r="AP71">
        <v>1235075712</v>
      </c>
      <c r="AQ71">
        <v>1092827136</v>
      </c>
      <c r="AR71">
        <v>179089328</v>
      </c>
      <c r="AS71">
        <v>140222048</v>
      </c>
      <c r="AT71" s="23" t="s">
        <v>319</v>
      </c>
      <c r="AU71" s="18">
        <v>567296960</v>
      </c>
      <c r="AV71" s="18">
        <v>539643392</v>
      </c>
      <c r="AW71" s="19">
        <v>192830256</v>
      </c>
      <c r="AX71" s="19">
        <v>220169536</v>
      </c>
      <c r="AY71" s="20">
        <v>470657216</v>
      </c>
      <c r="AZ71" s="20">
        <v>440154080</v>
      </c>
      <c r="BA71" s="21">
        <v>106795312</v>
      </c>
      <c r="BB71" s="21">
        <v>141373696</v>
      </c>
    </row>
    <row r="72" spans="1:54" hidden="1">
      <c r="A72">
        <v>20104</v>
      </c>
      <c r="B72" t="s">
        <v>872</v>
      </c>
      <c r="C72" t="s">
        <v>873</v>
      </c>
      <c r="D72" t="s">
        <v>874</v>
      </c>
      <c r="E72" t="s">
        <v>875</v>
      </c>
      <c r="F72" t="s">
        <v>876</v>
      </c>
      <c r="G72">
        <v>60.231000000000002</v>
      </c>
      <c r="H72" t="s">
        <v>57</v>
      </c>
      <c r="I72">
        <v>2</v>
      </c>
      <c r="J72">
        <v>21</v>
      </c>
      <c r="K72">
        <v>1</v>
      </c>
      <c r="L72">
        <v>13.14</v>
      </c>
      <c r="M72">
        <v>57328</v>
      </c>
      <c r="N72">
        <v>34</v>
      </c>
      <c r="O72">
        <v>6</v>
      </c>
      <c r="P72">
        <v>6</v>
      </c>
      <c r="Q72">
        <v>6</v>
      </c>
      <c r="R72">
        <v>6</v>
      </c>
      <c r="S72">
        <v>14</v>
      </c>
      <c r="T72">
        <v>14</v>
      </c>
      <c r="U72">
        <v>6</v>
      </c>
      <c r="V72">
        <v>5</v>
      </c>
      <c r="W72">
        <v>5</v>
      </c>
      <c r="X72">
        <v>5</v>
      </c>
      <c r="Y72">
        <v>5</v>
      </c>
      <c r="Z72">
        <v>6</v>
      </c>
      <c r="AA72">
        <v>6</v>
      </c>
      <c r="AB72">
        <v>6</v>
      </c>
      <c r="AC72">
        <v>6</v>
      </c>
      <c r="AD72">
        <v>2</v>
      </c>
      <c r="AE72">
        <v>2</v>
      </c>
      <c r="AF72">
        <v>2</v>
      </c>
      <c r="AG72">
        <v>2</v>
      </c>
      <c r="AH72">
        <v>1</v>
      </c>
      <c r="AI72">
        <v>1</v>
      </c>
      <c r="AJ72">
        <v>2</v>
      </c>
      <c r="AK72">
        <v>2</v>
      </c>
      <c r="AL72">
        <v>5452936.5</v>
      </c>
      <c r="AM72">
        <v>4137744</v>
      </c>
      <c r="AN72">
        <v>4497763</v>
      </c>
      <c r="AO72">
        <v>4924129.5</v>
      </c>
      <c r="AP72">
        <v>7585398</v>
      </c>
      <c r="AQ72">
        <v>7153231</v>
      </c>
      <c r="AR72">
        <v>6702420</v>
      </c>
      <c r="AS72">
        <v>5407947.5</v>
      </c>
      <c r="AT72" s="23" t="s">
        <v>873</v>
      </c>
      <c r="AU72" s="18">
        <v>3925323.75</v>
      </c>
      <c r="AV72" s="18">
        <v>3483099.5</v>
      </c>
      <c r="AW72" s="19">
        <v>4028068</v>
      </c>
      <c r="AX72" s="19">
        <v>4872270</v>
      </c>
      <c r="AY72" s="20">
        <v>3226062</v>
      </c>
      <c r="AZ72" s="20">
        <v>2957110</v>
      </c>
      <c r="BA72" s="21">
        <v>3730200.25</v>
      </c>
      <c r="BB72" s="21">
        <v>4058104.25</v>
      </c>
    </row>
    <row r="73" spans="1:54" hidden="1">
      <c r="A73">
        <v>20014</v>
      </c>
      <c r="B73" t="s">
        <v>789</v>
      </c>
      <c r="C73" t="s">
        <v>790</v>
      </c>
      <c r="D73" t="s">
        <v>791</v>
      </c>
      <c r="E73" t="s">
        <v>792</v>
      </c>
      <c r="F73" t="s">
        <v>793</v>
      </c>
      <c r="G73">
        <v>90.49</v>
      </c>
      <c r="H73" t="s">
        <v>57</v>
      </c>
      <c r="I73">
        <v>2</v>
      </c>
      <c r="J73">
        <v>17</v>
      </c>
      <c r="K73">
        <v>3</v>
      </c>
      <c r="L73">
        <v>32.14</v>
      </c>
      <c r="M73">
        <v>21740</v>
      </c>
      <c r="N73">
        <v>9</v>
      </c>
      <c r="O73">
        <v>5</v>
      </c>
      <c r="P73">
        <v>5</v>
      </c>
      <c r="Q73">
        <v>5</v>
      </c>
      <c r="R73">
        <v>5</v>
      </c>
      <c r="S73">
        <v>10</v>
      </c>
      <c r="T73">
        <v>10</v>
      </c>
      <c r="U73">
        <v>5</v>
      </c>
      <c r="V73">
        <v>2</v>
      </c>
      <c r="W73">
        <v>5</v>
      </c>
      <c r="X73">
        <v>4</v>
      </c>
      <c r="Y73">
        <v>5</v>
      </c>
      <c r="Z73">
        <v>4</v>
      </c>
      <c r="AA73">
        <v>4</v>
      </c>
      <c r="AB73">
        <v>4</v>
      </c>
      <c r="AC73">
        <v>4</v>
      </c>
      <c r="AD73">
        <v>0</v>
      </c>
      <c r="AE73">
        <v>0</v>
      </c>
      <c r="AF73">
        <v>2</v>
      </c>
      <c r="AG73">
        <v>3</v>
      </c>
      <c r="AH73">
        <v>1</v>
      </c>
      <c r="AI73">
        <v>1</v>
      </c>
      <c r="AJ73">
        <v>4</v>
      </c>
      <c r="AK73">
        <v>0</v>
      </c>
      <c r="AL73">
        <v>1435767.75</v>
      </c>
      <c r="AM73">
        <v>3763912.5</v>
      </c>
      <c r="AN73">
        <v>4596380.5</v>
      </c>
      <c r="AO73">
        <v>4615415</v>
      </c>
      <c r="AP73">
        <v>4556849.5</v>
      </c>
      <c r="AQ73">
        <v>4112560.5</v>
      </c>
      <c r="AR73">
        <v>4037149</v>
      </c>
      <c r="AS73">
        <v>2848896.5</v>
      </c>
      <c r="AT73" s="23" t="s">
        <v>790</v>
      </c>
      <c r="AU73" s="18">
        <v>62900.7</v>
      </c>
      <c r="AV73" s="18">
        <v>2992417</v>
      </c>
      <c r="AW73" s="19">
        <v>3632606.5</v>
      </c>
      <c r="AX73" s="19">
        <v>4211906.5</v>
      </c>
      <c r="AY73" s="20">
        <v>1964221.88</v>
      </c>
      <c r="AZ73" s="20">
        <v>1966598.62</v>
      </c>
      <c r="BA73" s="21">
        <v>2504671.75</v>
      </c>
      <c r="BB73" s="21">
        <v>2467944.75</v>
      </c>
    </row>
    <row r="74" spans="1:54" hidden="1">
      <c r="A74">
        <v>20157</v>
      </c>
      <c r="B74" t="s">
        <v>1181</v>
      </c>
      <c r="C74" t="s">
        <v>1182</v>
      </c>
      <c r="D74" t="s">
        <v>1183</v>
      </c>
      <c r="F74" t="s">
        <v>1184</v>
      </c>
      <c r="G74">
        <v>10.938000000000001</v>
      </c>
      <c r="H74" t="s">
        <v>57</v>
      </c>
      <c r="I74">
        <v>2</v>
      </c>
      <c r="J74">
        <v>3</v>
      </c>
      <c r="K74">
        <v>0</v>
      </c>
      <c r="L74">
        <v>9.35</v>
      </c>
      <c r="M74">
        <v>34031</v>
      </c>
      <c r="N74">
        <v>19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2</v>
      </c>
      <c r="X74">
        <v>3</v>
      </c>
      <c r="Y74">
        <v>3</v>
      </c>
      <c r="Z74">
        <v>2</v>
      </c>
      <c r="AA74">
        <v>2</v>
      </c>
      <c r="AB74">
        <v>2</v>
      </c>
      <c r="AC74">
        <v>3</v>
      </c>
      <c r="AD74">
        <v>0</v>
      </c>
      <c r="AE74">
        <v>0</v>
      </c>
      <c r="AF74">
        <v>1</v>
      </c>
      <c r="AG74">
        <v>2</v>
      </c>
      <c r="AH74">
        <v>0</v>
      </c>
      <c r="AI74">
        <v>0</v>
      </c>
      <c r="AJ74">
        <v>1</v>
      </c>
      <c r="AK74">
        <v>0</v>
      </c>
      <c r="AL74">
        <v>886185.69</v>
      </c>
      <c r="AN74">
        <v>2225963.75</v>
      </c>
      <c r="AO74">
        <v>2200644.5</v>
      </c>
      <c r="AP74">
        <v>1445490</v>
      </c>
      <c r="AQ74">
        <v>1772783.25</v>
      </c>
      <c r="AR74">
        <v>1894085.5</v>
      </c>
      <c r="AS74">
        <v>1998626.25</v>
      </c>
      <c r="AT74" s="23" t="s">
        <v>1182</v>
      </c>
      <c r="AU74" s="18">
        <v>906140.12</v>
      </c>
      <c r="AV74" s="18">
        <v>111774.65</v>
      </c>
      <c r="AW74" s="19">
        <v>1539037.5</v>
      </c>
      <c r="AX74" s="19">
        <v>1774624.75</v>
      </c>
      <c r="AY74" s="20">
        <v>694141.62</v>
      </c>
      <c r="AZ74" s="20">
        <v>1008565.38</v>
      </c>
      <c r="BA74" s="21">
        <v>1339279.8799999999</v>
      </c>
      <c r="BB74" s="21">
        <v>1130687.6200000001</v>
      </c>
    </row>
    <row r="75" spans="1:54" hidden="1">
      <c r="A75">
        <v>20183</v>
      </c>
      <c r="B75" t="s">
        <v>1150</v>
      </c>
      <c r="C75" t="s">
        <v>1151</v>
      </c>
      <c r="D75" t="s">
        <v>1152</v>
      </c>
      <c r="F75" t="s">
        <v>1153</v>
      </c>
      <c r="G75">
        <v>13.205</v>
      </c>
      <c r="H75" t="s">
        <v>57</v>
      </c>
      <c r="I75">
        <v>2</v>
      </c>
      <c r="J75">
        <v>2</v>
      </c>
      <c r="K75">
        <v>0</v>
      </c>
      <c r="L75">
        <v>1.24</v>
      </c>
      <c r="M75">
        <v>89948</v>
      </c>
      <c r="N75">
        <v>49</v>
      </c>
      <c r="O75">
        <v>1</v>
      </c>
      <c r="P75">
        <v>1</v>
      </c>
      <c r="Q75">
        <v>1</v>
      </c>
      <c r="R75">
        <v>1</v>
      </c>
      <c r="S75">
        <v>2</v>
      </c>
      <c r="T75">
        <v>2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627409.93999999994</v>
      </c>
      <c r="AM75">
        <v>741957.56</v>
      </c>
      <c r="AN75">
        <v>1071887.6200000001</v>
      </c>
      <c r="AO75">
        <v>969840.62</v>
      </c>
      <c r="AP75">
        <v>1142192.1200000001</v>
      </c>
      <c r="AQ75">
        <v>1159045</v>
      </c>
      <c r="AR75">
        <v>987308.94</v>
      </c>
      <c r="AS75">
        <v>707837.62</v>
      </c>
      <c r="AT75" s="23" t="s">
        <v>1151</v>
      </c>
      <c r="AU75" s="18">
        <v>627409.93999999994</v>
      </c>
      <c r="AV75" s="18">
        <v>572585.12</v>
      </c>
      <c r="AW75" s="19">
        <v>827605.06</v>
      </c>
      <c r="AX75" s="19">
        <v>862458.44</v>
      </c>
      <c r="AY75" s="20">
        <v>459933.09</v>
      </c>
      <c r="AZ75" s="20">
        <v>498252.66</v>
      </c>
      <c r="BA75" s="21">
        <v>528659.06000000006</v>
      </c>
      <c r="BB75" s="21">
        <v>555564.81000000006</v>
      </c>
    </row>
    <row r="76" spans="1:54" hidden="1">
      <c r="A76">
        <v>20208</v>
      </c>
      <c r="B76" t="s">
        <v>845</v>
      </c>
      <c r="C76" t="s">
        <v>846</v>
      </c>
      <c r="D76" t="s">
        <v>847</v>
      </c>
      <c r="F76" t="s">
        <v>848</v>
      </c>
      <c r="G76">
        <v>76.942999999999998</v>
      </c>
      <c r="H76" t="s">
        <v>57</v>
      </c>
      <c r="I76">
        <v>2</v>
      </c>
      <c r="J76">
        <v>2</v>
      </c>
      <c r="K76">
        <v>0</v>
      </c>
      <c r="L76">
        <v>20.91</v>
      </c>
      <c r="M76">
        <v>11857</v>
      </c>
      <c r="N76">
        <v>2</v>
      </c>
      <c r="O76">
        <v>1</v>
      </c>
      <c r="P76">
        <v>1</v>
      </c>
      <c r="Q76">
        <v>1</v>
      </c>
      <c r="R76">
        <v>1</v>
      </c>
      <c r="S76">
        <v>15</v>
      </c>
      <c r="T76">
        <v>15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1</v>
      </c>
      <c r="AL76">
        <v>5720666.5</v>
      </c>
      <c r="AM76">
        <v>6122517</v>
      </c>
      <c r="AN76">
        <v>4275808.5</v>
      </c>
      <c r="AO76">
        <v>4665169</v>
      </c>
      <c r="AP76">
        <v>7476611.5</v>
      </c>
      <c r="AQ76">
        <v>5056941.5</v>
      </c>
      <c r="AR76">
        <v>1752846.25</v>
      </c>
      <c r="AS76">
        <v>777948.25</v>
      </c>
      <c r="AT76" s="23" t="s">
        <v>846</v>
      </c>
      <c r="AU76" s="18">
        <v>11391555</v>
      </c>
      <c r="AV76" s="18">
        <v>8906462</v>
      </c>
      <c r="AW76" s="19">
        <v>6398274</v>
      </c>
      <c r="AX76" s="19">
        <v>7888979.5</v>
      </c>
      <c r="AY76" s="20">
        <v>5994986.5</v>
      </c>
      <c r="AZ76" s="20">
        <v>4115572.5</v>
      </c>
      <c r="BA76" s="21">
        <v>1464108.12</v>
      </c>
      <c r="BB76" s="21">
        <v>1144833.3799999999</v>
      </c>
    </row>
    <row r="77" spans="1:54" hidden="1">
      <c r="A77">
        <v>20181</v>
      </c>
      <c r="B77" t="s">
        <v>814</v>
      </c>
      <c r="C77" t="s">
        <v>815</v>
      </c>
      <c r="D77" t="s">
        <v>816</v>
      </c>
      <c r="F77" t="s">
        <v>817</v>
      </c>
      <c r="G77">
        <v>86.81</v>
      </c>
      <c r="H77" t="s">
        <v>57</v>
      </c>
      <c r="I77">
        <v>2</v>
      </c>
      <c r="J77">
        <v>2</v>
      </c>
      <c r="K77">
        <v>0</v>
      </c>
      <c r="L77">
        <v>22.22</v>
      </c>
      <c r="M77">
        <v>12042</v>
      </c>
      <c r="N77">
        <v>8</v>
      </c>
      <c r="O77">
        <v>2</v>
      </c>
      <c r="P77">
        <v>2</v>
      </c>
      <c r="Q77">
        <v>2</v>
      </c>
      <c r="R77">
        <v>2</v>
      </c>
      <c r="S77">
        <v>6</v>
      </c>
      <c r="T77">
        <v>6</v>
      </c>
      <c r="U77">
        <v>2</v>
      </c>
      <c r="V77">
        <v>2</v>
      </c>
      <c r="W77">
        <v>2</v>
      </c>
      <c r="X77">
        <v>1</v>
      </c>
      <c r="Y77">
        <v>1</v>
      </c>
      <c r="Z77">
        <v>2</v>
      </c>
      <c r="AA77">
        <v>2</v>
      </c>
      <c r="AB77">
        <v>1</v>
      </c>
      <c r="AD77">
        <v>3</v>
      </c>
      <c r="AE77">
        <v>2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21459528</v>
      </c>
      <c r="AM77">
        <v>7280935.5</v>
      </c>
      <c r="AN77">
        <v>700931.75</v>
      </c>
      <c r="AO77">
        <v>759724.38</v>
      </c>
      <c r="AP77">
        <v>6260752</v>
      </c>
      <c r="AQ77">
        <v>3500292</v>
      </c>
      <c r="AR77">
        <v>408344.59</v>
      </c>
      <c r="AT77" s="23" t="s">
        <v>815</v>
      </c>
      <c r="AU77" s="18">
        <v>15639973</v>
      </c>
      <c r="AV77" s="18">
        <v>4969716</v>
      </c>
      <c r="AW77" s="19">
        <v>148403.70000000001</v>
      </c>
      <c r="AX77" s="19">
        <v>172456.56</v>
      </c>
      <c r="AY77" s="20">
        <v>6158464</v>
      </c>
      <c r="AZ77" s="20">
        <v>3597830</v>
      </c>
      <c r="BA77" s="21">
        <v>167259.09</v>
      </c>
      <c r="BB77" s="21">
        <v>212391.23</v>
      </c>
    </row>
    <row r="78" spans="1:54" hidden="1">
      <c r="A78">
        <v>20205</v>
      </c>
      <c r="B78" t="s">
        <v>1185</v>
      </c>
      <c r="C78" t="s">
        <v>1186</v>
      </c>
      <c r="D78" t="s">
        <v>1187</v>
      </c>
      <c r="F78" t="s">
        <v>1188</v>
      </c>
      <c r="G78">
        <v>10.803000000000001</v>
      </c>
      <c r="H78" t="s">
        <v>57</v>
      </c>
      <c r="I78">
        <v>2</v>
      </c>
      <c r="J78">
        <v>2</v>
      </c>
      <c r="K78">
        <v>0</v>
      </c>
      <c r="L78">
        <v>3.68</v>
      </c>
      <c r="M78">
        <v>20903</v>
      </c>
      <c r="N78">
        <v>5</v>
      </c>
      <c r="O78">
        <v>1</v>
      </c>
      <c r="P78">
        <v>1</v>
      </c>
      <c r="Q78">
        <v>1</v>
      </c>
      <c r="R78">
        <v>1</v>
      </c>
      <c r="S78">
        <v>2</v>
      </c>
      <c r="T78">
        <v>2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2413664.5</v>
      </c>
      <c r="AM78">
        <v>2247997.5</v>
      </c>
      <c r="AN78">
        <v>658396.56000000006</v>
      </c>
      <c r="AO78">
        <v>867108.94</v>
      </c>
      <c r="AP78">
        <v>2048645.62</v>
      </c>
      <c r="AQ78">
        <v>1506542.75</v>
      </c>
      <c r="AS78">
        <v>626678.56000000006</v>
      </c>
      <c r="AT78" s="23" t="s">
        <v>1186</v>
      </c>
      <c r="AU78" s="18">
        <v>2413664.5</v>
      </c>
      <c r="AV78" s="18">
        <v>1734829.62</v>
      </c>
      <c r="AW78" s="19">
        <v>508348.34</v>
      </c>
      <c r="AX78" s="19">
        <v>771101.31</v>
      </c>
      <c r="AY78" s="20">
        <v>824939.94</v>
      </c>
      <c r="AZ78" s="20">
        <v>647635.68999999994</v>
      </c>
      <c r="BA78" s="21">
        <v>199295.7</v>
      </c>
      <c r="BB78" s="21">
        <v>491864.97</v>
      </c>
    </row>
    <row r="79" spans="1:54" hidden="1">
      <c r="A79">
        <v>20018</v>
      </c>
      <c r="B79" t="s">
        <v>1062</v>
      </c>
      <c r="C79" t="s">
        <v>1063</v>
      </c>
      <c r="D79" t="s">
        <v>1064</v>
      </c>
      <c r="F79" t="s">
        <v>1065</v>
      </c>
      <c r="G79">
        <v>23.780999999999999</v>
      </c>
      <c r="H79" t="s">
        <v>57</v>
      </c>
      <c r="I79">
        <v>2</v>
      </c>
      <c r="J79">
        <v>20</v>
      </c>
      <c r="K79">
        <v>0</v>
      </c>
      <c r="L79">
        <v>10.75</v>
      </c>
      <c r="M79">
        <v>31775</v>
      </c>
      <c r="N79">
        <v>15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1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0</v>
      </c>
      <c r="AL79">
        <v>330937.59000000003</v>
      </c>
      <c r="AM79">
        <v>1532633</v>
      </c>
      <c r="AN79">
        <v>1120213.75</v>
      </c>
      <c r="AO79">
        <v>2220348</v>
      </c>
      <c r="AP79">
        <v>2935195.5</v>
      </c>
      <c r="AQ79">
        <v>3447010</v>
      </c>
      <c r="AR79">
        <v>2469771.5</v>
      </c>
      <c r="AS79">
        <v>1642423</v>
      </c>
      <c r="AT79" s="23" t="s">
        <v>1063</v>
      </c>
      <c r="AU79" s="18">
        <v>35632.559999999998</v>
      </c>
      <c r="AV79" s="18">
        <v>1108241</v>
      </c>
      <c r="AW79" s="19">
        <v>556713.93999999994</v>
      </c>
      <c r="AX79" s="19">
        <v>2201858.25</v>
      </c>
      <c r="AY79" s="20">
        <v>1267329.8799999999</v>
      </c>
      <c r="AZ79" s="20">
        <v>1635296.5</v>
      </c>
      <c r="BA79" s="21">
        <v>1468027.5</v>
      </c>
      <c r="BB79" s="21">
        <v>1290646.3799999999</v>
      </c>
    </row>
    <row r="80" spans="1:54" hidden="1">
      <c r="A80">
        <v>19960</v>
      </c>
      <c r="B80" t="s">
        <v>1078</v>
      </c>
      <c r="C80" t="s">
        <v>1079</v>
      </c>
      <c r="D80" t="s">
        <v>1080</v>
      </c>
      <c r="F80" t="s">
        <v>1081</v>
      </c>
      <c r="G80">
        <v>22.634</v>
      </c>
      <c r="H80" t="s">
        <v>57</v>
      </c>
      <c r="I80">
        <v>2</v>
      </c>
      <c r="J80">
        <v>21</v>
      </c>
      <c r="K80">
        <v>0</v>
      </c>
      <c r="L80">
        <v>8.82</v>
      </c>
      <c r="M80">
        <v>11166</v>
      </c>
      <c r="N80">
        <v>5</v>
      </c>
      <c r="O80">
        <v>1</v>
      </c>
      <c r="P80">
        <v>1</v>
      </c>
      <c r="Q80">
        <v>1</v>
      </c>
      <c r="R80">
        <v>1</v>
      </c>
      <c r="S80">
        <v>6</v>
      </c>
      <c r="T80">
        <v>6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3068567</v>
      </c>
      <c r="AM80">
        <v>2995466.5</v>
      </c>
      <c r="AN80">
        <v>3042658.75</v>
      </c>
      <c r="AO80">
        <v>2370238.25</v>
      </c>
      <c r="AP80">
        <v>3671699.75</v>
      </c>
      <c r="AQ80">
        <v>3781466.5</v>
      </c>
      <c r="AR80">
        <v>1855286.25</v>
      </c>
      <c r="AS80">
        <v>1116662.5</v>
      </c>
      <c r="AT80" s="23" t="s">
        <v>1079</v>
      </c>
      <c r="AU80" s="18">
        <v>3068567</v>
      </c>
      <c r="AV80" s="18">
        <v>2311668.25</v>
      </c>
      <c r="AW80" s="19">
        <v>2349238.5</v>
      </c>
      <c r="AX80" s="19">
        <v>2107802</v>
      </c>
      <c r="AY80" s="20">
        <v>1478504.5</v>
      </c>
      <c r="AZ80" s="20">
        <v>1625584.62</v>
      </c>
      <c r="BA80" s="21">
        <v>993421.44</v>
      </c>
      <c r="BB80" s="21">
        <v>876441.62</v>
      </c>
    </row>
    <row r="81" spans="1:54" hidden="1">
      <c r="A81">
        <v>20227</v>
      </c>
      <c r="B81" t="s">
        <v>323</v>
      </c>
      <c r="C81" t="s">
        <v>324</v>
      </c>
      <c r="D81" t="s">
        <v>323</v>
      </c>
      <c r="E81" t="s">
        <v>325</v>
      </c>
      <c r="F81" t="s">
        <v>326</v>
      </c>
      <c r="G81">
        <v>651.91499999999996</v>
      </c>
      <c r="H81" t="s">
        <v>57</v>
      </c>
      <c r="I81">
        <v>2</v>
      </c>
      <c r="J81">
        <v>1</v>
      </c>
      <c r="K81">
        <v>1</v>
      </c>
      <c r="L81">
        <v>46.48</v>
      </c>
      <c r="M81">
        <v>40302</v>
      </c>
      <c r="N81">
        <v>21</v>
      </c>
      <c r="O81">
        <v>14</v>
      </c>
      <c r="P81">
        <v>3</v>
      </c>
      <c r="Q81">
        <v>17</v>
      </c>
      <c r="R81">
        <v>3</v>
      </c>
      <c r="S81">
        <v>265</v>
      </c>
      <c r="T81">
        <v>36</v>
      </c>
      <c r="U81">
        <v>3</v>
      </c>
      <c r="V81">
        <v>2</v>
      </c>
      <c r="W81">
        <v>2</v>
      </c>
      <c r="X81">
        <v>2</v>
      </c>
      <c r="Y81">
        <v>3</v>
      </c>
      <c r="Z81">
        <v>3</v>
      </c>
      <c r="AA81">
        <v>3</v>
      </c>
      <c r="AB81">
        <v>3</v>
      </c>
      <c r="AC81">
        <v>3</v>
      </c>
      <c r="AD81">
        <v>5</v>
      </c>
      <c r="AE81">
        <v>4</v>
      </c>
      <c r="AF81">
        <v>4</v>
      </c>
      <c r="AG81">
        <v>5</v>
      </c>
      <c r="AH81">
        <v>6</v>
      </c>
      <c r="AI81">
        <v>5</v>
      </c>
      <c r="AJ81">
        <v>4</v>
      </c>
      <c r="AK81">
        <v>3</v>
      </c>
      <c r="AL81">
        <v>189628944</v>
      </c>
      <c r="AM81">
        <v>226627072</v>
      </c>
      <c r="AN81">
        <v>374958080</v>
      </c>
      <c r="AO81">
        <v>381343904</v>
      </c>
      <c r="AP81">
        <v>344575104</v>
      </c>
      <c r="AQ81">
        <v>351815232</v>
      </c>
      <c r="AR81">
        <v>432860704</v>
      </c>
      <c r="AS81">
        <v>266753088</v>
      </c>
      <c r="AT81" s="23" t="s">
        <v>324</v>
      </c>
      <c r="AU81" s="18">
        <v>27668910</v>
      </c>
      <c r="AV81" s="18">
        <v>27936132</v>
      </c>
      <c r="AW81" s="19">
        <v>54265564</v>
      </c>
      <c r="AX81" s="19">
        <v>65931208</v>
      </c>
      <c r="AY81" s="20">
        <v>21361900</v>
      </c>
      <c r="AZ81" s="20">
        <v>25272084</v>
      </c>
      <c r="BA81" s="21">
        <v>45634984</v>
      </c>
      <c r="BB81" s="21">
        <v>43472044</v>
      </c>
    </row>
    <row r="82" spans="1:54" hidden="1">
      <c r="A82">
        <v>20228</v>
      </c>
      <c r="B82" t="s">
        <v>372</v>
      </c>
      <c r="C82" t="s">
        <v>324</v>
      </c>
      <c r="D82" t="s">
        <v>372</v>
      </c>
      <c r="F82" t="s">
        <v>373</v>
      </c>
      <c r="G82">
        <v>542.524</v>
      </c>
      <c r="H82" t="s">
        <v>57</v>
      </c>
      <c r="I82">
        <v>2</v>
      </c>
      <c r="J82">
        <v>1</v>
      </c>
      <c r="K82">
        <v>0</v>
      </c>
      <c r="L82">
        <v>40.85</v>
      </c>
      <c r="M82">
        <v>40277</v>
      </c>
      <c r="N82">
        <v>21</v>
      </c>
      <c r="O82">
        <v>13</v>
      </c>
      <c r="P82">
        <v>2</v>
      </c>
      <c r="Q82">
        <v>16</v>
      </c>
      <c r="R82">
        <v>2</v>
      </c>
      <c r="S82">
        <v>242</v>
      </c>
      <c r="T82">
        <v>13</v>
      </c>
      <c r="U82">
        <v>2</v>
      </c>
      <c r="V82">
        <v>1</v>
      </c>
      <c r="W82">
        <v>1</v>
      </c>
      <c r="X82">
        <v>1</v>
      </c>
      <c r="Y82">
        <v>1</v>
      </c>
      <c r="Z82">
        <v>2</v>
      </c>
      <c r="AA82">
        <v>2</v>
      </c>
      <c r="AB82">
        <v>2</v>
      </c>
      <c r="AC82">
        <v>2</v>
      </c>
      <c r="AD82">
        <v>1</v>
      </c>
      <c r="AE82">
        <v>1</v>
      </c>
      <c r="AF82">
        <v>2</v>
      </c>
      <c r="AG82">
        <v>2</v>
      </c>
      <c r="AH82">
        <v>1</v>
      </c>
      <c r="AI82">
        <v>1</v>
      </c>
      <c r="AJ82">
        <v>3</v>
      </c>
      <c r="AK82">
        <v>2</v>
      </c>
      <c r="AL82">
        <v>192935456</v>
      </c>
      <c r="AM82">
        <v>221768960</v>
      </c>
      <c r="AN82">
        <v>366446752</v>
      </c>
      <c r="AO82">
        <v>370738528</v>
      </c>
      <c r="AP82">
        <v>336596992</v>
      </c>
      <c r="AQ82">
        <v>343951616</v>
      </c>
      <c r="AR82">
        <v>427424256</v>
      </c>
      <c r="AS82">
        <v>260765520</v>
      </c>
      <c r="AT82" s="23" t="s">
        <v>324</v>
      </c>
      <c r="AU82" s="18">
        <v>29525620</v>
      </c>
      <c r="AV82" s="18">
        <v>21680704</v>
      </c>
      <c r="AW82" s="19">
        <v>39574688</v>
      </c>
      <c r="AX82" s="19">
        <v>32897502</v>
      </c>
      <c r="AY82" s="20">
        <v>15968349</v>
      </c>
      <c r="AZ82" s="20">
        <v>23164370</v>
      </c>
      <c r="BA82" s="21">
        <v>40996256</v>
      </c>
      <c r="BB82" s="21">
        <v>29821804</v>
      </c>
    </row>
    <row r="83" spans="1:54" hidden="1">
      <c r="A83">
        <v>19982</v>
      </c>
      <c r="B83" t="s">
        <v>210</v>
      </c>
      <c r="C83" t="s">
        <v>211</v>
      </c>
      <c r="D83" t="s">
        <v>212</v>
      </c>
      <c r="E83" t="s">
        <v>213</v>
      </c>
      <c r="F83" t="s">
        <v>214</v>
      </c>
      <c r="G83">
        <v>943.21400000000006</v>
      </c>
      <c r="H83" t="s">
        <v>57</v>
      </c>
      <c r="I83">
        <v>2</v>
      </c>
      <c r="J83">
        <v>18</v>
      </c>
      <c r="K83">
        <v>3</v>
      </c>
      <c r="L83">
        <v>61.56</v>
      </c>
      <c r="M83">
        <v>47028</v>
      </c>
      <c r="N83">
        <v>29</v>
      </c>
      <c r="O83">
        <v>21</v>
      </c>
      <c r="P83">
        <v>21</v>
      </c>
      <c r="Q83">
        <v>22</v>
      </c>
      <c r="R83">
        <v>22</v>
      </c>
      <c r="S83">
        <v>337</v>
      </c>
      <c r="T83">
        <v>337</v>
      </c>
      <c r="U83">
        <v>22</v>
      </c>
      <c r="V83">
        <v>21</v>
      </c>
      <c r="W83">
        <v>22</v>
      </c>
      <c r="X83">
        <v>22</v>
      </c>
      <c r="Y83">
        <v>21</v>
      </c>
      <c r="Z83">
        <v>21</v>
      </c>
      <c r="AA83">
        <v>21</v>
      </c>
      <c r="AB83">
        <v>22</v>
      </c>
      <c r="AC83">
        <v>22</v>
      </c>
      <c r="AD83">
        <v>59</v>
      </c>
      <c r="AE83">
        <v>49</v>
      </c>
      <c r="AF83">
        <v>50</v>
      </c>
      <c r="AG83">
        <v>48</v>
      </c>
      <c r="AH83">
        <v>21</v>
      </c>
      <c r="AI83">
        <v>25</v>
      </c>
      <c r="AJ83">
        <v>41</v>
      </c>
      <c r="AK83">
        <v>44</v>
      </c>
      <c r="AL83">
        <v>320332896</v>
      </c>
      <c r="AM83">
        <v>495805344</v>
      </c>
      <c r="AN83">
        <v>480618368</v>
      </c>
      <c r="AO83">
        <v>458123552</v>
      </c>
      <c r="AP83">
        <v>289863584</v>
      </c>
      <c r="AQ83">
        <v>296777120</v>
      </c>
      <c r="AR83">
        <v>569007296</v>
      </c>
      <c r="AS83">
        <v>350119424</v>
      </c>
      <c r="AT83" s="23" t="s">
        <v>211</v>
      </c>
      <c r="AU83" s="18">
        <v>398838240</v>
      </c>
      <c r="AV83" s="18">
        <v>430730432</v>
      </c>
      <c r="AW83" s="19">
        <v>445143296</v>
      </c>
      <c r="AX83" s="19">
        <v>498067360</v>
      </c>
      <c r="AY83" s="20">
        <v>134790016</v>
      </c>
      <c r="AZ83" s="20">
        <v>146954368</v>
      </c>
      <c r="BA83" s="21">
        <v>367741216</v>
      </c>
      <c r="BB83" s="21">
        <v>335633856</v>
      </c>
    </row>
    <row r="84" spans="1:54" hidden="1">
      <c r="A84">
        <v>20159</v>
      </c>
      <c r="B84" t="s">
        <v>481</v>
      </c>
      <c r="C84" t="s">
        <v>482</v>
      </c>
      <c r="D84" t="s">
        <v>483</v>
      </c>
      <c r="F84" t="s">
        <v>484</v>
      </c>
      <c r="G84">
        <v>327.31200000000001</v>
      </c>
      <c r="H84" t="s">
        <v>57</v>
      </c>
      <c r="I84">
        <v>2</v>
      </c>
      <c r="J84">
        <v>3</v>
      </c>
      <c r="K84">
        <v>0</v>
      </c>
      <c r="L84">
        <v>45.99</v>
      </c>
      <c r="M84">
        <v>15539</v>
      </c>
      <c r="N84">
        <v>11</v>
      </c>
      <c r="O84">
        <v>6</v>
      </c>
      <c r="P84">
        <v>6</v>
      </c>
      <c r="Q84">
        <v>6</v>
      </c>
      <c r="R84">
        <v>6</v>
      </c>
      <c r="S84">
        <v>68</v>
      </c>
      <c r="T84">
        <v>68</v>
      </c>
      <c r="U84">
        <v>6</v>
      </c>
      <c r="V84">
        <v>6</v>
      </c>
      <c r="W84">
        <v>6</v>
      </c>
      <c r="X84">
        <v>6</v>
      </c>
      <c r="Y84">
        <v>6</v>
      </c>
      <c r="Z84">
        <v>6</v>
      </c>
      <c r="AA84">
        <v>6</v>
      </c>
      <c r="AB84">
        <v>5</v>
      </c>
      <c r="AC84">
        <v>5</v>
      </c>
      <c r="AD84">
        <v>13</v>
      </c>
      <c r="AE84">
        <v>11</v>
      </c>
      <c r="AF84">
        <v>9</v>
      </c>
      <c r="AG84">
        <v>10</v>
      </c>
      <c r="AH84">
        <v>11</v>
      </c>
      <c r="AI84">
        <v>10</v>
      </c>
      <c r="AJ84">
        <v>2</v>
      </c>
      <c r="AK84">
        <v>2</v>
      </c>
      <c r="AL84">
        <v>32692664</v>
      </c>
      <c r="AM84">
        <v>38124476</v>
      </c>
      <c r="AN84">
        <v>27546256</v>
      </c>
      <c r="AO84">
        <v>23193028</v>
      </c>
      <c r="AP84">
        <v>47300004</v>
      </c>
      <c r="AQ84">
        <v>45712620</v>
      </c>
      <c r="AR84">
        <v>12678615</v>
      </c>
      <c r="AS84">
        <v>11760939</v>
      </c>
      <c r="AT84" s="23" t="s">
        <v>482</v>
      </c>
      <c r="AU84" s="18">
        <v>41865804</v>
      </c>
      <c r="AV84" s="18">
        <v>34290240</v>
      </c>
      <c r="AW84" s="19">
        <v>22019688</v>
      </c>
      <c r="AX84" s="19">
        <v>22178804</v>
      </c>
      <c r="AY84" s="20">
        <v>19152752</v>
      </c>
      <c r="AZ84" s="20">
        <v>19124070</v>
      </c>
      <c r="BA84" s="21">
        <v>6057964</v>
      </c>
      <c r="BB84" s="21">
        <v>8394233</v>
      </c>
    </row>
    <row r="85" spans="1:54" hidden="1">
      <c r="A85">
        <v>20160</v>
      </c>
      <c r="B85" t="s">
        <v>1135</v>
      </c>
      <c r="C85" t="s">
        <v>1136</v>
      </c>
      <c r="D85" t="s">
        <v>1137</v>
      </c>
      <c r="F85" t="s">
        <v>1138</v>
      </c>
      <c r="G85">
        <v>15.54</v>
      </c>
      <c r="H85" t="s">
        <v>57</v>
      </c>
      <c r="I85">
        <v>2</v>
      </c>
      <c r="J85">
        <v>3</v>
      </c>
      <c r="K85">
        <v>0</v>
      </c>
      <c r="L85">
        <v>16.84</v>
      </c>
      <c r="M85">
        <v>10750</v>
      </c>
      <c r="N85">
        <v>4</v>
      </c>
      <c r="O85">
        <v>2</v>
      </c>
      <c r="P85">
        <v>2</v>
      </c>
      <c r="Q85">
        <v>2</v>
      </c>
      <c r="R85">
        <v>2</v>
      </c>
      <c r="S85">
        <v>4</v>
      </c>
      <c r="T85">
        <v>4</v>
      </c>
      <c r="U85">
        <v>2</v>
      </c>
      <c r="V85">
        <v>1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0</v>
      </c>
      <c r="AE85">
        <v>1</v>
      </c>
      <c r="AF85">
        <v>0</v>
      </c>
      <c r="AG85">
        <v>0</v>
      </c>
      <c r="AH85">
        <v>1</v>
      </c>
      <c r="AI85">
        <v>2</v>
      </c>
      <c r="AJ85">
        <v>0</v>
      </c>
      <c r="AK85">
        <v>0</v>
      </c>
      <c r="AL85">
        <v>1415032.25</v>
      </c>
      <c r="AM85">
        <v>1480877</v>
      </c>
      <c r="AN85">
        <v>974839.31</v>
      </c>
      <c r="AO85">
        <v>1534505.5</v>
      </c>
      <c r="AP85">
        <v>3609320.75</v>
      </c>
      <c r="AQ85">
        <v>4263113</v>
      </c>
      <c r="AR85">
        <v>2095449.38</v>
      </c>
      <c r="AS85">
        <v>1856887</v>
      </c>
      <c r="AT85" s="23" t="s">
        <v>1136</v>
      </c>
      <c r="AU85" s="18">
        <v>35927.279999999999</v>
      </c>
      <c r="AV85" s="18">
        <v>1174976.5</v>
      </c>
      <c r="AW85" s="19">
        <v>862595.88</v>
      </c>
      <c r="AX85" s="19">
        <v>1587051.25</v>
      </c>
      <c r="AY85" s="20">
        <v>1564740.5</v>
      </c>
      <c r="AZ85" s="20">
        <v>2017752.62</v>
      </c>
      <c r="BA85" s="21">
        <v>1333672.25</v>
      </c>
      <c r="BB85" s="21">
        <v>1790202.8799999999</v>
      </c>
    </row>
    <row r="86" spans="1:54" hidden="1">
      <c r="A86">
        <v>19998</v>
      </c>
      <c r="B86" t="s">
        <v>737</v>
      </c>
      <c r="C86" t="s">
        <v>738</v>
      </c>
      <c r="D86" t="s">
        <v>739</v>
      </c>
      <c r="F86" t="s">
        <v>740</v>
      </c>
      <c r="G86">
        <v>115.9</v>
      </c>
      <c r="H86" t="s">
        <v>57</v>
      </c>
      <c r="I86">
        <v>2</v>
      </c>
      <c r="J86">
        <v>13</v>
      </c>
      <c r="K86">
        <v>0</v>
      </c>
      <c r="L86">
        <v>31.85</v>
      </c>
      <c r="M86">
        <v>32534</v>
      </c>
      <c r="N86">
        <v>14</v>
      </c>
      <c r="O86">
        <v>6</v>
      </c>
      <c r="P86">
        <v>6</v>
      </c>
      <c r="Q86">
        <v>6</v>
      </c>
      <c r="R86">
        <v>6</v>
      </c>
      <c r="S86">
        <v>29</v>
      </c>
      <c r="T86">
        <v>29</v>
      </c>
      <c r="U86">
        <v>6</v>
      </c>
      <c r="V86">
        <v>5</v>
      </c>
      <c r="W86">
        <v>5</v>
      </c>
      <c r="X86">
        <v>6</v>
      </c>
      <c r="Y86">
        <v>6</v>
      </c>
      <c r="Z86">
        <v>5</v>
      </c>
      <c r="AA86">
        <v>5</v>
      </c>
      <c r="AB86">
        <v>6</v>
      </c>
      <c r="AC86">
        <v>6</v>
      </c>
      <c r="AD86">
        <v>4</v>
      </c>
      <c r="AE86">
        <v>3</v>
      </c>
      <c r="AF86">
        <v>4</v>
      </c>
      <c r="AG86">
        <v>5</v>
      </c>
      <c r="AH86">
        <v>4</v>
      </c>
      <c r="AI86">
        <v>3</v>
      </c>
      <c r="AJ86">
        <v>4</v>
      </c>
      <c r="AK86">
        <v>2</v>
      </c>
      <c r="AL86">
        <v>9256676</v>
      </c>
      <c r="AM86">
        <v>7017981</v>
      </c>
      <c r="AN86">
        <v>18480936</v>
      </c>
      <c r="AO86">
        <v>17722474</v>
      </c>
      <c r="AP86">
        <v>14276993</v>
      </c>
      <c r="AQ86">
        <v>14539700</v>
      </c>
      <c r="AR86">
        <v>13494858</v>
      </c>
      <c r="AS86">
        <v>10086481</v>
      </c>
      <c r="AT86" s="23" t="s">
        <v>738</v>
      </c>
      <c r="AU86" s="18">
        <v>9565713</v>
      </c>
      <c r="AV86" s="18">
        <v>5811108</v>
      </c>
      <c r="AW86" s="19">
        <v>13791550</v>
      </c>
      <c r="AX86" s="19">
        <v>15187274</v>
      </c>
      <c r="AY86" s="20">
        <v>5893773</v>
      </c>
      <c r="AZ86" s="20">
        <v>6310993.5</v>
      </c>
      <c r="BA86" s="21">
        <v>7175413</v>
      </c>
      <c r="BB86" s="21">
        <v>8115458.5</v>
      </c>
    </row>
    <row r="87" spans="1:54" hidden="1">
      <c r="A87">
        <v>20067</v>
      </c>
      <c r="B87" t="s">
        <v>578</v>
      </c>
      <c r="C87" t="s">
        <v>579</v>
      </c>
      <c r="D87" t="s">
        <v>580</v>
      </c>
      <c r="E87" t="s">
        <v>581</v>
      </c>
      <c r="F87" t="s">
        <v>582</v>
      </c>
      <c r="G87">
        <v>242.535</v>
      </c>
      <c r="H87" t="s">
        <v>57</v>
      </c>
      <c r="I87">
        <v>2</v>
      </c>
      <c r="J87">
        <v>21</v>
      </c>
      <c r="K87">
        <v>2</v>
      </c>
      <c r="L87">
        <v>59.09</v>
      </c>
      <c r="M87">
        <v>19092</v>
      </c>
      <c r="N87">
        <v>7</v>
      </c>
      <c r="O87">
        <v>5</v>
      </c>
      <c r="P87">
        <v>5</v>
      </c>
      <c r="Q87">
        <v>5</v>
      </c>
      <c r="R87">
        <v>5</v>
      </c>
      <c r="S87">
        <v>37</v>
      </c>
      <c r="T87">
        <v>37</v>
      </c>
      <c r="U87">
        <v>5</v>
      </c>
      <c r="V87">
        <v>3</v>
      </c>
      <c r="W87">
        <v>4</v>
      </c>
      <c r="X87">
        <v>4</v>
      </c>
      <c r="Y87">
        <v>5</v>
      </c>
      <c r="Z87">
        <v>5</v>
      </c>
      <c r="AA87">
        <v>5</v>
      </c>
      <c r="AB87">
        <v>5</v>
      </c>
      <c r="AC87">
        <v>5</v>
      </c>
      <c r="AD87">
        <v>4</v>
      </c>
      <c r="AE87">
        <v>3</v>
      </c>
      <c r="AF87">
        <v>4</v>
      </c>
      <c r="AG87">
        <v>5</v>
      </c>
      <c r="AH87">
        <v>3</v>
      </c>
      <c r="AI87">
        <v>4</v>
      </c>
      <c r="AJ87">
        <v>9</v>
      </c>
      <c r="AK87">
        <v>5</v>
      </c>
      <c r="AL87">
        <v>23820868</v>
      </c>
      <c r="AM87">
        <v>18634394</v>
      </c>
      <c r="AN87">
        <v>44510240</v>
      </c>
      <c r="AO87">
        <v>43727596</v>
      </c>
      <c r="AP87">
        <v>64076976</v>
      </c>
      <c r="AQ87">
        <v>15167694</v>
      </c>
      <c r="AR87">
        <v>65856228</v>
      </c>
      <c r="AS87">
        <v>31209066</v>
      </c>
      <c r="AT87" s="23" t="s">
        <v>579</v>
      </c>
      <c r="AU87" s="18">
        <v>13655164</v>
      </c>
      <c r="AV87" s="18">
        <v>13828540</v>
      </c>
      <c r="AW87" s="19">
        <v>27201392</v>
      </c>
      <c r="AX87" s="19">
        <v>41502352</v>
      </c>
      <c r="AY87" s="20">
        <v>19134988</v>
      </c>
      <c r="AZ87" s="20">
        <v>21490928</v>
      </c>
      <c r="BA87" s="21">
        <v>38225148</v>
      </c>
      <c r="BB87" s="21">
        <v>36910800</v>
      </c>
    </row>
    <row r="88" spans="1:54" hidden="1">
      <c r="A88">
        <v>20029</v>
      </c>
      <c r="B88" t="s">
        <v>917</v>
      </c>
      <c r="C88" t="s">
        <v>918</v>
      </c>
      <c r="D88" t="s">
        <v>919</v>
      </c>
      <c r="F88" t="s">
        <v>920</v>
      </c>
      <c r="G88">
        <v>48.137999999999998</v>
      </c>
      <c r="H88" t="s">
        <v>57</v>
      </c>
      <c r="I88">
        <v>2</v>
      </c>
      <c r="J88">
        <v>9</v>
      </c>
      <c r="K88">
        <v>0</v>
      </c>
      <c r="L88">
        <v>5.45</v>
      </c>
      <c r="M88">
        <v>71447</v>
      </c>
      <c r="N88">
        <v>40</v>
      </c>
      <c r="O88">
        <v>3</v>
      </c>
      <c r="P88">
        <v>3</v>
      </c>
      <c r="Q88">
        <v>3</v>
      </c>
      <c r="R88">
        <v>3</v>
      </c>
      <c r="S88">
        <v>4</v>
      </c>
      <c r="T88">
        <v>4</v>
      </c>
      <c r="U88">
        <v>3</v>
      </c>
      <c r="V88">
        <v>1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0</v>
      </c>
      <c r="AE88">
        <v>0</v>
      </c>
      <c r="AF88">
        <v>1</v>
      </c>
      <c r="AG88">
        <v>0</v>
      </c>
      <c r="AH88">
        <v>3</v>
      </c>
      <c r="AI88">
        <v>1</v>
      </c>
      <c r="AJ88">
        <v>0</v>
      </c>
      <c r="AK88">
        <v>0</v>
      </c>
      <c r="AL88">
        <v>261052.42</v>
      </c>
      <c r="AM88">
        <v>1815045.88</v>
      </c>
      <c r="AN88">
        <v>1727172.38</v>
      </c>
      <c r="AO88">
        <v>1486532.5</v>
      </c>
      <c r="AP88">
        <v>2794615.5</v>
      </c>
      <c r="AQ88">
        <v>2065562.25</v>
      </c>
      <c r="AR88">
        <v>1121675.3799999999</v>
      </c>
      <c r="AS88">
        <v>1036467.19</v>
      </c>
      <c r="AT88" s="23" t="s">
        <v>918</v>
      </c>
      <c r="AU88" s="18">
        <v>25218.98</v>
      </c>
      <c r="AV88" s="18">
        <v>1368883</v>
      </c>
      <c r="AW88" s="19">
        <v>1427087</v>
      </c>
      <c r="AX88" s="19">
        <v>1360762.5</v>
      </c>
      <c r="AY88" s="20">
        <v>1079541.1200000001</v>
      </c>
      <c r="AZ88" s="20">
        <v>918342.25</v>
      </c>
      <c r="BA88" s="21">
        <v>653178.12</v>
      </c>
      <c r="BB88" s="21">
        <v>894373.44</v>
      </c>
    </row>
    <row r="89" spans="1:54" hidden="1">
      <c r="A89">
        <v>20178</v>
      </c>
      <c r="B89" t="s">
        <v>1004</v>
      </c>
      <c r="C89" t="s">
        <v>1005</v>
      </c>
      <c r="D89" t="s">
        <v>1006</v>
      </c>
      <c r="F89" t="s">
        <v>1007</v>
      </c>
      <c r="G89">
        <v>29.047000000000001</v>
      </c>
      <c r="H89" t="s">
        <v>57</v>
      </c>
      <c r="I89">
        <v>2</v>
      </c>
      <c r="J89">
        <v>4</v>
      </c>
      <c r="K89">
        <v>0</v>
      </c>
      <c r="L89">
        <v>11.11</v>
      </c>
      <c r="M89">
        <v>9534</v>
      </c>
      <c r="N89">
        <v>5</v>
      </c>
      <c r="O89">
        <v>1</v>
      </c>
      <c r="P89">
        <v>1</v>
      </c>
      <c r="Q89">
        <v>1</v>
      </c>
      <c r="R89">
        <v>1</v>
      </c>
      <c r="S89">
        <v>5</v>
      </c>
      <c r="T89">
        <v>5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1</v>
      </c>
      <c r="AK89">
        <v>1</v>
      </c>
      <c r="AL89">
        <v>13407456</v>
      </c>
      <c r="AM89">
        <v>15031639</v>
      </c>
      <c r="AN89">
        <v>12370920</v>
      </c>
      <c r="AO89">
        <v>11764259</v>
      </c>
      <c r="AP89">
        <v>11511207</v>
      </c>
      <c r="AQ89">
        <v>12702113</v>
      </c>
      <c r="AR89">
        <v>5609386.5</v>
      </c>
      <c r="AS89">
        <v>5052131</v>
      </c>
      <c r="AT89" s="23" t="s">
        <v>1005</v>
      </c>
      <c r="AU89" s="18">
        <v>13407456</v>
      </c>
      <c r="AV89" s="18">
        <v>11600250</v>
      </c>
      <c r="AW89" s="19">
        <v>9551594</v>
      </c>
      <c r="AX89" s="19">
        <v>10461703</v>
      </c>
      <c r="AY89" s="20">
        <v>4635284</v>
      </c>
      <c r="AZ89" s="20">
        <v>5460411</v>
      </c>
      <c r="BA89" s="21">
        <v>3003571.5</v>
      </c>
      <c r="BB89" s="21">
        <v>3965296.5</v>
      </c>
    </row>
    <row r="90" spans="1:54" hidden="1">
      <c r="A90">
        <v>20129</v>
      </c>
      <c r="B90" t="s">
        <v>681</v>
      </c>
      <c r="C90" t="s">
        <v>682</v>
      </c>
      <c r="D90" t="s">
        <v>683</v>
      </c>
      <c r="F90" t="s">
        <v>684</v>
      </c>
      <c r="G90">
        <v>141.70099999999999</v>
      </c>
      <c r="H90" t="s">
        <v>57</v>
      </c>
      <c r="I90">
        <v>2</v>
      </c>
      <c r="J90">
        <v>3</v>
      </c>
      <c r="K90">
        <v>0</v>
      </c>
      <c r="L90">
        <v>52.22</v>
      </c>
      <c r="M90">
        <v>9225</v>
      </c>
      <c r="N90">
        <v>6</v>
      </c>
      <c r="O90">
        <v>4</v>
      </c>
      <c r="P90">
        <v>4</v>
      </c>
      <c r="Q90">
        <v>4</v>
      </c>
      <c r="R90">
        <v>4</v>
      </c>
      <c r="S90">
        <v>45</v>
      </c>
      <c r="T90">
        <v>45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3</v>
      </c>
      <c r="AD90">
        <v>7</v>
      </c>
      <c r="AE90">
        <v>5</v>
      </c>
      <c r="AF90">
        <v>7</v>
      </c>
      <c r="AG90">
        <v>5</v>
      </c>
      <c r="AH90">
        <v>7</v>
      </c>
      <c r="AI90">
        <v>8</v>
      </c>
      <c r="AJ90">
        <v>3</v>
      </c>
      <c r="AK90">
        <v>3</v>
      </c>
      <c r="AL90">
        <v>98056592</v>
      </c>
      <c r="AM90">
        <v>73793272</v>
      </c>
      <c r="AN90">
        <v>57244700</v>
      </c>
      <c r="AO90">
        <v>54564072</v>
      </c>
      <c r="AP90">
        <v>97946096</v>
      </c>
      <c r="AQ90">
        <v>86847344</v>
      </c>
      <c r="AR90">
        <v>22298494</v>
      </c>
      <c r="AS90">
        <v>12068183</v>
      </c>
      <c r="AT90" s="23" t="s">
        <v>682</v>
      </c>
      <c r="AU90" s="18">
        <v>63302488</v>
      </c>
      <c r="AV90" s="18">
        <v>59636896</v>
      </c>
      <c r="AW90" s="19">
        <v>51624708</v>
      </c>
      <c r="AX90" s="19">
        <v>55988732</v>
      </c>
      <c r="AY90" s="20">
        <v>44947324</v>
      </c>
      <c r="AZ90" s="20">
        <v>44881416</v>
      </c>
      <c r="BA90" s="21">
        <v>15296147</v>
      </c>
      <c r="BB90" s="21">
        <v>17247910</v>
      </c>
    </row>
    <row r="91" spans="1:54" hidden="1">
      <c r="A91">
        <v>20099</v>
      </c>
      <c r="B91" t="s">
        <v>1116</v>
      </c>
      <c r="C91" t="s">
        <v>1117</v>
      </c>
      <c r="D91" t="s">
        <v>1118</v>
      </c>
      <c r="F91" t="s">
        <v>1119</v>
      </c>
      <c r="G91">
        <v>17.581</v>
      </c>
      <c r="H91" t="s">
        <v>57</v>
      </c>
      <c r="I91">
        <v>2</v>
      </c>
      <c r="J91">
        <v>20</v>
      </c>
      <c r="K91">
        <v>0</v>
      </c>
      <c r="L91">
        <v>6.57</v>
      </c>
      <c r="M91">
        <v>15773</v>
      </c>
      <c r="N91">
        <v>9</v>
      </c>
      <c r="O91">
        <v>1</v>
      </c>
      <c r="P91">
        <v>1</v>
      </c>
      <c r="Q91">
        <v>1</v>
      </c>
      <c r="R91">
        <v>1</v>
      </c>
      <c r="S91">
        <v>2</v>
      </c>
      <c r="T91">
        <v>2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1</v>
      </c>
      <c r="AL91">
        <v>3803740.25</v>
      </c>
      <c r="AM91">
        <v>3817308.5</v>
      </c>
      <c r="AN91">
        <v>3357554.5</v>
      </c>
      <c r="AO91">
        <v>2933226.75</v>
      </c>
      <c r="AP91">
        <v>2310622.5</v>
      </c>
      <c r="AQ91">
        <v>2061892.5</v>
      </c>
      <c r="AR91">
        <v>1737712.38</v>
      </c>
      <c r="AS91">
        <v>1393117.12</v>
      </c>
      <c r="AT91" s="23" t="s">
        <v>1117</v>
      </c>
      <c r="AU91" s="18">
        <v>3803740.25</v>
      </c>
      <c r="AV91" s="18">
        <v>2945902</v>
      </c>
      <c r="AW91" s="19">
        <v>2592369.75</v>
      </c>
      <c r="AX91" s="19">
        <v>2608455.5</v>
      </c>
      <c r="AY91" s="20">
        <v>930431.69</v>
      </c>
      <c r="AZ91" s="20">
        <v>886370.69</v>
      </c>
      <c r="BA91" s="21">
        <v>930466.06</v>
      </c>
      <c r="BB91" s="21">
        <v>1093424.1200000001</v>
      </c>
    </row>
    <row r="92" spans="1:54" hidden="1">
      <c r="A92">
        <v>20108</v>
      </c>
      <c r="B92" t="s">
        <v>1094</v>
      </c>
      <c r="C92" t="s">
        <v>1095</v>
      </c>
      <c r="D92" t="s">
        <v>1096</v>
      </c>
      <c r="F92" t="s">
        <v>1097</v>
      </c>
      <c r="G92">
        <v>20.366</v>
      </c>
      <c r="H92" t="s">
        <v>57</v>
      </c>
      <c r="I92">
        <v>2</v>
      </c>
      <c r="J92">
        <v>18</v>
      </c>
      <c r="K92">
        <v>0</v>
      </c>
      <c r="L92">
        <v>7.75</v>
      </c>
      <c r="M92">
        <v>16093</v>
      </c>
      <c r="N92">
        <v>9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1054071.75</v>
      </c>
      <c r="AM92">
        <v>1807829.62</v>
      </c>
      <c r="AN92">
        <v>1043451.88</v>
      </c>
      <c r="AO92">
        <v>793438.19</v>
      </c>
      <c r="AP92">
        <v>1081777.1200000001</v>
      </c>
      <c r="AQ92">
        <v>944541.06</v>
      </c>
      <c r="AT92" s="23" t="s">
        <v>1095</v>
      </c>
      <c r="AU92" s="18">
        <v>1054071.75</v>
      </c>
      <c r="AV92" s="18">
        <v>1395142.38</v>
      </c>
      <c r="AW92" s="19">
        <v>805649.75</v>
      </c>
      <c r="AX92" s="19">
        <v>705587.5</v>
      </c>
      <c r="AY92" s="20">
        <v>435605.44</v>
      </c>
      <c r="AZ92" s="20">
        <v>406041.28</v>
      </c>
      <c r="BA92" s="21">
        <v>199295.7</v>
      </c>
      <c r="BB92" s="21">
        <v>212391.23</v>
      </c>
    </row>
    <row r="93" spans="1:54" hidden="1">
      <c r="A93">
        <v>20192</v>
      </c>
      <c r="B93" t="s">
        <v>643</v>
      </c>
      <c r="C93" t="s">
        <v>644</v>
      </c>
      <c r="D93" t="s">
        <v>643</v>
      </c>
      <c r="F93" t="s">
        <v>645</v>
      </c>
      <c r="G93">
        <v>165.947</v>
      </c>
      <c r="H93" t="s">
        <v>57</v>
      </c>
      <c r="I93">
        <v>2</v>
      </c>
      <c r="J93">
        <v>1</v>
      </c>
      <c r="K93">
        <v>0</v>
      </c>
      <c r="L93">
        <v>28.1</v>
      </c>
      <c r="M93">
        <v>29738</v>
      </c>
      <c r="N93">
        <v>16</v>
      </c>
      <c r="O93">
        <v>6</v>
      </c>
      <c r="P93">
        <v>6</v>
      </c>
      <c r="Q93">
        <v>6</v>
      </c>
      <c r="R93">
        <v>6</v>
      </c>
      <c r="S93">
        <v>15</v>
      </c>
      <c r="T93">
        <v>15</v>
      </c>
      <c r="U93">
        <v>6</v>
      </c>
      <c r="V93">
        <v>5</v>
      </c>
      <c r="W93">
        <v>5</v>
      </c>
      <c r="X93">
        <v>6</v>
      </c>
      <c r="Y93">
        <v>6</v>
      </c>
      <c r="Z93">
        <v>5</v>
      </c>
      <c r="AA93">
        <v>5</v>
      </c>
      <c r="AB93">
        <v>5</v>
      </c>
      <c r="AC93">
        <v>5</v>
      </c>
      <c r="AD93">
        <v>0</v>
      </c>
      <c r="AE93">
        <v>0</v>
      </c>
      <c r="AF93">
        <v>3</v>
      </c>
      <c r="AG93">
        <v>3</v>
      </c>
      <c r="AH93">
        <v>1</v>
      </c>
      <c r="AI93">
        <v>3</v>
      </c>
      <c r="AJ93">
        <v>5</v>
      </c>
      <c r="AK93">
        <v>0</v>
      </c>
      <c r="AL93">
        <v>5388048</v>
      </c>
      <c r="AM93">
        <v>4576044.5</v>
      </c>
      <c r="AN93">
        <v>7471963</v>
      </c>
      <c r="AO93">
        <v>7787006</v>
      </c>
      <c r="AP93">
        <v>8724236</v>
      </c>
      <c r="AQ93">
        <v>10172344</v>
      </c>
      <c r="AR93">
        <v>10595262</v>
      </c>
      <c r="AS93">
        <v>6317809.5</v>
      </c>
      <c r="AT93" s="23" t="s">
        <v>644</v>
      </c>
      <c r="AU93" s="18">
        <v>5256465</v>
      </c>
      <c r="AV93" s="18">
        <v>3632824.25</v>
      </c>
      <c r="AW93" s="19">
        <v>6661357</v>
      </c>
      <c r="AX93" s="19">
        <v>6913615.5</v>
      </c>
      <c r="AY93" s="20">
        <v>3140767.75</v>
      </c>
      <c r="AZ93" s="20">
        <v>4004435</v>
      </c>
      <c r="BA93" s="21">
        <v>5553344.5</v>
      </c>
      <c r="BB93" s="21">
        <v>5083654</v>
      </c>
    </row>
    <row r="94" spans="1:54" hidden="1">
      <c r="A94">
        <v>20028</v>
      </c>
      <c r="B94" t="s">
        <v>1356</v>
      </c>
      <c r="C94" t="s">
        <v>1357</v>
      </c>
      <c r="D94" t="s">
        <v>1356</v>
      </c>
      <c r="F94" t="s">
        <v>1358</v>
      </c>
      <c r="G94">
        <v>0</v>
      </c>
      <c r="H94" t="s">
        <v>57</v>
      </c>
      <c r="I94">
        <v>2</v>
      </c>
      <c r="J94">
        <v>1</v>
      </c>
      <c r="K94">
        <v>0</v>
      </c>
      <c r="L94">
        <v>6.71</v>
      </c>
      <c r="M94">
        <v>37146</v>
      </c>
      <c r="N94">
        <v>17</v>
      </c>
      <c r="O94">
        <v>1</v>
      </c>
      <c r="P94">
        <v>1</v>
      </c>
      <c r="Q94">
        <v>3</v>
      </c>
      <c r="R94">
        <v>3</v>
      </c>
      <c r="S94">
        <v>3</v>
      </c>
      <c r="T94">
        <v>3</v>
      </c>
      <c r="U94">
        <v>3</v>
      </c>
      <c r="Y94">
        <v>3</v>
      </c>
      <c r="AA94">
        <v>3</v>
      </c>
      <c r="AB94">
        <v>3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</v>
      </c>
      <c r="AO94">
        <v>1339978.5</v>
      </c>
      <c r="AQ94">
        <v>3040729</v>
      </c>
      <c r="AR94">
        <v>7317952.5</v>
      </c>
      <c r="AS94">
        <v>9268727</v>
      </c>
      <c r="AT94" s="23" t="s">
        <v>1357</v>
      </c>
      <c r="AU94" s="18">
        <v>49505.43</v>
      </c>
      <c r="AV94" s="18">
        <v>111774.65</v>
      </c>
      <c r="AW94" s="19">
        <v>213953.23</v>
      </c>
      <c r="AX94" s="19">
        <v>1191614.1200000001</v>
      </c>
      <c r="AY94" s="20">
        <v>350962.88</v>
      </c>
      <c r="AZ94" s="20">
        <v>1307155</v>
      </c>
      <c r="BA94" s="21">
        <v>3918431</v>
      </c>
      <c r="BB94" s="21">
        <v>7274802</v>
      </c>
    </row>
    <row r="95" spans="1:54" hidden="1">
      <c r="A95">
        <v>19964</v>
      </c>
      <c r="B95" t="s">
        <v>963</v>
      </c>
      <c r="C95" t="s">
        <v>964</v>
      </c>
      <c r="D95" t="s">
        <v>965</v>
      </c>
      <c r="F95" t="s">
        <v>966</v>
      </c>
      <c r="G95">
        <v>39.292999999999999</v>
      </c>
      <c r="H95" t="s">
        <v>57</v>
      </c>
      <c r="I95">
        <v>2</v>
      </c>
      <c r="J95">
        <v>20</v>
      </c>
      <c r="K95">
        <v>0</v>
      </c>
      <c r="L95">
        <v>11.7</v>
      </c>
      <c r="M95">
        <v>10651</v>
      </c>
      <c r="N95">
        <v>7</v>
      </c>
      <c r="O95">
        <v>1</v>
      </c>
      <c r="P95">
        <v>1</v>
      </c>
      <c r="Q95">
        <v>1</v>
      </c>
      <c r="R95">
        <v>1</v>
      </c>
      <c r="S95">
        <v>6</v>
      </c>
      <c r="T95">
        <v>6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3</v>
      </c>
      <c r="AI95">
        <v>1</v>
      </c>
      <c r="AJ95">
        <v>0</v>
      </c>
      <c r="AK95">
        <v>1</v>
      </c>
      <c r="AL95">
        <v>2128459.5</v>
      </c>
      <c r="AM95">
        <v>3793122.75</v>
      </c>
      <c r="AN95">
        <v>1853220</v>
      </c>
      <c r="AO95">
        <v>2238798.75</v>
      </c>
      <c r="AP95">
        <v>6951765.5</v>
      </c>
      <c r="AQ95">
        <v>5162078</v>
      </c>
      <c r="AR95">
        <v>858621.62</v>
      </c>
      <c r="AS95">
        <v>622064.62</v>
      </c>
      <c r="AT95" s="23" t="s">
        <v>964</v>
      </c>
      <c r="AU95" s="18">
        <v>2993253.5</v>
      </c>
      <c r="AV95" s="18">
        <v>4020255.5</v>
      </c>
      <c r="AW95" s="19">
        <v>1628845</v>
      </c>
      <c r="AX95" s="19">
        <v>2428232.75</v>
      </c>
      <c r="AY95" s="20">
        <v>3479522.5</v>
      </c>
      <c r="AZ95" s="20">
        <v>2802196.25</v>
      </c>
      <c r="BA95" s="21">
        <v>563623.18999999994</v>
      </c>
      <c r="BB95" s="21">
        <v>315548</v>
      </c>
    </row>
    <row r="96" spans="1:54" hidden="1">
      <c r="A96">
        <v>20017</v>
      </c>
      <c r="B96" t="s">
        <v>166</v>
      </c>
      <c r="C96" t="s">
        <v>167</v>
      </c>
      <c r="D96" t="s">
        <v>168</v>
      </c>
      <c r="E96" t="s">
        <v>169</v>
      </c>
      <c r="F96" t="s">
        <v>170</v>
      </c>
      <c r="G96">
        <v>1186.0219999999999</v>
      </c>
      <c r="H96" t="s">
        <v>57</v>
      </c>
      <c r="I96">
        <v>2</v>
      </c>
      <c r="J96">
        <v>6</v>
      </c>
      <c r="K96">
        <v>14</v>
      </c>
      <c r="L96">
        <v>43.6</v>
      </c>
      <c r="M96">
        <v>104295</v>
      </c>
      <c r="N96">
        <v>58</v>
      </c>
      <c r="O96">
        <v>33</v>
      </c>
      <c r="P96">
        <v>2</v>
      </c>
      <c r="Q96">
        <v>33</v>
      </c>
      <c r="R96">
        <v>2</v>
      </c>
      <c r="S96">
        <v>231</v>
      </c>
      <c r="T96">
        <v>12</v>
      </c>
      <c r="U96">
        <v>2</v>
      </c>
      <c r="V96">
        <v>1</v>
      </c>
      <c r="W96">
        <v>2</v>
      </c>
      <c r="X96">
        <v>2</v>
      </c>
      <c r="Y96">
        <v>2</v>
      </c>
      <c r="Z96">
        <v>1</v>
      </c>
      <c r="AA96">
        <v>1</v>
      </c>
      <c r="AB96">
        <v>2</v>
      </c>
      <c r="AC96">
        <v>2</v>
      </c>
      <c r="AD96">
        <v>1</v>
      </c>
      <c r="AE96">
        <v>2</v>
      </c>
      <c r="AF96">
        <v>2</v>
      </c>
      <c r="AG96">
        <v>2</v>
      </c>
      <c r="AH96">
        <v>1</v>
      </c>
      <c r="AI96">
        <v>1</v>
      </c>
      <c r="AJ96">
        <v>2</v>
      </c>
      <c r="AK96">
        <v>1</v>
      </c>
      <c r="AL96">
        <v>224656928</v>
      </c>
      <c r="AM96">
        <v>230567984</v>
      </c>
      <c r="AN96">
        <v>240408400</v>
      </c>
      <c r="AO96">
        <v>203085872</v>
      </c>
      <c r="AP96">
        <v>118192952</v>
      </c>
      <c r="AQ96">
        <v>129978560</v>
      </c>
      <c r="AR96">
        <v>269509920</v>
      </c>
      <c r="AS96">
        <v>179848864</v>
      </c>
      <c r="AT96" s="23" t="s">
        <v>167</v>
      </c>
      <c r="AU96" s="18">
        <v>291714.28000000003</v>
      </c>
      <c r="AV96" s="18">
        <v>4103744.25</v>
      </c>
      <c r="AW96" s="19">
        <v>4878631.5</v>
      </c>
      <c r="AX96" s="19">
        <v>4610242.5</v>
      </c>
      <c r="AY96" s="20">
        <v>220408.45</v>
      </c>
      <c r="AZ96" s="20">
        <v>241917.09</v>
      </c>
      <c r="BA96" s="21">
        <v>8063389.5</v>
      </c>
      <c r="BB96" s="21">
        <v>14950107</v>
      </c>
    </row>
    <row r="97" spans="1:54" hidden="1">
      <c r="A97">
        <v>20016</v>
      </c>
      <c r="B97" t="s">
        <v>171</v>
      </c>
      <c r="C97" t="s">
        <v>167</v>
      </c>
      <c r="D97" t="s">
        <v>171</v>
      </c>
      <c r="F97" t="s">
        <v>172</v>
      </c>
      <c r="G97">
        <v>1170.5219999999999</v>
      </c>
      <c r="H97" t="s">
        <v>57</v>
      </c>
      <c r="I97">
        <v>2</v>
      </c>
      <c r="J97">
        <v>1</v>
      </c>
      <c r="K97">
        <v>0</v>
      </c>
      <c r="L97">
        <v>41.47</v>
      </c>
      <c r="M97">
        <v>104263</v>
      </c>
      <c r="N97">
        <v>58</v>
      </c>
      <c r="O97">
        <v>32</v>
      </c>
      <c r="P97">
        <v>1</v>
      </c>
      <c r="Q97">
        <v>32</v>
      </c>
      <c r="R97">
        <v>1</v>
      </c>
      <c r="S97">
        <v>230</v>
      </c>
      <c r="T97">
        <v>11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2</v>
      </c>
      <c r="AF97">
        <v>1</v>
      </c>
      <c r="AG97">
        <v>2</v>
      </c>
      <c r="AH97">
        <v>1</v>
      </c>
      <c r="AI97">
        <v>1</v>
      </c>
      <c r="AJ97">
        <v>2</v>
      </c>
      <c r="AK97">
        <v>1</v>
      </c>
      <c r="AL97">
        <v>224656928</v>
      </c>
      <c r="AM97">
        <v>229979136</v>
      </c>
      <c r="AN97">
        <v>239656160</v>
      </c>
      <c r="AO97">
        <v>202522592</v>
      </c>
      <c r="AP97">
        <v>118192944</v>
      </c>
      <c r="AQ97">
        <v>129978560</v>
      </c>
      <c r="AR97">
        <v>268823744</v>
      </c>
      <c r="AS97">
        <v>178756800</v>
      </c>
      <c r="AT97" s="23" t="s">
        <v>167</v>
      </c>
      <c r="AU97" s="18">
        <v>7415340.5</v>
      </c>
      <c r="AV97" s="18">
        <v>4527848</v>
      </c>
      <c r="AW97" s="19">
        <v>5072106.5</v>
      </c>
      <c r="AX97" s="19">
        <v>5160881.5</v>
      </c>
      <c r="AY97" s="20">
        <v>1688038.75</v>
      </c>
      <c r="AZ97" s="20">
        <v>1866738.62</v>
      </c>
      <c r="BA97" s="21">
        <v>4337752.5</v>
      </c>
      <c r="BB97" s="21">
        <v>4302956.5</v>
      </c>
    </row>
    <row r="98" spans="1:54" hidden="1">
      <c r="A98">
        <v>20203</v>
      </c>
      <c r="B98" t="s">
        <v>640</v>
      </c>
      <c r="C98" t="s">
        <v>641</v>
      </c>
      <c r="D98" t="s">
        <v>640</v>
      </c>
      <c r="F98" t="s">
        <v>642</v>
      </c>
      <c r="G98">
        <v>183.06800000000001</v>
      </c>
      <c r="H98" t="s">
        <v>57</v>
      </c>
      <c r="I98">
        <v>2</v>
      </c>
      <c r="J98">
        <v>1</v>
      </c>
      <c r="K98">
        <v>0</v>
      </c>
      <c r="L98">
        <v>18.989999999999998</v>
      </c>
      <c r="M98">
        <v>62983</v>
      </c>
      <c r="N98">
        <v>31</v>
      </c>
      <c r="O98">
        <v>11</v>
      </c>
      <c r="P98">
        <v>11</v>
      </c>
      <c r="Q98">
        <v>11</v>
      </c>
      <c r="R98">
        <v>11</v>
      </c>
      <c r="S98">
        <v>39</v>
      </c>
      <c r="T98">
        <v>39</v>
      </c>
      <c r="U98">
        <v>11</v>
      </c>
      <c r="V98">
        <v>7</v>
      </c>
      <c r="W98">
        <v>10</v>
      </c>
      <c r="X98">
        <v>11</v>
      </c>
      <c r="Y98">
        <v>11</v>
      </c>
      <c r="Z98">
        <v>10</v>
      </c>
      <c r="AA98">
        <v>10</v>
      </c>
      <c r="AB98">
        <v>10</v>
      </c>
      <c r="AC98">
        <v>9</v>
      </c>
      <c r="AD98">
        <v>0</v>
      </c>
      <c r="AE98">
        <v>4</v>
      </c>
      <c r="AF98">
        <v>10</v>
      </c>
      <c r="AG98">
        <v>8</v>
      </c>
      <c r="AH98">
        <v>4</v>
      </c>
      <c r="AI98">
        <v>4</v>
      </c>
      <c r="AJ98">
        <v>5</v>
      </c>
      <c r="AK98">
        <v>4</v>
      </c>
      <c r="AL98">
        <v>8019735.5</v>
      </c>
      <c r="AM98">
        <v>16552299</v>
      </c>
      <c r="AN98">
        <v>34905072</v>
      </c>
      <c r="AO98">
        <v>33686440</v>
      </c>
      <c r="AP98">
        <v>34142952</v>
      </c>
      <c r="AQ98">
        <v>34837668</v>
      </c>
      <c r="AR98">
        <v>34690548</v>
      </c>
      <c r="AS98">
        <v>24579114</v>
      </c>
      <c r="AT98" s="23" t="s">
        <v>641</v>
      </c>
      <c r="AU98" s="18">
        <v>12633320</v>
      </c>
      <c r="AV98" s="18">
        <v>12235358</v>
      </c>
      <c r="AW98" s="19">
        <v>27735112</v>
      </c>
      <c r="AX98" s="19">
        <v>29556002</v>
      </c>
      <c r="AY98" s="20">
        <v>12286307</v>
      </c>
      <c r="AZ98" s="20">
        <v>14827714</v>
      </c>
      <c r="BA98" s="21">
        <v>17178562</v>
      </c>
      <c r="BB98" s="21">
        <v>18613638</v>
      </c>
    </row>
    <row r="99" spans="1:54" hidden="1">
      <c r="A99">
        <v>20200</v>
      </c>
      <c r="B99" t="s">
        <v>412</v>
      </c>
      <c r="C99" t="s">
        <v>413</v>
      </c>
      <c r="D99" t="s">
        <v>414</v>
      </c>
      <c r="F99" t="s">
        <v>415</v>
      </c>
      <c r="G99">
        <v>432.70299999999997</v>
      </c>
      <c r="H99" t="s">
        <v>57</v>
      </c>
      <c r="I99">
        <v>2</v>
      </c>
      <c r="J99">
        <v>7</v>
      </c>
      <c r="K99">
        <v>0</v>
      </c>
      <c r="L99">
        <v>75</v>
      </c>
      <c r="M99">
        <v>8249</v>
      </c>
      <c r="N99">
        <v>4</v>
      </c>
      <c r="O99">
        <v>4</v>
      </c>
      <c r="P99">
        <v>4</v>
      </c>
      <c r="Q99">
        <v>6</v>
      </c>
      <c r="R99">
        <v>6</v>
      </c>
      <c r="S99">
        <v>220</v>
      </c>
      <c r="T99">
        <v>220</v>
      </c>
      <c r="U99">
        <v>6</v>
      </c>
      <c r="V99">
        <v>5</v>
      </c>
      <c r="W99">
        <v>6</v>
      </c>
      <c r="X99">
        <v>5</v>
      </c>
      <c r="Y99">
        <v>5</v>
      </c>
      <c r="Z99">
        <v>6</v>
      </c>
      <c r="AA99">
        <v>6</v>
      </c>
      <c r="AB99">
        <v>4</v>
      </c>
      <c r="AC99">
        <v>5</v>
      </c>
      <c r="AD99">
        <v>50</v>
      </c>
      <c r="AE99">
        <v>43</v>
      </c>
      <c r="AF99">
        <v>22</v>
      </c>
      <c r="AG99">
        <v>18</v>
      </c>
      <c r="AH99">
        <v>28</v>
      </c>
      <c r="AI99">
        <v>27</v>
      </c>
      <c r="AJ99">
        <v>14</v>
      </c>
      <c r="AK99">
        <v>18</v>
      </c>
      <c r="AL99">
        <v>325564896</v>
      </c>
      <c r="AM99">
        <v>404661472</v>
      </c>
      <c r="AN99">
        <v>117835352</v>
      </c>
      <c r="AO99">
        <v>114713280</v>
      </c>
      <c r="AP99">
        <v>504122656</v>
      </c>
      <c r="AQ99">
        <v>536534400</v>
      </c>
      <c r="AR99">
        <v>163878048</v>
      </c>
      <c r="AS99">
        <v>128260624</v>
      </c>
      <c r="AT99" s="23" t="s">
        <v>413</v>
      </c>
      <c r="AU99" s="18">
        <v>343979008</v>
      </c>
      <c r="AV99" s="18">
        <v>320137216</v>
      </c>
      <c r="AW99" s="19">
        <v>96733296</v>
      </c>
      <c r="AX99" s="19">
        <v>86356120</v>
      </c>
      <c r="AY99" s="20">
        <v>275443232</v>
      </c>
      <c r="AZ99" s="20">
        <v>309719744</v>
      </c>
      <c r="BA99" s="21">
        <v>139293968</v>
      </c>
      <c r="BB99" s="21">
        <v>164785792</v>
      </c>
    </row>
    <row r="100" spans="1:54" hidden="1">
      <c r="A100">
        <v>20092</v>
      </c>
      <c r="B100" t="s">
        <v>58</v>
      </c>
      <c r="C100" t="s">
        <v>59</v>
      </c>
      <c r="D100" t="s">
        <v>60</v>
      </c>
      <c r="E100" t="s">
        <v>61</v>
      </c>
      <c r="F100" t="s">
        <v>62</v>
      </c>
      <c r="G100">
        <v>3240.4749999999999</v>
      </c>
      <c r="H100" t="s">
        <v>57</v>
      </c>
      <c r="I100">
        <v>2</v>
      </c>
      <c r="J100">
        <v>13</v>
      </c>
      <c r="K100">
        <v>8</v>
      </c>
      <c r="L100">
        <v>69.099999999999994</v>
      </c>
      <c r="M100">
        <v>97348</v>
      </c>
      <c r="N100">
        <v>59</v>
      </c>
      <c r="O100">
        <v>60</v>
      </c>
      <c r="P100">
        <v>60</v>
      </c>
      <c r="Q100">
        <v>67</v>
      </c>
      <c r="R100">
        <v>67</v>
      </c>
      <c r="S100">
        <v>2162</v>
      </c>
      <c r="T100">
        <v>2162</v>
      </c>
      <c r="U100">
        <v>67</v>
      </c>
      <c r="V100">
        <v>58</v>
      </c>
      <c r="W100">
        <v>62</v>
      </c>
      <c r="X100">
        <v>58</v>
      </c>
      <c r="Y100">
        <v>60</v>
      </c>
      <c r="Z100">
        <v>65</v>
      </c>
      <c r="AA100">
        <v>67</v>
      </c>
      <c r="AB100">
        <v>62</v>
      </c>
      <c r="AC100">
        <v>63</v>
      </c>
      <c r="AD100">
        <v>392</v>
      </c>
      <c r="AE100">
        <v>382</v>
      </c>
      <c r="AF100">
        <v>206</v>
      </c>
      <c r="AG100">
        <v>199</v>
      </c>
      <c r="AH100">
        <v>296</v>
      </c>
      <c r="AI100">
        <v>329</v>
      </c>
      <c r="AJ100">
        <v>171</v>
      </c>
      <c r="AK100">
        <v>187</v>
      </c>
      <c r="AL100">
        <v>3776912128</v>
      </c>
      <c r="AM100">
        <v>4708155904</v>
      </c>
      <c r="AN100">
        <v>1370369536</v>
      </c>
      <c r="AO100">
        <v>1217561472</v>
      </c>
      <c r="AP100">
        <v>5642521088</v>
      </c>
      <c r="AQ100">
        <v>6265753600</v>
      </c>
      <c r="AR100">
        <v>2069606272</v>
      </c>
      <c r="AS100">
        <v>1764136064</v>
      </c>
      <c r="AT100" s="23" t="s">
        <v>59</v>
      </c>
      <c r="AU100" s="18">
        <v>3297481216</v>
      </c>
      <c r="AV100" s="18">
        <v>3417762816</v>
      </c>
      <c r="AW100" s="19">
        <v>1153212288</v>
      </c>
      <c r="AX100" s="19">
        <v>1230068352</v>
      </c>
      <c r="AY100" s="20">
        <v>3343286272</v>
      </c>
      <c r="AZ100" s="20">
        <v>3989498368</v>
      </c>
      <c r="BA100" s="21">
        <v>1738594816</v>
      </c>
      <c r="BB100" s="21">
        <v>1895304064</v>
      </c>
    </row>
    <row r="101" spans="1:54" hidden="1">
      <c r="A101">
        <v>20132</v>
      </c>
      <c r="B101" t="s">
        <v>235</v>
      </c>
      <c r="C101" t="s">
        <v>236</v>
      </c>
      <c r="D101" t="s">
        <v>237</v>
      </c>
      <c r="F101" t="s">
        <v>238</v>
      </c>
      <c r="G101">
        <v>854.33799999999997</v>
      </c>
      <c r="H101" t="s">
        <v>57</v>
      </c>
      <c r="I101">
        <v>2</v>
      </c>
      <c r="J101">
        <v>6</v>
      </c>
      <c r="K101">
        <v>0</v>
      </c>
      <c r="L101">
        <v>55</v>
      </c>
      <c r="M101">
        <v>20563</v>
      </c>
      <c r="N101">
        <v>9</v>
      </c>
      <c r="O101">
        <v>13</v>
      </c>
      <c r="P101">
        <v>13</v>
      </c>
      <c r="Q101">
        <v>17</v>
      </c>
      <c r="R101">
        <v>17</v>
      </c>
      <c r="S101">
        <v>1261</v>
      </c>
      <c r="T101">
        <v>1261</v>
      </c>
      <c r="U101">
        <v>17</v>
      </c>
      <c r="V101">
        <v>14</v>
      </c>
      <c r="W101">
        <v>13</v>
      </c>
      <c r="X101">
        <v>12</v>
      </c>
      <c r="Y101">
        <v>13</v>
      </c>
      <c r="Z101">
        <v>16</v>
      </c>
      <c r="AA101">
        <v>17</v>
      </c>
      <c r="AB101">
        <v>15</v>
      </c>
      <c r="AC101">
        <v>15</v>
      </c>
      <c r="AD101">
        <v>302</v>
      </c>
      <c r="AE101">
        <v>222</v>
      </c>
      <c r="AF101">
        <v>106</v>
      </c>
      <c r="AG101">
        <v>105</v>
      </c>
      <c r="AH101">
        <v>163</v>
      </c>
      <c r="AI101">
        <v>162</v>
      </c>
      <c r="AJ101">
        <v>87</v>
      </c>
      <c r="AK101">
        <v>114</v>
      </c>
      <c r="AL101">
        <v>4608114176</v>
      </c>
      <c r="AM101">
        <v>6765865984</v>
      </c>
      <c r="AN101">
        <v>2180360704</v>
      </c>
      <c r="AO101">
        <v>2323242752</v>
      </c>
      <c r="AP101">
        <v>8305416192</v>
      </c>
      <c r="AQ101">
        <v>8708434944</v>
      </c>
      <c r="AR101">
        <v>3776138752</v>
      </c>
      <c r="AS101">
        <v>2934048512</v>
      </c>
      <c r="AT101" s="23" t="s">
        <v>236</v>
      </c>
      <c r="AU101" s="18">
        <v>5018095104</v>
      </c>
      <c r="AV101" s="18">
        <v>5568946688</v>
      </c>
      <c r="AW101" s="19">
        <v>1620770432</v>
      </c>
      <c r="AX101" s="19">
        <v>1814537216</v>
      </c>
      <c r="AY101" s="20">
        <v>4195574016</v>
      </c>
      <c r="AZ101" s="20">
        <v>4901918208</v>
      </c>
      <c r="BA101" s="21">
        <v>2078656896</v>
      </c>
      <c r="BB101" s="21">
        <v>2529978368</v>
      </c>
    </row>
    <row r="102" spans="1:54" hidden="1">
      <c r="A102">
        <v>20098</v>
      </c>
      <c r="B102" t="s">
        <v>1086</v>
      </c>
      <c r="C102" t="s">
        <v>1087</v>
      </c>
      <c r="D102" t="s">
        <v>1088</v>
      </c>
      <c r="F102" t="s">
        <v>1089</v>
      </c>
      <c r="G102">
        <v>21.95</v>
      </c>
      <c r="H102" t="s">
        <v>57</v>
      </c>
      <c r="I102">
        <v>2</v>
      </c>
      <c r="J102">
        <v>19</v>
      </c>
      <c r="K102">
        <v>0</v>
      </c>
      <c r="L102">
        <v>3.96</v>
      </c>
      <c r="M102">
        <v>45089</v>
      </c>
      <c r="N102">
        <v>25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948813.25</v>
      </c>
      <c r="AM102">
        <v>986612.69</v>
      </c>
      <c r="AN102">
        <v>750168.31</v>
      </c>
      <c r="AO102">
        <v>580246.18999999994</v>
      </c>
      <c r="AP102">
        <v>1281350.1200000001</v>
      </c>
      <c r="AQ102">
        <v>1520506.25</v>
      </c>
      <c r="AT102" s="23" t="s">
        <v>1087</v>
      </c>
      <c r="AU102" s="18">
        <v>948813.25</v>
      </c>
      <c r="AV102" s="18">
        <v>761390.94</v>
      </c>
      <c r="AW102" s="19">
        <v>579205.38</v>
      </c>
      <c r="AX102" s="19">
        <v>516000.47</v>
      </c>
      <c r="AY102" s="20">
        <v>515968.66</v>
      </c>
      <c r="AZ102" s="20">
        <v>653638.38</v>
      </c>
      <c r="BA102" s="21">
        <v>199295.7</v>
      </c>
      <c r="BB102" s="21">
        <v>212391.23</v>
      </c>
    </row>
    <row r="103" spans="1:54" hidden="1">
      <c r="A103">
        <v>20012</v>
      </c>
      <c r="B103" t="s">
        <v>1216</v>
      </c>
      <c r="C103" t="s">
        <v>1217</v>
      </c>
      <c r="D103" t="s">
        <v>1218</v>
      </c>
      <c r="F103" t="s">
        <v>1219</v>
      </c>
      <c r="G103">
        <v>9.5</v>
      </c>
      <c r="H103" t="s">
        <v>57</v>
      </c>
      <c r="I103">
        <v>2</v>
      </c>
      <c r="J103">
        <v>21</v>
      </c>
      <c r="K103">
        <v>0</v>
      </c>
      <c r="L103">
        <v>3.16</v>
      </c>
      <c r="M103">
        <v>34774</v>
      </c>
      <c r="N103">
        <v>18</v>
      </c>
      <c r="O103">
        <v>1</v>
      </c>
      <c r="P103">
        <v>1</v>
      </c>
      <c r="Q103">
        <v>1</v>
      </c>
      <c r="R103">
        <v>1</v>
      </c>
      <c r="S103">
        <v>2</v>
      </c>
      <c r="T103">
        <v>2</v>
      </c>
      <c r="U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M103">
        <v>1052010.25</v>
      </c>
      <c r="AN103">
        <v>1326848.25</v>
      </c>
      <c r="AO103">
        <v>1059174.25</v>
      </c>
      <c r="AP103">
        <v>6216945.5</v>
      </c>
      <c r="AQ103">
        <v>2791624.75</v>
      </c>
      <c r="AR103">
        <v>3923234.75</v>
      </c>
      <c r="AS103">
        <v>3444133.25</v>
      </c>
      <c r="AT103" s="23" t="s">
        <v>1217</v>
      </c>
      <c r="AU103" s="18">
        <v>49505.43</v>
      </c>
      <c r="AV103" s="18">
        <v>811859.69</v>
      </c>
      <c r="AW103" s="19">
        <v>1024460.25</v>
      </c>
      <c r="AX103" s="19">
        <v>941900.88</v>
      </c>
      <c r="AY103" s="20">
        <v>2503413.25</v>
      </c>
      <c r="AZ103" s="20">
        <v>1200069.5</v>
      </c>
      <c r="BA103" s="21">
        <v>2100713.75</v>
      </c>
      <c r="BB103" s="21">
        <v>2703217.75</v>
      </c>
    </row>
    <row r="104" spans="1:54" hidden="1">
      <c r="A104">
        <v>20091</v>
      </c>
      <c r="B104" t="s">
        <v>1101</v>
      </c>
      <c r="C104" t="s">
        <v>1102</v>
      </c>
      <c r="D104" t="s">
        <v>1101</v>
      </c>
      <c r="F104" t="s">
        <v>1103</v>
      </c>
      <c r="G104">
        <v>20.102</v>
      </c>
      <c r="H104" t="s">
        <v>57</v>
      </c>
      <c r="I104">
        <v>2</v>
      </c>
      <c r="J104">
        <v>1</v>
      </c>
      <c r="K104">
        <v>0</v>
      </c>
      <c r="L104">
        <v>3.04</v>
      </c>
      <c r="M104">
        <v>28232</v>
      </c>
      <c r="N104">
        <v>12</v>
      </c>
      <c r="O104">
        <v>1</v>
      </c>
      <c r="P104">
        <v>1</v>
      </c>
      <c r="Q104">
        <v>1</v>
      </c>
      <c r="R104">
        <v>1</v>
      </c>
      <c r="S104">
        <v>11</v>
      </c>
      <c r="T104">
        <v>11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2</v>
      </c>
      <c r="AE104">
        <v>3</v>
      </c>
      <c r="AF104">
        <v>3</v>
      </c>
      <c r="AG104">
        <v>2</v>
      </c>
      <c r="AH104">
        <v>0</v>
      </c>
      <c r="AI104">
        <v>0</v>
      </c>
      <c r="AJ104">
        <v>0</v>
      </c>
      <c r="AK104">
        <v>1</v>
      </c>
      <c r="AL104">
        <v>41383400</v>
      </c>
      <c r="AM104">
        <v>85148736</v>
      </c>
      <c r="AN104">
        <v>65669820</v>
      </c>
      <c r="AO104">
        <v>40990628</v>
      </c>
      <c r="AP104">
        <v>162675744</v>
      </c>
      <c r="AQ104">
        <v>147333120</v>
      </c>
      <c r="AR104">
        <v>72086256</v>
      </c>
      <c r="AS104">
        <v>58260056</v>
      </c>
      <c r="AT104" s="23" t="s">
        <v>1102</v>
      </c>
      <c r="AU104" s="18">
        <v>41383400</v>
      </c>
      <c r="AV104" s="18">
        <v>65711172</v>
      </c>
      <c r="AW104" s="19">
        <v>50703704</v>
      </c>
      <c r="AX104" s="19">
        <v>36452084</v>
      </c>
      <c r="AY104" s="20">
        <v>65505576</v>
      </c>
      <c r="AZ104" s="20">
        <v>63335868</v>
      </c>
      <c r="BA104" s="21">
        <v>38598916</v>
      </c>
      <c r="BB104" s="21">
        <v>45726920</v>
      </c>
    </row>
    <row r="105" spans="1:54" hidden="1">
      <c r="A105">
        <v>20148</v>
      </c>
      <c r="B105" t="s">
        <v>716</v>
      </c>
      <c r="C105" t="s">
        <v>717</v>
      </c>
      <c r="D105" t="s">
        <v>718</v>
      </c>
      <c r="F105" t="s">
        <v>719</v>
      </c>
      <c r="G105">
        <v>118.8</v>
      </c>
      <c r="H105" t="s">
        <v>57</v>
      </c>
      <c r="I105">
        <v>2</v>
      </c>
      <c r="J105">
        <v>11</v>
      </c>
      <c r="K105">
        <v>0</v>
      </c>
      <c r="L105">
        <v>9.7799999999999994</v>
      </c>
      <c r="M105">
        <v>80038</v>
      </c>
      <c r="N105">
        <v>43</v>
      </c>
      <c r="O105">
        <v>7</v>
      </c>
      <c r="P105">
        <v>7</v>
      </c>
      <c r="Q105">
        <v>7</v>
      </c>
      <c r="R105">
        <v>7</v>
      </c>
      <c r="S105">
        <v>13</v>
      </c>
      <c r="T105">
        <v>13</v>
      </c>
      <c r="U105">
        <v>7</v>
      </c>
      <c r="V105">
        <v>5</v>
      </c>
      <c r="W105">
        <v>4</v>
      </c>
      <c r="X105">
        <v>5</v>
      </c>
      <c r="Y105">
        <v>7</v>
      </c>
      <c r="Z105">
        <v>7</v>
      </c>
      <c r="AA105">
        <v>7</v>
      </c>
      <c r="AB105">
        <v>6</v>
      </c>
      <c r="AC105">
        <v>7</v>
      </c>
      <c r="AD105">
        <v>3</v>
      </c>
      <c r="AE105">
        <v>1</v>
      </c>
      <c r="AF105">
        <v>3</v>
      </c>
      <c r="AG105">
        <v>2</v>
      </c>
      <c r="AH105">
        <v>0</v>
      </c>
      <c r="AI105">
        <v>3</v>
      </c>
      <c r="AJ105">
        <v>2</v>
      </c>
      <c r="AK105">
        <v>0</v>
      </c>
      <c r="AL105">
        <v>4003271</v>
      </c>
      <c r="AM105">
        <v>3418042</v>
      </c>
      <c r="AN105">
        <v>5070523</v>
      </c>
      <c r="AO105">
        <v>7159906.5</v>
      </c>
      <c r="AP105">
        <v>8078921</v>
      </c>
      <c r="AQ105">
        <v>8402086</v>
      </c>
      <c r="AR105">
        <v>5826475.5</v>
      </c>
      <c r="AS105">
        <v>5769232</v>
      </c>
      <c r="AT105" s="23" t="s">
        <v>717</v>
      </c>
      <c r="AU105" s="18">
        <v>3847446.75</v>
      </c>
      <c r="AV105" s="18">
        <v>2342418.25</v>
      </c>
      <c r="AW105" s="19">
        <v>4749314</v>
      </c>
      <c r="AX105" s="19">
        <v>5876686</v>
      </c>
      <c r="AY105" s="20">
        <v>3292394.25</v>
      </c>
      <c r="AZ105" s="20">
        <v>3476496.75</v>
      </c>
      <c r="BA105" s="21">
        <v>3771778.25</v>
      </c>
      <c r="BB105" s="21">
        <v>3981311.5</v>
      </c>
    </row>
    <row r="106" spans="1:54" hidden="1">
      <c r="A106">
        <v>20119</v>
      </c>
      <c r="B106" t="s">
        <v>416</v>
      </c>
      <c r="C106" t="s">
        <v>417</v>
      </c>
      <c r="D106" t="s">
        <v>416</v>
      </c>
      <c r="E106" t="s">
        <v>418</v>
      </c>
      <c r="F106" t="s">
        <v>419</v>
      </c>
      <c r="G106">
        <v>428.27600000000001</v>
      </c>
      <c r="H106" t="s">
        <v>57</v>
      </c>
      <c r="I106">
        <v>2</v>
      </c>
      <c r="J106">
        <v>1</v>
      </c>
      <c r="K106">
        <v>7</v>
      </c>
      <c r="L106">
        <v>24.53</v>
      </c>
      <c r="M106">
        <v>66037</v>
      </c>
      <c r="N106">
        <v>35</v>
      </c>
      <c r="O106">
        <v>16</v>
      </c>
      <c r="P106">
        <v>14</v>
      </c>
      <c r="Q106">
        <v>16</v>
      </c>
      <c r="R106">
        <v>14</v>
      </c>
      <c r="S106">
        <v>36</v>
      </c>
      <c r="T106">
        <v>30</v>
      </c>
      <c r="U106">
        <v>13</v>
      </c>
      <c r="V106">
        <v>9</v>
      </c>
      <c r="W106">
        <v>4</v>
      </c>
      <c r="X106">
        <v>13</v>
      </c>
      <c r="Y106">
        <v>4</v>
      </c>
      <c r="Z106">
        <v>1</v>
      </c>
      <c r="AA106">
        <v>5</v>
      </c>
      <c r="AB106">
        <v>7</v>
      </c>
      <c r="AC106">
        <v>10</v>
      </c>
      <c r="AD106">
        <v>4</v>
      </c>
      <c r="AE106">
        <v>0</v>
      </c>
      <c r="AF106">
        <v>24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23957706</v>
      </c>
      <c r="AM106">
        <v>1700010.12</v>
      </c>
      <c r="AN106">
        <v>126481272</v>
      </c>
      <c r="AO106">
        <v>1479149.75</v>
      </c>
      <c r="AP106">
        <v>1222742.6200000001</v>
      </c>
      <c r="AQ106">
        <v>3645866.25</v>
      </c>
      <c r="AR106">
        <v>18329054</v>
      </c>
      <c r="AS106">
        <v>10393239</v>
      </c>
      <c r="AT106" s="23" t="s">
        <v>417</v>
      </c>
      <c r="AU106" s="18">
        <v>13002566</v>
      </c>
      <c r="AV106" s="18">
        <v>94776.45</v>
      </c>
      <c r="AW106" s="19">
        <v>89376832</v>
      </c>
      <c r="AX106" s="19">
        <v>126241.93</v>
      </c>
      <c r="AY106" s="20">
        <v>9354.23</v>
      </c>
      <c r="AZ106" s="20">
        <v>190151.25</v>
      </c>
      <c r="BA106" s="21">
        <v>1490181.1200000001</v>
      </c>
      <c r="BB106" s="21">
        <v>7060920</v>
      </c>
    </row>
    <row r="107" spans="1:54" hidden="1">
      <c r="A107">
        <v>20127</v>
      </c>
      <c r="B107" t="s">
        <v>280</v>
      </c>
      <c r="C107" t="s">
        <v>281</v>
      </c>
      <c r="D107" t="s">
        <v>280</v>
      </c>
      <c r="E107" t="s">
        <v>282</v>
      </c>
      <c r="F107" t="s">
        <v>283</v>
      </c>
      <c r="G107">
        <v>733.48</v>
      </c>
      <c r="H107" t="s">
        <v>57</v>
      </c>
      <c r="I107">
        <v>2</v>
      </c>
      <c r="J107">
        <v>1</v>
      </c>
      <c r="K107">
        <v>33</v>
      </c>
      <c r="L107">
        <v>35.270000000000003</v>
      </c>
      <c r="M107">
        <v>58826</v>
      </c>
      <c r="N107">
        <v>28</v>
      </c>
      <c r="O107">
        <v>19</v>
      </c>
      <c r="P107">
        <v>17</v>
      </c>
      <c r="Q107">
        <v>19</v>
      </c>
      <c r="R107">
        <v>17</v>
      </c>
      <c r="S107">
        <v>44</v>
      </c>
      <c r="T107">
        <v>38</v>
      </c>
      <c r="U107">
        <v>17</v>
      </c>
      <c r="V107">
        <v>12</v>
      </c>
      <c r="W107">
        <v>3</v>
      </c>
      <c r="X107">
        <v>17</v>
      </c>
      <c r="Y107">
        <v>3</v>
      </c>
      <c r="Z107">
        <v>4</v>
      </c>
      <c r="AA107">
        <v>3</v>
      </c>
      <c r="AB107">
        <v>9</v>
      </c>
      <c r="AC107">
        <v>4</v>
      </c>
      <c r="AD107">
        <v>2</v>
      </c>
      <c r="AE107">
        <v>0</v>
      </c>
      <c r="AF107">
        <v>32</v>
      </c>
      <c r="AG107">
        <v>0</v>
      </c>
      <c r="AH107">
        <v>0</v>
      </c>
      <c r="AI107">
        <v>0</v>
      </c>
      <c r="AJ107">
        <v>4</v>
      </c>
      <c r="AK107">
        <v>0</v>
      </c>
      <c r="AL107">
        <v>14556163</v>
      </c>
      <c r="AM107">
        <v>2972041</v>
      </c>
      <c r="AN107">
        <v>180286160</v>
      </c>
      <c r="AO107">
        <v>1941227</v>
      </c>
      <c r="AP107">
        <v>5720681.5</v>
      </c>
      <c r="AQ107">
        <v>6900721</v>
      </c>
      <c r="AR107">
        <v>15088635</v>
      </c>
      <c r="AS107">
        <v>4909925.5</v>
      </c>
      <c r="AT107" s="23" t="s">
        <v>281</v>
      </c>
      <c r="AU107" s="18">
        <v>14436288</v>
      </c>
      <c r="AV107" s="18">
        <v>78364.070000000007</v>
      </c>
      <c r="AW107" s="19">
        <v>111434008</v>
      </c>
      <c r="AX107" s="19">
        <v>75129.48</v>
      </c>
      <c r="AY107" s="20">
        <v>66945.66</v>
      </c>
      <c r="AZ107" s="20">
        <v>77594.759999999995</v>
      </c>
      <c r="BA107" s="21">
        <v>7391512.5</v>
      </c>
      <c r="BB107" s="21">
        <v>105139.74</v>
      </c>
    </row>
    <row r="108" spans="1:54" hidden="1">
      <c r="A108">
        <v>20128</v>
      </c>
      <c r="B108" t="s">
        <v>826</v>
      </c>
      <c r="C108" t="s">
        <v>827</v>
      </c>
      <c r="D108" t="s">
        <v>826</v>
      </c>
      <c r="E108" t="s">
        <v>828</v>
      </c>
      <c r="F108" t="s">
        <v>829</v>
      </c>
      <c r="G108">
        <v>82.918999999999997</v>
      </c>
      <c r="H108" t="s">
        <v>57</v>
      </c>
      <c r="I108">
        <v>2</v>
      </c>
      <c r="J108">
        <v>1</v>
      </c>
      <c r="K108">
        <v>23</v>
      </c>
      <c r="L108">
        <v>6.14</v>
      </c>
      <c r="M108">
        <v>51560</v>
      </c>
      <c r="N108">
        <v>34</v>
      </c>
      <c r="O108">
        <v>3</v>
      </c>
      <c r="P108">
        <v>1</v>
      </c>
      <c r="Q108">
        <v>3</v>
      </c>
      <c r="R108">
        <v>1</v>
      </c>
      <c r="S108">
        <v>7</v>
      </c>
      <c r="T108">
        <v>1</v>
      </c>
      <c r="U108">
        <v>1</v>
      </c>
      <c r="X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2635892.25</v>
      </c>
      <c r="AM108">
        <v>412781.88</v>
      </c>
      <c r="AN108">
        <v>50835220</v>
      </c>
      <c r="AO108">
        <v>337370.91</v>
      </c>
      <c r="AQ108">
        <v>1434611.25</v>
      </c>
      <c r="AR108">
        <v>1712171.25</v>
      </c>
      <c r="AS108">
        <v>506897.62</v>
      </c>
      <c r="AT108" s="23" t="s">
        <v>827</v>
      </c>
      <c r="AU108" s="18">
        <v>49505.43</v>
      </c>
      <c r="AV108" s="18">
        <v>111774.65</v>
      </c>
      <c r="AW108" s="19">
        <v>385560.56</v>
      </c>
      <c r="AX108" s="19">
        <v>170153.38</v>
      </c>
      <c r="AY108" s="20">
        <v>350962.88</v>
      </c>
      <c r="AZ108" s="20">
        <v>247733</v>
      </c>
      <c r="BA108" s="21">
        <v>199295.7</v>
      </c>
      <c r="BB108" s="21">
        <v>212391.23</v>
      </c>
    </row>
    <row r="109" spans="1:54" hidden="1">
      <c r="A109">
        <v>20117</v>
      </c>
      <c r="B109" t="s">
        <v>332</v>
      </c>
      <c r="C109" t="s">
        <v>333</v>
      </c>
      <c r="D109" t="s">
        <v>332</v>
      </c>
      <c r="E109" t="s">
        <v>334</v>
      </c>
      <c r="F109" t="s">
        <v>335</v>
      </c>
      <c r="G109">
        <v>642.298</v>
      </c>
      <c r="H109" t="s">
        <v>57</v>
      </c>
      <c r="I109">
        <v>2</v>
      </c>
      <c r="J109">
        <v>1</v>
      </c>
      <c r="K109">
        <v>11</v>
      </c>
      <c r="L109">
        <v>47.26</v>
      </c>
      <c r="M109">
        <v>65432</v>
      </c>
      <c r="N109">
        <v>43</v>
      </c>
      <c r="O109">
        <v>20</v>
      </c>
      <c r="P109">
        <v>17</v>
      </c>
      <c r="Q109">
        <v>20</v>
      </c>
      <c r="R109">
        <v>17</v>
      </c>
      <c r="S109">
        <v>39</v>
      </c>
      <c r="T109">
        <v>32</v>
      </c>
      <c r="U109">
        <v>17</v>
      </c>
      <c r="V109">
        <v>4</v>
      </c>
      <c r="W109">
        <v>2</v>
      </c>
      <c r="X109">
        <v>17</v>
      </c>
      <c r="Y109">
        <v>4</v>
      </c>
      <c r="Z109">
        <v>3</v>
      </c>
      <c r="AA109">
        <v>2</v>
      </c>
      <c r="AB109">
        <v>6</v>
      </c>
      <c r="AC109">
        <v>2</v>
      </c>
      <c r="AD109">
        <v>0</v>
      </c>
      <c r="AE109">
        <v>0</v>
      </c>
      <c r="AF109">
        <v>31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31978148</v>
      </c>
      <c r="AM109">
        <v>21697730</v>
      </c>
      <c r="AN109">
        <v>173138224</v>
      </c>
      <c r="AO109">
        <v>23136626</v>
      </c>
      <c r="AP109">
        <v>32318144</v>
      </c>
      <c r="AQ109">
        <v>26823436</v>
      </c>
      <c r="AR109">
        <v>42188328</v>
      </c>
      <c r="AS109">
        <v>11725799</v>
      </c>
      <c r="AT109" s="23" t="s">
        <v>333</v>
      </c>
      <c r="AU109" s="18">
        <v>804703.5</v>
      </c>
      <c r="AV109" s="18">
        <v>106992.79</v>
      </c>
      <c r="AW109" s="19">
        <v>200088752</v>
      </c>
      <c r="AX109" s="19">
        <v>648312.56000000006</v>
      </c>
      <c r="AY109" s="20">
        <v>218868.17</v>
      </c>
      <c r="AZ109" s="20">
        <v>102203.63</v>
      </c>
      <c r="BA109" s="21">
        <v>4677342</v>
      </c>
      <c r="BB109" s="21">
        <v>144189.69</v>
      </c>
    </row>
    <row r="110" spans="1:54" hidden="1">
      <c r="A110">
        <v>20118</v>
      </c>
      <c r="B110" t="s">
        <v>959</v>
      </c>
      <c r="C110" t="s">
        <v>960</v>
      </c>
      <c r="D110" t="s">
        <v>959</v>
      </c>
      <c r="E110" t="s">
        <v>961</v>
      </c>
      <c r="F110" t="s">
        <v>962</v>
      </c>
      <c r="G110">
        <v>40.112000000000002</v>
      </c>
      <c r="H110" t="s">
        <v>57</v>
      </c>
      <c r="I110">
        <v>2</v>
      </c>
      <c r="J110">
        <v>1</v>
      </c>
      <c r="K110">
        <v>5</v>
      </c>
      <c r="L110">
        <v>3.73</v>
      </c>
      <c r="M110">
        <v>62377</v>
      </c>
      <c r="N110">
        <v>35</v>
      </c>
      <c r="O110">
        <v>2</v>
      </c>
      <c r="P110">
        <v>1</v>
      </c>
      <c r="Q110">
        <v>2</v>
      </c>
      <c r="R110">
        <v>1</v>
      </c>
      <c r="S110">
        <v>2</v>
      </c>
      <c r="T110">
        <v>1</v>
      </c>
      <c r="U110">
        <v>1</v>
      </c>
      <c r="X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1412729.75</v>
      </c>
      <c r="AM110">
        <v>983944.56</v>
      </c>
      <c r="AN110">
        <v>18362140</v>
      </c>
      <c r="AO110">
        <v>301820.90999999997</v>
      </c>
      <c r="AR110">
        <v>2300199.5</v>
      </c>
      <c r="AS110">
        <v>401426.22</v>
      </c>
      <c r="AT110" s="23" t="s">
        <v>960</v>
      </c>
      <c r="AU110" s="18">
        <v>49505.43</v>
      </c>
      <c r="AV110" s="18">
        <v>111774.65</v>
      </c>
      <c r="AW110" s="19">
        <v>1115486.3799999999</v>
      </c>
      <c r="AX110" s="19">
        <v>170153.38</v>
      </c>
      <c r="AY110" s="20">
        <v>350962.88</v>
      </c>
      <c r="AZ110" s="20">
        <v>247733</v>
      </c>
      <c r="BA110" s="21">
        <v>199295.7</v>
      </c>
      <c r="BB110" s="21">
        <v>212391.23</v>
      </c>
    </row>
    <row r="111" spans="1:54" hidden="1">
      <c r="A111">
        <v>20265</v>
      </c>
      <c r="B111" t="s">
        <v>749</v>
      </c>
      <c r="C111" t="s">
        <v>750</v>
      </c>
      <c r="D111" t="s">
        <v>749</v>
      </c>
      <c r="F111" t="s">
        <v>751</v>
      </c>
      <c r="G111">
        <v>113.669</v>
      </c>
      <c r="H111" t="s">
        <v>57</v>
      </c>
      <c r="I111">
        <v>2</v>
      </c>
      <c r="J111">
        <v>1</v>
      </c>
      <c r="K111">
        <v>0</v>
      </c>
      <c r="L111">
        <v>13.64</v>
      </c>
      <c r="M111">
        <v>62063</v>
      </c>
      <c r="N111">
        <v>30</v>
      </c>
      <c r="O111">
        <v>6</v>
      </c>
      <c r="P111">
        <v>6</v>
      </c>
      <c r="Q111">
        <v>6</v>
      </c>
      <c r="R111">
        <v>6</v>
      </c>
      <c r="S111">
        <v>10</v>
      </c>
      <c r="T111">
        <v>10</v>
      </c>
      <c r="U111">
        <v>6</v>
      </c>
      <c r="V111">
        <v>6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2</v>
      </c>
      <c r="AC111">
        <v>4</v>
      </c>
      <c r="AD111">
        <v>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3</v>
      </c>
      <c r="AL111">
        <v>6022416</v>
      </c>
      <c r="AM111">
        <v>1091991.3799999999</v>
      </c>
      <c r="AN111">
        <v>1479983.38</v>
      </c>
      <c r="AO111">
        <v>1975806.88</v>
      </c>
      <c r="AP111">
        <v>2127726</v>
      </c>
      <c r="AQ111">
        <v>1518867.25</v>
      </c>
      <c r="AR111">
        <v>2130377.75</v>
      </c>
      <c r="AS111">
        <v>3242086.75</v>
      </c>
      <c r="AT111" s="23" t="s">
        <v>750</v>
      </c>
      <c r="AU111" s="18">
        <v>9595610</v>
      </c>
      <c r="AV111" s="18">
        <v>21070.799999999999</v>
      </c>
      <c r="AW111" s="19">
        <v>28048.75</v>
      </c>
      <c r="AX111" s="19">
        <v>36384.660000000003</v>
      </c>
      <c r="AY111" s="20">
        <v>15450.76</v>
      </c>
      <c r="AZ111" s="20">
        <v>13385.27</v>
      </c>
      <c r="BA111" s="21">
        <v>528437</v>
      </c>
      <c r="BB111" s="21">
        <v>5501435</v>
      </c>
    </row>
    <row r="112" spans="1:54" hidden="1">
      <c r="A112">
        <v>20191</v>
      </c>
      <c r="B112" t="s">
        <v>849</v>
      </c>
      <c r="C112" t="s">
        <v>850</v>
      </c>
      <c r="D112" t="s">
        <v>849</v>
      </c>
      <c r="F112" t="s">
        <v>851</v>
      </c>
      <c r="G112">
        <v>71.927999999999997</v>
      </c>
      <c r="H112" t="s">
        <v>57</v>
      </c>
      <c r="I112">
        <v>2</v>
      </c>
      <c r="J112">
        <v>1</v>
      </c>
      <c r="K112">
        <v>0</v>
      </c>
      <c r="L112">
        <v>13.6</v>
      </c>
      <c r="M112">
        <v>25258</v>
      </c>
      <c r="N112">
        <v>14</v>
      </c>
      <c r="O112">
        <v>3</v>
      </c>
      <c r="P112">
        <v>3</v>
      </c>
      <c r="Q112">
        <v>3</v>
      </c>
      <c r="R112">
        <v>3</v>
      </c>
      <c r="S112">
        <v>10</v>
      </c>
      <c r="T112">
        <v>10</v>
      </c>
      <c r="U112">
        <v>3</v>
      </c>
      <c r="V112">
        <v>2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2</v>
      </c>
      <c r="AJ112">
        <v>2</v>
      </c>
      <c r="AK112">
        <v>2</v>
      </c>
      <c r="AL112">
        <v>2609841.75</v>
      </c>
      <c r="AM112">
        <v>4835965.5</v>
      </c>
      <c r="AN112">
        <v>7741695</v>
      </c>
      <c r="AO112">
        <v>8074751.5</v>
      </c>
      <c r="AP112">
        <v>7479277.5</v>
      </c>
      <c r="AQ112">
        <v>8799556</v>
      </c>
      <c r="AR112">
        <v>10108220</v>
      </c>
      <c r="AS112">
        <v>6093611.5</v>
      </c>
      <c r="AT112" s="23" t="s">
        <v>850</v>
      </c>
      <c r="AU112" s="18">
        <v>4164676.75</v>
      </c>
      <c r="AV112" s="18">
        <v>3582848.25</v>
      </c>
      <c r="AW112" s="19">
        <v>6461746.5</v>
      </c>
      <c r="AX112" s="19">
        <v>7309731</v>
      </c>
      <c r="AY112" s="20">
        <v>2628428.25</v>
      </c>
      <c r="AZ112" s="20">
        <v>3531177.5</v>
      </c>
      <c r="BA112" s="21">
        <v>4757582</v>
      </c>
      <c r="BB112" s="21">
        <v>4317102.5</v>
      </c>
    </row>
    <row r="113" spans="1:62" hidden="1">
      <c r="A113">
        <v>19979</v>
      </c>
      <c r="B113" t="s">
        <v>106</v>
      </c>
      <c r="C113" t="s">
        <v>107</v>
      </c>
      <c r="D113" t="s">
        <v>108</v>
      </c>
      <c r="E113" t="s">
        <v>109</v>
      </c>
      <c r="F113" t="s">
        <v>110</v>
      </c>
      <c r="G113">
        <v>1580.2760000000001</v>
      </c>
      <c r="H113" t="s">
        <v>57</v>
      </c>
      <c r="I113">
        <v>2</v>
      </c>
      <c r="J113">
        <v>2</v>
      </c>
      <c r="K113">
        <v>18</v>
      </c>
      <c r="L113">
        <v>56.05</v>
      </c>
      <c r="M113">
        <v>97232</v>
      </c>
      <c r="N113">
        <v>52</v>
      </c>
      <c r="O113">
        <v>41</v>
      </c>
      <c r="P113">
        <v>41</v>
      </c>
      <c r="Q113">
        <v>43</v>
      </c>
      <c r="R113">
        <v>43</v>
      </c>
      <c r="S113">
        <v>378</v>
      </c>
      <c r="T113">
        <v>378</v>
      </c>
      <c r="U113">
        <v>43</v>
      </c>
      <c r="V113">
        <v>41</v>
      </c>
      <c r="W113">
        <v>38</v>
      </c>
      <c r="X113">
        <v>36</v>
      </c>
      <c r="Y113">
        <v>37</v>
      </c>
      <c r="Z113">
        <v>38</v>
      </c>
      <c r="AA113">
        <v>37</v>
      </c>
      <c r="AB113">
        <v>39</v>
      </c>
      <c r="AC113">
        <v>41</v>
      </c>
      <c r="AD113">
        <v>58</v>
      </c>
      <c r="AE113">
        <v>53</v>
      </c>
      <c r="AF113">
        <v>54</v>
      </c>
      <c r="AG113">
        <v>58</v>
      </c>
      <c r="AH113">
        <v>25</v>
      </c>
      <c r="AI113">
        <v>34</v>
      </c>
      <c r="AJ113">
        <v>52</v>
      </c>
      <c r="AK113">
        <v>44</v>
      </c>
      <c r="AL113">
        <v>385828576</v>
      </c>
      <c r="AM113">
        <v>395787808</v>
      </c>
      <c r="AN113">
        <v>396333952</v>
      </c>
      <c r="AO113">
        <v>380150400</v>
      </c>
      <c r="AP113">
        <v>164242960</v>
      </c>
      <c r="AQ113">
        <v>190092656</v>
      </c>
      <c r="AR113">
        <v>383967296</v>
      </c>
      <c r="AS113">
        <v>279133024</v>
      </c>
      <c r="AT113" s="23" t="s">
        <v>107</v>
      </c>
      <c r="AU113" s="18">
        <v>414175488</v>
      </c>
      <c r="AV113" s="18">
        <v>328556768</v>
      </c>
      <c r="AW113" s="19">
        <v>321516576</v>
      </c>
      <c r="AX113" s="19">
        <v>347052864</v>
      </c>
      <c r="AY113" s="20">
        <v>76933040</v>
      </c>
      <c r="AZ113" s="20">
        <v>88130344</v>
      </c>
      <c r="BA113" s="21">
        <v>219809776</v>
      </c>
      <c r="BB113" s="21">
        <v>231998656</v>
      </c>
    </row>
    <row r="114" spans="1:62" hidden="1">
      <c r="A114">
        <v>20124</v>
      </c>
      <c r="B114" t="s">
        <v>611</v>
      </c>
      <c r="C114" t="s">
        <v>612</v>
      </c>
      <c r="D114" t="s">
        <v>613</v>
      </c>
      <c r="F114" t="s">
        <v>614</v>
      </c>
      <c r="G114">
        <v>210.661</v>
      </c>
      <c r="H114" t="s">
        <v>57</v>
      </c>
      <c r="I114">
        <v>2</v>
      </c>
      <c r="J114">
        <v>3</v>
      </c>
      <c r="K114">
        <v>0</v>
      </c>
      <c r="L114">
        <v>48.72</v>
      </c>
      <c r="M114">
        <v>8323</v>
      </c>
      <c r="N114">
        <v>5</v>
      </c>
      <c r="O114">
        <v>3</v>
      </c>
      <c r="P114">
        <v>3</v>
      </c>
      <c r="Q114">
        <v>4</v>
      </c>
      <c r="R114">
        <v>4</v>
      </c>
      <c r="S114">
        <v>77</v>
      </c>
      <c r="T114">
        <v>77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13</v>
      </c>
      <c r="AE114">
        <v>10</v>
      </c>
      <c r="AF114">
        <v>10</v>
      </c>
      <c r="AG114">
        <v>9</v>
      </c>
      <c r="AH114">
        <v>10</v>
      </c>
      <c r="AI114">
        <v>10</v>
      </c>
      <c r="AJ114">
        <v>8</v>
      </c>
      <c r="AK114">
        <v>7</v>
      </c>
      <c r="AL114">
        <v>211883440</v>
      </c>
      <c r="AM114">
        <v>228776384</v>
      </c>
      <c r="AN114">
        <v>139223824</v>
      </c>
      <c r="AO114">
        <v>122138160</v>
      </c>
      <c r="AP114">
        <v>184638288</v>
      </c>
      <c r="AQ114">
        <v>177872592</v>
      </c>
      <c r="AR114">
        <v>140736048</v>
      </c>
      <c r="AS114">
        <v>115130288</v>
      </c>
      <c r="AT114" s="23" t="s">
        <v>612</v>
      </c>
      <c r="AU114" s="18">
        <v>256560464</v>
      </c>
      <c r="AV114" s="18">
        <v>190567696</v>
      </c>
      <c r="AW114" s="19">
        <v>114866584</v>
      </c>
      <c r="AX114" s="19">
        <v>111012968</v>
      </c>
      <c r="AY114" s="20">
        <v>84601224</v>
      </c>
      <c r="AZ114" s="20">
        <v>88396704</v>
      </c>
      <c r="BA114" s="21">
        <v>80481952</v>
      </c>
      <c r="BB114" s="21">
        <v>88650600</v>
      </c>
    </row>
    <row r="115" spans="1:62" hidden="1">
      <c r="A115">
        <v>19994</v>
      </c>
      <c r="B115" t="s">
        <v>1177</v>
      </c>
      <c r="C115" t="s">
        <v>1178</v>
      </c>
      <c r="D115" t="s">
        <v>1179</v>
      </c>
      <c r="F115" t="s">
        <v>1180</v>
      </c>
      <c r="G115">
        <v>10.991</v>
      </c>
      <c r="H115" t="s">
        <v>57</v>
      </c>
      <c r="I115">
        <v>2</v>
      </c>
      <c r="J115">
        <v>18</v>
      </c>
      <c r="K115">
        <v>0</v>
      </c>
      <c r="L115">
        <v>6.43</v>
      </c>
      <c r="M115">
        <v>19415</v>
      </c>
      <c r="N115">
        <v>12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M115">
        <v>1042084.25</v>
      </c>
      <c r="AN115">
        <v>1205483.75</v>
      </c>
      <c r="AO115">
        <v>1019821.44</v>
      </c>
      <c r="AP115">
        <v>995719.56</v>
      </c>
      <c r="AQ115">
        <v>2111542.25</v>
      </c>
      <c r="AR115">
        <v>1544358.88</v>
      </c>
      <c r="AS115">
        <v>645247.5</v>
      </c>
      <c r="AT115" s="23" t="s">
        <v>1178</v>
      </c>
      <c r="AU115" s="18">
        <v>49505.43</v>
      </c>
      <c r="AV115" s="18">
        <v>804199.62</v>
      </c>
      <c r="AW115" s="19">
        <v>930754.69</v>
      </c>
      <c r="AX115" s="19">
        <v>906905.25</v>
      </c>
      <c r="AY115" s="20">
        <v>400952.12</v>
      </c>
      <c r="AZ115" s="20">
        <v>907714.12</v>
      </c>
      <c r="BA115" s="21">
        <v>826933.94</v>
      </c>
      <c r="BB115" s="21">
        <v>506439.28</v>
      </c>
    </row>
    <row r="116" spans="1:62" hidden="1">
      <c r="A116">
        <v>20189</v>
      </c>
      <c r="B116" t="s">
        <v>897</v>
      </c>
      <c r="C116" t="s">
        <v>898</v>
      </c>
      <c r="D116" t="s">
        <v>899</v>
      </c>
      <c r="F116" t="s">
        <v>900</v>
      </c>
      <c r="G116">
        <v>52.329000000000001</v>
      </c>
      <c r="H116" t="s">
        <v>57</v>
      </c>
      <c r="I116">
        <v>2</v>
      </c>
      <c r="J116">
        <v>2</v>
      </c>
      <c r="K116">
        <v>0</v>
      </c>
      <c r="L116">
        <v>6.43</v>
      </c>
      <c r="M116">
        <v>46176</v>
      </c>
      <c r="N116">
        <v>21</v>
      </c>
      <c r="O116">
        <v>1</v>
      </c>
      <c r="P116">
        <v>1</v>
      </c>
      <c r="Q116">
        <v>1</v>
      </c>
      <c r="R116">
        <v>1</v>
      </c>
      <c r="S116">
        <v>3</v>
      </c>
      <c r="T116">
        <v>3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836485.44</v>
      </c>
      <c r="AM116">
        <v>1111882.1200000001</v>
      </c>
      <c r="AN116">
        <v>692766.88</v>
      </c>
      <c r="AO116">
        <v>1782611.5</v>
      </c>
      <c r="AP116">
        <v>1638596.75</v>
      </c>
      <c r="AQ116">
        <v>1363496.62</v>
      </c>
      <c r="AR116">
        <v>2038504.62</v>
      </c>
      <c r="AS116">
        <v>1346424.38</v>
      </c>
      <c r="AT116" s="23" t="s">
        <v>898</v>
      </c>
      <c r="AU116" s="18">
        <v>836485.44</v>
      </c>
      <c r="AV116" s="18">
        <v>858064.19</v>
      </c>
      <c r="AW116" s="19">
        <v>534885.68999999994</v>
      </c>
      <c r="AX116" s="19">
        <v>1585238.12</v>
      </c>
      <c r="AY116" s="20">
        <v>659823.18999999994</v>
      </c>
      <c r="AZ116" s="20">
        <v>586142.75</v>
      </c>
      <c r="BA116" s="21">
        <v>1091526.5</v>
      </c>
      <c r="BB116" s="21">
        <v>1056776.25</v>
      </c>
    </row>
    <row r="117" spans="1:62" hidden="1">
      <c r="A117">
        <v>20062</v>
      </c>
      <c r="B117" t="s">
        <v>201</v>
      </c>
      <c r="C117" t="s">
        <v>202</v>
      </c>
      <c r="D117" t="s">
        <v>203</v>
      </c>
      <c r="E117" t="s">
        <v>204</v>
      </c>
      <c r="F117" t="s">
        <v>205</v>
      </c>
      <c r="G117">
        <v>995.75599999999997</v>
      </c>
      <c r="H117" t="s">
        <v>57</v>
      </c>
      <c r="I117">
        <v>2</v>
      </c>
      <c r="J117">
        <v>2</v>
      </c>
      <c r="K117">
        <v>1</v>
      </c>
      <c r="L117">
        <v>75.64</v>
      </c>
      <c r="M117">
        <v>57602</v>
      </c>
      <c r="N117">
        <v>32</v>
      </c>
      <c r="O117">
        <v>36</v>
      </c>
      <c r="P117">
        <v>25</v>
      </c>
      <c r="Q117">
        <v>36</v>
      </c>
      <c r="R117">
        <v>25</v>
      </c>
      <c r="S117">
        <v>368</v>
      </c>
      <c r="T117">
        <v>294</v>
      </c>
      <c r="U117">
        <v>25</v>
      </c>
      <c r="V117">
        <v>21</v>
      </c>
      <c r="W117">
        <v>22</v>
      </c>
      <c r="X117">
        <v>22</v>
      </c>
      <c r="Y117">
        <v>22</v>
      </c>
      <c r="Z117">
        <v>21</v>
      </c>
      <c r="AA117">
        <v>22</v>
      </c>
      <c r="AB117">
        <v>23</v>
      </c>
      <c r="AC117">
        <v>24</v>
      </c>
      <c r="AD117">
        <v>53</v>
      </c>
      <c r="AE117">
        <v>45</v>
      </c>
      <c r="AF117">
        <v>43</v>
      </c>
      <c r="AG117">
        <v>46</v>
      </c>
      <c r="AH117">
        <v>18</v>
      </c>
      <c r="AI117">
        <v>20</v>
      </c>
      <c r="AJ117">
        <v>39</v>
      </c>
      <c r="AK117">
        <v>30</v>
      </c>
      <c r="AL117">
        <v>410326336</v>
      </c>
      <c r="AM117">
        <v>511614528</v>
      </c>
      <c r="AN117">
        <v>480549472</v>
      </c>
      <c r="AO117">
        <v>449039968</v>
      </c>
      <c r="AP117">
        <v>220541856</v>
      </c>
      <c r="AQ117">
        <v>238118560</v>
      </c>
      <c r="AR117">
        <v>466254112</v>
      </c>
      <c r="AS117">
        <v>309535328</v>
      </c>
      <c r="AT117" s="23" t="s">
        <v>202</v>
      </c>
      <c r="AU117" s="18">
        <v>299589760</v>
      </c>
      <c r="AV117" s="18">
        <v>266378224</v>
      </c>
      <c r="AW117" s="19">
        <v>266835488</v>
      </c>
      <c r="AX117" s="19">
        <v>277921504</v>
      </c>
      <c r="AY117" s="20">
        <v>69720648</v>
      </c>
      <c r="AZ117" s="20">
        <v>80224344</v>
      </c>
      <c r="BA117" s="21">
        <v>192106384</v>
      </c>
      <c r="BB117" s="21">
        <v>218787040</v>
      </c>
    </row>
    <row r="118" spans="1:62" hidden="1">
      <c r="A118">
        <v>20063</v>
      </c>
      <c r="B118" t="s">
        <v>590</v>
      </c>
      <c r="C118" t="s">
        <v>591</v>
      </c>
      <c r="D118" t="s">
        <v>592</v>
      </c>
      <c r="F118" t="s">
        <v>593</v>
      </c>
      <c r="G118">
        <v>236.30199999999999</v>
      </c>
      <c r="H118" t="s">
        <v>57</v>
      </c>
      <c r="I118">
        <v>2</v>
      </c>
      <c r="J118">
        <v>3</v>
      </c>
      <c r="K118">
        <v>0</v>
      </c>
      <c r="L118">
        <v>20</v>
      </c>
      <c r="M118">
        <v>57825</v>
      </c>
      <c r="N118">
        <v>33</v>
      </c>
      <c r="O118">
        <v>12</v>
      </c>
      <c r="P118">
        <v>1</v>
      </c>
      <c r="Q118">
        <v>12</v>
      </c>
      <c r="R118">
        <v>1</v>
      </c>
      <c r="S118">
        <v>88</v>
      </c>
      <c r="T118">
        <v>14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2</v>
      </c>
      <c r="AE118">
        <v>2</v>
      </c>
      <c r="AF118">
        <v>2</v>
      </c>
      <c r="AG118">
        <v>2</v>
      </c>
      <c r="AH118">
        <v>1</v>
      </c>
      <c r="AI118">
        <v>1</v>
      </c>
      <c r="AJ118">
        <v>2</v>
      </c>
      <c r="AK118">
        <v>2</v>
      </c>
      <c r="AL118">
        <v>134068576</v>
      </c>
      <c r="AM118">
        <v>192561232</v>
      </c>
      <c r="AN118">
        <v>172087440</v>
      </c>
      <c r="AO118">
        <v>159198176</v>
      </c>
      <c r="AP118">
        <v>79763448</v>
      </c>
      <c r="AQ118">
        <v>86649312</v>
      </c>
      <c r="AR118">
        <v>158769152</v>
      </c>
      <c r="AS118">
        <v>106832256</v>
      </c>
      <c r="AT118" s="23" t="s">
        <v>591</v>
      </c>
      <c r="AU118" s="18">
        <v>5843394</v>
      </c>
      <c r="AV118" s="18">
        <v>3037934.25</v>
      </c>
      <c r="AW118" s="19">
        <v>3806617.75</v>
      </c>
      <c r="AX118" s="19">
        <v>3686639.25</v>
      </c>
      <c r="AY118" s="20">
        <v>799902.06</v>
      </c>
      <c r="AZ118" s="20">
        <v>870251.94</v>
      </c>
      <c r="BA118" s="21">
        <v>2013575</v>
      </c>
      <c r="BB118" s="21">
        <v>2505318</v>
      </c>
    </row>
    <row r="119" spans="1:62" hidden="1">
      <c r="A119">
        <v>20011</v>
      </c>
      <c r="B119" t="s">
        <v>1012</v>
      </c>
      <c r="C119" t="s">
        <v>1013</v>
      </c>
      <c r="D119" t="s">
        <v>1014</v>
      </c>
      <c r="F119" t="s">
        <v>1015</v>
      </c>
      <c r="G119">
        <v>28.765999999999998</v>
      </c>
      <c r="H119" t="s">
        <v>57</v>
      </c>
      <c r="I119">
        <v>2</v>
      </c>
      <c r="J119">
        <v>17</v>
      </c>
      <c r="K119">
        <v>0</v>
      </c>
      <c r="L119">
        <v>1.59</v>
      </c>
      <c r="M119">
        <v>84733</v>
      </c>
      <c r="N119">
        <v>42</v>
      </c>
      <c r="O119">
        <v>1</v>
      </c>
      <c r="P119">
        <v>1</v>
      </c>
      <c r="Q119">
        <v>1</v>
      </c>
      <c r="R119">
        <v>1</v>
      </c>
      <c r="S119">
        <v>4</v>
      </c>
      <c r="T119">
        <v>4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2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1992414.25</v>
      </c>
      <c r="AM119">
        <v>2095716.12</v>
      </c>
      <c r="AN119">
        <v>1621052.12</v>
      </c>
      <c r="AO119">
        <v>1742896.12</v>
      </c>
      <c r="AP119">
        <v>2848138.75</v>
      </c>
      <c r="AQ119">
        <v>1151350.6200000001</v>
      </c>
      <c r="AR119">
        <v>861125.5</v>
      </c>
      <c r="AS119">
        <v>565190.75</v>
      </c>
      <c r="AT119" s="23" t="s">
        <v>1013</v>
      </c>
      <c r="AU119" s="18">
        <v>1992414.25</v>
      </c>
      <c r="AV119" s="18">
        <v>1617310.75</v>
      </c>
      <c r="AW119" s="19">
        <v>1251615.25</v>
      </c>
      <c r="AX119" s="19">
        <v>1549920</v>
      </c>
      <c r="AY119" s="20">
        <v>1146876.5</v>
      </c>
      <c r="AZ119" s="20">
        <v>494945</v>
      </c>
      <c r="BA119" s="21">
        <v>461093.56</v>
      </c>
      <c r="BB119" s="21">
        <v>443604.66</v>
      </c>
    </row>
    <row r="120" spans="1:62" hidden="1">
      <c r="A120">
        <v>20057</v>
      </c>
      <c r="B120" t="s">
        <v>142</v>
      </c>
      <c r="C120" t="s">
        <v>143</v>
      </c>
      <c r="D120" t="s">
        <v>144</v>
      </c>
      <c r="E120" t="s">
        <v>145</v>
      </c>
      <c r="F120" t="s">
        <v>146</v>
      </c>
      <c r="G120">
        <v>1308.684</v>
      </c>
      <c r="H120" t="s">
        <v>57</v>
      </c>
      <c r="I120">
        <v>2</v>
      </c>
      <c r="J120">
        <v>10</v>
      </c>
      <c r="K120">
        <v>11</v>
      </c>
      <c r="L120">
        <v>57.16</v>
      </c>
      <c r="M120">
        <v>76239</v>
      </c>
      <c r="N120">
        <v>41</v>
      </c>
      <c r="O120">
        <v>31</v>
      </c>
      <c r="P120">
        <v>31</v>
      </c>
      <c r="Q120">
        <v>31</v>
      </c>
      <c r="R120">
        <v>31</v>
      </c>
      <c r="S120">
        <v>336</v>
      </c>
      <c r="T120">
        <v>336</v>
      </c>
      <c r="U120">
        <v>31</v>
      </c>
      <c r="V120">
        <v>25</v>
      </c>
      <c r="W120">
        <v>27</v>
      </c>
      <c r="X120">
        <v>27</v>
      </c>
      <c r="Y120">
        <v>28</v>
      </c>
      <c r="Z120">
        <v>30</v>
      </c>
      <c r="AA120">
        <v>29</v>
      </c>
      <c r="AB120">
        <v>29</v>
      </c>
      <c r="AC120">
        <v>31</v>
      </c>
      <c r="AD120">
        <v>48</v>
      </c>
      <c r="AE120">
        <v>51</v>
      </c>
      <c r="AF120">
        <v>52</v>
      </c>
      <c r="AG120">
        <v>49</v>
      </c>
      <c r="AH120">
        <v>23</v>
      </c>
      <c r="AI120">
        <v>28</v>
      </c>
      <c r="AJ120">
        <v>43</v>
      </c>
      <c r="AK120">
        <v>42</v>
      </c>
      <c r="AL120">
        <v>324568736</v>
      </c>
      <c r="AM120">
        <v>299328736</v>
      </c>
      <c r="AN120">
        <v>307498272</v>
      </c>
      <c r="AO120">
        <v>300342432</v>
      </c>
      <c r="AP120">
        <v>139346928</v>
      </c>
      <c r="AQ120">
        <v>154342992</v>
      </c>
      <c r="AR120">
        <v>317767360</v>
      </c>
      <c r="AS120">
        <v>233846848</v>
      </c>
      <c r="AT120" s="23" t="s">
        <v>143</v>
      </c>
      <c r="AU120" s="18">
        <v>349593952</v>
      </c>
      <c r="AV120" s="18">
        <v>283731904</v>
      </c>
      <c r="AW120" s="19">
        <v>286865120</v>
      </c>
      <c r="AX120" s="19">
        <v>301813920</v>
      </c>
      <c r="AY120" s="20">
        <v>69849888</v>
      </c>
      <c r="AZ120" s="20">
        <v>87661864</v>
      </c>
      <c r="BA120" s="21">
        <v>201648304</v>
      </c>
      <c r="BB120" s="21">
        <v>219159872</v>
      </c>
    </row>
    <row r="121" spans="1:62">
      <c r="A121">
        <v>19983</v>
      </c>
      <c r="B121" t="s">
        <v>147</v>
      </c>
      <c r="C121" t="s">
        <v>148</v>
      </c>
      <c r="D121" t="s">
        <v>149</v>
      </c>
      <c r="F121" t="s">
        <v>150</v>
      </c>
      <c r="G121">
        <v>1221.0840000000001</v>
      </c>
      <c r="H121" t="s">
        <v>57</v>
      </c>
      <c r="I121">
        <v>2</v>
      </c>
      <c r="J121">
        <v>3</v>
      </c>
      <c r="K121">
        <v>0</v>
      </c>
      <c r="L121">
        <v>67.41</v>
      </c>
      <c r="M121">
        <v>29613</v>
      </c>
      <c r="N121">
        <v>16</v>
      </c>
      <c r="O121">
        <v>26</v>
      </c>
      <c r="P121">
        <v>26</v>
      </c>
      <c r="Q121">
        <v>28</v>
      </c>
      <c r="R121">
        <v>28</v>
      </c>
      <c r="S121">
        <v>2934</v>
      </c>
      <c r="T121">
        <v>2934</v>
      </c>
      <c r="U121">
        <v>28</v>
      </c>
      <c r="V121">
        <v>23</v>
      </c>
      <c r="W121">
        <v>26</v>
      </c>
      <c r="X121">
        <v>27</v>
      </c>
      <c r="Y121">
        <v>27</v>
      </c>
      <c r="Z121">
        <v>28</v>
      </c>
      <c r="AA121">
        <v>27</v>
      </c>
      <c r="AB121">
        <v>28</v>
      </c>
      <c r="AC121">
        <v>28</v>
      </c>
      <c r="AD121">
        <v>274</v>
      </c>
      <c r="AE121">
        <v>334</v>
      </c>
      <c r="AF121">
        <v>405</v>
      </c>
      <c r="AG121">
        <v>335</v>
      </c>
      <c r="AH121">
        <v>281</v>
      </c>
      <c r="AI121">
        <v>328</v>
      </c>
      <c r="AJ121">
        <v>452</v>
      </c>
      <c r="AK121">
        <v>525</v>
      </c>
      <c r="AL121">
        <v>7965608960</v>
      </c>
      <c r="AM121">
        <v>8799005696</v>
      </c>
      <c r="AN121">
        <v>8940572672</v>
      </c>
      <c r="AO121">
        <v>7892573696</v>
      </c>
      <c r="AP121">
        <v>10751102976</v>
      </c>
      <c r="AQ121">
        <v>11348226048</v>
      </c>
      <c r="AR121">
        <v>14820665344</v>
      </c>
      <c r="AS121">
        <v>12295263232</v>
      </c>
      <c r="AT121" s="23" t="s">
        <v>148</v>
      </c>
      <c r="AU121" s="18">
        <v>6483794432</v>
      </c>
      <c r="AV121" s="18">
        <v>5833820672</v>
      </c>
      <c r="AW121" s="19">
        <v>5955674112</v>
      </c>
      <c r="AX121" s="19">
        <v>6893689856</v>
      </c>
      <c r="AY121" s="20">
        <v>4879346688</v>
      </c>
      <c r="AZ121" s="20">
        <v>5769380864</v>
      </c>
      <c r="BA121" s="21">
        <v>11455106048</v>
      </c>
      <c r="BB121" s="21">
        <v>13247745024</v>
      </c>
      <c r="BC121" s="23" t="s">
        <v>148</v>
      </c>
      <c r="BD121" s="24">
        <f t="shared" ref="BD121:BD122" si="6">AVERAGE(AU121:AV121)</f>
        <v>6158807552</v>
      </c>
      <c r="BE121" s="24">
        <f t="shared" ref="BE121:BE122" si="7">AVERAGE(AW121:AX121)</f>
        <v>6424681984</v>
      </c>
      <c r="BF121" s="24">
        <f t="shared" ref="BF121:BF122" si="8">AVERAGE(AY121:AZ121)</f>
        <v>5324363776</v>
      </c>
      <c r="BG121" s="24">
        <f t="shared" ref="BG121:BG122" si="9">AVERAGE(BA121:BB121)</f>
        <v>12351425536</v>
      </c>
      <c r="BH121" s="23" t="s">
        <v>148</v>
      </c>
      <c r="BI121" s="24">
        <f t="shared" ref="BI121:BI122" si="10">(BD121-BE121)/BE121</f>
        <v>-4.1383282886551041E-2</v>
      </c>
      <c r="BJ121" s="24">
        <f t="shared" ref="BJ121:BJ122" si="11">(BF121-BG121)/BG121</f>
        <v>-0.56892718492441385</v>
      </c>
    </row>
    <row r="122" spans="1:62">
      <c r="A122">
        <v>20010</v>
      </c>
      <c r="B122" t="s">
        <v>408</v>
      </c>
      <c r="C122" t="s">
        <v>409</v>
      </c>
      <c r="D122" t="s">
        <v>410</v>
      </c>
      <c r="F122" t="s">
        <v>411</v>
      </c>
      <c r="G122">
        <v>434.77499999999998</v>
      </c>
      <c r="H122" t="s">
        <v>57</v>
      </c>
      <c r="I122">
        <v>2</v>
      </c>
      <c r="J122">
        <v>21</v>
      </c>
      <c r="K122">
        <v>0</v>
      </c>
      <c r="L122">
        <v>76.14</v>
      </c>
      <c r="M122">
        <v>10234</v>
      </c>
      <c r="N122">
        <v>7</v>
      </c>
      <c r="O122">
        <v>7</v>
      </c>
      <c r="P122">
        <v>7</v>
      </c>
      <c r="Q122">
        <v>9</v>
      </c>
      <c r="R122">
        <v>9</v>
      </c>
      <c r="S122">
        <v>706</v>
      </c>
      <c r="T122">
        <v>706</v>
      </c>
      <c r="U122">
        <v>9</v>
      </c>
      <c r="V122">
        <v>9</v>
      </c>
      <c r="W122">
        <v>8</v>
      </c>
      <c r="X122">
        <v>9</v>
      </c>
      <c r="Y122">
        <v>9</v>
      </c>
      <c r="Z122">
        <v>9</v>
      </c>
      <c r="AA122">
        <v>9</v>
      </c>
      <c r="AB122">
        <v>9</v>
      </c>
      <c r="AC122">
        <v>9</v>
      </c>
      <c r="AD122">
        <v>105</v>
      </c>
      <c r="AE122">
        <v>89</v>
      </c>
      <c r="AF122">
        <v>82</v>
      </c>
      <c r="AG122">
        <v>58</v>
      </c>
      <c r="AH122">
        <v>108</v>
      </c>
      <c r="AI122">
        <v>99</v>
      </c>
      <c r="AJ122">
        <v>74</v>
      </c>
      <c r="AK122">
        <v>91</v>
      </c>
      <c r="AL122">
        <v>508145792</v>
      </c>
      <c r="AM122">
        <v>722618880</v>
      </c>
      <c r="AN122">
        <v>688815552</v>
      </c>
      <c r="AO122">
        <v>544619392</v>
      </c>
      <c r="AP122">
        <v>1328345856</v>
      </c>
      <c r="AQ122">
        <v>1169685376</v>
      </c>
      <c r="AR122">
        <v>1375498752</v>
      </c>
      <c r="AS122">
        <v>802876352</v>
      </c>
      <c r="AT122" s="23" t="s">
        <v>409</v>
      </c>
      <c r="AU122" s="18">
        <v>682695104</v>
      </c>
      <c r="AV122" s="18">
        <v>824711360</v>
      </c>
      <c r="AW122" s="19">
        <v>689388672</v>
      </c>
      <c r="AX122" s="19">
        <v>673372224</v>
      </c>
      <c r="AY122" s="20">
        <v>781237568</v>
      </c>
      <c r="AZ122" s="20">
        <v>787860352</v>
      </c>
      <c r="BA122" s="21">
        <v>985203776</v>
      </c>
      <c r="BB122" s="21">
        <v>873574784</v>
      </c>
      <c r="BC122" s="23" t="s">
        <v>409</v>
      </c>
      <c r="BD122" s="24">
        <f t="shared" si="6"/>
        <v>753703232</v>
      </c>
      <c r="BE122" s="24">
        <f t="shared" si="7"/>
        <v>681380448</v>
      </c>
      <c r="BF122" s="24">
        <f t="shared" si="8"/>
        <v>784548960</v>
      </c>
      <c r="BG122" s="24">
        <f t="shared" si="9"/>
        <v>929389280</v>
      </c>
      <c r="BH122" s="23" t="s">
        <v>409</v>
      </c>
      <c r="BI122" s="24">
        <f t="shared" si="10"/>
        <v>0.106141560434091</v>
      </c>
      <c r="BJ122" s="24">
        <f t="shared" si="11"/>
        <v>-0.15584462088910689</v>
      </c>
    </row>
    <row r="123" spans="1:62" hidden="1">
      <c r="A123">
        <v>20260</v>
      </c>
      <c r="B123" t="s">
        <v>666</v>
      </c>
      <c r="C123" t="s">
        <v>667</v>
      </c>
      <c r="D123" t="s">
        <v>666</v>
      </c>
      <c r="F123" t="s">
        <v>668</v>
      </c>
      <c r="G123">
        <v>152.01900000000001</v>
      </c>
      <c r="H123" t="s">
        <v>57</v>
      </c>
      <c r="I123">
        <v>2</v>
      </c>
      <c r="J123">
        <v>1</v>
      </c>
      <c r="K123">
        <v>0</v>
      </c>
      <c r="L123">
        <v>28.45</v>
      </c>
      <c r="M123">
        <v>49873</v>
      </c>
      <c r="N123">
        <v>22</v>
      </c>
      <c r="O123">
        <v>9</v>
      </c>
      <c r="P123">
        <v>9</v>
      </c>
      <c r="Q123">
        <v>9</v>
      </c>
      <c r="R123">
        <v>9</v>
      </c>
      <c r="S123">
        <v>38</v>
      </c>
      <c r="T123">
        <v>38</v>
      </c>
      <c r="U123">
        <v>9</v>
      </c>
      <c r="V123">
        <v>4</v>
      </c>
      <c r="W123">
        <v>6</v>
      </c>
      <c r="X123">
        <v>7</v>
      </c>
      <c r="Y123">
        <v>8</v>
      </c>
      <c r="Z123">
        <v>9</v>
      </c>
      <c r="AA123">
        <v>9</v>
      </c>
      <c r="AB123">
        <v>9</v>
      </c>
      <c r="AC123">
        <v>9</v>
      </c>
      <c r="AD123">
        <v>3</v>
      </c>
      <c r="AE123">
        <v>5</v>
      </c>
      <c r="AF123">
        <v>5</v>
      </c>
      <c r="AG123">
        <v>6</v>
      </c>
      <c r="AH123">
        <v>5</v>
      </c>
      <c r="AI123">
        <v>5</v>
      </c>
      <c r="AJ123">
        <v>6</v>
      </c>
      <c r="AK123">
        <v>3</v>
      </c>
      <c r="AL123">
        <v>19842204</v>
      </c>
      <c r="AM123">
        <v>27099220</v>
      </c>
      <c r="AN123">
        <v>18298908</v>
      </c>
      <c r="AO123">
        <v>17932638</v>
      </c>
      <c r="AP123">
        <v>31119836</v>
      </c>
      <c r="AQ123">
        <v>29893290</v>
      </c>
      <c r="AR123">
        <v>30762952</v>
      </c>
      <c r="AS123">
        <v>21462078</v>
      </c>
      <c r="AT123" s="23" t="s">
        <v>667</v>
      </c>
      <c r="AU123" s="18">
        <v>579079</v>
      </c>
      <c r="AV123" s="18">
        <v>10401533</v>
      </c>
      <c r="AW123" s="19">
        <v>15695305</v>
      </c>
      <c r="AX123" s="19">
        <v>21740678</v>
      </c>
      <c r="AY123" s="20">
        <v>13805927</v>
      </c>
      <c r="AZ123" s="20">
        <v>16293122</v>
      </c>
      <c r="BA123" s="21">
        <v>24373984</v>
      </c>
      <c r="BB123" s="21">
        <v>23922408</v>
      </c>
    </row>
    <row r="124" spans="1:62" hidden="1">
      <c r="A124">
        <v>19999</v>
      </c>
      <c r="B124" t="s">
        <v>991</v>
      </c>
      <c r="C124" t="s">
        <v>992</v>
      </c>
      <c r="D124" t="s">
        <v>991</v>
      </c>
      <c r="F124" t="s">
        <v>993</v>
      </c>
      <c r="G124">
        <v>32.756</v>
      </c>
      <c r="H124" t="s">
        <v>57</v>
      </c>
      <c r="I124">
        <v>2</v>
      </c>
      <c r="J124">
        <v>1</v>
      </c>
      <c r="K124">
        <v>0</v>
      </c>
      <c r="L124">
        <v>17.43</v>
      </c>
      <c r="M124">
        <v>33519</v>
      </c>
      <c r="N124">
        <v>22</v>
      </c>
      <c r="O124">
        <v>5</v>
      </c>
      <c r="P124">
        <v>5</v>
      </c>
      <c r="Q124">
        <v>5</v>
      </c>
      <c r="R124">
        <v>5</v>
      </c>
      <c r="S124">
        <v>10</v>
      </c>
      <c r="T124">
        <v>10</v>
      </c>
      <c r="U124">
        <v>5</v>
      </c>
      <c r="V124">
        <v>3</v>
      </c>
      <c r="W124">
        <v>2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4</v>
      </c>
      <c r="AD124">
        <v>0</v>
      </c>
      <c r="AE124">
        <v>0</v>
      </c>
      <c r="AF124">
        <v>0</v>
      </c>
      <c r="AG124">
        <v>2</v>
      </c>
      <c r="AH124">
        <v>3</v>
      </c>
      <c r="AI124">
        <v>3</v>
      </c>
      <c r="AJ124">
        <v>2</v>
      </c>
      <c r="AK124">
        <v>1</v>
      </c>
      <c r="AL124">
        <v>1838443.5</v>
      </c>
      <c r="AM124">
        <v>2210138</v>
      </c>
      <c r="AN124">
        <v>4305208.5</v>
      </c>
      <c r="AO124">
        <v>4014340.75</v>
      </c>
      <c r="AP124">
        <v>5916748.5</v>
      </c>
      <c r="AQ124">
        <v>5216630.5</v>
      </c>
      <c r="AR124">
        <v>4529489</v>
      </c>
      <c r="AS124">
        <v>2845614.75</v>
      </c>
      <c r="AT124" s="23" t="s">
        <v>992</v>
      </c>
      <c r="AU124" s="18">
        <v>1198386.5</v>
      </c>
      <c r="AV124" s="18">
        <v>85006.94</v>
      </c>
      <c r="AW124" s="19">
        <v>3675861.75</v>
      </c>
      <c r="AX124" s="19">
        <v>3897826.75</v>
      </c>
      <c r="AY124" s="20">
        <v>2698677.25</v>
      </c>
      <c r="AZ124" s="20">
        <v>2568095</v>
      </c>
      <c r="BA124" s="21">
        <v>2832813</v>
      </c>
      <c r="BB124" s="21">
        <v>2553464.75</v>
      </c>
    </row>
    <row r="125" spans="1:62" hidden="1">
      <c r="A125">
        <v>20141</v>
      </c>
      <c r="B125" t="s">
        <v>833</v>
      </c>
      <c r="C125" t="s">
        <v>834</v>
      </c>
      <c r="D125" t="s">
        <v>833</v>
      </c>
      <c r="F125" t="s">
        <v>835</v>
      </c>
      <c r="G125">
        <v>81.567999999999998</v>
      </c>
      <c r="H125" t="s">
        <v>57</v>
      </c>
      <c r="I125">
        <v>2</v>
      </c>
      <c r="J125">
        <v>1</v>
      </c>
      <c r="K125">
        <v>0</v>
      </c>
      <c r="L125">
        <v>26.61</v>
      </c>
      <c r="M125">
        <v>14259</v>
      </c>
      <c r="N125">
        <v>4</v>
      </c>
      <c r="O125">
        <v>2</v>
      </c>
      <c r="P125">
        <v>2</v>
      </c>
      <c r="Q125">
        <v>2</v>
      </c>
      <c r="R125">
        <v>2</v>
      </c>
      <c r="S125">
        <v>18</v>
      </c>
      <c r="T125">
        <v>18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4</v>
      </c>
      <c r="AE125">
        <v>3</v>
      </c>
      <c r="AF125">
        <v>2</v>
      </c>
      <c r="AG125">
        <v>0</v>
      </c>
      <c r="AH125">
        <v>3</v>
      </c>
      <c r="AI125">
        <v>2</v>
      </c>
      <c r="AJ125">
        <v>2</v>
      </c>
      <c r="AK125">
        <v>2</v>
      </c>
      <c r="AL125">
        <v>6992052</v>
      </c>
      <c r="AM125">
        <v>9410789</v>
      </c>
      <c r="AN125">
        <v>3980060.75</v>
      </c>
      <c r="AO125">
        <v>3665153.5</v>
      </c>
      <c r="AP125">
        <v>9525064</v>
      </c>
      <c r="AQ125">
        <v>9948264</v>
      </c>
      <c r="AR125">
        <v>4735286.5</v>
      </c>
      <c r="AS125">
        <v>2926785.75</v>
      </c>
      <c r="AT125" s="23" t="s">
        <v>834</v>
      </c>
      <c r="AU125" s="18">
        <v>7582543</v>
      </c>
      <c r="AV125" s="18">
        <v>7463229.5</v>
      </c>
      <c r="AW125" s="19">
        <v>3133360.75</v>
      </c>
      <c r="AX125" s="19">
        <v>3278219.25</v>
      </c>
      <c r="AY125" s="20">
        <v>3562969.25</v>
      </c>
      <c r="AZ125" s="20">
        <v>4194941</v>
      </c>
      <c r="BA125" s="21">
        <v>2244570.25</v>
      </c>
      <c r="BB125" s="21">
        <v>2211648.5</v>
      </c>
    </row>
    <row r="126" spans="1:62" hidden="1">
      <c r="A126">
        <v>20037</v>
      </c>
      <c r="B126" t="s">
        <v>510</v>
      </c>
      <c r="C126" t="s">
        <v>511</v>
      </c>
      <c r="D126" t="s">
        <v>512</v>
      </c>
      <c r="E126" t="s">
        <v>513</v>
      </c>
      <c r="F126" t="s">
        <v>514</v>
      </c>
      <c r="G126">
        <v>310.13400000000001</v>
      </c>
      <c r="H126" t="s">
        <v>57</v>
      </c>
      <c r="I126">
        <v>2</v>
      </c>
      <c r="J126">
        <v>16</v>
      </c>
      <c r="K126">
        <v>5</v>
      </c>
      <c r="L126">
        <v>23.01</v>
      </c>
      <c r="M126">
        <v>53597</v>
      </c>
      <c r="N126">
        <v>20</v>
      </c>
      <c r="O126">
        <v>9</v>
      </c>
      <c r="P126">
        <v>9</v>
      </c>
      <c r="Q126">
        <v>9</v>
      </c>
      <c r="R126">
        <v>9</v>
      </c>
      <c r="S126">
        <v>45</v>
      </c>
      <c r="T126">
        <v>45</v>
      </c>
      <c r="U126">
        <v>9</v>
      </c>
      <c r="V126">
        <v>7</v>
      </c>
      <c r="W126">
        <v>7</v>
      </c>
      <c r="X126">
        <v>9</v>
      </c>
      <c r="Y126">
        <v>9</v>
      </c>
      <c r="Z126">
        <v>7</v>
      </c>
      <c r="AA126">
        <v>7</v>
      </c>
      <c r="AB126">
        <v>7</v>
      </c>
      <c r="AC126">
        <v>8</v>
      </c>
      <c r="AD126">
        <v>4</v>
      </c>
      <c r="AE126">
        <v>2</v>
      </c>
      <c r="AF126">
        <v>7</v>
      </c>
      <c r="AG126">
        <v>6</v>
      </c>
      <c r="AH126">
        <v>5</v>
      </c>
      <c r="AI126">
        <v>7</v>
      </c>
      <c r="AJ126">
        <v>10</v>
      </c>
      <c r="AK126">
        <v>6</v>
      </c>
      <c r="AL126">
        <v>7827860.5</v>
      </c>
      <c r="AM126">
        <v>12532996</v>
      </c>
      <c r="AN126">
        <v>25027728</v>
      </c>
      <c r="AO126">
        <v>25936920</v>
      </c>
      <c r="AP126">
        <v>29509176</v>
      </c>
      <c r="AQ126">
        <v>29612732</v>
      </c>
      <c r="AR126">
        <v>34421436</v>
      </c>
      <c r="AS126">
        <v>23252826</v>
      </c>
      <c r="AT126" s="23" t="s">
        <v>511</v>
      </c>
      <c r="AU126" s="18">
        <v>5357466</v>
      </c>
      <c r="AV126" s="18">
        <v>9776355</v>
      </c>
      <c r="AW126" s="19">
        <v>20848430</v>
      </c>
      <c r="AX126" s="19">
        <v>24037518</v>
      </c>
      <c r="AY126" s="20">
        <v>12473406</v>
      </c>
      <c r="AZ126" s="20">
        <v>13996621</v>
      </c>
      <c r="BA126" s="21">
        <v>22470692</v>
      </c>
      <c r="BB126" s="21">
        <v>21643632</v>
      </c>
    </row>
    <row r="127" spans="1:62" hidden="1">
      <c r="A127">
        <v>20247</v>
      </c>
      <c r="B127" t="s">
        <v>933</v>
      </c>
      <c r="C127" t="s">
        <v>934</v>
      </c>
      <c r="D127" t="s">
        <v>935</v>
      </c>
      <c r="E127" t="s">
        <v>936</v>
      </c>
      <c r="F127" t="s">
        <v>937</v>
      </c>
      <c r="G127">
        <v>42.841000000000001</v>
      </c>
      <c r="H127" t="s">
        <v>57</v>
      </c>
      <c r="I127">
        <v>2</v>
      </c>
      <c r="J127">
        <v>2</v>
      </c>
      <c r="K127">
        <v>1</v>
      </c>
      <c r="L127">
        <v>5.86</v>
      </c>
      <c r="M127">
        <v>53388</v>
      </c>
      <c r="N127">
        <v>27</v>
      </c>
      <c r="O127">
        <v>2</v>
      </c>
      <c r="P127">
        <v>2</v>
      </c>
      <c r="Q127">
        <v>2</v>
      </c>
      <c r="R127">
        <v>2</v>
      </c>
      <c r="S127">
        <v>3</v>
      </c>
      <c r="T127">
        <v>3</v>
      </c>
      <c r="U127">
        <v>2</v>
      </c>
      <c r="Y127">
        <v>1</v>
      </c>
      <c r="Z127">
        <v>2</v>
      </c>
      <c r="AA127">
        <v>2</v>
      </c>
      <c r="AB127">
        <v>2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3</v>
      </c>
      <c r="AK127">
        <v>1</v>
      </c>
      <c r="AO127">
        <v>188365.98</v>
      </c>
      <c r="AP127">
        <v>1089909</v>
      </c>
      <c r="AQ127">
        <v>1132542</v>
      </c>
      <c r="AR127">
        <v>2067336.38</v>
      </c>
      <c r="AS127">
        <v>1434521.75</v>
      </c>
      <c r="AT127" s="23" t="s">
        <v>934</v>
      </c>
      <c r="AU127" s="18">
        <v>49505.43</v>
      </c>
      <c r="AV127" s="18">
        <v>111774.65</v>
      </c>
      <c r="AW127" s="19">
        <v>213953.23</v>
      </c>
      <c r="AX127" s="19">
        <v>43587.59</v>
      </c>
      <c r="AY127" s="20">
        <v>547118.25</v>
      </c>
      <c r="AZ127" s="20">
        <v>618270.68999999994</v>
      </c>
      <c r="BA127" s="21">
        <v>1246396.1200000001</v>
      </c>
      <c r="BB127" s="21">
        <v>801311.44</v>
      </c>
    </row>
    <row r="128" spans="1:62" hidden="1">
      <c r="A128">
        <v>20015</v>
      </c>
      <c r="B128" t="s">
        <v>460</v>
      </c>
      <c r="C128" t="s">
        <v>461</v>
      </c>
      <c r="D128" t="s">
        <v>462</v>
      </c>
      <c r="E128" t="s">
        <v>463</v>
      </c>
      <c r="F128" t="s">
        <v>464</v>
      </c>
      <c r="G128">
        <v>376.55</v>
      </c>
      <c r="H128" t="s">
        <v>57</v>
      </c>
      <c r="I128">
        <v>2</v>
      </c>
      <c r="J128">
        <v>12</v>
      </c>
      <c r="K128">
        <v>9</v>
      </c>
      <c r="L128">
        <v>80.42</v>
      </c>
      <c r="M128">
        <v>15463</v>
      </c>
      <c r="N128">
        <v>10</v>
      </c>
      <c r="O128">
        <v>7</v>
      </c>
      <c r="P128">
        <v>7</v>
      </c>
      <c r="Q128">
        <v>7</v>
      </c>
      <c r="R128">
        <v>7</v>
      </c>
      <c r="S128">
        <v>116</v>
      </c>
      <c r="T128">
        <v>116</v>
      </c>
      <c r="U128">
        <v>7</v>
      </c>
      <c r="V128">
        <v>5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7</v>
      </c>
      <c r="AC128">
        <v>7</v>
      </c>
      <c r="AD128">
        <v>14</v>
      </c>
      <c r="AE128">
        <v>18</v>
      </c>
      <c r="AF128">
        <v>16</v>
      </c>
      <c r="AG128">
        <v>14</v>
      </c>
      <c r="AH128">
        <v>9</v>
      </c>
      <c r="AI128">
        <v>9</v>
      </c>
      <c r="AJ128">
        <v>20</v>
      </c>
      <c r="AK128">
        <v>16</v>
      </c>
      <c r="AL128">
        <v>176675872</v>
      </c>
      <c r="AM128">
        <v>234778560</v>
      </c>
      <c r="AN128">
        <v>230194208</v>
      </c>
      <c r="AO128">
        <v>215219424</v>
      </c>
      <c r="AP128">
        <v>184192080</v>
      </c>
      <c r="AQ128">
        <v>171883792</v>
      </c>
      <c r="AR128">
        <v>381113184</v>
      </c>
      <c r="AS128">
        <v>200118928</v>
      </c>
      <c r="AT128" s="23" t="s">
        <v>461</v>
      </c>
      <c r="AU128" s="18">
        <v>153395680</v>
      </c>
      <c r="AV128" s="18">
        <v>209449952</v>
      </c>
      <c r="AW128" s="19">
        <v>198754992</v>
      </c>
      <c r="AX128" s="19">
        <v>207299664</v>
      </c>
      <c r="AY128" s="20">
        <v>83369312</v>
      </c>
      <c r="AZ128" s="20">
        <v>83229144</v>
      </c>
      <c r="BA128" s="21">
        <v>210039904</v>
      </c>
      <c r="BB128" s="21">
        <v>186095520</v>
      </c>
    </row>
    <row r="129" spans="1:54" hidden="1">
      <c r="A129">
        <v>19990</v>
      </c>
      <c r="B129" t="s">
        <v>606</v>
      </c>
      <c r="C129" t="s">
        <v>607</v>
      </c>
      <c r="D129" t="s">
        <v>608</v>
      </c>
      <c r="E129" t="s">
        <v>609</v>
      </c>
      <c r="F129" t="s">
        <v>610</v>
      </c>
      <c r="G129">
        <v>220.56</v>
      </c>
      <c r="H129" t="s">
        <v>57</v>
      </c>
      <c r="I129">
        <v>2</v>
      </c>
      <c r="J129">
        <v>2</v>
      </c>
      <c r="K129">
        <v>18</v>
      </c>
      <c r="L129">
        <v>20.260000000000002</v>
      </c>
      <c r="M129">
        <v>43285</v>
      </c>
      <c r="N129">
        <v>21</v>
      </c>
      <c r="O129">
        <v>5</v>
      </c>
      <c r="P129">
        <v>5</v>
      </c>
      <c r="Q129">
        <v>5</v>
      </c>
      <c r="R129">
        <v>5</v>
      </c>
      <c r="S129">
        <v>23</v>
      </c>
      <c r="T129">
        <v>23</v>
      </c>
      <c r="U129">
        <v>5</v>
      </c>
      <c r="V129">
        <v>2</v>
      </c>
      <c r="W129">
        <v>3</v>
      </c>
      <c r="X129">
        <v>4</v>
      </c>
      <c r="Y129">
        <v>4</v>
      </c>
      <c r="Z129">
        <v>5</v>
      </c>
      <c r="AA129">
        <v>5</v>
      </c>
      <c r="AB129">
        <v>5</v>
      </c>
      <c r="AC129">
        <v>5</v>
      </c>
      <c r="AD129">
        <v>2</v>
      </c>
      <c r="AE129">
        <v>3</v>
      </c>
      <c r="AF129">
        <v>3</v>
      </c>
      <c r="AG129">
        <v>2</v>
      </c>
      <c r="AH129">
        <v>6</v>
      </c>
      <c r="AI129">
        <v>3</v>
      </c>
      <c r="AJ129">
        <v>3</v>
      </c>
      <c r="AK129">
        <v>1</v>
      </c>
      <c r="AL129">
        <v>1462052.5</v>
      </c>
      <c r="AM129">
        <v>2285028.5</v>
      </c>
      <c r="AN129">
        <v>2506215</v>
      </c>
      <c r="AO129">
        <v>2338916.75</v>
      </c>
      <c r="AP129">
        <v>8993331</v>
      </c>
      <c r="AQ129">
        <v>5348173</v>
      </c>
      <c r="AR129">
        <v>2982085.25</v>
      </c>
      <c r="AS129">
        <v>2441960.5</v>
      </c>
      <c r="AT129" s="23" t="s">
        <v>607</v>
      </c>
      <c r="AU129" s="18">
        <v>186658.78</v>
      </c>
      <c r="AV129" s="18">
        <v>2455163.5</v>
      </c>
      <c r="AW129" s="19">
        <v>3506878.75</v>
      </c>
      <c r="AX129" s="19">
        <v>3790749.5</v>
      </c>
      <c r="AY129" s="20">
        <v>6125093.5</v>
      </c>
      <c r="AZ129" s="20">
        <v>4637060.5</v>
      </c>
      <c r="BA129" s="21">
        <v>2917824.5</v>
      </c>
      <c r="BB129" s="21">
        <v>2733283.25</v>
      </c>
    </row>
    <row r="130" spans="1:54" hidden="1">
      <c r="A130">
        <v>20186</v>
      </c>
      <c r="B130" t="s">
        <v>836</v>
      </c>
      <c r="C130" t="s">
        <v>837</v>
      </c>
      <c r="D130" t="s">
        <v>838</v>
      </c>
      <c r="F130" t="s">
        <v>839</v>
      </c>
      <c r="G130">
        <v>81.403000000000006</v>
      </c>
      <c r="H130" t="s">
        <v>57</v>
      </c>
      <c r="I130">
        <v>2</v>
      </c>
      <c r="J130">
        <v>2</v>
      </c>
      <c r="K130">
        <v>0</v>
      </c>
      <c r="L130">
        <v>11.27</v>
      </c>
      <c r="M130">
        <v>37200</v>
      </c>
      <c r="N130">
        <v>21</v>
      </c>
      <c r="O130">
        <v>3</v>
      </c>
      <c r="P130">
        <v>3</v>
      </c>
      <c r="Q130">
        <v>3</v>
      </c>
      <c r="R130">
        <v>3</v>
      </c>
      <c r="S130">
        <v>24</v>
      </c>
      <c r="T130">
        <v>24</v>
      </c>
      <c r="U130">
        <v>3</v>
      </c>
      <c r="V130">
        <v>2</v>
      </c>
      <c r="W130">
        <v>3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2</v>
      </c>
      <c r="AF130">
        <v>4</v>
      </c>
      <c r="AG130">
        <v>4</v>
      </c>
      <c r="AH130">
        <v>3</v>
      </c>
      <c r="AI130">
        <v>2</v>
      </c>
      <c r="AJ130">
        <v>3</v>
      </c>
      <c r="AK130">
        <v>2</v>
      </c>
      <c r="AL130">
        <v>27444502</v>
      </c>
      <c r="AM130">
        <v>28791264</v>
      </c>
      <c r="AN130">
        <v>15973851</v>
      </c>
      <c r="AO130">
        <v>17644738</v>
      </c>
      <c r="AP130">
        <v>24431404</v>
      </c>
      <c r="AQ130">
        <v>20825094</v>
      </c>
      <c r="AR130">
        <v>10501763</v>
      </c>
      <c r="AS130">
        <v>9290018</v>
      </c>
      <c r="AT130" s="23" t="s">
        <v>837</v>
      </c>
      <c r="AU130" s="18">
        <v>21666724</v>
      </c>
      <c r="AV130" s="18">
        <v>23481068</v>
      </c>
      <c r="AW130" s="19">
        <v>12886601</v>
      </c>
      <c r="AX130" s="19">
        <v>16066694</v>
      </c>
      <c r="AY130" s="20">
        <v>10232601</v>
      </c>
      <c r="AZ130" s="20">
        <v>9182068</v>
      </c>
      <c r="BA130" s="21">
        <v>6380858</v>
      </c>
      <c r="BB130" s="21">
        <v>8887548</v>
      </c>
    </row>
    <row r="131" spans="1:54" hidden="1">
      <c r="A131">
        <v>20041</v>
      </c>
      <c r="B131" t="s">
        <v>539</v>
      </c>
      <c r="C131" t="s">
        <v>540</v>
      </c>
      <c r="D131" t="s">
        <v>539</v>
      </c>
      <c r="E131" t="s">
        <v>541</v>
      </c>
      <c r="F131" t="s">
        <v>542</v>
      </c>
      <c r="G131">
        <v>280.83</v>
      </c>
      <c r="H131" t="s">
        <v>57</v>
      </c>
      <c r="I131">
        <v>2</v>
      </c>
      <c r="J131">
        <v>1</v>
      </c>
      <c r="K131">
        <v>6</v>
      </c>
      <c r="L131">
        <v>19.62</v>
      </c>
      <c r="M131">
        <v>40367</v>
      </c>
      <c r="N131">
        <v>21</v>
      </c>
      <c r="O131">
        <v>7</v>
      </c>
      <c r="P131">
        <v>7</v>
      </c>
      <c r="Q131">
        <v>7</v>
      </c>
      <c r="R131">
        <v>7</v>
      </c>
      <c r="S131">
        <v>89</v>
      </c>
      <c r="T131">
        <v>89</v>
      </c>
      <c r="U131">
        <v>7</v>
      </c>
      <c r="V131">
        <v>7</v>
      </c>
      <c r="W131">
        <v>7</v>
      </c>
      <c r="X131">
        <v>7</v>
      </c>
      <c r="Y131">
        <v>6</v>
      </c>
      <c r="Z131">
        <v>7</v>
      </c>
      <c r="AA131">
        <v>7</v>
      </c>
      <c r="AB131">
        <v>7</v>
      </c>
      <c r="AC131">
        <v>7</v>
      </c>
      <c r="AD131">
        <v>19</v>
      </c>
      <c r="AE131">
        <v>15</v>
      </c>
      <c r="AF131">
        <v>8</v>
      </c>
      <c r="AG131">
        <v>7</v>
      </c>
      <c r="AH131">
        <v>19</v>
      </c>
      <c r="AI131">
        <v>16</v>
      </c>
      <c r="AJ131">
        <v>3</v>
      </c>
      <c r="AK131">
        <v>2</v>
      </c>
      <c r="AL131">
        <v>62215964</v>
      </c>
      <c r="AM131">
        <v>73414680</v>
      </c>
      <c r="AN131">
        <v>21105946</v>
      </c>
      <c r="AO131">
        <v>19505682</v>
      </c>
      <c r="AP131">
        <v>81327104</v>
      </c>
      <c r="AQ131">
        <v>62487516</v>
      </c>
      <c r="AR131">
        <v>7387830</v>
      </c>
      <c r="AS131">
        <v>6618353.5</v>
      </c>
      <c r="AT131" s="23" t="s">
        <v>540</v>
      </c>
      <c r="AU131" s="18">
        <v>96952384</v>
      </c>
      <c r="AV131" s="18">
        <v>95663368</v>
      </c>
      <c r="AW131" s="19">
        <v>27974214</v>
      </c>
      <c r="AX131" s="19">
        <v>30040814</v>
      </c>
      <c r="AY131" s="20">
        <v>57106784</v>
      </c>
      <c r="AZ131" s="20">
        <v>51240052</v>
      </c>
      <c r="BA131" s="21">
        <v>7857661</v>
      </c>
      <c r="BB131" s="21">
        <v>8678348</v>
      </c>
    </row>
    <row r="132" spans="1:54" hidden="1">
      <c r="A132">
        <v>20123</v>
      </c>
      <c r="B132" t="s">
        <v>1031</v>
      </c>
      <c r="C132" t="s">
        <v>1032</v>
      </c>
      <c r="D132" t="s">
        <v>1033</v>
      </c>
      <c r="F132" t="s">
        <v>1034</v>
      </c>
      <c r="G132">
        <v>26.553000000000001</v>
      </c>
      <c r="H132" t="s">
        <v>57</v>
      </c>
      <c r="I132">
        <v>2</v>
      </c>
      <c r="J132">
        <v>2</v>
      </c>
      <c r="K132">
        <v>0</v>
      </c>
      <c r="L132">
        <v>2.84</v>
      </c>
      <c r="M132">
        <v>35592</v>
      </c>
      <c r="N132">
        <v>18</v>
      </c>
      <c r="O132">
        <v>1</v>
      </c>
      <c r="P132">
        <v>1</v>
      </c>
      <c r="Q132">
        <v>1</v>
      </c>
      <c r="R132">
        <v>1</v>
      </c>
      <c r="S132">
        <v>3</v>
      </c>
      <c r="T132">
        <v>3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0</v>
      </c>
      <c r="AL132">
        <v>2105478.5</v>
      </c>
      <c r="AM132">
        <v>1801557.88</v>
      </c>
      <c r="AN132">
        <v>769545.25</v>
      </c>
      <c r="AO132">
        <v>791518.25</v>
      </c>
      <c r="AP132">
        <v>4192730.5</v>
      </c>
      <c r="AQ132">
        <v>3120396.5</v>
      </c>
      <c r="AR132">
        <v>475785.97</v>
      </c>
      <c r="AS132">
        <v>352208.81</v>
      </c>
      <c r="AT132" s="23" t="s">
        <v>1032</v>
      </c>
      <c r="AU132" s="18">
        <v>2105478.5</v>
      </c>
      <c r="AV132" s="18">
        <v>1390302.38</v>
      </c>
      <c r="AW132" s="19">
        <v>594166.31000000006</v>
      </c>
      <c r="AX132" s="19">
        <v>703880.19</v>
      </c>
      <c r="AY132" s="20">
        <v>1688310.88</v>
      </c>
      <c r="AZ132" s="20">
        <v>1341402.5</v>
      </c>
      <c r="BA132" s="21">
        <v>254761.77</v>
      </c>
      <c r="BB132" s="21">
        <v>276440.25</v>
      </c>
    </row>
    <row r="133" spans="1:54" hidden="1">
      <c r="A133">
        <v>20165</v>
      </c>
      <c r="B133" t="s">
        <v>794</v>
      </c>
      <c r="C133" t="s">
        <v>795</v>
      </c>
      <c r="D133" t="s">
        <v>796</v>
      </c>
      <c r="F133" t="s">
        <v>797</v>
      </c>
      <c r="G133">
        <v>90.480999999999995</v>
      </c>
      <c r="H133" t="s">
        <v>57</v>
      </c>
      <c r="I133">
        <v>2</v>
      </c>
      <c r="J133">
        <v>3</v>
      </c>
      <c r="K133">
        <v>0</v>
      </c>
      <c r="L133">
        <v>25.73</v>
      </c>
      <c r="M133">
        <v>18602</v>
      </c>
      <c r="N133">
        <v>7</v>
      </c>
      <c r="O133">
        <v>4</v>
      </c>
      <c r="P133">
        <v>4</v>
      </c>
      <c r="Q133">
        <v>4</v>
      </c>
      <c r="R133">
        <v>4</v>
      </c>
      <c r="S133">
        <v>9</v>
      </c>
      <c r="T133">
        <v>9</v>
      </c>
      <c r="U133">
        <v>4</v>
      </c>
      <c r="V133">
        <v>4</v>
      </c>
      <c r="W133">
        <v>3</v>
      </c>
      <c r="X133">
        <v>1</v>
      </c>
      <c r="Y133">
        <v>2</v>
      </c>
      <c r="Z133">
        <v>4</v>
      </c>
      <c r="AA133">
        <v>4</v>
      </c>
      <c r="AB133">
        <v>1</v>
      </c>
      <c r="AC133">
        <v>1</v>
      </c>
      <c r="AD133">
        <v>3</v>
      </c>
      <c r="AE133">
        <v>2</v>
      </c>
      <c r="AF133">
        <v>0</v>
      </c>
      <c r="AG133">
        <v>1</v>
      </c>
      <c r="AH133">
        <v>2</v>
      </c>
      <c r="AI133">
        <v>2</v>
      </c>
      <c r="AJ133">
        <v>0</v>
      </c>
      <c r="AK133">
        <v>0</v>
      </c>
      <c r="AL133">
        <v>8524036</v>
      </c>
      <c r="AM133">
        <v>8703008</v>
      </c>
      <c r="AN133">
        <v>1446249.5</v>
      </c>
      <c r="AO133">
        <v>1922032.25</v>
      </c>
      <c r="AP133">
        <v>10528229</v>
      </c>
      <c r="AQ133">
        <v>9421481</v>
      </c>
      <c r="AR133">
        <v>882741.94</v>
      </c>
      <c r="AS133">
        <v>428784.78</v>
      </c>
      <c r="AT133" s="23" t="s">
        <v>795</v>
      </c>
      <c r="AU133" s="18">
        <v>8820268</v>
      </c>
      <c r="AV133" s="18">
        <v>4589417.5</v>
      </c>
      <c r="AW133" s="19">
        <v>45720.04</v>
      </c>
      <c r="AX133" s="19">
        <v>399744.72</v>
      </c>
      <c r="AY133" s="20">
        <v>6510954.5</v>
      </c>
      <c r="AZ133" s="20">
        <v>5943128.5</v>
      </c>
      <c r="BA133" s="21">
        <v>32245.02</v>
      </c>
      <c r="BB133" s="21">
        <v>29667.14</v>
      </c>
    </row>
    <row r="134" spans="1:54" hidden="1">
      <c r="A134">
        <v>20226</v>
      </c>
      <c r="B134" t="s">
        <v>1228</v>
      </c>
      <c r="C134" t="s">
        <v>1229</v>
      </c>
      <c r="D134" t="s">
        <v>1230</v>
      </c>
      <c r="F134" t="s">
        <v>1231</v>
      </c>
      <c r="G134">
        <v>9.2309999999999999</v>
      </c>
      <c r="H134" t="s">
        <v>57</v>
      </c>
      <c r="I134">
        <v>2</v>
      </c>
      <c r="J134">
        <v>2</v>
      </c>
      <c r="K134">
        <v>0</v>
      </c>
      <c r="L134">
        <v>27.68</v>
      </c>
      <c r="M134">
        <v>12020</v>
      </c>
      <c r="N134">
        <v>5</v>
      </c>
      <c r="O134">
        <v>2</v>
      </c>
      <c r="P134">
        <v>2</v>
      </c>
      <c r="Q134">
        <v>2</v>
      </c>
      <c r="R134">
        <v>2</v>
      </c>
      <c r="S134">
        <v>3</v>
      </c>
      <c r="T134">
        <v>3</v>
      </c>
      <c r="U134">
        <v>2</v>
      </c>
      <c r="X134">
        <v>1</v>
      </c>
      <c r="Y134">
        <v>1</v>
      </c>
      <c r="Z134">
        <v>2</v>
      </c>
      <c r="AA134">
        <v>2</v>
      </c>
      <c r="AB134">
        <v>2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3</v>
      </c>
      <c r="AI134">
        <v>2</v>
      </c>
      <c r="AJ134">
        <v>0</v>
      </c>
      <c r="AK134">
        <v>0</v>
      </c>
      <c r="AN134">
        <v>475515.38</v>
      </c>
      <c r="AO134">
        <v>213231.94</v>
      </c>
      <c r="AP134">
        <v>8005188</v>
      </c>
      <c r="AQ134">
        <v>4018771</v>
      </c>
      <c r="AR134">
        <v>1326550.25</v>
      </c>
      <c r="AS134">
        <v>905267.88</v>
      </c>
      <c r="AT134" s="23" t="s">
        <v>1229</v>
      </c>
      <c r="AU134" s="18">
        <v>49505.43</v>
      </c>
      <c r="AV134" s="18">
        <v>17163.39</v>
      </c>
      <c r="AW134" s="19">
        <v>24121.06</v>
      </c>
      <c r="AX134" s="19">
        <v>461820.81</v>
      </c>
      <c r="AY134" s="20">
        <v>3756966.5</v>
      </c>
      <c r="AZ134" s="20">
        <v>2492843</v>
      </c>
      <c r="BA134" s="21">
        <v>770573.56</v>
      </c>
      <c r="BB134" s="21">
        <v>771053.25</v>
      </c>
    </row>
    <row r="135" spans="1:54" hidden="1">
      <c r="A135">
        <v>20243</v>
      </c>
      <c r="B135" t="s">
        <v>565</v>
      </c>
      <c r="C135" t="s">
        <v>566</v>
      </c>
      <c r="D135" t="s">
        <v>567</v>
      </c>
      <c r="F135" t="s">
        <v>568</v>
      </c>
      <c r="G135">
        <v>254.70099999999999</v>
      </c>
      <c r="H135" t="s">
        <v>57</v>
      </c>
      <c r="I135">
        <v>2</v>
      </c>
      <c r="J135">
        <v>3</v>
      </c>
      <c r="K135">
        <v>0</v>
      </c>
      <c r="L135">
        <v>29.84</v>
      </c>
      <c r="M135">
        <v>34275</v>
      </c>
      <c r="N135">
        <v>17</v>
      </c>
      <c r="O135">
        <v>7</v>
      </c>
      <c r="P135">
        <v>7</v>
      </c>
      <c r="Q135">
        <v>7</v>
      </c>
      <c r="R135">
        <v>7</v>
      </c>
      <c r="S135">
        <v>34</v>
      </c>
      <c r="T135">
        <v>34</v>
      </c>
      <c r="U135">
        <v>7</v>
      </c>
      <c r="V135">
        <v>4</v>
      </c>
      <c r="W135">
        <v>4</v>
      </c>
      <c r="X135">
        <v>5</v>
      </c>
      <c r="Y135">
        <v>5</v>
      </c>
      <c r="Z135">
        <v>7</v>
      </c>
      <c r="AA135">
        <v>7</v>
      </c>
      <c r="AB135">
        <v>7</v>
      </c>
      <c r="AC135">
        <v>7</v>
      </c>
      <c r="AD135">
        <v>0</v>
      </c>
      <c r="AE135">
        <v>3</v>
      </c>
      <c r="AF135">
        <v>3</v>
      </c>
      <c r="AG135">
        <v>6</v>
      </c>
      <c r="AH135">
        <v>4</v>
      </c>
      <c r="AI135">
        <v>6</v>
      </c>
      <c r="AJ135">
        <v>7</v>
      </c>
      <c r="AK135">
        <v>5</v>
      </c>
      <c r="AL135">
        <v>7896976</v>
      </c>
      <c r="AM135">
        <v>8125843.5</v>
      </c>
      <c r="AN135">
        <v>14481958</v>
      </c>
      <c r="AO135">
        <v>17382110</v>
      </c>
      <c r="AP135">
        <v>27606580</v>
      </c>
      <c r="AQ135">
        <v>32280382</v>
      </c>
      <c r="AR135">
        <v>32913304</v>
      </c>
      <c r="AS135">
        <v>19408752</v>
      </c>
      <c r="AT135" s="23" t="s">
        <v>566</v>
      </c>
      <c r="AU135" s="18">
        <v>10133989</v>
      </c>
      <c r="AV135" s="18">
        <v>9205856</v>
      </c>
      <c r="AW135" s="19">
        <v>13910894</v>
      </c>
      <c r="AX135" s="19">
        <v>17688854</v>
      </c>
      <c r="AY135" s="20">
        <v>10609693</v>
      </c>
      <c r="AZ135" s="20">
        <v>13348281</v>
      </c>
      <c r="BA135" s="21">
        <v>19083206</v>
      </c>
      <c r="BB135" s="21">
        <v>17624300</v>
      </c>
    </row>
    <row r="136" spans="1:54" hidden="1">
      <c r="A136">
        <v>20102</v>
      </c>
      <c r="B136" t="s">
        <v>1240</v>
      </c>
      <c r="C136" t="s">
        <v>1241</v>
      </c>
      <c r="D136" t="s">
        <v>1242</v>
      </c>
      <c r="F136" t="s">
        <v>1243</v>
      </c>
      <c r="G136">
        <v>7.7519999999999998</v>
      </c>
      <c r="H136" t="s">
        <v>57</v>
      </c>
      <c r="I136">
        <v>2</v>
      </c>
      <c r="J136">
        <v>3</v>
      </c>
      <c r="K136">
        <v>0</v>
      </c>
      <c r="L136">
        <v>1.51</v>
      </c>
      <c r="M136">
        <v>53870</v>
      </c>
      <c r="N136">
        <v>33</v>
      </c>
      <c r="O136">
        <v>1</v>
      </c>
      <c r="P136">
        <v>1</v>
      </c>
      <c r="Q136">
        <v>1</v>
      </c>
      <c r="R136">
        <v>1</v>
      </c>
      <c r="S136">
        <v>3</v>
      </c>
      <c r="T136">
        <v>3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2770260.75</v>
      </c>
      <c r="AM136">
        <v>3236417.25</v>
      </c>
      <c r="AN136">
        <v>2639216.5</v>
      </c>
      <c r="AO136">
        <v>2872246.5</v>
      </c>
      <c r="AP136">
        <v>6021656</v>
      </c>
      <c r="AQ136">
        <v>5086465</v>
      </c>
      <c r="AR136">
        <v>3184317</v>
      </c>
      <c r="AS136">
        <v>2036217.38</v>
      </c>
      <c r="AT136" s="23" t="s">
        <v>1241</v>
      </c>
      <c r="AU136" s="18">
        <v>2770260.75</v>
      </c>
      <c r="AV136" s="18">
        <v>2497615.25</v>
      </c>
      <c r="AW136" s="19">
        <v>2037740.5</v>
      </c>
      <c r="AX136" s="19">
        <v>2554227</v>
      </c>
      <c r="AY136" s="20">
        <v>2424774.75</v>
      </c>
      <c r="AZ136" s="20">
        <v>2186580</v>
      </c>
      <c r="BA136" s="21">
        <v>1705057</v>
      </c>
      <c r="BB136" s="21">
        <v>1598178.12</v>
      </c>
    </row>
    <row r="137" spans="1:54" hidden="1">
      <c r="A137">
        <v>19972</v>
      </c>
      <c r="B137" t="s">
        <v>785</v>
      </c>
      <c r="C137" t="s">
        <v>786</v>
      </c>
      <c r="D137" t="s">
        <v>787</v>
      </c>
      <c r="F137" t="s">
        <v>788</v>
      </c>
      <c r="G137">
        <v>97.744</v>
      </c>
      <c r="H137" t="s">
        <v>57</v>
      </c>
      <c r="I137">
        <v>2</v>
      </c>
      <c r="J137">
        <v>19</v>
      </c>
      <c r="K137">
        <v>0</v>
      </c>
      <c r="L137">
        <v>11.25</v>
      </c>
      <c r="M137">
        <v>34841</v>
      </c>
      <c r="N137">
        <v>19</v>
      </c>
      <c r="O137">
        <v>3</v>
      </c>
      <c r="P137">
        <v>3</v>
      </c>
      <c r="Q137">
        <v>3</v>
      </c>
      <c r="R137">
        <v>3</v>
      </c>
      <c r="S137">
        <v>14</v>
      </c>
      <c r="T137">
        <v>14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2</v>
      </c>
      <c r="AA137">
        <v>2</v>
      </c>
      <c r="AB137">
        <v>3</v>
      </c>
      <c r="AC137">
        <v>1</v>
      </c>
      <c r="AD137">
        <v>4</v>
      </c>
      <c r="AE137">
        <v>3</v>
      </c>
      <c r="AF137">
        <v>1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9981792</v>
      </c>
      <c r="AM137">
        <v>9839844</v>
      </c>
      <c r="AN137">
        <v>7548198</v>
      </c>
      <c r="AO137">
        <v>6474597</v>
      </c>
      <c r="AP137">
        <v>12675528</v>
      </c>
      <c r="AQ137">
        <v>10462642</v>
      </c>
      <c r="AR137">
        <v>2854310</v>
      </c>
      <c r="AS137">
        <v>1961876.25</v>
      </c>
      <c r="AT137" s="23" t="s">
        <v>786</v>
      </c>
      <c r="AU137" s="18">
        <v>12762743</v>
      </c>
      <c r="AV137" s="18">
        <v>9649935</v>
      </c>
      <c r="AW137" s="19">
        <v>5602426.5</v>
      </c>
      <c r="AX137" s="19">
        <v>6043011</v>
      </c>
      <c r="AY137" s="20">
        <v>3330003.75</v>
      </c>
      <c r="AZ137" s="20">
        <v>3124908.75</v>
      </c>
      <c r="BA137" s="21">
        <v>2018844.25</v>
      </c>
      <c r="BB137" s="21">
        <v>116802.79</v>
      </c>
    </row>
    <row r="138" spans="1:54" hidden="1">
      <c r="A138">
        <v>20147</v>
      </c>
      <c r="B138" t="s">
        <v>905</v>
      </c>
      <c r="C138" t="s">
        <v>906</v>
      </c>
      <c r="D138" t="s">
        <v>907</v>
      </c>
      <c r="F138" t="s">
        <v>908</v>
      </c>
      <c r="G138">
        <v>49.930999999999997</v>
      </c>
      <c r="H138" t="s">
        <v>57</v>
      </c>
      <c r="I138">
        <v>2</v>
      </c>
      <c r="J138">
        <v>3</v>
      </c>
      <c r="K138">
        <v>0</v>
      </c>
      <c r="L138">
        <v>25.2</v>
      </c>
      <c r="M138">
        <v>28203</v>
      </c>
      <c r="N138">
        <v>18</v>
      </c>
      <c r="O138">
        <v>5</v>
      </c>
      <c r="P138">
        <v>5</v>
      </c>
      <c r="Q138">
        <v>5</v>
      </c>
      <c r="R138">
        <v>5</v>
      </c>
      <c r="S138">
        <v>12</v>
      </c>
      <c r="T138">
        <v>12</v>
      </c>
      <c r="U138">
        <v>5</v>
      </c>
      <c r="V138">
        <v>1</v>
      </c>
      <c r="W138">
        <v>4</v>
      </c>
      <c r="X138">
        <v>4</v>
      </c>
      <c r="Y138">
        <v>4</v>
      </c>
      <c r="Z138">
        <v>5</v>
      </c>
      <c r="AA138">
        <v>5</v>
      </c>
      <c r="AB138">
        <v>5</v>
      </c>
      <c r="AC138">
        <v>5</v>
      </c>
      <c r="AD138">
        <v>0</v>
      </c>
      <c r="AE138">
        <v>0</v>
      </c>
      <c r="AF138">
        <v>1</v>
      </c>
      <c r="AG138">
        <v>1</v>
      </c>
      <c r="AH138">
        <v>2</v>
      </c>
      <c r="AI138">
        <v>2</v>
      </c>
      <c r="AJ138">
        <v>3</v>
      </c>
      <c r="AK138">
        <v>3</v>
      </c>
      <c r="AL138">
        <v>1360071</v>
      </c>
      <c r="AM138">
        <v>2765196.5</v>
      </c>
      <c r="AN138">
        <v>4710923</v>
      </c>
      <c r="AO138">
        <v>6388041</v>
      </c>
      <c r="AP138">
        <v>9367706</v>
      </c>
      <c r="AQ138">
        <v>9340212</v>
      </c>
      <c r="AR138">
        <v>10054290</v>
      </c>
      <c r="AS138">
        <v>6059675</v>
      </c>
      <c r="AT138" s="23" t="s">
        <v>906</v>
      </c>
      <c r="AU138" s="18">
        <v>53296.45</v>
      </c>
      <c r="AV138" s="18">
        <v>1600052.5</v>
      </c>
      <c r="AW138" s="19">
        <v>2100503.25</v>
      </c>
      <c r="AX138" s="19">
        <v>6047239</v>
      </c>
      <c r="AY138" s="20">
        <v>4455225.5</v>
      </c>
      <c r="AZ138" s="20">
        <v>4379688</v>
      </c>
      <c r="BA138" s="21">
        <v>6282611</v>
      </c>
      <c r="BB138" s="21">
        <v>5529117.5</v>
      </c>
    </row>
    <row r="139" spans="1:54" hidden="1">
      <c r="A139">
        <v>20137</v>
      </c>
      <c r="B139" t="s">
        <v>685</v>
      </c>
      <c r="C139" t="s">
        <v>686</v>
      </c>
      <c r="D139" t="s">
        <v>685</v>
      </c>
      <c r="E139" t="s">
        <v>687</v>
      </c>
      <c r="F139" t="s">
        <v>688</v>
      </c>
      <c r="G139">
        <v>141.53200000000001</v>
      </c>
      <c r="H139" t="s">
        <v>57</v>
      </c>
      <c r="I139">
        <v>2</v>
      </c>
      <c r="J139">
        <v>1</v>
      </c>
      <c r="K139">
        <v>1</v>
      </c>
      <c r="L139">
        <v>6.05</v>
      </c>
      <c r="M139">
        <v>85356</v>
      </c>
      <c r="N139">
        <v>50</v>
      </c>
      <c r="O139">
        <v>5</v>
      </c>
      <c r="P139">
        <v>3</v>
      </c>
      <c r="Q139">
        <v>5</v>
      </c>
      <c r="R139">
        <v>3</v>
      </c>
      <c r="S139">
        <v>43</v>
      </c>
      <c r="T139">
        <v>21</v>
      </c>
      <c r="U139">
        <v>3</v>
      </c>
      <c r="V139">
        <v>2</v>
      </c>
      <c r="W139">
        <v>3</v>
      </c>
      <c r="X139">
        <v>2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2</v>
      </c>
      <c r="AE139">
        <v>2</v>
      </c>
      <c r="AF139">
        <v>2</v>
      </c>
      <c r="AG139">
        <v>2</v>
      </c>
      <c r="AH139">
        <v>6</v>
      </c>
      <c r="AI139">
        <v>4</v>
      </c>
      <c r="AJ139">
        <v>2</v>
      </c>
      <c r="AK139">
        <v>1</v>
      </c>
      <c r="AL139">
        <v>176598816</v>
      </c>
      <c r="AM139">
        <v>222073696</v>
      </c>
      <c r="AN139">
        <v>101808832</v>
      </c>
      <c r="AO139">
        <v>96350816</v>
      </c>
      <c r="AP139">
        <v>231005136</v>
      </c>
      <c r="AQ139">
        <v>208217808</v>
      </c>
      <c r="AR139">
        <v>44835360</v>
      </c>
      <c r="AS139">
        <v>38514784</v>
      </c>
      <c r="AT139" s="23" t="s">
        <v>686</v>
      </c>
      <c r="AU139" s="18">
        <v>55234620</v>
      </c>
      <c r="AV139" s="18">
        <v>46757092</v>
      </c>
      <c r="AW139" s="19">
        <v>37506712</v>
      </c>
      <c r="AX139" s="19">
        <v>45222228</v>
      </c>
      <c r="AY139" s="20">
        <v>26200472</v>
      </c>
      <c r="AZ139" s="20">
        <v>24397620</v>
      </c>
      <c r="BA139" s="21">
        <v>11924158</v>
      </c>
      <c r="BB139" s="21">
        <v>17959620</v>
      </c>
    </row>
    <row r="140" spans="1:54" hidden="1">
      <c r="A140">
        <v>20027</v>
      </c>
      <c r="B140" t="s">
        <v>777</v>
      </c>
      <c r="C140" t="s">
        <v>778</v>
      </c>
      <c r="D140" t="s">
        <v>779</v>
      </c>
      <c r="F140" t="s">
        <v>780</v>
      </c>
      <c r="G140">
        <v>99.372</v>
      </c>
      <c r="H140" t="s">
        <v>57</v>
      </c>
      <c r="I140">
        <v>2</v>
      </c>
      <c r="J140">
        <v>21</v>
      </c>
      <c r="K140">
        <v>0</v>
      </c>
      <c r="L140">
        <v>4.1900000000000004</v>
      </c>
      <c r="M140">
        <v>61470</v>
      </c>
      <c r="N140">
        <v>31</v>
      </c>
      <c r="O140">
        <v>2</v>
      </c>
      <c r="P140">
        <v>2</v>
      </c>
      <c r="Q140">
        <v>2</v>
      </c>
      <c r="R140">
        <v>2</v>
      </c>
      <c r="S140">
        <v>14</v>
      </c>
      <c r="T140">
        <v>14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3</v>
      </c>
      <c r="AE140">
        <v>3</v>
      </c>
      <c r="AF140">
        <v>1</v>
      </c>
      <c r="AG140">
        <v>1</v>
      </c>
      <c r="AH140">
        <v>2</v>
      </c>
      <c r="AI140">
        <v>2</v>
      </c>
      <c r="AJ140">
        <v>1</v>
      </c>
      <c r="AK140">
        <v>1</v>
      </c>
      <c r="AL140">
        <v>9486494</v>
      </c>
      <c r="AM140">
        <v>11931478</v>
      </c>
      <c r="AN140">
        <v>6322069</v>
      </c>
      <c r="AO140">
        <v>5752212</v>
      </c>
      <c r="AP140">
        <v>14927347</v>
      </c>
      <c r="AQ140">
        <v>12815216</v>
      </c>
      <c r="AR140">
        <v>2394784.25</v>
      </c>
      <c r="AS140">
        <v>2677151.5</v>
      </c>
      <c r="AT140" s="23" t="s">
        <v>778</v>
      </c>
      <c r="AU140" s="18">
        <v>14014733</v>
      </c>
      <c r="AV140" s="18">
        <v>11822207</v>
      </c>
      <c r="AW140" s="19">
        <v>7325256</v>
      </c>
      <c r="AX140" s="19">
        <v>6774148</v>
      </c>
      <c r="AY140" s="20">
        <v>7239551.5</v>
      </c>
      <c r="AZ140" s="20">
        <v>7282726.5</v>
      </c>
      <c r="BA140" s="21">
        <v>1704387.38</v>
      </c>
      <c r="BB140" s="21">
        <v>2985709.5</v>
      </c>
    </row>
    <row r="141" spans="1:54" hidden="1">
      <c r="A141">
        <v>20120</v>
      </c>
      <c r="B141" t="s">
        <v>650</v>
      </c>
      <c r="C141" t="s">
        <v>651</v>
      </c>
      <c r="D141" t="s">
        <v>652</v>
      </c>
      <c r="F141" t="s">
        <v>653</v>
      </c>
      <c r="G141">
        <v>160.21799999999999</v>
      </c>
      <c r="H141" t="s">
        <v>57</v>
      </c>
      <c r="I141">
        <v>2</v>
      </c>
      <c r="J141">
        <v>8</v>
      </c>
      <c r="K141">
        <v>0</v>
      </c>
      <c r="L141">
        <v>10.59</v>
      </c>
      <c r="M141">
        <v>41117</v>
      </c>
      <c r="N141">
        <v>23</v>
      </c>
      <c r="O141">
        <v>6</v>
      </c>
      <c r="P141">
        <v>6</v>
      </c>
      <c r="Q141">
        <v>6</v>
      </c>
      <c r="R141">
        <v>6</v>
      </c>
      <c r="S141">
        <v>30</v>
      </c>
      <c r="T141">
        <v>30</v>
      </c>
      <c r="U141">
        <v>6</v>
      </c>
      <c r="V141">
        <v>4</v>
      </c>
      <c r="W141">
        <v>6</v>
      </c>
      <c r="X141">
        <v>4</v>
      </c>
      <c r="Y141">
        <v>5</v>
      </c>
      <c r="Z141">
        <v>6</v>
      </c>
      <c r="AA141">
        <v>6</v>
      </c>
      <c r="AB141">
        <v>6</v>
      </c>
      <c r="AC141">
        <v>5</v>
      </c>
      <c r="AD141">
        <v>4</v>
      </c>
      <c r="AE141">
        <v>5</v>
      </c>
      <c r="AF141">
        <v>4</v>
      </c>
      <c r="AG141">
        <v>4</v>
      </c>
      <c r="AH141">
        <v>5</v>
      </c>
      <c r="AI141">
        <v>5</v>
      </c>
      <c r="AJ141">
        <v>2</v>
      </c>
      <c r="AK141">
        <v>1</v>
      </c>
      <c r="AL141">
        <v>36203248</v>
      </c>
      <c r="AM141">
        <v>38916764</v>
      </c>
      <c r="AN141">
        <v>22849060</v>
      </c>
      <c r="AO141">
        <v>23762090</v>
      </c>
      <c r="AP141">
        <v>53737432</v>
      </c>
      <c r="AQ141">
        <v>41618192</v>
      </c>
      <c r="AR141">
        <v>15934601</v>
      </c>
      <c r="AS141">
        <v>14265271</v>
      </c>
      <c r="AT141" s="23" t="s">
        <v>651</v>
      </c>
      <c r="AU141" s="18">
        <v>33074272</v>
      </c>
      <c r="AV141" s="18">
        <v>34452396</v>
      </c>
      <c r="AW141" s="19">
        <v>23337248</v>
      </c>
      <c r="AX141" s="19">
        <v>22368886</v>
      </c>
      <c r="AY141" s="20">
        <v>26979530</v>
      </c>
      <c r="AZ141" s="20">
        <v>21502626</v>
      </c>
      <c r="BA141" s="21">
        <v>9821567</v>
      </c>
      <c r="BB141" s="21">
        <v>12266588</v>
      </c>
    </row>
    <row r="142" spans="1:54" hidden="1">
      <c r="A142">
        <v>20176</v>
      </c>
      <c r="B142" t="s">
        <v>383</v>
      </c>
      <c r="C142" t="s">
        <v>384</v>
      </c>
      <c r="D142" t="s">
        <v>385</v>
      </c>
      <c r="F142" t="s">
        <v>386</v>
      </c>
      <c r="G142">
        <v>500.279</v>
      </c>
      <c r="H142" t="s">
        <v>57</v>
      </c>
      <c r="I142">
        <v>2</v>
      </c>
      <c r="J142">
        <v>2</v>
      </c>
      <c r="K142">
        <v>0</v>
      </c>
      <c r="L142">
        <v>41.19</v>
      </c>
      <c r="M142">
        <v>43110</v>
      </c>
      <c r="N142">
        <v>21</v>
      </c>
      <c r="O142">
        <v>15</v>
      </c>
      <c r="P142">
        <v>15</v>
      </c>
      <c r="Q142">
        <v>15</v>
      </c>
      <c r="R142">
        <v>15</v>
      </c>
      <c r="S142">
        <v>134</v>
      </c>
      <c r="T142">
        <v>134</v>
      </c>
      <c r="U142">
        <v>15</v>
      </c>
      <c r="V142">
        <v>8</v>
      </c>
      <c r="W142">
        <v>14</v>
      </c>
      <c r="X142">
        <v>15</v>
      </c>
      <c r="Y142">
        <v>15</v>
      </c>
      <c r="Z142">
        <v>14</v>
      </c>
      <c r="AA142">
        <v>15</v>
      </c>
      <c r="AB142">
        <v>15</v>
      </c>
      <c r="AC142">
        <v>15</v>
      </c>
      <c r="AD142">
        <v>7</v>
      </c>
      <c r="AE142">
        <v>13</v>
      </c>
      <c r="AF142">
        <v>22</v>
      </c>
      <c r="AG142">
        <v>22</v>
      </c>
      <c r="AH142">
        <v>17</v>
      </c>
      <c r="AI142">
        <v>14</v>
      </c>
      <c r="AJ142">
        <v>21</v>
      </c>
      <c r="AK142">
        <v>18</v>
      </c>
      <c r="AL142">
        <v>53949004</v>
      </c>
      <c r="AM142">
        <v>59704656</v>
      </c>
      <c r="AN142">
        <v>123003896</v>
      </c>
      <c r="AO142">
        <v>112520832</v>
      </c>
      <c r="AP142">
        <v>148432032</v>
      </c>
      <c r="AQ142">
        <v>157035488</v>
      </c>
      <c r="AR142">
        <v>143182560</v>
      </c>
      <c r="AS142">
        <v>93205800</v>
      </c>
      <c r="AT142" s="23" t="s">
        <v>384</v>
      </c>
      <c r="AU142" s="18">
        <v>14276073</v>
      </c>
      <c r="AV142" s="18">
        <v>48009112</v>
      </c>
      <c r="AW142" s="19">
        <v>98726072</v>
      </c>
      <c r="AX142" s="19">
        <v>112288752</v>
      </c>
      <c r="AY142" s="20">
        <v>61374420</v>
      </c>
      <c r="AZ142" s="20">
        <v>88164920</v>
      </c>
      <c r="BA142" s="21">
        <v>91726976</v>
      </c>
      <c r="BB142" s="21">
        <v>87630760</v>
      </c>
    </row>
    <row r="143" spans="1:54" hidden="1">
      <c r="A143">
        <v>19987</v>
      </c>
      <c r="B143" t="s">
        <v>340</v>
      </c>
      <c r="C143" t="s">
        <v>341</v>
      </c>
      <c r="D143" t="s">
        <v>342</v>
      </c>
      <c r="E143" t="s">
        <v>343</v>
      </c>
      <c r="F143" t="s">
        <v>344</v>
      </c>
      <c r="G143">
        <v>630.62400000000002</v>
      </c>
      <c r="H143" t="s">
        <v>57</v>
      </c>
      <c r="I143">
        <v>2</v>
      </c>
      <c r="J143">
        <v>7</v>
      </c>
      <c r="K143">
        <v>12</v>
      </c>
      <c r="L143">
        <v>59.02</v>
      </c>
      <c r="M143">
        <v>36831</v>
      </c>
      <c r="N143">
        <v>22</v>
      </c>
      <c r="O143">
        <v>18</v>
      </c>
      <c r="P143">
        <v>18</v>
      </c>
      <c r="Q143">
        <v>18</v>
      </c>
      <c r="R143">
        <v>18</v>
      </c>
      <c r="S143">
        <v>238</v>
      </c>
      <c r="T143">
        <v>238</v>
      </c>
      <c r="U143">
        <v>18</v>
      </c>
      <c r="V143">
        <v>15</v>
      </c>
      <c r="W143">
        <v>16</v>
      </c>
      <c r="X143">
        <v>16</v>
      </c>
      <c r="Y143">
        <v>16</v>
      </c>
      <c r="Z143">
        <v>13</v>
      </c>
      <c r="AA143">
        <v>15</v>
      </c>
      <c r="AB143">
        <v>16</v>
      </c>
      <c r="AC143">
        <v>15</v>
      </c>
      <c r="AD143">
        <v>34</v>
      </c>
      <c r="AE143">
        <v>33</v>
      </c>
      <c r="AF143">
        <v>39</v>
      </c>
      <c r="AG143">
        <v>39</v>
      </c>
      <c r="AH143">
        <v>14</v>
      </c>
      <c r="AI143">
        <v>18</v>
      </c>
      <c r="AJ143">
        <v>34</v>
      </c>
      <c r="AK143">
        <v>27</v>
      </c>
      <c r="AL143">
        <v>170847072</v>
      </c>
      <c r="AM143">
        <v>215585888</v>
      </c>
      <c r="AN143">
        <v>210865952</v>
      </c>
      <c r="AO143">
        <v>202520224</v>
      </c>
      <c r="AP143">
        <v>107873016</v>
      </c>
      <c r="AQ143">
        <v>121700056</v>
      </c>
      <c r="AR143">
        <v>245296688</v>
      </c>
      <c r="AS143">
        <v>149700816</v>
      </c>
      <c r="AT143" s="23" t="s">
        <v>341</v>
      </c>
      <c r="AU143" s="18">
        <v>207390192</v>
      </c>
      <c r="AV143" s="18">
        <v>191446816</v>
      </c>
      <c r="AW143" s="19">
        <v>181596640</v>
      </c>
      <c r="AX143" s="19">
        <v>201432784</v>
      </c>
      <c r="AY143" s="20">
        <v>55144784</v>
      </c>
      <c r="AZ143" s="20">
        <v>65225300</v>
      </c>
      <c r="BA143" s="21">
        <v>145386304</v>
      </c>
      <c r="BB143" s="21">
        <v>150596528</v>
      </c>
    </row>
    <row r="144" spans="1:54" hidden="1">
      <c r="A144">
        <v>20171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>
        <v>1057.17</v>
      </c>
      <c r="H144" t="s">
        <v>57</v>
      </c>
      <c r="I144">
        <v>2</v>
      </c>
      <c r="J144">
        <v>2</v>
      </c>
      <c r="K144">
        <v>1</v>
      </c>
      <c r="L144">
        <v>45.66</v>
      </c>
      <c r="M144">
        <v>87361</v>
      </c>
      <c r="N144">
        <v>44</v>
      </c>
      <c r="O144">
        <v>29</v>
      </c>
      <c r="P144">
        <v>29</v>
      </c>
      <c r="Q144">
        <v>29</v>
      </c>
      <c r="R144">
        <v>29</v>
      </c>
      <c r="S144">
        <v>334</v>
      </c>
      <c r="T144">
        <v>334</v>
      </c>
      <c r="U144">
        <v>29</v>
      </c>
      <c r="V144">
        <v>26</v>
      </c>
      <c r="W144">
        <v>29</v>
      </c>
      <c r="X144">
        <v>29</v>
      </c>
      <c r="Y144">
        <v>28</v>
      </c>
      <c r="Z144">
        <v>27</v>
      </c>
      <c r="AA144">
        <v>29</v>
      </c>
      <c r="AB144">
        <v>29</v>
      </c>
      <c r="AC144">
        <v>29</v>
      </c>
      <c r="AD144">
        <v>57</v>
      </c>
      <c r="AE144">
        <v>56</v>
      </c>
      <c r="AF144">
        <v>57</v>
      </c>
      <c r="AG144">
        <v>49</v>
      </c>
      <c r="AH144">
        <v>21</v>
      </c>
      <c r="AI144">
        <v>21</v>
      </c>
      <c r="AJ144">
        <v>37</v>
      </c>
      <c r="AK144">
        <v>36</v>
      </c>
      <c r="AL144">
        <v>308391776</v>
      </c>
      <c r="AM144">
        <v>435960256</v>
      </c>
      <c r="AN144">
        <v>457242560</v>
      </c>
      <c r="AO144">
        <v>427280448</v>
      </c>
      <c r="AP144">
        <v>244020448</v>
      </c>
      <c r="AQ144">
        <v>257711280</v>
      </c>
      <c r="AR144">
        <v>544076352</v>
      </c>
      <c r="AS144">
        <v>332548512</v>
      </c>
      <c r="AT144" s="23" t="s">
        <v>184</v>
      </c>
      <c r="AU144" s="18">
        <v>313915712</v>
      </c>
      <c r="AV144" s="18">
        <v>375631360</v>
      </c>
      <c r="AW144" s="19">
        <v>413266592</v>
      </c>
      <c r="AX144" s="19">
        <v>453418400</v>
      </c>
      <c r="AY144" s="20">
        <v>119681712</v>
      </c>
      <c r="AZ144" s="20">
        <v>135455280</v>
      </c>
      <c r="BA144" s="21">
        <v>330857984</v>
      </c>
      <c r="BB144" s="21">
        <v>307270592</v>
      </c>
    </row>
    <row r="145" spans="1:62" hidden="1">
      <c r="A145">
        <v>20210</v>
      </c>
      <c r="B145" t="s">
        <v>1236</v>
      </c>
      <c r="C145" t="s">
        <v>1237</v>
      </c>
      <c r="D145" t="s">
        <v>1238</v>
      </c>
      <c r="F145" t="s">
        <v>1239</v>
      </c>
      <c r="G145">
        <v>7.94</v>
      </c>
      <c r="H145" t="s">
        <v>57</v>
      </c>
      <c r="I145">
        <v>2</v>
      </c>
      <c r="J145">
        <v>2</v>
      </c>
      <c r="K145">
        <v>0</v>
      </c>
      <c r="L145">
        <v>1.44</v>
      </c>
      <c r="M145">
        <v>55279</v>
      </c>
      <c r="N145">
        <v>27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X145">
        <v>1</v>
      </c>
      <c r="Z145">
        <v>1</v>
      </c>
      <c r="AB145">
        <v>1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72110.34</v>
      </c>
      <c r="AN145">
        <v>3336861</v>
      </c>
      <c r="AP145">
        <v>398863.59</v>
      </c>
      <c r="AR145">
        <v>4549525.5</v>
      </c>
      <c r="AT145" s="23" t="s">
        <v>1237</v>
      </c>
      <c r="AU145" s="18">
        <v>72110.34</v>
      </c>
      <c r="AV145" s="18">
        <v>111774.65</v>
      </c>
      <c r="AW145" s="19">
        <v>2576392.25</v>
      </c>
      <c r="AX145" s="19">
        <v>170153.38</v>
      </c>
      <c r="AY145" s="20">
        <v>160612.70000000001</v>
      </c>
      <c r="AZ145" s="20">
        <v>247733</v>
      </c>
      <c r="BA145" s="21">
        <v>2436064.25</v>
      </c>
      <c r="BB145" s="21">
        <v>212391.23</v>
      </c>
    </row>
    <row r="146" spans="1:62">
      <c r="A146">
        <v>20042</v>
      </c>
      <c r="B146" t="s">
        <v>68</v>
      </c>
      <c r="C146" t="s">
        <v>69</v>
      </c>
      <c r="D146" t="s">
        <v>70</v>
      </c>
      <c r="E146" t="s">
        <v>71</v>
      </c>
      <c r="F146" t="s">
        <v>72</v>
      </c>
      <c r="G146">
        <v>3114.7310000000002</v>
      </c>
      <c r="H146" t="s">
        <v>57</v>
      </c>
      <c r="I146">
        <v>2</v>
      </c>
      <c r="J146">
        <v>3</v>
      </c>
      <c r="K146">
        <v>17</v>
      </c>
      <c r="L146">
        <v>73.52</v>
      </c>
      <c r="M146">
        <v>93695</v>
      </c>
      <c r="N146">
        <v>51</v>
      </c>
      <c r="O146">
        <v>57</v>
      </c>
      <c r="P146">
        <v>57</v>
      </c>
      <c r="Q146">
        <v>74</v>
      </c>
      <c r="R146">
        <v>74</v>
      </c>
      <c r="S146">
        <v>3767</v>
      </c>
      <c r="T146">
        <v>3767</v>
      </c>
      <c r="U146">
        <v>74</v>
      </c>
      <c r="V146">
        <v>64</v>
      </c>
      <c r="W146">
        <v>69</v>
      </c>
      <c r="X146">
        <v>69</v>
      </c>
      <c r="Y146">
        <v>69</v>
      </c>
      <c r="Z146">
        <v>69</v>
      </c>
      <c r="AA146">
        <v>69</v>
      </c>
      <c r="AB146">
        <v>71</v>
      </c>
      <c r="AC146">
        <v>73</v>
      </c>
      <c r="AD146">
        <v>394</v>
      </c>
      <c r="AE146">
        <v>409</v>
      </c>
      <c r="AF146">
        <v>441</v>
      </c>
      <c r="AG146">
        <v>400</v>
      </c>
      <c r="AH146">
        <v>342</v>
      </c>
      <c r="AI146">
        <v>433</v>
      </c>
      <c r="AJ146">
        <v>567</v>
      </c>
      <c r="AK146">
        <v>781</v>
      </c>
      <c r="AL146">
        <v>13368733696</v>
      </c>
      <c r="AM146">
        <v>15030872064</v>
      </c>
      <c r="AN146">
        <v>10578987008</v>
      </c>
      <c r="AO146">
        <v>11228256256</v>
      </c>
      <c r="AP146">
        <v>16080482304</v>
      </c>
      <c r="AQ146">
        <v>20537350144</v>
      </c>
      <c r="AR146">
        <v>33873577984</v>
      </c>
      <c r="AS146">
        <v>23677270016</v>
      </c>
      <c r="AT146" s="23" t="s">
        <v>69</v>
      </c>
      <c r="AU146" s="18">
        <v>9978921984</v>
      </c>
      <c r="AV146" s="18">
        <v>9867794432</v>
      </c>
      <c r="AW146" s="19">
        <v>7135065088</v>
      </c>
      <c r="AX146" s="19">
        <v>8926118912</v>
      </c>
      <c r="AY146" s="20">
        <v>7189866496</v>
      </c>
      <c r="AZ146" s="20">
        <v>10566246400</v>
      </c>
      <c r="BA146" s="21">
        <v>21554415616</v>
      </c>
      <c r="BB146" s="21">
        <v>25109669888</v>
      </c>
      <c r="BC146" s="23" t="s">
        <v>69</v>
      </c>
      <c r="BD146" s="24">
        <f t="shared" ref="BD146:BD147" si="12">AVERAGE(AU146:AV146)</f>
        <v>9923358208</v>
      </c>
      <c r="BE146" s="24">
        <f t="shared" ref="BE146:BE147" si="13">AVERAGE(AW146:AX146)</f>
        <v>8030592000</v>
      </c>
      <c r="BF146" s="24">
        <f t="shared" ref="BF146:BF147" si="14">AVERAGE(AY146:AZ146)</f>
        <v>8878056448</v>
      </c>
      <c r="BG146" s="24">
        <f t="shared" ref="BG146:BG147" si="15">AVERAGE(BA146:BB146)</f>
        <v>23332042752</v>
      </c>
      <c r="BH146" s="23" t="s">
        <v>69</v>
      </c>
      <c r="BI146" s="24">
        <f t="shared" ref="BI146:BI147" si="16">(BD146-BE146)/BE146</f>
        <v>0.23569448030730486</v>
      </c>
      <c r="BJ146" s="24">
        <f t="shared" ref="BJ146:BJ147" si="17">(BF146-BG146)/BG146</f>
        <v>-0.61949082031238001</v>
      </c>
    </row>
    <row r="147" spans="1:62">
      <c r="A147">
        <v>20266</v>
      </c>
      <c r="B147" t="s">
        <v>353</v>
      </c>
      <c r="C147" t="s">
        <v>354</v>
      </c>
      <c r="D147" t="s">
        <v>353</v>
      </c>
      <c r="F147" t="s">
        <v>355</v>
      </c>
      <c r="G147">
        <v>598.33399999999995</v>
      </c>
      <c r="H147" t="s">
        <v>57</v>
      </c>
      <c r="I147">
        <v>2</v>
      </c>
      <c r="J147">
        <v>1</v>
      </c>
      <c r="K147">
        <v>0</v>
      </c>
      <c r="L147">
        <v>42.04</v>
      </c>
      <c r="M147">
        <v>27452</v>
      </c>
      <c r="N147">
        <v>13</v>
      </c>
      <c r="O147">
        <v>11</v>
      </c>
      <c r="P147">
        <v>11</v>
      </c>
      <c r="Q147">
        <v>14</v>
      </c>
      <c r="R147">
        <v>14</v>
      </c>
      <c r="S147">
        <v>1373</v>
      </c>
      <c r="T147">
        <v>1373</v>
      </c>
      <c r="U147">
        <v>14</v>
      </c>
      <c r="V147">
        <v>11</v>
      </c>
      <c r="W147">
        <v>10</v>
      </c>
      <c r="X147">
        <v>11</v>
      </c>
      <c r="Y147">
        <v>13</v>
      </c>
      <c r="Z147">
        <v>13</v>
      </c>
      <c r="AA147">
        <v>14</v>
      </c>
      <c r="AB147">
        <v>14</v>
      </c>
      <c r="AC147">
        <v>13</v>
      </c>
      <c r="AD147">
        <v>192</v>
      </c>
      <c r="AE147">
        <v>221</v>
      </c>
      <c r="AF147">
        <v>167</v>
      </c>
      <c r="AG147">
        <v>173</v>
      </c>
      <c r="AH147">
        <v>132</v>
      </c>
      <c r="AI147">
        <v>156</v>
      </c>
      <c r="AJ147">
        <v>134</v>
      </c>
      <c r="AK147">
        <v>198</v>
      </c>
      <c r="AL147">
        <v>2591675136</v>
      </c>
      <c r="AM147">
        <v>3503254528</v>
      </c>
      <c r="AN147">
        <v>1700710016</v>
      </c>
      <c r="AO147">
        <v>1736159488</v>
      </c>
      <c r="AP147">
        <v>3580801024</v>
      </c>
      <c r="AQ147">
        <v>3764242688</v>
      </c>
      <c r="AR147">
        <v>2332215552</v>
      </c>
      <c r="AS147">
        <v>1942255488</v>
      </c>
      <c r="AT147" s="23" t="s">
        <v>354</v>
      </c>
      <c r="AU147" s="18">
        <v>2191307264</v>
      </c>
      <c r="AV147" s="18">
        <v>2680437248</v>
      </c>
      <c r="AW147" s="19">
        <v>1494492160</v>
      </c>
      <c r="AX147" s="19">
        <v>1811916160</v>
      </c>
      <c r="AY147" s="20">
        <v>1794449408</v>
      </c>
      <c r="AZ147" s="20">
        <v>2273659136</v>
      </c>
      <c r="BA147" s="21">
        <v>2260351232</v>
      </c>
      <c r="BB147" s="21">
        <v>2888054784</v>
      </c>
      <c r="BC147" s="23" t="s">
        <v>354</v>
      </c>
      <c r="BD147" s="24">
        <f t="shared" si="12"/>
        <v>2435872256</v>
      </c>
      <c r="BE147" s="24">
        <f t="shared" si="13"/>
        <v>1653204160</v>
      </c>
      <c r="BF147" s="24">
        <f t="shared" si="14"/>
        <v>2034054272</v>
      </c>
      <c r="BG147" s="24">
        <f t="shared" si="15"/>
        <v>2574203008</v>
      </c>
      <c r="BH147" s="23" t="s">
        <v>354</v>
      </c>
      <c r="BI147" s="24">
        <f t="shared" si="16"/>
        <v>0.47342494952347569</v>
      </c>
      <c r="BJ147" s="24">
        <f t="shared" si="17"/>
        <v>-0.20983144465349021</v>
      </c>
    </row>
    <row r="148" spans="1:62" hidden="1">
      <c r="A148">
        <v>20107</v>
      </c>
      <c r="B148" t="s">
        <v>1124</v>
      </c>
      <c r="C148" t="s">
        <v>1125</v>
      </c>
      <c r="D148" t="s">
        <v>1126</v>
      </c>
      <c r="F148" t="s">
        <v>1127</v>
      </c>
      <c r="G148">
        <v>16.667000000000002</v>
      </c>
      <c r="H148" t="s">
        <v>57</v>
      </c>
      <c r="I148">
        <v>2</v>
      </c>
      <c r="J148">
        <v>3</v>
      </c>
      <c r="K148">
        <v>0</v>
      </c>
      <c r="L148">
        <v>5.1100000000000003</v>
      </c>
      <c r="M148">
        <v>19703</v>
      </c>
      <c r="N148">
        <v>11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Z148">
        <v>1</v>
      </c>
      <c r="AA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1151816.3799999999</v>
      </c>
      <c r="AM148">
        <v>647965.68999999994</v>
      </c>
      <c r="AP148">
        <v>1133400.8799999999</v>
      </c>
      <c r="AQ148">
        <v>658861.75</v>
      </c>
      <c r="AT148" s="23" t="s">
        <v>1125</v>
      </c>
      <c r="AU148" s="18">
        <v>1151816.3799999999</v>
      </c>
      <c r="AV148" s="18">
        <v>500049.56</v>
      </c>
      <c r="AW148" s="19">
        <v>213953.23</v>
      </c>
      <c r="AX148" s="19">
        <v>170153.38</v>
      </c>
      <c r="AY148" s="20">
        <v>456393.03</v>
      </c>
      <c r="AZ148" s="20">
        <v>283232.84000000003</v>
      </c>
      <c r="BA148" s="21">
        <v>199295.7</v>
      </c>
      <c r="BB148" s="21">
        <v>212391.23</v>
      </c>
    </row>
    <row r="149" spans="1:62" hidden="1">
      <c r="A149">
        <v>20244</v>
      </c>
      <c r="B149" t="s">
        <v>1209</v>
      </c>
      <c r="C149" t="s">
        <v>1210</v>
      </c>
      <c r="D149" t="s">
        <v>1209</v>
      </c>
      <c r="F149" t="s">
        <v>1211</v>
      </c>
      <c r="G149">
        <v>9.8659999999999997</v>
      </c>
      <c r="H149" t="s">
        <v>57</v>
      </c>
      <c r="I149">
        <v>2</v>
      </c>
      <c r="J149">
        <v>1</v>
      </c>
      <c r="K149">
        <v>0</v>
      </c>
      <c r="L149">
        <v>6.71</v>
      </c>
      <c r="M149">
        <v>18153</v>
      </c>
      <c r="N149">
        <v>10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Z149">
        <v>1</v>
      </c>
      <c r="AA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298672.75</v>
      </c>
      <c r="AM149">
        <v>401537.03</v>
      </c>
      <c r="AP149">
        <v>625833.88</v>
      </c>
      <c r="AQ149">
        <v>542864.43999999994</v>
      </c>
      <c r="AT149" s="23" t="s">
        <v>1210</v>
      </c>
      <c r="AU149" s="18">
        <v>298672.75</v>
      </c>
      <c r="AV149" s="18">
        <v>309875.06</v>
      </c>
      <c r="AW149" s="19">
        <v>213953.23</v>
      </c>
      <c r="AX149" s="19">
        <v>170153.38</v>
      </c>
      <c r="AY149" s="20">
        <v>252008.12</v>
      </c>
      <c r="AZ149" s="20">
        <v>233367.7</v>
      </c>
      <c r="BA149" s="21">
        <v>199295.7</v>
      </c>
      <c r="BB149" s="21">
        <v>212391.23</v>
      </c>
    </row>
    <row r="150" spans="1:62" hidden="1">
      <c r="A150">
        <v>20106</v>
      </c>
      <c r="B150" t="s">
        <v>822</v>
      </c>
      <c r="C150" t="s">
        <v>823</v>
      </c>
      <c r="D150" t="s">
        <v>824</v>
      </c>
      <c r="F150" t="s">
        <v>825</v>
      </c>
      <c r="G150">
        <v>82.959000000000003</v>
      </c>
      <c r="H150" t="s">
        <v>57</v>
      </c>
      <c r="I150">
        <v>2</v>
      </c>
      <c r="J150">
        <v>3</v>
      </c>
      <c r="K150">
        <v>0</v>
      </c>
      <c r="L150">
        <v>7.41</v>
      </c>
      <c r="M150">
        <v>80430</v>
      </c>
      <c r="N150">
        <v>49</v>
      </c>
      <c r="O150">
        <v>5</v>
      </c>
      <c r="P150">
        <v>5</v>
      </c>
      <c r="Q150">
        <v>5</v>
      </c>
      <c r="R150">
        <v>5</v>
      </c>
      <c r="S150">
        <v>8</v>
      </c>
      <c r="T150">
        <v>8</v>
      </c>
      <c r="U150">
        <v>5</v>
      </c>
      <c r="V150">
        <v>4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1</v>
      </c>
      <c r="AE150">
        <v>0</v>
      </c>
      <c r="AF150">
        <v>3</v>
      </c>
      <c r="AG150">
        <v>0</v>
      </c>
      <c r="AH150">
        <v>1</v>
      </c>
      <c r="AI150">
        <v>1</v>
      </c>
      <c r="AJ150">
        <v>3</v>
      </c>
      <c r="AK150">
        <v>1</v>
      </c>
      <c r="AL150">
        <v>6642002.5</v>
      </c>
      <c r="AM150">
        <v>5743447</v>
      </c>
      <c r="AN150">
        <v>6115093</v>
      </c>
      <c r="AO150">
        <v>4567465</v>
      </c>
      <c r="AP150">
        <v>9159174</v>
      </c>
      <c r="AQ150">
        <v>9028260</v>
      </c>
      <c r="AR150">
        <v>14416310</v>
      </c>
      <c r="AS150">
        <v>10334552</v>
      </c>
      <c r="AT150" s="23" t="s">
        <v>823</v>
      </c>
      <c r="AU150" s="18">
        <v>4324414.5</v>
      </c>
      <c r="AV150" s="18">
        <v>3324557.75</v>
      </c>
      <c r="AW150" s="19">
        <v>6171495.5</v>
      </c>
      <c r="AX150" s="19">
        <v>5886036</v>
      </c>
      <c r="AY150" s="20">
        <v>4614231.5</v>
      </c>
      <c r="AZ150" s="20">
        <v>4777966</v>
      </c>
      <c r="BA150" s="21">
        <v>6331230.5</v>
      </c>
      <c r="BB150" s="21">
        <v>7267738.5</v>
      </c>
    </row>
    <row r="151" spans="1:62" hidden="1">
      <c r="A151">
        <v>20136</v>
      </c>
      <c r="B151" t="s">
        <v>247</v>
      </c>
      <c r="C151" t="s">
        <v>248</v>
      </c>
      <c r="D151" t="s">
        <v>249</v>
      </c>
      <c r="E151" t="s">
        <v>250</v>
      </c>
      <c r="F151" t="s">
        <v>251</v>
      </c>
      <c r="G151">
        <v>814.428</v>
      </c>
      <c r="H151" t="s">
        <v>57</v>
      </c>
      <c r="I151">
        <v>2</v>
      </c>
      <c r="J151">
        <v>19</v>
      </c>
      <c r="K151">
        <v>2</v>
      </c>
      <c r="L151">
        <v>57.5</v>
      </c>
      <c r="M151">
        <v>40516</v>
      </c>
      <c r="N151">
        <v>25</v>
      </c>
      <c r="O151">
        <v>20</v>
      </c>
      <c r="P151">
        <v>20</v>
      </c>
      <c r="Q151">
        <v>21</v>
      </c>
      <c r="R151">
        <v>21</v>
      </c>
      <c r="S151">
        <v>334</v>
      </c>
      <c r="T151">
        <v>334</v>
      </c>
      <c r="U151">
        <v>21</v>
      </c>
      <c r="V151">
        <v>16</v>
      </c>
      <c r="W151">
        <v>18</v>
      </c>
      <c r="X151">
        <v>20</v>
      </c>
      <c r="Y151">
        <v>20</v>
      </c>
      <c r="Z151">
        <v>21</v>
      </c>
      <c r="AA151">
        <v>21</v>
      </c>
      <c r="AB151">
        <v>21</v>
      </c>
      <c r="AC151">
        <v>21</v>
      </c>
      <c r="AD151">
        <v>20</v>
      </c>
      <c r="AE151">
        <v>26</v>
      </c>
      <c r="AF151">
        <v>50</v>
      </c>
      <c r="AG151">
        <v>49</v>
      </c>
      <c r="AH151">
        <v>47</v>
      </c>
      <c r="AI151">
        <v>49</v>
      </c>
      <c r="AJ151">
        <v>47</v>
      </c>
      <c r="AK151">
        <v>46</v>
      </c>
      <c r="AL151">
        <v>124031504</v>
      </c>
      <c r="AM151">
        <v>204364208</v>
      </c>
      <c r="AN151">
        <v>609647424</v>
      </c>
      <c r="AO151">
        <v>509343168</v>
      </c>
      <c r="AP151">
        <v>1633192960</v>
      </c>
      <c r="AQ151">
        <v>1633259008</v>
      </c>
      <c r="AR151">
        <v>979847744</v>
      </c>
      <c r="AS151">
        <v>548266432</v>
      </c>
      <c r="AT151" s="23" t="s">
        <v>248</v>
      </c>
      <c r="AU151" s="18">
        <v>121807280</v>
      </c>
      <c r="AV151" s="18">
        <v>141976144</v>
      </c>
      <c r="AW151" s="19">
        <v>505322336</v>
      </c>
      <c r="AX151" s="19">
        <v>536007040</v>
      </c>
      <c r="AY151" s="20">
        <v>669822784</v>
      </c>
      <c r="AZ151" s="20">
        <v>787916096</v>
      </c>
      <c r="BA151" s="21">
        <v>588350336</v>
      </c>
      <c r="BB151" s="21">
        <v>483563808</v>
      </c>
    </row>
    <row r="152" spans="1:62" hidden="1">
      <c r="A152">
        <v>19975</v>
      </c>
      <c r="B152" t="s">
        <v>239</v>
      </c>
      <c r="C152" t="s">
        <v>240</v>
      </c>
      <c r="D152" t="s">
        <v>241</v>
      </c>
      <c r="E152" t="s">
        <v>242</v>
      </c>
      <c r="F152" t="s">
        <v>243</v>
      </c>
      <c r="G152">
        <v>842.79200000000003</v>
      </c>
      <c r="H152" t="s">
        <v>57</v>
      </c>
      <c r="I152">
        <v>2</v>
      </c>
      <c r="J152">
        <v>13</v>
      </c>
      <c r="K152">
        <v>2</v>
      </c>
      <c r="L152">
        <v>52.33</v>
      </c>
      <c r="M152">
        <v>41220</v>
      </c>
      <c r="N152">
        <v>21</v>
      </c>
      <c r="O152">
        <v>18</v>
      </c>
      <c r="P152">
        <v>18</v>
      </c>
      <c r="Q152">
        <v>18</v>
      </c>
      <c r="R152">
        <v>18</v>
      </c>
      <c r="S152">
        <v>214</v>
      </c>
      <c r="T152">
        <v>214</v>
      </c>
      <c r="U152">
        <v>18</v>
      </c>
      <c r="V152">
        <v>14</v>
      </c>
      <c r="W152">
        <v>17</v>
      </c>
      <c r="X152">
        <v>17</v>
      </c>
      <c r="Y152">
        <v>17</v>
      </c>
      <c r="Z152">
        <v>18</v>
      </c>
      <c r="AA152">
        <v>17</v>
      </c>
      <c r="AB152">
        <v>17</v>
      </c>
      <c r="AC152">
        <v>17</v>
      </c>
      <c r="AD152">
        <v>23</v>
      </c>
      <c r="AE152">
        <v>16</v>
      </c>
      <c r="AF152">
        <v>29</v>
      </c>
      <c r="AG152">
        <v>27</v>
      </c>
      <c r="AH152">
        <v>31</v>
      </c>
      <c r="AI152">
        <v>37</v>
      </c>
      <c r="AJ152">
        <v>25</v>
      </c>
      <c r="AK152">
        <v>26</v>
      </c>
      <c r="AL152">
        <v>113175496</v>
      </c>
      <c r="AM152">
        <v>142512832</v>
      </c>
      <c r="AN152">
        <v>522226720</v>
      </c>
      <c r="AO152">
        <v>455610752</v>
      </c>
      <c r="AP152">
        <v>971059008</v>
      </c>
      <c r="AQ152">
        <v>1087972608</v>
      </c>
      <c r="AR152">
        <v>689468160</v>
      </c>
      <c r="AS152">
        <v>350640096</v>
      </c>
      <c r="AT152" s="23" t="s">
        <v>240</v>
      </c>
      <c r="AU152" s="18">
        <v>95217496</v>
      </c>
      <c r="AV152" s="18">
        <v>99984096</v>
      </c>
      <c r="AW152" s="19">
        <v>385252288</v>
      </c>
      <c r="AX152" s="19">
        <v>425945984</v>
      </c>
      <c r="AY152" s="20">
        <v>398717760</v>
      </c>
      <c r="AZ152" s="20">
        <v>506911424</v>
      </c>
      <c r="BA152" s="21">
        <v>426686240</v>
      </c>
      <c r="BB152" s="21">
        <v>324686272</v>
      </c>
    </row>
    <row r="153" spans="1:62" hidden="1">
      <c r="A153">
        <v>19984</v>
      </c>
      <c r="B153" t="s">
        <v>128</v>
      </c>
      <c r="C153" t="s">
        <v>129</v>
      </c>
      <c r="D153" t="s">
        <v>130</v>
      </c>
      <c r="E153" t="s">
        <v>131</v>
      </c>
      <c r="F153" t="s">
        <v>132</v>
      </c>
      <c r="G153">
        <v>1351.077</v>
      </c>
      <c r="H153" t="s">
        <v>57</v>
      </c>
      <c r="I153">
        <v>2</v>
      </c>
      <c r="J153">
        <v>17</v>
      </c>
      <c r="K153">
        <v>1</v>
      </c>
      <c r="L153">
        <v>54.25</v>
      </c>
      <c r="M153">
        <v>59589</v>
      </c>
      <c r="N153">
        <v>28</v>
      </c>
      <c r="O153">
        <v>31</v>
      </c>
      <c r="P153">
        <v>31</v>
      </c>
      <c r="Q153">
        <v>32</v>
      </c>
      <c r="R153">
        <v>32</v>
      </c>
      <c r="S153">
        <v>452</v>
      </c>
      <c r="T153">
        <v>452</v>
      </c>
      <c r="U153">
        <v>32</v>
      </c>
      <c r="V153">
        <v>18</v>
      </c>
      <c r="W153">
        <v>24</v>
      </c>
      <c r="X153">
        <v>24</v>
      </c>
      <c r="Y153">
        <v>27</v>
      </c>
      <c r="Z153">
        <v>31</v>
      </c>
      <c r="AA153">
        <v>31</v>
      </c>
      <c r="AB153">
        <v>32</v>
      </c>
      <c r="AC153">
        <v>29</v>
      </c>
      <c r="AD153">
        <v>27</v>
      </c>
      <c r="AE153">
        <v>18</v>
      </c>
      <c r="AF153">
        <v>51</v>
      </c>
      <c r="AG153">
        <v>75</v>
      </c>
      <c r="AH153">
        <v>72</v>
      </c>
      <c r="AI153">
        <v>83</v>
      </c>
      <c r="AJ153">
        <v>72</v>
      </c>
      <c r="AK153">
        <v>52</v>
      </c>
      <c r="AL153">
        <v>79334160</v>
      </c>
      <c r="AM153">
        <v>98117032</v>
      </c>
      <c r="AN153">
        <v>375250880</v>
      </c>
      <c r="AO153">
        <v>370291968</v>
      </c>
      <c r="AP153">
        <v>772654272</v>
      </c>
      <c r="AQ153">
        <v>1014362496</v>
      </c>
      <c r="AR153">
        <v>651965312</v>
      </c>
      <c r="AS153">
        <v>375420128</v>
      </c>
      <c r="AT153" s="23" t="s">
        <v>129</v>
      </c>
      <c r="AU153" s="18">
        <v>72473632</v>
      </c>
      <c r="AV153" s="18">
        <v>87328464</v>
      </c>
      <c r="AW153" s="19">
        <v>289748064</v>
      </c>
      <c r="AX153" s="19">
        <v>368354912</v>
      </c>
      <c r="AY153" s="20">
        <v>445528960</v>
      </c>
      <c r="AZ153" s="20">
        <v>655766720</v>
      </c>
      <c r="BA153" s="21">
        <v>526747936</v>
      </c>
      <c r="BB153" s="21">
        <v>417476608</v>
      </c>
    </row>
    <row r="154" spans="1:62" hidden="1">
      <c r="A154">
        <v>20168</v>
      </c>
      <c r="B154" t="s">
        <v>877</v>
      </c>
      <c r="C154" t="s">
        <v>878</v>
      </c>
      <c r="D154" t="s">
        <v>877</v>
      </c>
      <c r="F154" t="s">
        <v>879</v>
      </c>
      <c r="G154">
        <v>58.219000000000001</v>
      </c>
      <c r="H154" t="s">
        <v>57</v>
      </c>
      <c r="I154">
        <v>2</v>
      </c>
      <c r="J154">
        <v>1</v>
      </c>
      <c r="K154">
        <v>0</v>
      </c>
      <c r="L154">
        <v>11.42</v>
      </c>
      <c r="M154">
        <v>32343</v>
      </c>
      <c r="N154">
        <v>10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1</v>
      </c>
      <c r="W154">
        <v>2</v>
      </c>
      <c r="X154">
        <v>2</v>
      </c>
      <c r="Y154">
        <v>2</v>
      </c>
      <c r="Z154">
        <v>3</v>
      </c>
      <c r="AA154">
        <v>3</v>
      </c>
      <c r="AB154">
        <v>3</v>
      </c>
      <c r="AC154">
        <v>3</v>
      </c>
      <c r="AD154">
        <v>1</v>
      </c>
      <c r="AE154">
        <v>1</v>
      </c>
      <c r="AF154">
        <v>1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1747738.62</v>
      </c>
      <c r="AM154">
        <v>2788121.25</v>
      </c>
      <c r="AN154">
        <v>4684409.5</v>
      </c>
      <c r="AO154">
        <v>4795902</v>
      </c>
      <c r="AP154">
        <v>7162364</v>
      </c>
      <c r="AQ154">
        <v>9835541</v>
      </c>
      <c r="AR154">
        <v>7981853.5</v>
      </c>
      <c r="AS154">
        <v>5428562</v>
      </c>
      <c r="AT154" s="23" t="s">
        <v>878</v>
      </c>
      <c r="AU154" s="18">
        <v>29198.880000000001</v>
      </c>
      <c r="AV154" s="18">
        <v>2574926.5</v>
      </c>
      <c r="AW154" s="19">
        <v>4400632.5</v>
      </c>
      <c r="AX154" s="19">
        <v>5170900</v>
      </c>
      <c r="AY154" s="20">
        <v>2753005.75</v>
      </c>
      <c r="AZ154" s="20">
        <v>4007709.25</v>
      </c>
      <c r="BA154" s="21">
        <v>4205950</v>
      </c>
      <c r="BB154" s="21">
        <v>4190267.5</v>
      </c>
    </row>
    <row r="155" spans="1:62" hidden="1">
      <c r="A155">
        <v>20112</v>
      </c>
      <c r="B155" t="s">
        <v>133</v>
      </c>
      <c r="C155" t="s">
        <v>134</v>
      </c>
      <c r="D155" t="s">
        <v>135</v>
      </c>
      <c r="E155" t="s">
        <v>136</v>
      </c>
      <c r="F155" t="s">
        <v>137</v>
      </c>
      <c r="G155">
        <v>1327.376</v>
      </c>
      <c r="H155" t="s">
        <v>57</v>
      </c>
      <c r="I155">
        <v>2</v>
      </c>
      <c r="J155">
        <v>3</v>
      </c>
      <c r="K155">
        <v>18</v>
      </c>
      <c r="L155">
        <v>63.81</v>
      </c>
      <c r="M155">
        <v>63691</v>
      </c>
      <c r="N155">
        <v>33</v>
      </c>
      <c r="O155">
        <v>28</v>
      </c>
      <c r="P155">
        <v>28</v>
      </c>
      <c r="Q155">
        <v>28</v>
      </c>
      <c r="R155">
        <v>28</v>
      </c>
      <c r="S155">
        <v>354</v>
      </c>
      <c r="T155">
        <v>354</v>
      </c>
      <c r="U155">
        <v>28</v>
      </c>
      <c r="V155">
        <v>24</v>
      </c>
      <c r="W155">
        <v>26</v>
      </c>
      <c r="X155">
        <v>28</v>
      </c>
      <c r="Y155">
        <v>27</v>
      </c>
      <c r="Z155">
        <v>26</v>
      </c>
      <c r="AA155">
        <v>27</v>
      </c>
      <c r="AB155">
        <v>28</v>
      </c>
      <c r="AC155">
        <v>27</v>
      </c>
      <c r="AD155">
        <v>50</v>
      </c>
      <c r="AE155">
        <v>56</v>
      </c>
      <c r="AF155">
        <v>57</v>
      </c>
      <c r="AG155">
        <v>55</v>
      </c>
      <c r="AH155">
        <v>28</v>
      </c>
      <c r="AI155">
        <v>27</v>
      </c>
      <c r="AJ155">
        <v>40</v>
      </c>
      <c r="AK155">
        <v>40</v>
      </c>
      <c r="AL155">
        <v>349682016</v>
      </c>
      <c r="AM155">
        <v>406205056</v>
      </c>
      <c r="AN155">
        <v>366943328</v>
      </c>
      <c r="AO155">
        <v>350612704</v>
      </c>
      <c r="AP155">
        <v>216238864</v>
      </c>
      <c r="AQ155">
        <v>230075568</v>
      </c>
      <c r="AR155">
        <v>369101696</v>
      </c>
      <c r="AS155">
        <v>299015168</v>
      </c>
      <c r="AT155" s="23" t="s">
        <v>134</v>
      </c>
      <c r="AU155" s="18">
        <v>393893984</v>
      </c>
      <c r="AV155" s="18">
        <v>350773984</v>
      </c>
      <c r="AW155" s="19">
        <v>316584896</v>
      </c>
      <c r="AX155" s="19">
        <v>339344000</v>
      </c>
      <c r="AY155" s="20">
        <v>95420056</v>
      </c>
      <c r="AZ155" s="20">
        <v>108191736</v>
      </c>
      <c r="BA155" s="21">
        <v>237735744</v>
      </c>
      <c r="BB155" s="21">
        <v>259477232</v>
      </c>
    </row>
    <row r="156" spans="1:62" hidden="1">
      <c r="A156">
        <v>20249</v>
      </c>
      <c r="B156" t="s">
        <v>1154</v>
      </c>
      <c r="C156" t="s">
        <v>1155</v>
      </c>
      <c r="D156" t="s">
        <v>1154</v>
      </c>
      <c r="F156" t="s">
        <v>1156</v>
      </c>
      <c r="G156">
        <v>12.930999999999999</v>
      </c>
      <c r="H156" t="s">
        <v>57</v>
      </c>
      <c r="I156">
        <v>2</v>
      </c>
      <c r="J156">
        <v>1</v>
      </c>
      <c r="K156">
        <v>0</v>
      </c>
      <c r="L156">
        <v>2</v>
      </c>
      <c r="M156">
        <v>44162</v>
      </c>
      <c r="N156">
        <v>21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0</v>
      </c>
      <c r="AM156">
        <v>477801.91</v>
      </c>
      <c r="AN156">
        <v>715679.5</v>
      </c>
      <c r="AO156">
        <v>657257.5</v>
      </c>
      <c r="AP156">
        <v>1601651</v>
      </c>
      <c r="AQ156">
        <v>1134278.3799999999</v>
      </c>
      <c r="AR156">
        <v>587295.93999999994</v>
      </c>
      <c r="AS156">
        <v>219238.11</v>
      </c>
      <c r="AT156" s="23" t="s">
        <v>1155</v>
      </c>
      <c r="AU156" s="18">
        <v>49505.43</v>
      </c>
      <c r="AV156" s="18">
        <v>368730.34</v>
      </c>
      <c r="AW156" s="19">
        <v>552576.56000000006</v>
      </c>
      <c r="AX156" s="19">
        <v>584485</v>
      </c>
      <c r="AY156" s="20">
        <v>644946</v>
      </c>
      <c r="AZ156" s="20">
        <v>487605.94</v>
      </c>
      <c r="BA156" s="21">
        <v>314470.28000000003</v>
      </c>
      <c r="BB156" s="21">
        <v>172074.73</v>
      </c>
    </row>
    <row r="157" spans="1:62">
      <c r="A157">
        <v>20095</v>
      </c>
      <c r="B157" t="s">
        <v>178</v>
      </c>
      <c r="C157" t="s">
        <v>179</v>
      </c>
      <c r="D157" t="s">
        <v>180</v>
      </c>
      <c r="E157" t="s">
        <v>181</v>
      </c>
      <c r="F157" t="s">
        <v>182</v>
      </c>
      <c r="G157">
        <v>1089.425</v>
      </c>
      <c r="H157" t="s">
        <v>57</v>
      </c>
      <c r="I157">
        <v>2</v>
      </c>
      <c r="J157">
        <v>14</v>
      </c>
      <c r="K157">
        <v>6</v>
      </c>
      <c r="L157">
        <v>76.09</v>
      </c>
      <c r="M157">
        <v>35933</v>
      </c>
      <c r="N157">
        <v>16</v>
      </c>
      <c r="O157">
        <v>22</v>
      </c>
      <c r="P157">
        <v>22</v>
      </c>
      <c r="Q157">
        <v>23</v>
      </c>
      <c r="R157">
        <v>23</v>
      </c>
      <c r="S157">
        <v>747</v>
      </c>
      <c r="T157">
        <v>747</v>
      </c>
      <c r="U157">
        <v>23</v>
      </c>
      <c r="V157">
        <v>19</v>
      </c>
      <c r="W157">
        <v>20</v>
      </c>
      <c r="X157">
        <v>21</v>
      </c>
      <c r="Y157">
        <v>21</v>
      </c>
      <c r="Z157">
        <v>23</v>
      </c>
      <c r="AA157">
        <v>23</v>
      </c>
      <c r="AB157">
        <v>23</v>
      </c>
      <c r="AC157">
        <v>23</v>
      </c>
      <c r="AD157">
        <v>93</v>
      </c>
      <c r="AE157">
        <v>80</v>
      </c>
      <c r="AF157">
        <v>73</v>
      </c>
      <c r="AG157">
        <v>92</v>
      </c>
      <c r="AH157">
        <v>106</v>
      </c>
      <c r="AI157">
        <v>116</v>
      </c>
      <c r="AJ157">
        <v>86</v>
      </c>
      <c r="AK157">
        <v>100</v>
      </c>
      <c r="AL157">
        <v>1893066624</v>
      </c>
      <c r="AM157">
        <v>2549821952</v>
      </c>
      <c r="AN157">
        <v>1215999104</v>
      </c>
      <c r="AO157">
        <v>1566769792</v>
      </c>
      <c r="AP157">
        <v>4413591552</v>
      </c>
      <c r="AQ157">
        <v>5166119936</v>
      </c>
      <c r="AR157">
        <v>3684414464</v>
      </c>
      <c r="AS157">
        <v>3083155968</v>
      </c>
      <c r="AT157" s="23" t="s">
        <v>179</v>
      </c>
      <c r="AU157" s="18">
        <v>1340785408</v>
      </c>
      <c r="AV157" s="18">
        <v>1712228352</v>
      </c>
      <c r="AW157" s="19">
        <v>957224704</v>
      </c>
      <c r="AX157" s="19">
        <v>1387743232</v>
      </c>
      <c r="AY157" s="20">
        <v>2081105792</v>
      </c>
      <c r="AZ157" s="20">
        <v>2713315584</v>
      </c>
      <c r="BA157" s="21">
        <v>2512185344</v>
      </c>
      <c r="BB157" s="21">
        <v>2899082240</v>
      </c>
      <c r="BC157" s="23" t="s">
        <v>179</v>
      </c>
      <c r="BD157" s="24">
        <f t="shared" ref="BD157:BD158" si="18">AVERAGE(AU157:AV157)</f>
        <v>1526506880</v>
      </c>
      <c r="BE157" s="24">
        <f t="shared" ref="BE157:BE158" si="19">AVERAGE(AW157:AX157)</f>
        <v>1172483968</v>
      </c>
      <c r="BF157" s="24">
        <f t="shared" ref="BF157:BF158" si="20">AVERAGE(AY157:AZ157)</f>
        <v>2397210688</v>
      </c>
      <c r="BG157" s="24">
        <f t="shared" ref="BG157:BG158" si="21">AVERAGE(BA157:BB157)</f>
        <v>2705633792</v>
      </c>
      <c r="BH157" s="23" t="s">
        <v>179</v>
      </c>
      <c r="BI157" s="24">
        <f t="shared" ref="BI157:BI158" si="22">(BD157-BE157)/BE157</f>
        <v>0.30194264626397005</v>
      </c>
      <c r="BJ157" s="24">
        <f t="shared" ref="BJ157:BJ158" si="23">(BF157-BG157)/BG157</f>
        <v>-0.11399292280867551</v>
      </c>
    </row>
    <row r="158" spans="1:62">
      <c r="A158">
        <v>20251</v>
      </c>
      <c r="B158" t="s">
        <v>99</v>
      </c>
      <c r="C158" t="s">
        <v>100</v>
      </c>
      <c r="D158" t="s">
        <v>99</v>
      </c>
      <c r="F158" t="s">
        <v>101</v>
      </c>
      <c r="G158">
        <v>1703.2639999999999</v>
      </c>
      <c r="H158" t="s">
        <v>57</v>
      </c>
      <c r="I158">
        <v>2</v>
      </c>
      <c r="J158">
        <v>1</v>
      </c>
      <c r="K158">
        <v>0</v>
      </c>
      <c r="L158">
        <v>66.739999999999995</v>
      </c>
      <c r="M158">
        <v>52801</v>
      </c>
      <c r="N158">
        <v>29</v>
      </c>
      <c r="O158">
        <v>31</v>
      </c>
      <c r="P158">
        <v>31</v>
      </c>
      <c r="Q158">
        <v>37</v>
      </c>
      <c r="R158">
        <v>37</v>
      </c>
      <c r="S158">
        <v>1753</v>
      </c>
      <c r="T158">
        <v>1753</v>
      </c>
      <c r="U158">
        <v>36</v>
      </c>
      <c r="V158">
        <v>33</v>
      </c>
      <c r="W158">
        <v>34</v>
      </c>
      <c r="X158">
        <v>33</v>
      </c>
      <c r="Y158">
        <v>33</v>
      </c>
      <c r="Z158">
        <v>36</v>
      </c>
      <c r="AA158">
        <v>36</v>
      </c>
      <c r="AB158">
        <v>36</v>
      </c>
      <c r="AC158">
        <v>36</v>
      </c>
      <c r="AD158">
        <v>251</v>
      </c>
      <c r="AE158">
        <v>252</v>
      </c>
      <c r="AF158">
        <v>217</v>
      </c>
      <c r="AG158">
        <v>190</v>
      </c>
      <c r="AH158">
        <v>197</v>
      </c>
      <c r="AI158">
        <v>194</v>
      </c>
      <c r="AJ158">
        <v>209</v>
      </c>
      <c r="AK158">
        <v>241</v>
      </c>
      <c r="AL158">
        <v>3494991616</v>
      </c>
      <c r="AM158">
        <v>4571990528</v>
      </c>
      <c r="AN158">
        <v>2581673216</v>
      </c>
      <c r="AO158">
        <v>2674437888</v>
      </c>
      <c r="AP158">
        <v>5577135104</v>
      </c>
      <c r="AQ158">
        <v>5715003392</v>
      </c>
      <c r="AR158">
        <v>5031807488</v>
      </c>
      <c r="AS158">
        <v>3955810816</v>
      </c>
      <c r="AT158" s="23" t="s">
        <v>100</v>
      </c>
      <c r="AU158" s="18">
        <v>3408620544</v>
      </c>
      <c r="AV158" s="18">
        <v>3567621888</v>
      </c>
      <c r="AW158" s="19">
        <v>2039275008</v>
      </c>
      <c r="AX158" s="19">
        <v>2288376832</v>
      </c>
      <c r="AY158" s="20">
        <v>2761734912</v>
      </c>
      <c r="AZ158" s="20">
        <v>3002144512</v>
      </c>
      <c r="BA158" s="21">
        <v>3286767872</v>
      </c>
      <c r="BB158" s="21">
        <v>3639740416</v>
      </c>
      <c r="BC158" s="23" t="s">
        <v>100</v>
      </c>
      <c r="BD158" s="24">
        <f t="shared" si="18"/>
        <v>3488121216</v>
      </c>
      <c r="BE158" s="24">
        <f t="shared" si="19"/>
        <v>2163825920</v>
      </c>
      <c r="BF158" s="24">
        <f t="shared" si="20"/>
        <v>2881939712</v>
      </c>
      <c r="BG158" s="24">
        <f t="shared" si="21"/>
        <v>3463254144</v>
      </c>
      <c r="BH158" s="23" t="s">
        <v>100</v>
      </c>
      <c r="BI158" s="24">
        <f t="shared" si="22"/>
        <v>0.61201563571250683</v>
      </c>
      <c r="BJ158" s="24">
        <f t="shared" si="23"/>
        <v>-0.16785208587914707</v>
      </c>
    </row>
    <row r="159" spans="1:62" hidden="1">
      <c r="A159">
        <v>20231</v>
      </c>
      <c r="B159" t="s">
        <v>998</v>
      </c>
      <c r="C159" t="s">
        <v>999</v>
      </c>
      <c r="D159" t="s">
        <v>998</v>
      </c>
      <c r="F159" t="s">
        <v>1000</v>
      </c>
      <c r="G159">
        <v>31.372</v>
      </c>
      <c r="H159" t="s">
        <v>57</v>
      </c>
      <c r="I159">
        <v>2</v>
      </c>
      <c r="J159">
        <v>1</v>
      </c>
      <c r="K159">
        <v>0</v>
      </c>
      <c r="L159">
        <v>1.82</v>
      </c>
      <c r="M159">
        <v>77171</v>
      </c>
      <c r="N159">
        <v>37</v>
      </c>
      <c r="O159">
        <v>1</v>
      </c>
      <c r="P159">
        <v>1</v>
      </c>
      <c r="Q159">
        <v>1</v>
      </c>
      <c r="R159">
        <v>1</v>
      </c>
      <c r="S159">
        <v>2</v>
      </c>
      <c r="T159">
        <v>2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383999.91</v>
      </c>
      <c r="AM159">
        <v>297950.12</v>
      </c>
      <c r="AN159">
        <v>281108.56</v>
      </c>
      <c r="AO159">
        <v>235504.78</v>
      </c>
      <c r="AP159">
        <v>897037.56</v>
      </c>
      <c r="AQ159">
        <v>687932.38</v>
      </c>
      <c r="AR159">
        <v>497576.22</v>
      </c>
      <c r="AS159">
        <v>524880.18999999994</v>
      </c>
      <c r="AT159" s="23" t="s">
        <v>999</v>
      </c>
      <c r="AU159" s="18">
        <v>383999.91</v>
      </c>
      <c r="AV159" s="18">
        <v>229934.73</v>
      </c>
      <c r="AW159" s="19">
        <v>217044.09</v>
      </c>
      <c r="AX159" s="19">
        <v>209429.34</v>
      </c>
      <c r="AY159" s="20">
        <v>361215.28</v>
      </c>
      <c r="AZ159" s="20">
        <v>295729.78000000003</v>
      </c>
      <c r="BA159" s="21">
        <v>266429.46999999997</v>
      </c>
      <c r="BB159" s="21">
        <v>411965.84</v>
      </c>
    </row>
    <row r="160" spans="1:62" hidden="1">
      <c r="A160">
        <v>20126</v>
      </c>
      <c r="B160" t="s">
        <v>367</v>
      </c>
      <c r="C160" t="s">
        <v>368</v>
      </c>
      <c r="D160" t="s">
        <v>369</v>
      </c>
      <c r="E160" t="s">
        <v>370</v>
      </c>
      <c r="F160" t="s">
        <v>371</v>
      </c>
      <c r="G160">
        <v>548.88900000000001</v>
      </c>
      <c r="H160" t="s">
        <v>57</v>
      </c>
      <c r="I160">
        <v>2</v>
      </c>
      <c r="J160">
        <v>19</v>
      </c>
      <c r="K160">
        <v>1</v>
      </c>
      <c r="L160">
        <v>81.44</v>
      </c>
      <c r="M160">
        <v>21082</v>
      </c>
      <c r="N160">
        <v>14</v>
      </c>
      <c r="O160">
        <v>14</v>
      </c>
      <c r="P160">
        <v>14</v>
      </c>
      <c r="Q160">
        <v>14</v>
      </c>
      <c r="R160">
        <v>14</v>
      </c>
      <c r="S160">
        <v>380</v>
      </c>
      <c r="T160">
        <v>380</v>
      </c>
      <c r="U160">
        <v>14</v>
      </c>
      <c r="V160">
        <v>12</v>
      </c>
      <c r="W160">
        <v>14</v>
      </c>
      <c r="X160">
        <v>13</v>
      </c>
      <c r="Y160">
        <v>13</v>
      </c>
      <c r="Z160">
        <v>13</v>
      </c>
      <c r="AA160">
        <v>13</v>
      </c>
      <c r="AB160">
        <v>14</v>
      </c>
      <c r="AC160">
        <v>12</v>
      </c>
      <c r="AD160">
        <v>53</v>
      </c>
      <c r="AE160">
        <v>55</v>
      </c>
      <c r="AF160">
        <v>70</v>
      </c>
      <c r="AG160">
        <v>48</v>
      </c>
      <c r="AH160">
        <v>38</v>
      </c>
      <c r="AI160">
        <v>40</v>
      </c>
      <c r="AJ160">
        <v>37</v>
      </c>
      <c r="AK160">
        <v>38</v>
      </c>
      <c r="AL160">
        <v>1235063296</v>
      </c>
      <c r="AM160">
        <v>1588040320</v>
      </c>
      <c r="AN160">
        <v>685770880</v>
      </c>
      <c r="AO160">
        <v>660173312</v>
      </c>
      <c r="AP160">
        <v>638396032</v>
      </c>
      <c r="AQ160">
        <v>712425920</v>
      </c>
      <c r="AR160">
        <v>665305984</v>
      </c>
      <c r="AS160">
        <v>468033280</v>
      </c>
      <c r="AT160" s="23" t="s">
        <v>368</v>
      </c>
      <c r="AU160" s="18">
        <v>1325269632</v>
      </c>
      <c r="AV160" s="18">
        <v>1315071872</v>
      </c>
      <c r="AW160" s="19">
        <v>597005440</v>
      </c>
      <c r="AX160" s="19">
        <v>641541952</v>
      </c>
      <c r="AY160" s="20">
        <v>296747040</v>
      </c>
      <c r="AZ160" s="20">
        <v>346763200</v>
      </c>
      <c r="BA160" s="21">
        <v>391818688</v>
      </c>
      <c r="BB160" s="21">
        <v>401432768</v>
      </c>
    </row>
    <row r="161" spans="1:54" hidden="1">
      <c r="A161">
        <v>20240</v>
      </c>
      <c r="B161" t="s">
        <v>1212</v>
      </c>
      <c r="C161" t="s">
        <v>1213</v>
      </c>
      <c r="D161" t="s">
        <v>1214</v>
      </c>
      <c r="F161" t="s">
        <v>1215</v>
      </c>
      <c r="G161">
        <v>9.6679999999999993</v>
      </c>
      <c r="H161" t="s">
        <v>57</v>
      </c>
      <c r="I161">
        <v>2</v>
      </c>
      <c r="J161">
        <v>3</v>
      </c>
      <c r="K161">
        <v>0</v>
      </c>
      <c r="L161">
        <v>1.1399999999999999</v>
      </c>
      <c r="M161">
        <v>107806</v>
      </c>
      <c r="N161">
        <v>54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2</v>
      </c>
      <c r="AJ161">
        <v>1</v>
      </c>
      <c r="AK161">
        <v>2</v>
      </c>
      <c r="AL161">
        <v>375796.84</v>
      </c>
      <c r="AM161">
        <v>35744032</v>
      </c>
      <c r="AN161">
        <v>4730803.5</v>
      </c>
      <c r="AO161">
        <v>5677457.5</v>
      </c>
      <c r="AP161">
        <v>15580249</v>
      </c>
      <c r="AQ161">
        <v>13033701</v>
      </c>
      <c r="AR161">
        <v>4334099</v>
      </c>
      <c r="AS161">
        <v>7862109.5</v>
      </c>
      <c r="AT161" s="23" t="s">
        <v>1213</v>
      </c>
      <c r="AU161" s="18">
        <v>375796.84</v>
      </c>
      <c r="AV161" s="18">
        <v>27584464</v>
      </c>
      <c r="AW161" s="19">
        <v>3652656.25</v>
      </c>
      <c r="AX161" s="19">
        <v>5048841</v>
      </c>
      <c r="AY161" s="20">
        <v>6273788.5</v>
      </c>
      <c r="AZ161" s="20">
        <v>5602954.5</v>
      </c>
      <c r="BA161" s="21">
        <v>2320713</v>
      </c>
      <c r="BB161" s="21">
        <v>6170781</v>
      </c>
    </row>
    <row r="162" spans="1:54" hidden="1">
      <c r="A162">
        <v>20245</v>
      </c>
      <c r="B162" t="s">
        <v>913</v>
      </c>
      <c r="C162" t="s">
        <v>914</v>
      </c>
      <c r="D162" t="s">
        <v>915</v>
      </c>
      <c r="F162" t="s">
        <v>916</v>
      </c>
      <c r="G162">
        <v>48.372</v>
      </c>
      <c r="H162" t="s">
        <v>57</v>
      </c>
      <c r="I162">
        <v>2</v>
      </c>
      <c r="J162">
        <v>3</v>
      </c>
      <c r="K162">
        <v>0</v>
      </c>
      <c r="L162">
        <v>23.53</v>
      </c>
      <c r="M162">
        <v>9119</v>
      </c>
      <c r="N162">
        <v>6</v>
      </c>
      <c r="O162">
        <v>2</v>
      </c>
      <c r="P162">
        <v>2</v>
      </c>
      <c r="Q162">
        <v>2</v>
      </c>
      <c r="R162">
        <v>2</v>
      </c>
      <c r="S162">
        <v>3</v>
      </c>
      <c r="T162">
        <v>3</v>
      </c>
      <c r="U162">
        <v>2</v>
      </c>
      <c r="V162">
        <v>2</v>
      </c>
      <c r="W162">
        <v>2</v>
      </c>
      <c r="X162">
        <v>2</v>
      </c>
      <c r="Y162">
        <v>1</v>
      </c>
      <c r="Z162">
        <v>2</v>
      </c>
      <c r="AA162">
        <v>2</v>
      </c>
      <c r="AB162">
        <v>1</v>
      </c>
      <c r="AC162">
        <v>1</v>
      </c>
      <c r="AD162">
        <v>0</v>
      </c>
      <c r="AE162">
        <v>1</v>
      </c>
      <c r="AF162">
        <v>1</v>
      </c>
      <c r="AG162">
        <v>1</v>
      </c>
      <c r="AH162">
        <v>1</v>
      </c>
      <c r="AI162">
        <v>0</v>
      </c>
      <c r="AJ162">
        <v>0</v>
      </c>
      <c r="AK162">
        <v>0</v>
      </c>
      <c r="AL162">
        <v>7543566</v>
      </c>
      <c r="AM162">
        <v>6878601.5</v>
      </c>
      <c r="AN162">
        <v>4284256</v>
      </c>
      <c r="AO162">
        <v>3931147.75</v>
      </c>
      <c r="AP162">
        <v>10532617</v>
      </c>
      <c r="AQ162">
        <v>9241336</v>
      </c>
      <c r="AR162">
        <v>1471346</v>
      </c>
      <c r="AS162">
        <v>1227721.25</v>
      </c>
      <c r="AT162" s="23" t="s">
        <v>914</v>
      </c>
      <c r="AU162" s="18">
        <v>7086570.5</v>
      </c>
      <c r="AV162" s="18">
        <v>4696844</v>
      </c>
      <c r="AW162" s="19">
        <v>3129430.5</v>
      </c>
      <c r="AX162" s="19">
        <v>834792.12</v>
      </c>
      <c r="AY162" s="20">
        <v>5925943.5</v>
      </c>
      <c r="AZ162" s="20">
        <v>6180153.5</v>
      </c>
      <c r="BA162" s="21">
        <v>425782.34</v>
      </c>
      <c r="BB162" s="21">
        <v>520517</v>
      </c>
    </row>
    <row r="163" spans="1:54" hidden="1">
      <c r="A163">
        <v>20258</v>
      </c>
      <c r="B163" t="s">
        <v>708</v>
      </c>
      <c r="C163" t="s">
        <v>709</v>
      </c>
      <c r="D163" t="s">
        <v>708</v>
      </c>
      <c r="F163" t="s">
        <v>710</v>
      </c>
      <c r="G163">
        <v>129.75399999999999</v>
      </c>
      <c r="H163" t="s">
        <v>57</v>
      </c>
      <c r="I163">
        <v>2</v>
      </c>
      <c r="J163">
        <v>1</v>
      </c>
      <c r="K163">
        <v>0</v>
      </c>
      <c r="L163">
        <v>6.26</v>
      </c>
      <c r="M163">
        <v>63561</v>
      </c>
      <c r="N163">
        <v>34</v>
      </c>
      <c r="O163">
        <v>3</v>
      </c>
      <c r="P163">
        <v>3</v>
      </c>
      <c r="Q163">
        <v>3</v>
      </c>
      <c r="R163">
        <v>3</v>
      </c>
      <c r="S163">
        <v>12</v>
      </c>
      <c r="T163">
        <v>12</v>
      </c>
      <c r="U163">
        <v>3</v>
      </c>
      <c r="V163">
        <v>2</v>
      </c>
      <c r="W163">
        <v>3</v>
      </c>
      <c r="X163">
        <v>2</v>
      </c>
      <c r="Y163">
        <v>3</v>
      </c>
      <c r="Z163">
        <v>3</v>
      </c>
      <c r="AA163">
        <v>3</v>
      </c>
      <c r="AB163">
        <v>1</v>
      </c>
      <c r="AC163">
        <v>1</v>
      </c>
      <c r="AD163">
        <v>3</v>
      </c>
      <c r="AE163">
        <v>3</v>
      </c>
      <c r="AF163">
        <v>1</v>
      </c>
      <c r="AG163">
        <v>1</v>
      </c>
      <c r="AH163">
        <v>3</v>
      </c>
      <c r="AI163">
        <v>1</v>
      </c>
      <c r="AJ163">
        <v>0</v>
      </c>
      <c r="AK163">
        <v>0</v>
      </c>
      <c r="AL163">
        <v>2880865.5</v>
      </c>
      <c r="AM163">
        <v>4821864</v>
      </c>
      <c r="AN163">
        <v>1358903.88</v>
      </c>
      <c r="AO163">
        <v>2069344.75</v>
      </c>
      <c r="AP163">
        <v>8172268</v>
      </c>
      <c r="AQ163">
        <v>5988079</v>
      </c>
      <c r="AR163">
        <v>695152.12</v>
      </c>
      <c r="AS163">
        <v>471078.81</v>
      </c>
      <c r="AT163" s="23" t="s">
        <v>709</v>
      </c>
      <c r="AU163" s="18">
        <v>1628210.88</v>
      </c>
      <c r="AV163" s="18">
        <v>4591006.5</v>
      </c>
      <c r="AW163" s="19">
        <v>660280.25</v>
      </c>
      <c r="AX163" s="19">
        <v>2235437</v>
      </c>
      <c r="AY163" s="20">
        <v>3734622.75</v>
      </c>
      <c r="AZ163" s="20">
        <v>2936628.25</v>
      </c>
      <c r="BA163" s="21">
        <v>34422.769999999997</v>
      </c>
      <c r="BB163" s="21">
        <v>37385.49</v>
      </c>
    </row>
    <row r="164" spans="1:54" hidden="1">
      <c r="A164">
        <v>20179</v>
      </c>
      <c r="B164" t="s">
        <v>658</v>
      </c>
      <c r="C164" t="s">
        <v>659</v>
      </c>
      <c r="D164" t="s">
        <v>660</v>
      </c>
      <c r="F164" t="s">
        <v>661</v>
      </c>
      <c r="G164">
        <v>157.273</v>
      </c>
      <c r="H164" t="s">
        <v>57</v>
      </c>
      <c r="I164">
        <v>2</v>
      </c>
      <c r="J164">
        <v>2</v>
      </c>
      <c r="K164">
        <v>0</v>
      </c>
      <c r="L164">
        <v>29.61</v>
      </c>
      <c r="M164">
        <v>51542</v>
      </c>
      <c r="N164">
        <v>25</v>
      </c>
      <c r="O164">
        <v>12</v>
      </c>
      <c r="P164">
        <v>12</v>
      </c>
      <c r="Q164">
        <v>12</v>
      </c>
      <c r="R164">
        <v>12</v>
      </c>
      <c r="S164">
        <v>31</v>
      </c>
      <c r="T164">
        <v>31</v>
      </c>
      <c r="U164">
        <v>12</v>
      </c>
      <c r="V164">
        <v>11</v>
      </c>
      <c r="W164">
        <v>11</v>
      </c>
      <c r="X164">
        <v>11</v>
      </c>
      <c r="Y164">
        <v>11</v>
      </c>
      <c r="Z164">
        <v>12</v>
      </c>
      <c r="AA164">
        <v>12</v>
      </c>
      <c r="AB164">
        <v>12</v>
      </c>
      <c r="AC164">
        <v>11</v>
      </c>
      <c r="AD164">
        <v>1</v>
      </c>
      <c r="AE164">
        <v>1</v>
      </c>
      <c r="AF164">
        <v>7</v>
      </c>
      <c r="AG164">
        <v>9</v>
      </c>
      <c r="AH164">
        <v>2</v>
      </c>
      <c r="AI164">
        <v>3</v>
      </c>
      <c r="AJ164">
        <v>7</v>
      </c>
      <c r="AK164">
        <v>3</v>
      </c>
      <c r="AL164">
        <v>8843360</v>
      </c>
      <c r="AM164">
        <v>10101312</v>
      </c>
      <c r="AN164">
        <v>16855472</v>
      </c>
      <c r="AO164">
        <v>16126376</v>
      </c>
      <c r="AP164">
        <v>16234038</v>
      </c>
      <c r="AQ164">
        <v>22209428</v>
      </c>
      <c r="AR164">
        <v>20968974</v>
      </c>
      <c r="AS164">
        <v>13908331</v>
      </c>
      <c r="AT164" s="23" t="s">
        <v>659</v>
      </c>
      <c r="AU164" s="18">
        <v>8664933</v>
      </c>
      <c r="AV164" s="18">
        <v>8124736.5</v>
      </c>
      <c r="AW164" s="19">
        <v>13812072</v>
      </c>
      <c r="AX164" s="19">
        <v>15090405</v>
      </c>
      <c r="AY164" s="20">
        <v>6830965</v>
      </c>
      <c r="AZ164" s="20">
        <v>9510943</v>
      </c>
      <c r="BA164" s="21">
        <v>10984464</v>
      </c>
      <c r="BB164" s="21">
        <v>11379215</v>
      </c>
    </row>
    <row r="165" spans="1:54" hidden="1">
      <c r="A165">
        <v>20032</v>
      </c>
      <c r="B165" t="s">
        <v>704</v>
      </c>
      <c r="C165" t="s">
        <v>705</v>
      </c>
      <c r="D165" t="s">
        <v>706</v>
      </c>
      <c r="F165" t="s">
        <v>707</v>
      </c>
      <c r="G165">
        <v>131.828</v>
      </c>
      <c r="H165" t="s">
        <v>57</v>
      </c>
      <c r="I165">
        <v>2</v>
      </c>
      <c r="J165">
        <v>19</v>
      </c>
      <c r="K165">
        <v>0</v>
      </c>
      <c r="L165">
        <v>15.19</v>
      </c>
      <c r="M165">
        <v>26994</v>
      </c>
      <c r="N165">
        <v>18</v>
      </c>
      <c r="O165">
        <v>3</v>
      </c>
      <c r="P165">
        <v>3</v>
      </c>
      <c r="Q165">
        <v>3</v>
      </c>
      <c r="R165">
        <v>3</v>
      </c>
      <c r="S165">
        <v>10</v>
      </c>
      <c r="T165">
        <v>10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2</v>
      </c>
      <c r="AD165">
        <v>2</v>
      </c>
      <c r="AE165">
        <v>3</v>
      </c>
      <c r="AF165">
        <v>0</v>
      </c>
      <c r="AG165">
        <v>0</v>
      </c>
      <c r="AH165">
        <v>2</v>
      </c>
      <c r="AI165">
        <v>2</v>
      </c>
      <c r="AJ165">
        <v>1</v>
      </c>
      <c r="AK165">
        <v>1</v>
      </c>
      <c r="AL165">
        <v>3260223.5</v>
      </c>
      <c r="AM165">
        <v>4507693.5</v>
      </c>
      <c r="AN165">
        <v>1929642</v>
      </c>
      <c r="AO165">
        <v>2841306.75</v>
      </c>
      <c r="AP165">
        <v>6878109</v>
      </c>
      <c r="AQ165">
        <v>6178451.5</v>
      </c>
      <c r="AR165">
        <v>1791976.25</v>
      </c>
      <c r="AS165">
        <v>937213.88</v>
      </c>
      <c r="AT165" s="23" t="s">
        <v>705</v>
      </c>
      <c r="AU165" s="18">
        <v>3616659</v>
      </c>
      <c r="AV165" s="18">
        <v>3057748</v>
      </c>
      <c r="AW165" s="19">
        <v>1566957.75</v>
      </c>
      <c r="AX165" s="19">
        <v>1751694.38</v>
      </c>
      <c r="AY165" s="20">
        <v>2993401.25</v>
      </c>
      <c r="AZ165" s="20">
        <v>2783203.25</v>
      </c>
      <c r="BA165" s="21">
        <v>1102560.6200000001</v>
      </c>
      <c r="BB165" s="21">
        <v>947314.38</v>
      </c>
    </row>
    <row r="166" spans="1:54" hidden="1">
      <c r="A166">
        <v>20033</v>
      </c>
      <c r="B166" t="s">
        <v>1200</v>
      </c>
      <c r="C166" t="s">
        <v>1201</v>
      </c>
      <c r="D166" t="s">
        <v>1202</v>
      </c>
      <c r="E166" t="s">
        <v>1203</v>
      </c>
      <c r="F166" t="s">
        <v>1204</v>
      </c>
      <c r="G166">
        <v>10.419</v>
      </c>
      <c r="H166" t="s">
        <v>57</v>
      </c>
      <c r="I166">
        <v>2</v>
      </c>
      <c r="J166">
        <v>19</v>
      </c>
      <c r="K166">
        <v>1</v>
      </c>
      <c r="L166">
        <v>8.5</v>
      </c>
      <c r="M166">
        <v>38164</v>
      </c>
      <c r="N166">
        <v>22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1</v>
      </c>
      <c r="W166">
        <v>2</v>
      </c>
      <c r="X166">
        <v>1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1</v>
      </c>
      <c r="AL166">
        <v>666079.81000000006</v>
      </c>
      <c r="AM166">
        <v>2719819.75</v>
      </c>
      <c r="AN166">
        <v>689966.56</v>
      </c>
      <c r="AO166">
        <v>7247206</v>
      </c>
      <c r="AP166">
        <v>16911220</v>
      </c>
      <c r="AQ166">
        <v>14495470</v>
      </c>
      <c r="AR166">
        <v>13019716</v>
      </c>
      <c r="AS166">
        <v>9758630</v>
      </c>
      <c r="AT166" s="23" t="s">
        <v>1201</v>
      </c>
      <c r="AU166" s="18">
        <v>127701.52</v>
      </c>
      <c r="AV166" s="18">
        <v>1482671.75</v>
      </c>
      <c r="AW166" s="19">
        <v>23239.07</v>
      </c>
      <c r="AX166" s="19">
        <v>6573630</v>
      </c>
      <c r="AY166" s="20">
        <v>6693579.5</v>
      </c>
      <c r="AZ166" s="20">
        <v>6305536</v>
      </c>
      <c r="BA166" s="21">
        <v>7811925</v>
      </c>
      <c r="BB166" s="21">
        <v>8363962.5</v>
      </c>
    </row>
    <row r="167" spans="1:54" hidden="1">
      <c r="A167">
        <v>20174</v>
      </c>
      <c r="B167" t="s">
        <v>971</v>
      </c>
      <c r="C167" t="s">
        <v>972</v>
      </c>
      <c r="D167" t="s">
        <v>973</v>
      </c>
      <c r="F167" t="s">
        <v>974</v>
      </c>
      <c r="G167">
        <v>37.055999999999997</v>
      </c>
      <c r="H167" t="s">
        <v>57</v>
      </c>
      <c r="I167">
        <v>2</v>
      </c>
      <c r="J167">
        <v>2</v>
      </c>
      <c r="K167">
        <v>0</v>
      </c>
      <c r="L167">
        <v>5.71</v>
      </c>
      <c r="M167">
        <v>31920</v>
      </c>
      <c r="N167">
        <v>16</v>
      </c>
      <c r="O167">
        <v>2</v>
      </c>
      <c r="P167">
        <v>2</v>
      </c>
      <c r="Q167">
        <v>2</v>
      </c>
      <c r="R167">
        <v>2</v>
      </c>
      <c r="S167">
        <v>4</v>
      </c>
      <c r="T167">
        <v>4</v>
      </c>
      <c r="U167">
        <v>2</v>
      </c>
      <c r="V167">
        <v>1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0</v>
      </c>
      <c r="AE167">
        <v>1</v>
      </c>
      <c r="AF167">
        <v>1</v>
      </c>
      <c r="AG167">
        <v>0</v>
      </c>
      <c r="AH167">
        <v>1</v>
      </c>
      <c r="AI167">
        <v>2</v>
      </c>
      <c r="AJ167">
        <v>1</v>
      </c>
      <c r="AK167">
        <v>1</v>
      </c>
      <c r="AL167">
        <v>724467.62</v>
      </c>
      <c r="AM167">
        <v>1251994.75</v>
      </c>
      <c r="AN167">
        <v>2888393.5</v>
      </c>
      <c r="AO167">
        <v>1587203.5</v>
      </c>
      <c r="AP167">
        <v>2871122</v>
      </c>
      <c r="AQ167">
        <v>2765578.5</v>
      </c>
      <c r="AR167">
        <v>2160796</v>
      </c>
      <c r="AS167">
        <v>1597322.75</v>
      </c>
      <c r="AT167" s="23" t="s">
        <v>972</v>
      </c>
      <c r="AU167" s="18">
        <v>33707.910000000003</v>
      </c>
      <c r="AV167" s="18">
        <v>1035570.44</v>
      </c>
      <c r="AW167" s="19">
        <v>2346023.75</v>
      </c>
      <c r="AX167" s="19">
        <v>1505251.5</v>
      </c>
      <c r="AY167" s="20">
        <v>1222382.75</v>
      </c>
      <c r="AZ167" s="20">
        <v>1245820.3799999999</v>
      </c>
      <c r="BA167" s="21">
        <v>1246661.1200000001</v>
      </c>
      <c r="BB167" s="21">
        <v>1365444.25</v>
      </c>
    </row>
    <row r="168" spans="1:54" hidden="1">
      <c r="A168">
        <v>20268</v>
      </c>
      <c r="B168" t="s">
        <v>852</v>
      </c>
      <c r="C168" t="s">
        <v>853</v>
      </c>
      <c r="D168" t="s">
        <v>852</v>
      </c>
      <c r="F168" t="s">
        <v>854</v>
      </c>
      <c r="G168">
        <v>68.543000000000006</v>
      </c>
      <c r="H168" t="s">
        <v>57</v>
      </c>
      <c r="I168">
        <v>2</v>
      </c>
      <c r="J168">
        <v>1</v>
      </c>
      <c r="K168">
        <v>0</v>
      </c>
      <c r="L168">
        <v>6.04</v>
      </c>
      <c r="M168">
        <v>51356</v>
      </c>
      <c r="N168">
        <v>27</v>
      </c>
      <c r="O168">
        <v>3</v>
      </c>
      <c r="P168">
        <v>3</v>
      </c>
      <c r="Q168">
        <v>3</v>
      </c>
      <c r="R168">
        <v>3</v>
      </c>
      <c r="S168">
        <v>13</v>
      </c>
      <c r="T168">
        <v>13</v>
      </c>
      <c r="U168">
        <v>3</v>
      </c>
      <c r="V168">
        <v>2</v>
      </c>
      <c r="W168">
        <v>2</v>
      </c>
      <c r="X168">
        <v>2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1</v>
      </c>
      <c r="AE168">
        <v>1</v>
      </c>
      <c r="AF168">
        <v>1</v>
      </c>
      <c r="AG168">
        <v>1</v>
      </c>
      <c r="AH168">
        <v>3</v>
      </c>
      <c r="AI168">
        <v>3</v>
      </c>
      <c r="AJ168">
        <v>3</v>
      </c>
      <c r="AK168">
        <v>1</v>
      </c>
      <c r="AL168">
        <v>2790034</v>
      </c>
      <c r="AM168">
        <v>5158949</v>
      </c>
      <c r="AN168">
        <v>3270951</v>
      </c>
      <c r="AO168">
        <v>3413167.75</v>
      </c>
      <c r="AP168">
        <v>9469288</v>
      </c>
      <c r="AQ168">
        <v>8890635</v>
      </c>
      <c r="AR168">
        <v>3721600.5</v>
      </c>
      <c r="AS168">
        <v>2354185.5</v>
      </c>
      <c r="AT168" s="23" t="s">
        <v>853</v>
      </c>
      <c r="AU168" s="18">
        <v>4559944.5</v>
      </c>
      <c r="AV168" s="18">
        <v>4096087.5</v>
      </c>
      <c r="AW168" s="19">
        <v>2581585.5</v>
      </c>
      <c r="AX168" s="19">
        <v>2716235</v>
      </c>
      <c r="AY168" s="20">
        <v>3372562.5</v>
      </c>
      <c r="AZ168" s="20">
        <v>3435949</v>
      </c>
      <c r="BA168" s="21">
        <v>1741334.38</v>
      </c>
      <c r="BB168" s="21">
        <v>1621184.38</v>
      </c>
    </row>
    <row r="169" spans="1:54" hidden="1">
      <c r="A169">
        <v>20198</v>
      </c>
      <c r="B169" t="s">
        <v>983</v>
      </c>
      <c r="C169" t="s">
        <v>984</v>
      </c>
      <c r="D169" t="s">
        <v>985</v>
      </c>
      <c r="F169" t="s">
        <v>986</v>
      </c>
      <c r="G169">
        <v>35.463000000000001</v>
      </c>
      <c r="H169" t="s">
        <v>57</v>
      </c>
      <c r="I169">
        <v>2</v>
      </c>
      <c r="J169">
        <v>2</v>
      </c>
      <c r="K169">
        <v>0</v>
      </c>
      <c r="L169">
        <v>4.04</v>
      </c>
      <c r="M169">
        <v>50728</v>
      </c>
      <c r="N169">
        <v>27</v>
      </c>
      <c r="O169">
        <v>2</v>
      </c>
      <c r="P169">
        <v>2</v>
      </c>
      <c r="Q169">
        <v>2</v>
      </c>
      <c r="R169">
        <v>2</v>
      </c>
      <c r="S169">
        <v>3</v>
      </c>
      <c r="T169">
        <v>3</v>
      </c>
      <c r="U169">
        <v>2</v>
      </c>
      <c r="V169">
        <v>1</v>
      </c>
      <c r="W169">
        <v>2</v>
      </c>
      <c r="X169">
        <v>2</v>
      </c>
      <c r="Y169">
        <v>1</v>
      </c>
      <c r="Z169">
        <v>2</v>
      </c>
      <c r="AA169">
        <v>2</v>
      </c>
      <c r="AB169">
        <v>2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1091202.1200000001</v>
      </c>
      <c r="AM169">
        <v>2323702.75</v>
      </c>
      <c r="AN169">
        <v>1337736.1200000001</v>
      </c>
      <c r="AO169">
        <v>375317.41</v>
      </c>
      <c r="AP169">
        <v>2867876.25</v>
      </c>
      <c r="AQ169">
        <v>2780810.5</v>
      </c>
      <c r="AR169">
        <v>1113762.5</v>
      </c>
      <c r="AS169">
        <v>467441.22</v>
      </c>
      <c r="AT169" s="23" t="s">
        <v>984</v>
      </c>
      <c r="AU169" s="18">
        <v>29536.81</v>
      </c>
      <c r="AV169" s="18">
        <v>1833683.62</v>
      </c>
      <c r="AW169" s="19">
        <v>1024638.62</v>
      </c>
      <c r="AX169" s="19">
        <v>109027.95</v>
      </c>
      <c r="AY169" s="20">
        <v>1525220.5</v>
      </c>
      <c r="AZ169" s="20">
        <v>1575937.5</v>
      </c>
      <c r="BA169" s="21">
        <v>899576.38</v>
      </c>
      <c r="BB169" s="21">
        <v>305674.62</v>
      </c>
    </row>
    <row r="170" spans="1:54" hidden="1">
      <c r="A170">
        <v>20055</v>
      </c>
      <c r="B170" t="s">
        <v>1016</v>
      </c>
      <c r="C170" t="s">
        <v>1017</v>
      </c>
      <c r="D170" t="s">
        <v>1018</v>
      </c>
      <c r="F170" t="s">
        <v>1019</v>
      </c>
      <c r="G170">
        <v>28.152000000000001</v>
      </c>
      <c r="H170" t="s">
        <v>57</v>
      </c>
      <c r="I170">
        <v>2</v>
      </c>
      <c r="J170">
        <v>21</v>
      </c>
      <c r="K170">
        <v>0</v>
      </c>
      <c r="L170">
        <v>8.68</v>
      </c>
      <c r="M170">
        <v>34426</v>
      </c>
      <c r="N170">
        <v>20</v>
      </c>
      <c r="O170">
        <v>3</v>
      </c>
      <c r="P170">
        <v>3</v>
      </c>
      <c r="Q170">
        <v>3</v>
      </c>
      <c r="R170">
        <v>3</v>
      </c>
      <c r="S170">
        <v>5</v>
      </c>
      <c r="T170">
        <v>5</v>
      </c>
      <c r="U170">
        <v>3</v>
      </c>
      <c r="V170">
        <v>3</v>
      </c>
      <c r="W170">
        <v>1</v>
      </c>
      <c r="X170">
        <v>2</v>
      </c>
      <c r="Y170">
        <v>1</v>
      </c>
      <c r="Z170">
        <v>2</v>
      </c>
      <c r="AA170">
        <v>1</v>
      </c>
      <c r="AB170">
        <v>1</v>
      </c>
      <c r="AC170">
        <v>2</v>
      </c>
      <c r="AD170">
        <v>3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4216751</v>
      </c>
      <c r="AM170">
        <v>1172378.1200000001</v>
      </c>
      <c r="AN170">
        <v>2125773.5</v>
      </c>
      <c r="AO170">
        <v>1458639.12</v>
      </c>
      <c r="AP170">
        <v>2321420.25</v>
      </c>
      <c r="AQ170">
        <v>1803905.38</v>
      </c>
      <c r="AR170">
        <v>1561415.38</v>
      </c>
      <c r="AS170">
        <v>1984116</v>
      </c>
      <c r="AT170" s="23" t="s">
        <v>1017</v>
      </c>
      <c r="AU170" s="18">
        <v>10197287</v>
      </c>
      <c r="AV170" s="18">
        <v>30068.39</v>
      </c>
      <c r="AW170" s="19">
        <v>592772.25</v>
      </c>
      <c r="AX170" s="19">
        <v>61418.67</v>
      </c>
      <c r="AY170" s="20">
        <v>553633.18999999994</v>
      </c>
      <c r="AZ170" s="20">
        <v>51308.77</v>
      </c>
      <c r="BA170" s="21">
        <v>59252.14</v>
      </c>
      <c r="BB170" s="21">
        <v>1392579.12</v>
      </c>
    </row>
    <row r="171" spans="1:54" hidden="1">
      <c r="A171">
        <v>19958</v>
      </c>
      <c r="B171" t="s">
        <v>1120</v>
      </c>
      <c r="C171" t="s">
        <v>1121</v>
      </c>
      <c r="D171" t="s">
        <v>1122</v>
      </c>
      <c r="F171" t="s">
        <v>1123</v>
      </c>
      <c r="G171">
        <v>17.562000000000001</v>
      </c>
      <c r="H171" t="s">
        <v>57</v>
      </c>
      <c r="I171">
        <v>2</v>
      </c>
      <c r="J171">
        <v>21</v>
      </c>
      <c r="K171">
        <v>0</v>
      </c>
      <c r="L171">
        <v>9.15</v>
      </c>
      <c r="M171">
        <v>17120</v>
      </c>
      <c r="N171">
        <v>12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653093.93999999994</v>
      </c>
      <c r="AN171">
        <v>960739.19</v>
      </c>
      <c r="AO171">
        <v>729049.75</v>
      </c>
      <c r="AP171">
        <v>827091.12</v>
      </c>
      <c r="AQ171">
        <v>817359</v>
      </c>
      <c r="AR171">
        <v>1088114.3799999999</v>
      </c>
      <c r="AS171">
        <v>812508.75</v>
      </c>
      <c r="AT171" s="23" t="s">
        <v>1121</v>
      </c>
      <c r="AU171" s="18">
        <v>653093.93999999994</v>
      </c>
      <c r="AV171" s="18">
        <v>111774.65</v>
      </c>
      <c r="AW171" s="19">
        <v>741787.25</v>
      </c>
      <c r="AX171" s="19">
        <v>648328.25</v>
      </c>
      <c r="AY171" s="20">
        <v>333049.56</v>
      </c>
      <c r="AZ171" s="20">
        <v>351367.97</v>
      </c>
      <c r="BA171" s="21">
        <v>582635.75</v>
      </c>
      <c r="BB171" s="21">
        <v>637718.62</v>
      </c>
    </row>
    <row r="172" spans="1:54" hidden="1">
      <c r="A172">
        <v>20069</v>
      </c>
      <c r="B172" t="s">
        <v>818</v>
      </c>
      <c r="C172" t="s">
        <v>819</v>
      </c>
      <c r="D172" t="s">
        <v>820</v>
      </c>
      <c r="F172" t="s">
        <v>821</v>
      </c>
      <c r="G172">
        <v>86.649000000000001</v>
      </c>
      <c r="H172" t="s">
        <v>57</v>
      </c>
      <c r="I172">
        <v>2</v>
      </c>
      <c r="J172">
        <v>21</v>
      </c>
      <c r="K172">
        <v>0</v>
      </c>
      <c r="L172">
        <v>7.75</v>
      </c>
      <c r="M172">
        <v>32491</v>
      </c>
      <c r="N172">
        <v>16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1</v>
      </c>
      <c r="X172">
        <v>1</v>
      </c>
      <c r="Y172">
        <v>1</v>
      </c>
      <c r="Z172">
        <v>2</v>
      </c>
      <c r="AA172">
        <v>2</v>
      </c>
      <c r="AB172">
        <v>2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397931</v>
      </c>
      <c r="AN172">
        <v>477705.38</v>
      </c>
      <c r="AO172">
        <v>554611.38</v>
      </c>
      <c r="AP172">
        <v>1652693.88</v>
      </c>
      <c r="AQ172">
        <v>1824246.25</v>
      </c>
      <c r="AR172">
        <v>2684958.25</v>
      </c>
      <c r="AS172">
        <v>718794.5</v>
      </c>
      <c r="AT172" s="23" t="s">
        <v>819</v>
      </c>
      <c r="AU172" s="18">
        <v>53839.85</v>
      </c>
      <c r="AV172" s="18">
        <v>111774.65</v>
      </c>
      <c r="AW172" s="19">
        <v>36828.959999999999</v>
      </c>
      <c r="AX172" s="19">
        <v>42119.75</v>
      </c>
      <c r="AY172" s="20">
        <v>967023.88</v>
      </c>
      <c r="AZ172" s="20">
        <v>1130034.6200000001</v>
      </c>
      <c r="BA172" s="21">
        <v>1976548.75</v>
      </c>
      <c r="BB172" s="21">
        <v>315402.28000000003</v>
      </c>
    </row>
    <row r="173" spans="1:54" hidden="1">
      <c r="A173">
        <v>20103</v>
      </c>
      <c r="B173" t="s">
        <v>493</v>
      </c>
      <c r="C173" t="s">
        <v>494</v>
      </c>
      <c r="D173" t="s">
        <v>495</v>
      </c>
      <c r="F173" t="s">
        <v>496</v>
      </c>
      <c r="G173">
        <v>317.74200000000002</v>
      </c>
      <c r="H173" t="s">
        <v>57</v>
      </c>
      <c r="I173">
        <v>2</v>
      </c>
      <c r="J173">
        <v>21</v>
      </c>
      <c r="K173">
        <v>0</v>
      </c>
      <c r="L173">
        <v>63.16</v>
      </c>
      <c r="M173">
        <v>15154</v>
      </c>
      <c r="N173">
        <v>10</v>
      </c>
      <c r="O173">
        <v>7</v>
      </c>
      <c r="P173">
        <v>7</v>
      </c>
      <c r="Q173">
        <v>7</v>
      </c>
      <c r="R173">
        <v>7</v>
      </c>
      <c r="S173">
        <v>98</v>
      </c>
      <c r="T173">
        <v>98</v>
      </c>
      <c r="U173">
        <v>7</v>
      </c>
      <c r="V173">
        <v>6</v>
      </c>
      <c r="W173">
        <v>6</v>
      </c>
      <c r="X173">
        <v>6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8</v>
      </c>
      <c r="AE173">
        <v>14</v>
      </c>
      <c r="AF173">
        <v>12</v>
      </c>
      <c r="AG173">
        <v>13</v>
      </c>
      <c r="AH173">
        <v>16</v>
      </c>
      <c r="AI173">
        <v>13</v>
      </c>
      <c r="AJ173">
        <v>11</v>
      </c>
      <c r="AK173">
        <v>11</v>
      </c>
      <c r="AL173">
        <v>131438640</v>
      </c>
      <c r="AM173">
        <v>130739568</v>
      </c>
      <c r="AN173">
        <v>145224864</v>
      </c>
      <c r="AO173">
        <v>138650832</v>
      </c>
      <c r="AP173">
        <v>308187712</v>
      </c>
      <c r="AQ173">
        <v>271813376</v>
      </c>
      <c r="AR173">
        <v>157586096</v>
      </c>
      <c r="AS173">
        <v>97146304</v>
      </c>
      <c r="AT173" s="23" t="s">
        <v>494</v>
      </c>
      <c r="AU173" s="18">
        <v>127695496</v>
      </c>
      <c r="AV173" s="18">
        <v>109527168</v>
      </c>
      <c r="AW173" s="19">
        <v>129892632</v>
      </c>
      <c r="AX173" s="19">
        <v>153732800</v>
      </c>
      <c r="AY173" s="20">
        <v>151075168</v>
      </c>
      <c r="AZ173" s="20">
        <v>151221968</v>
      </c>
      <c r="BA173" s="21">
        <v>116923848</v>
      </c>
      <c r="BB173" s="21">
        <v>109185048</v>
      </c>
    </row>
    <row r="174" spans="1:54" hidden="1">
      <c r="A174">
        <v>20030</v>
      </c>
      <c r="B174" t="s">
        <v>1205</v>
      </c>
      <c r="C174" t="s">
        <v>1206</v>
      </c>
      <c r="D174" t="s">
        <v>1207</v>
      </c>
      <c r="F174" t="s">
        <v>1208</v>
      </c>
      <c r="G174">
        <v>10.41</v>
      </c>
      <c r="H174" t="s">
        <v>57</v>
      </c>
      <c r="I174">
        <v>2</v>
      </c>
      <c r="J174">
        <v>19</v>
      </c>
      <c r="K174">
        <v>0</v>
      </c>
      <c r="L174">
        <v>3.12</v>
      </c>
      <c r="M174">
        <v>37972</v>
      </c>
      <c r="N174">
        <v>21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0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854784.25</v>
      </c>
      <c r="AM174">
        <v>1260803.6200000001</v>
      </c>
      <c r="AN174">
        <v>1353946.5</v>
      </c>
      <c r="AO174">
        <v>1178134.8799999999</v>
      </c>
      <c r="AP174">
        <v>1393279.12</v>
      </c>
      <c r="AQ174">
        <v>1566674.75</v>
      </c>
      <c r="AR174">
        <v>911209.75</v>
      </c>
      <c r="AS174">
        <v>586862</v>
      </c>
      <c r="AT174" s="23" t="s">
        <v>1206</v>
      </c>
      <c r="AU174" s="18">
        <v>854784.25</v>
      </c>
      <c r="AV174" s="18">
        <v>972990.19</v>
      </c>
      <c r="AW174" s="19">
        <v>1045382.81</v>
      </c>
      <c r="AX174" s="19">
        <v>1047690</v>
      </c>
      <c r="AY174" s="20">
        <v>561039.75</v>
      </c>
      <c r="AZ174" s="20">
        <v>673485.44</v>
      </c>
      <c r="BA174" s="21">
        <v>487911.41</v>
      </c>
      <c r="BB174" s="21">
        <v>460613.91</v>
      </c>
    </row>
    <row r="175" spans="1:54" hidden="1">
      <c r="A175">
        <v>20255</v>
      </c>
      <c r="B175" t="s">
        <v>293</v>
      </c>
      <c r="C175" t="s">
        <v>294</v>
      </c>
      <c r="D175" t="s">
        <v>293</v>
      </c>
      <c r="F175" t="s">
        <v>295</v>
      </c>
      <c r="G175">
        <v>706.32500000000005</v>
      </c>
      <c r="H175" t="s">
        <v>57</v>
      </c>
      <c r="I175">
        <v>2</v>
      </c>
      <c r="J175">
        <v>1</v>
      </c>
      <c r="K175">
        <v>0</v>
      </c>
      <c r="L175">
        <v>51.1</v>
      </c>
      <c r="M175">
        <v>49988</v>
      </c>
      <c r="N175">
        <v>29</v>
      </c>
      <c r="O175">
        <v>18</v>
      </c>
      <c r="P175">
        <v>18</v>
      </c>
      <c r="Q175">
        <v>18</v>
      </c>
      <c r="R175">
        <v>18</v>
      </c>
      <c r="S175">
        <v>163</v>
      </c>
      <c r="T175">
        <v>163</v>
      </c>
      <c r="U175">
        <v>18</v>
      </c>
      <c r="V175">
        <v>15</v>
      </c>
      <c r="W175">
        <v>12</v>
      </c>
      <c r="X175">
        <v>15</v>
      </c>
      <c r="Y175">
        <v>14</v>
      </c>
      <c r="Z175">
        <v>16</v>
      </c>
      <c r="AA175">
        <v>18</v>
      </c>
      <c r="AB175">
        <v>17</v>
      </c>
      <c r="AC175">
        <v>17</v>
      </c>
      <c r="AD175">
        <v>14</v>
      </c>
      <c r="AE175">
        <v>9</v>
      </c>
      <c r="AF175">
        <v>19</v>
      </c>
      <c r="AG175">
        <v>21</v>
      </c>
      <c r="AH175">
        <v>25</v>
      </c>
      <c r="AI175">
        <v>26</v>
      </c>
      <c r="AJ175">
        <v>26</v>
      </c>
      <c r="AK175">
        <v>23</v>
      </c>
      <c r="AL175">
        <v>36013348</v>
      </c>
      <c r="AM175">
        <v>38076944</v>
      </c>
      <c r="AN175">
        <v>74211256</v>
      </c>
      <c r="AO175">
        <v>68804872</v>
      </c>
      <c r="AP175">
        <v>117664936</v>
      </c>
      <c r="AQ175">
        <v>119213616</v>
      </c>
      <c r="AR175">
        <v>136809600</v>
      </c>
      <c r="AS175">
        <v>92551184</v>
      </c>
      <c r="AT175" s="23" t="s">
        <v>294</v>
      </c>
      <c r="AU175" s="18">
        <v>39316120</v>
      </c>
      <c r="AV175" s="18">
        <v>36903444</v>
      </c>
      <c r="AW175" s="19">
        <v>65083368</v>
      </c>
      <c r="AX175" s="19">
        <v>72865632</v>
      </c>
      <c r="AY175" s="20">
        <v>58540212</v>
      </c>
      <c r="AZ175" s="20">
        <v>66413856</v>
      </c>
      <c r="BA175" s="21">
        <v>89588776</v>
      </c>
      <c r="BB175" s="21">
        <v>84657424</v>
      </c>
    </row>
    <row r="176" spans="1:54" hidden="1">
      <c r="A176">
        <v>20066</v>
      </c>
      <c r="B176" t="s">
        <v>1054</v>
      </c>
      <c r="C176" t="s">
        <v>1055</v>
      </c>
      <c r="D176" t="s">
        <v>1056</v>
      </c>
      <c r="F176" t="s">
        <v>1057</v>
      </c>
      <c r="G176">
        <v>24.359000000000002</v>
      </c>
      <c r="H176" t="s">
        <v>57</v>
      </c>
      <c r="I176">
        <v>2</v>
      </c>
      <c r="J176">
        <v>21</v>
      </c>
      <c r="K176">
        <v>0</v>
      </c>
      <c r="L176">
        <v>8.2899999999999991</v>
      </c>
      <c r="M176">
        <v>23353</v>
      </c>
      <c r="N176">
        <v>13</v>
      </c>
      <c r="O176">
        <v>2</v>
      </c>
      <c r="P176">
        <v>2</v>
      </c>
      <c r="Q176">
        <v>2</v>
      </c>
      <c r="R176">
        <v>2</v>
      </c>
      <c r="S176">
        <v>8</v>
      </c>
      <c r="T176">
        <v>8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1</v>
      </c>
      <c r="AE176">
        <v>1</v>
      </c>
      <c r="AF176">
        <v>1</v>
      </c>
      <c r="AG176">
        <v>2</v>
      </c>
      <c r="AH176">
        <v>1</v>
      </c>
      <c r="AI176">
        <v>1</v>
      </c>
      <c r="AJ176">
        <v>1</v>
      </c>
      <c r="AK176">
        <v>1</v>
      </c>
      <c r="AL176">
        <v>1580999.25</v>
      </c>
      <c r="AM176">
        <v>2521375.75</v>
      </c>
      <c r="AN176">
        <v>3335820</v>
      </c>
      <c r="AO176">
        <v>3073529.25</v>
      </c>
      <c r="AP176">
        <v>2915623.75</v>
      </c>
      <c r="AQ176">
        <v>3097467.5</v>
      </c>
      <c r="AR176">
        <v>2448791</v>
      </c>
      <c r="AS176">
        <v>1586848.88</v>
      </c>
      <c r="AT176" s="23" t="s">
        <v>1055</v>
      </c>
      <c r="AU176" s="18">
        <v>1636641.38</v>
      </c>
      <c r="AV176" s="18">
        <v>2077298.62</v>
      </c>
      <c r="AW176" s="19">
        <v>2678955.25</v>
      </c>
      <c r="AX176" s="19">
        <v>2810078.75</v>
      </c>
      <c r="AY176" s="20">
        <v>1240549</v>
      </c>
      <c r="AZ176" s="20">
        <v>1311718.5</v>
      </c>
      <c r="BA176" s="21">
        <v>1076542.1200000001</v>
      </c>
      <c r="BB176" s="21">
        <v>1061908.75</v>
      </c>
    </row>
    <row r="177" spans="1:54" hidden="1">
      <c r="A177">
        <v>20086</v>
      </c>
      <c r="B177" t="s">
        <v>677</v>
      </c>
      <c r="C177" t="s">
        <v>678</v>
      </c>
      <c r="D177" t="s">
        <v>679</v>
      </c>
      <c r="F177" t="s">
        <v>680</v>
      </c>
      <c r="G177">
        <v>142.02099999999999</v>
      </c>
      <c r="H177" t="s">
        <v>57</v>
      </c>
      <c r="I177">
        <v>2</v>
      </c>
      <c r="J177">
        <v>21</v>
      </c>
      <c r="K177">
        <v>0</v>
      </c>
      <c r="L177">
        <v>43.96</v>
      </c>
      <c r="M177">
        <v>20605</v>
      </c>
      <c r="N177">
        <v>12</v>
      </c>
      <c r="O177">
        <v>7</v>
      </c>
      <c r="P177">
        <v>7</v>
      </c>
      <c r="Q177">
        <v>7</v>
      </c>
      <c r="R177">
        <v>7</v>
      </c>
      <c r="S177">
        <v>21</v>
      </c>
      <c r="T177">
        <v>21</v>
      </c>
      <c r="U177">
        <v>7</v>
      </c>
      <c r="V177">
        <v>6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6</v>
      </c>
      <c r="AC177">
        <v>6</v>
      </c>
      <c r="AD177">
        <v>1</v>
      </c>
      <c r="AE177">
        <v>2</v>
      </c>
      <c r="AF177">
        <v>1</v>
      </c>
      <c r="AG177">
        <v>4</v>
      </c>
      <c r="AH177">
        <v>4</v>
      </c>
      <c r="AI177">
        <v>3</v>
      </c>
      <c r="AJ177">
        <v>3</v>
      </c>
      <c r="AK177">
        <v>3</v>
      </c>
      <c r="AL177">
        <v>8004741.5</v>
      </c>
      <c r="AM177">
        <v>10985611</v>
      </c>
      <c r="AN177">
        <v>11387178</v>
      </c>
      <c r="AO177">
        <v>10707967</v>
      </c>
      <c r="AP177">
        <v>19995704</v>
      </c>
      <c r="AQ177">
        <v>18311946</v>
      </c>
      <c r="AR177">
        <v>9653630</v>
      </c>
      <c r="AS177">
        <v>6708371</v>
      </c>
      <c r="AT177" s="23" t="s">
        <v>678</v>
      </c>
      <c r="AU177" s="18">
        <v>8428108</v>
      </c>
      <c r="AV177" s="18">
        <v>8544513</v>
      </c>
      <c r="AW177" s="19">
        <v>8801945</v>
      </c>
      <c r="AX177" s="19">
        <v>9287683</v>
      </c>
      <c r="AY177" s="20">
        <v>7454384.5</v>
      </c>
      <c r="AZ177" s="20">
        <v>7816648.5</v>
      </c>
      <c r="BA177" s="21">
        <v>5377835.5</v>
      </c>
      <c r="BB177" s="21">
        <v>5630168.5</v>
      </c>
    </row>
    <row r="178" spans="1:54" hidden="1">
      <c r="A178">
        <v>20158</v>
      </c>
      <c r="B178" t="s">
        <v>623</v>
      </c>
      <c r="C178" t="s">
        <v>624</v>
      </c>
      <c r="D178" t="s">
        <v>625</v>
      </c>
      <c r="E178" t="s">
        <v>626</v>
      </c>
      <c r="F178" t="s">
        <v>627</v>
      </c>
      <c r="G178">
        <v>189.804</v>
      </c>
      <c r="H178" t="s">
        <v>57</v>
      </c>
      <c r="I178">
        <v>2</v>
      </c>
      <c r="J178">
        <v>5</v>
      </c>
      <c r="K178">
        <v>7</v>
      </c>
      <c r="L178">
        <v>26.72</v>
      </c>
      <c r="M178">
        <v>42309</v>
      </c>
      <c r="N178">
        <v>22</v>
      </c>
      <c r="O178">
        <v>7</v>
      </c>
      <c r="P178">
        <v>7</v>
      </c>
      <c r="Q178">
        <v>7</v>
      </c>
      <c r="R178">
        <v>7</v>
      </c>
      <c r="S178">
        <v>22</v>
      </c>
      <c r="T178">
        <v>22</v>
      </c>
      <c r="U178">
        <v>7</v>
      </c>
      <c r="V178">
        <v>6</v>
      </c>
      <c r="W178">
        <v>7</v>
      </c>
      <c r="X178">
        <v>6</v>
      </c>
      <c r="Y178">
        <v>6</v>
      </c>
      <c r="Z178">
        <v>7</v>
      </c>
      <c r="AA178">
        <v>7</v>
      </c>
      <c r="AB178">
        <v>7</v>
      </c>
      <c r="AC178">
        <v>7</v>
      </c>
      <c r="AD178">
        <v>1</v>
      </c>
      <c r="AE178">
        <v>1</v>
      </c>
      <c r="AF178">
        <v>3</v>
      </c>
      <c r="AG178">
        <v>5</v>
      </c>
      <c r="AH178">
        <v>3</v>
      </c>
      <c r="AI178">
        <v>3</v>
      </c>
      <c r="AJ178">
        <v>3</v>
      </c>
      <c r="AK178">
        <v>3</v>
      </c>
      <c r="AL178">
        <v>8582850</v>
      </c>
      <c r="AM178">
        <v>10253629</v>
      </c>
      <c r="AN178">
        <v>18703462</v>
      </c>
      <c r="AO178">
        <v>16562366</v>
      </c>
      <c r="AP178">
        <v>18394630</v>
      </c>
      <c r="AQ178">
        <v>17802348</v>
      </c>
      <c r="AR178">
        <v>16229218</v>
      </c>
      <c r="AS178">
        <v>10918714</v>
      </c>
      <c r="AT178" s="23" t="s">
        <v>624</v>
      </c>
      <c r="AU178" s="18">
        <v>8173212.5</v>
      </c>
      <c r="AV178" s="18">
        <v>7661905</v>
      </c>
      <c r="AW178" s="19">
        <v>14257450</v>
      </c>
      <c r="AX178" s="19">
        <v>14390559</v>
      </c>
      <c r="AY178" s="20">
        <v>6872495.5</v>
      </c>
      <c r="AZ178" s="20">
        <v>7595149</v>
      </c>
      <c r="BA178" s="21">
        <v>9453275</v>
      </c>
      <c r="BB178" s="21">
        <v>9685716</v>
      </c>
    </row>
    <row r="179" spans="1:54" hidden="1">
      <c r="A179">
        <v>20075</v>
      </c>
      <c r="B179" t="s">
        <v>1362</v>
      </c>
      <c r="C179" t="s">
        <v>1363</v>
      </c>
      <c r="D179" t="s">
        <v>1364</v>
      </c>
      <c r="F179" t="s">
        <v>1365</v>
      </c>
      <c r="G179">
        <v>0</v>
      </c>
      <c r="H179" t="s">
        <v>57</v>
      </c>
      <c r="I179">
        <v>2</v>
      </c>
      <c r="J179">
        <v>2</v>
      </c>
      <c r="K179">
        <v>0</v>
      </c>
      <c r="L179">
        <v>3.16</v>
      </c>
      <c r="M179">
        <v>54763</v>
      </c>
      <c r="N179">
        <v>37</v>
      </c>
      <c r="O179">
        <v>2</v>
      </c>
      <c r="P179">
        <v>2</v>
      </c>
      <c r="Q179">
        <v>2</v>
      </c>
      <c r="R179">
        <v>2</v>
      </c>
      <c r="S179">
        <v>8</v>
      </c>
      <c r="T179">
        <v>8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3</v>
      </c>
      <c r="AE179">
        <v>3</v>
      </c>
      <c r="AF179">
        <v>3</v>
      </c>
      <c r="AG179">
        <v>3</v>
      </c>
      <c r="AH179">
        <v>4</v>
      </c>
      <c r="AI179">
        <v>5</v>
      </c>
      <c r="AJ179">
        <v>3</v>
      </c>
      <c r="AK179">
        <v>5</v>
      </c>
      <c r="AL179">
        <v>7023722</v>
      </c>
      <c r="AM179">
        <v>29821352</v>
      </c>
      <c r="AN179">
        <v>19990740</v>
      </c>
      <c r="AO179">
        <v>20218440</v>
      </c>
      <c r="AP179">
        <v>63868780</v>
      </c>
      <c r="AQ179">
        <v>68772784</v>
      </c>
      <c r="AR179">
        <v>42932484</v>
      </c>
      <c r="AS179">
        <v>32938646</v>
      </c>
      <c r="AT179" s="23" t="s">
        <v>1363</v>
      </c>
      <c r="AU179" s="18">
        <v>872364.25</v>
      </c>
      <c r="AV179" s="18">
        <v>25120948</v>
      </c>
      <c r="AW179" s="19">
        <v>15575412</v>
      </c>
      <c r="AX179" s="19">
        <v>18425078</v>
      </c>
      <c r="AY179" s="20">
        <v>28469352</v>
      </c>
      <c r="AZ179" s="20">
        <v>31723522</v>
      </c>
      <c r="BA179" s="21">
        <v>20727030</v>
      </c>
      <c r="BB179" s="21">
        <v>25253480</v>
      </c>
    </row>
    <row r="180" spans="1:54" hidden="1">
      <c r="A180">
        <v>20262</v>
      </c>
      <c r="B180" t="s">
        <v>954</v>
      </c>
      <c r="C180" t="s">
        <v>955</v>
      </c>
      <c r="D180" t="s">
        <v>954</v>
      </c>
      <c r="F180" t="s">
        <v>956</v>
      </c>
      <c r="G180">
        <v>41.040999999999997</v>
      </c>
      <c r="H180" t="s">
        <v>57</v>
      </c>
      <c r="I180">
        <v>2</v>
      </c>
      <c r="J180">
        <v>1</v>
      </c>
      <c r="K180">
        <v>0</v>
      </c>
      <c r="L180">
        <v>3.32</v>
      </c>
      <c r="M180">
        <v>92108</v>
      </c>
      <c r="N180">
        <v>49</v>
      </c>
      <c r="O180">
        <v>3</v>
      </c>
      <c r="P180">
        <v>3</v>
      </c>
      <c r="Q180">
        <v>3</v>
      </c>
      <c r="R180">
        <v>3</v>
      </c>
      <c r="S180">
        <v>5</v>
      </c>
      <c r="T180">
        <v>5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2</v>
      </c>
      <c r="AJ180">
        <v>1</v>
      </c>
      <c r="AK180">
        <v>0</v>
      </c>
      <c r="AL180">
        <v>1026989.31</v>
      </c>
      <c r="AM180">
        <v>2096546.88</v>
      </c>
      <c r="AN180">
        <v>1234613.75</v>
      </c>
      <c r="AO180">
        <v>1052049.8799999999</v>
      </c>
      <c r="AP180">
        <v>4333877</v>
      </c>
      <c r="AQ180">
        <v>4430238</v>
      </c>
      <c r="AR180">
        <v>2934543.5</v>
      </c>
      <c r="AS180">
        <v>1097343.1200000001</v>
      </c>
      <c r="AT180" s="23" t="s">
        <v>955</v>
      </c>
      <c r="AU180" s="18">
        <v>1270884.25</v>
      </c>
      <c r="AV180" s="18">
        <v>1183160</v>
      </c>
      <c r="AW180" s="19">
        <v>1128527.5</v>
      </c>
      <c r="AX180" s="19">
        <v>1262542.8799999999</v>
      </c>
      <c r="AY180" s="20">
        <v>1742012.88</v>
      </c>
      <c r="AZ180" s="20">
        <v>2048241.5</v>
      </c>
      <c r="BA180" s="21">
        <v>1164193.8799999999</v>
      </c>
      <c r="BB180" s="21">
        <v>830333.19</v>
      </c>
    </row>
    <row r="181" spans="1:54" hidden="1">
      <c r="A181">
        <v>20125</v>
      </c>
      <c r="B181" t="s">
        <v>95</v>
      </c>
      <c r="C181" t="s">
        <v>96</v>
      </c>
      <c r="D181" t="s">
        <v>95</v>
      </c>
      <c r="E181" t="s">
        <v>97</v>
      </c>
      <c r="F181" t="s">
        <v>98</v>
      </c>
      <c r="G181">
        <v>2038.5840000000001</v>
      </c>
      <c r="H181" t="s">
        <v>57</v>
      </c>
      <c r="I181">
        <v>2</v>
      </c>
      <c r="J181">
        <v>1</v>
      </c>
      <c r="K181">
        <v>19</v>
      </c>
      <c r="L181">
        <v>88.89</v>
      </c>
      <c r="M181">
        <v>24743</v>
      </c>
      <c r="N181">
        <v>15</v>
      </c>
      <c r="O181">
        <v>31</v>
      </c>
      <c r="P181">
        <v>31</v>
      </c>
      <c r="Q181">
        <v>38</v>
      </c>
      <c r="R181">
        <v>38</v>
      </c>
      <c r="S181">
        <v>3678</v>
      </c>
      <c r="T181">
        <v>3678</v>
      </c>
      <c r="U181">
        <v>37</v>
      </c>
      <c r="V181">
        <v>30</v>
      </c>
      <c r="W181">
        <v>33</v>
      </c>
      <c r="X181">
        <v>33</v>
      </c>
      <c r="Y181">
        <v>34</v>
      </c>
      <c r="Z181">
        <v>36</v>
      </c>
      <c r="AA181">
        <v>37</v>
      </c>
      <c r="AB181">
        <v>36</v>
      </c>
      <c r="AC181">
        <v>34</v>
      </c>
      <c r="AD181">
        <v>371</v>
      </c>
      <c r="AE181">
        <v>431</v>
      </c>
      <c r="AF181">
        <v>488</v>
      </c>
      <c r="AG181">
        <v>461</v>
      </c>
      <c r="AH181">
        <v>541</v>
      </c>
      <c r="AI181">
        <v>530</v>
      </c>
      <c r="AJ181">
        <v>469</v>
      </c>
      <c r="AK181">
        <v>386</v>
      </c>
      <c r="AL181">
        <v>10547123200</v>
      </c>
      <c r="AM181">
        <v>11396372480</v>
      </c>
      <c r="AN181">
        <v>10523552768</v>
      </c>
      <c r="AO181">
        <v>10584364032</v>
      </c>
      <c r="AP181">
        <v>18355470336</v>
      </c>
      <c r="AQ181">
        <v>17108591616</v>
      </c>
      <c r="AR181">
        <v>11598326784</v>
      </c>
      <c r="AS181">
        <v>8836291584</v>
      </c>
      <c r="AT181" s="23" t="s">
        <v>96</v>
      </c>
      <c r="AU181" s="18">
        <v>7310047744</v>
      </c>
      <c r="AV181" s="18">
        <v>8660091904</v>
      </c>
      <c r="AW181" s="19">
        <v>8718371840</v>
      </c>
      <c r="AX181" s="19">
        <v>10651386880</v>
      </c>
      <c r="AY181" s="20">
        <v>9672096768</v>
      </c>
      <c r="AZ181" s="20">
        <v>10155130880</v>
      </c>
      <c r="BA181" s="21">
        <v>8904524800</v>
      </c>
      <c r="BB181" s="21">
        <v>8930555904</v>
      </c>
    </row>
    <row r="182" spans="1:54" hidden="1">
      <c r="A182">
        <v>20113</v>
      </c>
      <c r="B182" t="s">
        <v>162</v>
      </c>
      <c r="C182" t="s">
        <v>163</v>
      </c>
      <c r="D182" t="s">
        <v>164</v>
      </c>
      <c r="F182" t="s">
        <v>165</v>
      </c>
      <c r="G182">
        <v>1199.692</v>
      </c>
      <c r="H182" t="s">
        <v>57</v>
      </c>
      <c r="I182">
        <v>2</v>
      </c>
      <c r="J182">
        <v>21</v>
      </c>
      <c r="K182">
        <v>0</v>
      </c>
      <c r="L182">
        <v>73.63</v>
      </c>
      <c r="M182">
        <v>29860</v>
      </c>
      <c r="N182">
        <v>18</v>
      </c>
      <c r="O182">
        <v>30</v>
      </c>
      <c r="P182">
        <v>30</v>
      </c>
      <c r="Q182">
        <v>34</v>
      </c>
      <c r="R182">
        <v>34</v>
      </c>
      <c r="S182">
        <v>1355</v>
      </c>
      <c r="T182">
        <v>1355</v>
      </c>
      <c r="U182">
        <v>34</v>
      </c>
      <c r="V182">
        <v>22</v>
      </c>
      <c r="W182">
        <v>29</v>
      </c>
      <c r="X182">
        <v>27</v>
      </c>
      <c r="Y182">
        <v>27</v>
      </c>
      <c r="Z182">
        <v>34</v>
      </c>
      <c r="AA182">
        <v>34</v>
      </c>
      <c r="AB182">
        <v>34</v>
      </c>
      <c r="AC182">
        <v>33</v>
      </c>
      <c r="AD182">
        <v>223</v>
      </c>
      <c r="AE182">
        <v>223</v>
      </c>
      <c r="AF182">
        <v>200</v>
      </c>
      <c r="AG182">
        <v>110</v>
      </c>
      <c r="AH182">
        <v>162</v>
      </c>
      <c r="AI182">
        <v>158</v>
      </c>
      <c r="AJ182">
        <v>131</v>
      </c>
      <c r="AK182">
        <v>148</v>
      </c>
      <c r="AL182">
        <v>993649920</v>
      </c>
      <c r="AM182">
        <v>1851504512</v>
      </c>
      <c r="AN182">
        <v>1187464832</v>
      </c>
      <c r="AO182">
        <v>830914688</v>
      </c>
      <c r="AP182">
        <v>4155383552</v>
      </c>
      <c r="AQ182">
        <v>3685877760</v>
      </c>
      <c r="AR182">
        <v>1940815360</v>
      </c>
      <c r="AS182">
        <v>2028811008</v>
      </c>
      <c r="AT182" s="23" t="s">
        <v>163</v>
      </c>
      <c r="AU182" s="18">
        <v>1015049792</v>
      </c>
      <c r="AV182" s="18">
        <v>1383228544</v>
      </c>
      <c r="AW182" s="19">
        <v>909391424</v>
      </c>
      <c r="AX182" s="19">
        <v>621974208</v>
      </c>
      <c r="AY182" s="20">
        <v>2185104384</v>
      </c>
      <c r="AZ182" s="20">
        <v>2145564160</v>
      </c>
      <c r="BA182" s="21">
        <v>1486115840</v>
      </c>
      <c r="BB182" s="21">
        <v>2036148224</v>
      </c>
    </row>
    <row r="183" spans="1:54" hidden="1">
      <c r="A183">
        <v>20031</v>
      </c>
      <c r="B183" t="s">
        <v>215</v>
      </c>
      <c r="C183" t="s">
        <v>216</v>
      </c>
      <c r="D183" t="s">
        <v>217</v>
      </c>
      <c r="F183" t="s">
        <v>218</v>
      </c>
      <c r="G183">
        <v>916.14400000000001</v>
      </c>
      <c r="H183" t="s">
        <v>57</v>
      </c>
      <c r="I183">
        <v>2</v>
      </c>
      <c r="J183">
        <v>21</v>
      </c>
      <c r="K183">
        <v>0</v>
      </c>
      <c r="L183">
        <v>89.47</v>
      </c>
      <c r="M183">
        <v>22243</v>
      </c>
      <c r="N183">
        <v>16</v>
      </c>
      <c r="O183">
        <v>31</v>
      </c>
      <c r="P183">
        <v>31</v>
      </c>
      <c r="Q183">
        <v>33</v>
      </c>
      <c r="R183">
        <v>33</v>
      </c>
      <c r="S183">
        <v>704</v>
      </c>
      <c r="T183">
        <v>704</v>
      </c>
      <c r="U183">
        <v>33</v>
      </c>
      <c r="V183">
        <v>23</v>
      </c>
      <c r="W183">
        <v>30</v>
      </c>
      <c r="X183">
        <v>28</v>
      </c>
      <c r="Y183">
        <v>29</v>
      </c>
      <c r="Z183">
        <v>30</v>
      </c>
      <c r="AA183">
        <v>28</v>
      </c>
      <c r="AB183">
        <v>28</v>
      </c>
      <c r="AC183">
        <v>27</v>
      </c>
      <c r="AD183">
        <v>145</v>
      </c>
      <c r="AE183">
        <v>102</v>
      </c>
      <c r="AF183">
        <v>104</v>
      </c>
      <c r="AG183">
        <v>61</v>
      </c>
      <c r="AH183">
        <v>84</v>
      </c>
      <c r="AI183">
        <v>68</v>
      </c>
      <c r="AJ183">
        <v>75</v>
      </c>
      <c r="AK183">
        <v>64</v>
      </c>
      <c r="AL183">
        <v>1036462528</v>
      </c>
      <c r="AM183">
        <v>1304613760</v>
      </c>
      <c r="AN183">
        <v>973015424</v>
      </c>
      <c r="AO183">
        <v>456779008</v>
      </c>
      <c r="AP183">
        <v>2433765632</v>
      </c>
      <c r="AQ183">
        <v>2002620672</v>
      </c>
      <c r="AR183">
        <v>903758784</v>
      </c>
      <c r="AS183">
        <v>1025769344</v>
      </c>
      <c r="AT183" s="23" t="s">
        <v>216</v>
      </c>
      <c r="AU183" s="18">
        <v>818432192</v>
      </c>
      <c r="AV183" s="18">
        <v>1118832896</v>
      </c>
      <c r="AW183" s="19">
        <v>868533696</v>
      </c>
      <c r="AX183" s="19">
        <v>392855104</v>
      </c>
      <c r="AY183" s="20">
        <v>1220939648</v>
      </c>
      <c r="AZ183" s="20">
        <v>1057215936</v>
      </c>
      <c r="BA183" s="21">
        <v>585833472</v>
      </c>
      <c r="BB183" s="21">
        <v>583814400</v>
      </c>
    </row>
    <row r="184" spans="1:54" hidden="1">
      <c r="A184">
        <v>19989</v>
      </c>
      <c r="B184" t="s">
        <v>192</v>
      </c>
      <c r="C184" t="s">
        <v>193</v>
      </c>
      <c r="D184" t="s">
        <v>194</v>
      </c>
      <c r="F184" t="s">
        <v>195</v>
      </c>
      <c r="G184">
        <v>1043.558</v>
      </c>
      <c r="H184" t="s">
        <v>57</v>
      </c>
      <c r="I184">
        <v>2</v>
      </c>
      <c r="J184">
        <v>21</v>
      </c>
      <c r="K184">
        <v>0</v>
      </c>
      <c r="L184">
        <v>92.04</v>
      </c>
      <c r="M184">
        <v>22086</v>
      </c>
      <c r="N184">
        <v>13</v>
      </c>
      <c r="O184">
        <v>29</v>
      </c>
      <c r="P184">
        <v>29</v>
      </c>
      <c r="Q184">
        <v>31</v>
      </c>
      <c r="R184">
        <v>31</v>
      </c>
      <c r="S184">
        <v>716</v>
      </c>
      <c r="T184">
        <v>716</v>
      </c>
      <c r="U184">
        <v>31</v>
      </c>
      <c r="V184">
        <v>22</v>
      </c>
      <c r="W184">
        <v>22</v>
      </c>
      <c r="X184">
        <v>27</v>
      </c>
      <c r="Y184">
        <v>22</v>
      </c>
      <c r="Z184">
        <v>28</v>
      </c>
      <c r="AA184">
        <v>27</v>
      </c>
      <c r="AB184">
        <v>28</v>
      </c>
      <c r="AC184">
        <v>26</v>
      </c>
      <c r="AD184">
        <v>91</v>
      </c>
      <c r="AE184">
        <v>83</v>
      </c>
      <c r="AF184">
        <v>95</v>
      </c>
      <c r="AG184">
        <v>59</v>
      </c>
      <c r="AH184">
        <v>93</v>
      </c>
      <c r="AI184">
        <v>96</v>
      </c>
      <c r="AJ184">
        <v>100</v>
      </c>
      <c r="AK184">
        <v>99</v>
      </c>
      <c r="AL184">
        <v>782863808</v>
      </c>
      <c r="AM184">
        <v>989644608</v>
      </c>
      <c r="AN184">
        <v>736328192</v>
      </c>
      <c r="AO184">
        <v>623618368</v>
      </c>
      <c r="AP184">
        <v>1896844672</v>
      </c>
      <c r="AQ184">
        <v>1626431232</v>
      </c>
      <c r="AR184">
        <v>855488320</v>
      </c>
      <c r="AS184">
        <v>974184832</v>
      </c>
      <c r="AT184" s="23" t="s">
        <v>193</v>
      </c>
      <c r="AU184" s="18">
        <v>608295424</v>
      </c>
      <c r="AV184" s="18">
        <v>556325056</v>
      </c>
      <c r="AW184" s="19">
        <v>612666560</v>
      </c>
      <c r="AX184" s="19">
        <v>392783776</v>
      </c>
      <c r="AY184" s="20">
        <v>1023378112</v>
      </c>
      <c r="AZ184" s="20">
        <v>1053526080</v>
      </c>
      <c r="BA184" s="21">
        <v>699385472</v>
      </c>
      <c r="BB184" s="21">
        <v>969831744</v>
      </c>
    </row>
    <row r="185" spans="1:54" hidden="1">
      <c r="A185">
        <v>20084</v>
      </c>
      <c r="B185" t="s">
        <v>151</v>
      </c>
      <c r="C185" t="s">
        <v>152</v>
      </c>
      <c r="D185" t="s">
        <v>153</v>
      </c>
      <c r="F185" t="s">
        <v>154</v>
      </c>
      <c r="G185">
        <v>1212.8409999999999</v>
      </c>
      <c r="H185" t="s">
        <v>57</v>
      </c>
      <c r="I185">
        <v>2</v>
      </c>
      <c r="J185">
        <v>21</v>
      </c>
      <c r="K185">
        <v>0</v>
      </c>
      <c r="L185">
        <v>92.74</v>
      </c>
      <c r="M185">
        <v>20301</v>
      </c>
      <c r="N185">
        <v>13</v>
      </c>
      <c r="O185">
        <v>27</v>
      </c>
      <c r="P185">
        <v>27</v>
      </c>
      <c r="Q185">
        <v>31</v>
      </c>
      <c r="R185">
        <v>31</v>
      </c>
      <c r="S185">
        <v>841</v>
      </c>
      <c r="T185">
        <v>841</v>
      </c>
      <c r="U185">
        <v>31</v>
      </c>
      <c r="V185">
        <v>21</v>
      </c>
      <c r="W185">
        <v>27</v>
      </c>
      <c r="X185">
        <v>27</v>
      </c>
      <c r="Y185">
        <v>25</v>
      </c>
      <c r="Z185">
        <v>30</v>
      </c>
      <c r="AA185">
        <v>30</v>
      </c>
      <c r="AB185">
        <v>29</v>
      </c>
      <c r="AC185">
        <v>27</v>
      </c>
      <c r="AD185">
        <v>113</v>
      </c>
      <c r="AE185">
        <v>115</v>
      </c>
      <c r="AF185">
        <v>127</v>
      </c>
      <c r="AG185">
        <v>94</v>
      </c>
      <c r="AH185">
        <v>110</v>
      </c>
      <c r="AI185">
        <v>105</v>
      </c>
      <c r="AJ185">
        <v>82</v>
      </c>
      <c r="AK185">
        <v>95</v>
      </c>
      <c r="AL185">
        <v>1427732352</v>
      </c>
      <c r="AM185">
        <v>1523295616</v>
      </c>
      <c r="AN185">
        <v>1223908736</v>
      </c>
      <c r="AO185">
        <v>845043712</v>
      </c>
      <c r="AP185">
        <v>2475184640</v>
      </c>
      <c r="AQ185">
        <v>2384209920</v>
      </c>
      <c r="AR185">
        <v>1262738176</v>
      </c>
      <c r="AS185">
        <v>1395899264</v>
      </c>
      <c r="AT185" s="23" t="s">
        <v>152</v>
      </c>
      <c r="AU185" s="18">
        <v>1351694336</v>
      </c>
      <c r="AV185" s="18">
        <v>1318155264</v>
      </c>
      <c r="AW185" s="19">
        <v>1168056576</v>
      </c>
      <c r="AX185" s="19">
        <v>882884032</v>
      </c>
      <c r="AY185" s="20">
        <v>1162579328</v>
      </c>
      <c r="AZ185" s="20">
        <v>1184834944</v>
      </c>
      <c r="BA185" s="21">
        <v>798975872</v>
      </c>
      <c r="BB185" s="21">
        <v>1255579392</v>
      </c>
    </row>
    <row r="186" spans="1:54" hidden="1">
      <c r="A186">
        <v>19988</v>
      </c>
      <c r="B186" t="s">
        <v>256</v>
      </c>
      <c r="C186" t="s">
        <v>257</v>
      </c>
      <c r="D186" t="s">
        <v>258</v>
      </c>
      <c r="F186" t="s">
        <v>259</v>
      </c>
      <c r="G186">
        <v>804.72</v>
      </c>
      <c r="H186" t="s">
        <v>57</v>
      </c>
      <c r="I186">
        <v>2</v>
      </c>
      <c r="J186">
        <v>21</v>
      </c>
      <c r="K186">
        <v>0</v>
      </c>
      <c r="L186">
        <v>68.36</v>
      </c>
      <c r="M186">
        <v>18903</v>
      </c>
      <c r="N186">
        <v>10</v>
      </c>
      <c r="O186">
        <v>18</v>
      </c>
      <c r="P186">
        <v>18</v>
      </c>
      <c r="Q186">
        <v>19</v>
      </c>
      <c r="R186">
        <v>19</v>
      </c>
      <c r="S186">
        <v>758</v>
      </c>
      <c r="T186">
        <v>758</v>
      </c>
      <c r="U186">
        <v>19</v>
      </c>
      <c r="V186">
        <v>17</v>
      </c>
      <c r="W186">
        <v>18</v>
      </c>
      <c r="X186">
        <v>17</v>
      </c>
      <c r="Y186">
        <v>17</v>
      </c>
      <c r="Z186">
        <v>18</v>
      </c>
      <c r="AA186">
        <v>16</v>
      </c>
      <c r="AB186">
        <v>17</v>
      </c>
      <c r="AC186">
        <v>17</v>
      </c>
      <c r="AD186">
        <v>124</v>
      </c>
      <c r="AE186">
        <v>110</v>
      </c>
      <c r="AF186">
        <v>101</v>
      </c>
      <c r="AG186">
        <v>84</v>
      </c>
      <c r="AH186">
        <v>78</v>
      </c>
      <c r="AI186">
        <v>70</v>
      </c>
      <c r="AJ186">
        <v>70</v>
      </c>
      <c r="AK186">
        <v>121</v>
      </c>
      <c r="AL186">
        <v>2719585280</v>
      </c>
      <c r="AM186">
        <v>3298373120</v>
      </c>
      <c r="AN186">
        <v>2884464384</v>
      </c>
      <c r="AO186">
        <v>2401855488</v>
      </c>
      <c r="AP186">
        <v>4801744896</v>
      </c>
      <c r="AQ186">
        <v>4512610304</v>
      </c>
      <c r="AR186">
        <v>3368031744</v>
      </c>
      <c r="AS186">
        <v>2691014144</v>
      </c>
      <c r="AT186" s="23" t="s">
        <v>257</v>
      </c>
      <c r="AU186" s="18">
        <v>2644429056</v>
      </c>
      <c r="AV186" s="18">
        <v>2873621760</v>
      </c>
      <c r="AW186" s="19">
        <v>2614212096</v>
      </c>
      <c r="AX186" s="19">
        <v>2385190144</v>
      </c>
      <c r="AY186" s="20">
        <v>1945952896</v>
      </c>
      <c r="AZ186" s="20">
        <v>1971788672</v>
      </c>
      <c r="BA186" s="21">
        <v>2141708160</v>
      </c>
      <c r="BB186" s="21">
        <v>2337634816</v>
      </c>
    </row>
    <row r="187" spans="1:54" hidden="1">
      <c r="A187">
        <v>20161</v>
      </c>
      <c r="B187" t="s">
        <v>305</v>
      </c>
      <c r="C187" t="s">
        <v>306</v>
      </c>
      <c r="D187" t="s">
        <v>307</v>
      </c>
      <c r="F187" t="s">
        <v>308</v>
      </c>
      <c r="G187">
        <v>690.76</v>
      </c>
      <c r="H187" t="s">
        <v>57</v>
      </c>
      <c r="I187">
        <v>2</v>
      </c>
      <c r="J187">
        <v>21</v>
      </c>
      <c r="K187">
        <v>0</v>
      </c>
      <c r="L187">
        <v>92.62</v>
      </c>
      <c r="M187">
        <v>15768</v>
      </c>
      <c r="N187">
        <v>14</v>
      </c>
      <c r="O187">
        <v>18</v>
      </c>
      <c r="P187">
        <v>18</v>
      </c>
      <c r="Q187">
        <v>19</v>
      </c>
      <c r="R187">
        <v>19</v>
      </c>
      <c r="S187">
        <v>1447</v>
      </c>
      <c r="T187">
        <v>1447</v>
      </c>
      <c r="U187">
        <v>19</v>
      </c>
      <c r="V187">
        <v>15</v>
      </c>
      <c r="W187">
        <v>19</v>
      </c>
      <c r="X187">
        <v>19</v>
      </c>
      <c r="Y187">
        <v>19</v>
      </c>
      <c r="Z187">
        <v>19</v>
      </c>
      <c r="AA187">
        <v>19</v>
      </c>
      <c r="AB187">
        <v>19</v>
      </c>
      <c r="AC187">
        <v>19</v>
      </c>
      <c r="AD187">
        <v>105</v>
      </c>
      <c r="AE187">
        <v>142</v>
      </c>
      <c r="AF187">
        <v>185</v>
      </c>
      <c r="AG187">
        <v>181</v>
      </c>
      <c r="AH187">
        <v>216</v>
      </c>
      <c r="AI187">
        <v>234</v>
      </c>
      <c r="AJ187">
        <v>193</v>
      </c>
      <c r="AK187">
        <v>191</v>
      </c>
      <c r="AL187">
        <v>4878218240</v>
      </c>
      <c r="AM187">
        <v>5715364352</v>
      </c>
      <c r="AN187">
        <v>5809709056</v>
      </c>
      <c r="AO187">
        <v>5607243264</v>
      </c>
      <c r="AP187">
        <v>8608840704</v>
      </c>
      <c r="AQ187">
        <v>8287457280</v>
      </c>
      <c r="AR187">
        <v>5336660480</v>
      </c>
      <c r="AS187">
        <v>4268685568</v>
      </c>
      <c r="AT187" s="23" t="s">
        <v>306</v>
      </c>
      <c r="AU187" s="18">
        <v>3825860352</v>
      </c>
      <c r="AV187" s="18">
        <v>4077630976</v>
      </c>
      <c r="AW187" s="19">
        <v>4627655680</v>
      </c>
      <c r="AX187" s="19">
        <v>4764429824</v>
      </c>
      <c r="AY187" s="20">
        <v>3871464960</v>
      </c>
      <c r="AZ187" s="20">
        <v>4285649152</v>
      </c>
      <c r="BA187" s="21">
        <v>3622643456</v>
      </c>
      <c r="BB187" s="21">
        <v>3584937984</v>
      </c>
    </row>
    <row r="188" spans="1:54" hidden="1">
      <c r="A188">
        <v>20073</v>
      </c>
      <c r="B188" t="s">
        <v>289</v>
      </c>
      <c r="C188" t="s">
        <v>290</v>
      </c>
      <c r="D188" t="s">
        <v>291</v>
      </c>
      <c r="F188" t="s">
        <v>292</v>
      </c>
      <c r="G188">
        <v>715.255</v>
      </c>
      <c r="H188" t="s">
        <v>57</v>
      </c>
      <c r="I188">
        <v>2</v>
      </c>
      <c r="J188">
        <v>21</v>
      </c>
      <c r="K188">
        <v>0</v>
      </c>
      <c r="L188">
        <v>83.64</v>
      </c>
      <c r="M188">
        <v>17711</v>
      </c>
      <c r="N188">
        <v>12</v>
      </c>
      <c r="O188">
        <v>16</v>
      </c>
      <c r="P188">
        <v>16</v>
      </c>
      <c r="Q188">
        <v>18</v>
      </c>
      <c r="R188">
        <v>18</v>
      </c>
      <c r="S188">
        <v>351</v>
      </c>
      <c r="T188">
        <v>351</v>
      </c>
      <c r="U188">
        <v>18</v>
      </c>
      <c r="V188">
        <v>14</v>
      </c>
      <c r="W188">
        <v>17</v>
      </c>
      <c r="X188">
        <v>16</v>
      </c>
      <c r="Y188">
        <v>18</v>
      </c>
      <c r="Z188">
        <v>18</v>
      </c>
      <c r="AA188">
        <v>18</v>
      </c>
      <c r="AB188">
        <v>18</v>
      </c>
      <c r="AC188">
        <v>18</v>
      </c>
      <c r="AD188">
        <v>43</v>
      </c>
      <c r="AE188">
        <v>49</v>
      </c>
      <c r="AF188">
        <v>48</v>
      </c>
      <c r="AG188">
        <v>53</v>
      </c>
      <c r="AH188">
        <v>40</v>
      </c>
      <c r="AI188">
        <v>39</v>
      </c>
      <c r="AJ188">
        <v>39</v>
      </c>
      <c r="AK188">
        <v>40</v>
      </c>
      <c r="AL188">
        <v>2284014592</v>
      </c>
      <c r="AM188">
        <v>2624120320</v>
      </c>
      <c r="AN188">
        <v>1918119296</v>
      </c>
      <c r="AO188">
        <v>1657765248</v>
      </c>
      <c r="AP188">
        <v>3062149888</v>
      </c>
      <c r="AQ188">
        <v>2868337152</v>
      </c>
      <c r="AR188">
        <v>2287473920</v>
      </c>
      <c r="AS188">
        <v>1717167616</v>
      </c>
      <c r="AT188" s="23" t="s">
        <v>290</v>
      </c>
      <c r="AU188" s="18">
        <v>1769244416</v>
      </c>
      <c r="AV188" s="18">
        <v>1930584448</v>
      </c>
      <c r="AW188" s="19">
        <v>1581310464</v>
      </c>
      <c r="AX188" s="19">
        <v>1549177472</v>
      </c>
      <c r="AY188" s="20">
        <v>1505490048</v>
      </c>
      <c r="AZ188" s="20">
        <v>1479593344</v>
      </c>
      <c r="BA188" s="21">
        <v>1391244544</v>
      </c>
      <c r="BB188" s="21">
        <v>1393004672</v>
      </c>
    </row>
    <row r="189" spans="1:54" hidden="1">
      <c r="A189">
        <v>19968</v>
      </c>
      <c r="B189" t="s">
        <v>356</v>
      </c>
      <c r="C189" t="s">
        <v>357</v>
      </c>
      <c r="D189" t="s">
        <v>358</v>
      </c>
      <c r="F189" t="s">
        <v>359</v>
      </c>
      <c r="G189">
        <v>594.16600000000005</v>
      </c>
      <c r="H189" t="s">
        <v>57</v>
      </c>
      <c r="I189">
        <v>2</v>
      </c>
      <c r="J189">
        <v>20</v>
      </c>
      <c r="K189">
        <v>0</v>
      </c>
      <c r="L189">
        <v>59.86</v>
      </c>
      <c r="M189">
        <v>14875</v>
      </c>
      <c r="N189">
        <v>10</v>
      </c>
      <c r="O189">
        <v>14</v>
      </c>
      <c r="P189">
        <v>14</v>
      </c>
      <c r="Q189">
        <v>18</v>
      </c>
      <c r="R189">
        <v>18</v>
      </c>
      <c r="S189">
        <v>396</v>
      </c>
      <c r="T189">
        <v>396</v>
      </c>
      <c r="U189">
        <v>18</v>
      </c>
      <c r="V189">
        <v>13</v>
      </c>
      <c r="W189">
        <v>15</v>
      </c>
      <c r="X189">
        <v>15</v>
      </c>
      <c r="Y189">
        <v>15</v>
      </c>
      <c r="Z189">
        <v>16</v>
      </c>
      <c r="AA189">
        <v>17</v>
      </c>
      <c r="AB189">
        <v>18</v>
      </c>
      <c r="AC189">
        <v>18</v>
      </c>
      <c r="AD189">
        <v>50</v>
      </c>
      <c r="AE189">
        <v>55</v>
      </c>
      <c r="AF189">
        <v>49</v>
      </c>
      <c r="AG189">
        <v>41</v>
      </c>
      <c r="AH189">
        <v>48</v>
      </c>
      <c r="AI189">
        <v>46</v>
      </c>
      <c r="AJ189">
        <v>46</v>
      </c>
      <c r="AK189">
        <v>61</v>
      </c>
      <c r="AL189">
        <v>2153531904</v>
      </c>
      <c r="AM189">
        <v>2236870912</v>
      </c>
      <c r="AN189">
        <v>2137909760</v>
      </c>
      <c r="AO189">
        <v>1815072000</v>
      </c>
      <c r="AP189">
        <v>2680274176</v>
      </c>
      <c r="AQ189">
        <v>2559346944</v>
      </c>
      <c r="AR189">
        <v>2123275776</v>
      </c>
      <c r="AS189">
        <v>1607012992</v>
      </c>
      <c r="AT189" s="23" t="s">
        <v>357</v>
      </c>
      <c r="AU189" s="18">
        <v>1901127040</v>
      </c>
      <c r="AV189" s="18">
        <v>1631463936</v>
      </c>
      <c r="AW189" s="19">
        <v>1572577408</v>
      </c>
      <c r="AX189" s="19">
        <v>1529005568</v>
      </c>
      <c r="AY189" s="20">
        <v>1113904000</v>
      </c>
      <c r="AZ189" s="20">
        <v>1229115520</v>
      </c>
      <c r="BA189" s="21">
        <v>1422934912</v>
      </c>
      <c r="BB189" s="21">
        <v>1548800256</v>
      </c>
    </row>
    <row r="190" spans="1:54" hidden="1">
      <c r="A190">
        <v>19977</v>
      </c>
      <c r="B190" t="s">
        <v>115</v>
      </c>
      <c r="C190" t="s">
        <v>116</v>
      </c>
      <c r="D190" t="s">
        <v>117</v>
      </c>
      <c r="E190" t="s">
        <v>118</v>
      </c>
      <c r="F190" t="s">
        <v>119</v>
      </c>
      <c r="G190">
        <v>1442.482</v>
      </c>
      <c r="H190" t="s">
        <v>57</v>
      </c>
      <c r="I190">
        <v>2</v>
      </c>
      <c r="J190">
        <v>19</v>
      </c>
      <c r="K190">
        <v>1</v>
      </c>
      <c r="L190">
        <v>96.69</v>
      </c>
      <c r="M190">
        <v>12295</v>
      </c>
      <c r="N190">
        <v>8</v>
      </c>
      <c r="O190">
        <v>19</v>
      </c>
      <c r="P190">
        <v>19</v>
      </c>
      <c r="Q190">
        <v>30</v>
      </c>
      <c r="R190">
        <v>30</v>
      </c>
      <c r="S190">
        <v>3722</v>
      </c>
      <c r="T190">
        <v>3722</v>
      </c>
      <c r="U190">
        <v>30</v>
      </c>
      <c r="V190">
        <v>19</v>
      </c>
      <c r="W190">
        <v>21</v>
      </c>
      <c r="X190">
        <v>25</v>
      </c>
      <c r="Y190">
        <v>25</v>
      </c>
      <c r="Z190">
        <v>26</v>
      </c>
      <c r="AA190">
        <v>26</v>
      </c>
      <c r="AB190">
        <v>26</v>
      </c>
      <c r="AC190">
        <v>30</v>
      </c>
      <c r="AD190">
        <v>384</v>
      </c>
      <c r="AE190">
        <v>412</v>
      </c>
      <c r="AF190">
        <v>456</v>
      </c>
      <c r="AG190">
        <v>465</v>
      </c>
      <c r="AH190">
        <v>499</v>
      </c>
      <c r="AI190">
        <v>503</v>
      </c>
      <c r="AJ190">
        <v>484</v>
      </c>
      <c r="AK190">
        <v>519</v>
      </c>
      <c r="AL190">
        <v>7422026752</v>
      </c>
      <c r="AM190">
        <v>8368109568</v>
      </c>
      <c r="AN190">
        <v>9131651072</v>
      </c>
      <c r="AO190">
        <v>9722706944</v>
      </c>
      <c r="AP190">
        <v>16224403456</v>
      </c>
      <c r="AQ190">
        <v>15522568192</v>
      </c>
      <c r="AR190">
        <v>11975379968</v>
      </c>
      <c r="AS190">
        <v>8397680640</v>
      </c>
      <c r="AT190" s="23" t="s">
        <v>116</v>
      </c>
      <c r="AU190" s="18">
        <v>585694080</v>
      </c>
      <c r="AV190" s="18">
        <v>3997719808</v>
      </c>
      <c r="AW190" s="19">
        <v>6859300864</v>
      </c>
      <c r="AX190" s="19">
        <v>8781181952</v>
      </c>
      <c r="AY190" s="20">
        <v>5183546368</v>
      </c>
      <c r="AZ190" s="20">
        <v>7029316096</v>
      </c>
      <c r="BA190" s="21">
        <v>9416752128</v>
      </c>
      <c r="BB190" s="21">
        <v>16386581504</v>
      </c>
    </row>
    <row r="191" spans="1:54" hidden="1">
      <c r="A191">
        <v>20044</v>
      </c>
      <c r="B191" t="s">
        <v>400</v>
      </c>
      <c r="C191" t="s">
        <v>401</v>
      </c>
      <c r="D191" t="s">
        <v>402</v>
      </c>
      <c r="F191" t="s">
        <v>403</v>
      </c>
      <c r="G191">
        <v>465.673</v>
      </c>
      <c r="H191" t="s">
        <v>57</v>
      </c>
      <c r="I191">
        <v>2</v>
      </c>
      <c r="J191">
        <v>21</v>
      </c>
      <c r="K191">
        <v>0</v>
      </c>
      <c r="L191">
        <v>80.989999999999995</v>
      </c>
      <c r="M191">
        <v>16018</v>
      </c>
      <c r="N191">
        <v>8</v>
      </c>
      <c r="O191">
        <v>14</v>
      </c>
      <c r="P191">
        <v>14</v>
      </c>
      <c r="Q191">
        <v>15</v>
      </c>
      <c r="R191">
        <v>15</v>
      </c>
      <c r="S191">
        <v>286</v>
      </c>
      <c r="T191">
        <v>286</v>
      </c>
      <c r="U191">
        <v>15</v>
      </c>
      <c r="V191">
        <v>10</v>
      </c>
      <c r="W191">
        <v>12</v>
      </c>
      <c r="X191">
        <v>14</v>
      </c>
      <c r="Y191">
        <v>12</v>
      </c>
      <c r="Z191">
        <v>14</v>
      </c>
      <c r="AA191">
        <v>14</v>
      </c>
      <c r="AB191">
        <v>13</v>
      </c>
      <c r="AC191">
        <v>13</v>
      </c>
      <c r="AD191">
        <v>39</v>
      </c>
      <c r="AE191">
        <v>40</v>
      </c>
      <c r="AF191">
        <v>36</v>
      </c>
      <c r="AG191">
        <v>28</v>
      </c>
      <c r="AH191">
        <v>28</v>
      </c>
      <c r="AI191">
        <v>29</v>
      </c>
      <c r="AJ191">
        <v>30</v>
      </c>
      <c r="AK191">
        <v>56</v>
      </c>
      <c r="AL191">
        <v>486568864</v>
      </c>
      <c r="AM191">
        <v>702782592</v>
      </c>
      <c r="AN191">
        <v>311698880</v>
      </c>
      <c r="AO191">
        <v>257456528</v>
      </c>
      <c r="AP191">
        <v>763546048</v>
      </c>
      <c r="AQ191">
        <v>763064640</v>
      </c>
      <c r="AR191">
        <v>358371456</v>
      </c>
      <c r="AS191">
        <v>603398144</v>
      </c>
      <c r="AT191" s="23" t="s">
        <v>401</v>
      </c>
      <c r="AU191" s="18">
        <v>330565760</v>
      </c>
      <c r="AV191" s="18">
        <v>478701792</v>
      </c>
      <c r="AW191" s="19">
        <v>283923840</v>
      </c>
      <c r="AX191" s="19">
        <v>274324544</v>
      </c>
      <c r="AY191" s="20">
        <v>387574464</v>
      </c>
      <c r="AZ191" s="20">
        <v>429386592</v>
      </c>
      <c r="BA191" s="21">
        <v>247810592</v>
      </c>
      <c r="BB191" s="21">
        <v>548967232</v>
      </c>
    </row>
    <row r="192" spans="1:54" hidden="1">
      <c r="A192">
        <v>19966</v>
      </c>
      <c r="B192" t="s">
        <v>437</v>
      </c>
      <c r="C192" t="s">
        <v>438</v>
      </c>
      <c r="D192" t="s">
        <v>439</v>
      </c>
      <c r="E192" t="s">
        <v>440</v>
      </c>
      <c r="F192" t="s">
        <v>441</v>
      </c>
      <c r="G192">
        <v>410.59800000000001</v>
      </c>
      <c r="H192" t="s">
        <v>57</v>
      </c>
      <c r="I192">
        <v>2</v>
      </c>
      <c r="J192">
        <v>20</v>
      </c>
      <c r="K192">
        <v>1</v>
      </c>
      <c r="L192">
        <v>64.23</v>
      </c>
      <c r="M192">
        <v>13540</v>
      </c>
      <c r="N192">
        <v>7</v>
      </c>
      <c r="O192">
        <v>11</v>
      </c>
      <c r="P192">
        <v>11</v>
      </c>
      <c r="Q192">
        <v>13</v>
      </c>
      <c r="R192">
        <v>13</v>
      </c>
      <c r="S192">
        <v>267</v>
      </c>
      <c r="T192">
        <v>267</v>
      </c>
      <c r="U192">
        <v>13</v>
      </c>
      <c r="V192">
        <v>12</v>
      </c>
      <c r="W192">
        <v>12</v>
      </c>
      <c r="X192">
        <v>13</v>
      </c>
      <c r="Y192">
        <v>10</v>
      </c>
      <c r="Z192">
        <v>13</v>
      </c>
      <c r="AA192">
        <v>13</v>
      </c>
      <c r="AB192">
        <v>13</v>
      </c>
      <c r="AC192">
        <v>12</v>
      </c>
      <c r="AD192">
        <v>55</v>
      </c>
      <c r="AE192">
        <v>37</v>
      </c>
      <c r="AF192">
        <v>37</v>
      </c>
      <c r="AG192">
        <v>15</v>
      </c>
      <c r="AH192">
        <v>30</v>
      </c>
      <c r="AI192">
        <v>29</v>
      </c>
      <c r="AJ192">
        <v>22</v>
      </c>
      <c r="AK192">
        <v>42</v>
      </c>
      <c r="AL192">
        <v>668275840</v>
      </c>
      <c r="AM192">
        <v>1048708288</v>
      </c>
      <c r="AN192">
        <v>613179904</v>
      </c>
      <c r="AO192">
        <v>281548256</v>
      </c>
      <c r="AP192">
        <v>1282721408</v>
      </c>
      <c r="AQ192">
        <v>1200856832</v>
      </c>
      <c r="AR192">
        <v>560205888</v>
      </c>
      <c r="AS192">
        <v>600098368</v>
      </c>
      <c r="AT192" s="23" t="s">
        <v>438</v>
      </c>
      <c r="AU192" s="18">
        <v>842444160</v>
      </c>
      <c r="AV192" s="18">
        <v>711587968</v>
      </c>
      <c r="AW192" s="19">
        <v>451726368</v>
      </c>
      <c r="AX192" s="19">
        <v>253315120</v>
      </c>
      <c r="AY192" s="20">
        <v>632465600</v>
      </c>
      <c r="AZ192" s="20">
        <v>558027520</v>
      </c>
      <c r="BA192" s="21">
        <v>344132608</v>
      </c>
      <c r="BB192" s="21">
        <v>548567488</v>
      </c>
    </row>
    <row r="193" spans="1:54" hidden="1">
      <c r="A193">
        <v>20151</v>
      </c>
      <c r="B193" t="s">
        <v>309</v>
      </c>
      <c r="C193" t="s">
        <v>310</v>
      </c>
      <c r="D193" t="s">
        <v>311</v>
      </c>
      <c r="E193" t="s">
        <v>312</v>
      </c>
      <c r="F193" t="s">
        <v>313</v>
      </c>
      <c r="G193">
        <v>665.24</v>
      </c>
      <c r="H193" t="s">
        <v>57</v>
      </c>
      <c r="I193">
        <v>2</v>
      </c>
      <c r="J193">
        <v>5</v>
      </c>
      <c r="K193">
        <v>16</v>
      </c>
      <c r="L193">
        <v>87.5</v>
      </c>
      <c r="M193">
        <v>14980</v>
      </c>
      <c r="N193">
        <v>11</v>
      </c>
      <c r="O193">
        <v>21</v>
      </c>
      <c r="P193">
        <v>21</v>
      </c>
      <c r="Q193">
        <v>23</v>
      </c>
      <c r="R193">
        <v>23</v>
      </c>
      <c r="S193">
        <v>581</v>
      </c>
      <c r="T193">
        <v>581</v>
      </c>
      <c r="U193">
        <v>23</v>
      </c>
      <c r="V193">
        <v>14</v>
      </c>
      <c r="W193">
        <v>18</v>
      </c>
      <c r="X193">
        <v>20</v>
      </c>
      <c r="Y193">
        <v>20</v>
      </c>
      <c r="Z193">
        <v>19</v>
      </c>
      <c r="AA193">
        <v>19</v>
      </c>
      <c r="AB193">
        <v>18</v>
      </c>
      <c r="AC193">
        <v>16</v>
      </c>
      <c r="AD193">
        <v>81</v>
      </c>
      <c r="AE193">
        <v>106</v>
      </c>
      <c r="AF193">
        <v>78</v>
      </c>
      <c r="AG193">
        <v>66</v>
      </c>
      <c r="AH193">
        <v>76</v>
      </c>
      <c r="AI193">
        <v>64</v>
      </c>
      <c r="AJ193">
        <v>42</v>
      </c>
      <c r="AK193">
        <v>68</v>
      </c>
      <c r="AL193">
        <v>1273917952</v>
      </c>
      <c r="AM193">
        <v>1452439424</v>
      </c>
      <c r="AN193">
        <v>1069109184</v>
      </c>
      <c r="AO193">
        <v>656350784</v>
      </c>
      <c r="AP193">
        <v>2131341952</v>
      </c>
      <c r="AQ193">
        <v>1983912960</v>
      </c>
      <c r="AR193">
        <v>1182091648</v>
      </c>
      <c r="AS193">
        <v>1134246144</v>
      </c>
      <c r="AT193" s="23" t="s">
        <v>310</v>
      </c>
      <c r="AU193" s="18">
        <v>894403584</v>
      </c>
      <c r="AV193" s="18">
        <v>1134862720</v>
      </c>
      <c r="AW193" s="19">
        <v>907895552</v>
      </c>
      <c r="AX193" s="19">
        <v>654002752</v>
      </c>
      <c r="AY193" s="20">
        <v>1079989888</v>
      </c>
      <c r="AZ193" s="20">
        <v>990000896</v>
      </c>
      <c r="BA193" s="21">
        <v>737851200</v>
      </c>
      <c r="BB193" s="21">
        <v>818973568</v>
      </c>
    </row>
    <row r="194" spans="1:54" hidden="1">
      <c r="A194">
        <v>20097</v>
      </c>
      <c r="B194" t="s">
        <v>314</v>
      </c>
      <c r="C194" t="s">
        <v>315</v>
      </c>
      <c r="D194" t="s">
        <v>316</v>
      </c>
      <c r="F194" t="s">
        <v>317</v>
      </c>
      <c r="G194">
        <v>653.83100000000002</v>
      </c>
      <c r="H194" t="s">
        <v>57</v>
      </c>
      <c r="I194">
        <v>2</v>
      </c>
      <c r="J194">
        <v>21</v>
      </c>
      <c r="K194">
        <v>0</v>
      </c>
      <c r="L194">
        <v>60.29</v>
      </c>
      <c r="M194">
        <v>15281</v>
      </c>
      <c r="N194">
        <v>5</v>
      </c>
      <c r="O194">
        <v>11</v>
      </c>
      <c r="P194">
        <v>11</v>
      </c>
      <c r="Q194">
        <v>12</v>
      </c>
      <c r="R194">
        <v>12</v>
      </c>
      <c r="S194">
        <v>433</v>
      </c>
      <c r="T194">
        <v>433</v>
      </c>
      <c r="U194">
        <v>12</v>
      </c>
      <c r="V194">
        <v>9</v>
      </c>
      <c r="W194">
        <v>10</v>
      </c>
      <c r="X194">
        <v>11</v>
      </c>
      <c r="Y194">
        <v>11</v>
      </c>
      <c r="Z194">
        <v>12</v>
      </c>
      <c r="AA194">
        <v>12</v>
      </c>
      <c r="AB194">
        <v>12</v>
      </c>
      <c r="AC194">
        <v>12</v>
      </c>
      <c r="AD194">
        <v>59</v>
      </c>
      <c r="AE194">
        <v>74</v>
      </c>
      <c r="AF194">
        <v>74</v>
      </c>
      <c r="AG194">
        <v>54</v>
      </c>
      <c r="AH194">
        <v>44</v>
      </c>
      <c r="AI194">
        <v>43</v>
      </c>
      <c r="AJ194">
        <v>38</v>
      </c>
      <c r="AK194">
        <v>47</v>
      </c>
      <c r="AL194">
        <v>945784064</v>
      </c>
      <c r="AM194">
        <v>1013484096</v>
      </c>
      <c r="AN194">
        <v>870566592</v>
      </c>
      <c r="AO194">
        <v>732476160</v>
      </c>
      <c r="AP194">
        <v>1534000384</v>
      </c>
      <c r="AQ194">
        <v>1425395584</v>
      </c>
      <c r="AR194">
        <v>951376896</v>
      </c>
      <c r="AS194">
        <v>935424192</v>
      </c>
      <c r="AT194" s="23" t="s">
        <v>315</v>
      </c>
      <c r="AU194" s="18">
        <v>764308864</v>
      </c>
      <c r="AV194" s="18">
        <v>701931520</v>
      </c>
      <c r="AW194" s="19">
        <v>749518912</v>
      </c>
      <c r="AX194" s="19">
        <v>494218336</v>
      </c>
      <c r="AY194" s="20">
        <v>871073024</v>
      </c>
      <c r="AZ194" s="20">
        <v>855195712</v>
      </c>
      <c r="BA194" s="21">
        <v>851118720</v>
      </c>
      <c r="BB194" s="21">
        <v>1063034240</v>
      </c>
    </row>
    <row r="195" spans="1:54" hidden="1">
      <c r="A195">
        <v>19995</v>
      </c>
      <c r="B195" t="s">
        <v>573</v>
      </c>
      <c r="C195" t="s">
        <v>574</v>
      </c>
      <c r="D195" t="s">
        <v>575</v>
      </c>
      <c r="E195" t="s">
        <v>576</v>
      </c>
      <c r="F195" t="s">
        <v>577</v>
      </c>
      <c r="G195">
        <v>242.98</v>
      </c>
      <c r="H195" t="s">
        <v>57</v>
      </c>
      <c r="I195">
        <v>2</v>
      </c>
      <c r="J195">
        <v>20</v>
      </c>
      <c r="K195">
        <v>1</v>
      </c>
      <c r="L195">
        <v>68.5</v>
      </c>
      <c r="M195">
        <v>14364</v>
      </c>
      <c r="N195">
        <v>8</v>
      </c>
      <c r="O195">
        <v>11</v>
      </c>
      <c r="P195">
        <v>11</v>
      </c>
      <c r="Q195">
        <v>12</v>
      </c>
      <c r="R195">
        <v>12</v>
      </c>
      <c r="S195">
        <v>122</v>
      </c>
      <c r="T195">
        <v>122</v>
      </c>
      <c r="U195">
        <v>12</v>
      </c>
      <c r="V195">
        <v>9</v>
      </c>
      <c r="W195">
        <v>9</v>
      </c>
      <c r="X195">
        <v>10</v>
      </c>
      <c r="Y195">
        <v>11</v>
      </c>
      <c r="Z195">
        <v>11</v>
      </c>
      <c r="AA195">
        <v>11</v>
      </c>
      <c r="AB195">
        <v>11</v>
      </c>
      <c r="AC195">
        <v>10</v>
      </c>
      <c r="AD195">
        <v>31</v>
      </c>
      <c r="AE195">
        <v>16</v>
      </c>
      <c r="AF195">
        <v>20</v>
      </c>
      <c r="AG195">
        <v>8</v>
      </c>
      <c r="AH195">
        <v>12</v>
      </c>
      <c r="AI195">
        <v>11</v>
      </c>
      <c r="AJ195">
        <v>10</v>
      </c>
      <c r="AK195">
        <v>14</v>
      </c>
      <c r="AL195">
        <v>463208352</v>
      </c>
      <c r="AM195">
        <v>707522048</v>
      </c>
      <c r="AN195">
        <v>368110624</v>
      </c>
      <c r="AO195">
        <v>280318656</v>
      </c>
      <c r="AP195">
        <v>474089856</v>
      </c>
      <c r="AQ195">
        <v>515790976</v>
      </c>
      <c r="AR195">
        <v>276364352</v>
      </c>
      <c r="AS195">
        <v>542727680</v>
      </c>
      <c r="AT195" s="23" t="s">
        <v>574</v>
      </c>
      <c r="AU195" s="18">
        <v>373349696</v>
      </c>
      <c r="AV195" s="18">
        <v>573774976</v>
      </c>
      <c r="AW195" s="19">
        <v>296338432</v>
      </c>
      <c r="AX195" s="19">
        <v>261275568</v>
      </c>
      <c r="AY195" s="20">
        <v>197861872</v>
      </c>
      <c r="AZ195" s="20">
        <v>225762016</v>
      </c>
      <c r="BA195" s="21">
        <v>184667552</v>
      </c>
      <c r="BB195" s="21">
        <v>433552320</v>
      </c>
    </row>
    <row r="196" spans="1:54" hidden="1">
      <c r="A196">
        <v>20096</v>
      </c>
      <c r="B196" t="s">
        <v>379</v>
      </c>
      <c r="C196" t="s">
        <v>380</v>
      </c>
      <c r="D196" t="s">
        <v>381</v>
      </c>
      <c r="F196" t="s">
        <v>382</v>
      </c>
      <c r="G196">
        <v>529.78399999999999</v>
      </c>
      <c r="H196" t="s">
        <v>57</v>
      </c>
      <c r="I196">
        <v>2</v>
      </c>
      <c r="J196">
        <v>21</v>
      </c>
      <c r="K196">
        <v>0</v>
      </c>
      <c r="L196">
        <v>87.18</v>
      </c>
      <c r="M196">
        <v>12769</v>
      </c>
      <c r="N196">
        <v>8</v>
      </c>
      <c r="O196">
        <v>15</v>
      </c>
      <c r="P196">
        <v>15</v>
      </c>
      <c r="Q196">
        <v>15</v>
      </c>
      <c r="R196">
        <v>15</v>
      </c>
      <c r="S196">
        <v>523</v>
      </c>
      <c r="T196">
        <v>523</v>
      </c>
      <c r="U196">
        <v>15</v>
      </c>
      <c r="V196">
        <v>13</v>
      </c>
      <c r="W196">
        <v>14</v>
      </c>
      <c r="X196">
        <v>15</v>
      </c>
      <c r="Y196">
        <v>13</v>
      </c>
      <c r="Z196">
        <v>14</v>
      </c>
      <c r="AA196">
        <v>14</v>
      </c>
      <c r="AB196">
        <v>14</v>
      </c>
      <c r="AC196">
        <v>14</v>
      </c>
      <c r="AD196">
        <v>81</v>
      </c>
      <c r="AE196">
        <v>85</v>
      </c>
      <c r="AF196">
        <v>93</v>
      </c>
      <c r="AG196">
        <v>48</v>
      </c>
      <c r="AH196">
        <v>61</v>
      </c>
      <c r="AI196">
        <v>53</v>
      </c>
      <c r="AJ196">
        <v>44</v>
      </c>
      <c r="AK196">
        <v>58</v>
      </c>
      <c r="AL196">
        <v>591740160</v>
      </c>
      <c r="AM196">
        <v>898070080</v>
      </c>
      <c r="AN196">
        <v>774051584</v>
      </c>
      <c r="AO196">
        <v>452140736</v>
      </c>
      <c r="AP196">
        <v>1327900160</v>
      </c>
      <c r="AQ196">
        <v>1268600576</v>
      </c>
      <c r="AR196">
        <v>750231168</v>
      </c>
      <c r="AS196">
        <v>714720576</v>
      </c>
      <c r="AT196" s="23" t="s">
        <v>380</v>
      </c>
      <c r="AU196" s="18">
        <v>450583808</v>
      </c>
      <c r="AV196" s="18">
        <v>666447488</v>
      </c>
      <c r="AW196" s="19">
        <v>646486848</v>
      </c>
      <c r="AX196" s="19">
        <v>257497536</v>
      </c>
      <c r="AY196" s="20">
        <v>727511744</v>
      </c>
      <c r="AZ196" s="20">
        <v>725138176</v>
      </c>
      <c r="BA196" s="21">
        <v>511018848</v>
      </c>
      <c r="BB196" s="21">
        <v>387668160</v>
      </c>
    </row>
    <row r="197" spans="1:54" hidden="1">
      <c r="A197">
        <v>19965</v>
      </c>
      <c r="B197" t="s">
        <v>433</v>
      </c>
      <c r="C197" t="s">
        <v>434</v>
      </c>
      <c r="D197" t="s">
        <v>435</v>
      </c>
      <c r="F197" t="s">
        <v>436</v>
      </c>
      <c r="G197">
        <v>416.62700000000001</v>
      </c>
      <c r="H197" t="s">
        <v>57</v>
      </c>
      <c r="I197">
        <v>2</v>
      </c>
      <c r="J197">
        <v>21</v>
      </c>
      <c r="K197">
        <v>0</v>
      </c>
      <c r="L197">
        <v>82.61</v>
      </c>
      <c r="M197">
        <v>13133</v>
      </c>
      <c r="N197">
        <v>9</v>
      </c>
      <c r="O197">
        <v>17</v>
      </c>
      <c r="P197">
        <v>17</v>
      </c>
      <c r="Q197">
        <v>17</v>
      </c>
      <c r="R197">
        <v>17</v>
      </c>
      <c r="S197">
        <v>384</v>
      </c>
      <c r="T197">
        <v>384</v>
      </c>
      <c r="U197">
        <v>17</v>
      </c>
      <c r="V197">
        <v>10</v>
      </c>
      <c r="W197">
        <v>13</v>
      </c>
      <c r="X197">
        <v>10</v>
      </c>
      <c r="Y197">
        <v>9</v>
      </c>
      <c r="Z197">
        <v>16</v>
      </c>
      <c r="AA197">
        <v>16</v>
      </c>
      <c r="AB197">
        <v>15</v>
      </c>
      <c r="AC197">
        <v>14</v>
      </c>
      <c r="AD197">
        <v>85</v>
      </c>
      <c r="AE197">
        <v>54</v>
      </c>
      <c r="AF197">
        <v>40</v>
      </c>
      <c r="AG197">
        <v>22</v>
      </c>
      <c r="AH197">
        <v>38</v>
      </c>
      <c r="AI197">
        <v>47</v>
      </c>
      <c r="AJ197">
        <v>35</v>
      </c>
      <c r="AK197">
        <v>63</v>
      </c>
      <c r="AL197">
        <v>172114896</v>
      </c>
      <c r="AM197">
        <v>422825408</v>
      </c>
      <c r="AN197">
        <v>212814112</v>
      </c>
      <c r="AO197">
        <v>153947568</v>
      </c>
      <c r="AP197">
        <v>481564448</v>
      </c>
      <c r="AQ197">
        <v>520336032</v>
      </c>
      <c r="AR197">
        <v>280180320</v>
      </c>
      <c r="AS197">
        <v>445167680</v>
      </c>
      <c r="AT197" s="23" t="s">
        <v>434</v>
      </c>
      <c r="AU197" s="18">
        <v>216507088</v>
      </c>
      <c r="AV197" s="18">
        <v>378220608</v>
      </c>
      <c r="AW197" s="19">
        <v>184916336</v>
      </c>
      <c r="AX197" s="19">
        <v>120284384</v>
      </c>
      <c r="AY197" s="20">
        <v>312344448</v>
      </c>
      <c r="AZ197" s="20">
        <v>418551328</v>
      </c>
      <c r="BA197" s="21">
        <v>247592032</v>
      </c>
      <c r="BB197" s="21">
        <v>429073312</v>
      </c>
    </row>
    <row r="198" spans="1:54" hidden="1">
      <c r="A198">
        <v>20058</v>
      </c>
      <c r="B198" t="s">
        <v>745</v>
      </c>
      <c r="C198" t="s">
        <v>746</v>
      </c>
      <c r="D198" t="s">
        <v>747</v>
      </c>
      <c r="F198" t="s">
        <v>748</v>
      </c>
      <c r="G198">
        <v>113.75700000000001</v>
      </c>
      <c r="H198" t="s">
        <v>57</v>
      </c>
      <c r="I198">
        <v>2</v>
      </c>
      <c r="J198">
        <v>21</v>
      </c>
      <c r="K198">
        <v>0</v>
      </c>
      <c r="L198">
        <v>22.88</v>
      </c>
      <c r="M198">
        <v>13496</v>
      </c>
      <c r="N198">
        <v>10</v>
      </c>
      <c r="O198">
        <v>5</v>
      </c>
      <c r="P198">
        <v>5</v>
      </c>
      <c r="Q198">
        <v>5</v>
      </c>
      <c r="R198">
        <v>5</v>
      </c>
      <c r="S198">
        <v>82</v>
      </c>
      <c r="T198">
        <v>82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22</v>
      </c>
      <c r="AE198">
        <v>10</v>
      </c>
      <c r="AF198">
        <v>10</v>
      </c>
      <c r="AG198">
        <v>10</v>
      </c>
      <c r="AH198">
        <v>10</v>
      </c>
      <c r="AI198">
        <v>9</v>
      </c>
      <c r="AJ198">
        <v>4</v>
      </c>
      <c r="AK198">
        <v>7</v>
      </c>
      <c r="AL198">
        <v>144202432</v>
      </c>
      <c r="AM198">
        <v>221001184</v>
      </c>
      <c r="AN198">
        <v>134740800</v>
      </c>
      <c r="AO198">
        <v>85298448</v>
      </c>
      <c r="AP198">
        <v>121495744</v>
      </c>
      <c r="AQ198">
        <v>147769968</v>
      </c>
      <c r="AR198">
        <v>95046552</v>
      </c>
      <c r="AS198">
        <v>143212320</v>
      </c>
      <c r="AT198" s="23" t="s">
        <v>746</v>
      </c>
      <c r="AU198" s="18">
        <v>147140144</v>
      </c>
      <c r="AV198" s="18">
        <v>171298064</v>
      </c>
      <c r="AW198" s="19">
        <v>107673024</v>
      </c>
      <c r="AX198" s="19">
        <v>108806960</v>
      </c>
      <c r="AY198" s="20">
        <v>42160420</v>
      </c>
      <c r="AZ198" s="20">
        <v>52887568</v>
      </c>
      <c r="BA198" s="21">
        <v>46856448</v>
      </c>
      <c r="BB198" s="21">
        <v>96977296</v>
      </c>
    </row>
    <row r="199" spans="1:54" hidden="1">
      <c r="A199">
        <v>19997</v>
      </c>
      <c r="B199" t="s">
        <v>594</v>
      </c>
      <c r="C199" t="s">
        <v>595</v>
      </c>
      <c r="D199" t="s">
        <v>596</v>
      </c>
      <c r="F199" t="s">
        <v>597</v>
      </c>
      <c r="G199">
        <v>235.55199999999999</v>
      </c>
      <c r="H199" t="s">
        <v>57</v>
      </c>
      <c r="I199">
        <v>2</v>
      </c>
      <c r="J199">
        <v>19</v>
      </c>
      <c r="K199">
        <v>0</v>
      </c>
      <c r="L199">
        <v>66.02</v>
      </c>
      <c r="M199">
        <v>11564</v>
      </c>
      <c r="N199">
        <v>7</v>
      </c>
      <c r="O199">
        <v>7</v>
      </c>
      <c r="P199">
        <v>7</v>
      </c>
      <c r="Q199">
        <v>8</v>
      </c>
      <c r="R199">
        <v>8</v>
      </c>
      <c r="S199">
        <v>109</v>
      </c>
      <c r="T199">
        <v>109</v>
      </c>
      <c r="U199">
        <v>8</v>
      </c>
      <c r="V199">
        <v>5</v>
      </c>
      <c r="W199">
        <v>7</v>
      </c>
      <c r="X199">
        <v>8</v>
      </c>
      <c r="Y199">
        <v>6</v>
      </c>
      <c r="Z199">
        <v>8</v>
      </c>
      <c r="AA199">
        <v>8</v>
      </c>
      <c r="AB199">
        <v>8</v>
      </c>
      <c r="AC199">
        <v>7</v>
      </c>
      <c r="AD199">
        <v>10</v>
      </c>
      <c r="AE199">
        <v>21</v>
      </c>
      <c r="AF199">
        <v>14</v>
      </c>
      <c r="AG199">
        <v>6</v>
      </c>
      <c r="AH199">
        <v>16</v>
      </c>
      <c r="AI199">
        <v>12</v>
      </c>
      <c r="AJ199">
        <v>12</v>
      </c>
      <c r="AK199">
        <v>18</v>
      </c>
      <c r="AL199">
        <v>324956448</v>
      </c>
      <c r="AM199">
        <v>507656544</v>
      </c>
      <c r="AN199">
        <v>194594976</v>
      </c>
      <c r="AO199">
        <v>156496272</v>
      </c>
      <c r="AP199">
        <v>422302112</v>
      </c>
      <c r="AQ199">
        <v>386327712</v>
      </c>
      <c r="AR199">
        <v>208892368</v>
      </c>
      <c r="AS199">
        <v>396557696</v>
      </c>
      <c r="AT199" s="23" t="s">
        <v>595</v>
      </c>
      <c r="AU199" s="18">
        <v>74519360</v>
      </c>
      <c r="AV199" s="18">
        <v>220669248</v>
      </c>
      <c r="AW199" s="19">
        <v>152517312</v>
      </c>
      <c r="AX199" s="19">
        <v>65648192</v>
      </c>
      <c r="AY199" s="20">
        <v>296692064</v>
      </c>
      <c r="AZ199" s="20">
        <v>370807008</v>
      </c>
      <c r="BA199" s="21">
        <v>226907696</v>
      </c>
      <c r="BB199" s="21">
        <v>291534176</v>
      </c>
    </row>
    <row r="200" spans="1:54" hidden="1">
      <c r="A200">
        <v>20051</v>
      </c>
      <c r="B200" t="s">
        <v>252</v>
      </c>
      <c r="C200" t="s">
        <v>253</v>
      </c>
      <c r="D200" t="s">
        <v>254</v>
      </c>
      <c r="F200" t="s">
        <v>255</v>
      </c>
      <c r="G200">
        <v>810.93499999999995</v>
      </c>
      <c r="H200" t="s">
        <v>57</v>
      </c>
      <c r="I200">
        <v>2</v>
      </c>
      <c r="J200">
        <v>21</v>
      </c>
      <c r="K200">
        <v>0</v>
      </c>
      <c r="L200">
        <v>77.27</v>
      </c>
      <c r="M200">
        <v>12226</v>
      </c>
      <c r="N200">
        <v>7</v>
      </c>
      <c r="O200">
        <v>16</v>
      </c>
      <c r="P200">
        <v>16</v>
      </c>
      <c r="Q200">
        <v>18</v>
      </c>
      <c r="R200">
        <v>18</v>
      </c>
      <c r="S200">
        <v>890</v>
      </c>
      <c r="T200">
        <v>890</v>
      </c>
      <c r="U200">
        <v>18</v>
      </c>
      <c r="V200">
        <v>15</v>
      </c>
      <c r="W200">
        <v>17</v>
      </c>
      <c r="X200">
        <v>17</v>
      </c>
      <c r="Y200">
        <v>12</v>
      </c>
      <c r="Z200">
        <v>17</v>
      </c>
      <c r="AA200">
        <v>17</v>
      </c>
      <c r="AB200">
        <v>17</v>
      </c>
      <c r="AC200">
        <v>17</v>
      </c>
      <c r="AD200">
        <v>116</v>
      </c>
      <c r="AE200">
        <v>139</v>
      </c>
      <c r="AF200">
        <v>124</v>
      </c>
      <c r="AG200">
        <v>88</v>
      </c>
      <c r="AH200">
        <v>140</v>
      </c>
      <c r="AI200">
        <v>120</v>
      </c>
      <c r="AJ200">
        <v>73</v>
      </c>
      <c r="AK200">
        <v>90</v>
      </c>
      <c r="AL200">
        <v>786498560</v>
      </c>
      <c r="AM200">
        <v>847803520</v>
      </c>
      <c r="AN200">
        <v>542687680</v>
      </c>
      <c r="AO200">
        <v>252406464</v>
      </c>
      <c r="AP200">
        <v>1401013376</v>
      </c>
      <c r="AQ200">
        <v>1205614464</v>
      </c>
      <c r="AR200">
        <v>539531776</v>
      </c>
      <c r="AS200">
        <v>602401728</v>
      </c>
      <c r="AT200" s="23" t="s">
        <v>253</v>
      </c>
      <c r="AU200" s="18">
        <v>727570944</v>
      </c>
      <c r="AV200" s="18">
        <v>739363648</v>
      </c>
      <c r="AW200" s="19">
        <v>489028544</v>
      </c>
      <c r="AX200" s="19">
        <v>222565968</v>
      </c>
      <c r="AY200" s="20">
        <v>783830080</v>
      </c>
      <c r="AZ200" s="20">
        <v>758962688</v>
      </c>
      <c r="BA200" s="21">
        <v>365060416</v>
      </c>
      <c r="BB200" s="21">
        <v>718472320</v>
      </c>
    </row>
    <row r="201" spans="1:54" hidden="1">
      <c r="A201">
        <v>20116</v>
      </c>
      <c r="B201" t="s">
        <v>477</v>
      </c>
      <c r="C201" t="s">
        <v>478</v>
      </c>
      <c r="D201" t="s">
        <v>479</v>
      </c>
      <c r="F201" t="s">
        <v>480</v>
      </c>
      <c r="G201">
        <v>330.93</v>
      </c>
      <c r="H201" t="s">
        <v>57</v>
      </c>
      <c r="I201">
        <v>2</v>
      </c>
      <c r="J201">
        <v>5</v>
      </c>
      <c r="K201">
        <v>0</v>
      </c>
      <c r="L201">
        <v>83</v>
      </c>
      <c r="M201">
        <v>11198</v>
      </c>
      <c r="N201">
        <v>6</v>
      </c>
      <c r="O201">
        <v>14</v>
      </c>
      <c r="P201">
        <v>14</v>
      </c>
      <c r="Q201">
        <v>14</v>
      </c>
      <c r="R201">
        <v>14</v>
      </c>
      <c r="S201">
        <v>387</v>
      </c>
      <c r="T201">
        <v>387</v>
      </c>
      <c r="U201">
        <v>14</v>
      </c>
      <c r="V201">
        <v>11</v>
      </c>
      <c r="W201">
        <v>9</v>
      </c>
      <c r="X201">
        <v>10</v>
      </c>
      <c r="Y201">
        <v>10</v>
      </c>
      <c r="Z201">
        <v>13</v>
      </c>
      <c r="AA201">
        <v>11</v>
      </c>
      <c r="AB201">
        <v>12</v>
      </c>
      <c r="AC201">
        <v>10</v>
      </c>
      <c r="AD201">
        <v>62</v>
      </c>
      <c r="AE201">
        <v>35</v>
      </c>
      <c r="AF201">
        <v>75</v>
      </c>
      <c r="AG201">
        <v>38</v>
      </c>
      <c r="AH201">
        <v>52</v>
      </c>
      <c r="AI201">
        <v>40</v>
      </c>
      <c r="AJ201">
        <v>51</v>
      </c>
      <c r="AK201">
        <v>34</v>
      </c>
      <c r="AL201">
        <v>268216928</v>
      </c>
      <c r="AM201">
        <v>233174576</v>
      </c>
      <c r="AN201">
        <v>184001472</v>
      </c>
      <c r="AO201">
        <v>66833520</v>
      </c>
      <c r="AP201">
        <v>529832192</v>
      </c>
      <c r="AQ201">
        <v>402385056</v>
      </c>
      <c r="AR201">
        <v>193294144</v>
      </c>
      <c r="AS201">
        <v>214653824</v>
      </c>
      <c r="AT201" s="23" t="s">
        <v>478</v>
      </c>
      <c r="AU201" s="18">
        <v>218394912</v>
      </c>
      <c r="AV201" s="18">
        <v>107975952</v>
      </c>
      <c r="AW201" s="19">
        <v>134198072</v>
      </c>
      <c r="AX201" s="19">
        <v>44280204</v>
      </c>
      <c r="AY201" s="20">
        <v>420659616</v>
      </c>
      <c r="AZ201" s="20">
        <v>176615136</v>
      </c>
      <c r="BA201" s="21">
        <v>96664208</v>
      </c>
      <c r="BB201" s="21">
        <v>90725304</v>
      </c>
    </row>
    <row r="202" spans="1:54" hidden="1">
      <c r="A202">
        <v>20036</v>
      </c>
      <c r="B202" t="s">
        <v>442</v>
      </c>
      <c r="C202" t="s">
        <v>443</v>
      </c>
      <c r="D202" t="s">
        <v>444</v>
      </c>
      <c r="E202" t="s">
        <v>445</v>
      </c>
      <c r="F202" t="s">
        <v>446</v>
      </c>
      <c r="G202">
        <v>393.78699999999998</v>
      </c>
      <c r="H202" t="s">
        <v>57</v>
      </c>
      <c r="I202">
        <v>2</v>
      </c>
      <c r="J202">
        <v>14</v>
      </c>
      <c r="K202">
        <v>7</v>
      </c>
      <c r="L202">
        <v>86.54</v>
      </c>
      <c r="M202">
        <v>11316</v>
      </c>
      <c r="N202">
        <v>6</v>
      </c>
      <c r="O202">
        <v>14</v>
      </c>
      <c r="P202">
        <v>14</v>
      </c>
      <c r="Q202">
        <v>14</v>
      </c>
      <c r="R202">
        <v>14</v>
      </c>
      <c r="S202">
        <v>289</v>
      </c>
      <c r="T202">
        <v>289</v>
      </c>
      <c r="U202">
        <v>14</v>
      </c>
      <c r="V202">
        <v>11</v>
      </c>
      <c r="W202">
        <v>13</v>
      </c>
      <c r="X202">
        <v>13</v>
      </c>
      <c r="Y202">
        <v>11</v>
      </c>
      <c r="Z202">
        <v>13</v>
      </c>
      <c r="AA202">
        <v>13</v>
      </c>
      <c r="AB202">
        <v>12</v>
      </c>
      <c r="AC202">
        <v>12</v>
      </c>
      <c r="AD202">
        <v>62</v>
      </c>
      <c r="AE202">
        <v>52</v>
      </c>
      <c r="AF202">
        <v>30</v>
      </c>
      <c r="AG202">
        <v>25</v>
      </c>
      <c r="AH202">
        <v>30</v>
      </c>
      <c r="AI202">
        <v>22</v>
      </c>
      <c r="AJ202">
        <v>22</v>
      </c>
      <c r="AK202">
        <v>46</v>
      </c>
      <c r="AL202">
        <v>298859424</v>
      </c>
      <c r="AM202">
        <v>419785952</v>
      </c>
      <c r="AN202">
        <v>153839552</v>
      </c>
      <c r="AO202">
        <v>145080368</v>
      </c>
      <c r="AP202">
        <v>309121792</v>
      </c>
      <c r="AQ202">
        <v>336540128</v>
      </c>
      <c r="AR202">
        <v>186702112</v>
      </c>
      <c r="AS202">
        <v>312163264</v>
      </c>
      <c r="AT202" s="23" t="s">
        <v>443</v>
      </c>
      <c r="AU202" s="18">
        <v>191622112</v>
      </c>
      <c r="AV202" s="18">
        <v>228854160</v>
      </c>
      <c r="AW202" s="19">
        <v>127468216</v>
      </c>
      <c r="AX202" s="19">
        <v>121135248</v>
      </c>
      <c r="AY202" s="20">
        <v>215632928</v>
      </c>
      <c r="AZ202" s="20">
        <v>242376256</v>
      </c>
      <c r="BA202" s="21">
        <v>175096656</v>
      </c>
      <c r="BB202" s="21">
        <v>241244752</v>
      </c>
    </row>
    <row r="203" spans="1:54" hidden="1">
      <c r="A203">
        <v>20085</v>
      </c>
      <c r="B203" t="s">
        <v>374</v>
      </c>
      <c r="C203" t="s">
        <v>375</v>
      </c>
      <c r="D203" t="s">
        <v>376</v>
      </c>
      <c r="E203" t="s">
        <v>377</v>
      </c>
      <c r="F203" t="s">
        <v>378</v>
      </c>
      <c r="G203">
        <v>533.28800000000001</v>
      </c>
      <c r="H203" t="s">
        <v>57</v>
      </c>
      <c r="I203">
        <v>2</v>
      </c>
      <c r="J203">
        <v>9</v>
      </c>
      <c r="K203">
        <v>10</v>
      </c>
      <c r="L203">
        <v>70.209999999999994</v>
      </c>
      <c r="M203">
        <v>10693</v>
      </c>
      <c r="N203">
        <v>7</v>
      </c>
      <c r="O203">
        <v>10</v>
      </c>
      <c r="P203">
        <v>10</v>
      </c>
      <c r="Q203">
        <v>12</v>
      </c>
      <c r="R203">
        <v>12</v>
      </c>
      <c r="S203">
        <v>881</v>
      </c>
      <c r="T203">
        <v>881</v>
      </c>
      <c r="U203">
        <v>12</v>
      </c>
      <c r="V203">
        <v>12</v>
      </c>
      <c r="W203">
        <v>9</v>
      </c>
      <c r="X203">
        <v>9</v>
      </c>
      <c r="Y203">
        <v>11</v>
      </c>
      <c r="Z203">
        <v>12</v>
      </c>
      <c r="AA203">
        <v>12</v>
      </c>
      <c r="AB203">
        <v>11</v>
      </c>
      <c r="AC203">
        <v>12</v>
      </c>
      <c r="AD203">
        <v>99</v>
      </c>
      <c r="AE203">
        <v>103</v>
      </c>
      <c r="AF203">
        <v>128</v>
      </c>
      <c r="AG203">
        <v>113</v>
      </c>
      <c r="AH203">
        <v>111</v>
      </c>
      <c r="AI203">
        <v>115</v>
      </c>
      <c r="AJ203">
        <v>95</v>
      </c>
      <c r="AK203">
        <v>117</v>
      </c>
      <c r="AL203">
        <v>467453568</v>
      </c>
      <c r="AM203">
        <v>618883392</v>
      </c>
      <c r="AN203">
        <v>682453888</v>
      </c>
      <c r="AO203">
        <v>581320512</v>
      </c>
      <c r="AP203">
        <v>1241952000</v>
      </c>
      <c r="AQ203">
        <v>1340390656</v>
      </c>
      <c r="AR203">
        <v>1189421312</v>
      </c>
      <c r="AS203">
        <v>873340544</v>
      </c>
      <c r="AT203" s="23" t="s">
        <v>375</v>
      </c>
      <c r="AU203" s="18">
        <v>661338688</v>
      </c>
      <c r="AV203" s="18">
        <v>589004416</v>
      </c>
      <c r="AW203" s="19">
        <v>594023296</v>
      </c>
      <c r="AX203" s="19">
        <v>745455040</v>
      </c>
      <c r="AY203" s="20">
        <v>580836352</v>
      </c>
      <c r="AZ203" s="20">
        <v>790519616</v>
      </c>
      <c r="BA203" s="21">
        <v>752213120</v>
      </c>
      <c r="BB203" s="21">
        <v>711310272</v>
      </c>
    </row>
    <row r="204" spans="1:54" hidden="1">
      <c r="A204">
        <v>20061</v>
      </c>
      <c r="B204" t="s">
        <v>635</v>
      </c>
      <c r="C204" t="s">
        <v>636</v>
      </c>
      <c r="D204" t="s">
        <v>637</v>
      </c>
      <c r="E204" t="s">
        <v>638</v>
      </c>
      <c r="F204" t="s">
        <v>639</v>
      </c>
      <c r="G204">
        <v>183.27799999999999</v>
      </c>
      <c r="H204" t="s">
        <v>57</v>
      </c>
      <c r="I204">
        <v>2</v>
      </c>
      <c r="J204">
        <v>19</v>
      </c>
      <c r="K204">
        <v>1</v>
      </c>
      <c r="L204">
        <v>49.41</v>
      </c>
      <c r="M204">
        <v>9124</v>
      </c>
      <c r="N204">
        <v>5</v>
      </c>
      <c r="O204">
        <v>7</v>
      </c>
      <c r="P204">
        <v>7</v>
      </c>
      <c r="Q204">
        <v>7</v>
      </c>
      <c r="R204">
        <v>7</v>
      </c>
      <c r="S204">
        <v>130</v>
      </c>
      <c r="T204">
        <v>130</v>
      </c>
      <c r="U204">
        <v>7</v>
      </c>
      <c r="V204">
        <v>4</v>
      </c>
      <c r="W204">
        <v>5</v>
      </c>
      <c r="X204">
        <v>6</v>
      </c>
      <c r="Y204">
        <v>4</v>
      </c>
      <c r="Z204">
        <v>6</v>
      </c>
      <c r="AA204">
        <v>6</v>
      </c>
      <c r="AB204">
        <v>6</v>
      </c>
      <c r="AC204">
        <v>5</v>
      </c>
      <c r="AD204">
        <v>13</v>
      </c>
      <c r="AE204">
        <v>16</v>
      </c>
      <c r="AF204">
        <v>24</v>
      </c>
      <c r="AG204">
        <v>11</v>
      </c>
      <c r="AH204">
        <v>21</v>
      </c>
      <c r="AI204">
        <v>16</v>
      </c>
      <c r="AJ204">
        <v>10</v>
      </c>
      <c r="AK204">
        <v>19</v>
      </c>
      <c r="AL204">
        <v>113331056</v>
      </c>
      <c r="AM204">
        <v>214478720</v>
      </c>
      <c r="AN204">
        <v>196268000</v>
      </c>
      <c r="AO204">
        <v>102026576</v>
      </c>
      <c r="AP204">
        <v>432300448</v>
      </c>
      <c r="AQ204">
        <v>335957504</v>
      </c>
      <c r="AR204">
        <v>203177344</v>
      </c>
      <c r="AS204">
        <v>155841504</v>
      </c>
      <c r="AT204" s="23" t="s">
        <v>636</v>
      </c>
      <c r="AU204" s="18">
        <v>128984800</v>
      </c>
      <c r="AV204" s="18">
        <v>161009040</v>
      </c>
      <c r="AW204" s="19">
        <v>165877808</v>
      </c>
      <c r="AX204" s="19">
        <v>96290600</v>
      </c>
      <c r="AY204" s="20">
        <v>144723392</v>
      </c>
      <c r="AZ204" s="20">
        <v>122633496</v>
      </c>
      <c r="BA204" s="21">
        <v>132286344</v>
      </c>
      <c r="BB204" s="21">
        <v>138212688</v>
      </c>
    </row>
    <row r="205" spans="1:54" hidden="1">
      <c r="A205">
        <v>20048</v>
      </c>
      <c r="B205" t="s">
        <v>720</v>
      </c>
      <c r="C205" t="s">
        <v>721</v>
      </c>
      <c r="D205" t="s">
        <v>722</v>
      </c>
      <c r="F205" t="s">
        <v>723</v>
      </c>
      <c r="G205">
        <v>118.111</v>
      </c>
      <c r="H205" t="s">
        <v>57</v>
      </c>
      <c r="I205">
        <v>2</v>
      </c>
      <c r="J205">
        <v>20</v>
      </c>
      <c r="K205">
        <v>0</v>
      </c>
      <c r="L205">
        <v>60.26</v>
      </c>
      <c r="M205">
        <v>9006</v>
      </c>
      <c r="N205">
        <v>6</v>
      </c>
      <c r="O205">
        <v>9</v>
      </c>
      <c r="P205">
        <v>9</v>
      </c>
      <c r="Q205">
        <v>9</v>
      </c>
      <c r="R205">
        <v>9</v>
      </c>
      <c r="S205">
        <v>303</v>
      </c>
      <c r="T205">
        <v>303</v>
      </c>
      <c r="U205">
        <v>9</v>
      </c>
      <c r="V205">
        <v>7</v>
      </c>
      <c r="W205">
        <v>6</v>
      </c>
      <c r="X205">
        <v>6</v>
      </c>
      <c r="Y205">
        <v>7</v>
      </c>
      <c r="Z205">
        <v>8</v>
      </c>
      <c r="AA205">
        <v>8</v>
      </c>
      <c r="AB205">
        <v>8</v>
      </c>
      <c r="AC205">
        <v>8</v>
      </c>
      <c r="AD205">
        <v>53</v>
      </c>
      <c r="AE205">
        <v>42</v>
      </c>
      <c r="AF205">
        <v>33</v>
      </c>
      <c r="AG205">
        <v>28</v>
      </c>
      <c r="AH205">
        <v>30</v>
      </c>
      <c r="AI205">
        <v>29</v>
      </c>
      <c r="AJ205">
        <v>31</v>
      </c>
      <c r="AK205">
        <v>57</v>
      </c>
      <c r="AL205">
        <v>254320832</v>
      </c>
      <c r="AM205">
        <v>282837920</v>
      </c>
      <c r="AN205">
        <v>184417552</v>
      </c>
      <c r="AO205">
        <v>129827488</v>
      </c>
      <c r="AP205">
        <v>377744864</v>
      </c>
      <c r="AQ205">
        <v>377911552</v>
      </c>
      <c r="AR205">
        <v>266368304</v>
      </c>
      <c r="AS205">
        <v>368975936</v>
      </c>
      <c r="AT205" s="23" t="s">
        <v>721</v>
      </c>
      <c r="AU205" s="18">
        <v>181565920</v>
      </c>
      <c r="AV205" s="18">
        <v>207265968</v>
      </c>
      <c r="AW205" s="19">
        <v>112593448</v>
      </c>
      <c r="AX205" s="19">
        <v>91447496</v>
      </c>
      <c r="AY205" s="20">
        <v>200375872</v>
      </c>
      <c r="AZ205" s="20">
        <v>239366272</v>
      </c>
      <c r="BA205" s="21">
        <v>200445600</v>
      </c>
      <c r="BB205" s="21">
        <v>306917760</v>
      </c>
    </row>
    <row r="206" spans="1:54" hidden="1">
      <c r="A206">
        <v>20026</v>
      </c>
      <c r="B206" t="s">
        <v>506</v>
      </c>
      <c r="C206" t="s">
        <v>507</v>
      </c>
      <c r="D206" t="s">
        <v>508</v>
      </c>
      <c r="F206" t="s">
        <v>509</v>
      </c>
      <c r="G206">
        <v>312.39600000000002</v>
      </c>
      <c r="H206" t="s">
        <v>57</v>
      </c>
      <c r="I206">
        <v>2</v>
      </c>
      <c r="J206">
        <v>20</v>
      </c>
      <c r="K206">
        <v>0</v>
      </c>
      <c r="L206">
        <v>80.95</v>
      </c>
      <c r="M206">
        <v>7273</v>
      </c>
      <c r="N206">
        <v>4</v>
      </c>
      <c r="O206">
        <v>7</v>
      </c>
      <c r="P206">
        <v>7</v>
      </c>
      <c r="Q206">
        <v>8</v>
      </c>
      <c r="R206">
        <v>8</v>
      </c>
      <c r="S206">
        <v>117</v>
      </c>
      <c r="T206">
        <v>117</v>
      </c>
      <c r="U206">
        <v>7</v>
      </c>
      <c r="V206">
        <v>4</v>
      </c>
      <c r="W206">
        <v>6</v>
      </c>
      <c r="X206">
        <v>7</v>
      </c>
      <c r="Y206">
        <v>6</v>
      </c>
      <c r="Z206">
        <v>5</v>
      </c>
      <c r="AA206">
        <v>6</v>
      </c>
      <c r="AB206">
        <v>6</v>
      </c>
      <c r="AC206">
        <v>6</v>
      </c>
      <c r="AD206">
        <v>16</v>
      </c>
      <c r="AE206">
        <v>21</v>
      </c>
      <c r="AF206">
        <v>10</v>
      </c>
      <c r="AG206">
        <v>14</v>
      </c>
      <c r="AH206">
        <v>10</v>
      </c>
      <c r="AI206">
        <v>12</v>
      </c>
      <c r="AJ206">
        <v>12</v>
      </c>
      <c r="AK206">
        <v>21</v>
      </c>
      <c r="AL206">
        <v>156624624</v>
      </c>
      <c r="AM206">
        <v>278187040</v>
      </c>
      <c r="AN206">
        <v>192158640</v>
      </c>
      <c r="AO206">
        <v>145761376</v>
      </c>
      <c r="AP206">
        <v>428713984</v>
      </c>
      <c r="AQ206">
        <v>344076544</v>
      </c>
      <c r="AR206">
        <v>240697264</v>
      </c>
      <c r="AS206">
        <v>280285664</v>
      </c>
      <c r="AT206" s="23" t="s">
        <v>507</v>
      </c>
      <c r="AU206" s="18">
        <v>203977296</v>
      </c>
      <c r="AV206" s="18">
        <v>253347280</v>
      </c>
      <c r="AW206" s="19">
        <v>192435552</v>
      </c>
      <c r="AX206" s="19">
        <v>158291760</v>
      </c>
      <c r="AY206" s="20">
        <v>132789576</v>
      </c>
      <c r="AZ206" s="20">
        <v>169102464</v>
      </c>
      <c r="BA206" s="21">
        <v>140138304</v>
      </c>
      <c r="BB206" s="21">
        <v>253248752</v>
      </c>
    </row>
    <row r="207" spans="1:54" hidden="1">
      <c r="A207">
        <v>20064</v>
      </c>
      <c r="B207" t="s">
        <v>557</v>
      </c>
      <c r="C207" t="s">
        <v>558</v>
      </c>
      <c r="D207" t="s">
        <v>559</v>
      </c>
      <c r="F207" t="s">
        <v>560</v>
      </c>
      <c r="G207">
        <v>264.11399999999998</v>
      </c>
      <c r="H207" t="s">
        <v>57</v>
      </c>
      <c r="I207">
        <v>2</v>
      </c>
      <c r="J207">
        <v>20</v>
      </c>
      <c r="K207">
        <v>0</v>
      </c>
      <c r="L207">
        <v>98.31</v>
      </c>
      <c r="M207">
        <v>6541</v>
      </c>
      <c r="N207">
        <v>4</v>
      </c>
      <c r="O207">
        <v>11</v>
      </c>
      <c r="P207">
        <v>11</v>
      </c>
      <c r="Q207">
        <v>11</v>
      </c>
      <c r="R207">
        <v>11</v>
      </c>
      <c r="S207">
        <v>329</v>
      </c>
      <c r="T207">
        <v>329</v>
      </c>
      <c r="U207">
        <v>11</v>
      </c>
      <c r="V207">
        <v>8</v>
      </c>
      <c r="W207">
        <v>9</v>
      </c>
      <c r="X207">
        <v>10</v>
      </c>
      <c r="Y207">
        <v>9</v>
      </c>
      <c r="Z207">
        <v>11</v>
      </c>
      <c r="AA207">
        <v>11</v>
      </c>
      <c r="AB207">
        <v>10</v>
      </c>
      <c r="AC207">
        <v>10</v>
      </c>
      <c r="AD207">
        <v>46</v>
      </c>
      <c r="AE207">
        <v>46</v>
      </c>
      <c r="AF207">
        <v>60</v>
      </c>
      <c r="AG207">
        <v>29</v>
      </c>
      <c r="AH207">
        <v>50</v>
      </c>
      <c r="AI207">
        <v>34</v>
      </c>
      <c r="AJ207">
        <v>28</v>
      </c>
      <c r="AK207">
        <v>36</v>
      </c>
      <c r="AL207">
        <v>409016512</v>
      </c>
      <c r="AM207">
        <v>511761600</v>
      </c>
      <c r="AN207">
        <v>370769440</v>
      </c>
      <c r="AO207">
        <v>246286128</v>
      </c>
      <c r="AP207">
        <v>604334016</v>
      </c>
      <c r="AQ207">
        <v>514536736</v>
      </c>
      <c r="AR207">
        <v>321935712</v>
      </c>
      <c r="AS207">
        <v>370301184</v>
      </c>
      <c r="AT207" s="23" t="s">
        <v>558</v>
      </c>
      <c r="AU207" s="18">
        <v>328020032</v>
      </c>
      <c r="AV207" s="18">
        <v>409485920</v>
      </c>
      <c r="AW207" s="19">
        <v>332083136</v>
      </c>
      <c r="AX207" s="19">
        <v>232786976</v>
      </c>
      <c r="AY207" s="20">
        <v>315170176</v>
      </c>
      <c r="AZ207" s="20">
        <v>294296032</v>
      </c>
      <c r="BA207" s="21">
        <v>192623760</v>
      </c>
      <c r="BB207" s="21">
        <v>248736736</v>
      </c>
    </row>
    <row r="208" spans="1:54" hidden="1">
      <c r="A208">
        <v>20130</v>
      </c>
      <c r="B208" t="s">
        <v>942</v>
      </c>
      <c r="C208" t="s">
        <v>943</v>
      </c>
      <c r="D208" t="s">
        <v>944</v>
      </c>
      <c r="F208" t="s">
        <v>945</v>
      </c>
      <c r="G208">
        <v>42.072000000000003</v>
      </c>
      <c r="H208" t="s">
        <v>57</v>
      </c>
      <c r="I208">
        <v>2</v>
      </c>
      <c r="J208">
        <v>20</v>
      </c>
      <c r="K208">
        <v>0</v>
      </c>
      <c r="L208">
        <v>11.43</v>
      </c>
      <c r="M208">
        <v>7870</v>
      </c>
      <c r="N208">
        <v>5</v>
      </c>
      <c r="O208">
        <v>2</v>
      </c>
      <c r="P208">
        <v>2</v>
      </c>
      <c r="Q208">
        <v>2</v>
      </c>
      <c r="R208">
        <v>2</v>
      </c>
      <c r="S208">
        <v>48</v>
      </c>
      <c r="T208">
        <v>48</v>
      </c>
      <c r="U208">
        <v>2</v>
      </c>
      <c r="V208">
        <v>1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5</v>
      </c>
      <c r="AE208">
        <v>7</v>
      </c>
      <c r="AF208">
        <v>5</v>
      </c>
      <c r="AG208">
        <v>6</v>
      </c>
      <c r="AH208">
        <v>6</v>
      </c>
      <c r="AI208">
        <v>7</v>
      </c>
      <c r="AJ208">
        <v>5</v>
      </c>
      <c r="AK208">
        <v>7</v>
      </c>
      <c r="AL208">
        <v>217149040</v>
      </c>
      <c r="AM208">
        <v>337957632</v>
      </c>
      <c r="AN208">
        <v>326916288</v>
      </c>
      <c r="AO208">
        <v>303670368</v>
      </c>
      <c r="AP208">
        <v>643587456</v>
      </c>
      <c r="AQ208">
        <v>537120128</v>
      </c>
      <c r="AR208">
        <v>300166336</v>
      </c>
      <c r="AS208">
        <v>189722640</v>
      </c>
      <c r="AT208" s="23" t="s">
        <v>943</v>
      </c>
      <c r="AU208" s="18">
        <v>404205.47</v>
      </c>
      <c r="AV208" s="18">
        <v>203118016</v>
      </c>
      <c r="AW208" s="19">
        <v>178726320</v>
      </c>
      <c r="AX208" s="19">
        <v>206199232</v>
      </c>
      <c r="AY208" s="20">
        <v>365411584</v>
      </c>
      <c r="AZ208" s="20">
        <v>331960928</v>
      </c>
      <c r="BA208" s="21">
        <v>244291824</v>
      </c>
      <c r="BB208" s="21">
        <v>209511760</v>
      </c>
    </row>
    <row r="209" spans="1:54" hidden="1">
      <c r="A209">
        <v>19980</v>
      </c>
      <c r="B209" t="s">
        <v>1131</v>
      </c>
      <c r="C209" t="s">
        <v>1132</v>
      </c>
      <c r="D209" t="s">
        <v>1133</v>
      </c>
      <c r="F209" t="s">
        <v>1134</v>
      </c>
      <c r="G209">
        <v>16.024999999999999</v>
      </c>
      <c r="H209" t="s">
        <v>57</v>
      </c>
      <c r="I209">
        <v>2</v>
      </c>
      <c r="J209">
        <v>15</v>
      </c>
      <c r="K209">
        <v>0</v>
      </c>
      <c r="L209">
        <v>11.49</v>
      </c>
      <c r="M209">
        <v>9920</v>
      </c>
      <c r="N209">
        <v>6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W209">
        <v>1</v>
      </c>
      <c r="X209">
        <v>1</v>
      </c>
      <c r="Y209">
        <v>1</v>
      </c>
      <c r="AA209">
        <v>1</v>
      </c>
      <c r="AB209">
        <v>1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554101.75</v>
      </c>
      <c r="AN209">
        <v>532507.18999999994</v>
      </c>
      <c r="AO209">
        <v>399783.72</v>
      </c>
      <c r="AQ209">
        <v>388477.56</v>
      </c>
      <c r="AR209">
        <v>196599.55</v>
      </c>
      <c r="AS209">
        <v>51192.25</v>
      </c>
      <c r="AT209" s="23" t="s">
        <v>1132</v>
      </c>
      <c r="AU209" s="18">
        <v>49505.43</v>
      </c>
      <c r="AV209" s="18">
        <v>427612.66</v>
      </c>
      <c r="AW209" s="19">
        <v>411149.12</v>
      </c>
      <c r="AX209" s="19">
        <v>355519.09</v>
      </c>
      <c r="AY209" s="20">
        <v>350962.88</v>
      </c>
      <c r="AZ209" s="20">
        <v>166999.53</v>
      </c>
      <c r="BA209" s="21">
        <v>105270.12</v>
      </c>
      <c r="BB209" s="21">
        <v>40179.57</v>
      </c>
    </row>
    <row r="210" spans="1:54" hidden="1">
      <c r="A210">
        <v>20082</v>
      </c>
      <c r="B210" t="s">
        <v>561</v>
      </c>
      <c r="C210" t="s">
        <v>562</v>
      </c>
      <c r="D210" t="s">
        <v>563</v>
      </c>
      <c r="F210" t="s">
        <v>564</v>
      </c>
      <c r="G210">
        <v>260.73399999999998</v>
      </c>
      <c r="H210" t="s">
        <v>57</v>
      </c>
      <c r="I210">
        <v>2</v>
      </c>
      <c r="J210">
        <v>18</v>
      </c>
      <c r="K210">
        <v>0</v>
      </c>
      <c r="L210">
        <v>75.44</v>
      </c>
      <c r="M210">
        <v>6446</v>
      </c>
      <c r="N210">
        <v>3</v>
      </c>
      <c r="O210">
        <v>5</v>
      </c>
      <c r="P210">
        <v>5</v>
      </c>
      <c r="Q210">
        <v>5</v>
      </c>
      <c r="R210">
        <v>5</v>
      </c>
      <c r="S210">
        <v>269</v>
      </c>
      <c r="T210">
        <v>269</v>
      </c>
      <c r="U210">
        <v>5</v>
      </c>
      <c r="V210">
        <v>4</v>
      </c>
      <c r="W210">
        <v>3</v>
      </c>
      <c r="X210">
        <v>3</v>
      </c>
      <c r="Y210">
        <v>5</v>
      </c>
      <c r="Z210">
        <v>4</v>
      </c>
      <c r="AA210">
        <v>5</v>
      </c>
      <c r="AB210">
        <v>4</v>
      </c>
      <c r="AC210">
        <v>3</v>
      </c>
      <c r="AD210">
        <v>29</v>
      </c>
      <c r="AE210">
        <v>34</v>
      </c>
      <c r="AF210">
        <v>23</v>
      </c>
      <c r="AG210">
        <v>19</v>
      </c>
      <c r="AH210">
        <v>54</v>
      </c>
      <c r="AI210">
        <v>48</v>
      </c>
      <c r="AJ210">
        <v>29</v>
      </c>
      <c r="AK210">
        <v>33</v>
      </c>
      <c r="AL210">
        <v>16701259</v>
      </c>
      <c r="AM210">
        <v>18417452</v>
      </c>
      <c r="AN210">
        <v>13933818</v>
      </c>
      <c r="AO210">
        <v>16395269</v>
      </c>
      <c r="AP210">
        <v>34067524</v>
      </c>
      <c r="AQ210">
        <v>26783480</v>
      </c>
      <c r="AR210">
        <v>17440052</v>
      </c>
      <c r="AS210">
        <v>14891760</v>
      </c>
      <c r="AT210" s="23" t="s">
        <v>562</v>
      </c>
      <c r="AU210" s="18">
        <v>10937966</v>
      </c>
      <c r="AV210" s="18">
        <v>14887161</v>
      </c>
      <c r="AW210" s="19">
        <v>5327015.5</v>
      </c>
      <c r="AX210" s="19">
        <v>11357419</v>
      </c>
      <c r="AY210" s="20">
        <v>32648984</v>
      </c>
      <c r="AZ210" s="20">
        <v>22010530</v>
      </c>
      <c r="BA210" s="21">
        <v>20367676</v>
      </c>
      <c r="BB210" s="21">
        <v>16693774</v>
      </c>
    </row>
    <row r="211" spans="1:54" hidden="1">
      <c r="A211">
        <v>20087</v>
      </c>
      <c r="B211" t="s">
        <v>615</v>
      </c>
      <c r="C211" t="s">
        <v>616</v>
      </c>
      <c r="D211" t="s">
        <v>617</v>
      </c>
      <c r="F211" t="s">
        <v>618</v>
      </c>
      <c r="G211">
        <v>210.00200000000001</v>
      </c>
      <c r="H211" t="s">
        <v>57</v>
      </c>
      <c r="I211">
        <v>2</v>
      </c>
      <c r="J211">
        <v>20</v>
      </c>
      <c r="K211">
        <v>0</v>
      </c>
      <c r="L211">
        <v>81.819999999999993</v>
      </c>
      <c r="M211">
        <v>6371</v>
      </c>
      <c r="N211">
        <v>3</v>
      </c>
      <c r="O211">
        <v>6</v>
      </c>
      <c r="P211">
        <v>6</v>
      </c>
      <c r="Q211">
        <v>6</v>
      </c>
      <c r="R211">
        <v>6</v>
      </c>
      <c r="S211">
        <v>273</v>
      </c>
      <c r="T211">
        <v>273</v>
      </c>
      <c r="U211">
        <v>6</v>
      </c>
      <c r="V211">
        <v>3</v>
      </c>
      <c r="W211">
        <v>5</v>
      </c>
      <c r="X211">
        <v>5</v>
      </c>
      <c r="Y211">
        <v>6</v>
      </c>
      <c r="Z211">
        <v>5</v>
      </c>
      <c r="AA211">
        <v>5</v>
      </c>
      <c r="AB211">
        <v>4</v>
      </c>
      <c r="AC211">
        <v>4</v>
      </c>
      <c r="AD211">
        <v>29</v>
      </c>
      <c r="AE211">
        <v>39</v>
      </c>
      <c r="AF211">
        <v>49</v>
      </c>
      <c r="AG211">
        <v>44</v>
      </c>
      <c r="AH211">
        <v>23</v>
      </c>
      <c r="AI211">
        <v>25</v>
      </c>
      <c r="AJ211">
        <v>26</v>
      </c>
      <c r="AK211">
        <v>38</v>
      </c>
      <c r="AL211">
        <v>118045536</v>
      </c>
      <c r="AM211">
        <v>264516640</v>
      </c>
      <c r="AN211">
        <v>319637888</v>
      </c>
      <c r="AO211">
        <v>362094080</v>
      </c>
      <c r="AP211">
        <v>712848640</v>
      </c>
      <c r="AQ211">
        <v>695426560</v>
      </c>
      <c r="AR211">
        <v>543689408</v>
      </c>
      <c r="AS211">
        <v>420657248</v>
      </c>
      <c r="AT211" s="23" t="s">
        <v>616</v>
      </c>
      <c r="AU211" s="18">
        <v>32362500</v>
      </c>
      <c r="AV211" s="18">
        <v>349068640</v>
      </c>
      <c r="AW211" s="19">
        <v>340736160</v>
      </c>
      <c r="AX211" s="19">
        <v>436537120</v>
      </c>
      <c r="AY211" s="20">
        <v>303026976</v>
      </c>
      <c r="AZ211" s="20">
        <v>292269216</v>
      </c>
      <c r="BA211" s="21">
        <v>246107776</v>
      </c>
      <c r="BB211" s="21">
        <v>270275072</v>
      </c>
    </row>
    <row r="212" spans="1:54" hidden="1">
      <c r="A212">
        <v>19969</v>
      </c>
      <c r="B212" t="s">
        <v>901</v>
      </c>
      <c r="C212" t="s">
        <v>902</v>
      </c>
      <c r="D212" t="s">
        <v>903</v>
      </c>
      <c r="F212" t="s">
        <v>904</v>
      </c>
      <c r="G212">
        <v>50.466000000000001</v>
      </c>
      <c r="H212" t="s">
        <v>57</v>
      </c>
      <c r="I212">
        <v>2</v>
      </c>
      <c r="J212">
        <v>19</v>
      </c>
      <c r="K212">
        <v>0</v>
      </c>
      <c r="L212">
        <v>63.04</v>
      </c>
      <c r="M212">
        <v>5380</v>
      </c>
      <c r="N212">
        <v>1</v>
      </c>
      <c r="O212">
        <v>6</v>
      </c>
      <c r="P212">
        <v>6</v>
      </c>
      <c r="Q212">
        <v>6</v>
      </c>
      <c r="R212">
        <v>6</v>
      </c>
      <c r="S212">
        <v>95</v>
      </c>
      <c r="T212">
        <v>95</v>
      </c>
      <c r="U212">
        <v>6</v>
      </c>
      <c r="V212">
        <v>3</v>
      </c>
      <c r="W212">
        <v>4</v>
      </c>
      <c r="X212">
        <v>4</v>
      </c>
      <c r="Y212">
        <v>5</v>
      </c>
      <c r="Z212">
        <v>4</v>
      </c>
      <c r="AA212">
        <v>4</v>
      </c>
      <c r="AB212">
        <v>5</v>
      </c>
      <c r="AC212">
        <v>4</v>
      </c>
      <c r="AD212">
        <v>16</v>
      </c>
      <c r="AE212">
        <v>15</v>
      </c>
      <c r="AF212">
        <v>14</v>
      </c>
      <c r="AG212">
        <v>18</v>
      </c>
      <c r="AH212">
        <v>10</v>
      </c>
      <c r="AI212">
        <v>8</v>
      </c>
      <c r="AJ212">
        <v>6</v>
      </c>
      <c r="AK212">
        <v>8</v>
      </c>
      <c r="AL212">
        <v>232949760</v>
      </c>
      <c r="AM212">
        <v>323079872</v>
      </c>
      <c r="AN212">
        <v>212164992</v>
      </c>
      <c r="AO212">
        <v>160530464</v>
      </c>
      <c r="AP212">
        <v>622913472</v>
      </c>
      <c r="AQ212">
        <v>544960576</v>
      </c>
      <c r="AR212">
        <v>286785216</v>
      </c>
      <c r="AS212">
        <v>303692800</v>
      </c>
      <c r="AT212" s="23" t="s">
        <v>902</v>
      </c>
      <c r="AU212" s="18">
        <v>98047296</v>
      </c>
      <c r="AV212" s="18">
        <v>289841888</v>
      </c>
      <c r="AW212" s="19">
        <v>211363632</v>
      </c>
      <c r="AX212" s="19">
        <v>324269312</v>
      </c>
      <c r="AY212" s="20">
        <v>349644672</v>
      </c>
      <c r="AZ212" s="20">
        <v>314384768</v>
      </c>
      <c r="BA212" s="21">
        <v>233679728</v>
      </c>
      <c r="BB212" s="21">
        <v>255139488</v>
      </c>
    </row>
    <row r="213" spans="1:54" hidden="1">
      <c r="A213">
        <v>20023</v>
      </c>
      <c r="B213" t="s">
        <v>1058</v>
      </c>
      <c r="C213" t="s">
        <v>1059</v>
      </c>
      <c r="D213" t="s">
        <v>1060</v>
      </c>
      <c r="F213" t="s">
        <v>1061</v>
      </c>
      <c r="G213">
        <v>23.872</v>
      </c>
      <c r="H213" t="s">
        <v>57</v>
      </c>
      <c r="I213">
        <v>2</v>
      </c>
      <c r="J213">
        <v>18</v>
      </c>
      <c r="K213">
        <v>0</v>
      </c>
      <c r="L213">
        <v>10.77</v>
      </c>
      <c r="M213">
        <v>7302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18</v>
      </c>
      <c r="T213">
        <v>18</v>
      </c>
      <c r="U213">
        <v>1</v>
      </c>
      <c r="W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0</v>
      </c>
      <c r="AE213">
        <v>7</v>
      </c>
      <c r="AF213">
        <v>0</v>
      </c>
      <c r="AG213">
        <v>5</v>
      </c>
      <c r="AH213">
        <v>3</v>
      </c>
      <c r="AI213">
        <v>2</v>
      </c>
      <c r="AJ213">
        <v>1</v>
      </c>
      <c r="AK213">
        <v>0</v>
      </c>
      <c r="AM213">
        <v>1638386.38</v>
      </c>
      <c r="AO213">
        <v>639140.88</v>
      </c>
      <c r="AP213">
        <v>3509066.25</v>
      </c>
      <c r="AQ213">
        <v>792093.56</v>
      </c>
      <c r="AR213">
        <v>444753.72</v>
      </c>
      <c r="AS213">
        <v>204744.28</v>
      </c>
      <c r="AT213" s="23" t="s">
        <v>1059</v>
      </c>
      <c r="AU213" s="18">
        <v>49505.43</v>
      </c>
      <c r="AV213" s="18">
        <v>1264379.25</v>
      </c>
      <c r="AW213" s="19">
        <v>213953.23</v>
      </c>
      <c r="AX213" s="19">
        <v>568374.25</v>
      </c>
      <c r="AY213" s="20">
        <v>1413015.88</v>
      </c>
      <c r="AZ213" s="20">
        <v>340506.81</v>
      </c>
      <c r="BA213" s="21">
        <v>238145.41</v>
      </c>
      <c r="BB213" s="21">
        <v>160698.89000000001</v>
      </c>
    </row>
    <row r="214" spans="1:54" hidden="1">
      <c r="A214">
        <v>20180</v>
      </c>
      <c r="B214" t="s">
        <v>53</v>
      </c>
      <c r="C214" t="s">
        <v>54</v>
      </c>
      <c r="D214" t="s">
        <v>55</v>
      </c>
      <c r="F214" t="s">
        <v>56</v>
      </c>
      <c r="G214">
        <v>3539.2159999999999</v>
      </c>
      <c r="H214" t="s">
        <v>57</v>
      </c>
      <c r="I214">
        <v>2</v>
      </c>
      <c r="J214">
        <v>3</v>
      </c>
      <c r="K214">
        <v>0</v>
      </c>
      <c r="L214">
        <v>83.48</v>
      </c>
      <c r="M214">
        <v>61157</v>
      </c>
      <c r="N214">
        <v>35</v>
      </c>
      <c r="O214">
        <v>60</v>
      </c>
      <c r="P214">
        <v>60</v>
      </c>
      <c r="Q214">
        <v>66</v>
      </c>
      <c r="R214">
        <v>66</v>
      </c>
      <c r="S214">
        <v>6106</v>
      </c>
      <c r="T214">
        <v>6106</v>
      </c>
      <c r="U214">
        <v>66</v>
      </c>
      <c r="V214">
        <v>49</v>
      </c>
      <c r="W214">
        <v>58</v>
      </c>
      <c r="X214">
        <v>55</v>
      </c>
      <c r="Y214">
        <v>60</v>
      </c>
      <c r="Z214">
        <v>63</v>
      </c>
      <c r="AA214">
        <v>62</v>
      </c>
      <c r="AB214">
        <v>65</v>
      </c>
      <c r="AC214">
        <v>63</v>
      </c>
      <c r="AD214">
        <v>568</v>
      </c>
      <c r="AE214">
        <v>643</v>
      </c>
      <c r="AF214">
        <v>737</v>
      </c>
      <c r="AG214">
        <v>734</v>
      </c>
      <c r="AH214">
        <v>956</v>
      </c>
      <c r="AI214">
        <v>974</v>
      </c>
      <c r="AJ214">
        <v>800</v>
      </c>
      <c r="AK214">
        <v>694</v>
      </c>
      <c r="AL214">
        <v>7309627904</v>
      </c>
      <c r="AM214">
        <v>8898011136</v>
      </c>
      <c r="AN214">
        <v>9314343936</v>
      </c>
      <c r="AO214">
        <v>9532409856</v>
      </c>
      <c r="AP214">
        <v>19003705344</v>
      </c>
      <c r="AQ214">
        <v>17092458496</v>
      </c>
      <c r="AR214">
        <v>11668918272</v>
      </c>
      <c r="AS214">
        <v>8183412224</v>
      </c>
      <c r="AT214" s="23" t="s">
        <v>54</v>
      </c>
      <c r="AU214" s="18">
        <v>5412142080</v>
      </c>
      <c r="AV214" s="18">
        <v>6736160768</v>
      </c>
      <c r="AW214" s="19">
        <v>7152666112</v>
      </c>
      <c r="AX214" s="19">
        <v>8680291328</v>
      </c>
      <c r="AY214" s="20">
        <v>9583460352</v>
      </c>
      <c r="AZ214" s="20">
        <v>9623705600</v>
      </c>
      <c r="BA214" s="21">
        <v>8809013248</v>
      </c>
      <c r="BB214" s="21">
        <v>7907022848</v>
      </c>
    </row>
    <row r="215" spans="1:54" hidden="1">
      <c r="A215">
        <v>19985</v>
      </c>
      <c r="B215" t="s">
        <v>158</v>
      </c>
      <c r="C215" t="s">
        <v>159</v>
      </c>
      <c r="D215" t="s">
        <v>160</v>
      </c>
      <c r="F215" t="s">
        <v>161</v>
      </c>
      <c r="G215">
        <v>1205.2280000000001</v>
      </c>
      <c r="H215" t="s">
        <v>57</v>
      </c>
      <c r="I215">
        <v>2</v>
      </c>
      <c r="J215">
        <v>16</v>
      </c>
      <c r="K215">
        <v>0</v>
      </c>
      <c r="L215">
        <v>82.16</v>
      </c>
      <c r="M215">
        <v>26743</v>
      </c>
      <c r="N215">
        <v>14</v>
      </c>
      <c r="O215">
        <v>25</v>
      </c>
      <c r="P215">
        <v>5</v>
      </c>
      <c r="Q215">
        <v>29</v>
      </c>
      <c r="R215">
        <v>5</v>
      </c>
      <c r="S215">
        <v>2358</v>
      </c>
      <c r="T215">
        <v>303</v>
      </c>
      <c r="U215">
        <v>5</v>
      </c>
      <c r="V215">
        <v>4</v>
      </c>
      <c r="W215">
        <v>4</v>
      </c>
      <c r="X215">
        <v>5</v>
      </c>
      <c r="Y215">
        <v>5</v>
      </c>
      <c r="Z215">
        <v>5</v>
      </c>
      <c r="AA215">
        <v>5</v>
      </c>
      <c r="AB215">
        <v>5</v>
      </c>
      <c r="AC215">
        <v>5</v>
      </c>
      <c r="AD215">
        <v>52</v>
      </c>
      <c r="AE215">
        <v>40</v>
      </c>
      <c r="AF215">
        <v>45</v>
      </c>
      <c r="AG215">
        <v>36</v>
      </c>
      <c r="AH215">
        <v>33</v>
      </c>
      <c r="AI215">
        <v>32</v>
      </c>
      <c r="AJ215">
        <v>27</v>
      </c>
      <c r="AK215">
        <v>38</v>
      </c>
      <c r="AL215">
        <v>5949499392</v>
      </c>
      <c r="AM215">
        <v>6616920064</v>
      </c>
      <c r="AN215">
        <v>6290901504</v>
      </c>
      <c r="AO215">
        <v>5901172736</v>
      </c>
      <c r="AP215">
        <v>12326180864</v>
      </c>
      <c r="AQ215">
        <v>10955528192</v>
      </c>
      <c r="AR215">
        <v>6731212800</v>
      </c>
      <c r="AS215">
        <v>5097117696</v>
      </c>
      <c r="AT215" s="23" t="s">
        <v>159</v>
      </c>
      <c r="AU215" s="18">
        <v>431972672</v>
      </c>
      <c r="AV215" s="18">
        <v>606553472</v>
      </c>
      <c r="AW215" s="19">
        <v>665437056</v>
      </c>
      <c r="AX215" s="19">
        <v>692120960</v>
      </c>
      <c r="AY215" s="20">
        <v>1564700928</v>
      </c>
      <c r="AZ215" s="20">
        <v>1144950272</v>
      </c>
      <c r="BA215" s="21">
        <v>863586688</v>
      </c>
      <c r="BB215" s="21">
        <v>689842176</v>
      </c>
    </row>
    <row r="216" spans="1:54" hidden="1">
      <c r="A216">
        <v>19986</v>
      </c>
      <c r="B216" t="s">
        <v>244</v>
      </c>
      <c r="C216" t="s">
        <v>159</v>
      </c>
      <c r="D216" t="s">
        <v>245</v>
      </c>
      <c r="F216" t="s">
        <v>246</v>
      </c>
      <c r="G216">
        <v>837.74300000000005</v>
      </c>
      <c r="H216" t="s">
        <v>57</v>
      </c>
      <c r="I216">
        <v>2</v>
      </c>
      <c r="J216">
        <v>5</v>
      </c>
      <c r="K216">
        <v>0</v>
      </c>
      <c r="L216">
        <v>80.5</v>
      </c>
      <c r="M216">
        <v>26757</v>
      </c>
      <c r="N216">
        <v>14</v>
      </c>
      <c r="O216">
        <v>21</v>
      </c>
      <c r="P216">
        <v>1</v>
      </c>
      <c r="Q216">
        <v>25</v>
      </c>
      <c r="R216">
        <v>1</v>
      </c>
      <c r="S216">
        <v>2056</v>
      </c>
      <c r="T216">
        <v>1</v>
      </c>
      <c r="U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5419309568</v>
      </c>
      <c r="AM216">
        <v>5829684224</v>
      </c>
      <c r="AN216">
        <v>5640120320</v>
      </c>
      <c r="AO216">
        <v>5185590784</v>
      </c>
      <c r="AP216">
        <v>10327418880</v>
      </c>
      <c r="AQ216">
        <v>9169611776</v>
      </c>
      <c r="AR216">
        <v>5515290112</v>
      </c>
      <c r="AS216">
        <v>4293542656</v>
      </c>
      <c r="AT216" s="23" t="s">
        <v>159</v>
      </c>
      <c r="AU216" s="18">
        <v>49505.43</v>
      </c>
      <c r="AV216" s="18">
        <v>111774.65</v>
      </c>
      <c r="AW216" s="19">
        <v>213953.23</v>
      </c>
      <c r="AX216" s="19">
        <v>620633.06000000006</v>
      </c>
      <c r="AY216" s="20">
        <v>576503.68999999994</v>
      </c>
      <c r="AZ216" s="20">
        <v>264737.40999999997</v>
      </c>
      <c r="BA216" s="21">
        <v>285111.90999999997</v>
      </c>
      <c r="BB216" s="21">
        <v>249785.08</v>
      </c>
    </row>
    <row r="217" spans="1:54" hidden="1">
      <c r="A217">
        <v>20065</v>
      </c>
      <c r="B217" t="s">
        <v>138</v>
      </c>
      <c r="C217" t="s">
        <v>139</v>
      </c>
      <c r="D217" t="s">
        <v>140</v>
      </c>
      <c r="F217" t="s">
        <v>141</v>
      </c>
      <c r="G217">
        <v>1322.8630000000001</v>
      </c>
      <c r="H217" t="s">
        <v>57</v>
      </c>
      <c r="I217">
        <v>2</v>
      </c>
      <c r="J217">
        <v>20</v>
      </c>
      <c r="K217">
        <v>0</v>
      </c>
      <c r="L217">
        <v>86.7</v>
      </c>
      <c r="M217">
        <v>25982</v>
      </c>
      <c r="N217">
        <v>16</v>
      </c>
      <c r="O217">
        <v>33</v>
      </c>
      <c r="P217">
        <v>33</v>
      </c>
      <c r="Q217">
        <v>34</v>
      </c>
      <c r="R217">
        <v>34</v>
      </c>
      <c r="S217">
        <v>1773</v>
      </c>
      <c r="T217">
        <v>1773</v>
      </c>
      <c r="U217">
        <v>34</v>
      </c>
      <c r="V217">
        <v>24</v>
      </c>
      <c r="W217">
        <v>27</v>
      </c>
      <c r="X217">
        <v>34</v>
      </c>
      <c r="Y217">
        <v>34</v>
      </c>
      <c r="Z217">
        <v>33</v>
      </c>
      <c r="AA217">
        <v>33</v>
      </c>
      <c r="AB217">
        <v>33</v>
      </c>
      <c r="AC217">
        <v>32</v>
      </c>
      <c r="AD217">
        <v>237</v>
      </c>
      <c r="AE217">
        <v>188</v>
      </c>
      <c r="AF217">
        <v>273</v>
      </c>
      <c r="AG217">
        <v>260</v>
      </c>
      <c r="AH217">
        <v>233</v>
      </c>
      <c r="AI217">
        <v>213</v>
      </c>
      <c r="AJ217">
        <v>184</v>
      </c>
      <c r="AK217">
        <v>185</v>
      </c>
      <c r="AL217">
        <v>6876911104</v>
      </c>
      <c r="AM217">
        <v>7784473600</v>
      </c>
      <c r="AN217">
        <v>7208879104</v>
      </c>
      <c r="AO217">
        <v>6632539136</v>
      </c>
      <c r="AP217">
        <v>14317442048</v>
      </c>
      <c r="AQ217">
        <v>12510676992</v>
      </c>
      <c r="AR217">
        <v>8558078976</v>
      </c>
      <c r="AS217">
        <v>6871955456</v>
      </c>
      <c r="AT217" s="23" t="s">
        <v>139</v>
      </c>
      <c r="AU217" s="18">
        <v>3597435904</v>
      </c>
      <c r="AV217" s="18">
        <v>4001790720</v>
      </c>
      <c r="AW217" s="19">
        <v>5925957632</v>
      </c>
      <c r="AX217" s="19">
        <v>5651542016</v>
      </c>
      <c r="AY217" s="20">
        <v>9149697024</v>
      </c>
      <c r="AZ217" s="20">
        <v>8455099392</v>
      </c>
      <c r="BA217" s="21">
        <v>6869596160</v>
      </c>
      <c r="BB217" s="21">
        <v>5598789632</v>
      </c>
    </row>
    <row r="218" spans="1:54" hidden="1">
      <c r="A218">
        <v>20077</v>
      </c>
      <c r="B218" t="s">
        <v>188</v>
      </c>
      <c r="C218" t="s">
        <v>189</v>
      </c>
      <c r="D218" t="s">
        <v>190</v>
      </c>
      <c r="F218" t="s">
        <v>191</v>
      </c>
      <c r="G218">
        <v>1048.481</v>
      </c>
      <c r="H218" t="s">
        <v>57</v>
      </c>
      <c r="I218">
        <v>2</v>
      </c>
      <c r="J218">
        <v>21</v>
      </c>
      <c r="K218">
        <v>0</v>
      </c>
      <c r="L218">
        <v>81.55</v>
      </c>
      <c r="M218">
        <v>23468</v>
      </c>
      <c r="N218">
        <v>14</v>
      </c>
      <c r="O218">
        <v>25</v>
      </c>
      <c r="P218">
        <v>25</v>
      </c>
      <c r="Q218">
        <v>28</v>
      </c>
      <c r="R218">
        <v>28</v>
      </c>
      <c r="S218">
        <v>1561</v>
      </c>
      <c r="T218">
        <v>1561</v>
      </c>
      <c r="U218">
        <v>28</v>
      </c>
      <c r="V218">
        <v>22</v>
      </c>
      <c r="W218">
        <v>24</v>
      </c>
      <c r="X218">
        <v>27</v>
      </c>
      <c r="Y218">
        <v>27</v>
      </c>
      <c r="Z218">
        <v>27</v>
      </c>
      <c r="AA218">
        <v>27</v>
      </c>
      <c r="AB218">
        <v>27</v>
      </c>
      <c r="AC218">
        <v>26</v>
      </c>
      <c r="AD218">
        <v>184</v>
      </c>
      <c r="AE218">
        <v>195</v>
      </c>
      <c r="AF218">
        <v>167</v>
      </c>
      <c r="AG218">
        <v>154</v>
      </c>
      <c r="AH218">
        <v>225</v>
      </c>
      <c r="AI218">
        <v>233</v>
      </c>
      <c r="AJ218">
        <v>179</v>
      </c>
      <c r="AK218">
        <v>224</v>
      </c>
      <c r="AL218">
        <v>10392297472</v>
      </c>
      <c r="AM218">
        <v>11651079168</v>
      </c>
      <c r="AN218">
        <v>3456958464</v>
      </c>
      <c r="AO218">
        <v>4144638464</v>
      </c>
      <c r="AP218">
        <v>14658176000</v>
      </c>
      <c r="AQ218">
        <v>13119557632</v>
      </c>
      <c r="AR218">
        <v>4042459904</v>
      </c>
      <c r="AS218">
        <v>5172328960</v>
      </c>
      <c r="AT218" s="23" t="s">
        <v>189</v>
      </c>
      <c r="AU218" s="18">
        <v>7188687872</v>
      </c>
      <c r="AV218" s="18">
        <v>6255472128</v>
      </c>
      <c r="AW218" s="19">
        <v>3359211264</v>
      </c>
      <c r="AX218" s="19">
        <v>4375516672</v>
      </c>
      <c r="AY218" s="20">
        <v>8425944064</v>
      </c>
      <c r="AZ218" s="20">
        <v>7822871552</v>
      </c>
      <c r="BA218" s="21">
        <v>3973091328</v>
      </c>
      <c r="BB218" s="21">
        <v>4579374592</v>
      </c>
    </row>
    <row r="219" spans="1:54" hidden="1">
      <c r="A219">
        <v>20060</v>
      </c>
      <c r="B219" t="s">
        <v>124</v>
      </c>
      <c r="C219" t="s">
        <v>125</v>
      </c>
      <c r="D219" t="s">
        <v>126</v>
      </c>
      <c r="F219" t="s">
        <v>127</v>
      </c>
      <c r="G219">
        <v>1351.13</v>
      </c>
      <c r="H219" t="s">
        <v>57</v>
      </c>
      <c r="I219">
        <v>2</v>
      </c>
      <c r="J219">
        <v>9</v>
      </c>
      <c r="K219">
        <v>0</v>
      </c>
      <c r="L219">
        <v>89.22</v>
      </c>
      <c r="M219">
        <v>17603</v>
      </c>
      <c r="N219">
        <v>13</v>
      </c>
      <c r="O219">
        <v>17</v>
      </c>
      <c r="P219">
        <v>17</v>
      </c>
      <c r="Q219">
        <v>24</v>
      </c>
      <c r="R219">
        <v>24</v>
      </c>
      <c r="S219">
        <v>1713</v>
      </c>
      <c r="T219">
        <v>1713</v>
      </c>
      <c r="U219">
        <v>24</v>
      </c>
      <c r="V219">
        <v>21</v>
      </c>
      <c r="W219">
        <v>20</v>
      </c>
      <c r="X219">
        <v>22</v>
      </c>
      <c r="Y219">
        <v>23</v>
      </c>
      <c r="Z219">
        <v>23</v>
      </c>
      <c r="AA219">
        <v>22</v>
      </c>
      <c r="AB219">
        <v>22</v>
      </c>
      <c r="AC219">
        <v>23</v>
      </c>
      <c r="AD219">
        <v>231</v>
      </c>
      <c r="AE219">
        <v>205</v>
      </c>
      <c r="AF219">
        <v>193</v>
      </c>
      <c r="AG219">
        <v>177</v>
      </c>
      <c r="AH219">
        <v>260</v>
      </c>
      <c r="AI219">
        <v>236</v>
      </c>
      <c r="AJ219">
        <v>182</v>
      </c>
      <c r="AK219">
        <v>229</v>
      </c>
      <c r="AL219">
        <v>8613956608</v>
      </c>
      <c r="AM219">
        <v>8969890816</v>
      </c>
      <c r="AN219">
        <v>7412240896</v>
      </c>
      <c r="AO219">
        <v>6881017856</v>
      </c>
      <c r="AP219">
        <v>14061840384</v>
      </c>
      <c r="AQ219">
        <v>12634175488</v>
      </c>
      <c r="AR219">
        <v>8492853248</v>
      </c>
      <c r="AS219">
        <v>6822824960</v>
      </c>
      <c r="AT219" s="23" t="s">
        <v>125</v>
      </c>
      <c r="AU219" s="18">
        <v>8683662336</v>
      </c>
      <c r="AV219" s="18">
        <v>7869022208</v>
      </c>
      <c r="AW219" s="19">
        <v>7344981504</v>
      </c>
      <c r="AX219" s="19">
        <v>7710939648</v>
      </c>
      <c r="AY219" s="20">
        <v>9059637248</v>
      </c>
      <c r="AZ219" s="20">
        <v>8409992192</v>
      </c>
      <c r="BA219" s="21">
        <v>6328027648</v>
      </c>
      <c r="BB219" s="21">
        <v>7345336832</v>
      </c>
    </row>
    <row r="220" spans="1:54" hidden="1">
      <c r="A220">
        <v>19993</v>
      </c>
      <c r="B220" t="s">
        <v>270</v>
      </c>
      <c r="C220" t="s">
        <v>271</v>
      </c>
      <c r="D220" t="s">
        <v>272</v>
      </c>
      <c r="E220" t="s">
        <v>273</v>
      </c>
      <c r="F220" t="s">
        <v>274</v>
      </c>
      <c r="G220">
        <v>756.86400000000003</v>
      </c>
      <c r="H220" t="s">
        <v>57</v>
      </c>
      <c r="I220">
        <v>2</v>
      </c>
      <c r="J220">
        <v>18</v>
      </c>
      <c r="K220">
        <v>2</v>
      </c>
      <c r="L220">
        <v>91.6</v>
      </c>
      <c r="M220">
        <v>15186</v>
      </c>
      <c r="N220">
        <v>8</v>
      </c>
      <c r="O220">
        <v>16</v>
      </c>
      <c r="P220">
        <v>16</v>
      </c>
      <c r="Q220">
        <v>20</v>
      </c>
      <c r="R220">
        <v>20</v>
      </c>
      <c r="S220">
        <v>1250</v>
      </c>
      <c r="T220">
        <v>1250</v>
      </c>
      <c r="U220">
        <v>20</v>
      </c>
      <c r="V220">
        <v>15</v>
      </c>
      <c r="W220">
        <v>17</v>
      </c>
      <c r="X220">
        <v>18</v>
      </c>
      <c r="Y220">
        <v>15</v>
      </c>
      <c r="Z220">
        <v>14</v>
      </c>
      <c r="AA220">
        <v>15</v>
      </c>
      <c r="AB220">
        <v>15</v>
      </c>
      <c r="AC220">
        <v>13</v>
      </c>
      <c r="AD220">
        <v>90</v>
      </c>
      <c r="AE220">
        <v>213</v>
      </c>
      <c r="AF220">
        <v>215</v>
      </c>
      <c r="AG220">
        <v>153</v>
      </c>
      <c r="AH220">
        <v>171</v>
      </c>
      <c r="AI220">
        <v>140</v>
      </c>
      <c r="AJ220">
        <v>112</v>
      </c>
      <c r="AK220">
        <v>155</v>
      </c>
      <c r="AL220">
        <v>2607904512</v>
      </c>
      <c r="AM220">
        <v>4490289152</v>
      </c>
      <c r="AN220">
        <v>2204466688</v>
      </c>
      <c r="AO220">
        <v>1723194368</v>
      </c>
      <c r="AP220">
        <v>6698370560</v>
      </c>
      <c r="AQ220">
        <v>5782870016</v>
      </c>
      <c r="AR220">
        <v>3351313920</v>
      </c>
      <c r="AS220">
        <v>2140300544</v>
      </c>
      <c r="AT220" s="23" t="s">
        <v>271</v>
      </c>
      <c r="AU220" s="18">
        <v>1816076416</v>
      </c>
      <c r="AV220" s="18">
        <v>2753684224</v>
      </c>
      <c r="AW220" s="19">
        <v>1862478720</v>
      </c>
      <c r="AX220" s="19">
        <v>1319223680</v>
      </c>
      <c r="AY220" s="20">
        <v>3319244288</v>
      </c>
      <c r="AZ220" s="20">
        <v>3334323456</v>
      </c>
      <c r="BA220" s="21">
        <v>2282012160</v>
      </c>
      <c r="BB220" s="21">
        <v>1614250752</v>
      </c>
    </row>
    <row r="221" spans="1:54" hidden="1">
      <c r="A221">
        <v>19962</v>
      </c>
      <c r="B221" t="s">
        <v>173</v>
      </c>
      <c r="C221" t="s">
        <v>174</v>
      </c>
      <c r="D221" t="s">
        <v>175</v>
      </c>
      <c r="E221" t="s">
        <v>176</v>
      </c>
      <c r="F221" t="s">
        <v>177</v>
      </c>
      <c r="G221">
        <v>1139.337</v>
      </c>
      <c r="H221" t="s">
        <v>57</v>
      </c>
      <c r="I221">
        <v>2</v>
      </c>
      <c r="J221">
        <v>3</v>
      </c>
      <c r="K221">
        <v>18</v>
      </c>
      <c r="L221">
        <v>78.209999999999994</v>
      </c>
      <c r="M221">
        <v>20018</v>
      </c>
      <c r="N221">
        <v>14</v>
      </c>
      <c r="O221">
        <v>24</v>
      </c>
      <c r="P221">
        <v>24</v>
      </c>
      <c r="Q221">
        <v>27</v>
      </c>
      <c r="R221">
        <v>27</v>
      </c>
      <c r="S221">
        <v>1780</v>
      </c>
      <c r="T221">
        <v>1780</v>
      </c>
      <c r="U221">
        <v>27</v>
      </c>
      <c r="V221">
        <v>23</v>
      </c>
      <c r="W221">
        <v>24</v>
      </c>
      <c r="X221">
        <v>26</v>
      </c>
      <c r="Y221">
        <v>26</v>
      </c>
      <c r="Z221">
        <v>25</v>
      </c>
      <c r="AA221">
        <v>25</v>
      </c>
      <c r="AB221">
        <v>25</v>
      </c>
      <c r="AC221">
        <v>25</v>
      </c>
      <c r="AD221">
        <v>180</v>
      </c>
      <c r="AE221">
        <v>262</v>
      </c>
      <c r="AF221">
        <v>260</v>
      </c>
      <c r="AG221">
        <v>260</v>
      </c>
      <c r="AH221">
        <v>275</v>
      </c>
      <c r="AI221">
        <v>215</v>
      </c>
      <c r="AJ221">
        <v>146</v>
      </c>
      <c r="AK221">
        <v>182</v>
      </c>
      <c r="AL221">
        <v>7874042880</v>
      </c>
      <c r="AM221">
        <v>9175818240</v>
      </c>
      <c r="AN221">
        <v>6634945536</v>
      </c>
      <c r="AO221">
        <v>6214667264</v>
      </c>
      <c r="AP221">
        <v>13732892672</v>
      </c>
      <c r="AQ221">
        <v>12526416896</v>
      </c>
      <c r="AR221">
        <v>7677069312</v>
      </c>
      <c r="AS221">
        <v>6341817856</v>
      </c>
      <c r="AT221" s="23" t="s">
        <v>174</v>
      </c>
      <c r="AU221" s="18">
        <v>5728802816</v>
      </c>
      <c r="AV221" s="18">
        <v>5826307584</v>
      </c>
      <c r="AW221" s="19">
        <v>5022211584</v>
      </c>
      <c r="AX221" s="19">
        <v>5766903296</v>
      </c>
      <c r="AY221" s="20">
        <v>8636633088</v>
      </c>
      <c r="AZ221" s="20">
        <v>7899057664</v>
      </c>
      <c r="BA221" s="21">
        <v>6399143424</v>
      </c>
      <c r="BB221" s="21">
        <v>6374024192</v>
      </c>
    </row>
    <row r="222" spans="1:54" hidden="1">
      <c r="A222">
        <v>20052</v>
      </c>
      <c r="B222" t="s">
        <v>296</v>
      </c>
      <c r="C222" t="s">
        <v>297</v>
      </c>
      <c r="D222" t="s">
        <v>298</v>
      </c>
      <c r="F222" t="s">
        <v>299</v>
      </c>
      <c r="G222">
        <v>700.44500000000005</v>
      </c>
      <c r="H222" t="s">
        <v>57</v>
      </c>
      <c r="I222">
        <v>2</v>
      </c>
      <c r="J222">
        <v>21</v>
      </c>
      <c r="K222">
        <v>0</v>
      </c>
      <c r="L222">
        <v>73.849999999999994</v>
      </c>
      <c r="M222">
        <v>14126</v>
      </c>
      <c r="N222">
        <v>11</v>
      </c>
      <c r="O222">
        <v>13</v>
      </c>
      <c r="P222">
        <v>13</v>
      </c>
      <c r="Q222">
        <v>16</v>
      </c>
      <c r="R222">
        <v>16</v>
      </c>
      <c r="S222">
        <v>822</v>
      </c>
      <c r="T222">
        <v>822</v>
      </c>
      <c r="U222">
        <v>16</v>
      </c>
      <c r="V222">
        <v>16</v>
      </c>
      <c r="W222">
        <v>16</v>
      </c>
      <c r="X222">
        <v>16</v>
      </c>
      <c r="Y222">
        <v>16</v>
      </c>
      <c r="Z222">
        <v>16</v>
      </c>
      <c r="AA222">
        <v>14</v>
      </c>
      <c r="AB222">
        <v>16</v>
      </c>
      <c r="AC222">
        <v>15</v>
      </c>
      <c r="AD222">
        <v>100</v>
      </c>
      <c r="AE222">
        <v>118</v>
      </c>
      <c r="AF222">
        <v>108</v>
      </c>
      <c r="AG222">
        <v>94</v>
      </c>
      <c r="AH222">
        <v>96</v>
      </c>
      <c r="AI222">
        <v>104</v>
      </c>
      <c r="AJ222">
        <v>88</v>
      </c>
      <c r="AK222">
        <v>113</v>
      </c>
      <c r="AL222">
        <v>3450688768</v>
      </c>
      <c r="AM222">
        <v>3779899648</v>
      </c>
      <c r="AN222">
        <v>1670974336</v>
      </c>
      <c r="AO222">
        <v>1291947008</v>
      </c>
      <c r="AP222">
        <v>3336931328</v>
      </c>
      <c r="AQ222">
        <v>3059270400</v>
      </c>
      <c r="AR222">
        <v>1787239424</v>
      </c>
      <c r="AS222">
        <v>1688622080</v>
      </c>
      <c r="AT222" s="23" t="s">
        <v>297</v>
      </c>
      <c r="AU222" s="18">
        <v>2761544448</v>
      </c>
      <c r="AV222" s="18">
        <v>3031801088</v>
      </c>
      <c r="AW222" s="19">
        <v>1480446592</v>
      </c>
      <c r="AX222" s="19">
        <v>1400136448</v>
      </c>
      <c r="AY222" s="20">
        <v>1127303936</v>
      </c>
      <c r="AZ222" s="20">
        <v>1245532800</v>
      </c>
      <c r="BA222" s="21">
        <v>1113303552</v>
      </c>
      <c r="BB222" s="21">
        <v>1636331904</v>
      </c>
    </row>
    <row r="223" spans="1:54" hidden="1">
      <c r="A223">
        <v>19967</v>
      </c>
      <c r="B223" t="s">
        <v>396</v>
      </c>
      <c r="C223" t="s">
        <v>397</v>
      </c>
      <c r="D223" t="s">
        <v>398</v>
      </c>
      <c r="F223" t="s">
        <v>399</v>
      </c>
      <c r="G223">
        <v>469.08199999999999</v>
      </c>
      <c r="H223" t="s">
        <v>57</v>
      </c>
      <c r="I223">
        <v>2</v>
      </c>
      <c r="J223">
        <v>21</v>
      </c>
      <c r="K223">
        <v>0</v>
      </c>
      <c r="L223">
        <v>75.38</v>
      </c>
      <c r="M223">
        <v>14856</v>
      </c>
      <c r="N223">
        <v>8</v>
      </c>
      <c r="O223">
        <v>16</v>
      </c>
      <c r="P223">
        <v>16</v>
      </c>
      <c r="Q223">
        <v>18</v>
      </c>
      <c r="R223">
        <v>18</v>
      </c>
      <c r="S223">
        <v>968</v>
      </c>
      <c r="T223">
        <v>968</v>
      </c>
      <c r="U223">
        <v>18</v>
      </c>
      <c r="V223">
        <v>13</v>
      </c>
      <c r="W223">
        <v>14</v>
      </c>
      <c r="X223">
        <v>16</v>
      </c>
      <c r="Y223">
        <v>16</v>
      </c>
      <c r="Z223">
        <v>15</v>
      </c>
      <c r="AA223">
        <v>16</v>
      </c>
      <c r="AB223">
        <v>16</v>
      </c>
      <c r="AC223">
        <v>15</v>
      </c>
      <c r="AD223">
        <v>130</v>
      </c>
      <c r="AE223">
        <v>116</v>
      </c>
      <c r="AF223">
        <v>136</v>
      </c>
      <c r="AG223">
        <v>119</v>
      </c>
      <c r="AH223">
        <v>139</v>
      </c>
      <c r="AI223">
        <v>126</v>
      </c>
      <c r="AJ223">
        <v>96</v>
      </c>
      <c r="AK223">
        <v>106</v>
      </c>
      <c r="AL223">
        <v>7093572608</v>
      </c>
      <c r="AM223">
        <v>7468241920</v>
      </c>
      <c r="AN223">
        <v>6219577344</v>
      </c>
      <c r="AO223">
        <v>5650538496</v>
      </c>
      <c r="AP223">
        <v>9657040896</v>
      </c>
      <c r="AQ223">
        <v>8697819136</v>
      </c>
      <c r="AR223">
        <v>5897227264</v>
      </c>
      <c r="AS223">
        <v>4595175936</v>
      </c>
      <c r="AT223" s="23" t="s">
        <v>397</v>
      </c>
      <c r="AU223" s="18">
        <v>4373073408</v>
      </c>
      <c r="AV223" s="18">
        <v>4931235840</v>
      </c>
      <c r="AW223" s="19">
        <v>4872453632</v>
      </c>
      <c r="AX223" s="19">
        <v>5667603456</v>
      </c>
      <c r="AY223" s="20">
        <v>4467407872</v>
      </c>
      <c r="AZ223" s="20">
        <v>4981185536</v>
      </c>
      <c r="BA223" s="21">
        <v>3816803328</v>
      </c>
      <c r="BB223" s="21">
        <v>3389443840</v>
      </c>
    </row>
    <row r="224" spans="1:54" hidden="1">
      <c r="A224">
        <v>19978</v>
      </c>
      <c r="B224" t="s">
        <v>345</v>
      </c>
      <c r="C224" t="s">
        <v>346</v>
      </c>
      <c r="D224" t="s">
        <v>347</v>
      </c>
      <c r="F224" t="s">
        <v>348</v>
      </c>
      <c r="G224">
        <v>602.12900000000002</v>
      </c>
      <c r="H224" t="s">
        <v>57</v>
      </c>
      <c r="I224">
        <v>2</v>
      </c>
      <c r="J224">
        <v>21</v>
      </c>
      <c r="K224">
        <v>0</v>
      </c>
      <c r="L224">
        <v>81.55</v>
      </c>
      <c r="M224">
        <v>11735</v>
      </c>
      <c r="N224">
        <v>8</v>
      </c>
      <c r="O224">
        <v>13</v>
      </c>
      <c r="P224">
        <v>13</v>
      </c>
      <c r="Q224">
        <v>14</v>
      </c>
      <c r="R224">
        <v>14</v>
      </c>
      <c r="S224">
        <v>1732</v>
      </c>
      <c r="T224">
        <v>1732</v>
      </c>
      <c r="U224">
        <v>14</v>
      </c>
      <c r="V224">
        <v>11</v>
      </c>
      <c r="W224">
        <v>12</v>
      </c>
      <c r="X224">
        <v>14</v>
      </c>
      <c r="Y224">
        <v>13</v>
      </c>
      <c r="Z224">
        <v>14</v>
      </c>
      <c r="AA224">
        <v>14</v>
      </c>
      <c r="AB224">
        <v>14</v>
      </c>
      <c r="AC224">
        <v>14</v>
      </c>
      <c r="AD224">
        <v>187</v>
      </c>
      <c r="AE224">
        <v>173</v>
      </c>
      <c r="AF224">
        <v>208</v>
      </c>
      <c r="AG224">
        <v>171</v>
      </c>
      <c r="AH224">
        <v>317</v>
      </c>
      <c r="AI224">
        <v>278</v>
      </c>
      <c r="AJ224">
        <v>193</v>
      </c>
      <c r="AK224">
        <v>205</v>
      </c>
      <c r="AL224">
        <v>5612685312</v>
      </c>
      <c r="AM224">
        <v>6074046464</v>
      </c>
      <c r="AN224">
        <v>5013151232</v>
      </c>
      <c r="AO224">
        <v>4393778176</v>
      </c>
      <c r="AP224">
        <v>9908874240</v>
      </c>
      <c r="AQ224">
        <v>8623049728</v>
      </c>
      <c r="AR224">
        <v>5614265344</v>
      </c>
      <c r="AS224">
        <v>4321063936</v>
      </c>
      <c r="AT224" s="23" t="s">
        <v>346</v>
      </c>
      <c r="AU224" s="18">
        <v>2860532736</v>
      </c>
      <c r="AV224" s="18">
        <v>2314444800</v>
      </c>
      <c r="AW224" s="19">
        <v>3928973312</v>
      </c>
      <c r="AX224" s="19">
        <v>3773369344</v>
      </c>
      <c r="AY224" s="20">
        <v>5083961344</v>
      </c>
      <c r="AZ224" s="20">
        <v>5525322752</v>
      </c>
      <c r="BA224" s="21">
        <v>5269319168</v>
      </c>
      <c r="BB224" s="21">
        <v>4623606784</v>
      </c>
    </row>
    <row r="225" spans="1:54" hidden="1">
      <c r="A225">
        <v>20146</v>
      </c>
      <c r="B225" t="s">
        <v>425</v>
      </c>
      <c r="C225" t="s">
        <v>426</v>
      </c>
      <c r="D225" t="s">
        <v>427</v>
      </c>
      <c r="F225" t="s">
        <v>428</v>
      </c>
      <c r="G225">
        <v>424.10599999999999</v>
      </c>
      <c r="H225" t="s">
        <v>57</v>
      </c>
      <c r="I225">
        <v>2</v>
      </c>
      <c r="J225">
        <v>21</v>
      </c>
      <c r="K225">
        <v>0</v>
      </c>
      <c r="L225">
        <v>52.71</v>
      </c>
      <c r="M225">
        <v>13844</v>
      </c>
      <c r="N225">
        <v>8</v>
      </c>
      <c r="O225">
        <v>7</v>
      </c>
      <c r="P225">
        <v>7</v>
      </c>
      <c r="Q225">
        <v>8</v>
      </c>
      <c r="R225">
        <v>8</v>
      </c>
      <c r="S225">
        <v>960</v>
      </c>
      <c r="T225">
        <v>960</v>
      </c>
      <c r="U225">
        <v>8</v>
      </c>
      <c r="V225">
        <v>6</v>
      </c>
      <c r="W225">
        <v>8</v>
      </c>
      <c r="X225">
        <v>8</v>
      </c>
      <c r="Y225">
        <v>8</v>
      </c>
      <c r="Z225">
        <v>8</v>
      </c>
      <c r="AA225">
        <v>8</v>
      </c>
      <c r="AB225">
        <v>8</v>
      </c>
      <c r="AC225">
        <v>8</v>
      </c>
      <c r="AD225">
        <v>43</v>
      </c>
      <c r="AE225">
        <v>55</v>
      </c>
      <c r="AF225">
        <v>85</v>
      </c>
      <c r="AG225">
        <v>105</v>
      </c>
      <c r="AH225">
        <v>137</v>
      </c>
      <c r="AI225">
        <v>156</v>
      </c>
      <c r="AJ225">
        <v>208</v>
      </c>
      <c r="AK225">
        <v>171</v>
      </c>
      <c r="AL225">
        <v>4193289728</v>
      </c>
      <c r="AM225">
        <v>4699016192</v>
      </c>
      <c r="AN225">
        <v>4616720896</v>
      </c>
      <c r="AO225">
        <v>4348672000</v>
      </c>
      <c r="AP225">
        <v>7255373824</v>
      </c>
      <c r="AQ225">
        <v>6385309184</v>
      </c>
      <c r="AR225">
        <v>4332526592</v>
      </c>
      <c r="AS225">
        <v>3187996928</v>
      </c>
      <c r="AT225" s="23" t="s">
        <v>426</v>
      </c>
      <c r="AU225" s="18">
        <v>2646715136</v>
      </c>
      <c r="AV225" s="18">
        <v>2500477952</v>
      </c>
      <c r="AW225" s="19">
        <v>2960327168</v>
      </c>
      <c r="AX225" s="19">
        <v>3878685440</v>
      </c>
      <c r="AY225" s="20">
        <v>3840947200</v>
      </c>
      <c r="AZ225" s="20">
        <v>3893894144</v>
      </c>
      <c r="BA225" s="21">
        <v>3033917696</v>
      </c>
      <c r="BB225" s="21">
        <v>3061139712</v>
      </c>
    </row>
    <row r="226" spans="1:54" hidden="1">
      <c r="A226">
        <v>20056</v>
      </c>
      <c r="B226" t="s">
        <v>543</v>
      </c>
      <c r="C226" t="s">
        <v>544</v>
      </c>
      <c r="D226" t="s">
        <v>545</v>
      </c>
      <c r="E226" t="s">
        <v>546</v>
      </c>
      <c r="F226" t="s">
        <v>547</v>
      </c>
      <c r="G226">
        <v>279.90499999999997</v>
      </c>
      <c r="H226" t="s">
        <v>57</v>
      </c>
      <c r="I226">
        <v>2</v>
      </c>
      <c r="J226">
        <v>18</v>
      </c>
      <c r="K226">
        <v>2</v>
      </c>
      <c r="L226">
        <v>54.84</v>
      </c>
      <c r="M226">
        <v>13736</v>
      </c>
      <c r="N226">
        <v>7</v>
      </c>
      <c r="O226">
        <v>9</v>
      </c>
      <c r="P226">
        <v>9</v>
      </c>
      <c r="Q226">
        <v>9</v>
      </c>
      <c r="R226">
        <v>9</v>
      </c>
      <c r="S226">
        <v>474</v>
      </c>
      <c r="T226">
        <v>474</v>
      </c>
      <c r="U226">
        <v>9</v>
      </c>
      <c r="V226">
        <v>7</v>
      </c>
      <c r="W226">
        <v>6</v>
      </c>
      <c r="X226">
        <v>9</v>
      </c>
      <c r="Y226">
        <v>9</v>
      </c>
      <c r="Z226">
        <v>7</v>
      </c>
      <c r="AA226">
        <v>7</v>
      </c>
      <c r="AB226">
        <v>7</v>
      </c>
      <c r="AC226">
        <v>7</v>
      </c>
      <c r="AD226">
        <v>15</v>
      </c>
      <c r="AE226">
        <v>10</v>
      </c>
      <c r="AF226">
        <v>37</v>
      </c>
      <c r="AG226">
        <v>80</v>
      </c>
      <c r="AH226">
        <v>65</v>
      </c>
      <c r="AI226">
        <v>80</v>
      </c>
      <c r="AJ226">
        <v>92</v>
      </c>
      <c r="AK226">
        <v>95</v>
      </c>
      <c r="AL226">
        <v>1894243712</v>
      </c>
      <c r="AM226">
        <v>2200312320</v>
      </c>
      <c r="AN226">
        <v>1319555328</v>
      </c>
      <c r="AO226">
        <v>1341590272</v>
      </c>
      <c r="AP226">
        <v>3641562624</v>
      </c>
      <c r="AQ226">
        <v>2957091584</v>
      </c>
      <c r="AR226">
        <v>1177380992</v>
      </c>
      <c r="AS226">
        <v>1148560640</v>
      </c>
      <c r="AT226" s="23" t="s">
        <v>544</v>
      </c>
      <c r="AU226" s="18">
        <v>274903456</v>
      </c>
      <c r="AV226" s="18">
        <v>416064320</v>
      </c>
      <c r="AW226" s="19">
        <v>1008369856</v>
      </c>
      <c r="AX226" s="19">
        <v>1652686848</v>
      </c>
      <c r="AY226" s="20">
        <v>1911096064</v>
      </c>
      <c r="AZ226" s="20">
        <v>2356818176</v>
      </c>
      <c r="BA226" s="21">
        <v>1081278976</v>
      </c>
      <c r="BB226" s="21">
        <v>954230592</v>
      </c>
    </row>
    <row r="227" spans="1:54" hidden="1">
      <c r="A227">
        <v>20169</v>
      </c>
      <c r="B227" t="s">
        <v>336</v>
      </c>
      <c r="C227" t="s">
        <v>337</v>
      </c>
      <c r="D227" t="s">
        <v>338</v>
      </c>
      <c r="F227" t="s">
        <v>339</v>
      </c>
      <c r="G227">
        <v>633</v>
      </c>
      <c r="H227" t="s">
        <v>57</v>
      </c>
      <c r="I227">
        <v>2</v>
      </c>
      <c r="J227">
        <v>6</v>
      </c>
      <c r="K227">
        <v>0</v>
      </c>
      <c r="L227">
        <v>71.19</v>
      </c>
      <c r="M227">
        <v>13099</v>
      </c>
      <c r="N227">
        <v>7</v>
      </c>
      <c r="O227">
        <v>15</v>
      </c>
      <c r="P227">
        <v>15</v>
      </c>
      <c r="Q227">
        <v>18</v>
      </c>
      <c r="R227">
        <v>18</v>
      </c>
      <c r="S227">
        <v>1607</v>
      </c>
      <c r="T227">
        <v>1607</v>
      </c>
      <c r="U227">
        <v>18</v>
      </c>
      <c r="V227">
        <v>14</v>
      </c>
      <c r="W227">
        <v>15</v>
      </c>
      <c r="X227">
        <v>16</v>
      </c>
      <c r="Y227">
        <v>16</v>
      </c>
      <c r="Z227">
        <v>18</v>
      </c>
      <c r="AA227">
        <v>16</v>
      </c>
      <c r="AB227">
        <v>18</v>
      </c>
      <c r="AC227">
        <v>16</v>
      </c>
      <c r="AD227">
        <v>249</v>
      </c>
      <c r="AE227">
        <v>223</v>
      </c>
      <c r="AF227">
        <v>204</v>
      </c>
      <c r="AG227">
        <v>184</v>
      </c>
      <c r="AH227">
        <v>239</v>
      </c>
      <c r="AI227">
        <v>226</v>
      </c>
      <c r="AJ227">
        <v>140</v>
      </c>
      <c r="AK227">
        <v>142</v>
      </c>
      <c r="AL227">
        <v>2685934848</v>
      </c>
      <c r="AM227">
        <v>4191150592</v>
      </c>
      <c r="AN227">
        <v>2899766016</v>
      </c>
      <c r="AO227">
        <v>2961686528</v>
      </c>
      <c r="AP227">
        <v>6493814784</v>
      </c>
      <c r="AQ227">
        <v>5699543040</v>
      </c>
      <c r="AR227">
        <v>3559460864</v>
      </c>
      <c r="AS227">
        <v>2966063616</v>
      </c>
      <c r="AT227" s="23" t="s">
        <v>337</v>
      </c>
      <c r="AU227" s="18">
        <v>2060531584</v>
      </c>
      <c r="AV227" s="18">
        <v>3084792320</v>
      </c>
      <c r="AW227" s="19">
        <v>2863852288</v>
      </c>
      <c r="AX227" s="19">
        <v>3462209536</v>
      </c>
      <c r="AY227" s="20">
        <v>4722862080</v>
      </c>
      <c r="AZ227" s="20">
        <v>4627465728</v>
      </c>
      <c r="BA227" s="21">
        <v>3933507840</v>
      </c>
      <c r="BB227" s="21">
        <v>3781873920</v>
      </c>
    </row>
    <row r="228" spans="1:54" hidden="1">
      <c r="A228">
        <v>20047</v>
      </c>
      <c r="B228" t="s">
        <v>469</v>
      </c>
      <c r="C228" t="s">
        <v>470</v>
      </c>
      <c r="D228" t="s">
        <v>471</v>
      </c>
      <c r="F228" t="s">
        <v>472</v>
      </c>
      <c r="G228">
        <v>342.88799999999998</v>
      </c>
      <c r="H228" t="s">
        <v>57</v>
      </c>
      <c r="I228">
        <v>2</v>
      </c>
      <c r="J228">
        <v>16</v>
      </c>
      <c r="K228">
        <v>0</v>
      </c>
      <c r="L228">
        <v>57.43</v>
      </c>
      <c r="M228">
        <v>11580</v>
      </c>
      <c r="N228">
        <v>7</v>
      </c>
      <c r="O228">
        <v>13</v>
      </c>
      <c r="P228">
        <v>2</v>
      </c>
      <c r="Q228">
        <v>13</v>
      </c>
      <c r="R228">
        <v>2</v>
      </c>
      <c r="S228">
        <v>1041</v>
      </c>
      <c r="T228">
        <v>546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80</v>
      </c>
      <c r="AE228">
        <v>64</v>
      </c>
      <c r="AF228">
        <v>65</v>
      </c>
      <c r="AG228">
        <v>50</v>
      </c>
      <c r="AH228">
        <v>100</v>
      </c>
      <c r="AI228">
        <v>96</v>
      </c>
      <c r="AJ228">
        <v>52</v>
      </c>
      <c r="AK228">
        <v>39</v>
      </c>
      <c r="AL228">
        <v>672298432</v>
      </c>
      <c r="AM228">
        <v>949983616</v>
      </c>
      <c r="AN228">
        <v>937564608</v>
      </c>
      <c r="AO228">
        <v>956669824</v>
      </c>
      <c r="AP228">
        <v>3487603968</v>
      </c>
      <c r="AQ228">
        <v>2986215168</v>
      </c>
      <c r="AR228">
        <v>1492400256</v>
      </c>
      <c r="AS228">
        <v>980557632</v>
      </c>
      <c r="AT228" s="23" t="s">
        <v>470</v>
      </c>
      <c r="AU228" s="18">
        <v>83226296</v>
      </c>
      <c r="AV228" s="18">
        <v>152477680</v>
      </c>
      <c r="AW228" s="19">
        <v>219362160</v>
      </c>
      <c r="AX228" s="19">
        <v>298973408</v>
      </c>
      <c r="AY228" s="20">
        <v>270843392</v>
      </c>
      <c r="AZ228" s="20">
        <v>361853472</v>
      </c>
      <c r="BA228" s="21">
        <v>320317856</v>
      </c>
      <c r="BB228" s="21">
        <v>392924160</v>
      </c>
    </row>
    <row r="229" spans="1:54" hidden="1">
      <c r="A229">
        <v>20046</v>
      </c>
      <c r="B229" t="s">
        <v>571</v>
      </c>
      <c r="C229" t="s">
        <v>470</v>
      </c>
      <c r="D229" t="s">
        <v>571</v>
      </c>
      <c r="F229" t="s">
        <v>572</v>
      </c>
      <c r="G229">
        <v>248.31899999999999</v>
      </c>
      <c r="H229" t="s">
        <v>57</v>
      </c>
      <c r="I229">
        <v>2</v>
      </c>
      <c r="J229">
        <v>1</v>
      </c>
      <c r="K229">
        <v>0</v>
      </c>
      <c r="L229">
        <v>51.49</v>
      </c>
      <c r="M229">
        <v>11594</v>
      </c>
      <c r="N229">
        <v>7</v>
      </c>
      <c r="O229">
        <v>12</v>
      </c>
      <c r="P229">
        <v>1</v>
      </c>
      <c r="Q229">
        <v>12</v>
      </c>
      <c r="R229">
        <v>1</v>
      </c>
      <c r="S229">
        <v>504</v>
      </c>
      <c r="T229">
        <v>9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2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550905472</v>
      </c>
      <c r="AM229">
        <v>749905792</v>
      </c>
      <c r="AN229">
        <v>725427072</v>
      </c>
      <c r="AO229">
        <v>647786304</v>
      </c>
      <c r="AP229">
        <v>2924041728</v>
      </c>
      <c r="AQ229">
        <v>2418269184</v>
      </c>
      <c r="AR229">
        <v>1093097600</v>
      </c>
      <c r="AS229">
        <v>648063040</v>
      </c>
      <c r="AT229" s="23" t="s">
        <v>470</v>
      </c>
      <c r="AU229" s="18">
        <v>2452051</v>
      </c>
      <c r="AV229" s="18">
        <v>1811835.25</v>
      </c>
      <c r="AW229" s="19">
        <v>1211380</v>
      </c>
      <c r="AX229" s="19">
        <v>979552.5</v>
      </c>
      <c r="AY229" s="20">
        <v>1114968.3799999999</v>
      </c>
      <c r="AZ229" s="20">
        <v>1305523.3799999999</v>
      </c>
      <c r="BA229" s="21">
        <v>1128789.3799999999</v>
      </c>
      <c r="BB229" s="21">
        <v>1028869.81</v>
      </c>
    </row>
    <row r="230" spans="1:54" hidden="1">
      <c r="A230">
        <v>20071</v>
      </c>
      <c r="B230" t="s">
        <v>552</v>
      </c>
      <c r="C230" t="s">
        <v>553</v>
      </c>
      <c r="D230" t="s">
        <v>554</v>
      </c>
      <c r="E230" t="s">
        <v>555</v>
      </c>
      <c r="F230" t="s">
        <v>556</v>
      </c>
      <c r="G230">
        <v>267.32499999999999</v>
      </c>
      <c r="H230" t="s">
        <v>57</v>
      </c>
      <c r="I230">
        <v>2</v>
      </c>
      <c r="J230">
        <v>19</v>
      </c>
      <c r="K230">
        <v>2</v>
      </c>
      <c r="L230">
        <v>70.790000000000006</v>
      </c>
      <c r="M230">
        <v>10268</v>
      </c>
      <c r="N230">
        <v>5</v>
      </c>
      <c r="O230">
        <v>9</v>
      </c>
      <c r="P230">
        <v>9</v>
      </c>
      <c r="Q230">
        <v>9</v>
      </c>
      <c r="R230">
        <v>9</v>
      </c>
      <c r="S230">
        <v>269</v>
      </c>
      <c r="T230">
        <v>269</v>
      </c>
      <c r="U230">
        <v>9</v>
      </c>
      <c r="V230">
        <v>7</v>
      </c>
      <c r="W230">
        <v>7</v>
      </c>
      <c r="X230">
        <v>6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26</v>
      </c>
      <c r="AE230">
        <v>26</v>
      </c>
      <c r="AF230">
        <v>40</v>
      </c>
      <c r="AG230">
        <v>29</v>
      </c>
      <c r="AH230">
        <v>46</v>
      </c>
      <c r="AI230">
        <v>39</v>
      </c>
      <c r="AJ230">
        <v>31</v>
      </c>
      <c r="AK230">
        <v>32</v>
      </c>
      <c r="AL230">
        <v>1598065664</v>
      </c>
      <c r="AM230">
        <v>1563269376</v>
      </c>
      <c r="AN230">
        <v>675598912</v>
      </c>
      <c r="AO230">
        <v>550677120</v>
      </c>
      <c r="AP230">
        <v>1899647232</v>
      </c>
      <c r="AQ230">
        <v>1773118720</v>
      </c>
      <c r="AR230">
        <v>727359680</v>
      </c>
      <c r="AS230">
        <v>596218240</v>
      </c>
      <c r="AT230" s="23" t="s">
        <v>553</v>
      </c>
      <c r="AU230" s="18">
        <v>583131264</v>
      </c>
      <c r="AV230" s="18">
        <v>551354560</v>
      </c>
      <c r="AW230" s="19">
        <v>412165728</v>
      </c>
      <c r="AX230" s="19">
        <v>445861856</v>
      </c>
      <c r="AY230" s="20">
        <v>929736704</v>
      </c>
      <c r="AZ230" s="20">
        <v>1455221248</v>
      </c>
      <c r="BA230" s="21">
        <v>846119552</v>
      </c>
      <c r="BB230" s="21">
        <v>813323200</v>
      </c>
    </row>
    <row r="231" spans="1:54" hidden="1">
      <c r="A231">
        <v>20009</v>
      </c>
      <c r="B231" t="s">
        <v>429</v>
      </c>
      <c r="C231" t="s">
        <v>430</v>
      </c>
      <c r="D231" t="s">
        <v>431</v>
      </c>
      <c r="F231" t="s">
        <v>432</v>
      </c>
      <c r="G231">
        <v>423.56200000000001</v>
      </c>
      <c r="H231" t="s">
        <v>57</v>
      </c>
      <c r="I231">
        <v>2</v>
      </c>
      <c r="J231">
        <v>19</v>
      </c>
      <c r="K231">
        <v>0</v>
      </c>
      <c r="L231">
        <v>73.17</v>
      </c>
      <c r="M231">
        <v>9190</v>
      </c>
      <c r="N231">
        <v>4</v>
      </c>
      <c r="O231">
        <v>10</v>
      </c>
      <c r="P231">
        <v>10</v>
      </c>
      <c r="Q231">
        <v>10</v>
      </c>
      <c r="R231">
        <v>10</v>
      </c>
      <c r="S231">
        <v>983</v>
      </c>
      <c r="T231">
        <v>983</v>
      </c>
      <c r="U231">
        <v>10</v>
      </c>
      <c r="V231">
        <v>8</v>
      </c>
      <c r="W231">
        <v>8</v>
      </c>
      <c r="X231">
        <v>9</v>
      </c>
      <c r="Y231">
        <v>9</v>
      </c>
      <c r="Z231">
        <v>10</v>
      </c>
      <c r="AA231">
        <v>10</v>
      </c>
      <c r="AB231">
        <v>10</v>
      </c>
      <c r="AC231">
        <v>9</v>
      </c>
      <c r="AD231">
        <v>146</v>
      </c>
      <c r="AE231">
        <v>151</v>
      </c>
      <c r="AF231">
        <v>98</v>
      </c>
      <c r="AG231">
        <v>92</v>
      </c>
      <c r="AH231">
        <v>141</v>
      </c>
      <c r="AI231">
        <v>125</v>
      </c>
      <c r="AJ231">
        <v>84</v>
      </c>
      <c r="AK231">
        <v>146</v>
      </c>
      <c r="AL231">
        <v>1602563456</v>
      </c>
      <c r="AM231">
        <v>2306500608</v>
      </c>
      <c r="AN231">
        <v>591206272</v>
      </c>
      <c r="AO231">
        <v>777903104</v>
      </c>
      <c r="AP231">
        <v>3339402240</v>
      </c>
      <c r="AQ231">
        <v>2958905856</v>
      </c>
      <c r="AR231">
        <v>943557120</v>
      </c>
      <c r="AS231">
        <v>1388160000</v>
      </c>
      <c r="AT231" s="23" t="s">
        <v>430</v>
      </c>
      <c r="AU231" s="18">
        <v>1884943104</v>
      </c>
      <c r="AV231" s="18">
        <v>2306015232</v>
      </c>
      <c r="AW231" s="19">
        <v>724101568</v>
      </c>
      <c r="AX231" s="19">
        <v>991135360</v>
      </c>
      <c r="AY231" s="20">
        <v>2522881536</v>
      </c>
      <c r="AZ231" s="20">
        <v>2220320512</v>
      </c>
      <c r="BA231" s="21">
        <v>916314816</v>
      </c>
      <c r="BB231" s="21">
        <v>1599673856</v>
      </c>
    </row>
    <row r="232" spans="1:54" hidden="1">
      <c r="A232">
        <v>19981</v>
      </c>
      <c r="B232" t="s">
        <v>810</v>
      </c>
      <c r="C232" t="s">
        <v>811</v>
      </c>
      <c r="D232" t="s">
        <v>812</v>
      </c>
      <c r="F232" t="s">
        <v>813</v>
      </c>
      <c r="G232">
        <v>87.626999999999995</v>
      </c>
      <c r="H232" t="s">
        <v>57</v>
      </c>
      <c r="I232">
        <v>2</v>
      </c>
      <c r="J232">
        <v>21</v>
      </c>
      <c r="K232">
        <v>0</v>
      </c>
      <c r="L232">
        <v>47.62</v>
      </c>
      <c r="M232">
        <v>9704</v>
      </c>
      <c r="N232">
        <v>4</v>
      </c>
      <c r="O232">
        <v>5</v>
      </c>
      <c r="P232">
        <v>5</v>
      </c>
      <c r="Q232">
        <v>5</v>
      </c>
      <c r="R232">
        <v>5</v>
      </c>
      <c r="S232">
        <v>132</v>
      </c>
      <c r="T232">
        <v>132</v>
      </c>
      <c r="U232">
        <v>5</v>
      </c>
      <c r="V232">
        <v>5</v>
      </c>
      <c r="W232">
        <v>4</v>
      </c>
      <c r="X232">
        <v>4</v>
      </c>
      <c r="Y232">
        <v>4</v>
      </c>
      <c r="Z232">
        <v>5</v>
      </c>
      <c r="AA232">
        <v>4</v>
      </c>
      <c r="AB232">
        <v>4</v>
      </c>
      <c r="AC232">
        <v>3</v>
      </c>
      <c r="AD232">
        <v>27</v>
      </c>
      <c r="AE232">
        <v>20</v>
      </c>
      <c r="AF232">
        <v>15</v>
      </c>
      <c r="AG232">
        <v>12</v>
      </c>
      <c r="AH232">
        <v>16</v>
      </c>
      <c r="AI232">
        <v>16</v>
      </c>
      <c r="AJ232">
        <v>12</v>
      </c>
      <c r="AK232">
        <v>14</v>
      </c>
      <c r="AL232">
        <v>834736000</v>
      </c>
      <c r="AM232">
        <v>833174400</v>
      </c>
      <c r="AN232">
        <v>283740608</v>
      </c>
      <c r="AO232">
        <v>268306496</v>
      </c>
      <c r="AP232">
        <v>763044352</v>
      </c>
      <c r="AQ232">
        <v>721085312</v>
      </c>
      <c r="AR232">
        <v>216661952</v>
      </c>
      <c r="AS232">
        <v>243159568</v>
      </c>
      <c r="AT232" s="23" t="s">
        <v>811</v>
      </c>
      <c r="AU232" s="18">
        <v>236087120</v>
      </c>
      <c r="AV232" s="18">
        <v>197236640</v>
      </c>
      <c r="AW232" s="19">
        <v>137472400</v>
      </c>
      <c r="AX232" s="19">
        <v>160217824</v>
      </c>
      <c r="AY232" s="20">
        <v>920811072</v>
      </c>
      <c r="AZ232" s="20">
        <v>566752576</v>
      </c>
      <c r="BA232" s="21">
        <v>240920400</v>
      </c>
      <c r="BB232" s="21">
        <v>161398880</v>
      </c>
    </row>
    <row r="233" spans="1:54" hidden="1">
      <c r="A233">
        <v>20081</v>
      </c>
      <c r="B233" t="s">
        <v>456</v>
      </c>
      <c r="C233" t="s">
        <v>457</v>
      </c>
      <c r="D233" t="s">
        <v>458</v>
      </c>
      <c r="F233" t="s">
        <v>459</v>
      </c>
      <c r="G233">
        <v>378.09500000000003</v>
      </c>
      <c r="H233" t="s">
        <v>57</v>
      </c>
      <c r="I233">
        <v>2</v>
      </c>
      <c r="J233">
        <v>20</v>
      </c>
      <c r="K233">
        <v>0</v>
      </c>
      <c r="L233">
        <v>66.67</v>
      </c>
      <c r="M233">
        <v>8986</v>
      </c>
      <c r="N233">
        <v>4</v>
      </c>
      <c r="O233">
        <v>9</v>
      </c>
      <c r="P233">
        <v>9</v>
      </c>
      <c r="Q233">
        <v>9</v>
      </c>
      <c r="R233">
        <v>9</v>
      </c>
      <c r="S233">
        <v>520</v>
      </c>
      <c r="T233">
        <v>520</v>
      </c>
      <c r="U233">
        <v>9</v>
      </c>
      <c r="V233">
        <v>6</v>
      </c>
      <c r="W233">
        <v>7</v>
      </c>
      <c r="X233">
        <v>7</v>
      </c>
      <c r="Y233">
        <v>8</v>
      </c>
      <c r="Z233">
        <v>8</v>
      </c>
      <c r="AA233">
        <v>8</v>
      </c>
      <c r="AB233">
        <v>8</v>
      </c>
      <c r="AC233">
        <v>8</v>
      </c>
      <c r="AD233">
        <v>92</v>
      </c>
      <c r="AE233">
        <v>89</v>
      </c>
      <c r="AF233">
        <v>63</v>
      </c>
      <c r="AG233">
        <v>48</v>
      </c>
      <c r="AH233">
        <v>70</v>
      </c>
      <c r="AI233">
        <v>60</v>
      </c>
      <c r="AJ233">
        <v>45</v>
      </c>
      <c r="AK233">
        <v>53</v>
      </c>
      <c r="AL233">
        <v>1702863488</v>
      </c>
      <c r="AM233">
        <v>2353023232</v>
      </c>
      <c r="AN233">
        <v>1233986816</v>
      </c>
      <c r="AO233">
        <v>897659392</v>
      </c>
      <c r="AP233">
        <v>2334435072</v>
      </c>
      <c r="AQ233">
        <v>1736480512</v>
      </c>
      <c r="AR233">
        <v>1214803840</v>
      </c>
      <c r="AS233">
        <v>858250816</v>
      </c>
      <c r="AT233" s="23" t="s">
        <v>457</v>
      </c>
      <c r="AU233" s="18">
        <v>626370432</v>
      </c>
      <c r="AV233" s="18">
        <v>1190230144</v>
      </c>
      <c r="AW233" s="19">
        <v>1183418624</v>
      </c>
      <c r="AX233" s="19">
        <v>1092243968</v>
      </c>
      <c r="AY233" s="20">
        <v>1194032256</v>
      </c>
      <c r="AZ233" s="20">
        <v>1025853888</v>
      </c>
      <c r="BA233" s="21">
        <v>1011673856</v>
      </c>
      <c r="BB233" s="21">
        <v>828938944</v>
      </c>
    </row>
    <row r="234" spans="1:54" hidden="1">
      <c r="A234">
        <v>20144</v>
      </c>
      <c r="B234" t="s">
        <v>447</v>
      </c>
      <c r="C234" t="s">
        <v>448</v>
      </c>
      <c r="D234" t="s">
        <v>449</v>
      </c>
      <c r="F234" t="s">
        <v>450</v>
      </c>
      <c r="G234">
        <v>390.65100000000001</v>
      </c>
      <c r="H234" t="s">
        <v>57</v>
      </c>
      <c r="I234">
        <v>2</v>
      </c>
      <c r="J234">
        <v>21</v>
      </c>
      <c r="K234">
        <v>0</v>
      </c>
      <c r="L234">
        <v>70.650000000000006</v>
      </c>
      <c r="M234">
        <v>10430</v>
      </c>
      <c r="N234">
        <v>6</v>
      </c>
      <c r="O234">
        <v>8</v>
      </c>
      <c r="P234">
        <v>8</v>
      </c>
      <c r="Q234">
        <v>9</v>
      </c>
      <c r="R234">
        <v>9</v>
      </c>
      <c r="S234">
        <v>1577</v>
      </c>
      <c r="T234">
        <v>1577</v>
      </c>
      <c r="U234">
        <v>9</v>
      </c>
      <c r="V234">
        <v>5</v>
      </c>
      <c r="W234">
        <v>7</v>
      </c>
      <c r="X234">
        <v>7</v>
      </c>
      <c r="Y234">
        <v>8</v>
      </c>
      <c r="Z234">
        <v>8</v>
      </c>
      <c r="AA234">
        <v>9</v>
      </c>
      <c r="AB234">
        <v>8</v>
      </c>
      <c r="AC234">
        <v>8</v>
      </c>
      <c r="AD234">
        <v>140</v>
      </c>
      <c r="AE234">
        <v>217</v>
      </c>
      <c r="AF234">
        <v>241</v>
      </c>
      <c r="AG234">
        <v>225</v>
      </c>
      <c r="AH234">
        <v>227</v>
      </c>
      <c r="AI234">
        <v>198</v>
      </c>
      <c r="AJ234">
        <v>154</v>
      </c>
      <c r="AK234">
        <v>175</v>
      </c>
      <c r="AL234">
        <v>2343406592</v>
      </c>
      <c r="AM234">
        <v>2308364544</v>
      </c>
      <c r="AN234">
        <v>1906861440</v>
      </c>
      <c r="AO234">
        <v>1736401920</v>
      </c>
      <c r="AP234">
        <v>3010696960</v>
      </c>
      <c r="AQ234">
        <v>2848722688</v>
      </c>
      <c r="AR234">
        <v>1921215104</v>
      </c>
      <c r="AS234">
        <v>1595166464</v>
      </c>
      <c r="AT234" s="23" t="s">
        <v>448</v>
      </c>
      <c r="AU234" s="18">
        <v>1555860352</v>
      </c>
      <c r="AV234" s="18">
        <v>1443448832</v>
      </c>
      <c r="AW234" s="19">
        <v>1209174400</v>
      </c>
      <c r="AX234" s="19">
        <v>1615952000</v>
      </c>
      <c r="AY234" s="20">
        <v>1747656320</v>
      </c>
      <c r="AZ234" s="20">
        <v>1873372416</v>
      </c>
      <c r="BA234" s="21">
        <v>1419498880</v>
      </c>
      <c r="BB234" s="21">
        <v>1540559744</v>
      </c>
    </row>
    <row r="235" spans="1:54" hidden="1">
      <c r="A235">
        <v>20090</v>
      </c>
      <c r="B235" t="s">
        <v>404</v>
      </c>
      <c r="C235" t="s">
        <v>405</v>
      </c>
      <c r="D235" t="s">
        <v>406</v>
      </c>
      <c r="F235" t="s">
        <v>407</v>
      </c>
      <c r="G235">
        <v>435.94600000000003</v>
      </c>
      <c r="H235" t="s">
        <v>57</v>
      </c>
      <c r="I235">
        <v>2</v>
      </c>
      <c r="J235">
        <v>20</v>
      </c>
      <c r="K235">
        <v>0</v>
      </c>
      <c r="L235">
        <v>50.57</v>
      </c>
      <c r="M235">
        <v>9684</v>
      </c>
      <c r="N235">
        <v>4</v>
      </c>
      <c r="O235">
        <v>10</v>
      </c>
      <c r="P235">
        <v>10</v>
      </c>
      <c r="Q235">
        <v>11</v>
      </c>
      <c r="R235">
        <v>11</v>
      </c>
      <c r="S235">
        <v>830</v>
      </c>
      <c r="T235">
        <v>830</v>
      </c>
      <c r="U235">
        <v>11</v>
      </c>
      <c r="V235">
        <v>9</v>
      </c>
      <c r="W235">
        <v>9</v>
      </c>
      <c r="X235">
        <v>9</v>
      </c>
      <c r="Y235">
        <v>10</v>
      </c>
      <c r="Z235">
        <v>10</v>
      </c>
      <c r="AA235">
        <v>11</v>
      </c>
      <c r="AB235">
        <v>11</v>
      </c>
      <c r="AC235">
        <v>9</v>
      </c>
      <c r="AD235">
        <v>141</v>
      </c>
      <c r="AE235">
        <v>136</v>
      </c>
      <c r="AF235">
        <v>48</v>
      </c>
      <c r="AG235">
        <v>69</v>
      </c>
      <c r="AH235">
        <v>158</v>
      </c>
      <c r="AI235">
        <v>127</v>
      </c>
      <c r="AJ235">
        <v>52</v>
      </c>
      <c r="AK235">
        <v>98</v>
      </c>
      <c r="AL235">
        <v>2534528000</v>
      </c>
      <c r="AM235">
        <v>3140916224</v>
      </c>
      <c r="AN235">
        <v>757045504</v>
      </c>
      <c r="AO235">
        <v>991432384</v>
      </c>
      <c r="AP235">
        <v>2976256256</v>
      </c>
      <c r="AQ235">
        <v>2773338112</v>
      </c>
      <c r="AR235">
        <v>900335552</v>
      </c>
      <c r="AS235">
        <v>1376781312</v>
      </c>
      <c r="AT235" s="23" t="s">
        <v>405</v>
      </c>
      <c r="AU235" s="18">
        <v>1730709504</v>
      </c>
      <c r="AV235" s="18">
        <v>1328628608</v>
      </c>
      <c r="AW235" s="19">
        <v>551839168</v>
      </c>
      <c r="AX235" s="19">
        <v>869402432</v>
      </c>
      <c r="AY235" s="20">
        <v>1913682048</v>
      </c>
      <c r="AZ235" s="20">
        <v>1793014784</v>
      </c>
      <c r="BA235" s="21">
        <v>839552704</v>
      </c>
      <c r="BB235" s="21">
        <v>1111224064</v>
      </c>
    </row>
    <row r="236" spans="1:54" hidden="1">
      <c r="A236">
        <v>20039</v>
      </c>
      <c r="B236" t="s">
        <v>586</v>
      </c>
      <c r="C236" t="s">
        <v>587</v>
      </c>
      <c r="D236" t="s">
        <v>588</v>
      </c>
      <c r="F236" t="s">
        <v>589</v>
      </c>
      <c r="G236">
        <v>240.08699999999999</v>
      </c>
      <c r="H236" t="s">
        <v>57</v>
      </c>
      <c r="I236">
        <v>2</v>
      </c>
      <c r="J236">
        <v>20</v>
      </c>
      <c r="K236">
        <v>0</v>
      </c>
      <c r="L236">
        <v>46.48</v>
      </c>
      <c r="M236">
        <v>8499</v>
      </c>
      <c r="N236">
        <v>2</v>
      </c>
      <c r="O236">
        <v>8</v>
      </c>
      <c r="P236">
        <v>8</v>
      </c>
      <c r="Q236">
        <v>8</v>
      </c>
      <c r="R236">
        <v>8</v>
      </c>
      <c r="S236">
        <v>571</v>
      </c>
      <c r="T236">
        <v>571</v>
      </c>
      <c r="U236">
        <v>8</v>
      </c>
      <c r="V236">
        <v>7</v>
      </c>
      <c r="W236">
        <v>6</v>
      </c>
      <c r="X236">
        <v>6</v>
      </c>
      <c r="Y236">
        <v>6</v>
      </c>
      <c r="Z236">
        <v>8</v>
      </c>
      <c r="AA236">
        <v>8</v>
      </c>
      <c r="AB236">
        <v>8</v>
      </c>
      <c r="AC236">
        <v>8</v>
      </c>
      <c r="AD236">
        <v>79</v>
      </c>
      <c r="AE236">
        <v>61</v>
      </c>
      <c r="AF236">
        <v>65</v>
      </c>
      <c r="AG236">
        <v>59</v>
      </c>
      <c r="AH236">
        <v>73</v>
      </c>
      <c r="AI236">
        <v>74</v>
      </c>
      <c r="AJ236">
        <v>58</v>
      </c>
      <c r="AK236">
        <v>102</v>
      </c>
      <c r="AL236">
        <v>2945553408</v>
      </c>
      <c r="AM236">
        <v>3500552960</v>
      </c>
      <c r="AN236">
        <v>3780375296</v>
      </c>
      <c r="AO236">
        <v>3849906688</v>
      </c>
      <c r="AP236">
        <v>6732758528</v>
      </c>
      <c r="AQ236">
        <v>6023613952</v>
      </c>
      <c r="AR236">
        <v>3811768832</v>
      </c>
      <c r="AS236">
        <v>2563842816</v>
      </c>
      <c r="AT236" s="23" t="s">
        <v>587</v>
      </c>
      <c r="AU236" s="18">
        <v>1921419520</v>
      </c>
      <c r="AV236" s="18">
        <v>2003593344</v>
      </c>
      <c r="AW236" s="19">
        <v>1944615296</v>
      </c>
      <c r="AX236" s="19">
        <v>2134893056</v>
      </c>
      <c r="AY236" s="20">
        <v>4386932224</v>
      </c>
      <c r="AZ236" s="20">
        <v>4040634112</v>
      </c>
      <c r="BA236" s="21">
        <v>2878987520</v>
      </c>
      <c r="BB236" s="21">
        <v>2972839680</v>
      </c>
    </row>
    <row r="237" spans="1:54" hidden="1">
      <c r="A237">
        <v>20043</v>
      </c>
      <c r="B237" t="s">
        <v>1046</v>
      </c>
      <c r="C237" t="s">
        <v>1047</v>
      </c>
      <c r="D237" t="s">
        <v>1048</v>
      </c>
      <c r="F237" t="s">
        <v>1049</v>
      </c>
      <c r="G237">
        <v>24.864999999999998</v>
      </c>
      <c r="H237" t="s">
        <v>57</v>
      </c>
      <c r="I237">
        <v>2</v>
      </c>
      <c r="J237">
        <v>20</v>
      </c>
      <c r="K237">
        <v>0</v>
      </c>
      <c r="L237">
        <v>6.83</v>
      </c>
      <c r="M237">
        <v>17360</v>
      </c>
      <c r="N237">
        <v>6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1202181.5</v>
      </c>
      <c r="AM237">
        <v>1233203.3799999999</v>
      </c>
      <c r="AN237">
        <v>959560.44</v>
      </c>
      <c r="AO237">
        <v>955861.56</v>
      </c>
      <c r="AP237">
        <v>3346981</v>
      </c>
      <c r="AQ237">
        <v>4026808.75</v>
      </c>
      <c r="AR237">
        <v>1653191</v>
      </c>
      <c r="AS237">
        <v>1097751.8799999999</v>
      </c>
      <c r="AT237" s="23" t="s">
        <v>1047</v>
      </c>
      <c r="AU237" s="18">
        <v>1202181.5</v>
      </c>
      <c r="AV237" s="18">
        <v>951690.5</v>
      </c>
      <c r="AW237" s="19">
        <v>740877.19</v>
      </c>
      <c r="AX237" s="19">
        <v>850027.12</v>
      </c>
      <c r="AY237" s="20">
        <v>1347748.12</v>
      </c>
      <c r="AZ237" s="20">
        <v>1731053</v>
      </c>
      <c r="BA237" s="21">
        <v>885208.62</v>
      </c>
      <c r="BB237" s="21">
        <v>861599.12</v>
      </c>
    </row>
    <row r="238" spans="1:54" hidden="1">
      <c r="A238">
        <v>20213</v>
      </c>
      <c r="B238" t="s">
        <v>700</v>
      </c>
      <c r="C238" t="s">
        <v>701</v>
      </c>
      <c r="D238" t="s">
        <v>702</v>
      </c>
      <c r="F238" t="s">
        <v>703</v>
      </c>
      <c r="G238">
        <v>133.60900000000001</v>
      </c>
      <c r="H238" t="s">
        <v>57</v>
      </c>
      <c r="I238">
        <v>2</v>
      </c>
      <c r="J238">
        <v>2</v>
      </c>
      <c r="K238">
        <v>0</v>
      </c>
      <c r="L238">
        <v>78.099999999999994</v>
      </c>
      <c r="M238">
        <v>11582</v>
      </c>
      <c r="N238">
        <v>5</v>
      </c>
      <c r="O238">
        <v>6</v>
      </c>
      <c r="P238">
        <v>6</v>
      </c>
      <c r="Q238">
        <v>6</v>
      </c>
      <c r="R238">
        <v>6</v>
      </c>
      <c r="S238">
        <v>28</v>
      </c>
      <c r="T238">
        <v>28</v>
      </c>
      <c r="U238">
        <v>6</v>
      </c>
      <c r="V238">
        <v>4</v>
      </c>
      <c r="W238">
        <v>3</v>
      </c>
      <c r="X238">
        <v>4</v>
      </c>
      <c r="Y238">
        <v>5</v>
      </c>
      <c r="Z238">
        <v>5</v>
      </c>
      <c r="AA238">
        <v>4</v>
      </c>
      <c r="AB238">
        <v>5</v>
      </c>
      <c r="AC238">
        <v>5</v>
      </c>
      <c r="AD238">
        <v>2</v>
      </c>
      <c r="AE238">
        <v>4</v>
      </c>
      <c r="AF238">
        <v>3</v>
      </c>
      <c r="AG238">
        <v>4</v>
      </c>
      <c r="AH238">
        <v>4</v>
      </c>
      <c r="AI238">
        <v>4</v>
      </c>
      <c r="AJ238">
        <v>4</v>
      </c>
      <c r="AK238">
        <v>3</v>
      </c>
      <c r="AL238">
        <v>17536696</v>
      </c>
      <c r="AM238">
        <v>16340030</v>
      </c>
      <c r="AN238">
        <v>9908567</v>
      </c>
      <c r="AO238">
        <v>9604528</v>
      </c>
      <c r="AP238">
        <v>14263504</v>
      </c>
      <c r="AQ238">
        <v>15141308</v>
      </c>
      <c r="AR238">
        <v>13738201</v>
      </c>
      <c r="AS238">
        <v>13292655</v>
      </c>
      <c r="AT238" s="23" t="s">
        <v>701</v>
      </c>
      <c r="AU238" s="18">
        <v>10887893</v>
      </c>
      <c r="AV238" s="18">
        <v>1039109.81</v>
      </c>
      <c r="AW238" s="19">
        <v>4752592.5</v>
      </c>
      <c r="AX238" s="19">
        <v>8238077.5</v>
      </c>
      <c r="AY238" s="20">
        <v>13463007</v>
      </c>
      <c r="AZ238" s="20">
        <v>13511587</v>
      </c>
      <c r="BA238" s="21">
        <v>8789377</v>
      </c>
      <c r="BB238" s="21">
        <v>12196886</v>
      </c>
    </row>
    <row r="239" spans="1:54" hidden="1">
      <c r="A239">
        <v>20140</v>
      </c>
      <c r="B239" t="s">
        <v>349</v>
      </c>
      <c r="C239" t="s">
        <v>350</v>
      </c>
      <c r="D239" t="s">
        <v>351</v>
      </c>
      <c r="F239" t="s">
        <v>352</v>
      </c>
      <c r="G239">
        <v>598.99699999999996</v>
      </c>
      <c r="H239" t="s">
        <v>57</v>
      </c>
      <c r="I239">
        <v>2</v>
      </c>
      <c r="J239">
        <v>2</v>
      </c>
      <c r="K239">
        <v>0</v>
      </c>
      <c r="L239">
        <v>55.59</v>
      </c>
      <c r="M239">
        <v>31347</v>
      </c>
      <c r="N239">
        <v>18</v>
      </c>
      <c r="O239">
        <v>12</v>
      </c>
      <c r="P239">
        <v>12</v>
      </c>
      <c r="Q239">
        <v>12</v>
      </c>
      <c r="R239">
        <v>12</v>
      </c>
      <c r="S239">
        <v>211</v>
      </c>
      <c r="T239">
        <v>211</v>
      </c>
      <c r="U239">
        <v>12</v>
      </c>
      <c r="V239">
        <v>8</v>
      </c>
      <c r="W239">
        <v>9</v>
      </c>
      <c r="X239">
        <v>10</v>
      </c>
      <c r="Y239">
        <v>11</v>
      </c>
      <c r="Z239">
        <v>12</v>
      </c>
      <c r="AA239">
        <v>12</v>
      </c>
      <c r="AB239">
        <v>12</v>
      </c>
      <c r="AC239">
        <v>12</v>
      </c>
      <c r="AD239">
        <v>11</v>
      </c>
      <c r="AE239">
        <v>17</v>
      </c>
      <c r="AF239">
        <v>29</v>
      </c>
      <c r="AG239">
        <v>30</v>
      </c>
      <c r="AH239">
        <v>25</v>
      </c>
      <c r="AI239">
        <v>28</v>
      </c>
      <c r="AJ239">
        <v>37</v>
      </c>
      <c r="AK239">
        <v>34</v>
      </c>
      <c r="AL239">
        <v>37643640</v>
      </c>
      <c r="AM239">
        <v>46334288</v>
      </c>
      <c r="AN239">
        <v>94798968</v>
      </c>
      <c r="AO239">
        <v>93244000</v>
      </c>
      <c r="AP239">
        <v>138272016</v>
      </c>
      <c r="AQ239">
        <v>147556352</v>
      </c>
      <c r="AR239">
        <v>146959712</v>
      </c>
      <c r="AS239">
        <v>99963176</v>
      </c>
      <c r="AT239" s="23" t="s">
        <v>350</v>
      </c>
      <c r="AU239" s="18">
        <v>36210096</v>
      </c>
      <c r="AV239" s="18">
        <v>43718948</v>
      </c>
      <c r="AW239" s="19">
        <v>88805256</v>
      </c>
      <c r="AX239" s="19">
        <v>94048696</v>
      </c>
      <c r="AY239" s="20">
        <v>70331368</v>
      </c>
      <c r="AZ239" s="20">
        <v>81667152</v>
      </c>
      <c r="BA239" s="21">
        <v>105518352</v>
      </c>
      <c r="BB239" s="21">
        <v>115898376</v>
      </c>
    </row>
    <row r="240" spans="1:54" hidden="1">
      <c r="A240">
        <v>20190</v>
      </c>
      <c r="B240" t="s">
        <v>548</v>
      </c>
      <c r="C240" t="s">
        <v>549</v>
      </c>
      <c r="D240" t="s">
        <v>550</v>
      </c>
      <c r="F240" t="s">
        <v>551</v>
      </c>
      <c r="G240">
        <v>268.12400000000002</v>
      </c>
      <c r="H240" t="s">
        <v>57</v>
      </c>
      <c r="I240">
        <v>2</v>
      </c>
      <c r="J240">
        <v>3</v>
      </c>
      <c r="K240">
        <v>0</v>
      </c>
      <c r="L240">
        <v>15.31</v>
      </c>
      <c r="M240">
        <v>64421</v>
      </c>
      <c r="N240">
        <v>37</v>
      </c>
      <c r="O240">
        <v>8</v>
      </c>
      <c r="P240">
        <v>8</v>
      </c>
      <c r="Q240">
        <v>8</v>
      </c>
      <c r="R240">
        <v>8</v>
      </c>
      <c r="S240">
        <v>28</v>
      </c>
      <c r="T240">
        <v>28</v>
      </c>
      <c r="U240">
        <v>8</v>
      </c>
      <c r="V240">
        <v>6</v>
      </c>
      <c r="W240">
        <v>7</v>
      </c>
      <c r="X240">
        <v>8</v>
      </c>
      <c r="Y240">
        <v>8</v>
      </c>
      <c r="Z240">
        <v>8</v>
      </c>
      <c r="AA240">
        <v>8</v>
      </c>
      <c r="AB240">
        <v>8</v>
      </c>
      <c r="AC240">
        <v>8</v>
      </c>
      <c r="AD240">
        <v>2</v>
      </c>
      <c r="AE240">
        <v>1</v>
      </c>
      <c r="AF240">
        <v>5</v>
      </c>
      <c r="AG240">
        <v>4</v>
      </c>
      <c r="AH240">
        <v>2</v>
      </c>
      <c r="AI240">
        <v>4</v>
      </c>
      <c r="AJ240">
        <v>6</v>
      </c>
      <c r="AK240">
        <v>4</v>
      </c>
      <c r="AL240">
        <v>6592169.5</v>
      </c>
      <c r="AM240">
        <v>10644797</v>
      </c>
      <c r="AN240">
        <v>16158400</v>
      </c>
      <c r="AO240">
        <v>14621720</v>
      </c>
      <c r="AP240">
        <v>17158268</v>
      </c>
      <c r="AQ240">
        <v>16334774</v>
      </c>
      <c r="AR240">
        <v>18669504</v>
      </c>
      <c r="AS240">
        <v>12132113</v>
      </c>
      <c r="AT240" s="23" t="s">
        <v>549</v>
      </c>
      <c r="AU240" s="18">
        <v>7659790</v>
      </c>
      <c r="AV240" s="18">
        <v>7665721.5</v>
      </c>
      <c r="AW240" s="19">
        <v>12534449</v>
      </c>
      <c r="AX240" s="19">
        <v>12717089</v>
      </c>
      <c r="AY240" s="20">
        <v>6707185.5</v>
      </c>
      <c r="AZ240" s="20">
        <v>7015992</v>
      </c>
      <c r="BA240" s="21">
        <v>9803924</v>
      </c>
      <c r="BB240" s="21">
        <v>9783749</v>
      </c>
    </row>
    <row r="241" spans="1:54" hidden="1">
      <c r="A241">
        <v>20237</v>
      </c>
      <c r="B241" t="s">
        <v>1224</v>
      </c>
      <c r="C241" t="s">
        <v>1225</v>
      </c>
      <c r="D241" t="s">
        <v>1226</v>
      </c>
      <c r="F241" t="s">
        <v>1227</v>
      </c>
      <c r="G241">
        <v>9.266</v>
      </c>
      <c r="H241" t="s">
        <v>57</v>
      </c>
      <c r="I241">
        <v>2</v>
      </c>
      <c r="J241">
        <v>2</v>
      </c>
      <c r="K241">
        <v>0</v>
      </c>
      <c r="L241">
        <v>7.18</v>
      </c>
      <c r="M241">
        <v>20315</v>
      </c>
      <c r="N241">
        <v>10</v>
      </c>
      <c r="O241">
        <v>1</v>
      </c>
      <c r="P241">
        <v>1</v>
      </c>
      <c r="Q241">
        <v>1</v>
      </c>
      <c r="R241">
        <v>1</v>
      </c>
      <c r="S241">
        <v>2</v>
      </c>
      <c r="T241">
        <v>2</v>
      </c>
      <c r="U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M241">
        <v>672163.5</v>
      </c>
      <c r="AN241">
        <v>712470.19</v>
      </c>
      <c r="AO241">
        <v>790759.62</v>
      </c>
      <c r="AP241">
        <v>976466.81</v>
      </c>
      <c r="AQ241">
        <v>1209774</v>
      </c>
      <c r="AS241">
        <v>469385.72</v>
      </c>
      <c r="AT241" s="23" t="s">
        <v>1225</v>
      </c>
      <c r="AU241" s="18">
        <v>49505.43</v>
      </c>
      <c r="AV241" s="18">
        <v>518723.53</v>
      </c>
      <c r="AW241" s="19">
        <v>550098.62</v>
      </c>
      <c r="AX241" s="19">
        <v>703205.56</v>
      </c>
      <c r="AY241" s="20">
        <v>393199.47</v>
      </c>
      <c r="AZ241" s="20">
        <v>520060.15999999997</v>
      </c>
      <c r="BA241" s="21">
        <v>199295.7</v>
      </c>
      <c r="BB241" s="21">
        <v>368409.59</v>
      </c>
    </row>
    <row r="242" spans="1:54" hidden="1">
      <c r="A242">
        <v>19991</v>
      </c>
      <c r="B242" t="s">
        <v>1008</v>
      </c>
      <c r="C242" t="s">
        <v>1009</v>
      </c>
      <c r="D242" t="s">
        <v>1010</v>
      </c>
      <c r="F242" t="s">
        <v>1011</v>
      </c>
      <c r="G242">
        <v>28.831</v>
      </c>
      <c r="H242" t="s">
        <v>57</v>
      </c>
      <c r="I242">
        <v>2</v>
      </c>
      <c r="J242">
        <v>3</v>
      </c>
      <c r="K242">
        <v>0</v>
      </c>
      <c r="L242">
        <v>2.44</v>
      </c>
      <c r="M242">
        <v>44175</v>
      </c>
      <c r="N242">
        <v>20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3</v>
      </c>
      <c r="U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1</v>
      </c>
      <c r="AJ242">
        <v>0</v>
      </c>
      <c r="AK242">
        <v>0</v>
      </c>
      <c r="AM242">
        <v>1321989</v>
      </c>
      <c r="AN242">
        <v>866650.56</v>
      </c>
      <c r="AO242">
        <v>1004416.81</v>
      </c>
      <c r="AP242">
        <v>4801168</v>
      </c>
      <c r="AQ242">
        <v>4336725</v>
      </c>
      <c r="AR242">
        <v>817794.44</v>
      </c>
      <c r="AS242">
        <v>628867.12</v>
      </c>
      <c r="AT242" s="23" t="s">
        <v>1009</v>
      </c>
      <c r="AU242" s="18">
        <v>49505.43</v>
      </c>
      <c r="AV242" s="18">
        <v>18935.7</v>
      </c>
      <c r="AW242" s="19">
        <v>20085.28</v>
      </c>
      <c r="AX242" s="19">
        <v>1752294.25</v>
      </c>
      <c r="AY242" s="20">
        <v>4746559</v>
      </c>
      <c r="AZ242" s="20">
        <v>4302763.5</v>
      </c>
      <c r="BA242" s="21">
        <v>819614.69</v>
      </c>
      <c r="BB242" s="21">
        <v>993378.12</v>
      </c>
    </row>
    <row r="243" spans="1:54" hidden="1">
      <c r="A243">
        <v>20083</v>
      </c>
      <c r="B243" t="s">
        <v>231</v>
      </c>
      <c r="C243" t="s">
        <v>232</v>
      </c>
      <c r="D243" t="s">
        <v>233</v>
      </c>
      <c r="F243" t="s">
        <v>234</v>
      </c>
      <c r="G243">
        <v>859.05899999999997</v>
      </c>
      <c r="H243" t="s">
        <v>57</v>
      </c>
      <c r="I243">
        <v>2</v>
      </c>
      <c r="J243">
        <v>21</v>
      </c>
      <c r="K243">
        <v>0</v>
      </c>
      <c r="L243">
        <v>66.739999999999995</v>
      </c>
      <c r="M243">
        <v>48413</v>
      </c>
      <c r="N243">
        <v>28</v>
      </c>
      <c r="O243">
        <v>25</v>
      </c>
      <c r="P243">
        <v>25</v>
      </c>
      <c r="Q243">
        <v>25</v>
      </c>
      <c r="R243">
        <v>25</v>
      </c>
      <c r="S243">
        <v>380</v>
      </c>
      <c r="T243">
        <v>380</v>
      </c>
      <c r="U243">
        <v>25</v>
      </c>
      <c r="V243">
        <v>22</v>
      </c>
      <c r="W243">
        <v>24</v>
      </c>
      <c r="X243">
        <v>23</v>
      </c>
      <c r="Y243">
        <v>25</v>
      </c>
      <c r="Z243">
        <v>23</v>
      </c>
      <c r="AA243">
        <v>23</v>
      </c>
      <c r="AB243">
        <v>24</v>
      </c>
      <c r="AC243">
        <v>24</v>
      </c>
      <c r="AD243">
        <v>55</v>
      </c>
      <c r="AE243">
        <v>57</v>
      </c>
      <c r="AF243">
        <v>58</v>
      </c>
      <c r="AG243">
        <v>60</v>
      </c>
      <c r="AH243">
        <v>28</v>
      </c>
      <c r="AI243">
        <v>30</v>
      </c>
      <c r="AJ243">
        <v>47</v>
      </c>
      <c r="AK243">
        <v>45</v>
      </c>
      <c r="AL243">
        <v>821212224</v>
      </c>
      <c r="AM243">
        <v>902442816</v>
      </c>
      <c r="AN243">
        <v>940716544</v>
      </c>
      <c r="AO243">
        <v>897058368</v>
      </c>
      <c r="AP243">
        <v>470684800</v>
      </c>
      <c r="AQ243">
        <v>469154464</v>
      </c>
      <c r="AR243">
        <v>975671744</v>
      </c>
      <c r="AS243">
        <v>624926784</v>
      </c>
      <c r="AT243" s="23" t="s">
        <v>232</v>
      </c>
      <c r="AU243" s="18">
        <v>796694208</v>
      </c>
      <c r="AV243" s="18">
        <v>722260736</v>
      </c>
      <c r="AW243" s="19">
        <v>766122496</v>
      </c>
      <c r="AX243" s="19">
        <v>855291072</v>
      </c>
      <c r="AY243" s="20">
        <v>191084768</v>
      </c>
      <c r="AZ243" s="20">
        <v>209773840</v>
      </c>
      <c r="BA243" s="21">
        <v>577447680</v>
      </c>
      <c r="BB243" s="21">
        <v>544570624</v>
      </c>
    </row>
    <row r="244" spans="1:54" hidden="1">
      <c r="A244">
        <v>20019</v>
      </c>
      <c r="B244" t="s">
        <v>689</v>
      </c>
      <c r="C244" t="s">
        <v>690</v>
      </c>
      <c r="D244" t="s">
        <v>691</v>
      </c>
      <c r="F244" t="s">
        <v>692</v>
      </c>
      <c r="G244">
        <v>141.47900000000001</v>
      </c>
      <c r="H244" t="s">
        <v>57</v>
      </c>
      <c r="I244">
        <v>2</v>
      </c>
      <c r="J244">
        <v>3</v>
      </c>
      <c r="K244">
        <v>0</v>
      </c>
      <c r="L244">
        <v>22.36</v>
      </c>
      <c r="M244">
        <v>17688</v>
      </c>
      <c r="N244">
        <v>11</v>
      </c>
      <c r="O244">
        <v>3</v>
      </c>
      <c r="P244">
        <v>3</v>
      </c>
      <c r="Q244">
        <v>3</v>
      </c>
      <c r="R244">
        <v>3</v>
      </c>
      <c r="S244">
        <v>20</v>
      </c>
      <c r="T244">
        <v>20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4</v>
      </c>
      <c r="AF244">
        <v>4</v>
      </c>
      <c r="AG244">
        <v>3</v>
      </c>
      <c r="AH244">
        <v>4</v>
      </c>
      <c r="AI244">
        <v>2</v>
      </c>
      <c r="AJ244">
        <v>0</v>
      </c>
      <c r="AK244">
        <v>0</v>
      </c>
      <c r="AL244">
        <v>9412238</v>
      </c>
      <c r="AM244">
        <v>12585446</v>
      </c>
      <c r="AN244">
        <v>5297729</v>
      </c>
      <c r="AO244">
        <v>4477192</v>
      </c>
      <c r="AP244">
        <v>13140250</v>
      </c>
      <c r="AQ244">
        <v>10298239</v>
      </c>
      <c r="AR244">
        <v>2258501.75</v>
      </c>
      <c r="AS244">
        <v>2146726.25</v>
      </c>
      <c r="AT244" s="23" t="s">
        <v>690</v>
      </c>
      <c r="AU244" s="18">
        <v>12793272</v>
      </c>
      <c r="AV244" s="18">
        <v>11414145</v>
      </c>
      <c r="AW244" s="19">
        <v>4865025.5</v>
      </c>
      <c r="AX244" s="19">
        <v>5360645.5</v>
      </c>
      <c r="AY244" s="20">
        <v>6821637.5</v>
      </c>
      <c r="AZ244" s="20">
        <v>6200209</v>
      </c>
      <c r="BA244" s="21">
        <v>1532493.38</v>
      </c>
      <c r="BB244" s="21">
        <v>1684543.88</v>
      </c>
    </row>
    <row r="245" spans="1:54" hidden="1">
      <c r="A245">
        <v>20035</v>
      </c>
      <c r="B245" t="s">
        <v>473</v>
      </c>
      <c r="C245" t="s">
        <v>474</v>
      </c>
      <c r="D245" t="s">
        <v>475</v>
      </c>
      <c r="F245" t="s">
        <v>476</v>
      </c>
      <c r="G245">
        <v>339.31599999999997</v>
      </c>
      <c r="H245" t="s">
        <v>57</v>
      </c>
      <c r="I245">
        <v>2</v>
      </c>
      <c r="J245">
        <v>3</v>
      </c>
      <c r="K245">
        <v>0</v>
      </c>
      <c r="L245">
        <v>67.349999999999994</v>
      </c>
      <c r="M245">
        <v>20852</v>
      </c>
      <c r="N245">
        <v>5</v>
      </c>
      <c r="O245">
        <v>6</v>
      </c>
      <c r="P245">
        <v>6</v>
      </c>
      <c r="Q245">
        <v>6</v>
      </c>
      <c r="R245">
        <v>6</v>
      </c>
      <c r="S245">
        <v>120</v>
      </c>
      <c r="T245">
        <v>120</v>
      </c>
      <c r="U245">
        <v>6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6</v>
      </c>
      <c r="AB245">
        <v>6</v>
      </c>
      <c r="AC245">
        <v>4</v>
      </c>
      <c r="AD245">
        <v>9</v>
      </c>
      <c r="AE245">
        <v>8</v>
      </c>
      <c r="AF245">
        <v>23</v>
      </c>
      <c r="AG245">
        <v>19</v>
      </c>
      <c r="AH245">
        <v>14</v>
      </c>
      <c r="AI245">
        <v>16</v>
      </c>
      <c r="AJ245">
        <v>23</v>
      </c>
      <c r="AK245">
        <v>8</v>
      </c>
      <c r="AL245">
        <v>27026676</v>
      </c>
      <c r="AM245">
        <v>40801852</v>
      </c>
      <c r="AN245">
        <v>87579472</v>
      </c>
      <c r="AO245">
        <v>88651344</v>
      </c>
      <c r="AP245">
        <v>76064680</v>
      </c>
      <c r="AQ245">
        <v>87345728</v>
      </c>
      <c r="AR245">
        <v>131869816</v>
      </c>
      <c r="AS245">
        <v>83721552</v>
      </c>
      <c r="AT245" s="23" t="s">
        <v>474</v>
      </c>
      <c r="AU245" s="18">
        <v>22502754</v>
      </c>
      <c r="AV245" s="18">
        <v>29570104</v>
      </c>
      <c r="AW245" s="19">
        <v>68883912</v>
      </c>
      <c r="AX245" s="19">
        <v>80717096</v>
      </c>
      <c r="AY245" s="20">
        <v>32525066</v>
      </c>
      <c r="AZ245" s="20">
        <v>44708856</v>
      </c>
      <c r="BA245" s="21">
        <v>80709592</v>
      </c>
      <c r="BB245" s="21">
        <v>64732224</v>
      </c>
    </row>
    <row r="246" spans="1:54" hidden="1">
      <c r="A246">
        <v>20076</v>
      </c>
      <c r="B246" t="s">
        <v>646</v>
      </c>
      <c r="C246" t="s">
        <v>647</v>
      </c>
      <c r="D246" t="s">
        <v>648</v>
      </c>
      <c r="F246" t="s">
        <v>649</v>
      </c>
      <c r="G246">
        <v>163.36600000000001</v>
      </c>
      <c r="H246" t="s">
        <v>57</v>
      </c>
      <c r="I246">
        <v>2</v>
      </c>
      <c r="J246">
        <v>21</v>
      </c>
      <c r="K246">
        <v>0</v>
      </c>
      <c r="L246">
        <v>30</v>
      </c>
      <c r="M246">
        <v>18268</v>
      </c>
      <c r="N246">
        <v>8</v>
      </c>
      <c r="O246">
        <v>6</v>
      </c>
      <c r="P246">
        <v>6</v>
      </c>
      <c r="Q246">
        <v>6</v>
      </c>
      <c r="R246">
        <v>6</v>
      </c>
      <c r="S246">
        <v>93</v>
      </c>
      <c r="T246">
        <v>93</v>
      </c>
      <c r="U246">
        <v>6</v>
      </c>
      <c r="V246">
        <v>4</v>
      </c>
      <c r="W246">
        <v>4</v>
      </c>
      <c r="X246">
        <v>5</v>
      </c>
      <c r="Y246">
        <v>5</v>
      </c>
      <c r="Z246">
        <v>6</v>
      </c>
      <c r="AA246">
        <v>6</v>
      </c>
      <c r="AB246">
        <v>6</v>
      </c>
      <c r="AC246">
        <v>5</v>
      </c>
      <c r="AD246">
        <v>11</v>
      </c>
      <c r="AE246">
        <v>11</v>
      </c>
      <c r="AF246">
        <v>12</v>
      </c>
      <c r="AG246">
        <v>12</v>
      </c>
      <c r="AH246">
        <v>13</v>
      </c>
      <c r="AI246">
        <v>16</v>
      </c>
      <c r="AJ246">
        <v>11</v>
      </c>
      <c r="AK246">
        <v>7</v>
      </c>
      <c r="AL246">
        <v>66391692</v>
      </c>
      <c r="AM246">
        <v>75055136</v>
      </c>
      <c r="AN246">
        <v>71754248</v>
      </c>
      <c r="AO246">
        <v>62712444</v>
      </c>
      <c r="AP246">
        <v>158439104</v>
      </c>
      <c r="AQ246">
        <v>149876944</v>
      </c>
      <c r="AR246">
        <v>72477616</v>
      </c>
      <c r="AS246">
        <v>39520052</v>
      </c>
      <c r="AT246" s="23" t="s">
        <v>647</v>
      </c>
      <c r="AU246" s="18">
        <v>6222466.5</v>
      </c>
      <c r="AV246" s="18">
        <v>4142222</v>
      </c>
      <c r="AW246" s="19">
        <v>11277149</v>
      </c>
      <c r="AX246" s="19">
        <v>8829970</v>
      </c>
      <c r="AY246" s="20">
        <v>155213792</v>
      </c>
      <c r="AZ246" s="20">
        <v>110948760</v>
      </c>
      <c r="BA246" s="21">
        <v>61576072</v>
      </c>
      <c r="BB246" s="21">
        <v>45032588</v>
      </c>
    </row>
    <row r="247" spans="1:54" hidden="1">
      <c r="A247">
        <v>20162</v>
      </c>
      <c r="B247" t="s">
        <v>497</v>
      </c>
      <c r="C247" t="s">
        <v>498</v>
      </c>
      <c r="D247" t="s">
        <v>499</v>
      </c>
      <c r="F247" t="s">
        <v>500</v>
      </c>
      <c r="G247">
        <v>317.69400000000002</v>
      </c>
      <c r="H247" t="s">
        <v>57</v>
      </c>
      <c r="I247">
        <v>2</v>
      </c>
      <c r="J247">
        <v>2</v>
      </c>
      <c r="K247">
        <v>0</v>
      </c>
      <c r="L247">
        <v>24.74</v>
      </c>
      <c r="M247">
        <v>43659</v>
      </c>
      <c r="N247">
        <v>19</v>
      </c>
      <c r="O247">
        <v>7</v>
      </c>
      <c r="P247">
        <v>7</v>
      </c>
      <c r="Q247">
        <v>7</v>
      </c>
      <c r="R247">
        <v>7</v>
      </c>
      <c r="S247">
        <v>16</v>
      </c>
      <c r="T247">
        <v>16</v>
      </c>
      <c r="U247">
        <v>7</v>
      </c>
      <c r="V247">
        <v>4</v>
      </c>
      <c r="W247">
        <v>4</v>
      </c>
      <c r="X247">
        <v>1</v>
      </c>
      <c r="Y247">
        <v>3</v>
      </c>
      <c r="Z247">
        <v>7</v>
      </c>
      <c r="AA247">
        <v>7</v>
      </c>
      <c r="AB247">
        <v>4</v>
      </c>
      <c r="AC247">
        <v>3</v>
      </c>
      <c r="AD247">
        <v>1</v>
      </c>
      <c r="AE247">
        <v>1</v>
      </c>
      <c r="AF247">
        <v>0</v>
      </c>
      <c r="AG247">
        <v>0</v>
      </c>
      <c r="AH247">
        <v>8</v>
      </c>
      <c r="AI247">
        <v>6</v>
      </c>
      <c r="AJ247">
        <v>0</v>
      </c>
      <c r="AK247">
        <v>0</v>
      </c>
      <c r="AL247">
        <v>5018908</v>
      </c>
      <c r="AM247">
        <v>3267186</v>
      </c>
      <c r="AN247">
        <v>619508.88</v>
      </c>
      <c r="AO247">
        <v>1424178.88</v>
      </c>
      <c r="AP247">
        <v>31475514</v>
      </c>
      <c r="AQ247">
        <v>26676012</v>
      </c>
      <c r="AR247">
        <v>2047005.25</v>
      </c>
      <c r="AS247">
        <v>1555547.5</v>
      </c>
      <c r="AT247" s="23" t="s">
        <v>498</v>
      </c>
      <c r="AU247" s="18">
        <v>2711086.75</v>
      </c>
      <c r="AV247" s="18">
        <v>3987404.5</v>
      </c>
      <c r="AW247" s="19">
        <v>20692.05</v>
      </c>
      <c r="AX247" s="19">
        <v>363888.56</v>
      </c>
      <c r="AY247" s="20">
        <v>18043556</v>
      </c>
      <c r="AZ247" s="20">
        <v>14632340</v>
      </c>
      <c r="BA247" s="21">
        <v>511733.56</v>
      </c>
      <c r="BB247" s="21">
        <v>199918.95</v>
      </c>
    </row>
    <row r="248" spans="1:54" hidden="1">
      <c r="A248">
        <v>20089</v>
      </c>
      <c r="B248" t="s">
        <v>752</v>
      </c>
      <c r="C248" t="s">
        <v>753</v>
      </c>
      <c r="D248" t="s">
        <v>754</v>
      </c>
      <c r="F248" t="s">
        <v>755</v>
      </c>
      <c r="G248">
        <v>113.634</v>
      </c>
      <c r="H248" t="s">
        <v>57</v>
      </c>
      <c r="I248">
        <v>2</v>
      </c>
      <c r="J248">
        <v>2</v>
      </c>
      <c r="K248">
        <v>0</v>
      </c>
      <c r="L248">
        <v>11.76</v>
      </c>
      <c r="M248">
        <v>35371</v>
      </c>
      <c r="N248">
        <v>25</v>
      </c>
      <c r="O248">
        <v>3</v>
      </c>
      <c r="P248">
        <v>3</v>
      </c>
      <c r="Q248">
        <v>3</v>
      </c>
      <c r="R248">
        <v>3</v>
      </c>
      <c r="S248">
        <v>4</v>
      </c>
      <c r="T248">
        <v>4</v>
      </c>
      <c r="U248">
        <v>3</v>
      </c>
      <c r="V248">
        <v>1</v>
      </c>
      <c r="W248">
        <v>1</v>
      </c>
      <c r="Z248">
        <v>3</v>
      </c>
      <c r="AA248">
        <v>3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2</v>
      </c>
      <c r="AJ248">
        <v>0</v>
      </c>
      <c r="AK248">
        <v>0</v>
      </c>
      <c r="AL248">
        <v>747001</v>
      </c>
      <c r="AM248">
        <v>465693.94</v>
      </c>
      <c r="AP248">
        <v>11195318</v>
      </c>
      <c r="AQ248">
        <v>8563059</v>
      </c>
      <c r="AR248">
        <v>655710.18999999994</v>
      </c>
      <c r="AS248">
        <v>422440.19</v>
      </c>
      <c r="AT248" s="23" t="s">
        <v>753</v>
      </c>
      <c r="AU248" s="18">
        <v>25449.919999999998</v>
      </c>
      <c r="AV248" s="18">
        <v>12316.51</v>
      </c>
      <c r="AW248" s="19">
        <v>213953.23</v>
      </c>
      <c r="AX248" s="19">
        <v>170153.38</v>
      </c>
      <c r="AY248" s="20">
        <v>5184991.5</v>
      </c>
      <c r="AZ248" s="20">
        <v>4398773.5</v>
      </c>
      <c r="BA248" s="21">
        <v>10940.52</v>
      </c>
      <c r="BB248" s="21">
        <v>11581.04</v>
      </c>
    </row>
    <row r="249" spans="1:54" hidden="1">
      <c r="A249">
        <v>20202</v>
      </c>
      <c r="B249" t="s">
        <v>925</v>
      </c>
      <c r="C249" t="s">
        <v>926</v>
      </c>
      <c r="D249" t="s">
        <v>927</v>
      </c>
      <c r="F249" t="s">
        <v>928</v>
      </c>
      <c r="G249">
        <v>43.436999999999998</v>
      </c>
      <c r="H249" t="s">
        <v>57</v>
      </c>
      <c r="I249">
        <v>2</v>
      </c>
      <c r="J249">
        <v>2</v>
      </c>
      <c r="K249">
        <v>0</v>
      </c>
      <c r="L249">
        <v>13.44</v>
      </c>
      <c r="M249">
        <v>21886</v>
      </c>
      <c r="N249">
        <v>13</v>
      </c>
      <c r="O249">
        <v>2</v>
      </c>
      <c r="P249">
        <v>2</v>
      </c>
      <c r="Q249">
        <v>2</v>
      </c>
      <c r="R249">
        <v>2</v>
      </c>
      <c r="S249">
        <v>3</v>
      </c>
      <c r="T249">
        <v>3</v>
      </c>
      <c r="U249">
        <v>2</v>
      </c>
      <c r="W249">
        <v>1</v>
      </c>
      <c r="X249">
        <v>1</v>
      </c>
      <c r="Y249">
        <v>1</v>
      </c>
      <c r="Z249">
        <v>2</v>
      </c>
      <c r="AA249">
        <v>2</v>
      </c>
      <c r="AB249">
        <v>2</v>
      </c>
      <c r="AC249">
        <v>2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2</v>
      </c>
      <c r="AJ249">
        <v>1</v>
      </c>
      <c r="AK249">
        <v>0</v>
      </c>
      <c r="AM249">
        <v>1135269.6200000001</v>
      </c>
      <c r="AN249">
        <v>1281131</v>
      </c>
      <c r="AO249">
        <v>1023826.62</v>
      </c>
      <c r="AP249">
        <v>2720558.25</v>
      </c>
      <c r="AQ249">
        <v>3202945.5</v>
      </c>
      <c r="AR249">
        <v>2114441</v>
      </c>
      <c r="AS249">
        <v>1731921.38</v>
      </c>
      <c r="AT249" s="23" t="s">
        <v>926</v>
      </c>
      <c r="AU249" s="18">
        <v>49505.43</v>
      </c>
      <c r="AV249" s="18">
        <v>38230.660000000003</v>
      </c>
      <c r="AW249" s="19">
        <v>46554.43</v>
      </c>
      <c r="AX249" s="19">
        <v>44291.57</v>
      </c>
      <c r="AY249" s="20">
        <v>1762834</v>
      </c>
      <c r="AZ249" s="20">
        <v>2023998.88</v>
      </c>
      <c r="BA249" s="21">
        <v>1730567.5</v>
      </c>
      <c r="BB249" s="21">
        <v>1837065.75</v>
      </c>
    </row>
    <row r="250" spans="1:54" hidden="1">
      <c r="A250">
        <v>20224</v>
      </c>
      <c r="B250" t="s">
        <v>1232</v>
      </c>
      <c r="C250" t="s">
        <v>1233</v>
      </c>
      <c r="D250" t="s">
        <v>1234</v>
      </c>
      <c r="F250" t="s">
        <v>1235</v>
      </c>
      <c r="G250">
        <v>8.3650000000000002</v>
      </c>
      <c r="H250" t="s">
        <v>57</v>
      </c>
      <c r="I250">
        <v>2</v>
      </c>
      <c r="J250">
        <v>2</v>
      </c>
      <c r="K250">
        <v>0</v>
      </c>
      <c r="L250">
        <v>1.57</v>
      </c>
      <c r="M250">
        <v>79341</v>
      </c>
      <c r="N250">
        <v>39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788154.5</v>
      </c>
      <c r="AM250">
        <v>1137982</v>
      </c>
      <c r="AN250">
        <v>1042478.5</v>
      </c>
      <c r="AO250">
        <v>995219.75</v>
      </c>
      <c r="AP250">
        <v>1983839.62</v>
      </c>
      <c r="AQ250">
        <v>1003727.5</v>
      </c>
      <c r="AR250">
        <v>1164306.1200000001</v>
      </c>
      <c r="AS250">
        <v>853257.31</v>
      </c>
      <c r="AT250" s="23" t="s">
        <v>1233</v>
      </c>
      <c r="AU250" s="18">
        <v>788154.5</v>
      </c>
      <c r="AV250" s="18">
        <v>878206</v>
      </c>
      <c r="AW250" s="19">
        <v>804898.25</v>
      </c>
      <c r="AX250" s="19">
        <v>885027.5</v>
      </c>
      <c r="AY250" s="20">
        <v>798844.06</v>
      </c>
      <c r="AZ250" s="20">
        <v>431484.47</v>
      </c>
      <c r="BA250" s="21">
        <v>623433</v>
      </c>
      <c r="BB250" s="21">
        <v>669701.18999999994</v>
      </c>
    </row>
    <row r="251" spans="1:54" hidden="1">
      <c r="A251">
        <v>20163</v>
      </c>
      <c r="B251" t="s">
        <v>946</v>
      </c>
      <c r="C251" t="s">
        <v>947</v>
      </c>
      <c r="D251" t="s">
        <v>948</v>
      </c>
      <c r="F251" t="s">
        <v>949</v>
      </c>
      <c r="G251">
        <v>41.253</v>
      </c>
      <c r="H251" t="s">
        <v>57</v>
      </c>
      <c r="I251">
        <v>2</v>
      </c>
      <c r="J251">
        <v>5</v>
      </c>
      <c r="K251">
        <v>0</v>
      </c>
      <c r="L251">
        <v>22.22</v>
      </c>
      <c r="M251">
        <v>5095</v>
      </c>
      <c r="N251">
        <v>3</v>
      </c>
      <c r="O251">
        <v>1</v>
      </c>
      <c r="P251">
        <v>1</v>
      </c>
      <c r="Q251">
        <v>1</v>
      </c>
      <c r="R251">
        <v>1</v>
      </c>
      <c r="S251">
        <v>15</v>
      </c>
      <c r="T251">
        <v>15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1</v>
      </c>
      <c r="AL251">
        <v>12427780</v>
      </c>
      <c r="AM251">
        <v>14872508</v>
      </c>
      <c r="AN251">
        <v>12396366</v>
      </c>
      <c r="AO251">
        <v>13161624</v>
      </c>
      <c r="AP251">
        <v>28863086</v>
      </c>
      <c r="AQ251">
        <v>23108538</v>
      </c>
      <c r="AR251">
        <v>8114743.5</v>
      </c>
      <c r="AS251">
        <v>5546748</v>
      </c>
      <c r="AT251" s="23" t="s">
        <v>947</v>
      </c>
      <c r="AU251" s="18">
        <v>12427780</v>
      </c>
      <c r="AV251" s="18">
        <v>11477446</v>
      </c>
      <c r="AW251" s="19">
        <v>9571242</v>
      </c>
      <c r="AX251" s="19">
        <v>11704349</v>
      </c>
      <c r="AY251" s="20">
        <v>11622465</v>
      </c>
      <c r="AZ251" s="20">
        <v>9933947</v>
      </c>
      <c r="BA251" s="21">
        <v>4345076.5</v>
      </c>
      <c r="BB251" s="21">
        <v>4353509.5</v>
      </c>
    </row>
    <row r="252" spans="1:54" hidden="1">
      <c r="A252">
        <v>20195</v>
      </c>
      <c r="B252" t="s">
        <v>909</v>
      </c>
      <c r="C252" t="s">
        <v>910</v>
      </c>
      <c r="D252" t="s">
        <v>911</v>
      </c>
      <c r="F252" t="s">
        <v>912</v>
      </c>
      <c r="G252">
        <v>48.734000000000002</v>
      </c>
      <c r="H252" t="s">
        <v>57</v>
      </c>
      <c r="I252">
        <v>2</v>
      </c>
      <c r="J252">
        <v>3</v>
      </c>
      <c r="K252">
        <v>0</v>
      </c>
      <c r="L252">
        <v>7.87</v>
      </c>
      <c r="M252">
        <v>18974</v>
      </c>
      <c r="N252">
        <v>10</v>
      </c>
      <c r="O252">
        <v>1</v>
      </c>
      <c r="P252">
        <v>1</v>
      </c>
      <c r="Q252">
        <v>1</v>
      </c>
      <c r="R252">
        <v>1</v>
      </c>
      <c r="S252">
        <v>2</v>
      </c>
      <c r="T252">
        <v>2</v>
      </c>
      <c r="U252">
        <v>1</v>
      </c>
      <c r="V252">
        <v>1</v>
      </c>
      <c r="W252">
        <v>1</v>
      </c>
      <c r="X252">
        <v>1</v>
      </c>
      <c r="Z252">
        <v>1</v>
      </c>
      <c r="AA252">
        <v>1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1179749.25</v>
      </c>
      <c r="AM252">
        <v>1382865.75</v>
      </c>
      <c r="AN252">
        <v>677975.69</v>
      </c>
      <c r="AP252">
        <v>1109121.25</v>
      </c>
      <c r="AQ252">
        <v>1392511.5</v>
      </c>
      <c r="AT252" s="23" t="s">
        <v>910</v>
      </c>
      <c r="AU252" s="18">
        <v>1179749.25</v>
      </c>
      <c r="AV252" s="18">
        <v>1067188.25</v>
      </c>
      <c r="AW252" s="19">
        <v>523465.38</v>
      </c>
      <c r="AX252" s="19">
        <v>170153.38</v>
      </c>
      <c r="AY252" s="20">
        <v>446616.22</v>
      </c>
      <c r="AZ252" s="20">
        <v>598615.75</v>
      </c>
      <c r="BA252" s="21">
        <v>199295.7</v>
      </c>
      <c r="BB252" s="21">
        <v>212391.23</v>
      </c>
    </row>
    <row r="253" spans="1:54" hidden="1">
      <c r="A253">
        <v>20053</v>
      </c>
      <c r="B253" t="s">
        <v>387</v>
      </c>
      <c r="C253" t="s">
        <v>388</v>
      </c>
      <c r="D253" t="s">
        <v>389</v>
      </c>
      <c r="E253" t="s">
        <v>390</v>
      </c>
      <c r="F253" t="s">
        <v>391</v>
      </c>
      <c r="G253">
        <v>488.82499999999999</v>
      </c>
      <c r="H253" t="s">
        <v>57</v>
      </c>
      <c r="I253">
        <v>2</v>
      </c>
      <c r="J253">
        <v>15</v>
      </c>
      <c r="K253">
        <v>6</v>
      </c>
      <c r="L253">
        <v>46.78</v>
      </c>
      <c r="M253">
        <v>51559</v>
      </c>
      <c r="N253">
        <v>27</v>
      </c>
      <c r="O253">
        <v>14</v>
      </c>
      <c r="P253">
        <v>14</v>
      </c>
      <c r="Q253">
        <v>14</v>
      </c>
      <c r="R253">
        <v>14</v>
      </c>
      <c r="S253">
        <v>77</v>
      </c>
      <c r="T253">
        <v>77</v>
      </c>
      <c r="U253">
        <v>14</v>
      </c>
      <c r="V253">
        <v>9</v>
      </c>
      <c r="W253">
        <v>10</v>
      </c>
      <c r="X253">
        <v>11</v>
      </c>
      <c r="Y253">
        <v>14</v>
      </c>
      <c r="Z253">
        <v>14</v>
      </c>
      <c r="AA253">
        <v>14</v>
      </c>
      <c r="AB253">
        <v>14</v>
      </c>
      <c r="AC253">
        <v>14</v>
      </c>
      <c r="AD253">
        <v>3</v>
      </c>
      <c r="AE253">
        <v>4</v>
      </c>
      <c r="AF253">
        <v>9</v>
      </c>
      <c r="AG253">
        <v>17</v>
      </c>
      <c r="AH253">
        <v>8</v>
      </c>
      <c r="AI253">
        <v>8</v>
      </c>
      <c r="AJ253">
        <v>17</v>
      </c>
      <c r="AK253">
        <v>11</v>
      </c>
      <c r="AL253">
        <v>24137116</v>
      </c>
      <c r="AM253">
        <v>30087926</v>
      </c>
      <c r="AN253">
        <v>55162984</v>
      </c>
      <c r="AO253">
        <v>55637560</v>
      </c>
      <c r="AP253">
        <v>71182336</v>
      </c>
      <c r="AQ253">
        <v>71743184</v>
      </c>
      <c r="AR253">
        <v>82303896</v>
      </c>
      <c r="AS253">
        <v>55196668</v>
      </c>
      <c r="AT253" s="23" t="s">
        <v>388</v>
      </c>
      <c r="AU253" s="18">
        <v>14258093</v>
      </c>
      <c r="AV253" s="18">
        <v>24124366</v>
      </c>
      <c r="AW253" s="19">
        <v>43266204</v>
      </c>
      <c r="AX253" s="19">
        <v>54827332</v>
      </c>
      <c r="AY253" s="20">
        <v>33681756</v>
      </c>
      <c r="AZ253" s="20">
        <v>36924992</v>
      </c>
      <c r="BA253" s="21">
        <v>52247224</v>
      </c>
      <c r="BB253" s="21">
        <v>53632420</v>
      </c>
    </row>
    <row r="254" spans="1:54" hidden="1">
      <c r="A254">
        <v>20220</v>
      </c>
      <c r="B254" t="s">
        <v>729</v>
      </c>
      <c r="C254" t="s">
        <v>730</v>
      </c>
      <c r="D254" t="s">
        <v>731</v>
      </c>
      <c r="F254" t="s">
        <v>732</v>
      </c>
      <c r="G254">
        <v>117.496</v>
      </c>
      <c r="H254" t="s">
        <v>57</v>
      </c>
      <c r="I254">
        <v>2</v>
      </c>
      <c r="J254">
        <v>2</v>
      </c>
      <c r="K254">
        <v>0</v>
      </c>
      <c r="L254">
        <v>37.31</v>
      </c>
      <c r="M254">
        <v>15347</v>
      </c>
      <c r="N254">
        <v>9</v>
      </c>
      <c r="O254">
        <v>4</v>
      </c>
      <c r="P254">
        <v>4</v>
      </c>
      <c r="Q254">
        <v>4</v>
      </c>
      <c r="R254">
        <v>4</v>
      </c>
      <c r="S254">
        <v>9</v>
      </c>
      <c r="T254">
        <v>9</v>
      </c>
      <c r="U254">
        <v>4</v>
      </c>
      <c r="V254">
        <v>3</v>
      </c>
      <c r="W254">
        <v>4</v>
      </c>
      <c r="X254">
        <v>2</v>
      </c>
      <c r="Y254">
        <v>2</v>
      </c>
      <c r="Z254">
        <v>2</v>
      </c>
      <c r="AA254">
        <v>2</v>
      </c>
      <c r="AD254">
        <v>2</v>
      </c>
      <c r="AE254">
        <v>3</v>
      </c>
      <c r="AF254">
        <v>0</v>
      </c>
      <c r="AG254">
        <v>0</v>
      </c>
      <c r="AH254">
        <v>2</v>
      </c>
      <c r="AI254">
        <v>2</v>
      </c>
      <c r="AJ254">
        <v>0</v>
      </c>
      <c r="AK254">
        <v>0</v>
      </c>
      <c r="AL254">
        <v>5538283.5</v>
      </c>
      <c r="AM254">
        <v>7339177</v>
      </c>
      <c r="AN254">
        <v>1395649</v>
      </c>
      <c r="AO254">
        <v>1303664.1200000001</v>
      </c>
      <c r="AP254">
        <v>5118380</v>
      </c>
      <c r="AQ254">
        <v>4436185.5</v>
      </c>
      <c r="AT254" s="23" t="s">
        <v>730</v>
      </c>
      <c r="AU254" s="18">
        <v>6408374</v>
      </c>
      <c r="AV254" s="18">
        <v>5950456.5</v>
      </c>
      <c r="AW254" s="19">
        <v>840733.5</v>
      </c>
      <c r="AX254" s="19">
        <v>952839.81</v>
      </c>
      <c r="AY254" s="20">
        <v>1771635.75</v>
      </c>
      <c r="AZ254" s="20">
        <v>1672092.25</v>
      </c>
      <c r="BA254" s="21">
        <v>199295.7</v>
      </c>
      <c r="BB254" s="21">
        <v>212391.23</v>
      </c>
    </row>
    <row r="255" spans="1:54" hidden="1">
      <c r="A255">
        <v>20025</v>
      </c>
      <c r="B255" t="s">
        <v>392</v>
      </c>
      <c r="C255" t="s">
        <v>393</v>
      </c>
      <c r="D255" t="s">
        <v>394</v>
      </c>
      <c r="F255" t="s">
        <v>395</v>
      </c>
      <c r="G255">
        <v>484.34800000000001</v>
      </c>
      <c r="H255" t="s">
        <v>57</v>
      </c>
      <c r="I255">
        <v>2</v>
      </c>
      <c r="J255">
        <v>3</v>
      </c>
      <c r="K255">
        <v>0</v>
      </c>
      <c r="L255">
        <v>24.65</v>
      </c>
      <c r="M255">
        <v>105060</v>
      </c>
      <c r="N255">
        <v>51</v>
      </c>
      <c r="O255">
        <v>18</v>
      </c>
      <c r="P255">
        <v>18</v>
      </c>
      <c r="Q255">
        <v>18</v>
      </c>
      <c r="R255">
        <v>18</v>
      </c>
      <c r="S255">
        <v>68</v>
      </c>
      <c r="T255">
        <v>68</v>
      </c>
      <c r="U255">
        <v>18</v>
      </c>
      <c r="V255">
        <v>8</v>
      </c>
      <c r="W255">
        <v>13</v>
      </c>
      <c r="X255">
        <v>17</v>
      </c>
      <c r="Y255">
        <v>17</v>
      </c>
      <c r="Z255">
        <v>18</v>
      </c>
      <c r="AA255">
        <v>18</v>
      </c>
      <c r="AB255">
        <v>18</v>
      </c>
      <c r="AC255">
        <v>18</v>
      </c>
      <c r="AD255">
        <v>2</v>
      </c>
      <c r="AE255">
        <v>2</v>
      </c>
      <c r="AF255">
        <v>10</v>
      </c>
      <c r="AG255">
        <v>9</v>
      </c>
      <c r="AH255">
        <v>11</v>
      </c>
      <c r="AI255">
        <v>10</v>
      </c>
      <c r="AJ255">
        <v>13</v>
      </c>
      <c r="AK255">
        <v>11</v>
      </c>
      <c r="AL255">
        <v>8032933</v>
      </c>
      <c r="AM255">
        <v>13518410</v>
      </c>
      <c r="AN255">
        <v>27554024</v>
      </c>
      <c r="AO255">
        <v>23748672</v>
      </c>
      <c r="AP255">
        <v>33955224</v>
      </c>
      <c r="AQ255">
        <v>34869684</v>
      </c>
      <c r="AR255">
        <v>38851344</v>
      </c>
      <c r="AS255">
        <v>23482966</v>
      </c>
      <c r="AT255" s="23" t="s">
        <v>393</v>
      </c>
      <c r="AU255" s="18">
        <v>1027757.44</v>
      </c>
      <c r="AV255" s="18">
        <v>8882716</v>
      </c>
      <c r="AW255" s="19">
        <v>22954322</v>
      </c>
      <c r="AX255" s="19">
        <v>22498836</v>
      </c>
      <c r="AY255" s="20">
        <v>15831409</v>
      </c>
      <c r="AZ255" s="20">
        <v>17100352</v>
      </c>
      <c r="BA255" s="21">
        <v>22614964</v>
      </c>
      <c r="BB255" s="21">
        <v>19771512</v>
      </c>
    </row>
    <row r="256" spans="1:54" hidden="1">
      <c r="A256">
        <v>20225</v>
      </c>
      <c r="B256" t="s">
        <v>662</v>
      </c>
      <c r="C256" t="s">
        <v>663</v>
      </c>
      <c r="D256" t="s">
        <v>664</v>
      </c>
      <c r="F256" t="s">
        <v>665</v>
      </c>
      <c r="G256">
        <v>156.66800000000001</v>
      </c>
      <c r="H256" t="s">
        <v>57</v>
      </c>
      <c r="I256">
        <v>2</v>
      </c>
      <c r="J256">
        <v>2</v>
      </c>
      <c r="K256">
        <v>0</v>
      </c>
      <c r="L256">
        <v>21.23</v>
      </c>
      <c r="M256">
        <v>44010</v>
      </c>
      <c r="N256">
        <v>21</v>
      </c>
      <c r="O256">
        <v>7</v>
      </c>
      <c r="P256">
        <v>7</v>
      </c>
      <c r="Q256">
        <v>7</v>
      </c>
      <c r="R256">
        <v>7</v>
      </c>
      <c r="S256">
        <v>27</v>
      </c>
      <c r="T256">
        <v>27</v>
      </c>
      <c r="U256">
        <v>7</v>
      </c>
      <c r="V256">
        <v>4</v>
      </c>
      <c r="W256">
        <v>5</v>
      </c>
      <c r="X256">
        <v>7</v>
      </c>
      <c r="Y256">
        <v>7</v>
      </c>
      <c r="Z256">
        <v>6</v>
      </c>
      <c r="AA256">
        <v>5</v>
      </c>
      <c r="AB256">
        <v>7</v>
      </c>
      <c r="AC256">
        <v>7</v>
      </c>
      <c r="AD256">
        <v>2</v>
      </c>
      <c r="AE256">
        <v>2</v>
      </c>
      <c r="AF256">
        <v>3</v>
      </c>
      <c r="AG256">
        <v>4</v>
      </c>
      <c r="AH256">
        <v>3</v>
      </c>
      <c r="AI256">
        <v>4</v>
      </c>
      <c r="AJ256">
        <v>7</v>
      </c>
      <c r="AK256">
        <v>2</v>
      </c>
      <c r="AL256">
        <v>3695623.25</v>
      </c>
      <c r="AM256">
        <v>5143137</v>
      </c>
      <c r="AN256">
        <v>10402757</v>
      </c>
      <c r="AO256">
        <v>9983545</v>
      </c>
      <c r="AP256">
        <v>12393126</v>
      </c>
      <c r="AQ256">
        <v>11070586</v>
      </c>
      <c r="AR256">
        <v>14634772</v>
      </c>
      <c r="AS256">
        <v>8788425</v>
      </c>
      <c r="AT256" s="23" t="s">
        <v>663</v>
      </c>
      <c r="AU256" s="18">
        <v>1947916.38</v>
      </c>
      <c r="AV256" s="18">
        <v>4102097.75</v>
      </c>
      <c r="AW256" s="19">
        <v>8153090.5</v>
      </c>
      <c r="AX256" s="19">
        <v>8984909</v>
      </c>
      <c r="AY256" s="20">
        <v>4903279.5</v>
      </c>
      <c r="AZ256" s="20">
        <v>4569227.5</v>
      </c>
      <c r="BA256" s="21">
        <v>9647685</v>
      </c>
      <c r="BB256" s="21">
        <v>8350384.5</v>
      </c>
    </row>
    <row r="257" spans="1:54" hidden="1">
      <c r="A257">
        <v>20002</v>
      </c>
      <c r="B257" t="s">
        <v>531</v>
      </c>
      <c r="C257" t="s">
        <v>532</v>
      </c>
      <c r="D257" t="s">
        <v>531</v>
      </c>
      <c r="F257" t="s">
        <v>533</v>
      </c>
      <c r="G257">
        <v>282.86599999999999</v>
      </c>
      <c r="H257" t="s">
        <v>57</v>
      </c>
      <c r="I257">
        <v>2</v>
      </c>
      <c r="J257">
        <v>1</v>
      </c>
      <c r="K257">
        <v>0</v>
      </c>
      <c r="L257">
        <v>46.99</v>
      </c>
      <c r="M257">
        <v>28633</v>
      </c>
      <c r="N257">
        <v>14</v>
      </c>
      <c r="O257">
        <v>8</v>
      </c>
      <c r="P257">
        <v>8</v>
      </c>
      <c r="Q257">
        <v>8</v>
      </c>
      <c r="R257">
        <v>8</v>
      </c>
      <c r="S257">
        <v>49</v>
      </c>
      <c r="T257">
        <v>49</v>
      </c>
      <c r="U257">
        <v>8</v>
      </c>
      <c r="V257">
        <v>7</v>
      </c>
      <c r="W257">
        <v>7</v>
      </c>
      <c r="X257">
        <v>7</v>
      </c>
      <c r="Y257">
        <v>8</v>
      </c>
      <c r="Z257">
        <v>8</v>
      </c>
      <c r="AA257">
        <v>7</v>
      </c>
      <c r="AB257">
        <v>8</v>
      </c>
      <c r="AC257">
        <v>8</v>
      </c>
      <c r="AD257">
        <v>3</v>
      </c>
      <c r="AE257">
        <v>3</v>
      </c>
      <c r="AF257">
        <v>6</v>
      </c>
      <c r="AG257">
        <v>9</v>
      </c>
      <c r="AH257">
        <v>6</v>
      </c>
      <c r="AI257">
        <v>6</v>
      </c>
      <c r="AJ257">
        <v>10</v>
      </c>
      <c r="AK257">
        <v>6</v>
      </c>
      <c r="AL257">
        <v>5813473</v>
      </c>
      <c r="AM257">
        <v>7874937</v>
      </c>
      <c r="AN257">
        <v>15439851</v>
      </c>
      <c r="AO257">
        <v>15153859</v>
      </c>
      <c r="AP257">
        <v>21845736</v>
      </c>
      <c r="AQ257">
        <v>18838488</v>
      </c>
      <c r="AR257">
        <v>20070454</v>
      </c>
      <c r="AS257">
        <v>13898468</v>
      </c>
      <c r="AT257" s="23" t="s">
        <v>532</v>
      </c>
      <c r="AU257" s="18">
        <v>7248892.5</v>
      </c>
      <c r="AV257" s="18">
        <v>7084170.5</v>
      </c>
      <c r="AW257" s="19">
        <v>13362268</v>
      </c>
      <c r="AX257" s="19">
        <v>14288459</v>
      </c>
      <c r="AY257" s="20">
        <v>8719911</v>
      </c>
      <c r="AZ257" s="20">
        <v>8532306</v>
      </c>
      <c r="BA257" s="21">
        <v>10662195</v>
      </c>
      <c r="BB257" s="21">
        <v>11530654</v>
      </c>
    </row>
    <row r="258" spans="1:54" hidden="1">
      <c r="A258">
        <v>20101</v>
      </c>
      <c r="B258" t="s">
        <v>534</v>
      </c>
      <c r="C258" t="s">
        <v>535</v>
      </c>
      <c r="D258" t="s">
        <v>536</v>
      </c>
      <c r="E258" t="s">
        <v>537</v>
      </c>
      <c r="F258" t="s">
        <v>538</v>
      </c>
      <c r="G258">
        <v>281.166</v>
      </c>
      <c r="H258" t="s">
        <v>57</v>
      </c>
      <c r="I258">
        <v>2</v>
      </c>
      <c r="J258">
        <v>6</v>
      </c>
      <c r="K258">
        <v>15</v>
      </c>
      <c r="L258">
        <v>35.880000000000003</v>
      </c>
      <c r="M258">
        <v>27337</v>
      </c>
      <c r="N258">
        <v>7</v>
      </c>
      <c r="O258">
        <v>6</v>
      </c>
      <c r="P258">
        <v>6</v>
      </c>
      <c r="Q258">
        <v>6</v>
      </c>
      <c r="R258">
        <v>6</v>
      </c>
      <c r="S258">
        <v>40</v>
      </c>
      <c r="T258">
        <v>40</v>
      </c>
      <c r="U258">
        <v>6</v>
      </c>
      <c r="V258">
        <v>3</v>
      </c>
      <c r="W258">
        <v>4</v>
      </c>
      <c r="X258">
        <v>6</v>
      </c>
      <c r="Y258">
        <v>4</v>
      </c>
      <c r="Z258">
        <v>6</v>
      </c>
      <c r="AA258">
        <v>6</v>
      </c>
      <c r="AB258">
        <v>6</v>
      </c>
      <c r="AC258">
        <v>6</v>
      </c>
      <c r="AD258">
        <v>3</v>
      </c>
      <c r="AE258">
        <v>3</v>
      </c>
      <c r="AF258">
        <v>3</v>
      </c>
      <c r="AG258">
        <v>2</v>
      </c>
      <c r="AH258">
        <v>6</v>
      </c>
      <c r="AI258">
        <v>8</v>
      </c>
      <c r="AJ258">
        <v>9</v>
      </c>
      <c r="AK258">
        <v>6</v>
      </c>
      <c r="AL258">
        <v>10452453</v>
      </c>
      <c r="AM258">
        <v>9960622</v>
      </c>
      <c r="AN258">
        <v>17166674</v>
      </c>
      <c r="AO258">
        <v>14219129</v>
      </c>
      <c r="AP258">
        <v>27955342</v>
      </c>
      <c r="AQ258">
        <v>33121520</v>
      </c>
      <c r="AR258">
        <v>37567184</v>
      </c>
      <c r="AS258">
        <v>31373532</v>
      </c>
      <c r="AT258" s="23" t="s">
        <v>535</v>
      </c>
      <c r="AU258" s="18">
        <v>13591943</v>
      </c>
      <c r="AV258" s="18">
        <v>9636381</v>
      </c>
      <c r="AW258" s="19">
        <v>13495655</v>
      </c>
      <c r="AX258" s="19">
        <v>9207158</v>
      </c>
      <c r="AY258" s="20">
        <v>15069182</v>
      </c>
      <c r="AZ258" s="20">
        <v>20462292</v>
      </c>
      <c r="BA258" s="21">
        <v>30149014</v>
      </c>
      <c r="BB258" s="21">
        <v>40426784</v>
      </c>
    </row>
    <row r="259" spans="1:54" hidden="1">
      <c r="A259">
        <v>20001</v>
      </c>
      <c r="B259" t="s">
        <v>327</v>
      </c>
      <c r="C259" t="s">
        <v>328</v>
      </c>
      <c r="D259" t="s">
        <v>329</v>
      </c>
      <c r="E259" t="s">
        <v>330</v>
      </c>
      <c r="F259" t="s">
        <v>331</v>
      </c>
      <c r="G259">
        <v>650.00300000000004</v>
      </c>
      <c r="H259" t="s">
        <v>57</v>
      </c>
      <c r="I259">
        <v>2</v>
      </c>
      <c r="J259">
        <v>15</v>
      </c>
      <c r="K259">
        <v>6</v>
      </c>
      <c r="L259">
        <v>31.93</v>
      </c>
      <c r="M259">
        <v>74013</v>
      </c>
      <c r="N259">
        <v>46</v>
      </c>
      <c r="O259">
        <v>25</v>
      </c>
      <c r="P259">
        <v>25</v>
      </c>
      <c r="Q259">
        <v>25</v>
      </c>
      <c r="R259">
        <v>25</v>
      </c>
      <c r="S259">
        <v>136</v>
      </c>
      <c r="T259">
        <v>136</v>
      </c>
      <c r="U259">
        <v>25</v>
      </c>
      <c r="V259">
        <v>19</v>
      </c>
      <c r="W259">
        <v>20</v>
      </c>
      <c r="X259">
        <v>22</v>
      </c>
      <c r="Y259">
        <v>21</v>
      </c>
      <c r="Z259">
        <v>22</v>
      </c>
      <c r="AA259">
        <v>22</v>
      </c>
      <c r="AB259">
        <v>23</v>
      </c>
      <c r="AC259">
        <v>23</v>
      </c>
      <c r="AD259">
        <v>22</v>
      </c>
      <c r="AE259">
        <v>20</v>
      </c>
      <c r="AF259">
        <v>21</v>
      </c>
      <c r="AG259">
        <v>21</v>
      </c>
      <c r="AH259">
        <v>8</v>
      </c>
      <c r="AI259">
        <v>12</v>
      </c>
      <c r="AJ259">
        <v>21</v>
      </c>
      <c r="AK259">
        <v>11</v>
      </c>
      <c r="AL259">
        <v>128720408</v>
      </c>
      <c r="AM259">
        <v>166876304</v>
      </c>
      <c r="AN259">
        <v>164124112</v>
      </c>
      <c r="AO259">
        <v>130365184</v>
      </c>
      <c r="AP259">
        <v>184433408</v>
      </c>
      <c r="AQ259">
        <v>99062616</v>
      </c>
      <c r="AR259">
        <v>186082976</v>
      </c>
      <c r="AS259">
        <v>114906688</v>
      </c>
      <c r="AT259" s="23" t="s">
        <v>328</v>
      </c>
      <c r="AU259" s="18">
        <v>138947552</v>
      </c>
      <c r="AV259" s="18">
        <v>133280232</v>
      </c>
      <c r="AW259" s="19">
        <v>126228704</v>
      </c>
      <c r="AX259" s="19">
        <v>121761200</v>
      </c>
      <c r="AY259" s="20">
        <v>46516492</v>
      </c>
      <c r="AZ259" s="20">
        <v>48645384</v>
      </c>
      <c r="BA259" s="21">
        <v>109309864</v>
      </c>
      <c r="BB259" s="21">
        <v>108350320</v>
      </c>
    </row>
    <row r="260" spans="1:54" hidden="1">
      <c r="A260">
        <v>19961</v>
      </c>
      <c r="B260" t="s">
        <v>863</v>
      </c>
      <c r="C260" t="s">
        <v>864</v>
      </c>
      <c r="D260" t="s">
        <v>865</v>
      </c>
      <c r="E260" t="s">
        <v>866</v>
      </c>
      <c r="F260" t="s">
        <v>867</v>
      </c>
      <c r="G260">
        <v>64.745999999999995</v>
      </c>
      <c r="H260" t="s">
        <v>57</v>
      </c>
      <c r="I260">
        <v>2</v>
      </c>
      <c r="J260">
        <v>19</v>
      </c>
      <c r="K260">
        <v>2</v>
      </c>
      <c r="L260">
        <v>9.26</v>
      </c>
      <c r="M260">
        <v>48178</v>
      </c>
      <c r="N260">
        <v>30</v>
      </c>
      <c r="O260">
        <v>4</v>
      </c>
      <c r="P260">
        <v>4</v>
      </c>
      <c r="Q260">
        <v>4</v>
      </c>
      <c r="R260">
        <v>4</v>
      </c>
      <c r="S260">
        <v>11</v>
      </c>
      <c r="T260">
        <v>11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4</v>
      </c>
      <c r="AA260">
        <v>4</v>
      </c>
      <c r="AB260">
        <v>4</v>
      </c>
      <c r="AC260">
        <v>4</v>
      </c>
      <c r="AD260">
        <v>1</v>
      </c>
      <c r="AE260">
        <v>0</v>
      </c>
      <c r="AF260">
        <v>1</v>
      </c>
      <c r="AG260">
        <v>3</v>
      </c>
      <c r="AH260">
        <v>3</v>
      </c>
      <c r="AI260">
        <v>1</v>
      </c>
      <c r="AJ260">
        <v>2</v>
      </c>
      <c r="AK260">
        <v>1</v>
      </c>
      <c r="AL260">
        <v>4379435</v>
      </c>
      <c r="AM260">
        <v>3487108.5</v>
      </c>
      <c r="AN260">
        <v>5361073.5</v>
      </c>
      <c r="AO260">
        <v>4853551</v>
      </c>
      <c r="AP260">
        <v>60019624</v>
      </c>
      <c r="AQ260">
        <v>6788155</v>
      </c>
      <c r="AR260">
        <v>4844062</v>
      </c>
      <c r="AS260">
        <v>4176228.25</v>
      </c>
      <c r="AT260" s="23" t="s">
        <v>864</v>
      </c>
      <c r="AU260" s="18">
        <v>7920340.5</v>
      </c>
      <c r="AV260" s="18">
        <v>4974640</v>
      </c>
      <c r="AW260" s="19">
        <v>6849141.5</v>
      </c>
      <c r="AX260" s="19">
        <v>7616098</v>
      </c>
      <c r="AY260" s="20">
        <v>7920340.5</v>
      </c>
      <c r="AZ260" s="20">
        <v>5694066.5</v>
      </c>
      <c r="BA260" s="21">
        <v>5035547.5</v>
      </c>
      <c r="BB260" s="21">
        <v>6068741.5</v>
      </c>
    </row>
    <row r="261" spans="1:54" hidden="1">
      <c r="A261">
        <v>20216</v>
      </c>
      <c r="B261" t="s">
        <v>1171</v>
      </c>
      <c r="C261" t="s">
        <v>1172</v>
      </c>
      <c r="D261" t="s">
        <v>1171</v>
      </c>
      <c r="F261" t="s">
        <v>1173</v>
      </c>
      <c r="G261">
        <v>11.112</v>
      </c>
      <c r="H261" t="s">
        <v>57</v>
      </c>
      <c r="I261">
        <v>2</v>
      </c>
      <c r="J261">
        <v>1</v>
      </c>
      <c r="K261">
        <v>0</v>
      </c>
      <c r="L261">
        <v>3.62</v>
      </c>
      <c r="M261">
        <v>72210</v>
      </c>
      <c r="N261">
        <v>36</v>
      </c>
      <c r="O261">
        <v>3</v>
      </c>
      <c r="P261">
        <v>2</v>
      </c>
      <c r="Q261">
        <v>3</v>
      </c>
      <c r="R261">
        <v>2</v>
      </c>
      <c r="S261">
        <v>4</v>
      </c>
      <c r="T261">
        <v>2</v>
      </c>
      <c r="U261">
        <v>2</v>
      </c>
      <c r="V261">
        <v>1</v>
      </c>
      <c r="Y261">
        <v>1</v>
      </c>
      <c r="Z261">
        <v>2</v>
      </c>
      <c r="AA261">
        <v>2</v>
      </c>
      <c r="AB261">
        <v>2</v>
      </c>
      <c r="AC261">
        <v>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</v>
      </c>
      <c r="AJ261">
        <v>0</v>
      </c>
      <c r="AK261">
        <v>0</v>
      </c>
      <c r="AL261">
        <v>520037.75</v>
      </c>
      <c r="AM261">
        <v>1165528.5</v>
      </c>
      <c r="AN261">
        <v>1130162.75</v>
      </c>
      <c r="AO261">
        <v>1095182</v>
      </c>
      <c r="AP261">
        <v>17698542</v>
      </c>
      <c r="AQ261">
        <v>16322148</v>
      </c>
      <c r="AR261">
        <v>5208608.5</v>
      </c>
      <c r="AS261">
        <v>3752331.75</v>
      </c>
      <c r="AT261" s="23" t="s">
        <v>1172</v>
      </c>
      <c r="AU261" s="18">
        <v>13378.27</v>
      </c>
      <c r="AV261" s="18">
        <v>111774.65</v>
      </c>
      <c r="AW261" s="19">
        <v>213953.23</v>
      </c>
      <c r="AX261" s="19">
        <v>12906.63</v>
      </c>
      <c r="AY261" s="20">
        <v>6344578.5</v>
      </c>
      <c r="AZ261" s="20">
        <v>6126870.5</v>
      </c>
      <c r="BA261" s="21">
        <v>2404051</v>
      </c>
      <c r="BB261" s="21">
        <v>2534034</v>
      </c>
    </row>
    <row r="262" spans="1:54" hidden="1">
      <c r="A262">
        <v>20215</v>
      </c>
      <c r="B262" t="s">
        <v>1168</v>
      </c>
      <c r="C262" t="s">
        <v>1169</v>
      </c>
      <c r="D262" t="s">
        <v>1168</v>
      </c>
      <c r="F262" t="s">
        <v>1170</v>
      </c>
      <c r="G262">
        <v>11.112</v>
      </c>
      <c r="H262" t="s">
        <v>57</v>
      </c>
      <c r="I262">
        <v>2</v>
      </c>
      <c r="J262">
        <v>1</v>
      </c>
      <c r="K262">
        <v>0</v>
      </c>
      <c r="L262">
        <v>2.5499999999999998</v>
      </c>
      <c r="M262">
        <v>73041</v>
      </c>
      <c r="N262">
        <v>34</v>
      </c>
      <c r="O262">
        <v>2</v>
      </c>
      <c r="P262">
        <v>1</v>
      </c>
      <c r="Q262">
        <v>2</v>
      </c>
      <c r="R262">
        <v>1</v>
      </c>
      <c r="S262">
        <v>3</v>
      </c>
      <c r="T262">
        <v>1</v>
      </c>
      <c r="U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426658.53</v>
      </c>
      <c r="AM262">
        <v>2716614.5</v>
      </c>
      <c r="AN262">
        <v>2023106</v>
      </c>
      <c r="AO262">
        <v>2517164.75</v>
      </c>
      <c r="AP262">
        <v>4723643.5</v>
      </c>
      <c r="AQ262">
        <v>4413655.5</v>
      </c>
      <c r="AR262">
        <v>1855827.25</v>
      </c>
      <c r="AS262">
        <v>1218077.3799999999</v>
      </c>
      <c r="AT262" s="23" t="s">
        <v>1169</v>
      </c>
      <c r="AU262" s="18">
        <v>49505.43</v>
      </c>
      <c r="AV262" s="18">
        <v>1197007.75</v>
      </c>
      <c r="AW262" s="19">
        <v>689442</v>
      </c>
      <c r="AX262" s="19">
        <v>1483783.5</v>
      </c>
      <c r="AY262" s="20">
        <v>703543.62</v>
      </c>
      <c r="AZ262" s="20">
        <v>913517.19</v>
      </c>
      <c r="BA262" s="21">
        <v>728488.06</v>
      </c>
      <c r="BB262" s="21">
        <v>774503.19</v>
      </c>
    </row>
    <row r="263" spans="1:54" hidden="1">
      <c r="A263">
        <v>20252</v>
      </c>
      <c r="B263" t="s">
        <v>1374</v>
      </c>
      <c r="C263" t="s">
        <v>1375</v>
      </c>
      <c r="D263" t="s">
        <v>1376</v>
      </c>
      <c r="F263" t="s">
        <v>1377</v>
      </c>
      <c r="G263">
        <v>0</v>
      </c>
      <c r="H263" t="s">
        <v>57</v>
      </c>
      <c r="I263">
        <v>2</v>
      </c>
      <c r="J263">
        <v>2</v>
      </c>
      <c r="K263">
        <v>0</v>
      </c>
      <c r="L263">
        <v>4.93</v>
      </c>
      <c r="M263">
        <v>33011</v>
      </c>
      <c r="N263">
        <v>23</v>
      </c>
      <c r="O263">
        <v>2</v>
      </c>
      <c r="P263">
        <v>2</v>
      </c>
      <c r="Q263">
        <v>2</v>
      </c>
      <c r="R263">
        <v>2</v>
      </c>
      <c r="S263">
        <v>3</v>
      </c>
      <c r="T263">
        <v>3</v>
      </c>
      <c r="U263">
        <v>2</v>
      </c>
      <c r="V263">
        <v>1</v>
      </c>
      <c r="W263">
        <v>2</v>
      </c>
      <c r="X263">
        <v>2</v>
      </c>
      <c r="Y263">
        <v>2</v>
      </c>
      <c r="Z263">
        <v>1</v>
      </c>
      <c r="AA263">
        <v>1</v>
      </c>
      <c r="AB263">
        <v>1</v>
      </c>
      <c r="AC263">
        <v>2</v>
      </c>
      <c r="AD263">
        <v>1</v>
      </c>
      <c r="AE263">
        <v>1</v>
      </c>
      <c r="AF263">
        <v>3</v>
      </c>
      <c r="AG263">
        <v>0</v>
      </c>
      <c r="AH263">
        <v>0</v>
      </c>
      <c r="AI263">
        <v>1</v>
      </c>
      <c r="AJ263">
        <v>1</v>
      </c>
      <c r="AK263">
        <v>2</v>
      </c>
      <c r="AL263">
        <v>5274715</v>
      </c>
      <c r="AM263">
        <v>11307331</v>
      </c>
      <c r="AN263">
        <v>16638047</v>
      </c>
      <c r="AO263">
        <v>12384457</v>
      </c>
      <c r="AP263">
        <v>6970086.5</v>
      </c>
      <c r="AQ263">
        <v>7049741.5</v>
      </c>
      <c r="AR263">
        <v>38407956</v>
      </c>
      <c r="AS263">
        <v>16954914</v>
      </c>
      <c r="AT263" s="23" t="s">
        <v>1375</v>
      </c>
      <c r="AU263" s="18">
        <v>410614.38</v>
      </c>
      <c r="AV263" s="18">
        <v>10616963</v>
      </c>
      <c r="AW263" s="19">
        <v>15646391</v>
      </c>
      <c r="AX263" s="19">
        <v>13424101</v>
      </c>
      <c r="AY263" s="20">
        <v>1011484.25</v>
      </c>
      <c r="AZ263" s="20">
        <v>1091365.1200000001</v>
      </c>
      <c r="BA263" s="21">
        <v>6105739.5</v>
      </c>
      <c r="BB263" s="21">
        <v>31060110</v>
      </c>
    </row>
    <row r="264" spans="1:54" hidden="1">
      <c r="A264">
        <v>20219</v>
      </c>
      <c r="B264" t="s">
        <v>975</v>
      </c>
      <c r="C264" t="s">
        <v>976</v>
      </c>
      <c r="D264" t="s">
        <v>977</v>
      </c>
      <c r="F264" t="s">
        <v>978</v>
      </c>
      <c r="G264">
        <v>36.456000000000003</v>
      </c>
      <c r="H264" t="s">
        <v>57</v>
      </c>
      <c r="I264">
        <v>2</v>
      </c>
      <c r="J264">
        <v>3</v>
      </c>
      <c r="K264">
        <v>0</v>
      </c>
      <c r="L264">
        <v>13.1</v>
      </c>
      <c r="M264">
        <v>17835</v>
      </c>
      <c r="N264">
        <v>7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1</v>
      </c>
      <c r="AA264">
        <v>2</v>
      </c>
      <c r="AB264">
        <v>1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3145849.5</v>
      </c>
      <c r="AM264">
        <v>3803412.5</v>
      </c>
      <c r="AN264">
        <v>1686749.88</v>
      </c>
      <c r="AO264">
        <v>1414765</v>
      </c>
      <c r="AP264">
        <v>2247078.25</v>
      </c>
      <c r="AQ264">
        <v>2918066</v>
      </c>
      <c r="AR264">
        <v>464474.47</v>
      </c>
      <c r="AT264" s="23" t="s">
        <v>976</v>
      </c>
      <c r="AU264" s="18">
        <v>2911038.25</v>
      </c>
      <c r="AV264" s="18">
        <v>2820726.25</v>
      </c>
      <c r="AW264" s="19">
        <v>1250554.8799999999</v>
      </c>
      <c r="AX264" s="19">
        <v>1208603.75</v>
      </c>
      <c r="AY264" s="20">
        <v>367057.03</v>
      </c>
      <c r="AZ264" s="20">
        <v>2249292.25</v>
      </c>
      <c r="BA264" s="21">
        <v>189955.47</v>
      </c>
      <c r="BB264" s="21">
        <v>212391.23</v>
      </c>
    </row>
    <row r="265" spans="1:54" hidden="1">
      <c r="A265">
        <v>20021</v>
      </c>
      <c r="B265" t="s">
        <v>619</v>
      </c>
      <c r="C265" t="s">
        <v>620</v>
      </c>
      <c r="D265" t="s">
        <v>621</v>
      </c>
      <c r="F265" t="s">
        <v>622</v>
      </c>
      <c r="G265">
        <v>209.238</v>
      </c>
      <c r="H265" t="s">
        <v>57</v>
      </c>
      <c r="I265">
        <v>2</v>
      </c>
      <c r="J265">
        <v>20</v>
      </c>
      <c r="K265">
        <v>0</v>
      </c>
      <c r="L265">
        <v>27.06</v>
      </c>
      <c r="M265">
        <v>28422</v>
      </c>
      <c r="N265">
        <v>16</v>
      </c>
      <c r="O265">
        <v>6</v>
      </c>
      <c r="P265">
        <v>6</v>
      </c>
      <c r="Q265">
        <v>6</v>
      </c>
      <c r="R265">
        <v>6</v>
      </c>
      <c r="S265">
        <v>38</v>
      </c>
      <c r="T265">
        <v>38</v>
      </c>
      <c r="U265">
        <v>6</v>
      </c>
      <c r="V265">
        <v>3</v>
      </c>
      <c r="W265">
        <v>5</v>
      </c>
      <c r="X265">
        <v>6</v>
      </c>
      <c r="Y265">
        <v>6</v>
      </c>
      <c r="Z265">
        <v>6</v>
      </c>
      <c r="AA265">
        <v>6</v>
      </c>
      <c r="AB265">
        <v>6</v>
      </c>
      <c r="AC265">
        <v>6</v>
      </c>
      <c r="AD265">
        <v>0</v>
      </c>
      <c r="AE265">
        <v>1</v>
      </c>
      <c r="AF265">
        <v>5</v>
      </c>
      <c r="AG265">
        <v>7</v>
      </c>
      <c r="AH265">
        <v>7</v>
      </c>
      <c r="AI265">
        <v>6</v>
      </c>
      <c r="AJ265">
        <v>8</v>
      </c>
      <c r="AK265">
        <v>5</v>
      </c>
      <c r="AL265">
        <v>6914419.5</v>
      </c>
      <c r="AM265">
        <v>11813186</v>
      </c>
      <c r="AN265">
        <v>29778424</v>
      </c>
      <c r="AO265">
        <v>28447556</v>
      </c>
      <c r="AP265">
        <v>38220712</v>
      </c>
      <c r="AQ265">
        <v>39430196</v>
      </c>
      <c r="AR265">
        <v>39919328</v>
      </c>
      <c r="AS265">
        <v>23600704</v>
      </c>
      <c r="AT265" s="23" t="s">
        <v>620</v>
      </c>
      <c r="AU265" s="18">
        <v>231392.92</v>
      </c>
      <c r="AV265" s="18">
        <v>10026103</v>
      </c>
      <c r="AW265" s="19">
        <v>21802340</v>
      </c>
      <c r="AX265" s="19">
        <v>27555024</v>
      </c>
      <c r="AY265" s="20">
        <v>18710252</v>
      </c>
      <c r="AZ265" s="20">
        <v>20534426</v>
      </c>
      <c r="BA265" s="21">
        <v>24851214</v>
      </c>
      <c r="BB265" s="21">
        <v>21734052</v>
      </c>
    </row>
    <row r="266" spans="1:54" hidden="1">
      <c r="A266">
        <v>20115</v>
      </c>
      <c r="B266" t="s">
        <v>360</v>
      </c>
      <c r="C266" t="s">
        <v>361</v>
      </c>
      <c r="D266" t="s">
        <v>360</v>
      </c>
      <c r="E266" t="s">
        <v>362</v>
      </c>
      <c r="F266" t="s">
        <v>363</v>
      </c>
      <c r="G266">
        <v>588.46900000000005</v>
      </c>
      <c r="H266" t="s">
        <v>57</v>
      </c>
      <c r="I266">
        <v>2</v>
      </c>
      <c r="J266">
        <v>1</v>
      </c>
      <c r="K266">
        <v>2</v>
      </c>
      <c r="L266">
        <v>54.49</v>
      </c>
      <c r="M266">
        <v>37437</v>
      </c>
      <c r="N266">
        <v>17</v>
      </c>
      <c r="O266">
        <v>15</v>
      </c>
      <c r="P266">
        <v>15</v>
      </c>
      <c r="Q266">
        <v>15</v>
      </c>
      <c r="R266">
        <v>15</v>
      </c>
      <c r="S266">
        <v>156</v>
      </c>
      <c r="T266">
        <v>156</v>
      </c>
      <c r="U266">
        <v>15</v>
      </c>
      <c r="V266">
        <v>14</v>
      </c>
      <c r="W266">
        <v>14</v>
      </c>
      <c r="X266">
        <v>14</v>
      </c>
      <c r="Y266">
        <v>15</v>
      </c>
      <c r="Z266">
        <v>15</v>
      </c>
      <c r="AA266">
        <v>15</v>
      </c>
      <c r="AB266">
        <v>14</v>
      </c>
      <c r="AC266">
        <v>14</v>
      </c>
      <c r="AD266">
        <v>23</v>
      </c>
      <c r="AE266">
        <v>23</v>
      </c>
      <c r="AF266">
        <v>18</v>
      </c>
      <c r="AG266">
        <v>21</v>
      </c>
      <c r="AH266">
        <v>15</v>
      </c>
      <c r="AI266">
        <v>16</v>
      </c>
      <c r="AJ266">
        <v>22</v>
      </c>
      <c r="AK266">
        <v>18</v>
      </c>
      <c r="AL266">
        <v>191399456</v>
      </c>
      <c r="AM266">
        <v>206419552</v>
      </c>
      <c r="AN266">
        <v>219228672</v>
      </c>
      <c r="AO266">
        <v>212647808</v>
      </c>
      <c r="AP266">
        <v>126855808</v>
      </c>
      <c r="AQ266">
        <v>131060896</v>
      </c>
      <c r="AR266">
        <v>254428544</v>
      </c>
      <c r="AS266">
        <v>159284480</v>
      </c>
      <c r="AT266" s="23" t="s">
        <v>361</v>
      </c>
      <c r="AU266" s="18">
        <v>187884912</v>
      </c>
      <c r="AV266" s="18">
        <v>169683136</v>
      </c>
      <c r="AW266" s="19">
        <v>191125584</v>
      </c>
      <c r="AX266" s="19">
        <v>215567056</v>
      </c>
      <c r="AY266" s="20">
        <v>61601072</v>
      </c>
      <c r="AZ266" s="20">
        <v>69102392</v>
      </c>
      <c r="BA266" s="21">
        <v>154779232</v>
      </c>
      <c r="BB266" s="21">
        <v>147608560</v>
      </c>
    </row>
    <row r="267" spans="1:54" hidden="1">
      <c r="A267">
        <v>19970</v>
      </c>
      <c r="B267" t="s">
        <v>102</v>
      </c>
      <c r="C267" t="s">
        <v>103</v>
      </c>
      <c r="D267" t="s">
        <v>104</v>
      </c>
      <c r="F267" t="s">
        <v>105</v>
      </c>
      <c r="G267">
        <v>1602.2090000000001</v>
      </c>
      <c r="H267" t="s">
        <v>57</v>
      </c>
      <c r="I267">
        <v>2</v>
      </c>
      <c r="J267">
        <v>20</v>
      </c>
      <c r="K267">
        <v>0</v>
      </c>
      <c r="L267">
        <v>79.510000000000005</v>
      </c>
      <c r="M267">
        <v>30422</v>
      </c>
      <c r="N267">
        <v>22</v>
      </c>
      <c r="O267">
        <v>32</v>
      </c>
      <c r="P267">
        <v>32</v>
      </c>
      <c r="Q267">
        <v>36</v>
      </c>
      <c r="R267">
        <v>36</v>
      </c>
      <c r="S267">
        <v>1857</v>
      </c>
      <c r="T267">
        <v>1857</v>
      </c>
      <c r="U267">
        <v>36</v>
      </c>
      <c r="V267">
        <v>24</v>
      </c>
      <c r="W267">
        <v>29</v>
      </c>
      <c r="X267">
        <v>34</v>
      </c>
      <c r="Y267">
        <v>34</v>
      </c>
      <c r="Z267">
        <v>35</v>
      </c>
      <c r="AA267">
        <v>34</v>
      </c>
      <c r="AB267">
        <v>35</v>
      </c>
      <c r="AC267">
        <v>33</v>
      </c>
      <c r="AD267">
        <v>162</v>
      </c>
      <c r="AE267">
        <v>147</v>
      </c>
      <c r="AF267">
        <v>268</v>
      </c>
      <c r="AG267">
        <v>242</v>
      </c>
      <c r="AH267">
        <v>245</v>
      </c>
      <c r="AI267">
        <v>241</v>
      </c>
      <c r="AJ267">
        <v>287</v>
      </c>
      <c r="AK267">
        <v>265</v>
      </c>
      <c r="AL267">
        <v>2432948992</v>
      </c>
      <c r="AM267">
        <v>2416085504</v>
      </c>
      <c r="AN267">
        <v>4452716544</v>
      </c>
      <c r="AO267">
        <v>3916259840</v>
      </c>
      <c r="AP267">
        <v>4567101440</v>
      </c>
      <c r="AQ267">
        <v>4530392576</v>
      </c>
      <c r="AR267">
        <v>4773047296</v>
      </c>
      <c r="AS267">
        <v>3276695040</v>
      </c>
      <c r="AT267" s="23" t="s">
        <v>103</v>
      </c>
      <c r="AU267" s="18">
        <v>1225031552</v>
      </c>
      <c r="AV267" s="18">
        <v>1620341888</v>
      </c>
      <c r="AW267" s="19">
        <v>3399326208</v>
      </c>
      <c r="AX267" s="19">
        <v>3589280256</v>
      </c>
      <c r="AY267" s="20">
        <v>2216979968</v>
      </c>
      <c r="AZ267" s="20">
        <v>2488537088</v>
      </c>
      <c r="BA267" s="21">
        <v>3363970560</v>
      </c>
      <c r="BB267" s="21">
        <v>3153223168</v>
      </c>
    </row>
    <row r="268" spans="1:54" hidden="1">
      <c r="A268">
        <v>19971</v>
      </c>
      <c r="B268" t="s">
        <v>81</v>
      </c>
      <c r="C268" t="s">
        <v>82</v>
      </c>
      <c r="D268" t="s">
        <v>83</v>
      </c>
      <c r="E268" t="s">
        <v>84</v>
      </c>
      <c r="F268" t="s">
        <v>85</v>
      </c>
      <c r="G268">
        <v>2456.125</v>
      </c>
      <c r="H268" t="s">
        <v>57</v>
      </c>
      <c r="I268">
        <v>2</v>
      </c>
      <c r="J268">
        <v>7</v>
      </c>
      <c r="K268">
        <v>9</v>
      </c>
      <c r="L268">
        <v>85.53</v>
      </c>
      <c r="M268">
        <v>43283</v>
      </c>
      <c r="N268">
        <v>26</v>
      </c>
      <c r="O268">
        <v>42</v>
      </c>
      <c r="P268">
        <v>42</v>
      </c>
      <c r="Q268">
        <v>50</v>
      </c>
      <c r="R268">
        <v>50</v>
      </c>
      <c r="S268">
        <v>5127</v>
      </c>
      <c r="T268">
        <v>5127</v>
      </c>
      <c r="U268">
        <v>50</v>
      </c>
      <c r="V268">
        <v>39</v>
      </c>
      <c r="W268">
        <v>42</v>
      </c>
      <c r="X268">
        <v>44</v>
      </c>
      <c r="Y268">
        <v>43</v>
      </c>
      <c r="Z268">
        <v>46</v>
      </c>
      <c r="AA268">
        <v>45</v>
      </c>
      <c r="AB268">
        <v>49</v>
      </c>
      <c r="AC268">
        <v>47</v>
      </c>
      <c r="AD268">
        <v>509</v>
      </c>
      <c r="AE268">
        <v>453</v>
      </c>
      <c r="AF268">
        <v>659</v>
      </c>
      <c r="AG268">
        <v>721</v>
      </c>
      <c r="AH268">
        <v>655</v>
      </c>
      <c r="AI268">
        <v>604</v>
      </c>
      <c r="AJ268">
        <v>663</v>
      </c>
      <c r="AK268">
        <v>863</v>
      </c>
      <c r="AL268">
        <v>8997977088</v>
      </c>
      <c r="AM268">
        <v>8942587904</v>
      </c>
      <c r="AN268">
        <v>11964743680</v>
      </c>
      <c r="AO268">
        <v>10853673984</v>
      </c>
      <c r="AP268">
        <v>12881625088</v>
      </c>
      <c r="AQ268">
        <v>13981803520</v>
      </c>
      <c r="AR268">
        <v>14822415360</v>
      </c>
      <c r="AS268">
        <v>11803324416</v>
      </c>
      <c r="AT268" s="23" t="s">
        <v>82</v>
      </c>
      <c r="AU268" s="18">
        <v>7777034752</v>
      </c>
      <c r="AV268" s="18">
        <v>6644984832</v>
      </c>
      <c r="AW268" s="19">
        <v>9140657152</v>
      </c>
      <c r="AX268" s="19">
        <v>9839272960</v>
      </c>
      <c r="AY268" s="20">
        <v>6118230528</v>
      </c>
      <c r="AZ268" s="20">
        <v>7397501440</v>
      </c>
      <c r="BA268" s="21">
        <v>10111890432</v>
      </c>
      <c r="BB268" s="21">
        <v>12299078656</v>
      </c>
    </row>
    <row r="269" spans="1:54" hidden="1">
      <c r="A269">
        <v>20218</v>
      </c>
      <c r="B269" t="s">
        <v>1220</v>
      </c>
      <c r="C269" t="s">
        <v>1221</v>
      </c>
      <c r="D269" t="s">
        <v>1222</v>
      </c>
      <c r="F269" t="s">
        <v>1223</v>
      </c>
      <c r="G269">
        <v>9.2759999999999998</v>
      </c>
      <c r="H269" t="s">
        <v>57</v>
      </c>
      <c r="I269">
        <v>2</v>
      </c>
      <c r="J269">
        <v>4</v>
      </c>
      <c r="K269">
        <v>0</v>
      </c>
      <c r="L269">
        <v>1.1499999999999999</v>
      </c>
      <c r="M269">
        <v>67354</v>
      </c>
      <c r="N269">
        <v>29</v>
      </c>
      <c r="O269">
        <v>1</v>
      </c>
      <c r="P269">
        <v>1</v>
      </c>
      <c r="Q269">
        <v>1</v>
      </c>
      <c r="R269">
        <v>1</v>
      </c>
      <c r="S269">
        <v>12</v>
      </c>
      <c r="T269">
        <v>12</v>
      </c>
      <c r="U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0</v>
      </c>
      <c r="AE269">
        <v>2</v>
      </c>
      <c r="AF269">
        <v>2</v>
      </c>
      <c r="AG269">
        <v>2</v>
      </c>
      <c r="AH269">
        <v>1</v>
      </c>
      <c r="AI269">
        <v>1</v>
      </c>
      <c r="AJ269">
        <v>2</v>
      </c>
      <c r="AK269">
        <v>2</v>
      </c>
      <c r="AM269">
        <v>13806898</v>
      </c>
      <c r="AN269">
        <v>13054426</v>
      </c>
      <c r="AO269">
        <v>12283094</v>
      </c>
      <c r="AP269">
        <v>11626178</v>
      </c>
      <c r="AQ269">
        <v>10447286</v>
      </c>
      <c r="AR269">
        <v>16354938</v>
      </c>
      <c r="AS269">
        <v>6697461</v>
      </c>
      <c r="AT269" s="23" t="s">
        <v>1221</v>
      </c>
      <c r="AU269" s="18">
        <v>49505.43</v>
      </c>
      <c r="AV269" s="18">
        <v>10655090</v>
      </c>
      <c r="AW269" s="19">
        <v>10079330</v>
      </c>
      <c r="AX269" s="19">
        <v>10923091</v>
      </c>
      <c r="AY269" s="20">
        <v>4681580</v>
      </c>
      <c r="AZ269" s="20">
        <v>4491101</v>
      </c>
      <c r="BA269" s="21">
        <v>8757326</v>
      </c>
      <c r="BB269" s="21">
        <v>5256676.5</v>
      </c>
    </row>
    <row r="270" spans="1:54" hidden="1">
      <c r="A270">
        <v>20040</v>
      </c>
      <c r="B270" t="s">
        <v>219</v>
      </c>
      <c r="C270" t="s">
        <v>220</v>
      </c>
      <c r="D270" t="s">
        <v>221</v>
      </c>
      <c r="E270" t="s">
        <v>222</v>
      </c>
      <c r="F270" t="s">
        <v>223</v>
      </c>
      <c r="G270">
        <v>910.452</v>
      </c>
      <c r="H270" t="s">
        <v>57</v>
      </c>
      <c r="I270">
        <v>2</v>
      </c>
      <c r="J270">
        <v>12</v>
      </c>
      <c r="K270">
        <v>8</v>
      </c>
      <c r="L270">
        <v>45.99</v>
      </c>
      <c r="M270">
        <v>47526</v>
      </c>
      <c r="N270">
        <v>18</v>
      </c>
      <c r="O270">
        <v>16</v>
      </c>
      <c r="P270">
        <v>16</v>
      </c>
      <c r="Q270">
        <v>16</v>
      </c>
      <c r="R270">
        <v>16</v>
      </c>
      <c r="S270">
        <v>218</v>
      </c>
      <c r="T270">
        <v>218</v>
      </c>
      <c r="U270">
        <v>16</v>
      </c>
      <c r="V270">
        <v>13</v>
      </c>
      <c r="W270">
        <v>16</v>
      </c>
      <c r="X270">
        <v>15</v>
      </c>
      <c r="Y270">
        <v>15</v>
      </c>
      <c r="Z270">
        <v>15</v>
      </c>
      <c r="AA270">
        <v>15</v>
      </c>
      <c r="AB270">
        <v>15</v>
      </c>
      <c r="AC270">
        <v>15</v>
      </c>
      <c r="AD270">
        <v>33</v>
      </c>
      <c r="AE270">
        <v>28</v>
      </c>
      <c r="AF270">
        <v>27</v>
      </c>
      <c r="AG270">
        <v>28</v>
      </c>
      <c r="AH270">
        <v>22</v>
      </c>
      <c r="AI270">
        <v>21</v>
      </c>
      <c r="AJ270">
        <v>30</v>
      </c>
      <c r="AK270">
        <v>28</v>
      </c>
      <c r="AL270">
        <v>156765536</v>
      </c>
      <c r="AM270">
        <v>184683152</v>
      </c>
      <c r="AN270">
        <v>194107920</v>
      </c>
      <c r="AO270">
        <v>174056256</v>
      </c>
      <c r="AP270">
        <v>117424928</v>
      </c>
      <c r="AQ270">
        <v>122621720</v>
      </c>
      <c r="AR270">
        <v>241598192</v>
      </c>
      <c r="AS270">
        <v>157443152</v>
      </c>
      <c r="AT270" s="23" t="s">
        <v>220</v>
      </c>
      <c r="AU270" s="18">
        <v>182156416</v>
      </c>
      <c r="AV270" s="18">
        <v>201262560</v>
      </c>
      <c r="AW270" s="19">
        <v>185451808</v>
      </c>
      <c r="AX270" s="19">
        <v>210692816</v>
      </c>
      <c r="AY270" s="20">
        <v>71413056</v>
      </c>
      <c r="AZ270" s="20">
        <v>77761968</v>
      </c>
      <c r="BA270" s="21">
        <v>190680080</v>
      </c>
      <c r="BB270" s="21">
        <v>177393312</v>
      </c>
    </row>
    <row r="271" spans="1:54" hidden="1">
      <c r="A271">
        <v>20050</v>
      </c>
      <c r="B271" t="s">
        <v>1001</v>
      </c>
      <c r="C271" t="s">
        <v>1002</v>
      </c>
      <c r="D271" t="s">
        <v>1001</v>
      </c>
      <c r="F271" t="s">
        <v>1003</v>
      </c>
      <c r="G271">
        <v>31.111999999999998</v>
      </c>
      <c r="H271" t="s">
        <v>57</v>
      </c>
      <c r="I271">
        <v>2</v>
      </c>
      <c r="J271">
        <v>1</v>
      </c>
      <c r="K271">
        <v>0</v>
      </c>
      <c r="L271">
        <v>15.62</v>
      </c>
      <c r="M271">
        <v>11275</v>
      </c>
      <c r="N271">
        <v>9</v>
      </c>
      <c r="O271">
        <v>2</v>
      </c>
      <c r="P271">
        <v>2</v>
      </c>
      <c r="Q271">
        <v>2</v>
      </c>
      <c r="R271">
        <v>2</v>
      </c>
      <c r="S271">
        <v>4</v>
      </c>
      <c r="T271">
        <v>4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1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2</v>
      </c>
      <c r="AI271">
        <v>1</v>
      </c>
      <c r="AJ271">
        <v>0</v>
      </c>
      <c r="AK271">
        <v>0</v>
      </c>
      <c r="AL271">
        <v>3198891</v>
      </c>
      <c r="AM271">
        <v>2829834.5</v>
      </c>
      <c r="AN271">
        <v>1531474.5</v>
      </c>
      <c r="AO271">
        <v>972706.06</v>
      </c>
      <c r="AP271">
        <v>3738868</v>
      </c>
      <c r="AQ271">
        <v>3228264.75</v>
      </c>
      <c r="AR271">
        <v>444614.03</v>
      </c>
      <c r="AS271">
        <v>778648.88</v>
      </c>
      <c r="AT271" s="23" t="s">
        <v>1002</v>
      </c>
      <c r="AU271" s="18">
        <v>3216767</v>
      </c>
      <c r="AV271" s="18">
        <v>2207694.5</v>
      </c>
      <c r="AW271" s="19">
        <v>1179239.25</v>
      </c>
      <c r="AX271" s="19">
        <v>864204.56</v>
      </c>
      <c r="AY271" s="20">
        <v>1549289.5</v>
      </c>
      <c r="AZ271" s="20">
        <v>1430380.25</v>
      </c>
      <c r="BA271" s="21">
        <v>199353.27</v>
      </c>
      <c r="BB271" s="21">
        <v>508304.53</v>
      </c>
    </row>
    <row r="272" spans="1:54" hidden="1">
      <c r="A272">
        <v>20264</v>
      </c>
      <c r="B272" t="s">
        <v>830</v>
      </c>
      <c r="C272" t="s">
        <v>831</v>
      </c>
      <c r="D272" t="s">
        <v>830</v>
      </c>
      <c r="F272" t="s">
        <v>832</v>
      </c>
      <c r="G272">
        <v>81.772000000000006</v>
      </c>
      <c r="H272" t="s">
        <v>57</v>
      </c>
      <c r="I272">
        <v>2</v>
      </c>
      <c r="J272">
        <v>1</v>
      </c>
      <c r="K272">
        <v>0</v>
      </c>
      <c r="L272">
        <v>15.81</v>
      </c>
      <c r="M272">
        <v>27158</v>
      </c>
      <c r="N272">
        <v>14</v>
      </c>
      <c r="O272">
        <v>4</v>
      </c>
      <c r="P272">
        <v>4</v>
      </c>
      <c r="Q272">
        <v>4</v>
      </c>
      <c r="R272">
        <v>4</v>
      </c>
      <c r="S272">
        <v>16</v>
      </c>
      <c r="T272">
        <v>16</v>
      </c>
      <c r="U272">
        <v>4</v>
      </c>
      <c r="V272">
        <v>2</v>
      </c>
      <c r="W272">
        <v>4</v>
      </c>
      <c r="X272">
        <v>4</v>
      </c>
      <c r="Y272">
        <v>4</v>
      </c>
      <c r="Z272">
        <v>3</v>
      </c>
      <c r="AA272">
        <v>3</v>
      </c>
      <c r="AB272">
        <v>2</v>
      </c>
      <c r="AC272">
        <v>1</v>
      </c>
      <c r="AD272">
        <v>1</v>
      </c>
      <c r="AE272">
        <v>4</v>
      </c>
      <c r="AF272">
        <v>3</v>
      </c>
      <c r="AG272">
        <v>5</v>
      </c>
      <c r="AH272">
        <v>1</v>
      </c>
      <c r="AI272">
        <v>2</v>
      </c>
      <c r="AJ272">
        <v>1</v>
      </c>
      <c r="AK272">
        <v>0</v>
      </c>
      <c r="AL272">
        <v>3337915.5</v>
      </c>
      <c r="AM272">
        <v>7187121.5</v>
      </c>
      <c r="AN272">
        <v>5164797</v>
      </c>
      <c r="AO272">
        <v>5264485</v>
      </c>
      <c r="AP272">
        <v>7356435.5</v>
      </c>
      <c r="AQ272">
        <v>6316975</v>
      </c>
      <c r="AR272">
        <v>1180882.25</v>
      </c>
      <c r="AS272">
        <v>511128.06</v>
      </c>
      <c r="AT272" s="23" t="s">
        <v>831</v>
      </c>
      <c r="AU272" s="18">
        <v>62002.41</v>
      </c>
      <c r="AV272" s="18">
        <v>7489251</v>
      </c>
      <c r="AW272" s="19">
        <v>5008650</v>
      </c>
      <c r="AX272" s="19">
        <v>5712456.5</v>
      </c>
      <c r="AY272" s="20">
        <v>4710873.5</v>
      </c>
      <c r="AZ272" s="20">
        <v>4169665.25</v>
      </c>
      <c r="BA272" s="21">
        <v>1349467.38</v>
      </c>
      <c r="BB272" s="21">
        <v>15952.25</v>
      </c>
    </row>
    <row r="273" spans="1:54" hidden="1">
      <c r="A273">
        <v>20135</v>
      </c>
      <c r="B273" t="s">
        <v>855</v>
      </c>
      <c r="C273" t="s">
        <v>856</v>
      </c>
      <c r="D273" t="s">
        <v>855</v>
      </c>
      <c r="E273" t="s">
        <v>857</v>
      </c>
      <c r="F273" t="s">
        <v>858</v>
      </c>
      <c r="G273">
        <v>67.685000000000002</v>
      </c>
      <c r="H273" t="s">
        <v>57</v>
      </c>
      <c r="I273">
        <v>2</v>
      </c>
      <c r="J273">
        <v>1</v>
      </c>
      <c r="K273">
        <v>3</v>
      </c>
      <c r="L273">
        <v>18.059999999999999</v>
      </c>
      <c r="M273">
        <v>16016</v>
      </c>
      <c r="N273">
        <v>8</v>
      </c>
      <c r="O273">
        <v>2</v>
      </c>
      <c r="P273">
        <v>2</v>
      </c>
      <c r="Q273">
        <v>2</v>
      </c>
      <c r="R273">
        <v>2</v>
      </c>
      <c r="S273">
        <v>10</v>
      </c>
      <c r="T273">
        <v>10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1</v>
      </c>
      <c r="AE273">
        <v>2</v>
      </c>
      <c r="AF273">
        <v>2</v>
      </c>
      <c r="AG273">
        <v>2</v>
      </c>
      <c r="AH273">
        <v>1</v>
      </c>
      <c r="AI273">
        <v>2</v>
      </c>
      <c r="AJ273">
        <v>0</v>
      </c>
      <c r="AK273">
        <v>0</v>
      </c>
      <c r="AL273">
        <v>4716360.5</v>
      </c>
      <c r="AM273">
        <v>4890901.5</v>
      </c>
      <c r="AN273">
        <v>4020673.5</v>
      </c>
      <c r="AO273">
        <v>3920285.75</v>
      </c>
      <c r="AP273">
        <v>5777273</v>
      </c>
      <c r="AQ273">
        <v>4722270</v>
      </c>
      <c r="AR273">
        <v>1813178.5</v>
      </c>
      <c r="AS273">
        <v>1543597.75</v>
      </c>
      <c r="AT273" s="23" t="s">
        <v>856</v>
      </c>
      <c r="AU273" s="18">
        <v>1682093.38</v>
      </c>
      <c r="AV273" s="18">
        <v>4186562.75</v>
      </c>
      <c r="AW273" s="19">
        <v>3570045</v>
      </c>
      <c r="AX273" s="19">
        <v>3856532</v>
      </c>
      <c r="AY273" s="20">
        <v>4998301</v>
      </c>
      <c r="AZ273" s="20">
        <v>4566162.5</v>
      </c>
      <c r="BA273" s="21">
        <v>1733536.62</v>
      </c>
      <c r="BB273" s="21">
        <v>1191725.5</v>
      </c>
    </row>
    <row r="274" spans="1:54" hidden="1">
      <c r="A274">
        <v>20142</v>
      </c>
      <c r="B274" t="s">
        <v>111</v>
      </c>
      <c r="C274" t="s">
        <v>112</v>
      </c>
      <c r="D274" t="s">
        <v>111</v>
      </c>
      <c r="E274" t="s">
        <v>113</v>
      </c>
      <c r="F274" t="s">
        <v>114</v>
      </c>
      <c r="G274">
        <v>1513.8130000000001</v>
      </c>
      <c r="H274" t="s">
        <v>57</v>
      </c>
      <c r="I274">
        <v>2</v>
      </c>
      <c r="J274">
        <v>1</v>
      </c>
      <c r="K274">
        <v>2</v>
      </c>
      <c r="L274">
        <v>52.89</v>
      </c>
      <c r="M274">
        <v>108191</v>
      </c>
      <c r="N274">
        <v>64</v>
      </c>
      <c r="O274">
        <v>49</v>
      </c>
      <c r="P274">
        <v>49</v>
      </c>
      <c r="Q274">
        <v>49</v>
      </c>
      <c r="R274">
        <v>49</v>
      </c>
      <c r="S274">
        <v>447</v>
      </c>
      <c r="T274">
        <v>447</v>
      </c>
      <c r="U274">
        <v>49</v>
      </c>
      <c r="V274">
        <v>37</v>
      </c>
      <c r="W274">
        <v>43</v>
      </c>
      <c r="X274">
        <v>44</v>
      </c>
      <c r="Y274">
        <v>46</v>
      </c>
      <c r="Z274">
        <v>42</v>
      </c>
      <c r="AA274">
        <v>41</v>
      </c>
      <c r="AB274">
        <v>45</v>
      </c>
      <c r="AC274">
        <v>47</v>
      </c>
      <c r="AD274">
        <v>58</v>
      </c>
      <c r="AE274">
        <v>68</v>
      </c>
      <c r="AF274">
        <v>67</v>
      </c>
      <c r="AG274">
        <v>63</v>
      </c>
      <c r="AH274">
        <v>33</v>
      </c>
      <c r="AI274">
        <v>35</v>
      </c>
      <c r="AJ274">
        <v>63</v>
      </c>
      <c r="AK274">
        <v>60</v>
      </c>
      <c r="AL274">
        <v>420561824</v>
      </c>
      <c r="AM274">
        <v>506586752</v>
      </c>
      <c r="AN274">
        <v>460575040</v>
      </c>
      <c r="AO274">
        <v>434456640</v>
      </c>
      <c r="AP274">
        <v>369346912</v>
      </c>
      <c r="AQ274">
        <v>428982112</v>
      </c>
      <c r="AR274">
        <v>694914304</v>
      </c>
      <c r="AS274">
        <v>462072928</v>
      </c>
      <c r="AT274" s="23" t="s">
        <v>112</v>
      </c>
      <c r="AU274" s="18">
        <v>504175040</v>
      </c>
      <c r="AV274" s="18">
        <v>472743008</v>
      </c>
      <c r="AW274" s="19">
        <v>420094144</v>
      </c>
      <c r="AX274" s="19">
        <v>464730528</v>
      </c>
      <c r="AY274" s="20">
        <v>128213104</v>
      </c>
      <c r="AZ274" s="20">
        <v>155848432</v>
      </c>
      <c r="BA274" s="21">
        <v>347794080</v>
      </c>
      <c r="BB274" s="21">
        <v>387836928</v>
      </c>
    </row>
    <row r="275" spans="1:54" hidden="1">
      <c r="A275">
        <v>20239</v>
      </c>
      <c r="B275" t="s">
        <v>1075</v>
      </c>
      <c r="C275" t="s">
        <v>1076</v>
      </c>
      <c r="D275" t="s">
        <v>1075</v>
      </c>
      <c r="F275" t="s">
        <v>1077</v>
      </c>
      <c r="G275">
        <v>23.111999999999998</v>
      </c>
      <c r="H275" t="s">
        <v>57</v>
      </c>
      <c r="I275">
        <v>2</v>
      </c>
      <c r="J275">
        <v>1</v>
      </c>
      <c r="K275">
        <v>0</v>
      </c>
      <c r="L275">
        <v>8.85</v>
      </c>
      <c r="M275">
        <v>20694</v>
      </c>
      <c r="N275">
        <v>8</v>
      </c>
      <c r="O275">
        <v>1</v>
      </c>
      <c r="P275">
        <v>1</v>
      </c>
      <c r="Q275">
        <v>1</v>
      </c>
      <c r="R275">
        <v>1</v>
      </c>
      <c r="S275">
        <v>5</v>
      </c>
      <c r="T275">
        <v>5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586648.75</v>
      </c>
      <c r="AM275">
        <v>1207246.8799999999</v>
      </c>
      <c r="AN275">
        <v>1639124.88</v>
      </c>
      <c r="AO275">
        <v>1377295.75</v>
      </c>
      <c r="AP275">
        <v>2435824.25</v>
      </c>
      <c r="AQ275">
        <v>1829740.38</v>
      </c>
      <c r="AR275">
        <v>2362187.5</v>
      </c>
      <c r="AS275">
        <v>1587458.12</v>
      </c>
      <c r="AT275" s="23" t="s">
        <v>1076</v>
      </c>
      <c r="AU275" s="18">
        <v>586648.75</v>
      </c>
      <c r="AV275" s="18">
        <v>931659.31</v>
      </c>
      <c r="AW275" s="19">
        <v>1265569.25</v>
      </c>
      <c r="AX275" s="19">
        <v>1224799.5</v>
      </c>
      <c r="AY275" s="20">
        <v>980847.38</v>
      </c>
      <c r="AZ275" s="20">
        <v>786572.62</v>
      </c>
      <c r="BA275" s="21">
        <v>1264844</v>
      </c>
      <c r="BB275" s="21">
        <v>1245957.75</v>
      </c>
    </row>
    <row r="276" spans="1:54" hidden="1">
      <c r="A276">
        <v>20094</v>
      </c>
      <c r="B276" t="s">
        <v>880</v>
      </c>
      <c r="C276" t="s">
        <v>881</v>
      </c>
      <c r="D276" t="s">
        <v>882</v>
      </c>
      <c r="E276" t="s">
        <v>883</v>
      </c>
      <c r="F276" t="s">
        <v>884</v>
      </c>
      <c r="G276">
        <v>58.078000000000003</v>
      </c>
      <c r="H276" t="s">
        <v>57</v>
      </c>
      <c r="I276">
        <v>2</v>
      </c>
      <c r="J276">
        <v>8</v>
      </c>
      <c r="K276">
        <v>11</v>
      </c>
      <c r="L276">
        <v>8.5500000000000007</v>
      </c>
      <c r="M276">
        <v>51859</v>
      </c>
      <c r="N276">
        <v>33</v>
      </c>
      <c r="O276">
        <v>4</v>
      </c>
      <c r="P276">
        <v>4</v>
      </c>
      <c r="Q276">
        <v>4</v>
      </c>
      <c r="R276">
        <v>4</v>
      </c>
      <c r="S276">
        <v>6</v>
      </c>
      <c r="T276">
        <v>6</v>
      </c>
      <c r="U276">
        <v>4</v>
      </c>
      <c r="V276">
        <v>1</v>
      </c>
      <c r="W276">
        <v>3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4</v>
      </c>
      <c r="AD276">
        <v>0</v>
      </c>
      <c r="AE276">
        <v>1</v>
      </c>
      <c r="AF276">
        <v>2</v>
      </c>
      <c r="AG276">
        <v>2</v>
      </c>
      <c r="AH276">
        <v>1</v>
      </c>
      <c r="AI276">
        <v>1</v>
      </c>
      <c r="AJ276">
        <v>2</v>
      </c>
      <c r="AK276">
        <v>0</v>
      </c>
      <c r="AL276">
        <v>363535.19</v>
      </c>
      <c r="AM276">
        <v>2138464</v>
      </c>
      <c r="AN276">
        <v>2986704</v>
      </c>
      <c r="AO276">
        <v>2779811</v>
      </c>
      <c r="AP276">
        <v>5517460.5</v>
      </c>
      <c r="AQ276">
        <v>5691586</v>
      </c>
      <c r="AR276">
        <v>3655361.25</v>
      </c>
      <c r="AS276">
        <v>2601705</v>
      </c>
      <c r="AT276" s="23" t="s">
        <v>881</v>
      </c>
      <c r="AU276" s="18">
        <v>27197.47</v>
      </c>
      <c r="AV276" s="18">
        <v>2150287.5</v>
      </c>
      <c r="AW276" s="19">
        <v>2221251.75</v>
      </c>
      <c r="AX276" s="19">
        <v>2433532.75</v>
      </c>
      <c r="AY276" s="20">
        <v>2249698.25</v>
      </c>
      <c r="AZ276" s="20">
        <v>2433137</v>
      </c>
      <c r="BA276" s="21">
        <v>1959409.75</v>
      </c>
      <c r="BB276" s="21">
        <v>1954336.12</v>
      </c>
    </row>
    <row r="277" spans="1:54" hidden="1">
      <c r="A277">
        <v>20105</v>
      </c>
      <c r="B277" t="s">
        <v>711</v>
      </c>
      <c r="C277" t="s">
        <v>712</v>
      </c>
      <c r="D277" t="s">
        <v>713</v>
      </c>
      <c r="E277" t="s">
        <v>714</v>
      </c>
      <c r="F277" t="s">
        <v>715</v>
      </c>
      <c r="G277">
        <v>125.622</v>
      </c>
      <c r="H277" t="s">
        <v>57</v>
      </c>
      <c r="I277">
        <v>2</v>
      </c>
      <c r="J277">
        <v>19</v>
      </c>
      <c r="K277">
        <v>1</v>
      </c>
      <c r="L277">
        <v>73.75</v>
      </c>
      <c r="M277">
        <v>8951</v>
      </c>
      <c r="N277">
        <v>6</v>
      </c>
      <c r="O277">
        <v>5</v>
      </c>
      <c r="P277">
        <v>5</v>
      </c>
      <c r="Q277">
        <v>5</v>
      </c>
      <c r="R277">
        <v>5</v>
      </c>
      <c r="S277">
        <v>32</v>
      </c>
      <c r="T277">
        <v>32</v>
      </c>
      <c r="U277">
        <v>5</v>
      </c>
      <c r="V277">
        <v>3</v>
      </c>
      <c r="W277">
        <v>4</v>
      </c>
      <c r="X277">
        <v>5</v>
      </c>
      <c r="Y277">
        <v>5</v>
      </c>
      <c r="Z277">
        <v>5</v>
      </c>
      <c r="AA277">
        <v>4</v>
      </c>
      <c r="AB277">
        <v>5</v>
      </c>
      <c r="AC277">
        <v>5</v>
      </c>
      <c r="AD277">
        <v>1</v>
      </c>
      <c r="AE277">
        <v>4</v>
      </c>
      <c r="AF277">
        <v>5</v>
      </c>
      <c r="AG277">
        <v>6</v>
      </c>
      <c r="AH277">
        <v>3</v>
      </c>
      <c r="AI277">
        <v>4</v>
      </c>
      <c r="AJ277">
        <v>5</v>
      </c>
      <c r="AK277">
        <v>4</v>
      </c>
      <c r="AL277">
        <v>9053684</v>
      </c>
      <c r="AM277">
        <v>9493831</v>
      </c>
      <c r="AN277">
        <v>17153712</v>
      </c>
      <c r="AO277">
        <v>15946868</v>
      </c>
      <c r="AP277">
        <v>17138132</v>
      </c>
      <c r="AQ277">
        <v>19174756</v>
      </c>
      <c r="AR277">
        <v>19277520</v>
      </c>
      <c r="AS277">
        <v>12911465</v>
      </c>
      <c r="AT277" s="23" t="s">
        <v>712</v>
      </c>
      <c r="AU277" s="18">
        <v>937973.25</v>
      </c>
      <c r="AV277" s="18">
        <v>6123337</v>
      </c>
      <c r="AW277" s="19">
        <v>15251917</v>
      </c>
      <c r="AX277" s="19">
        <v>18506684</v>
      </c>
      <c r="AY277" s="20">
        <v>8761357</v>
      </c>
      <c r="AZ277" s="20">
        <v>7190348.5</v>
      </c>
      <c r="BA277" s="21">
        <v>13604331</v>
      </c>
      <c r="BB277" s="21">
        <v>11625668</v>
      </c>
    </row>
    <row r="278" spans="1:54" hidden="1">
      <c r="A278">
        <v>20166</v>
      </c>
      <c r="B278" t="s">
        <v>1028</v>
      </c>
      <c r="C278" t="s">
        <v>1029</v>
      </c>
      <c r="D278" t="s">
        <v>1028</v>
      </c>
      <c r="F278" t="s">
        <v>1030</v>
      </c>
      <c r="G278">
        <v>26.788</v>
      </c>
      <c r="H278" t="s">
        <v>57</v>
      </c>
      <c r="I278">
        <v>2</v>
      </c>
      <c r="J278">
        <v>1</v>
      </c>
      <c r="K278">
        <v>0</v>
      </c>
      <c r="L278">
        <v>17.579999999999998</v>
      </c>
      <c r="M278">
        <v>9895</v>
      </c>
      <c r="N278">
        <v>5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W278">
        <v>1</v>
      </c>
      <c r="Y278">
        <v>1</v>
      </c>
      <c r="Z278">
        <v>1</v>
      </c>
      <c r="AA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416794.56</v>
      </c>
      <c r="AO278">
        <v>167350.19</v>
      </c>
      <c r="AP278">
        <v>665829.75</v>
      </c>
      <c r="AQ278">
        <v>482016.59</v>
      </c>
      <c r="AT278" s="23" t="s">
        <v>1029</v>
      </c>
      <c r="AU278" s="18">
        <v>49505.43</v>
      </c>
      <c r="AV278" s="18">
        <v>321649.65999999997</v>
      </c>
      <c r="AW278" s="19">
        <v>213953.23</v>
      </c>
      <c r="AX278" s="19">
        <v>148820.92000000001</v>
      </c>
      <c r="AY278" s="20">
        <v>268113.5</v>
      </c>
      <c r="AZ278" s="20">
        <v>207210.3</v>
      </c>
      <c r="BA278" s="21">
        <v>199295.7</v>
      </c>
      <c r="BB278" s="21">
        <v>212391.23</v>
      </c>
    </row>
    <row r="279" spans="1:54" hidden="1">
      <c r="A279">
        <v>20093</v>
      </c>
      <c r="B279" t="s">
        <v>1139</v>
      </c>
      <c r="C279" t="s">
        <v>1140</v>
      </c>
      <c r="D279" t="s">
        <v>1141</v>
      </c>
      <c r="F279" t="s">
        <v>1142</v>
      </c>
      <c r="G279">
        <v>14.965</v>
      </c>
      <c r="H279" t="s">
        <v>57</v>
      </c>
      <c r="I279">
        <v>2</v>
      </c>
      <c r="J279">
        <v>20</v>
      </c>
      <c r="K279">
        <v>0</v>
      </c>
      <c r="L279">
        <v>6.75</v>
      </c>
      <c r="M279">
        <v>18343</v>
      </c>
      <c r="N279">
        <v>10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D279">
        <v>0</v>
      </c>
      <c r="AE279">
        <v>1</v>
      </c>
      <c r="AF279">
        <v>0</v>
      </c>
      <c r="AG279">
        <v>0</v>
      </c>
      <c r="AH279">
        <v>1</v>
      </c>
      <c r="AI279">
        <v>1</v>
      </c>
      <c r="AJ279">
        <v>0</v>
      </c>
      <c r="AK279">
        <v>0</v>
      </c>
      <c r="AM279">
        <v>1160701.25</v>
      </c>
      <c r="AN279">
        <v>498354.34</v>
      </c>
      <c r="AO279">
        <v>532768.56000000006</v>
      </c>
      <c r="AP279">
        <v>1487539.88</v>
      </c>
      <c r="AQ279">
        <v>1140679.3799999999</v>
      </c>
      <c r="AT279" s="23" t="s">
        <v>1140</v>
      </c>
      <c r="AU279" s="18">
        <v>49505.43</v>
      </c>
      <c r="AV279" s="18">
        <v>895739</v>
      </c>
      <c r="AW279" s="19">
        <v>384779.66</v>
      </c>
      <c r="AX279" s="19">
        <v>473779.62</v>
      </c>
      <c r="AY279" s="20">
        <v>598996.25</v>
      </c>
      <c r="AZ279" s="20">
        <v>490357.62</v>
      </c>
      <c r="BA279" s="21">
        <v>199295.7</v>
      </c>
      <c r="BB279" s="21">
        <v>212391.23</v>
      </c>
    </row>
    <row r="280" spans="1:54" hidden="1">
      <c r="A280">
        <v>20024</v>
      </c>
      <c r="B280" t="s">
        <v>654</v>
      </c>
      <c r="C280" t="s">
        <v>655</v>
      </c>
      <c r="D280" t="s">
        <v>656</v>
      </c>
      <c r="F280" t="s">
        <v>657</v>
      </c>
      <c r="G280">
        <v>158.327</v>
      </c>
      <c r="H280" t="s">
        <v>57</v>
      </c>
      <c r="I280">
        <v>2</v>
      </c>
      <c r="J280">
        <v>20</v>
      </c>
      <c r="K280">
        <v>0</v>
      </c>
      <c r="L280">
        <v>55.17</v>
      </c>
      <c r="M280">
        <v>9827</v>
      </c>
      <c r="N280">
        <v>4</v>
      </c>
      <c r="O280">
        <v>3</v>
      </c>
      <c r="P280">
        <v>3</v>
      </c>
      <c r="Q280">
        <v>3</v>
      </c>
      <c r="R280">
        <v>3</v>
      </c>
      <c r="S280">
        <v>14</v>
      </c>
      <c r="T280">
        <v>14</v>
      </c>
      <c r="U280">
        <v>3</v>
      </c>
      <c r="V280">
        <v>2</v>
      </c>
      <c r="W280">
        <v>2</v>
      </c>
      <c r="X280">
        <v>2</v>
      </c>
      <c r="Y280">
        <v>2</v>
      </c>
      <c r="Z280">
        <v>3</v>
      </c>
      <c r="AA280">
        <v>3</v>
      </c>
      <c r="AB280">
        <v>3</v>
      </c>
      <c r="AC280">
        <v>3</v>
      </c>
      <c r="AD280">
        <v>2</v>
      </c>
      <c r="AE280">
        <v>1</v>
      </c>
      <c r="AF280">
        <v>1</v>
      </c>
      <c r="AG280">
        <v>1</v>
      </c>
      <c r="AH280">
        <v>3</v>
      </c>
      <c r="AI280">
        <v>3</v>
      </c>
      <c r="AJ280">
        <v>2</v>
      </c>
      <c r="AK280">
        <v>2</v>
      </c>
      <c r="AL280">
        <v>4292546</v>
      </c>
      <c r="AM280">
        <v>3848399.75</v>
      </c>
      <c r="AN280">
        <v>1712063.5</v>
      </c>
      <c r="AO280">
        <v>1586096.5</v>
      </c>
      <c r="AP280">
        <v>11973274</v>
      </c>
      <c r="AQ280">
        <v>10173826</v>
      </c>
      <c r="AR280">
        <v>3015128.5</v>
      </c>
      <c r="AS280">
        <v>2564850.25</v>
      </c>
      <c r="AT280" s="23" t="s">
        <v>655</v>
      </c>
      <c r="AU280" s="18">
        <v>5639389</v>
      </c>
      <c r="AV280" s="18">
        <v>4128497.75</v>
      </c>
      <c r="AW280" s="19">
        <v>1811013.5</v>
      </c>
      <c r="AX280" s="19">
        <v>2028071.75</v>
      </c>
      <c r="AY280" s="20">
        <v>3271564</v>
      </c>
      <c r="AZ280" s="20">
        <v>3425273.75</v>
      </c>
      <c r="BA280" s="21">
        <v>1417337.75</v>
      </c>
      <c r="BB280" s="21">
        <v>1725390.5</v>
      </c>
    </row>
    <row r="281" spans="1:54" hidden="1">
      <c r="A281">
        <v>20079</v>
      </c>
      <c r="B281" t="s">
        <v>1038</v>
      </c>
      <c r="C281" t="s">
        <v>1039</v>
      </c>
      <c r="D281" t="s">
        <v>1040</v>
      </c>
      <c r="F281" t="s">
        <v>1041</v>
      </c>
      <c r="G281">
        <v>25.905000000000001</v>
      </c>
      <c r="H281" t="s">
        <v>57</v>
      </c>
      <c r="I281">
        <v>2</v>
      </c>
      <c r="J281">
        <v>2</v>
      </c>
      <c r="K281">
        <v>0</v>
      </c>
      <c r="L281">
        <v>19.12</v>
      </c>
      <c r="M281">
        <v>8274</v>
      </c>
      <c r="N281">
        <v>5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C281">
        <v>1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M281">
        <v>2716549.75</v>
      </c>
      <c r="AN281">
        <v>646120.06000000006</v>
      </c>
      <c r="AO281">
        <v>1020944.81</v>
      </c>
      <c r="AP281">
        <v>4000988.25</v>
      </c>
      <c r="AQ281">
        <v>1690561.38</v>
      </c>
      <c r="AS281">
        <v>695304.38</v>
      </c>
      <c r="AT281" s="23" t="s">
        <v>1039</v>
      </c>
      <c r="AU281" s="18">
        <v>49505.43</v>
      </c>
      <c r="AV281" s="18">
        <v>2096422</v>
      </c>
      <c r="AW281" s="19">
        <v>498869.66</v>
      </c>
      <c r="AX281" s="19">
        <v>907904.31</v>
      </c>
      <c r="AY281" s="20">
        <v>1611100.88</v>
      </c>
      <c r="AZ281" s="20">
        <v>726742.06</v>
      </c>
      <c r="BA281" s="21">
        <v>199295.7</v>
      </c>
      <c r="BB281" s="21">
        <v>545727.75</v>
      </c>
    </row>
    <row r="282" spans="1:54" hidden="1">
      <c r="A282">
        <v>20267</v>
      </c>
      <c r="B282" t="s">
        <v>1072</v>
      </c>
      <c r="C282" t="s">
        <v>1073</v>
      </c>
      <c r="D282" t="s">
        <v>1072</v>
      </c>
      <c r="F282" t="s">
        <v>1074</v>
      </c>
      <c r="G282">
        <v>23.216000000000001</v>
      </c>
      <c r="H282" t="s">
        <v>57</v>
      </c>
      <c r="I282">
        <v>2</v>
      </c>
      <c r="J282">
        <v>1</v>
      </c>
      <c r="K282">
        <v>0</v>
      </c>
      <c r="L282">
        <v>4.0599999999999996</v>
      </c>
      <c r="M282">
        <v>35048</v>
      </c>
      <c r="N282">
        <v>18</v>
      </c>
      <c r="O282">
        <v>1</v>
      </c>
      <c r="P282">
        <v>1</v>
      </c>
      <c r="Q282">
        <v>1</v>
      </c>
      <c r="R282">
        <v>1</v>
      </c>
      <c r="S282">
        <v>4</v>
      </c>
      <c r="T282">
        <v>4</v>
      </c>
      <c r="U282">
        <v>1</v>
      </c>
      <c r="V282">
        <v>1</v>
      </c>
      <c r="W282">
        <v>1</v>
      </c>
      <c r="X282">
        <v>1</v>
      </c>
      <c r="Y282">
        <v>1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1</v>
      </c>
      <c r="AK282">
        <v>1</v>
      </c>
      <c r="AL282">
        <v>550655.56000000006</v>
      </c>
      <c r="AM282">
        <v>660268.75</v>
      </c>
      <c r="AN282">
        <v>954472.38</v>
      </c>
      <c r="AO282">
        <v>754036.69</v>
      </c>
      <c r="AR282">
        <v>1148887.8799999999</v>
      </c>
      <c r="AS282">
        <v>802136.94</v>
      </c>
      <c r="AT282" s="23" t="s">
        <v>1073</v>
      </c>
      <c r="AU282" s="18">
        <v>550655.56000000006</v>
      </c>
      <c r="AV282" s="18">
        <v>509544.06</v>
      </c>
      <c r="AW282" s="19">
        <v>736948.69</v>
      </c>
      <c r="AX282" s="19">
        <v>670548.62</v>
      </c>
      <c r="AY282" s="20">
        <v>350962.88</v>
      </c>
      <c r="AZ282" s="20">
        <v>247733</v>
      </c>
      <c r="BA282" s="21">
        <v>615177.25</v>
      </c>
      <c r="BB282" s="21">
        <v>629578</v>
      </c>
    </row>
    <row r="283" spans="1:54" hidden="1">
      <c r="A283">
        <v>20223</v>
      </c>
      <c r="B283" t="s">
        <v>602</v>
      </c>
      <c r="C283" t="s">
        <v>603</v>
      </c>
      <c r="D283" t="s">
        <v>604</v>
      </c>
      <c r="F283" t="s">
        <v>605</v>
      </c>
      <c r="G283">
        <v>228.18600000000001</v>
      </c>
      <c r="H283" t="s">
        <v>57</v>
      </c>
      <c r="I283">
        <v>2</v>
      </c>
      <c r="J283">
        <v>2</v>
      </c>
      <c r="K283">
        <v>0</v>
      </c>
      <c r="L283">
        <v>20.66</v>
      </c>
      <c r="M283">
        <v>39666</v>
      </c>
      <c r="N283">
        <v>22</v>
      </c>
      <c r="O283">
        <v>6</v>
      </c>
      <c r="P283">
        <v>6</v>
      </c>
      <c r="Q283">
        <v>6</v>
      </c>
      <c r="R283">
        <v>6</v>
      </c>
      <c r="S283">
        <v>25</v>
      </c>
      <c r="T283">
        <v>25</v>
      </c>
      <c r="U283">
        <v>6</v>
      </c>
      <c r="V283">
        <v>5</v>
      </c>
      <c r="W283">
        <v>5</v>
      </c>
      <c r="X283">
        <v>5</v>
      </c>
      <c r="Y283">
        <v>5</v>
      </c>
      <c r="Z283">
        <v>6</v>
      </c>
      <c r="AA283">
        <v>6</v>
      </c>
      <c r="AB283">
        <v>6</v>
      </c>
      <c r="AC283">
        <v>6</v>
      </c>
      <c r="AD283">
        <v>4</v>
      </c>
      <c r="AE283">
        <v>1</v>
      </c>
      <c r="AF283">
        <v>1</v>
      </c>
      <c r="AG283">
        <v>2</v>
      </c>
      <c r="AH283">
        <v>6</v>
      </c>
      <c r="AI283">
        <v>6</v>
      </c>
      <c r="AJ283">
        <v>3</v>
      </c>
      <c r="AK283">
        <v>2</v>
      </c>
      <c r="AL283">
        <v>8247413.5</v>
      </c>
      <c r="AM283">
        <v>8494103</v>
      </c>
      <c r="AN283">
        <v>7093873</v>
      </c>
      <c r="AO283">
        <v>7151520.5</v>
      </c>
      <c r="AP283">
        <v>19059616</v>
      </c>
      <c r="AQ283">
        <v>16756610</v>
      </c>
      <c r="AR283">
        <v>7868091</v>
      </c>
      <c r="AS283">
        <v>5869868.5</v>
      </c>
      <c r="AT283" s="23" t="s">
        <v>603</v>
      </c>
      <c r="AU283" s="18">
        <v>8578247</v>
      </c>
      <c r="AV283" s="18">
        <v>7297106.5</v>
      </c>
      <c r="AW283" s="19">
        <v>5723201.5</v>
      </c>
      <c r="AX283" s="19">
        <v>6173093</v>
      </c>
      <c r="AY283" s="20">
        <v>7736060.5</v>
      </c>
      <c r="AZ283" s="20">
        <v>7548666.5</v>
      </c>
      <c r="BA283" s="21">
        <v>4336744</v>
      </c>
      <c r="BB283" s="21">
        <v>4714811.5</v>
      </c>
    </row>
    <row r="284" spans="1:54" hidden="1">
      <c r="A284">
        <v>20175</v>
      </c>
      <c r="B284" t="s">
        <v>1020</v>
      </c>
      <c r="C284" t="s">
        <v>1021</v>
      </c>
      <c r="D284" t="s">
        <v>1022</v>
      </c>
      <c r="F284" t="s">
        <v>1023</v>
      </c>
      <c r="G284">
        <v>27.95</v>
      </c>
      <c r="H284" t="s">
        <v>57</v>
      </c>
      <c r="I284">
        <v>2</v>
      </c>
      <c r="J284">
        <v>3</v>
      </c>
      <c r="K284">
        <v>0</v>
      </c>
      <c r="L284">
        <v>12.99</v>
      </c>
      <c r="M284">
        <v>8799</v>
      </c>
      <c r="N284">
        <v>6</v>
      </c>
      <c r="O284">
        <v>1</v>
      </c>
      <c r="P284">
        <v>1</v>
      </c>
      <c r="Q284">
        <v>1</v>
      </c>
      <c r="R284">
        <v>1</v>
      </c>
      <c r="S284">
        <v>2</v>
      </c>
      <c r="T284">
        <v>2</v>
      </c>
      <c r="U284">
        <v>1</v>
      </c>
      <c r="Z284">
        <v>1</v>
      </c>
      <c r="AA284">
        <v>1</v>
      </c>
      <c r="AB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0</v>
      </c>
      <c r="AP284">
        <v>2105678.75</v>
      </c>
      <c r="AQ284">
        <v>1225045.6200000001</v>
      </c>
      <c r="AR284">
        <v>371999.44</v>
      </c>
      <c r="AT284" s="23" t="s">
        <v>1021</v>
      </c>
      <c r="AU284" s="18">
        <v>49505.43</v>
      </c>
      <c r="AV284" s="18">
        <v>111774.65</v>
      </c>
      <c r="AW284" s="19">
        <v>213953.23</v>
      </c>
      <c r="AX284" s="19">
        <v>170153.38</v>
      </c>
      <c r="AY284" s="20">
        <v>847905.81</v>
      </c>
      <c r="AZ284" s="20">
        <v>526625.12</v>
      </c>
      <c r="BA284" s="21">
        <v>199188.8</v>
      </c>
      <c r="BB284" s="21">
        <v>212391.23</v>
      </c>
    </row>
    <row r="285" spans="1:54" hidden="1">
      <c r="A285">
        <v>20156</v>
      </c>
      <c r="B285" t="s">
        <v>673</v>
      </c>
      <c r="C285" t="s">
        <v>674</v>
      </c>
      <c r="D285" t="s">
        <v>675</v>
      </c>
      <c r="F285" t="s">
        <v>676</v>
      </c>
      <c r="G285">
        <v>147.31800000000001</v>
      </c>
      <c r="H285" t="s">
        <v>57</v>
      </c>
      <c r="I285">
        <v>2</v>
      </c>
      <c r="J285">
        <v>3</v>
      </c>
      <c r="K285">
        <v>0</v>
      </c>
      <c r="L285">
        <v>50.75</v>
      </c>
      <c r="M285">
        <v>7276</v>
      </c>
      <c r="N285">
        <v>6</v>
      </c>
      <c r="O285">
        <v>3</v>
      </c>
      <c r="P285">
        <v>3</v>
      </c>
      <c r="Q285">
        <v>3</v>
      </c>
      <c r="R285">
        <v>3</v>
      </c>
      <c r="S285">
        <v>20</v>
      </c>
      <c r="T285">
        <v>20</v>
      </c>
      <c r="U285">
        <v>3</v>
      </c>
      <c r="V285">
        <v>2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2</v>
      </c>
      <c r="AE285">
        <v>4</v>
      </c>
      <c r="AF285">
        <v>3</v>
      </c>
      <c r="AG285">
        <v>3</v>
      </c>
      <c r="AH285">
        <v>3</v>
      </c>
      <c r="AI285">
        <v>3</v>
      </c>
      <c r="AJ285">
        <v>1</v>
      </c>
      <c r="AK285">
        <v>1</v>
      </c>
      <c r="AL285">
        <v>31589072</v>
      </c>
      <c r="AM285">
        <v>35879704</v>
      </c>
      <c r="AN285">
        <v>7888432.5</v>
      </c>
      <c r="AO285">
        <v>7929517</v>
      </c>
      <c r="AP285">
        <v>35944724</v>
      </c>
      <c r="AQ285">
        <v>33569216</v>
      </c>
      <c r="AR285">
        <v>4624926.5</v>
      </c>
      <c r="AS285">
        <v>4218015</v>
      </c>
      <c r="AT285" s="23" t="s">
        <v>674</v>
      </c>
      <c r="AU285" s="18">
        <v>28863088</v>
      </c>
      <c r="AV285" s="18">
        <v>29459956</v>
      </c>
      <c r="AW285" s="19">
        <v>6421258.5</v>
      </c>
      <c r="AX285" s="19">
        <v>7224062.5</v>
      </c>
      <c r="AY285" s="20">
        <v>14371600</v>
      </c>
      <c r="AZ285" s="20">
        <v>14902357</v>
      </c>
      <c r="BA285" s="21">
        <v>2544661.75</v>
      </c>
      <c r="BB285" s="21">
        <v>3025146.5</v>
      </c>
    </row>
    <row r="286" spans="1:54" hidden="1">
      <c r="A286">
        <v>20259</v>
      </c>
      <c r="B286" t="s">
        <v>1069</v>
      </c>
      <c r="C286" t="s">
        <v>1070</v>
      </c>
      <c r="D286" t="s">
        <v>1069</v>
      </c>
      <c r="F286" t="s">
        <v>1071</v>
      </c>
      <c r="G286">
        <v>23.393999999999998</v>
      </c>
      <c r="H286" t="s">
        <v>57</v>
      </c>
      <c r="I286">
        <v>2</v>
      </c>
      <c r="J286">
        <v>1</v>
      </c>
      <c r="K286">
        <v>0</v>
      </c>
      <c r="L286">
        <v>5.44</v>
      </c>
      <c r="M286">
        <v>32665</v>
      </c>
      <c r="N286">
        <v>15</v>
      </c>
      <c r="O286">
        <v>1</v>
      </c>
      <c r="P286">
        <v>1</v>
      </c>
      <c r="Q286">
        <v>1</v>
      </c>
      <c r="R286">
        <v>1</v>
      </c>
      <c r="S286">
        <v>2</v>
      </c>
      <c r="T286">
        <v>2</v>
      </c>
      <c r="U286">
        <v>1</v>
      </c>
      <c r="V286">
        <v>1</v>
      </c>
      <c r="W286">
        <v>1</v>
      </c>
      <c r="X286">
        <v>1</v>
      </c>
      <c r="Z286">
        <v>1</v>
      </c>
      <c r="AA286">
        <v>1</v>
      </c>
      <c r="AD286">
        <v>1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803542.38</v>
      </c>
      <c r="AM286">
        <v>817248.06</v>
      </c>
      <c r="AN286">
        <v>475592.78</v>
      </c>
      <c r="AP286">
        <v>886768.44</v>
      </c>
      <c r="AQ286">
        <v>689750.31</v>
      </c>
      <c r="AT286" s="23" t="s">
        <v>1070</v>
      </c>
      <c r="AU286" s="18">
        <v>803542.38</v>
      </c>
      <c r="AV286" s="18">
        <v>630688.5</v>
      </c>
      <c r="AW286" s="19">
        <v>367205.47</v>
      </c>
      <c r="AX286" s="19">
        <v>170153.38</v>
      </c>
      <c r="AY286" s="20">
        <v>357080.16</v>
      </c>
      <c r="AZ286" s="20">
        <v>296511.28000000003</v>
      </c>
      <c r="BA286" s="21">
        <v>199295.7</v>
      </c>
      <c r="BB286" s="21">
        <v>212391.23</v>
      </c>
    </row>
    <row r="287" spans="1:54" hidden="1">
      <c r="A287">
        <v>20184</v>
      </c>
      <c r="B287" t="s">
        <v>1244</v>
      </c>
      <c r="C287" t="s">
        <v>1245</v>
      </c>
      <c r="D287" t="s">
        <v>1246</v>
      </c>
      <c r="F287" t="s">
        <v>1247</v>
      </c>
      <c r="G287">
        <v>7.41</v>
      </c>
      <c r="H287" t="s">
        <v>57</v>
      </c>
      <c r="I287">
        <v>2</v>
      </c>
      <c r="J287">
        <v>5</v>
      </c>
      <c r="K287">
        <v>0</v>
      </c>
      <c r="L287">
        <v>4.62</v>
      </c>
      <c r="M287">
        <v>25838</v>
      </c>
      <c r="N287">
        <v>13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0</v>
      </c>
      <c r="AH287">
        <v>1</v>
      </c>
      <c r="AI287">
        <v>1</v>
      </c>
      <c r="AJ287">
        <v>1</v>
      </c>
      <c r="AK287">
        <v>0</v>
      </c>
      <c r="AL287">
        <v>203238.11</v>
      </c>
      <c r="AM287">
        <v>536729.81000000006</v>
      </c>
      <c r="AN287">
        <v>523578.06</v>
      </c>
      <c r="AP287">
        <v>611428.43999999994</v>
      </c>
      <c r="AQ287">
        <v>563095.93999999994</v>
      </c>
      <c r="AR287">
        <v>289758.31</v>
      </c>
      <c r="AS287">
        <v>290026.88</v>
      </c>
      <c r="AT287" s="23" t="s">
        <v>1245</v>
      </c>
      <c r="AU287" s="18">
        <v>203238.11</v>
      </c>
      <c r="AV287" s="18">
        <v>414206.34</v>
      </c>
      <c r="AW287" s="19">
        <v>404254.91</v>
      </c>
      <c r="AX287" s="19">
        <v>170153.38</v>
      </c>
      <c r="AY287" s="20">
        <v>246207.41</v>
      </c>
      <c r="AZ287" s="20">
        <v>242064.86</v>
      </c>
      <c r="BA287" s="21">
        <v>155152.41</v>
      </c>
      <c r="BB287" s="21">
        <v>227635.14</v>
      </c>
    </row>
    <row r="288" spans="1:54" hidden="1">
      <c r="A288">
        <v>20188</v>
      </c>
      <c r="B288" t="s">
        <v>1366</v>
      </c>
      <c r="C288" t="s">
        <v>1367</v>
      </c>
      <c r="D288" t="s">
        <v>1366</v>
      </c>
      <c r="E288" t="s">
        <v>1368</v>
      </c>
      <c r="F288" t="s">
        <v>1369</v>
      </c>
      <c r="G288">
        <v>0</v>
      </c>
      <c r="H288" t="s">
        <v>57</v>
      </c>
      <c r="I288">
        <v>2</v>
      </c>
      <c r="J288">
        <v>1</v>
      </c>
      <c r="K288">
        <v>1</v>
      </c>
      <c r="L288">
        <v>3.72</v>
      </c>
      <c r="M288">
        <v>71176</v>
      </c>
      <c r="N288">
        <v>30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1</v>
      </c>
      <c r="W288">
        <v>2</v>
      </c>
      <c r="X288">
        <v>1</v>
      </c>
      <c r="Y288">
        <v>1</v>
      </c>
      <c r="Z288">
        <v>2</v>
      </c>
      <c r="AA288">
        <v>2</v>
      </c>
      <c r="AB288">
        <v>2</v>
      </c>
      <c r="AC288">
        <v>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558949.06000000006</v>
      </c>
      <c r="AM288">
        <v>3772383</v>
      </c>
      <c r="AN288">
        <v>3834173</v>
      </c>
      <c r="AO288">
        <v>3716511.5</v>
      </c>
      <c r="AP288">
        <v>8095450.5</v>
      </c>
      <c r="AQ288">
        <v>9463632</v>
      </c>
      <c r="AR288">
        <v>5726501</v>
      </c>
      <c r="AS288">
        <v>3387330.5</v>
      </c>
      <c r="AT288" s="23" t="s">
        <v>1367</v>
      </c>
      <c r="AU288" s="18">
        <v>30486.97</v>
      </c>
      <c r="AV288" s="18">
        <v>861903.5</v>
      </c>
      <c r="AW288" s="19">
        <v>65719.7</v>
      </c>
      <c r="AX288" s="19">
        <v>68599.78</v>
      </c>
      <c r="AY288" s="20">
        <v>3945668.5</v>
      </c>
      <c r="AZ288" s="20">
        <v>7795566.5</v>
      </c>
      <c r="BA288" s="21">
        <v>4962122</v>
      </c>
      <c r="BB288" s="21">
        <v>4262138</v>
      </c>
    </row>
    <row r="289" spans="1:54" hidden="1">
      <c r="A289">
        <v>20049</v>
      </c>
      <c r="B289" t="s">
        <v>1349</v>
      </c>
      <c r="C289" t="s">
        <v>1350</v>
      </c>
      <c r="D289" t="s">
        <v>1349</v>
      </c>
      <c r="F289" t="s">
        <v>1351</v>
      </c>
      <c r="G289">
        <v>3.1720000000000002</v>
      </c>
      <c r="H289" t="s">
        <v>57</v>
      </c>
      <c r="I289">
        <v>2</v>
      </c>
      <c r="J289">
        <v>1</v>
      </c>
      <c r="K289">
        <v>0</v>
      </c>
      <c r="L289">
        <v>1.77</v>
      </c>
      <c r="M289">
        <v>51192</v>
      </c>
      <c r="N289">
        <v>28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0</v>
      </c>
      <c r="AM289">
        <v>900444.19</v>
      </c>
      <c r="AN289">
        <v>1258670</v>
      </c>
      <c r="AO289">
        <v>1186511.5</v>
      </c>
      <c r="AP289">
        <v>1862569.38</v>
      </c>
      <c r="AQ289">
        <v>1765656.62</v>
      </c>
      <c r="AR289">
        <v>1516320.5</v>
      </c>
      <c r="AS289">
        <v>693256.62</v>
      </c>
      <c r="AT289" s="23" t="s">
        <v>1350</v>
      </c>
      <c r="AU289" s="18">
        <v>49505.43</v>
      </c>
      <c r="AV289" s="18">
        <v>694892.81</v>
      </c>
      <c r="AW289" s="19">
        <v>971819.81</v>
      </c>
      <c r="AX289" s="19">
        <v>1055139.25</v>
      </c>
      <c r="AY289" s="20">
        <v>750011.5</v>
      </c>
      <c r="AZ289" s="20">
        <v>759024.19</v>
      </c>
      <c r="BA289" s="21">
        <v>811920.69</v>
      </c>
      <c r="BB289" s="21">
        <v>544120.5</v>
      </c>
    </row>
    <row r="290" spans="1:54" hidden="1">
      <c r="A290">
        <v>19992</v>
      </c>
      <c r="B290" t="s">
        <v>1352</v>
      </c>
      <c r="C290" t="s">
        <v>1353</v>
      </c>
      <c r="D290" t="s">
        <v>1354</v>
      </c>
      <c r="F290" t="s">
        <v>1355</v>
      </c>
      <c r="G290">
        <v>2.5190000000000001</v>
      </c>
      <c r="H290" t="s">
        <v>57</v>
      </c>
      <c r="I290">
        <v>2</v>
      </c>
      <c r="J290">
        <v>18</v>
      </c>
      <c r="K290">
        <v>0</v>
      </c>
      <c r="L290">
        <v>9.15</v>
      </c>
      <c r="M290">
        <v>19584</v>
      </c>
      <c r="N290">
        <v>13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1</v>
      </c>
      <c r="W290">
        <v>2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2</v>
      </c>
      <c r="AD290">
        <v>0</v>
      </c>
      <c r="AE290">
        <v>2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917436.75</v>
      </c>
      <c r="AM290">
        <v>2846666.5</v>
      </c>
      <c r="AN290">
        <v>1529665.88</v>
      </c>
      <c r="AO290">
        <v>1371130.8799999999</v>
      </c>
      <c r="AP290">
        <v>2274571</v>
      </c>
      <c r="AQ290">
        <v>2543114.5</v>
      </c>
      <c r="AR290">
        <v>893342.81</v>
      </c>
      <c r="AS290">
        <v>924228.81</v>
      </c>
      <c r="AT290" s="23" t="s">
        <v>1353</v>
      </c>
      <c r="AU290" s="18">
        <v>41721.42</v>
      </c>
      <c r="AV290" s="18">
        <v>2464340.5</v>
      </c>
      <c r="AW290" s="19">
        <v>1277467.8799999999</v>
      </c>
      <c r="AX290" s="19">
        <v>1183192</v>
      </c>
      <c r="AY290" s="20">
        <v>987631.75</v>
      </c>
      <c r="AZ290" s="20">
        <v>1243562.6200000001</v>
      </c>
      <c r="BA290" s="21">
        <v>528029.68999999994</v>
      </c>
      <c r="BB290" s="21">
        <v>886981</v>
      </c>
    </row>
    <row r="291" spans="1:54" hidden="1">
      <c r="A291">
        <v>20170</v>
      </c>
      <c r="B291" t="s">
        <v>868</v>
      </c>
      <c r="C291" t="s">
        <v>869</v>
      </c>
      <c r="D291" t="s">
        <v>870</v>
      </c>
      <c r="F291" t="s">
        <v>871</v>
      </c>
      <c r="G291">
        <v>60.987000000000002</v>
      </c>
      <c r="H291" t="s">
        <v>57</v>
      </c>
      <c r="I291">
        <v>2</v>
      </c>
      <c r="J291">
        <v>2</v>
      </c>
      <c r="K291">
        <v>0</v>
      </c>
      <c r="L291">
        <v>13.83</v>
      </c>
      <c r="M291">
        <v>10317</v>
      </c>
      <c r="N291">
        <v>5</v>
      </c>
      <c r="O291">
        <v>1</v>
      </c>
      <c r="P291">
        <v>1</v>
      </c>
      <c r="Q291">
        <v>1</v>
      </c>
      <c r="R291">
        <v>1</v>
      </c>
      <c r="S291">
        <v>6</v>
      </c>
      <c r="T291">
        <v>6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2621655</v>
      </c>
      <c r="AM291">
        <v>2550735</v>
      </c>
      <c r="AN291">
        <v>1781815</v>
      </c>
      <c r="AO291">
        <v>1385016.38</v>
      </c>
      <c r="AP291">
        <v>2414965</v>
      </c>
      <c r="AQ291">
        <v>2395746</v>
      </c>
      <c r="AR291">
        <v>999667.19</v>
      </c>
      <c r="AS291">
        <v>849853.06</v>
      </c>
      <c r="AT291" s="23" t="s">
        <v>869</v>
      </c>
      <c r="AU291" s="18">
        <v>2621655</v>
      </c>
      <c r="AV291" s="18">
        <v>1968458.88</v>
      </c>
      <c r="AW291" s="19">
        <v>1375740.38</v>
      </c>
      <c r="AX291" s="19">
        <v>1231665.25</v>
      </c>
      <c r="AY291" s="20">
        <v>972447.81</v>
      </c>
      <c r="AZ291" s="20">
        <v>1029888.25</v>
      </c>
      <c r="BA291" s="21">
        <v>535276.31000000006</v>
      </c>
      <c r="BB291" s="21">
        <v>667029.25</v>
      </c>
    </row>
    <row r="292" spans="1:54" hidden="1">
      <c r="A292">
        <v>20173</v>
      </c>
      <c r="B292" t="s">
        <v>631</v>
      </c>
      <c r="C292" t="s">
        <v>632</v>
      </c>
      <c r="D292" t="s">
        <v>633</v>
      </c>
      <c r="F292" t="s">
        <v>634</v>
      </c>
      <c r="G292">
        <v>183.88499999999999</v>
      </c>
      <c r="H292" t="s">
        <v>57</v>
      </c>
      <c r="I292">
        <v>2</v>
      </c>
      <c r="J292">
        <v>3</v>
      </c>
      <c r="K292">
        <v>0</v>
      </c>
      <c r="L292">
        <v>56.64</v>
      </c>
      <c r="M292">
        <v>12784</v>
      </c>
      <c r="N292">
        <v>8</v>
      </c>
      <c r="O292">
        <v>5</v>
      </c>
      <c r="P292">
        <v>5</v>
      </c>
      <c r="Q292">
        <v>5</v>
      </c>
      <c r="R292">
        <v>5</v>
      </c>
      <c r="S292">
        <v>74</v>
      </c>
      <c r="T292">
        <v>74</v>
      </c>
      <c r="U292">
        <v>5</v>
      </c>
      <c r="V292">
        <v>4</v>
      </c>
      <c r="W292">
        <v>4</v>
      </c>
      <c r="X292">
        <v>4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13</v>
      </c>
      <c r="AE292">
        <v>12</v>
      </c>
      <c r="AF292">
        <v>10</v>
      </c>
      <c r="AG292">
        <v>6</v>
      </c>
      <c r="AH292">
        <v>12</v>
      </c>
      <c r="AI292">
        <v>11</v>
      </c>
      <c r="AJ292">
        <v>5</v>
      </c>
      <c r="AK292">
        <v>5</v>
      </c>
      <c r="AL292">
        <v>55742876</v>
      </c>
      <c r="AM292">
        <v>56343656</v>
      </c>
      <c r="AN292">
        <v>53765680</v>
      </c>
      <c r="AO292">
        <v>50310552</v>
      </c>
      <c r="AP292">
        <v>95076496</v>
      </c>
      <c r="AQ292">
        <v>81658336</v>
      </c>
      <c r="AR292">
        <v>50426392</v>
      </c>
      <c r="AS292">
        <v>30590984</v>
      </c>
      <c r="AT292" s="23" t="s">
        <v>632</v>
      </c>
      <c r="AU292" s="18">
        <v>48616320</v>
      </c>
      <c r="AV292" s="18">
        <v>41614492</v>
      </c>
      <c r="AW292" s="19">
        <v>41431060</v>
      </c>
      <c r="AX292" s="19">
        <v>46415140</v>
      </c>
      <c r="AY292" s="20">
        <v>54848688</v>
      </c>
      <c r="AZ292" s="20">
        <v>50769872</v>
      </c>
      <c r="BA292" s="21">
        <v>40072632</v>
      </c>
      <c r="BB292" s="21">
        <v>36403148</v>
      </c>
    </row>
    <row r="293" spans="1:54" hidden="1">
      <c r="A293">
        <v>20206</v>
      </c>
      <c r="B293" t="s">
        <v>1143</v>
      </c>
      <c r="C293" t="s">
        <v>1144</v>
      </c>
      <c r="D293" t="s">
        <v>1145</v>
      </c>
      <c r="F293" t="s">
        <v>1146</v>
      </c>
      <c r="G293">
        <v>14.582000000000001</v>
      </c>
      <c r="H293" t="s">
        <v>57</v>
      </c>
      <c r="I293">
        <v>2</v>
      </c>
      <c r="J293">
        <v>2</v>
      </c>
      <c r="K293">
        <v>0</v>
      </c>
      <c r="L293">
        <v>26.67</v>
      </c>
      <c r="M293">
        <v>8174</v>
      </c>
      <c r="N293">
        <v>5</v>
      </c>
      <c r="O293">
        <v>1</v>
      </c>
      <c r="P293">
        <v>1</v>
      </c>
      <c r="Q293">
        <v>1</v>
      </c>
      <c r="R293">
        <v>1</v>
      </c>
      <c r="S293">
        <v>2</v>
      </c>
      <c r="T293">
        <v>2</v>
      </c>
      <c r="U293">
        <v>1</v>
      </c>
      <c r="V293">
        <v>1</v>
      </c>
      <c r="W293">
        <v>1</v>
      </c>
      <c r="X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882547.12</v>
      </c>
      <c r="AM293">
        <v>945592.5</v>
      </c>
      <c r="AN293">
        <v>645308.06000000006</v>
      </c>
      <c r="AP293">
        <v>916775.38</v>
      </c>
      <c r="AQ293">
        <v>669351.06000000006</v>
      </c>
      <c r="AR293">
        <v>585666.68999999994</v>
      </c>
      <c r="AS293">
        <v>481502.12</v>
      </c>
      <c r="AT293" s="23" t="s">
        <v>1144</v>
      </c>
      <c r="AU293" s="18">
        <v>882547.12</v>
      </c>
      <c r="AV293" s="18">
        <v>729734.81</v>
      </c>
      <c r="AW293" s="19">
        <v>498242.72</v>
      </c>
      <c r="AX293" s="19">
        <v>170153.38</v>
      </c>
      <c r="AY293" s="20">
        <v>369163.22</v>
      </c>
      <c r="AZ293" s="20">
        <v>287742.03000000003</v>
      </c>
      <c r="BA293" s="21">
        <v>313597.88</v>
      </c>
      <c r="BB293" s="21">
        <v>377919.47</v>
      </c>
    </row>
    <row r="294" spans="1:54" hidden="1">
      <c r="A294">
        <v>20145</v>
      </c>
      <c r="B294" t="s">
        <v>1193</v>
      </c>
      <c r="C294" t="s">
        <v>1194</v>
      </c>
      <c r="D294" t="s">
        <v>1195</v>
      </c>
      <c r="F294" t="s">
        <v>1196</v>
      </c>
      <c r="G294">
        <v>10.515000000000001</v>
      </c>
      <c r="H294" t="s">
        <v>57</v>
      </c>
      <c r="I294">
        <v>2</v>
      </c>
      <c r="J294">
        <v>3</v>
      </c>
      <c r="K294">
        <v>0</v>
      </c>
      <c r="L294">
        <v>18.559999999999999</v>
      </c>
      <c r="M294">
        <v>10783</v>
      </c>
      <c r="N294">
        <v>7</v>
      </c>
      <c r="O294">
        <v>2</v>
      </c>
      <c r="P294">
        <v>2</v>
      </c>
      <c r="Q294">
        <v>2</v>
      </c>
      <c r="R294">
        <v>2</v>
      </c>
      <c r="S294">
        <v>11</v>
      </c>
      <c r="T294">
        <v>11</v>
      </c>
      <c r="U294">
        <v>2</v>
      </c>
      <c r="V294">
        <v>2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2</v>
      </c>
      <c r="AC294">
        <v>1</v>
      </c>
      <c r="AD294">
        <v>7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</v>
      </c>
      <c r="AK294">
        <v>0</v>
      </c>
      <c r="AL294">
        <v>5961723</v>
      </c>
      <c r="AM294">
        <v>891655.94</v>
      </c>
      <c r="AN294">
        <v>401244.28</v>
      </c>
      <c r="AO294">
        <v>252449.83</v>
      </c>
      <c r="AP294">
        <v>507927.09</v>
      </c>
      <c r="AQ294">
        <v>460931.38</v>
      </c>
      <c r="AR294">
        <v>4246500</v>
      </c>
      <c r="AS294">
        <v>419621.56</v>
      </c>
      <c r="AT294" s="23" t="s">
        <v>1194</v>
      </c>
      <c r="AU294" s="18">
        <v>12023699</v>
      </c>
      <c r="AV294" s="18">
        <v>16205.88</v>
      </c>
      <c r="AW294" s="19">
        <v>12316.89</v>
      </c>
      <c r="AX294" s="19">
        <v>10341.99</v>
      </c>
      <c r="AY294" s="20">
        <v>195149.92</v>
      </c>
      <c r="AZ294" s="20">
        <v>8731.09</v>
      </c>
      <c r="BA294" s="21">
        <v>5638479.5</v>
      </c>
      <c r="BB294" s="21">
        <v>503776.44</v>
      </c>
    </row>
    <row r="295" spans="1:54" hidden="1">
      <c r="A295">
        <v>20197</v>
      </c>
      <c r="B295" t="s">
        <v>979</v>
      </c>
      <c r="C295" t="s">
        <v>980</v>
      </c>
      <c r="D295" t="s">
        <v>981</v>
      </c>
      <c r="F295" t="s">
        <v>982</v>
      </c>
      <c r="G295">
        <v>36.228000000000002</v>
      </c>
      <c r="H295" t="s">
        <v>57</v>
      </c>
      <c r="I295">
        <v>2</v>
      </c>
      <c r="J295">
        <v>2</v>
      </c>
      <c r="K295">
        <v>0</v>
      </c>
      <c r="L295">
        <v>12.64</v>
      </c>
      <c r="M295">
        <v>9196</v>
      </c>
      <c r="N295">
        <v>4</v>
      </c>
      <c r="O295">
        <v>1</v>
      </c>
      <c r="P295">
        <v>1</v>
      </c>
      <c r="Q295">
        <v>1</v>
      </c>
      <c r="R295">
        <v>1</v>
      </c>
      <c r="S295">
        <v>6</v>
      </c>
      <c r="T295">
        <v>6</v>
      </c>
      <c r="U295">
        <v>1</v>
      </c>
      <c r="V295">
        <v>1</v>
      </c>
      <c r="W295">
        <v>1</v>
      </c>
      <c r="Y295">
        <v>1</v>
      </c>
      <c r="Z295">
        <v>1</v>
      </c>
      <c r="AA295">
        <v>1</v>
      </c>
      <c r="AB295">
        <v>1</v>
      </c>
      <c r="AD295">
        <v>1</v>
      </c>
      <c r="AE295">
        <v>1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0</v>
      </c>
      <c r="AL295">
        <v>3072654.25</v>
      </c>
      <c r="AM295">
        <v>2897761.25</v>
      </c>
      <c r="AO295">
        <v>1334512.75</v>
      </c>
      <c r="AP295">
        <v>2664925.75</v>
      </c>
      <c r="AQ295">
        <v>2189591</v>
      </c>
      <c r="AR295">
        <v>716104.44</v>
      </c>
      <c r="AT295" s="23" t="s">
        <v>980</v>
      </c>
      <c r="AU295" s="18">
        <v>3072654.25</v>
      </c>
      <c r="AV295" s="18">
        <v>2236267</v>
      </c>
      <c r="AW295" s="19">
        <v>213953.23</v>
      </c>
      <c r="AX295" s="19">
        <v>1186753.5</v>
      </c>
      <c r="AY295" s="20">
        <v>1073101</v>
      </c>
      <c r="AZ295" s="20">
        <v>941265.94</v>
      </c>
      <c r="BA295" s="21">
        <v>383441.38</v>
      </c>
      <c r="BB295" s="21">
        <v>212391.23</v>
      </c>
    </row>
    <row r="296" spans="1:54" hidden="1">
      <c r="A296">
        <v>20008</v>
      </c>
      <c r="B296" t="s">
        <v>1035</v>
      </c>
      <c r="C296" t="s">
        <v>1036</v>
      </c>
      <c r="D296" t="s">
        <v>1035</v>
      </c>
      <c r="F296" t="s">
        <v>1037</v>
      </c>
      <c r="G296">
        <v>25.937999999999999</v>
      </c>
      <c r="H296" t="s">
        <v>57</v>
      </c>
      <c r="I296">
        <v>2</v>
      </c>
      <c r="J296">
        <v>1</v>
      </c>
      <c r="K296">
        <v>0</v>
      </c>
      <c r="L296">
        <v>3.23</v>
      </c>
      <c r="M296">
        <v>51569</v>
      </c>
      <c r="N296">
        <v>29</v>
      </c>
      <c r="O296">
        <v>2</v>
      </c>
      <c r="P296">
        <v>2</v>
      </c>
      <c r="Q296">
        <v>2</v>
      </c>
      <c r="R296">
        <v>2</v>
      </c>
      <c r="S296">
        <v>8</v>
      </c>
      <c r="T296">
        <v>8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3</v>
      </c>
      <c r="AG296">
        <v>2</v>
      </c>
      <c r="AH296">
        <v>0</v>
      </c>
      <c r="AI296">
        <v>0</v>
      </c>
      <c r="AJ296">
        <v>0</v>
      </c>
      <c r="AK296">
        <v>1</v>
      </c>
      <c r="AL296">
        <v>5738199</v>
      </c>
      <c r="AM296">
        <v>7174905.5</v>
      </c>
      <c r="AN296">
        <v>7008172</v>
      </c>
      <c r="AO296">
        <v>8526352</v>
      </c>
      <c r="AP296">
        <v>3106448.25</v>
      </c>
      <c r="AQ296">
        <v>3227564</v>
      </c>
      <c r="AR296">
        <v>5589221.5</v>
      </c>
      <c r="AS296">
        <v>4361677.5</v>
      </c>
      <c r="AT296" s="23" t="s">
        <v>1036</v>
      </c>
      <c r="AU296" s="18">
        <v>5010065.5</v>
      </c>
      <c r="AV296" s="18">
        <v>6755579.5</v>
      </c>
      <c r="AW296" s="19">
        <v>6610559</v>
      </c>
      <c r="AX296" s="19">
        <v>9032479</v>
      </c>
      <c r="AY296" s="20">
        <v>831975.19</v>
      </c>
      <c r="AZ296" s="20">
        <v>922671.62</v>
      </c>
      <c r="BA296" s="21">
        <v>1987018.12</v>
      </c>
      <c r="BB296" s="21">
        <v>2273173.25</v>
      </c>
    </row>
    <row r="297" spans="1:54" hidden="1">
      <c r="A297">
        <v>20172</v>
      </c>
      <c r="B297" t="s">
        <v>1189</v>
      </c>
      <c r="C297" t="s">
        <v>1190</v>
      </c>
      <c r="D297" t="s">
        <v>1191</v>
      </c>
      <c r="F297" t="s">
        <v>1192</v>
      </c>
      <c r="G297">
        <v>10.597</v>
      </c>
      <c r="H297" t="s">
        <v>57</v>
      </c>
      <c r="I297">
        <v>2</v>
      </c>
      <c r="J297">
        <v>3</v>
      </c>
      <c r="K297">
        <v>0</v>
      </c>
      <c r="L297">
        <v>9.82</v>
      </c>
      <c r="M297">
        <v>13133</v>
      </c>
      <c r="N297">
        <v>9</v>
      </c>
      <c r="O297">
        <v>1</v>
      </c>
      <c r="P297">
        <v>1</v>
      </c>
      <c r="Q297">
        <v>1</v>
      </c>
      <c r="R297">
        <v>1</v>
      </c>
      <c r="S297">
        <v>2</v>
      </c>
      <c r="T297">
        <v>2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1</v>
      </c>
      <c r="AJ297">
        <v>0</v>
      </c>
      <c r="AK297">
        <v>0</v>
      </c>
      <c r="AL297">
        <v>303317.19</v>
      </c>
      <c r="AM297">
        <v>662288.38</v>
      </c>
      <c r="AN297">
        <v>449228.66</v>
      </c>
      <c r="AO297">
        <v>436130.38</v>
      </c>
      <c r="AP297">
        <v>2842485</v>
      </c>
      <c r="AQ297">
        <v>1836728.38</v>
      </c>
      <c r="AR297">
        <v>224707.56</v>
      </c>
      <c r="AS297">
        <v>132884.17000000001</v>
      </c>
      <c r="AT297" s="23" t="s">
        <v>1190</v>
      </c>
      <c r="AU297" s="18">
        <v>303317.19</v>
      </c>
      <c r="AV297" s="18">
        <v>511102.66</v>
      </c>
      <c r="AW297" s="19">
        <v>346849.72</v>
      </c>
      <c r="AX297" s="19">
        <v>387841.38</v>
      </c>
      <c r="AY297" s="20">
        <v>1144599.75</v>
      </c>
      <c r="AZ297" s="20">
        <v>789576.62</v>
      </c>
      <c r="BA297" s="21">
        <v>120320.69</v>
      </c>
      <c r="BB297" s="21">
        <v>104297.60000000001</v>
      </c>
    </row>
    <row r="298" spans="1:54" hidden="1">
      <c r="A298">
        <v>20254</v>
      </c>
      <c r="B298" t="s">
        <v>1066</v>
      </c>
      <c r="C298" t="s">
        <v>1067</v>
      </c>
      <c r="D298" t="s">
        <v>1066</v>
      </c>
      <c r="F298" t="s">
        <v>1068</v>
      </c>
      <c r="G298">
        <v>23.574999999999999</v>
      </c>
      <c r="H298" t="s">
        <v>57</v>
      </c>
      <c r="I298">
        <v>2</v>
      </c>
      <c r="J298">
        <v>1</v>
      </c>
      <c r="K298">
        <v>0</v>
      </c>
      <c r="L298">
        <v>16.170000000000002</v>
      </c>
      <c r="M298">
        <v>26728</v>
      </c>
      <c r="N298">
        <v>15</v>
      </c>
      <c r="O298">
        <v>3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3</v>
      </c>
      <c r="V298">
        <v>2</v>
      </c>
      <c r="W298">
        <v>2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0</v>
      </c>
      <c r="AE298">
        <v>0</v>
      </c>
      <c r="AF298">
        <v>1</v>
      </c>
      <c r="AG298">
        <v>2</v>
      </c>
      <c r="AH298">
        <v>0</v>
      </c>
      <c r="AI298">
        <v>0</v>
      </c>
      <c r="AJ298">
        <v>1</v>
      </c>
      <c r="AK298">
        <v>0</v>
      </c>
      <c r="AL298">
        <v>873485.62</v>
      </c>
      <c r="AM298">
        <v>10148889</v>
      </c>
      <c r="AN298">
        <v>8513755</v>
      </c>
      <c r="AO298">
        <v>8437054</v>
      </c>
      <c r="AP298">
        <v>6573329.5</v>
      </c>
      <c r="AQ298">
        <v>6311722.5</v>
      </c>
      <c r="AR298">
        <v>7915116</v>
      </c>
      <c r="AS298">
        <v>2047684.75</v>
      </c>
      <c r="AT298" s="23" t="s">
        <v>1067</v>
      </c>
      <c r="AU298" s="18">
        <v>738643.5</v>
      </c>
      <c r="AV298" s="18">
        <v>4183479.75</v>
      </c>
      <c r="AW298" s="19">
        <v>5643627</v>
      </c>
      <c r="AX298" s="19">
        <v>7983170</v>
      </c>
      <c r="AY298" s="20">
        <v>3279078.5</v>
      </c>
      <c r="AZ298" s="20">
        <v>3129397.75</v>
      </c>
      <c r="BA298" s="21">
        <v>4671538.5</v>
      </c>
      <c r="BB298" s="21">
        <v>4231219</v>
      </c>
    </row>
    <row r="299" spans="1:54" hidden="1">
      <c r="A299">
        <v>20109</v>
      </c>
      <c r="B299" t="s">
        <v>756</v>
      </c>
      <c r="C299" t="s">
        <v>757</v>
      </c>
      <c r="D299" t="s">
        <v>758</v>
      </c>
      <c r="F299" t="s">
        <v>759</v>
      </c>
      <c r="G299">
        <v>113.13500000000001</v>
      </c>
      <c r="H299" t="s">
        <v>57</v>
      </c>
      <c r="I299">
        <v>2</v>
      </c>
      <c r="J299">
        <v>3</v>
      </c>
      <c r="K299">
        <v>0</v>
      </c>
      <c r="L299">
        <v>11.25</v>
      </c>
      <c r="M299">
        <v>37093</v>
      </c>
      <c r="N299">
        <v>19</v>
      </c>
      <c r="O299">
        <v>3</v>
      </c>
      <c r="P299">
        <v>3</v>
      </c>
      <c r="Q299">
        <v>3</v>
      </c>
      <c r="R299">
        <v>3</v>
      </c>
      <c r="S299">
        <v>12</v>
      </c>
      <c r="T299">
        <v>12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1</v>
      </c>
      <c r="AE299">
        <v>1</v>
      </c>
      <c r="AF299">
        <v>1</v>
      </c>
      <c r="AG299">
        <v>3</v>
      </c>
      <c r="AH299">
        <v>1</v>
      </c>
      <c r="AI299">
        <v>2</v>
      </c>
      <c r="AJ299">
        <v>1</v>
      </c>
      <c r="AK299">
        <v>2</v>
      </c>
      <c r="AL299">
        <v>4125629</v>
      </c>
      <c r="AM299">
        <v>4920805</v>
      </c>
      <c r="AN299">
        <v>7425115.5</v>
      </c>
      <c r="AO299">
        <v>7228154.5</v>
      </c>
      <c r="AP299">
        <v>10501773</v>
      </c>
      <c r="AQ299">
        <v>8389638</v>
      </c>
      <c r="AR299">
        <v>8410776</v>
      </c>
      <c r="AS299">
        <v>5134679.5</v>
      </c>
      <c r="AT299" s="23" t="s">
        <v>757</v>
      </c>
      <c r="AU299" s="18">
        <v>4297257.5</v>
      </c>
      <c r="AV299" s="18">
        <v>3943456.25</v>
      </c>
      <c r="AW299" s="19">
        <v>5850078.5</v>
      </c>
      <c r="AX299" s="19">
        <v>6623332</v>
      </c>
      <c r="AY299" s="20">
        <v>3849424.5</v>
      </c>
      <c r="AZ299" s="20">
        <v>3460133.75</v>
      </c>
      <c r="BA299" s="21">
        <v>4572310.5</v>
      </c>
      <c r="BB299" s="21">
        <v>3977405.25</v>
      </c>
    </row>
    <row r="300" spans="1:54" hidden="1">
      <c r="A300">
        <v>20246</v>
      </c>
      <c r="B300" t="s">
        <v>929</v>
      </c>
      <c r="C300" t="s">
        <v>930</v>
      </c>
      <c r="D300" t="s">
        <v>931</v>
      </c>
      <c r="F300" t="s">
        <v>932</v>
      </c>
      <c r="G300">
        <v>43.033999999999999</v>
      </c>
      <c r="H300" t="s">
        <v>57</v>
      </c>
      <c r="I300">
        <v>2</v>
      </c>
      <c r="J300">
        <v>3</v>
      </c>
      <c r="K300">
        <v>0</v>
      </c>
      <c r="L300">
        <v>15.32</v>
      </c>
      <c r="M300">
        <v>12344</v>
      </c>
      <c r="N300">
        <v>5</v>
      </c>
      <c r="O300">
        <v>1</v>
      </c>
      <c r="P300">
        <v>1</v>
      </c>
      <c r="Q300">
        <v>1</v>
      </c>
      <c r="R300">
        <v>1</v>
      </c>
      <c r="S300">
        <v>3</v>
      </c>
      <c r="T300">
        <v>3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2045463.88</v>
      </c>
      <c r="AM300">
        <v>2074823.88</v>
      </c>
      <c r="AN300">
        <v>856893.25</v>
      </c>
      <c r="AO300">
        <v>1129740.1200000001</v>
      </c>
      <c r="AP300">
        <v>2516030.25</v>
      </c>
      <c r="AQ300">
        <v>2141545</v>
      </c>
      <c r="AR300">
        <v>1195290.8799999999</v>
      </c>
      <c r="AS300">
        <v>1094457.25</v>
      </c>
      <c r="AT300" s="23" t="s">
        <v>930</v>
      </c>
      <c r="AU300" s="18">
        <v>2045463.88</v>
      </c>
      <c r="AV300" s="18">
        <v>1601187.75</v>
      </c>
      <c r="AW300" s="19">
        <v>661607.75</v>
      </c>
      <c r="AX300" s="19">
        <v>1004653.62</v>
      </c>
      <c r="AY300" s="20">
        <v>1013144.38</v>
      </c>
      <c r="AZ300" s="20">
        <v>920611.81</v>
      </c>
      <c r="BA300" s="21">
        <v>640023.93999999994</v>
      </c>
      <c r="BB300" s="21">
        <v>859013.25</v>
      </c>
    </row>
    <row r="301" spans="1:54" hidden="1">
      <c r="A301">
        <v>20241</v>
      </c>
      <c r="B301" t="s">
        <v>885</v>
      </c>
      <c r="C301" t="s">
        <v>886</v>
      </c>
      <c r="D301" t="s">
        <v>887</v>
      </c>
      <c r="F301" t="s">
        <v>888</v>
      </c>
      <c r="G301">
        <v>53.040999999999997</v>
      </c>
      <c r="H301" t="s">
        <v>57</v>
      </c>
      <c r="I301">
        <v>2</v>
      </c>
      <c r="J301">
        <v>2</v>
      </c>
      <c r="K301">
        <v>0</v>
      </c>
      <c r="L301">
        <v>17.190000000000001</v>
      </c>
      <c r="M301">
        <v>13611</v>
      </c>
      <c r="N301">
        <v>8</v>
      </c>
      <c r="O301">
        <v>2</v>
      </c>
      <c r="P301">
        <v>2</v>
      </c>
      <c r="Q301">
        <v>2</v>
      </c>
      <c r="R301">
        <v>2</v>
      </c>
      <c r="S301">
        <v>15</v>
      </c>
      <c r="T301">
        <v>15</v>
      </c>
      <c r="U301">
        <v>2</v>
      </c>
      <c r="V301">
        <v>1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1</v>
      </c>
      <c r="AE301">
        <v>2</v>
      </c>
      <c r="AF301">
        <v>2</v>
      </c>
      <c r="AG301">
        <v>2</v>
      </c>
      <c r="AH301">
        <v>2</v>
      </c>
      <c r="AI301">
        <v>2</v>
      </c>
      <c r="AJ301">
        <v>2</v>
      </c>
      <c r="AK301">
        <v>2</v>
      </c>
      <c r="AL301">
        <v>3040066</v>
      </c>
      <c r="AM301">
        <v>4518369</v>
      </c>
      <c r="AN301">
        <v>4125860</v>
      </c>
      <c r="AO301">
        <v>3696870.5</v>
      </c>
      <c r="AP301">
        <v>7805221</v>
      </c>
      <c r="AQ301">
        <v>7001620</v>
      </c>
      <c r="AR301">
        <v>2370108</v>
      </c>
      <c r="AS301">
        <v>2231322.5</v>
      </c>
      <c r="AT301" s="23" t="s">
        <v>886</v>
      </c>
      <c r="AU301" s="18">
        <v>36621.699999999997</v>
      </c>
      <c r="AV301" s="18">
        <v>3950583.75</v>
      </c>
      <c r="AW301" s="19">
        <v>3473790.5</v>
      </c>
      <c r="AX301" s="19">
        <v>3685411.75</v>
      </c>
      <c r="AY301" s="20">
        <v>3619669.25</v>
      </c>
      <c r="AZ301" s="20">
        <v>3512599.25</v>
      </c>
      <c r="BA301" s="21">
        <v>1462901.62</v>
      </c>
      <c r="BB301" s="21">
        <v>1976375.62</v>
      </c>
    </row>
    <row r="302" spans="1:54" hidden="1">
      <c r="A302">
        <v>20068</v>
      </c>
      <c r="B302" t="s">
        <v>1248</v>
      </c>
      <c r="C302" t="s">
        <v>1249</v>
      </c>
      <c r="D302" t="s">
        <v>1250</v>
      </c>
      <c r="F302" t="s">
        <v>1251</v>
      </c>
      <c r="G302">
        <v>6.4630000000000001</v>
      </c>
      <c r="H302" t="s">
        <v>57</v>
      </c>
      <c r="I302">
        <v>2</v>
      </c>
      <c r="J302">
        <v>21</v>
      </c>
      <c r="K302">
        <v>0</v>
      </c>
      <c r="L302">
        <v>10.62</v>
      </c>
      <c r="M302">
        <v>12942</v>
      </c>
      <c r="N302">
        <v>6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Z302">
        <v>1</v>
      </c>
      <c r="AA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555471.31000000006</v>
      </c>
      <c r="AM302">
        <v>592218</v>
      </c>
      <c r="AP302">
        <v>608923.81000000006</v>
      </c>
      <c r="AQ302">
        <v>451672.47</v>
      </c>
      <c r="AT302" s="23" t="s">
        <v>1249</v>
      </c>
      <c r="AU302" s="18">
        <v>555471.31000000006</v>
      </c>
      <c r="AV302" s="18">
        <v>457027.81</v>
      </c>
      <c r="AW302" s="19">
        <v>213953.23</v>
      </c>
      <c r="AX302" s="19">
        <v>170153.38</v>
      </c>
      <c r="AY302" s="20">
        <v>245198.86</v>
      </c>
      <c r="AZ302" s="20">
        <v>194165.89</v>
      </c>
      <c r="BA302" s="21">
        <v>199295.7</v>
      </c>
      <c r="BB302" s="21">
        <v>212391.23</v>
      </c>
    </row>
    <row r="303" spans="1:54" hidden="1">
      <c r="A303">
        <v>20234</v>
      </c>
      <c r="B303" t="s">
        <v>1174</v>
      </c>
      <c r="C303" t="s">
        <v>1175</v>
      </c>
      <c r="D303" t="s">
        <v>1174</v>
      </c>
      <c r="F303" t="s">
        <v>1176</v>
      </c>
      <c r="G303">
        <v>11.055999999999999</v>
      </c>
      <c r="H303" t="s">
        <v>57</v>
      </c>
      <c r="I303">
        <v>2</v>
      </c>
      <c r="J303">
        <v>1</v>
      </c>
      <c r="K303">
        <v>0</v>
      </c>
      <c r="L303">
        <v>1.24</v>
      </c>
      <c r="M303">
        <v>89778</v>
      </c>
      <c r="N303">
        <v>49</v>
      </c>
      <c r="O303">
        <v>1</v>
      </c>
      <c r="P303">
        <v>1</v>
      </c>
      <c r="Q303">
        <v>1</v>
      </c>
      <c r="R303">
        <v>1</v>
      </c>
      <c r="S303">
        <v>2</v>
      </c>
      <c r="T303">
        <v>2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D303">
        <v>1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399251.09</v>
      </c>
      <c r="AM303">
        <v>693024.56</v>
      </c>
      <c r="AN303">
        <v>201044.77</v>
      </c>
      <c r="AO303">
        <v>195470.28</v>
      </c>
      <c r="AP303">
        <v>329546.5</v>
      </c>
      <c r="AQ303">
        <v>346371.19</v>
      </c>
      <c r="AR303">
        <v>58490.52</v>
      </c>
      <c r="AT303" s="23" t="s">
        <v>1175</v>
      </c>
      <c r="AU303" s="18">
        <v>399251.09</v>
      </c>
      <c r="AV303" s="18">
        <v>534822.5</v>
      </c>
      <c r="AW303" s="19">
        <v>155226.78</v>
      </c>
      <c r="AX303" s="19">
        <v>173827.52</v>
      </c>
      <c r="AY303" s="20">
        <v>132700.38</v>
      </c>
      <c r="AZ303" s="20">
        <v>148898.76999999999</v>
      </c>
      <c r="BA303" s="21">
        <v>31319.02</v>
      </c>
      <c r="BB303" s="21">
        <v>212391.23</v>
      </c>
    </row>
    <row r="304" spans="1:54" hidden="1">
      <c r="A304">
        <v>20238</v>
      </c>
      <c r="B304" t="s">
        <v>1165</v>
      </c>
      <c r="C304" t="s">
        <v>1166</v>
      </c>
      <c r="D304" t="s">
        <v>1165</v>
      </c>
      <c r="F304" t="s">
        <v>1167</v>
      </c>
      <c r="G304">
        <v>11.215999999999999</v>
      </c>
      <c r="H304" t="s">
        <v>57</v>
      </c>
      <c r="I304">
        <v>2</v>
      </c>
      <c r="J304">
        <v>1</v>
      </c>
      <c r="K304">
        <v>0</v>
      </c>
      <c r="L304">
        <v>42.11</v>
      </c>
      <c r="M304">
        <v>2407</v>
      </c>
      <c r="N304">
        <v>2</v>
      </c>
      <c r="O304">
        <v>1</v>
      </c>
      <c r="P304">
        <v>1</v>
      </c>
      <c r="Q304">
        <v>1</v>
      </c>
      <c r="R304">
        <v>1</v>
      </c>
      <c r="S304">
        <v>4</v>
      </c>
      <c r="T304">
        <v>4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2</v>
      </c>
      <c r="AE304">
        <v>1</v>
      </c>
      <c r="AF304">
        <v>1</v>
      </c>
      <c r="AG304">
        <v>1</v>
      </c>
      <c r="AH304">
        <v>1</v>
      </c>
      <c r="AI304">
        <v>2</v>
      </c>
      <c r="AJ304">
        <v>0</v>
      </c>
      <c r="AK304">
        <v>0</v>
      </c>
      <c r="AL304">
        <v>1458459.88</v>
      </c>
      <c r="AM304">
        <v>2007833.62</v>
      </c>
      <c r="AN304">
        <v>1299099.8799999999</v>
      </c>
      <c r="AO304">
        <v>933328.38</v>
      </c>
      <c r="AP304">
        <v>2348755.5</v>
      </c>
      <c r="AQ304">
        <v>2652135.5</v>
      </c>
      <c r="AR304">
        <v>521015.78</v>
      </c>
      <c r="AS304">
        <v>647424.43999999994</v>
      </c>
      <c r="AT304" s="23" t="s">
        <v>1166</v>
      </c>
      <c r="AU304" s="18">
        <v>1458459.88</v>
      </c>
      <c r="AV304" s="18">
        <v>1549489.88</v>
      </c>
      <c r="AW304" s="19">
        <v>1003035.75</v>
      </c>
      <c r="AX304" s="19">
        <v>829988.88</v>
      </c>
      <c r="AY304" s="20">
        <v>945786.88</v>
      </c>
      <c r="AZ304" s="20">
        <v>1140105.5</v>
      </c>
      <c r="BA304" s="21">
        <v>278980.28000000003</v>
      </c>
      <c r="BB304" s="21">
        <v>508147.94</v>
      </c>
    </row>
    <row r="305" spans="1:62" hidden="1">
      <c r="A305">
        <v>20045</v>
      </c>
      <c r="B305" t="s">
        <v>1359</v>
      </c>
      <c r="C305" t="s">
        <v>1360</v>
      </c>
      <c r="D305" t="s">
        <v>1359</v>
      </c>
      <c r="F305" t="s">
        <v>1361</v>
      </c>
      <c r="G305">
        <v>0</v>
      </c>
      <c r="H305" t="s">
        <v>57</v>
      </c>
      <c r="I305">
        <v>2</v>
      </c>
      <c r="J305">
        <v>1</v>
      </c>
      <c r="K305">
        <v>0</v>
      </c>
      <c r="L305">
        <v>2.71</v>
      </c>
      <c r="M305">
        <v>60698</v>
      </c>
      <c r="N305">
        <v>35</v>
      </c>
      <c r="O305">
        <v>2</v>
      </c>
      <c r="P305">
        <v>2</v>
      </c>
      <c r="Q305">
        <v>2</v>
      </c>
      <c r="R305">
        <v>2</v>
      </c>
      <c r="S305">
        <v>5</v>
      </c>
      <c r="T305">
        <v>5</v>
      </c>
      <c r="U305">
        <v>2</v>
      </c>
      <c r="V305">
        <v>1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3</v>
      </c>
      <c r="AK305">
        <v>2</v>
      </c>
      <c r="AL305">
        <v>7986373.5</v>
      </c>
      <c r="AM305">
        <v>8365929</v>
      </c>
      <c r="AN305">
        <v>9992270</v>
      </c>
      <c r="AO305">
        <v>9379240</v>
      </c>
      <c r="AP305">
        <v>13489273</v>
      </c>
      <c r="AQ305">
        <v>12541042</v>
      </c>
      <c r="AR305">
        <v>20207318</v>
      </c>
      <c r="AS305">
        <v>12585604</v>
      </c>
      <c r="AT305" s="23" t="s">
        <v>1360</v>
      </c>
      <c r="AU305" s="18">
        <v>337853.78</v>
      </c>
      <c r="AV305" s="18">
        <v>5563875.5</v>
      </c>
      <c r="AW305" s="19">
        <v>7286995</v>
      </c>
      <c r="AX305" s="19">
        <v>6378788.5</v>
      </c>
      <c r="AY305" s="20">
        <v>6694392</v>
      </c>
      <c r="AZ305" s="20">
        <v>7186806.5</v>
      </c>
      <c r="BA305" s="21">
        <v>14603181</v>
      </c>
      <c r="BB305" s="21">
        <v>12613407</v>
      </c>
    </row>
    <row r="306" spans="1:62" hidden="1">
      <c r="A306">
        <v>20153</v>
      </c>
      <c r="B306" t="s">
        <v>1112</v>
      </c>
      <c r="C306" t="s">
        <v>1113</v>
      </c>
      <c r="D306" t="s">
        <v>1114</v>
      </c>
      <c r="F306" t="s">
        <v>1115</v>
      </c>
      <c r="G306">
        <v>18.059000000000001</v>
      </c>
      <c r="H306" t="s">
        <v>57</v>
      </c>
      <c r="I306">
        <v>2</v>
      </c>
      <c r="J306">
        <v>3</v>
      </c>
      <c r="K306">
        <v>0</v>
      </c>
      <c r="L306">
        <v>9.9</v>
      </c>
      <c r="M306">
        <v>11051</v>
      </c>
      <c r="N306">
        <v>6</v>
      </c>
      <c r="O306">
        <v>1</v>
      </c>
      <c r="P306">
        <v>1</v>
      </c>
      <c r="Q306">
        <v>1</v>
      </c>
      <c r="R306">
        <v>1</v>
      </c>
      <c r="S306">
        <v>2</v>
      </c>
      <c r="T306">
        <v>2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972094.88</v>
      </c>
      <c r="AM306">
        <v>1273306.5</v>
      </c>
      <c r="AN306">
        <v>391353.16</v>
      </c>
      <c r="AO306">
        <v>340579.81</v>
      </c>
      <c r="AP306">
        <v>1150665.6200000001</v>
      </c>
      <c r="AQ306">
        <v>479234.97</v>
      </c>
      <c r="AR306">
        <v>366013.75</v>
      </c>
      <c r="AS306">
        <v>443898.59</v>
      </c>
      <c r="AT306" s="23" t="s">
        <v>1113</v>
      </c>
      <c r="AU306" s="18">
        <v>972094.88</v>
      </c>
      <c r="AV306" s="18">
        <v>982638.94</v>
      </c>
      <c r="AW306" s="19">
        <v>302164</v>
      </c>
      <c r="AX306" s="19">
        <v>302870.31</v>
      </c>
      <c r="AY306" s="20">
        <v>463345.16</v>
      </c>
      <c r="AZ306" s="20">
        <v>206014.53</v>
      </c>
      <c r="BA306" s="21">
        <v>195983.72</v>
      </c>
      <c r="BB306" s="21">
        <v>348405.34</v>
      </c>
    </row>
    <row r="307" spans="1:62" hidden="1">
      <c r="A307">
        <v>20003</v>
      </c>
      <c r="B307" t="s">
        <v>501</v>
      </c>
      <c r="C307" t="s">
        <v>502</v>
      </c>
      <c r="D307" t="s">
        <v>503</v>
      </c>
      <c r="E307" t="s">
        <v>504</v>
      </c>
      <c r="F307" t="s">
        <v>505</v>
      </c>
      <c r="G307">
        <v>313.19900000000001</v>
      </c>
      <c r="H307" t="s">
        <v>57</v>
      </c>
      <c r="I307">
        <v>2</v>
      </c>
      <c r="J307">
        <v>3</v>
      </c>
      <c r="K307">
        <v>17</v>
      </c>
      <c r="L307">
        <v>67.09</v>
      </c>
      <c r="M307">
        <v>9402</v>
      </c>
      <c r="N307">
        <v>6</v>
      </c>
      <c r="O307">
        <v>5</v>
      </c>
      <c r="P307">
        <v>5</v>
      </c>
      <c r="Q307">
        <v>5</v>
      </c>
      <c r="R307">
        <v>5</v>
      </c>
      <c r="S307">
        <v>61</v>
      </c>
      <c r="T307">
        <v>61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4</v>
      </c>
      <c r="AC307">
        <v>4</v>
      </c>
      <c r="AD307">
        <v>13</v>
      </c>
      <c r="AE307">
        <v>7</v>
      </c>
      <c r="AF307">
        <v>8</v>
      </c>
      <c r="AG307">
        <v>9</v>
      </c>
      <c r="AH307">
        <v>7</v>
      </c>
      <c r="AI307">
        <v>8</v>
      </c>
      <c r="AJ307">
        <v>4</v>
      </c>
      <c r="AK307">
        <v>5</v>
      </c>
      <c r="AL307">
        <v>39744640</v>
      </c>
      <c r="AM307">
        <v>65379588</v>
      </c>
      <c r="AN307">
        <v>49219800</v>
      </c>
      <c r="AO307">
        <v>49597948</v>
      </c>
      <c r="AP307">
        <v>88146584</v>
      </c>
      <c r="AQ307">
        <v>85272792</v>
      </c>
      <c r="AR307">
        <v>29522544</v>
      </c>
      <c r="AS307">
        <v>22468784</v>
      </c>
      <c r="AT307" s="23" t="s">
        <v>502</v>
      </c>
      <c r="AU307" s="18">
        <v>43460636</v>
      </c>
      <c r="AV307" s="18">
        <v>52686592</v>
      </c>
      <c r="AW307" s="19">
        <v>39009608</v>
      </c>
      <c r="AX307" s="19">
        <v>46004340</v>
      </c>
      <c r="AY307" s="20">
        <v>41719540</v>
      </c>
      <c r="AZ307" s="20">
        <v>39460932</v>
      </c>
      <c r="BA307" s="21">
        <v>19260206</v>
      </c>
      <c r="BB307" s="21">
        <v>23748616</v>
      </c>
    </row>
    <row r="308" spans="1:62" hidden="1">
      <c r="A308">
        <v>20235</v>
      </c>
      <c r="B308" t="s">
        <v>1157</v>
      </c>
      <c r="C308" t="s">
        <v>1158</v>
      </c>
      <c r="D308" t="s">
        <v>1159</v>
      </c>
      <c r="F308" t="s">
        <v>1160</v>
      </c>
      <c r="G308">
        <v>12.128</v>
      </c>
      <c r="H308" t="s">
        <v>57</v>
      </c>
      <c r="I308">
        <v>2</v>
      </c>
      <c r="J308">
        <v>2</v>
      </c>
      <c r="K308">
        <v>0</v>
      </c>
      <c r="L308">
        <v>13.48</v>
      </c>
      <c r="M308">
        <v>16179</v>
      </c>
      <c r="N308">
        <v>12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1000873.56</v>
      </c>
      <c r="AN308">
        <v>834621.5</v>
      </c>
      <c r="AO308">
        <v>674004.94</v>
      </c>
      <c r="AP308">
        <v>889012.31</v>
      </c>
      <c r="AQ308">
        <v>899270.75</v>
      </c>
      <c r="AR308">
        <v>1063713.8799999999</v>
      </c>
      <c r="AS308">
        <v>591732.88</v>
      </c>
      <c r="AT308" s="23" t="s">
        <v>1158</v>
      </c>
      <c r="AU308" s="18">
        <v>49505.43</v>
      </c>
      <c r="AV308" s="18">
        <v>772396.38</v>
      </c>
      <c r="AW308" s="19">
        <v>644411.75</v>
      </c>
      <c r="AX308" s="19">
        <v>599378.12</v>
      </c>
      <c r="AY308" s="20">
        <v>357983.72</v>
      </c>
      <c r="AZ308" s="20">
        <v>386580.38</v>
      </c>
      <c r="BA308" s="21">
        <v>569570.43999999994</v>
      </c>
      <c r="BB308" s="21">
        <v>464436.94</v>
      </c>
    </row>
    <row r="309" spans="1:62">
      <c r="A309">
        <v>20150</v>
      </c>
      <c r="B309" t="s">
        <v>224</v>
      </c>
      <c r="D309" t="s">
        <v>225</v>
      </c>
      <c r="F309" t="s">
        <v>226</v>
      </c>
      <c r="G309">
        <v>895.40499999999997</v>
      </c>
      <c r="H309" t="s">
        <v>57</v>
      </c>
      <c r="I309">
        <v>2</v>
      </c>
      <c r="J309">
        <v>4</v>
      </c>
      <c r="K309">
        <v>0</v>
      </c>
      <c r="L309">
        <v>26.35</v>
      </c>
      <c r="M309">
        <v>84600</v>
      </c>
      <c r="N309">
        <v>34</v>
      </c>
      <c r="O309">
        <v>18</v>
      </c>
      <c r="P309">
        <v>18</v>
      </c>
      <c r="Q309">
        <v>24</v>
      </c>
      <c r="R309">
        <v>24</v>
      </c>
      <c r="S309">
        <v>304</v>
      </c>
      <c r="T309">
        <v>304</v>
      </c>
      <c r="U309">
        <v>24</v>
      </c>
      <c r="V309">
        <v>16</v>
      </c>
      <c r="W309">
        <v>20</v>
      </c>
      <c r="X309">
        <v>15</v>
      </c>
      <c r="Y309">
        <v>14</v>
      </c>
      <c r="Z309">
        <v>22</v>
      </c>
      <c r="AA309">
        <v>22</v>
      </c>
      <c r="AB309">
        <v>20</v>
      </c>
      <c r="AC309">
        <v>19</v>
      </c>
      <c r="AD309">
        <v>56</v>
      </c>
      <c r="AE309">
        <v>62</v>
      </c>
      <c r="AF309">
        <v>16</v>
      </c>
      <c r="AG309">
        <v>19</v>
      </c>
      <c r="AH309">
        <v>47</v>
      </c>
      <c r="AI309">
        <v>52</v>
      </c>
      <c r="AJ309">
        <v>31</v>
      </c>
      <c r="AK309">
        <v>21</v>
      </c>
      <c r="AL309">
        <v>711875712</v>
      </c>
      <c r="AM309">
        <v>781310080</v>
      </c>
      <c r="AN309">
        <v>135677344</v>
      </c>
      <c r="AO309">
        <v>116176824</v>
      </c>
      <c r="AP309">
        <v>944991296</v>
      </c>
      <c r="AQ309">
        <v>712457856</v>
      </c>
      <c r="AR309">
        <v>311107520</v>
      </c>
      <c r="AS309">
        <v>179457136</v>
      </c>
      <c r="AT309" s="23" t="s">
        <v>224</v>
      </c>
      <c r="AU309" s="18">
        <v>522967776</v>
      </c>
      <c r="AV309" s="18">
        <v>633046464</v>
      </c>
      <c r="AW309" s="19">
        <v>114818200</v>
      </c>
      <c r="AX309" s="19">
        <v>113220800</v>
      </c>
      <c r="AY309" s="20">
        <v>460591744</v>
      </c>
      <c r="AZ309" s="20">
        <v>401651872</v>
      </c>
      <c r="BA309" s="21">
        <v>225142624</v>
      </c>
      <c r="BB309" s="21">
        <v>192217808</v>
      </c>
      <c r="BC309" s="23" t="s">
        <v>224</v>
      </c>
      <c r="BD309" s="24">
        <f t="shared" ref="BD309:BD310" si="24">AVERAGE(AU309:AV309)</f>
        <v>578007120</v>
      </c>
      <c r="BE309" s="24">
        <f t="shared" ref="BE309:BE310" si="25">AVERAGE(AW309:AX309)</f>
        <v>114019500</v>
      </c>
      <c r="BF309" s="24">
        <f t="shared" ref="BF309:BF310" si="26">AVERAGE(AY309:AZ309)</f>
        <v>431121808</v>
      </c>
      <c r="BG309" s="24">
        <f t="shared" ref="BG309:BG310" si="27">AVERAGE(BA309:BB309)</f>
        <v>208680216</v>
      </c>
      <c r="BH309" s="23" t="s">
        <v>224</v>
      </c>
      <c r="BI309" s="24">
        <f t="shared" ref="BI309:BI310" si="28">(BD309-BE309)/BE309</f>
        <v>4.0693707655269495</v>
      </c>
      <c r="BJ309" s="24">
        <f t="shared" ref="BJ309:BJ310" si="29">(BF309-BG309)/BG309</f>
        <v>1.0659448042741149</v>
      </c>
    </row>
    <row r="310" spans="1:62">
      <c r="A310">
        <v>20078</v>
      </c>
      <c r="B310" t="s">
        <v>364</v>
      </c>
      <c r="D310" t="s">
        <v>364</v>
      </c>
      <c r="E310" t="s">
        <v>365</v>
      </c>
      <c r="F310" t="s">
        <v>366</v>
      </c>
      <c r="G310">
        <v>558.63800000000003</v>
      </c>
      <c r="H310" t="s">
        <v>57</v>
      </c>
      <c r="I310">
        <v>2</v>
      </c>
      <c r="J310">
        <v>1</v>
      </c>
      <c r="K310">
        <v>1</v>
      </c>
      <c r="L310">
        <v>66.94</v>
      </c>
      <c r="M310">
        <v>27714</v>
      </c>
      <c r="N310">
        <v>13</v>
      </c>
      <c r="O310">
        <v>11</v>
      </c>
      <c r="P310">
        <v>11</v>
      </c>
      <c r="Q310">
        <v>12</v>
      </c>
      <c r="R310">
        <v>12</v>
      </c>
      <c r="S310">
        <v>469</v>
      </c>
      <c r="T310">
        <v>469</v>
      </c>
      <c r="U310">
        <v>12</v>
      </c>
      <c r="V310">
        <v>8</v>
      </c>
      <c r="W310">
        <v>9</v>
      </c>
      <c r="X310">
        <v>9</v>
      </c>
      <c r="Y310">
        <v>11</v>
      </c>
      <c r="Z310">
        <v>11</v>
      </c>
      <c r="AA310">
        <v>11</v>
      </c>
      <c r="AB310">
        <v>12</v>
      </c>
      <c r="AC310">
        <v>12</v>
      </c>
      <c r="AD310">
        <v>69</v>
      </c>
      <c r="AE310">
        <v>71</v>
      </c>
      <c r="AF310">
        <v>41</v>
      </c>
      <c r="AG310">
        <v>39</v>
      </c>
      <c r="AH310">
        <v>77</v>
      </c>
      <c r="AI310">
        <v>67</v>
      </c>
      <c r="AJ310">
        <v>43</v>
      </c>
      <c r="AK310">
        <v>62</v>
      </c>
      <c r="AL310">
        <v>460645600</v>
      </c>
      <c r="AM310">
        <v>678849728</v>
      </c>
      <c r="AN310">
        <v>242221440</v>
      </c>
      <c r="AO310">
        <v>271669152</v>
      </c>
      <c r="AP310">
        <v>1554415488</v>
      </c>
      <c r="AQ310">
        <v>1334275072</v>
      </c>
      <c r="AR310">
        <v>457079744</v>
      </c>
      <c r="AS310">
        <v>403346112</v>
      </c>
      <c r="AT310" s="23" t="s">
        <v>364</v>
      </c>
      <c r="AU310" s="18">
        <v>284390336</v>
      </c>
      <c r="AV310" s="18">
        <v>371244096</v>
      </c>
      <c r="AW310" s="19">
        <v>144580032</v>
      </c>
      <c r="AX310" s="19">
        <v>189679680</v>
      </c>
      <c r="AY310" s="20">
        <v>752762304</v>
      </c>
      <c r="AZ310" s="20">
        <v>702680640</v>
      </c>
      <c r="BA310" s="21">
        <v>391209056</v>
      </c>
      <c r="BB310" s="21">
        <v>458612832</v>
      </c>
      <c r="BC310" s="23" t="s">
        <v>364</v>
      </c>
      <c r="BD310" s="24">
        <f t="shared" si="24"/>
        <v>327817216</v>
      </c>
      <c r="BE310" s="24">
        <f t="shared" si="25"/>
        <v>167129856</v>
      </c>
      <c r="BF310" s="24">
        <f t="shared" si="26"/>
        <v>727721472</v>
      </c>
      <c r="BG310" s="24">
        <f t="shared" si="27"/>
        <v>424910944</v>
      </c>
      <c r="BH310" s="23" t="s">
        <v>364</v>
      </c>
      <c r="BI310" s="24">
        <f t="shared" si="28"/>
        <v>0.96145215370735437</v>
      </c>
      <c r="BJ310" s="24">
        <f t="shared" si="29"/>
        <v>0.71264469008357667</v>
      </c>
    </row>
    <row r="311" spans="1:62" hidden="1">
      <c r="A311">
        <v>20143</v>
      </c>
      <c r="B311" t="s">
        <v>569</v>
      </c>
      <c r="D311" t="s">
        <v>569</v>
      </c>
      <c r="F311" t="s">
        <v>570</v>
      </c>
      <c r="G311">
        <v>250.41200000000001</v>
      </c>
      <c r="H311" t="s">
        <v>57</v>
      </c>
      <c r="I311">
        <v>2</v>
      </c>
      <c r="J311">
        <v>1</v>
      </c>
      <c r="K311">
        <v>0</v>
      </c>
      <c r="L311">
        <v>25.11</v>
      </c>
      <c r="M311">
        <v>24409</v>
      </c>
      <c r="N311">
        <v>12</v>
      </c>
      <c r="O311">
        <v>4</v>
      </c>
      <c r="P311">
        <v>4</v>
      </c>
      <c r="Q311">
        <v>5</v>
      </c>
      <c r="R311">
        <v>5</v>
      </c>
      <c r="S311">
        <v>133</v>
      </c>
      <c r="T311">
        <v>133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19</v>
      </c>
      <c r="AE311">
        <v>15</v>
      </c>
      <c r="AF311">
        <v>19</v>
      </c>
      <c r="AG311">
        <v>17</v>
      </c>
      <c r="AH311">
        <v>13</v>
      </c>
      <c r="AI311">
        <v>13</v>
      </c>
      <c r="AJ311">
        <v>17</v>
      </c>
      <c r="AK311">
        <v>20</v>
      </c>
      <c r="AL311">
        <v>1561640448</v>
      </c>
      <c r="AM311">
        <v>1370350336</v>
      </c>
      <c r="AN311">
        <v>1335456512</v>
      </c>
      <c r="AO311">
        <v>1345870464</v>
      </c>
      <c r="AP311">
        <v>1289725312</v>
      </c>
      <c r="AQ311">
        <v>1318624640</v>
      </c>
      <c r="AR311">
        <v>1298822400</v>
      </c>
      <c r="AS311">
        <v>1083227264</v>
      </c>
      <c r="AT311" s="23" t="s">
        <v>569</v>
      </c>
      <c r="AU311" s="18">
        <v>932254464</v>
      </c>
      <c r="AV311" s="18">
        <v>795665344</v>
      </c>
      <c r="AW311" s="19">
        <v>1071917888</v>
      </c>
      <c r="AX311" s="19">
        <v>1174658048</v>
      </c>
      <c r="AY311" s="20">
        <v>636945728</v>
      </c>
      <c r="AZ311" s="20">
        <v>753728000</v>
      </c>
      <c r="BA311" s="21">
        <v>976053952</v>
      </c>
      <c r="BB311" s="21">
        <v>1247016960</v>
      </c>
    </row>
    <row r="312" spans="1:62" hidden="1">
      <c r="A312">
        <v>20253</v>
      </c>
      <c r="B312" t="s">
        <v>957</v>
      </c>
      <c r="D312" t="s">
        <v>957</v>
      </c>
      <c r="F312" t="s">
        <v>958</v>
      </c>
      <c r="G312">
        <v>40.436999999999998</v>
      </c>
      <c r="H312" t="s">
        <v>57</v>
      </c>
      <c r="I312">
        <v>2</v>
      </c>
      <c r="J312">
        <v>1</v>
      </c>
      <c r="K312">
        <v>0</v>
      </c>
      <c r="L312">
        <v>6.01</v>
      </c>
      <c r="M312">
        <v>18833</v>
      </c>
      <c r="N312">
        <v>8</v>
      </c>
      <c r="O312">
        <v>1</v>
      </c>
      <c r="P312">
        <v>1</v>
      </c>
      <c r="Q312">
        <v>1</v>
      </c>
      <c r="R312">
        <v>1</v>
      </c>
      <c r="S312">
        <v>16</v>
      </c>
      <c r="T312">
        <v>16</v>
      </c>
      <c r="U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0</v>
      </c>
      <c r="AE312">
        <v>2</v>
      </c>
      <c r="AF312">
        <v>3</v>
      </c>
      <c r="AG312">
        <v>2</v>
      </c>
      <c r="AH312">
        <v>2</v>
      </c>
      <c r="AI312">
        <v>2</v>
      </c>
      <c r="AJ312">
        <v>2</v>
      </c>
      <c r="AK312">
        <v>3</v>
      </c>
      <c r="AM312">
        <v>6205286</v>
      </c>
      <c r="AN312">
        <v>7010433</v>
      </c>
      <c r="AO312">
        <v>8077357.5</v>
      </c>
      <c r="AP312">
        <v>8801096</v>
      </c>
      <c r="AQ312">
        <v>10052837</v>
      </c>
      <c r="AR312">
        <v>8753265</v>
      </c>
      <c r="AS312">
        <v>5623334</v>
      </c>
      <c r="AT312" s="23" t="s">
        <v>957</v>
      </c>
      <c r="AU312" s="18">
        <v>49505.43</v>
      </c>
      <c r="AV312" s="18">
        <v>4788757</v>
      </c>
      <c r="AW312" s="19">
        <v>5412759</v>
      </c>
      <c r="AX312" s="19">
        <v>7183020.5</v>
      </c>
      <c r="AY312" s="20">
        <v>3543988</v>
      </c>
      <c r="AZ312" s="20">
        <v>4321534.5</v>
      </c>
      <c r="BA312" s="21">
        <v>4686975.5</v>
      </c>
      <c r="BB312" s="21">
        <v>4413620</v>
      </c>
    </row>
  </sheetData>
  <autoFilter ref="A1:BB312" xr:uid="{06CB099D-6FD7-47AB-B991-7A2099F2CF1D}">
    <filterColumn colId="45">
      <filters>
        <filter val="cdsA"/>
        <filter val="DPOL_BPPH2"/>
        <filter val="ftsA"/>
        <filter val="ftsZ"/>
        <filter val="minD"/>
        <filter val="minE"/>
        <filter val="plsB"/>
        <filter val="plsC"/>
        <filter val="PMT_MYCTU1"/>
        <filter val="psd"/>
        <filter val="pssA"/>
        <filter val="TERM_BPPH2"/>
        <filter val="UPI001D0F4A03_Aequorea"/>
      </filters>
    </filterColumn>
    <sortState xmlns:xlrd2="http://schemas.microsoft.com/office/spreadsheetml/2017/richdata2" ref="A2:BB312">
      <sortCondition ref="AT1:AT312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Search settings and infos</vt:lpstr>
      <vt:lpstr>Import and filters</vt:lpstr>
      <vt:lpstr>Quant config</vt:lpstr>
      <vt:lpstr>Protein sets</vt:lpstr>
      <vt:lpstr>Protein sets (2)</vt:lpstr>
      <vt:lpstr>Histogrammes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Yannick Bernard-Lapeyre</cp:lastModifiedBy>
  <dcterms:created xsi:type="dcterms:W3CDTF">2025-06-24T12:13:32Z</dcterms:created>
  <dcterms:modified xsi:type="dcterms:W3CDTF">2025-08-28T15:53:23Z</dcterms:modified>
</cp:coreProperties>
</file>