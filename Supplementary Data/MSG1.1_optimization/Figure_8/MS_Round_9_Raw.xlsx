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bernard\Downloads\"/>
    </mc:Choice>
  </mc:AlternateContent>
  <xr:revisionPtr revIDLastSave="0" documentId="13_ncr:1_{76743ACC-EEFB-4D74-81ED-66C4DEFE2D19}" xr6:coauthVersionLast="47" xr6:coauthVersionMax="47" xr10:uidLastSave="{00000000-0000-0000-0000-000000000000}"/>
  <bookViews>
    <workbookView xWindow="19080" yWindow="-120" windowWidth="19440" windowHeight="15000" firstSheet="1" activeTab="5" xr2:uid="{00000000-000D-0000-FFFF-FFFF00000000}"/>
  </bookViews>
  <sheets>
    <sheet name="Search settings and infos" sheetId="1" r:id="rId1"/>
    <sheet name="Import and filters" sheetId="2" r:id="rId2"/>
    <sheet name="Quant config" sheetId="3" r:id="rId3"/>
    <sheet name="Protein sets" sheetId="4" r:id="rId4"/>
    <sheet name="Protein sets (2)" sheetId="5" r:id="rId5"/>
    <sheet name="histogrammes" sheetId="6" r:id="rId6"/>
  </sheets>
  <definedNames>
    <definedName name="_xlnm._FilterDatabase" localSheetId="4" hidden="1">'Protein sets (2)'!$A$1:$CX$1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Q14" i="6" l="1"/>
  <c r="DN14" i="6"/>
  <c r="DV2" i="6"/>
  <c r="DW2" i="6"/>
  <c r="DX2" i="6"/>
  <c r="DY2" i="6"/>
  <c r="DW3" i="6"/>
  <c r="DX3" i="6"/>
  <c r="DY3" i="6"/>
  <c r="DW4" i="6"/>
  <c r="DX4" i="6"/>
  <c r="DY4" i="6"/>
  <c r="DW5" i="6"/>
  <c r="DX5" i="6"/>
  <c r="DY5" i="6"/>
  <c r="DW6" i="6"/>
  <c r="DX6" i="6"/>
  <c r="DY6" i="6"/>
  <c r="DW7" i="6"/>
  <c r="DX7" i="6"/>
  <c r="DY7" i="6"/>
  <c r="DW8" i="6"/>
  <c r="DX8" i="6"/>
  <c r="DY8" i="6"/>
  <c r="DW9" i="6"/>
  <c r="DX9" i="6"/>
  <c r="DY9" i="6"/>
  <c r="DW10" i="6"/>
  <c r="DX10" i="6"/>
  <c r="DY10" i="6"/>
  <c r="DW11" i="6"/>
  <c r="DX11" i="6"/>
  <c r="DY11" i="6"/>
  <c r="DW12" i="6"/>
  <c r="DX12" i="6"/>
  <c r="DY12" i="6"/>
  <c r="DW13" i="6"/>
  <c r="DX13" i="6"/>
  <c r="DY13" i="6"/>
  <c r="DW14" i="6"/>
  <c r="DX14" i="6"/>
  <c r="DY14" i="6"/>
  <c r="DV14" i="6"/>
  <c r="DV13" i="6"/>
  <c r="DV12" i="6"/>
  <c r="DV11" i="6"/>
  <c r="DV10" i="6"/>
  <c r="DV9" i="6"/>
  <c r="DV8" i="6"/>
  <c r="DV7" i="6"/>
  <c r="DV6" i="6"/>
  <c r="DV5" i="6"/>
  <c r="DV4" i="6"/>
  <c r="DV3" i="6"/>
  <c r="EA2" i="6"/>
  <c r="EB2" i="6"/>
  <c r="EC2" i="6"/>
  <c r="EA3" i="6"/>
  <c r="EB3" i="6"/>
  <c r="EC3" i="6"/>
  <c r="EA4" i="6"/>
  <c r="EB4" i="6"/>
  <c r="EC4" i="6"/>
  <c r="EA5" i="6"/>
  <c r="EB5" i="6"/>
  <c r="EC5" i="6"/>
  <c r="EA6" i="6"/>
  <c r="EB6" i="6"/>
  <c r="EC6" i="6"/>
  <c r="EA7" i="6"/>
  <c r="EB7" i="6"/>
  <c r="EC7" i="6"/>
  <c r="EA8" i="6"/>
  <c r="EB8" i="6"/>
  <c r="EC8" i="6"/>
  <c r="EA9" i="6"/>
  <c r="EB9" i="6"/>
  <c r="EC9" i="6"/>
  <c r="EA10" i="6"/>
  <c r="EB10" i="6"/>
  <c r="EC10" i="6"/>
  <c r="EA11" i="6"/>
  <c r="EB11" i="6"/>
  <c r="EC11" i="6"/>
  <c r="EA12" i="6"/>
  <c r="EB12" i="6"/>
  <c r="EC12" i="6"/>
  <c r="EA13" i="6"/>
  <c r="EB13" i="6"/>
  <c r="EC13" i="6"/>
  <c r="EA14" i="6"/>
  <c r="EB14" i="6"/>
  <c r="EC14" i="6"/>
  <c r="DZ14" i="6"/>
  <c r="DZ13" i="6"/>
  <c r="DZ12" i="6"/>
  <c r="DZ11" i="6"/>
  <c r="DZ10" i="6"/>
  <c r="DZ9" i="6"/>
  <c r="DZ8" i="6"/>
  <c r="DZ7" i="6"/>
  <c r="DZ6" i="6"/>
  <c r="DZ5" i="6"/>
  <c r="DZ4" i="6"/>
  <c r="DZ3" i="6"/>
  <c r="DZ2" i="6"/>
  <c r="DN2" i="6"/>
  <c r="DM2" i="6"/>
  <c r="DL2" i="6"/>
  <c r="DK2" i="6"/>
  <c r="DO2" i="6"/>
  <c r="DO3" i="6"/>
  <c r="DO4" i="6"/>
  <c r="DO5" i="6"/>
  <c r="DO6" i="6"/>
  <c r="DO7" i="6"/>
  <c r="DO8" i="6"/>
  <c r="DO9" i="6"/>
  <c r="DO10" i="6"/>
  <c r="DO11" i="6"/>
  <c r="DO12" i="6"/>
  <c r="DO13" i="6"/>
  <c r="DO14" i="6"/>
  <c r="DB3" i="6"/>
  <c r="DC3" i="6"/>
  <c r="DD3" i="6"/>
  <c r="DE3" i="6"/>
  <c r="DF3" i="6"/>
  <c r="DG3" i="6"/>
  <c r="DH3" i="6"/>
  <c r="DI3" i="6"/>
  <c r="DB4" i="6"/>
  <c r="DC4" i="6"/>
  <c r="DD4" i="6"/>
  <c r="DE4" i="6"/>
  <c r="DF4" i="6"/>
  <c r="DG4" i="6"/>
  <c r="DH4" i="6"/>
  <c r="DI4" i="6"/>
  <c r="DB5" i="6"/>
  <c r="DC5" i="6"/>
  <c r="DN5" i="6" s="1"/>
  <c r="DD5" i="6"/>
  <c r="DE5" i="6"/>
  <c r="DF5" i="6"/>
  <c r="DG5" i="6"/>
  <c r="DH5" i="6"/>
  <c r="DI5" i="6"/>
  <c r="DB6" i="6"/>
  <c r="DC6" i="6"/>
  <c r="DN6" i="6" s="1"/>
  <c r="DD6" i="6"/>
  <c r="DE6" i="6"/>
  <c r="DF6" i="6"/>
  <c r="DG6" i="6"/>
  <c r="DH6" i="6"/>
  <c r="DI6" i="6"/>
  <c r="DB7" i="6"/>
  <c r="DC7" i="6"/>
  <c r="DD7" i="6"/>
  <c r="DE7" i="6"/>
  <c r="DF7" i="6"/>
  <c r="DG7" i="6"/>
  <c r="DH7" i="6"/>
  <c r="DI7" i="6"/>
  <c r="DB8" i="6"/>
  <c r="DC8" i="6"/>
  <c r="DN8" i="6" s="1"/>
  <c r="DD8" i="6"/>
  <c r="DE8" i="6"/>
  <c r="DF8" i="6"/>
  <c r="DG8" i="6"/>
  <c r="DH8" i="6"/>
  <c r="DI8" i="6"/>
  <c r="DB9" i="6"/>
  <c r="DC9" i="6"/>
  <c r="DN9" i="6" s="1"/>
  <c r="DD9" i="6"/>
  <c r="DE9" i="6"/>
  <c r="DF9" i="6"/>
  <c r="DG9" i="6"/>
  <c r="DH9" i="6"/>
  <c r="DI9" i="6"/>
  <c r="DB10" i="6"/>
  <c r="DC10" i="6"/>
  <c r="DN10" i="6" s="1"/>
  <c r="DD10" i="6"/>
  <c r="DE10" i="6"/>
  <c r="DF10" i="6"/>
  <c r="DG10" i="6"/>
  <c r="DH10" i="6"/>
  <c r="DI10" i="6"/>
  <c r="DB11" i="6"/>
  <c r="DM11" i="6" s="1"/>
  <c r="DC11" i="6"/>
  <c r="DD11" i="6"/>
  <c r="DE11" i="6"/>
  <c r="DF11" i="6"/>
  <c r="DG11" i="6"/>
  <c r="DH11" i="6"/>
  <c r="DI11" i="6"/>
  <c r="DB12" i="6"/>
  <c r="DM12" i="6" s="1"/>
  <c r="DC12" i="6"/>
  <c r="DN12" i="6" s="1"/>
  <c r="DD12" i="6"/>
  <c r="DE12" i="6"/>
  <c r="DF12" i="6"/>
  <c r="DG12" i="6"/>
  <c r="DH12" i="6"/>
  <c r="DI12" i="6"/>
  <c r="DB13" i="6"/>
  <c r="DM13" i="6" s="1"/>
  <c r="DC13" i="6"/>
  <c r="DN13" i="6" s="1"/>
  <c r="DD13" i="6"/>
  <c r="DE13" i="6"/>
  <c r="DF13" i="6"/>
  <c r="DG13" i="6"/>
  <c r="DH13" i="6"/>
  <c r="DI13" i="6"/>
  <c r="DB14" i="6"/>
  <c r="DC14" i="6"/>
  <c r="DD14" i="6"/>
  <c r="DE14" i="6"/>
  <c r="DF14" i="6"/>
  <c r="DG14" i="6"/>
  <c r="DH14" i="6"/>
  <c r="DI14" i="6"/>
  <c r="DS14" i="6" s="1"/>
  <c r="DI2" i="6"/>
  <c r="DH2" i="6"/>
  <c r="DG2" i="6"/>
  <c r="DF2" i="6"/>
  <c r="DE2" i="6"/>
  <c r="DP2" i="6" s="1"/>
  <c r="DC2" i="6"/>
  <c r="DD2" i="6"/>
  <c r="DB2" i="6"/>
  <c r="DA3" i="6"/>
  <c r="DL3" i="6" s="1"/>
  <c r="DA4" i="6"/>
  <c r="DL4" i="6" s="1"/>
  <c r="DA5" i="6"/>
  <c r="DL5" i="6" s="1"/>
  <c r="DA6" i="6"/>
  <c r="DL6" i="6" s="1"/>
  <c r="DA7" i="6"/>
  <c r="DL7" i="6" s="1"/>
  <c r="DA8" i="6"/>
  <c r="DL8" i="6" s="1"/>
  <c r="DA9" i="6"/>
  <c r="DL9" i="6" s="1"/>
  <c r="DA10" i="6"/>
  <c r="DL10" i="6" s="1"/>
  <c r="DA11" i="6"/>
  <c r="DL11" i="6" s="1"/>
  <c r="DA12" i="6"/>
  <c r="DL12" i="6" s="1"/>
  <c r="DA13" i="6"/>
  <c r="DL13" i="6" s="1"/>
  <c r="DA14" i="6"/>
  <c r="DL14" i="6" s="1"/>
  <c r="DA2" i="6"/>
  <c r="CZ3" i="6"/>
  <c r="DK3" i="6" s="1"/>
  <c r="CZ4" i="6"/>
  <c r="DK4" i="6" s="1"/>
  <c r="CZ5" i="6"/>
  <c r="DK5" i="6" s="1"/>
  <c r="CZ6" i="6"/>
  <c r="DK6" i="6" s="1"/>
  <c r="CZ7" i="6"/>
  <c r="DK7" i="6" s="1"/>
  <c r="CZ8" i="6"/>
  <c r="DK8" i="6" s="1"/>
  <c r="CZ9" i="6"/>
  <c r="DK9" i="6" s="1"/>
  <c r="CZ10" i="6"/>
  <c r="DK10" i="6" s="1"/>
  <c r="CZ11" i="6"/>
  <c r="DK11" i="6" s="1"/>
  <c r="CZ12" i="6"/>
  <c r="DK12" i="6" s="1"/>
  <c r="CZ13" i="6"/>
  <c r="DK13" i="6" s="1"/>
  <c r="CZ14" i="6"/>
  <c r="DK14" i="6" s="1"/>
  <c r="CZ2" i="6"/>
  <c r="DR14" i="6" l="1"/>
  <c r="DR13" i="6"/>
  <c r="DR12" i="6"/>
  <c r="DR11" i="6"/>
  <c r="DR10" i="6"/>
  <c r="DR9" i="6"/>
  <c r="DR8" i="6"/>
  <c r="DR7" i="6"/>
  <c r="DR6" i="6"/>
  <c r="DR5" i="6"/>
  <c r="DR4" i="6"/>
  <c r="DR3" i="6"/>
  <c r="DQ13" i="6"/>
  <c r="DQ12" i="6"/>
  <c r="DQ11" i="6"/>
  <c r="DQ10" i="6"/>
  <c r="DQ9" i="6"/>
  <c r="DM9" i="6"/>
  <c r="DQ8" i="6"/>
  <c r="DM8" i="6"/>
  <c r="DQ7" i="6"/>
  <c r="DM7" i="6"/>
  <c r="DQ6" i="6"/>
  <c r="DQ5" i="6"/>
  <c r="DM5" i="6"/>
  <c r="DQ4" i="6"/>
  <c r="DM4" i="6"/>
  <c r="DQ3" i="6"/>
  <c r="DM3" i="6"/>
  <c r="DP11" i="6"/>
  <c r="DP7" i="6"/>
  <c r="DP3" i="6"/>
  <c r="DS13" i="6"/>
  <c r="DS12" i="6"/>
  <c r="DS11" i="6"/>
  <c r="DS10" i="6"/>
  <c r="DS9" i="6"/>
  <c r="DS8" i="6"/>
  <c r="DS7" i="6"/>
  <c r="DS6" i="6"/>
  <c r="DS5" i="6"/>
  <c r="DS4" i="6"/>
  <c r="DS3" i="6"/>
  <c r="DN3" i="6"/>
  <c r="DQ2" i="6"/>
  <c r="DP14" i="6"/>
  <c r="DP13" i="6"/>
  <c r="DP12" i="6"/>
  <c r="DP10" i="6"/>
  <c r="DP9" i="6"/>
  <c r="DP8" i="6"/>
  <c r="DP6" i="6"/>
  <c r="DP5" i="6"/>
  <c r="DP4" i="6"/>
  <c r="DR2" i="6"/>
  <c r="DM14" i="6"/>
  <c r="DN11" i="6"/>
  <c r="DM10" i="6"/>
  <c r="DN7" i="6"/>
  <c r="DM6" i="6"/>
  <c r="DS2" i="6"/>
  <c r="DN4" i="6"/>
</calcChain>
</file>

<file path=xl/sharedStrings.xml><?xml version="1.0" encoding="utf-8"?>
<sst xmlns="http://schemas.openxmlformats.org/spreadsheetml/2006/main" count="3649" uniqueCount="1353">
  <si>
    <t>protein_set_id</t>
  </si>
  <si>
    <t>accession</t>
  </si>
  <si>
    <t>gene_name</t>
  </si>
  <si>
    <t>samesets_accessions</t>
  </si>
  <si>
    <t>subsets_accessions</t>
  </si>
  <si>
    <t>description</t>
  </si>
  <si>
    <t>protein_set_score</t>
  </si>
  <si>
    <t>is_validated</t>
  </si>
  <si>
    <t>selection_level</t>
  </si>
  <si>
    <t>#sameset_protein_matches</t>
  </si>
  <si>
    <t>#subset_protein_matches</t>
  </si>
  <si>
    <t>coverage</t>
  </si>
  <si>
    <t>MW</t>
  </si>
  <si>
    <t>#observable_peptides</t>
  </si>
  <si>
    <t>#sequences</t>
  </si>
  <si>
    <t>#specific_sequences</t>
  </si>
  <si>
    <t>#peptides</t>
  </si>
  <si>
    <t>#specific_peptides</t>
  </si>
  <si>
    <t>spectral_count</t>
  </si>
  <si>
    <t>specific_spectral_count</t>
  </si>
  <si>
    <t>quantified_peptides_count</t>
  </si>
  <si>
    <t>peptides_count_1_comp1_01nM A</t>
  </si>
  <si>
    <t>peptides_count_11_comp5_1nM A</t>
  </si>
  <si>
    <t>peptides_count_3_comp2_01nM A</t>
  </si>
  <si>
    <t>peptides_count_13_comp6_1nM A</t>
  </si>
  <si>
    <t>peptides_count_5_comp3_01nM A</t>
  </si>
  <si>
    <t>peptides_count_15_comp7_1nM A</t>
  </si>
  <si>
    <t>peptides_count_7_comp4_01nM A</t>
  </si>
  <si>
    <t>peptides_count_17_comp8_1nM A</t>
  </si>
  <si>
    <t>peptides_count_9_ref_01nM A</t>
  </si>
  <si>
    <t>peptides_count_19_ref_1nM A</t>
  </si>
  <si>
    <t>peptides_count_2_comp1_01nM B</t>
  </si>
  <si>
    <t>peptides_count_12_comp5_1nM B</t>
  </si>
  <si>
    <t>peptides_count_4_comp2_01nM B</t>
  </si>
  <si>
    <t>peptides_count_14_comp6_1nM B</t>
  </si>
  <si>
    <t>peptides_count_6_comp3_01nM B</t>
  </si>
  <si>
    <t>peptides_count_16_comp7_1nM B</t>
  </si>
  <si>
    <t>peptides_count_8_comp4_01nM B</t>
  </si>
  <si>
    <t>peptides_count_18_comp8_1nM B</t>
  </si>
  <si>
    <t>peptides_count_10_ref_01nM B</t>
  </si>
  <si>
    <t>peptides_count_20_ref_1nM B</t>
  </si>
  <si>
    <t>psm_count_1_comp1_01nM A</t>
  </si>
  <si>
    <t>psm_count_11_comp5_1nM A</t>
  </si>
  <si>
    <t>psm_count_3_comp2_01nM A</t>
  </si>
  <si>
    <t>psm_count_13_comp6_1nM A</t>
  </si>
  <si>
    <t>psm_count_5_comp3_01nM A</t>
  </si>
  <si>
    <t>psm_count_15_comp7_1nM A</t>
  </si>
  <si>
    <t>psm_count_7_comp4_01nM A</t>
  </si>
  <si>
    <t>psm_count_17_comp8_1nM A</t>
  </si>
  <si>
    <t>psm_count_9_ref_01nM A</t>
  </si>
  <si>
    <t>psm_count_19_ref_1nM A</t>
  </si>
  <si>
    <t>psm_count_2_comp1_01nM B</t>
  </si>
  <si>
    <t>psm_count_12_comp5_1nM B</t>
  </si>
  <si>
    <t>psm_count_4_comp2_01nM B</t>
  </si>
  <si>
    <t>psm_count_14_comp6_1nM B</t>
  </si>
  <si>
    <t>psm_count_6_comp3_01nM B</t>
  </si>
  <si>
    <t>psm_count_16_comp7_1nM B</t>
  </si>
  <si>
    <t>psm_count_8_comp4_01nM B</t>
  </si>
  <si>
    <t>psm_count_18_comp8_1nM B</t>
  </si>
  <si>
    <t>psm_count_10_ref_01nM B</t>
  </si>
  <si>
    <t>psm_count_20_ref_1nM B</t>
  </si>
  <si>
    <t>raw_abundance_1_comp1_01nM A</t>
  </si>
  <si>
    <t>raw_abundance_11_comp5_1nM A</t>
  </si>
  <si>
    <t>raw_abundance_3_comp2_01nM A</t>
  </si>
  <si>
    <t>raw_abundance_13_comp6_1nM A</t>
  </si>
  <si>
    <t>raw_abundance_5_comp3_01nM A</t>
  </si>
  <si>
    <t>raw_abundance_15_comp7_1nM A</t>
  </si>
  <si>
    <t>raw_abundance_7_comp4_01nM A</t>
  </si>
  <si>
    <t>raw_abundance_17_comp8_1nM A</t>
  </si>
  <si>
    <t>raw_abundance_9_ref_01nM A</t>
  </si>
  <si>
    <t>raw_abundance_19_ref_1nM A</t>
  </si>
  <si>
    <t>raw_abundance_2_comp1_01nM B</t>
  </si>
  <si>
    <t>raw_abundance_12_comp5_1nM B</t>
  </si>
  <si>
    <t>raw_abundance_4_comp2_01nM B</t>
  </si>
  <si>
    <t>raw_abundance_14_comp6_1nM B</t>
  </si>
  <si>
    <t>raw_abundance_6_comp3_01nM B</t>
  </si>
  <si>
    <t>raw_abundance_16_comp7_1nM B</t>
  </si>
  <si>
    <t>raw_abundance_8_comp4_01nM B</t>
  </si>
  <si>
    <t>raw_abundance_18_comp8_1nM B</t>
  </si>
  <si>
    <t>raw_abundance_10_ref_01nM B</t>
  </si>
  <si>
    <t>raw_abundance_20_ref_1nM B</t>
  </si>
  <si>
    <t>abundance_1_comp1_01nM A</t>
  </si>
  <si>
    <t>abundance_11_comp5_1nM A</t>
  </si>
  <si>
    <t>abundance_3_comp2_01nM A</t>
  </si>
  <si>
    <t>abundance_13_comp6_1nM A</t>
  </si>
  <si>
    <t>abundance_5_comp3_01nM A</t>
  </si>
  <si>
    <t>abundance_15_comp7_1nM A</t>
  </si>
  <si>
    <t>abundance_7_comp4_01nM A</t>
  </si>
  <si>
    <t>abundance_17_comp8_1nM A</t>
  </si>
  <si>
    <t>abundance_9_ref_01nM A</t>
  </si>
  <si>
    <t>abundance_19_ref_1nM A</t>
  </si>
  <si>
    <t>abundance_2_comp1_01nM B</t>
  </si>
  <si>
    <t>abundance_12_comp5_1nM B</t>
  </si>
  <si>
    <t>abundance_4_comp2_01nM B</t>
  </si>
  <si>
    <t>abundance_14_comp6_1nM B</t>
  </si>
  <si>
    <t>abundance_6_comp3_01nM B</t>
  </si>
  <si>
    <t>abundance_16_comp7_1nM B</t>
  </si>
  <si>
    <t>abundance_8_comp4_01nM B</t>
  </si>
  <si>
    <t>abundance_18_comp8_1nM B</t>
  </si>
  <si>
    <t>abundance_10_ref_01nM B</t>
  </si>
  <si>
    <t>abundance_20_ref_1nM B</t>
  </si>
  <si>
    <t>RS1_ECO57</t>
  </si>
  <si>
    <t>RS1_ECO57; RS1_ECOL6; RS1_ECOLI</t>
  </si>
  <si>
    <t>P0AG69|RS1_ECO57 30S ribosomal protein S1 OS=Escherichia coli O157:H7 OX=83334 GN=rpsA PE=3 SV=1</t>
  </si>
  <si>
    <t>true</t>
  </si>
  <si>
    <t>EFG_ECO24</t>
  </si>
  <si>
    <t>EFG_ECO24; EFG_ECO27; EFG_ECO45; EFG_ECO55; EFG_ECO57; EFG_ECO5E; EFG_ECO7I; EFG_ECO81; EFG_ECO8A; EFG_ECOBW; EFG_ECODH; EFG_ECOHS; EFG_ECOK1; EFG_ECOL5; EFG_ECOL6; EFG_ECOLC; EFG_ECOLI; EFG_ECOSE; EFG_ECOSM; EFG_ECOUT</t>
  </si>
  <si>
    <t>EFG_ECOLU</t>
  </si>
  <si>
    <t>A7ZSL5|EFG_ECO24 Elongation factor G OS=Escherichia coli O139:H28 (strain E24377A / ETEC) OX=331111 GN=fusA PE=3 SV=1</t>
  </si>
  <si>
    <t>PLSB_ECOK1</t>
  </si>
  <si>
    <t>PLSB_ECOK1; PLSB_ECOSE; PLSB_ECOUT</t>
  </si>
  <si>
    <t>PLSB_ECO24; PLSB_ECO27; PLSB_ECO45; PLSB_ECO55; PLSB_ECO57; PLSB_ECO5E; PLSB_ECO7I; PLSB_ECO81; PLSB_ECO8A; PLSB_ECOBW; PLSB_ECODH; PLSB_ECOHS; PLSB_ECOL6; PLSB_ECOLC; PLSB_ECOLI; PLSB_ECOLU; PLSB_ECOSM</t>
  </si>
  <si>
    <t>A1AIL8|PLSB_ECOK1 Glycerol-3-phosphate acyltransferase OS=Escherichia coli O1:K1 / APEC OX=405955 GN=plsB PE=3 SV=1</t>
  </si>
  <si>
    <t>EFTU1_ECO24</t>
  </si>
  <si>
    <t>EFTU1_ECO24; EFTU1_ECOHS; EFTU1_ECOK1; EFTU1_ECOL5; EFTU1_ECOLC; EFTU1_ECOLI; EFTU1_ECOUT</t>
  </si>
  <si>
    <t>EFTU2_ECO24; EFTU2_ECOHS; EFTU2_ECOK1; EFTU2_ECOL5; EFTU2_ECOLC; EFTU2_ECOLI; EFTU2_ECOUT; EFTU_ECO57; EFTU_ECOL6</t>
  </si>
  <si>
    <t>A7ZSL4|EFTU1_ECO24 Elongation factor Tu 1 OS=Escherichia coli O139:H28 (strain E24377A / ETEC) OX=331111 GN=tuf1 PE=3 SV=1</t>
  </si>
  <si>
    <t>DPOL_BPPH2</t>
  </si>
  <si>
    <t>sp|P03680|DPOL_BPPH2 DNA polymerase OS=Bacillus phage phi29 OX=2884424 GN=2 PE=1 SV=1</t>
  </si>
  <si>
    <t>SYA_ECODH</t>
  </si>
  <si>
    <t>SYA_ECODH; SYA_ECOLC; SYA_ECOLI</t>
  </si>
  <si>
    <t>SYA_ECO24; SYA_ECO57; SYA_ECOHS; SYA_ECOK1; SYA_ECOL5; SYA_ECOSM; SYA_ECOUT</t>
  </si>
  <si>
    <t>B1XCM5|SYA_ECODH Alanine--tRNA ligase OS=Escherichia coli (strain K12 / DH10B) OX=316385 GN=alaS PE=3 SV=1</t>
  </si>
  <si>
    <t>FTSZ_ECO57</t>
  </si>
  <si>
    <t>FTSZ_ECO57; FTSZ_ECOL6; FTSZ_ECOLI</t>
  </si>
  <si>
    <t>P0A9A8|FTSZ_ECO57 Cell division protein FtsZ OS=Escherichia coli O157:H7 OX=83334 GN=ftsZ PE=3 SV=1</t>
  </si>
  <si>
    <t>IF2_ECO24</t>
  </si>
  <si>
    <t>IF2_ECO24; IF2_ECO55; IF2_ECO57; IF2_ECO5E; IF2_ECO7I; IF2_ECO8A; IF2_ECOBW; IF2_ECODH; IF2_ECOHS; IF2_ECOLC; IF2_ECOLI; IF2_ECOLU; IF2_ECOSE</t>
  </si>
  <si>
    <t>IF2_ECO27; IF2_ECO45; IF2_ECO81; IF2_ECOK1; IF2_ECOL5; IF2_ECOL6; IF2_ECOSM; IF2_ECOUT</t>
  </si>
  <si>
    <t>A7ZS65|IF2_ECO24 Translation initiation factor IF-2 OS=Escherichia coli O139:H28 (strain E24377A / ETEC) OX=331111 GN=infB PE=3 SV=1</t>
  </si>
  <si>
    <t>RL1_ECO24</t>
  </si>
  <si>
    <t>RL1_ECO24; RL1_ECO27; RL1_ECO45; RL1_ECO55; RL1_ECO57; RL1_ECO5E; RL1_ECO7I; RL1_ECO81; RL1_ECO8A; RL1_ECOBW; RL1_ECODH; RL1_ECOHS; RL1_ECOL5; RL1_ECOL6; RL1_ECOLC; RL1_ECOLI; RL1_ECOLU; RL1_ECOSE; RL1_ECOSM; RL1_ECOUT</t>
  </si>
  <si>
    <t>A7ZUJ7|RL1_ECO24 50S ribosomal protein L1 OS=Escherichia coli O139:H28 (strain E24377A / ETEC) OX=331111 GN=rplA PE=3 SV=1</t>
  </si>
  <si>
    <t>SYGB_ECOBW</t>
  </si>
  <si>
    <t>SYGB_ECOBW; SYGB_ECODH; SYGB_ECOHS; SYGB_ECOLC; SYGB_ECOLI</t>
  </si>
  <si>
    <t>SYGB_ECO24; SYGB_ECO27; SYGB_ECO45; SYGB_ECO55; SYGB_ECO57; SYGB_ECO5E; SYGB_ECO7I; SYGB_ECO81; SYGB_ECO8A; SYGB_ECOK1; SYGB_ECOL5; SYGB_ECOL6; SYGB_ECOLU; SYGB_ECOSE; SYGB_ECOSM; SYGB_ECOUT</t>
  </si>
  <si>
    <t>C4ZXE9|SYGB_ECOBW Glycine--tRNA ligase beta subunit OS=Escherichia coli (strain K12 / MC4100 / BW2952) OX=595496 GN=glyS PE=3 SV=1</t>
  </si>
  <si>
    <t>RL5_ECO24</t>
  </si>
  <si>
    <t>RL5_ECO24; RL5_ECO27; RL5_ECO45; RL5_ECO55; RL5_ECO57; RL5_ECO5E; RL5_ECO7I; RL5_ECO81; RL5_ECO8A; RL5_ECOBW; RL5_ECODH; RL5_ECOHS; RL5_ECOK1; RL5_ECOL5; RL5_ECOL6; RL5_ECOLC; RL5_ECOLI; RL5_ECOLU; RL5_ECOSE; RL5_ECOSM; RL5_ECOUT</t>
  </si>
  <si>
    <t>A7ZSJ7|RL5_ECO24 50S ribosomal protein L5 OS=Escherichia coli O139:H28 (strain E24377A / ETEC) OX=331111 GN=rplE PE=3 SV=1</t>
  </si>
  <si>
    <t>EFTS_ECO24</t>
  </si>
  <si>
    <t>EFTS_ECO24; EFTS_ECO27; EFTS_ECO45; EFTS_ECO55; EFTS_ECO57; EFTS_ECO5E; EFTS_ECO7I; EFTS_ECO81; EFTS_ECO8A; EFTS_ECOBW; EFTS_ECODH; EFTS_ECOHS; EFTS_ECOL5; EFTS_ECOL6; EFTS_ECOLC; EFTS_ECOLI; EFTS_ECOLU; EFTS_ECOSE; EFTS_ECOSM; EFTS_ECOUT</t>
  </si>
  <si>
    <t>A7ZHR0|EFTS_ECO24 Elongation factor Ts OS=Escherichia coli O139:H28 (strain E24377A / ETEC) OX=331111 GN=tsf PE=3 SV=1</t>
  </si>
  <si>
    <t>SYV_ECOLI</t>
  </si>
  <si>
    <t>SYV_ECO57; SYV_ECOL6</t>
  </si>
  <si>
    <t>P07118|SYV_ECOLI Valine--tRNA ligase OS=Escherichia coli (strain K12) OX=83333 GN=valS PE=1 SV=2</t>
  </si>
  <si>
    <t>RF3_ECO27</t>
  </si>
  <si>
    <t>RF3_ECO27; RF3_ECO55; RF3_ECO57; RF3_ECO5E; RF3_ECO81; RF3_ECOBW; RF3_ECODH; RF3_ECOK1; RF3_ECOL6; RF3_ECOLI; RF3_ECOLU; RF3_ECOSM; RF3_ECOUT</t>
  </si>
  <si>
    <t>RF3_ECO24; RF3_ECO8A; RF3_ECOHS; RF3_ECOLC; RF3_ECOSE</t>
  </si>
  <si>
    <t>B7UR02|RF3_ECO27 Peptide chain release factor 3 OS=Escherichia coli O127:H6 (strain E2348/69 / EPEC) OX=574521 GN=prfC PE=3 SV=1</t>
  </si>
  <si>
    <t>RL7_ECO24</t>
  </si>
  <si>
    <t>RL7_ECO24; RL7_ECO27; RL7_ECO45; RL7_ECO55; RL7_ECO57; RL7_ECO5E; RL7_ECO7I; RL7_ECO8A; RL7_ECOBW; RL7_ECODH; RL7_ECOHS; RL7_ECOL5; RL7_ECOL6; RL7_ECOLC; RL7_ECOLI; RL7_ECOLU; RL7_ECOSE; RL7_ECOSM; RL7_ECOUT</t>
  </si>
  <si>
    <t>RL7_ECO81</t>
  </si>
  <si>
    <t>A7ZUK0|RL7_ECO24 50S ribosomal protein L7/L12 OS=Escherichia coli O139:H28 (strain E24377A / ETEC) OX=331111 GN=rplL PE=3 SV=1</t>
  </si>
  <si>
    <t>RS5_ECO24</t>
  </si>
  <si>
    <t>RS5_ECO24; RS5_ECO57; RS5_ECOHS; RS5_ECOK1; RS5_ECOL5; RS5_ECOL6; RS5_ECOLC; RS5_ECOLI; RS5_ECOUT</t>
  </si>
  <si>
    <t>A7ZSJ2|RS5_ECO24 30S ribosomal protein S5 OS=Escherichia coli O139:H28 (strain E24377A / ETEC) OX=331111 GN=rpsE PE=3 SV=1</t>
  </si>
  <si>
    <t>RL4_ECO24</t>
  </si>
  <si>
    <t>RL4_ECO24; RL4_ECO27; RL4_ECO45; RL4_ECO55; RL4_ECO57; RL4_ECO5E; RL4_ECO7I; RL4_ECO81; RL4_ECO8A; RL4_ECOBW; RL4_ECODH; RL4_ECOHS; RL4_ECOK1; RL4_ECOL5; RL4_ECOL6; RL4_ECOLC; RL4_ECOLI; RL4_ECOLU; RL4_ECOSE; RL4_ECOSM; RL4_ECOUT</t>
  </si>
  <si>
    <t>A7ZSK8|RL4_ECO24 50S ribosomal protein L4 OS=Escherichia coli O139:H28 (strain E24377A / ETEC) OX=331111 GN=rplD PE=3 SV=1</t>
  </si>
  <si>
    <t>SYI_ECO55</t>
  </si>
  <si>
    <t>SYI_ECO55; SYI_ECO8A; SYI_ECOBW; SYI_ECODH; SYI_ECOLI; SYI_ECOSE</t>
  </si>
  <si>
    <t>SYI_ECO24; SYI_ECO27; SYI_ECO45; SYI_ECO57; SYI_ECO5E; SYI_ECO7I; SYI_ECO81; SYI_ECOHS; SYI_ECOK1; SYI_ECOL5; SYI_ECOL6; SYI_ECOLC; SYI_ECOSM; SYI_ECOUT</t>
  </si>
  <si>
    <t>B7L4E8|SYI_ECO55 Isoleucine--tRNA ligase OS=Escherichia coli (strain 55989 / EAEC) OX=585055 GN=ileS PE=3 SV=1</t>
  </si>
  <si>
    <t>PSS_ECOLI</t>
  </si>
  <si>
    <t>P23830|PSS_ECOLI CDP-diacylglycerol--serine O-phosphatidyltransferase OS=Escherichia coli (strain K12) OX=83333 GN=pssA PE=1 SV=2</t>
  </si>
  <si>
    <t>SYI_ECOLU</t>
  </si>
  <si>
    <t>B7N7Q0|SYI_ECOLU Isoleucine--tRNA ligase OS=Escherichia coli O17:K52:H18 (strain UMN026 / ExPEC) OX=585056 GN=ileS PE=3 SV=1</t>
  </si>
  <si>
    <t>RS2_ECO27</t>
  </si>
  <si>
    <t>RS2_ECO27; RS2_ECO45; RS2_ECO57; RS2_ECO5E; RS2_ECO7I; RS2_ECO81; RS2_ECOBW; RS2_ECODH; RS2_ECOK1; RS2_ECOL5; RS2_ECOL6; RS2_ECOLC; RS2_ECOLI; RS2_ECOLU; RS2_ECOSM; RS2_ECOUT</t>
  </si>
  <si>
    <t>RS2_ECO24; RS2_ECO55; RS2_ECO8A; RS2_ECOHS; RS2_ECOSE</t>
  </si>
  <si>
    <t>B7UIL4|RS2_ECO27 30S ribosomal protein S2 OS=Escherichia coli O127:H6 (strain E2348/69 / EPEC) OX=574521 GN=rpsB PE=3 SV=1</t>
  </si>
  <si>
    <t>SYP_ECOBW</t>
  </si>
  <si>
    <t>SYP_ECOBW; SYP_ECODH; SYP_ECOLI</t>
  </si>
  <si>
    <t>SYP_ECO24; SYP_ECO27; SYP_ECO45; SYP_ECO55; SYP_ECO57; SYP_ECO5E; SYP_ECO7I; SYP_ECO81; SYP_ECO8A; SYP_ECOHS; SYP_ECOK1; SYP_ECOL5; SYP_ECOL6; SYP_ECOLC; SYP_ECOLU; SYP_ECOSE; SYP_ECOSM; SYP_ECOUT</t>
  </si>
  <si>
    <t>C4ZRT7|SYP_ECOBW Proline--tRNA ligase OS=Escherichia coli (strain K12 / MC4100 / BW2952) OX=595496 GN=proS PE=3 SV=1</t>
  </si>
  <si>
    <t>RS3_ECO24</t>
  </si>
  <si>
    <t>RS3_ECO24; RS3_ECO27; RS3_ECO45; RS3_ECO55; RS3_ECO57; RS3_ECO5E; RS3_ECO7I; RS3_ECO81; RS3_ECO8A; RS3_ECOBW; RS3_ECOHS; RS3_ECOK1; RS3_ECOL5; RS3_ECOL6; RS3_ECOLC; RS3_ECOLI; RS3_ECOLU; RS3_ECOSE; RS3_ECOSM; RS3_ECOUT</t>
  </si>
  <si>
    <t>A7ZSK3|RS3_ECO24 30S ribosomal protein S3 OS=Escherichia coli O139:H28 (strain E24377A / ETEC) OX=331111 GN=rpsC PE=3 SV=1</t>
  </si>
  <si>
    <t>RL2_ECO24</t>
  </si>
  <si>
    <t>RL2_ECO24; RL2_ECO27; RL2_ECO45; RL2_ECO55; RL2_ECO57; RL2_ECO5E; RL2_ECO7I; RL2_ECO81; RL2_ECO8A; RL2_ECOBW; RL2_ECODH; RL2_ECOHS; RL2_ECOK1; RL2_ECOL5; RL2_ECOL6; RL2_ECOLC; RL2_ECOLI; RL2_ECOLU; RL2_ECOSE; RL2_ECOSM; RL2_ECOUT</t>
  </si>
  <si>
    <t>A7ZSK6|RL2_ECO24 50S ribosomal protein L2 OS=Escherichia coli O139:H28 (strain E24377A / ETEC) OX=331111 GN=rplB PE=3 SV=1</t>
  </si>
  <si>
    <t>MIND_ECO57</t>
  </si>
  <si>
    <t>MIND_ECO57; MIND_ECOL6; MIND_ECOLI</t>
  </si>
  <si>
    <t>P0AEZ5|MIND_ECO57 Septum site-determining protein MinD OS=Escherichia coli O157:H7 OX=83334 GN=minD PE=3 SV=2</t>
  </si>
  <si>
    <t>RS7_ECO24</t>
  </si>
  <si>
    <t>RS7_ECO24; RS7_ECO27; RS7_ECO45; RS7_ECO55; RS7_ECO57; RS7_ECO5E; RS7_ECO7I; RS7_ECO81; RS7_ECO8A; RS7_ECOBW; RS7_ECODH; RS7_ECOHS; RS7_ECOK1; RS7_ECOL5; RS7_ECOL6; RS7_ECOLC; RS7_ECOLI; RS7_ECOLU; RS7_ECOSE; RS7_ECOSM; RS7_ECOUT</t>
  </si>
  <si>
    <t>A7ZSL6|RS7_ECO24 30S ribosomal protein S7 OS=Escherichia coli O139:H28 (strain E24377A / ETEC) OX=331111 GN=rpsG PE=3 SV=1</t>
  </si>
  <si>
    <t>PSD_ECO24</t>
  </si>
  <si>
    <t>PSD_ECO24; PSD_ECO57; PSD_ECO5E; PSD_ECO81; PSD_ECO8A; PSD_ECOBW; PSD_ECODH; PSD_ECOL5; PSD_ECOL6; PSD_ECOLC; PSD_ECOLI; PSD_ECOLU; PSD_ECOSE; PSD_ECOSM</t>
  </si>
  <si>
    <t>PSD_ECO45; PSD_ECO55; PSD_ECOHS; PSD_ECOUT</t>
  </si>
  <si>
    <t>A7ZV31|PSD_ECO24 Phosphatidylserine decarboxylase proenzyme OS=Escherichia coli O139:H28 (strain E24377A / ETEC) OX=331111 GN=psd PE=3 SV=1</t>
  </si>
  <si>
    <t>RL3_ECO24</t>
  </si>
  <si>
    <t>RL3_ECO24; RL3_ECO27; RL3_ECO45; RL3_ECO55; RL3_ECO57; RL3_ECO5E; RL3_ECO7I; RL3_ECO81; RL3_ECO8A; RL3_ECOBW; RL3_ECODH; RL3_ECOHS; RL3_ECOK1; RL3_ECOL5; RL3_ECOL6; RL3_ECOLC; RL3_ECOLI; RL3_ECOLU; RL3_ECOSE; RL3_ECOSM; RL3_ECOUT</t>
  </si>
  <si>
    <t>A7ZSK9|RL3_ECO24 50S ribosomal protein L3 OS=Escherichia coli O139:H28 (strain E24377A / ETEC) OX=331111 GN=rplC PE=3 SV=1</t>
  </si>
  <si>
    <t>RS4_ECO24</t>
  </si>
  <si>
    <t>RS4_ECO24; RS4_ECO27; RS4_ECO45; RS4_ECO55; RS4_ECO57; RS4_ECO5E; RS4_ECO7I; RS4_ECO81; RS4_ECO8A; RS4_ECOBW; RS4_ECODH; RS4_ECOHS; RS4_ECOK1; RS4_ECOL5; RS4_ECOL6; RS4_ECOLC; RS4_ECOLI; RS4_ECOLU; RS4_ECOSE; RS4_ECOSM; RS4_ECOUT</t>
  </si>
  <si>
    <t>A7ZSI5|RS4_ECO24 30S ribosomal protein S4 OS=Escherichia coli O139:H28 (strain E24377A / ETEC) OX=331111 GN=rpsD PE=3 SV=1</t>
  </si>
  <si>
    <t>SYM_ECO24</t>
  </si>
  <si>
    <t>SYM_ECO24; SYM_ECO55; SYM_ECO7I; SYM_ECO81; SYM_ECO8A; SYM_ECOBW; SYM_ECODH; SYM_ECOL5; SYM_ECOLI; SYM_ECOSE; SYM_ECOSM</t>
  </si>
  <si>
    <t>SYM_ECO27; SYM_ECO45; SYM_ECO57; SYM_ECO5E; SYM_ECOHS; SYM_ECOK1; SYM_ECOL6; SYM_ECOLC; SYM_ECOLU; SYM_ECOUT</t>
  </si>
  <si>
    <t>A7ZNT3|SYM_ECO24 Methionine--tRNA ligase OS=Escherichia coli O139:H28 (strain E24377A / ETEC) OX=331111 GN=metG PE=3 SV=1</t>
  </si>
  <si>
    <t>SYL_ECOBW</t>
  </si>
  <si>
    <t>SYL_ECOBW; SYL_ECOLI</t>
  </si>
  <si>
    <t>SYL_ECO24; SYL_ECO27; SYL_ECO45; SYL_ECO55; SYL_ECO57; SYL_ECO5E; SYL_ECO7I; SYL_ECO81; SYL_ECO8A; SYL_ECOHS; SYL_ECOK1; SYL_ECOL5; SYL_ECOL6; SYL_ECOLC; SYL_ECOLU; SYL_ECOSE; SYL_ECOSM; SYL_ECOUT</t>
  </si>
  <si>
    <t>C4ZWC9|SYL_ECOBW Leucine--tRNA ligase OS=Escherichia coli (strain K12 / MC4100 / BW2952) OX=595496 GN=leuS PE=3 SV=1</t>
  </si>
  <si>
    <t>RL22_ECO24</t>
  </si>
  <si>
    <t>RL22_ECO24; RL22_ECO27; RL22_ECO45; RL22_ECO55; RL22_ECO57; RL22_ECO5E; RL22_ECO7I; RL22_ECO81; RL22_ECO8A; RL22_ECOBW; RL22_ECODH; RL22_ECOHS; RL22_ECOK1; RL22_ECOL5; RL22_ECOL6; RL22_ECOLC; RL22_ECOLI; RL22_ECOLU; RL22_ECOSE; RL22_ECOSM; RL22_ECOUT</t>
  </si>
  <si>
    <t>A7ZSK4|RL22_ECO24 50S ribosomal protein L22 OS=Escherichia coli O139:H28 (strain E24377A / ETEC) OX=331111 GN=rplV PE=3 SV=1</t>
  </si>
  <si>
    <t>SYFB_ECOL6</t>
  </si>
  <si>
    <t>SYFB_ECOL6; SYFB_ECOLI</t>
  </si>
  <si>
    <t>SYFB_ECO57</t>
  </si>
  <si>
    <t>P59664|SYFB_ECOL6 Phenylalanine--tRNA ligase beta subunit OS=Escherichia coli O6:H1 (strain CFT073 / ATCC 700928 / UPEC) OX=199310 GN=pheT PE=3 SV=1</t>
  </si>
  <si>
    <t>RL16_ECO24</t>
  </si>
  <si>
    <t>RL16_ECO24; RL16_ECO27; RL16_ECO45; RL16_ECO55; RL16_ECO57; RL16_ECO5E; RL16_ECO7I; RL16_ECO81; RL16_ECO8A; RL16_ECOBW; RL16_ECODH; RL16_ECOHS; RL16_ECOK1; RL16_ECOL5; RL16_ECOL6; RL16_ECOLC; RL16_ECOLI; RL16_ECOLU; RL16_ECOSE; RL16_ECOSM; RL16_ECOUT</t>
  </si>
  <si>
    <t>A7ZSK2|RL16_ECO24 50S ribosomal protein L16 OS=Escherichia coli O139:H28 (strain E24377A / ETEC) OX=331111 GN=rplP PE=3 SV=1</t>
  </si>
  <si>
    <t>PSD_ECO7I</t>
  </si>
  <si>
    <t>B7NTL9|PSD_ECO7I Phosphatidylserine decarboxylase proenzyme OS=Escherichia coli O7:K1 (strain IAI39 / ExPEC) OX=585057 GN=psd PE=3 SV=1</t>
  </si>
  <si>
    <t>TERM_BPPH2</t>
  </si>
  <si>
    <t>sp|P03681|TERM_BPPH2 Primer terminal protein OS=Bacillus phage phi29 OX=2884424 GN=3 PE=1 SV=1</t>
  </si>
  <si>
    <t>SYH_ECO24</t>
  </si>
  <si>
    <t>SYH_ECO24; SYH_ECO45; SYH_ECO55; SYH_ECO57; SYH_ECO5E; SYH_ECO7I; SYH_ECO81; SYH_ECO8A; SYH_ECOBW; SYH_ECODH; SYH_ECOHS; SYH_ECOK1; SYH_ECOL5; SYH_ECOL6; SYH_ECOLC; SYH_ECOLI; SYH_ECOSM; SYH_ECOUT</t>
  </si>
  <si>
    <t>SYH_ECO27; SYH_ECOLU; SYH_ECOSE</t>
  </si>
  <si>
    <t>A7ZPV7|SYH_ECO24 Histidine--tRNA ligase OS=Escherichia coli O139:H28 (strain E24377A / ETEC) OX=331111 GN=hisS PE=3 SV=1</t>
  </si>
  <si>
    <t>SYC_ECOBW</t>
  </si>
  <si>
    <t>SYC_ECOBW; SYC_ECODH; SYC_ECOLI</t>
  </si>
  <si>
    <t>SYC_ECO24; SYC_ECO27; SYC_ECO45; SYC_ECO55; SYC_ECO57; SYC_ECO5E; SYC_ECO7I; SYC_ECO81; SYC_ECO8A; SYC_ECOHS; SYC_ECOK1; SYC_ECOL5; SYC_ECOL6; SYC_ECOLC; SYC_ECOLU; SYC_ECOSE; SYC_ECOSM; SYC_ECOUT</t>
  </si>
  <si>
    <t>C4ZUX4|SYC_ECOBW Cysteine--tRNA ligase OS=Escherichia coli (strain K12 / MC4100 / BW2952) OX=595496 GN=cysS PE=3 SV=1</t>
  </si>
  <si>
    <t>RL6_ECO24</t>
  </si>
  <si>
    <t>RL6_ECO24; RL6_ECO27; RL6_ECO45; RL6_ECO55; RL6_ECO57; RL6_ECO5E; RL6_ECO7I; RL6_ECO81; RL6_ECO8A; RL6_ECOBW; RL6_ECODH; RL6_ECOHS; RL6_ECOK1; RL6_ECOL5; RL6_ECOL6; RL6_ECOLC; RL6_ECOLI; RL6_ECOLU; RL6_ECOSE; RL6_ECOSM; RL6_ECOUT</t>
  </si>
  <si>
    <t>A7ZSJ4|RL6_ECO24 50S ribosomal protein L6 OS=Escherichia coli O139:H28 (strain E24377A / ETEC) OX=331111 GN=rplF PE=3 SV=1</t>
  </si>
  <si>
    <t>PSD_ECO27</t>
  </si>
  <si>
    <t>B7UPY0|PSD_ECO27 Phosphatidylserine decarboxylase proenzyme OS=Escherichia coli O127:H6 (strain E2348/69 / EPEC) OX=574521 GN=psd PE=3 SV=1</t>
  </si>
  <si>
    <t>SYD_ECOBW</t>
  </si>
  <si>
    <t>SYD_ECOBW; SYD_ECODH; SYD_ECOHS; SYD_ECOLI</t>
  </si>
  <si>
    <t>SYD_ECO24; SYD_ECO27; SYD_ECO45; SYD_ECO55; SYD_ECO57; SYD_ECO5E; SYD_ECO7I; SYD_ECO81; SYD_ECO8A; SYD_ECOK1; SYD_ECOL5; SYD_ECOL6; SYD_ECOLC; SYD_ECOLU; SYD_ECOSE; SYD_ECOSM; SYD_ECOUT</t>
  </si>
  <si>
    <t>C4ZQF0|SYD_ECOBW Aspartate--tRNA ligase OS=Escherichia coli (strain K12 / MC4100 / BW2952) OX=595496 GN=aspS PE=3 SV=1</t>
  </si>
  <si>
    <t>RL9_ECO24</t>
  </si>
  <si>
    <t>RL9_ECO24; RL9_ECO27; RL9_ECO45; RL9_ECO55; RL9_ECO57; RL9_ECO5E; RL9_ECO7I; RL9_ECO81; RL9_ECO8A; RL9_ECOBW; RL9_ECODH; RL9_ECOHS; RL9_ECOK1; RL9_ECOL5; RL9_ECOL6; RL9_ECOLC; RL9_ECOLI; RL9_ECOLU; RL9_ECOSE; RL9_ECOSM; RL9_ECOUT</t>
  </si>
  <si>
    <t>A7ZV74|RL9_ECO24 50S ribosomal protein L9 OS=Escherichia coli O139:H28 (strain E24377A / ETEC) OX=331111 GN=rplI PE=3 SV=1</t>
  </si>
  <si>
    <t>ODP1_ECO57</t>
  </si>
  <si>
    <t>ODP1_ECO57; ODP1_ECOLI</t>
  </si>
  <si>
    <t>P0AFG9|ODP1_ECO57 Pyruvate dehydrogenase E1 component OS=Escherichia coli O157:H7 OX=83334 GN=aceE PE=1 SV=2</t>
  </si>
  <si>
    <t>SYK1_ECOL6</t>
  </si>
  <si>
    <t>SYK1_ECOL6; SYK1_ECOLI</t>
  </si>
  <si>
    <t>SYK1_ECO57</t>
  </si>
  <si>
    <t>P0A8N4|SYK1_ECOL6 Lysine--tRNA ligase OS=Escherichia coli O6:H1 (strain CFT073 / ATCC 700928 / UPEC) OX=199310 GN=lysS PE=3 SV=2</t>
  </si>
  <si>
    <t>RS6_ECO24</t>
  </si>
  <si>
    <t>RS6_ECO24; RS6_ECO27; RS6_ECO45; RS6_ECO55; RS6_ECO57; RS6_ECO5E; RS6_ECO7I; RS6_ECO81; RS6_ECO8A; RS6_ECOBW; RS6_ECODH; RS6_ECOHS; RS6_ECOK1; RS6_ECOL6; RS6_ECOLC; RS6_ECOSE; RS6_ECOSM; RS6_ECOUT</t>
  </si>
  <si>
    <t>RS6_ECOLI; RS6_ECOLU</t>
  </si>
  <si>
    <t>A7ZV71|RS6_ECO24 30S ribosomal protein S6 OS=Escherichia coli O139:H28 (strain E24377A / ETEC) OX=331111 GN=rpsF PE=3 SV=1</t>
  </si>
  <si>
    <t>FTSA_ECO57</t>
  </si>
  <si>
    <t>FTSA_ECO57; FTSA_ECOL6; FTSA_ECOLI</t>
  </si>
  <si>
    <t>P0ABH2|FTSA_ECO57 Cell division protein FtsA OS=Escherichia coli O157:H7 OX=83334 GN=ftsA PE=3 SV=1</t>
  </si>
  <si>
    <t>IF3_ECO27</t>
  </si>
  <si>
    <t>IF3_ECO27; IF3_ECO57; IF3_ECOBW; IF3_ECOL6; IF3_ECOLC; IF3_ECOLI</t>
  </si>
  <si>
    <t>B7USA1|IF3_ECO27 Translation initiation factor IF-3 OS=Escherichia coli O127:H6 (strain E2348/69 / EPEC) OX=574521 GN=infC PE=3 SV=1</t>
  </si>
  <si>
    <t>RRF_ECO24</t>
  </si>
  <si>
    <t>RRF_ECO24; RRF_ECO27; RRF_ECO45; RRF_ECO55; RRF_ECO57; RRF_ECO5E; RRF_ECO7I; RRF_ECO81; RRF_ECO8A; RRF_ECOBW; RRF_ECODH; RRF_ECOHS; RRF_ECOL5; RRF_ECOL6; RRF_ECOLC; RRF_ECOLI; RRF_ECOLU; RRF_ECOSE; RRF_ECOSM; RRF_ECOUT</t>
  </si>
  <si>
    <t>A7ZHR2|RRF_ECO24 Ribosome-recycling factor OS=Escherichia coli O139:H28 (strain E24377A / ETEC) OX=331111 GN=frr PE=3 SV=1</t>
  </si>
  <si>
    <t>RL10_ECO24</t>
  </si>
  <si>
    <t>RL10_ECO24; RL10_ECO27; RL10_ECO45; RL10_ECO55; RL10_ECO57; RL10_ECO5E; RL10_ECO7I; RL10_ECO81; RL10_ECO8A; RL10_ECOBW; RL10_ECODH; RL10_ECOHS; RL10_ECOK1; RL10_ECOL5; RL10_ECOL6; RL10_ECOLC; RL10_ECOLI; RL10_ECOLU; RL10_ECOSE; RL10_ECOSM; RL10_ECOUT</t>
  </si>
  <si>
    <t>A7ZUJ8|RL10_ECO24 50S ribosomal protein L10 OS=Escherichia coli O139:H28 (strain E24377A / ETEC) OX=331111 GN=rplJ PE=3 SV=1</t>
  </si>
  <si>
    <t>RF2_ECO27</t>
  </si>
  <si>
    <t>RF2_ECO27; RF2_ECO45; RF2_ECO55; RF2_ECO57; RF2_ECO7I; RF2_ECO81; RF2_ECOBW; RF2_ECODH; RF2_ECOL6; RF2_ECOLC; RF2_ECOLI; RF2_ECOLU; RF2_ECOSM</t>
  </si>
  <si>
    <t>RF2_ECO8A; RF2_ECOHS</t>
  </si>
  <si>
    <t>B7UHU0|RF2_ECO27 Peptide chain release factor 2 OS=Escherichia coli O127:H6 (strain E2348/69 / EPEC) OX=574521 GN=prfB PE=3 SV=1</t>
  </si>
  <si>
    <t>RL15_ECOBW</t>
  </si>
  <si>
    <t>RL15_ECOBW; RL15_ECODH; RL15_ECOHS; RL15_ECOLC; RL15_ECOLI</t>
  </si>
  <si>
    <t>RL15_ECO24; RL15_ECO27; RL15_ECO45; RL15_ECO55; RL15_ECO57; RL15_ECO5E; RL15_ECO7I; RL15_ECO81; RL15_ECO8A; RL15_ECOK1; RL15_ECOL5; RL15_ECOL6; RL15_ECOLU; RL15_ECOSE; RL15_ECOSM; RL15_ECOUT</t>
  </si>
  <si>
    <t>C4ZUF6|RL15_ECOBW 50S ribosomal protein L15 OS=Escherichia coli (strain K12 / MC4100 / BW2952) OX=595496 GN=rplO PE=3 SV=1</t>
  </si>
  <si>
    <t>RF1_ECO24</t>
  </si>
  <si>
    <t>RF1_ECO24; RF1_ECO45; RF1_ECO55; RF1_ECO57; RF1_ECO5E; RF1_ECO7I; RF1_ECO8A; RF1_ECOBW; RF1_ECODH; RF1_ECOHS; RF1_ECOK1; RF1_ECOL5; RF1_ECOL6; RF1_ECOLC; RF1_ECOLI; RF1_ECOLU; RF1_ECOSE; RF1_ECOSM; RF1_ECOUT</t>
  </si>
  <si>
    <t>RF1_ECO27; RF1_ECO81</t>
  </si>
  <si>
    <t>A7ZKY5|RF1_ECO24 Peptide chain release factor 1 OS=Escherichia coli O139:H28 (strain E24377A / ETEC) OX=331111 GN=prfA PE=3 SV=1</t>
  </si>
  <si>
    <t>SYS_ECO24</t>
  </si>
  <si>
    <t>SYS_ECO24; SYS_ECO27; SYS_ECO45; SYS_ECO55; SYS_ECO57; SYS_ECO5E; SYS_ECO7I; SYS_ECO81; SYS_ECO8A; SYS_ECOBW; SYS_ECODH; SYS_ECOHS; SYS_ECOK1; SYS_ECOL5; SYS_ECOL6; SYS_ECOLC; SYS_ECOLI; SYS_ECOLU; SYS_ECOSE; SYS_ECOSM; SYS_ECOUT</t>
  </si>
  <si>
    <t>A7ZJW2|SYS_ECO24 Serine--tRNA ligase OS=Escherichia coli O139:H28 (strain E24377A / ETEC) OX=331111 GN=serS PE=3 SV=1</t>
  </si>
  <si>
    <t>SYY_ECO24</t>
  </si>
  <si>
    <t>SYY_ECO24; SYY_ECO27; SYY_ECO45; SYY_ECO55; SYY_ECO57; SYY_ECO5E; SYY_ECO7I; SYY_ECO81; SYY_ECOBW; SYY_ECODH; SYY_ECOHS; SYY_ECOK1; SYY_ECOL6; SYY_ECOLC; SYY_ECOLI; SYY_ECOLU; SYY_ECOSE; SYY_ECOSM; SYY_ECOUT</t>
  </si>
  <si>
    <t>SYY_ECO8A</t>
  </si>
  <si>
    <t>A7ZM99|SYY_ECO24 Tyrosine--tRNA ligase OS=Escherichia coli O139:H28 (strain E24377A / ETEC) OX=331111 GN=tyrS PE=3 SV=1</t>
  </si>
  <si>
    <t>RL25_ECO24</t>
  </si>
  <si>
    <t>RL25_ECO24; RL25_ECO55; RL25_ECO8A; RL25_ECOBW; RL25_ECODH; RL25_ECOHS; RL25_ECOLC; RL25_ECOLI; RL25_ECOSE</t>
  </si>
  <si>
    <t>RL25_ECO27; RL25_ECO45; RL25_ECO57; RL25_ECO5E; RL25_ECO7I; RL25_ECO81; RL25_ECOL5; RL25_ECOL6; RL25_ECOLU; RL25_ECOSM</t>
  </si>
  <si>
    <t>A7ZP09|RL25_ECO24 50S ribosomal protein L25 OS=Escherichia coli O139:H28 (strain E24377A / ETEC) OX=331111 GN=rplY PE=3 SV=1</t>
  </si>
  <si>
    <t>RS8_ECO24</t>
  </si>
  <si>
    <t>RS8_ECO24; RS8_ECO27; RS8_ECO45; RS8_ECO55; RS8_ECO57; RS8_ECO5E; RS8_ECO7I; RS8_ECO81; RS8_ECO8A; RS8_ECOBW; RS8_ECODH; RS8_ECOHS; RS8_ECOK1; RS8_ECOL5; RS8_ECOL6; RS8_ECOLC; RS8_ECOLI; RS8_ECOLU; RS8_ECOSE; RS8_ECOSM; RS8_ECOUT</t>
  </si>
  <si>
    <t>A7ZSJ5|RS8_ECO24 30S ribosomal protein S8 OS=Escherichia coli O139:H28 (strain E24377A / ETEC) OX=331111 GN=rpsH PE=3 SV=1</t>
  </si>
  <si>
    <t>RL24_ECO24</t>
  </si>
  <si>
    <t>RL24_ECO24; RL24_ECO55; RL24_ECO57; RL24_ECO5E; RL24_ECO7I; RL24_ECO8A; RL24_ECOBW; RL24_ECODH; RL24_ECOHS; RL24_ECOLC; RL24_ECOLI; RL24_ECOLU; RL24_ECOSE; RL24_ECOSM</t>
  </si>
  <si>
    <t>RL24_ECO27; RL24_ECO45; RL24_ECO81; RL24_ECOK1; RL24_ECOL5; RL24_ECOL6; RL24_ECOUT</t>
  </si>
  <si>
    <t>A7ZSJ8|RL24_ECO24 50S ribosomal protein L24 OS=Escherichia coli O139:H28 (strain E24377A / ETEC) OX=331111 GN=rplX PE=3 SV=1</t>
  </si>
  <si>
    <t>RS13_ECO57</t>
  </si>
  <si>
    <t>RS13_ECO57; RS13_ECOK1; RS13_ECOL5; RS13_ECOL6; RS13_ECOLI; RS13_ECOUT</t>
  </si>
  <si>
    <t>P0A7T1|RS13_ECO57 30S ribosomal protein S13 OS=Escherichia coli O157:H7 OX=83334 GN=rpsM PE=3 SV=2</t>
  </si>
  <si>
    <t>RL14_ECO24</t>
  </si>
  <si>
    <t>RL14_ECO24; RL14_ECO27; RL14_ECO45; RL14_ECO55; RL14_ECO57; RL14_ECO5E; RL14_ECO7I; RL14_ECO81; RL14_ECO8A; RL14_ECOBW; RL14_ECODH; RL14_ECOHS; RL14_ECOK1; RL14_ECOL6; RL14_ECOLC; RL14_ECOLI; RL14_ECOLU; RL14_ECOSE; RL14_ECOSM; RL14_ECOUT</t>
  </si>
  <si>
    <t>RL14_ECOL5</t>
  </si>
  <si>
    <t>A7ZSJ9|RL14_ECO24 50S ribosomal protein L14 OS=Escherichia coli O139:H28 (strain E24377A / ETEC) OX=331111 GN=rplN PE=3 SV=1</t>
  </si>
  <si>
    <t>PMT_MYCTU1</t>
  </si>
  <si>
    <t>PMT_MYCTU1; PMT_MYCTU2; PMT_MYCTUmCherry-PMTub-TwinStrep; X5DSL3_ANAMA</t>
  </si>
  <si>
    <t xml:space="preserve">sp|P9WN05-HIS|PMT_MYCTU1 mCherryNter_TEV_Hisx10_PMTub   </t>
  </si>
  <si>
    <t>SYE_ECO24</t>
  </si>
  <si>
    <t>SYE_ECO24; SYE_ECODH; SYE_ECOHS; SYE_ECOLC; SYE_ECOLI; SYE_ECOSE</t>
  </si>
  <si>
    <t>SYE_ECO57; SYE_ECO5E; SYE_ECOK1; SYE_ECOL5; SYE_ECOL6; SYE_ECOSM; SYE_ECOUT</t>
  </si>
  <si>
    <t>A7ZPK7|SYE_ECO24 Glutamate--tRNA ligase OS=Escherichia coli O139:H28 (strain E24377A / ETEC) OX=331111 GN=gltX PE=3 SV=1</t>
  </si>
  <si>
    <t>RS10_ECO24</t>
  </si>
  <si>
    <t>RS10_ECO24; RS10_ECO27; RS10_ECO45; RS10_ECO55; RS10_ECO57; RS10_ECO5E; RS10_ECO7I; RS10_ECO81; RS10_ECO8A; RS10_ECOBW; RS10_ECODH; RS10_ECOHS; RS10_ECOK1; RS10_ECOL5; RS10_ECOL6; RS10_ECOLC; RS10_ECOLI; RS10_ECOLU; RS10_ECOSE; RS10_ECOSM; RS10_ECOUT</t>
  </si>
  <si>
    <t>A7ZSL0|RS10_ECO24 30S ribosomal protein S10 OS=Escherichia coli O139:H28 (strain E24377A / ETEC) OX=331111 GN=rpsJ PE=3 SV=1</t>
  </si>
  <si>
    <t>RL18_ECO24</t>
  </si>
  <si>
    <t>RL18_ECO24; RL18_ECO27; RL18_ECO45; RL18_ECO55; RL18_ECO57; RL18_ECO5E; RL18_ECO7I; RL18_ECO81; RL18_ECO8A; RL18_ECOBW; RL18_ECODH; RL18_ECOHS; RL18_ECOK1; RL18_ECOL5; RL18_ECOL6; RL18_ECOLC; RL18_ECOLI; RL18_ECOLU; RL18_ECOSE; RL18_ECOSM; RL18_ECOUT</t>
  </si>
  <si>
    <t>A7ZSJ3|RL18_ECO24 50S ribosomal protein L18 OS=Escherichia coli O139:H28 (strain E24377A / ETEC) OX=331111 GN=rplR PE=3 SV=1</t>
  </si>
  <si>
    <t>SYN_ECO24</t>
  </si>
  <si>
    <t>SYN_ECO24; SYN_ECOHS; SYN_ECOL5; SYN_ECOL6; SYN_ECOLC; SYN_ECOLI; SYN_ECOUT</t>
  </si>
  <si>
    <t>SYN_ECO57</t>
  </si>
  <si>
    <t>A7ZK21|SYN_ECO24 Asparagine--tRNA ligase OS=Escherichia coli O139:H28 (strain E24377A / ETEC) OX=331111 GN=asnS PE=3 SV=1</t>
  </si>
  <si>
    <t>RL11_ECO24</t>
  </si>
  <si>
    <t>RL11_ECO24; RL11_ECO27; RL11_ECO45; RL11_ECO55; RL11_ECO57; RL11_ECO5E; RL11_ECO7I; RL11_ECO81; RL11_ECO8A; RL11_ECOBW; RL11_ECODH; RL11_ECOHS; RL11_ECOL5; RL11_ECOL6; RL11_ECOLC; RL11_ECOLI; RL11_ECOLU; RL11_ECOSE; RL11_ECOSM; RL11_ECOUT</t>
  </si>
  <si>
    <t>A7ZUJ6|RL11_ECO24 50S ribosomal protein L11 OS=Escherichia coli O139:H28 (strain E24377A / ETEC) OX=331111 GN=rplK PE=3 SV=1</t>
  </si>
  <si>
    <t>RS9_ECO24</t>
  </si>
  <si>
    <t>RS9_ECO24; RS9_ECO27; RS9_ECO45; RS9_ECO55; RS9_ECO57; RS9_ECO5E; RS9_ECO7I; RS9_ECO81; RS9_ECO8A; RS9_ECOBW; RS9_ECODH; RS9_ECOHS; RS9_ECOK1; RS9_ECOL5; RS9_ECOL6; RS9_ECOLC; RS9_ECOLI; RS9_ECOLU; RS9_ECOSE; RS9_ECOSM; RS9_ECOUT</t>
  </si>
  <si>
    <t>A7ZSC4|RS9_ECO24 30S ribosomal protein S9 OS=Escherichia coli O139:H28 (strain E24377A / ETEC) OX=331111 GN=rpsI PE=3 SV=1</t>
  </si>
  <si>
    <t>HIS7_ECOL6</t>
  </si>
  <si>
    <t>HIS7_ECO57</t>
  </si>
  <si>
    <t>Q8FG50|HIS7_ECOL6 Histidine biosynthesis bifunctional protein HisB OS=Escherichia coli O6:H1 (strain CFT073 / ATCC 700928 / UPEC) OX=199310 GN=hisB PE=3 SV=2</t>
  </si>
  <si>
    <t>FMT_ECO27</t>
  </si>
  <si>
    <t>FMT_ECO27; FMT_ECO55; FMT_ECOBW; FMT_ECODH; FMT_ECOHS; FMT_ECOLC; FMT_ECOLI; FMT_ECOLU</t>
  </si>
  <si>
    <t>FMT_ECO24; FMT_ECO45; FMT_ECO57; FMT_ECO5E; FMT_ECO7I; FMT_ECO81; FMT_ECO8A; FMT_ECOK1; FMT_ECOL5; FMT_ECOL6; FMT_ECOSE; FMT_ECOSM; FMT_ECOUT</t>
  </si>
  <si>
    <t>B7UK11|FMT_ECO27 Methionyl-tRNA formyltransferase OS=Escherichia coli O127:H6 (strain E2348/69 / EPEC) OX=574521 GN=fmt PE=3 SV=1</t>
  </si>
  <si>
    <t>SYR_ECOBW</t>
  </si>
  <si>
    <t>SYR_ECOBW; SYR_ECODH; SYR_ECOHS; SYR_ECOLI</t>
  </si>
  <si>
    <t>SYR_ECO24; SYR_ECO27; SYR_ECO45; SYR_ECO55; SYR_ECO57; SYR_ECO5E; SYR_ECO7I; SYR_ECO81; SYR_ECO8A; SYR_ECOK1; SYR_ECOL5; SYR_ECOL6; SYR_ECOLC; SYR_ECOLU; SYR_ECOSE; SYR_ECOSM; SYR_ECOUT</t>
  </si>
  <si>
    <t>C4ZQG0|SYR_ECOBW Arginine--tRNA ligase OS=Escherichia coli (strain K12 / MC4100 / BW2952) OX=595496 GN=argS PE=3 SV=1</t>
  </si>
  <si>
    <t>RL23_ECO57</t>
  </si>
  <si>
    <t>RL23_ECO57; RL23_ECOL5; RL23_ECOL6; RL23_ECOLI; RL23_ECOUT</t>
  </si>
  <si>
    <t>P0ADZ2|RL23_ECO57 50S ribosomal protein L23 OS=Escherichia coli O157:H7 OX=83334 GN=rplW PE=3 SV=1</t>
  </si>
  <si>
    <t>SYT_ECO27</t>
  </si>
  <si>
    <t>SYT_ECO27; SYT_ECO45; SYT_ECO57; SYT_ECO5E; SYT_ECO7I; SYT_ECO81; SYT_ECOBW; SYT_ECODH; SYT_ECOK1; SYT_ECOL5; SYT_ECOL6; SYT_ECOLI; SYT_ECOLU; SYT_ECOSM; SYT_ECOUT</t>
  </si>
  <si>
    <t>SYT_ECO24; SYT_ECO55; SYT_ECO8A; SYT_ECOHS; SYT_ECOLC; SYT_ECOSE</t>
  </si>
  <si>
    <t>B7USA2|SYT_ECO27 Threonine--tRNA ligase OS=Escherichia coli O127:H6 (strain E2348/69 / EPEC) OX=574521 GN=thrS PE=3 SV=1</t>
  </si>
  <si>
    <t>UPI001D0F4A03_Aequorea</t>
  </si>
  <si>
    <t>A0A059PIR9_AEQVI</t>
  </si>
  <si>
    <t xml:space="preserve">sp|UPI001D0F4A03|UPI001D0F4A03_Aequorea Aequorea victoria mVenus UniParc </t>
  </si>
  <si>
    <t>RS11_ECO24</t>
  </si>
  <si>
    <t>RS11_ECO24; RS11_ECO27; RS11_ECO45; RS11_ECO55; RS11_ECO57; RS11_ECO5E; RS11_ECO7I; RS11_ECO81; RS11_ECO8A; RS11_ECOBW; RS11_ECODH; RS11_ECOHS; RS11_ECOK1; RS11_ECOL5; RS11_ECOL6; RS11_ECOLC; RS11_ECOLI; RS11_ECOLU; RS11_ECOSE; RS11_ECOSM; RS11_ECOUT</t>
  </si>
  <si>
    <t>A7ZSI6|RS11_ECO24 30S ribosomal protein S11 OS=Escherichia coli O139:H28 (strain E24377A / ETEC) OX=331111 GN=rpsK PE=3 SV=1</t>
  </si>
  <si>
    <t>RL19_ECO24</t>
  </si>
  <si>
    <t>RL19_ECO24; RL19_ECO27; RL19_ECO45; RL19_ECO55; RL19_ECO57; RL19_ECO5E; RL19_ECO7I; RL19_ECO81; RL19_ECO8A; RL19_ECOBW; RL19_ECODH; RL19_ECOHS; RL19_ECOK1; RL19_ECOL5; RL19_ECOL6; RL19_ECOLC; RL19_ECOLI; RL19_ECOLU; RL19_ECOSE; RL19_ECOSM; RL19_ECOUT</t>
  </si>
  <si>
    <t>A7ZQ46|RL19_ECO24 50S ribosomal protein L19 OS=Escherichia coli O139:H28 (strain E24377A / ETEC) OX=331111 GN=rplS PE=3 SV=1</t>
  </si>
  <si>
    <t>PLSC_ECOLI</t>
  </si>
  <si>
    <t>P26647|PLSC_ECOLI 1-acyl-sn-glycerol-3-phosphate acyltransferase OS=Escherichia coli (strain K12) OX=83333 GN=plsC PE=1 SV=1</t>
  </si>
  <si>
    <t>SYGA_ECO24</t>
  </si>
  <si>
    <t>SYGA_ECO24; SYGA_ECO27; SYGA_ECO45; SYGA_ECO55; SYGA_ECO57; SYGA_ECO5E; SYGA_ECO7I; SYGA_ECO81; SYGA_ECO8A; SYGA_ECOBW; SYGA_ECOHS; SYGA_ECOK1; SYGA_ECOL5; SYGA_ECOL6; SYGA_ECOLC; SYGA_ECOLU; SYGA_ECOSE; SYGA_ECOSM; SYGA_ECOUT</t>
  </si>
  <si>
    <t>SYGA_ECOLI</t>
  </si>
  <si>
    <t>A7ZTA6|SYGA_ECO24 Glycine--tRNA ligase alpha subunit OS=Escherichia coli O139:H28 (strain E24377A / ETEC) OX=331111 GN=glyQ PE=3 SV=1</t>
  </si>
  <si>
    <t>GRCA_ECO24</t>
  </si>
  <si>
    <t>GRCA_ECO24; GRCA_ECO55; GRCA_ECO57; GRCA_ECO5E; GRCA_ECO81; GRCA_ECO8A; GRCA_ECOBW; GRCA_ECODH; GRCA_ECOHS; GRCA_ECOLC; GRCA_ECOLI; GRCA_ECOSE</t>
  </si>
  <si>
    <t>GRCA_ECO27; GRCA_ECO45; GRCA_ECO7I; GRCA_ECOK1; GRCA_ECOL5; GRCA_ECOL6; GRCA_ECOLU; GRCA_ECOSM; TDCE_ECOLI</t>
  </si>
  <si>
    <t>A7ZQ24|GRCA_ECO24 Autonomous glycyl radical cofactor OS=Escherichia coli O139:H28 (strain E24377A / ETEC) OX=331111 GN=grcA PE=3 SV=1</t>
  </si>
  <si>
    <t>HIS7_ECOLI</t>
  </si>
  <si>
    <t>P06987|HIS7_ECOLI Histidine biosynthesis bifunctional protein HisB OS=Escherichia coli (strain K12) OX=83333 GN=hisB PE=1 SV=1</t>
  </si>
  <si>
    <t>SYW_ECOLI</t>
  </si>
  <si>
    <t>SYW_ECO57; SYW_ECOL6</t>
  </si>
  <si>
    <t>P00954|SYW_ECOLI Tryptophan--tRNA ligase OS=Escherichia coli (strain K12) OX=83333 GN=trpS PE=1 SV=3</t>
  </si>
  <si>
    <t>RHLE_ECOLI</t>
  </si>
  <si>
    <t>P25888|RHLE_ECOLI ATP-dependent RNA helicase RhlE OS=Escherichia coli (strain K12) OX=83333 GN=rhlE PE=1 SV=3</t>
  </si>
  <si>
    <t>SYFA_ECO24</t>
  </si>
  <si>
    <t>SYFA_ECO24; SYFA_ECO8A; SYFA_ECOBW; SYFA_ECODH; SYFA_ECOHS; SYFA_ECOLC; SYFA_ECOLI</t>
  </si>
  <si>
    <t>SYFA_ECO27; SYFA_ECO45; SYFA_ECO55; SYFA_ECO57; SYFA_ECO5E; SYFA_ECO7I; SYFA_ECO81; SYFA_ECOL5; SYFA_ECOL6; SYFA_ECOLU; SYFA_ECOSE; SYFA_ECOSM</t>
  </si>
  <si>
    <t>A7ZMI2|SYFA_ECO24 Phenylalanine--tRNA ligase alpha subunit OS=Escherichia coli O139:H28 (strain E24377A / ETEC) OX=331111 GN=pheS PE=3 SV=1</t>
  </si>
  <si>
    <t>RS19_ECO24</t>
  </si>
  <si>
    <t>RS19_ECO24; RS19_ECO27; RS19_ECO45; RS19_ECO55; RS19_ECO57; RS19_ECO5E; RS19_ECO7I; RS19_ECO81; RS19_ECO8A; RS19_ECOBW; RS19_ECODH; RS19_ECOHS; RS19_ECOK1; RS19_ECOL5; RS19_ECOL6; RS19_ECOLC; RS19_ECOLI; RS19_ECOLU; RS19_ECOSE; RS19_ECOSM; RS19_ECOUT</t>
  </si>
  <si>
    <t>A7ZSK5|RS19_ECO24 30S ribosomal protein S19 OS=Escherichia coli O139:H28 (strain E24377A / ETEC) OX=331111 GN=rpsS PE=3 SV=1</t>
  </si>
  <si>
    <t>RL17_ECO24</t>
  </si>
  <si>
    <t>RL17_ECO24; RL17_ECO27; RL17_ECO45; RL17_ECO55; RL17_ECO57; RL17_ECO5E; RL17_ECO7I; RL17_ECO8A; RL17_ECOBW; RL17_ECODH; RL17_ECOHS; RL17_ECOK1; RL17_ECOL5; RL17_ECOL6; RL17_ECOLC; RL17_ECOLI; RL17_ECOLU; RL17_ECOSE; RL17_ECOSM; RL17_ECOUT</t>
  </si>
  <si>
    <t>RL17_ECO81</t>
  </si>
  <si>
    <t>A7ZSI3|RL17_ECO24 50S ribosomal protein L17 OS=Escherichia coli O139:H28 (strain E24377A / ETEC) OX=331111 GN=rplQ PE=3 SV=1</t>
  </si>
  <si>
    <t>RS20_ECO24</t>
  </si>
  <si>
    <t>RS20_ECO24; RS20_ECO27; RS20_ECO45; RS20_ECO55; RS20_ECO57; RS20_ECO5E; RS20_ECO7I; RS20_ECO81; RS20_ECO8A; RS20_ECOBW; RS20_ECODH; RS20_ECOHS; RS20_ECOL5; RS20_ECOL6; RS20_ECOLC; RS20_ECOLI; RS20_ECOLU; RS20_ECOSE; RS20_ECOSM; RS20_ECOUT</t>
  </si>
  <si>
    <t>A7ZHB2|RS20_ECO24 30S ribosomal protein S20 OS=Escherichia coli O139:H28 (strain E24377A / ETEC) OX=331111 GN=rpsT PE=3 SV=1</t>
  </si>
  <si>
    <t>RSMI_ECO57</t>
  </si>
  <si>
    <t>RSMI_ECO57; RSMI_ECOLI</t>
  </si>
  <si>
    <t>P67088|RSMI_ECO57 Ribosomal RNA small subunit methyltransferase I OS=Escherichia coli O157:H7 OX=83334 GN=rsmI PE=3 SV=1</t>
  </si>
  <si>
    <t>RS18_ECO24</t>
  </si>
  <si>
    <t>RS18_ECO24; RS18_ECO27; RS18_ECO45; RS18_ECO55; RS18_ECO57; RS18_ECO5E; RS18_ECO7I; RS18_ECO81; RS18_ECO8A; RS18_ECOBW; RS18_ECODH; RS18_ECOHS; RS18_ECOL5; RS18_ECOL6; RS18_ECOLC; RS18_ECOLI; RS18_ECOLU; RS18_ECOSE; RS18_ECOSM; RS18_ECOUT</t>
  </si>
  <si>
    <t>A7ZV73|RS18_ECO24 30S ribosomal protein S18 OS=Escherichia coli O139:H28 (strain E24377A / ETEC) OX=331111 GN=rpsR PE=3 SV=1</t>
  </si>
  <si>
    <t>MINE_ECO24</t>
  </si>
  <si>
    <t>MINE_ECO24; MINE_ECO27; MINE_ECO45; MINE_ECO55; MINE_ECO57; MINE_ECO5E; MINE_ECO7I; MINE_ECO81; MINE_ECO8A; MINE_ECOBW; MINE_ECODH; MINE_ECOHS; MINE_ECOK1; MINE_ECOL5; MINE_ECOL6; MINE_ECOLC; MINE_ECOLI; MINE_ECOLU; MINE_ECOSE; MINE_ECOSM; MINE_ECOUT</t>
  </si>
  <si>
    <t>A7ZKU5|MINE_ECO24 Cell division topological specificity factor OS=Escherichia coli O139:H28 (strain E24377A / ETEC) OX=331111 GN=minE PE=3 SV=1</t>
  </si>
  <si>
    <t>PTH_ECO24</t>
  </si>
  <si>
    <t>PTH_ECO24; PTH_ECO27; PTH_ECO45; PTH_ECO55; PTH_ECO57; PTH_ECO5E; PTH_ECO7I; PTH_ECO81; PTH_ECO8A; PTH_ECOBW; PTH_ECODH; PTH_ECOHS; PTH_ECOL5; PTH_ECOL6; PTH_ECOLC; PTH_ECOLI; PTH_ECOSE; PTH_ECOSM; PTH_ECOUT</t>
  </si>
  <si>
    <t>PTH_ECOLU</t>
  </si>
  <si>
    <t>A7ZKX7|PTH_ECO24 Peptidyl-tRNA hydrolase OS=Escherichia coli O139:H28 (strain E24377A / ETEC) OX=331111 GN=pth PE=3 SV=1</t>
  </si>
  <si>
    <t>SLYD_ECO57</t>
  </si>
  <si>
    <t>SLYD_ECO57; SLYD_ECOL6; SLYD_ECOLI</t>
  </si>
  <si>
    <t>P0A9L1|SLYD_ECO57 FKBP-type peptidyl-prolyl cis-trans isomerase SlyD OS=Escherichia coli O157:H7 OX=83334 GN=slyD PE=3 SV=1</t>
  </si>
  <si>
    <t>RL21_ECO24</t>
  </si>
  <si>
    <t>RL21_ECO24; RL21_ECO27; RL21_ECO45; RL21_ECO55; RL21_ECO57; RL21_ECO5E; RL21_ECO7I; RL21_ECO81; RL21_ECO8A; RL21_ECOBW; RL21_ECODH; RL21_ECOHS; RL21_ECOL5; RL21_ECOLC; RL21_ECOLI; RL21_ECOLU; RL21_ECOSE; RL21_ECOSM; RL21_ECOUT</t>
  </si>
  <si>
    <t>A7ZS83|RL21_ECO24 50S ribosomal protein L21 OS=Escherichia coli O139:H28 (strain E24377A / ETEC) OX=331111 GN=rplU PE=3 SV=1</t>
  </si>
  <si>
    <t>RL29_ECO24</t>
  </si>
  <si>
    <t>RL29_ECO24; RL29_ECO27; RL29_ECO45; RL29_ECO55; RL29_ECO57; RL29_ECO5E; RL29_ECO7I; RL29_ECO81; RL29_ECO8A; RL29_ECOBW; RL29_ECODH; RL29_ECOHS; RL29_ECOL5; RL29_ECOL6; RL29_ECOLC; RL29_ECOLI; RL29_ECOLU; RL29_ECOSE; RL29_ECOSM; RL29_ECOUT</t>
  </si>
  <si>
    <t>A7ZSK1|RL29_ECO24 50S ribosomal protein L29 OS=Escherichia coli O139:H28 (strain E24377A / ETEC) OX=331111 GN=rpmC PE=3 SV=1</t>
  </si>
  <si>
    <t>RL13_ECO24</t>
  </si>
  <si>
    <t>RL13_ECO24; RL13_ECO27; RL13_ECO45; RL13_ECO55; RL13_ECO57; RL13_ECO5E; RL13_ECO7I; RL13_ECO81; RL13_ECO8A; RL13_ECOBW; RL13_ECODH; RL13_ECOHS; RL13_ECOK1; RL13_ECOL5; RL13_ECOL6; RL13_ECOLC; RL13_ECOLI; RL13_ECOLU; RL13_ECOSE; RL13_ECOSM; RL13_ECOUT</t>
  </si>
  <si>
    <t>A7ZSC5|RL13_ECO24 50S ribosomal protein L13 OS=Escherichia coli O139:H28 (strain E24377A / ETEC) OX=331111 GN=rplM PE=3 SV=1</t>
  </si>
  <si>
    <t>RS16_ECO24</t>
  </si>
  <si>
    <t>RS16_ECO24; RS16_ECO27; RS16_ECO45; RS16_ECO55; RS16_ECO57; RS16_ECO5E; RS16_ECO7I; RS16_ECO81; RS16_ECO8A; RS16_ECOBW; RS16_ECODH; RS16_ECOHS; RS16_ECOL5; RS16_ECOL6; RS16_ECOLC; RS16_ECOLI; RS16_ECOLU; RS16_ECOSE; RS16_ECOSM</t>
  </si>
  <si>
    <t>A7ZQ49|RS16_ECO24 30S ribosomal protein S16 OS=Escherichia coli O139:H28 (strain E24377A / ETEC) OX=331111 GN=rpsP PE=3 SV=1</t>
  </si>
  <si>
    <t>CMPDT_ECO57</t>
  </si>
  <si>
    <t>CMPDT_ECO57; CMPDT_ECOLI</t>
  </si>
  <si>
    <t>P0A9J9|CMPDT_ECO57 Bifunctional chorismate mutase/prephenate dehydratase OS=Escherichia coli O157:H7 OX=83334 GN=pheA PE=3 SV=1</t>
  </si>
  <si>
    <t>RL32_ECO27</t>
  </si>
  <si>
    <t>RL32_ECO27; RL32_ECO45; RL32_ECO55; RL32_ECO57; RL32_ECO5E; RL32_ECO7I; RL32_ECO81; RL32_ECO8A; RL32_ECOBW; RL32_ECODH; RL32_ECOHS; RL32_ECOL5; RL32_ECOLC; RL32_ECOLI; RL32_ECOLU; RL32_ECOSE; RL32_ECOSM; RL32_ECOUT</t>
  </si>
  <si>
    <t>B7UPA5|RL32_ECO27 50S ribosomal protein L32 OS=Escherichia coli O127:H6 (strain E2348/69 / EPEC) OX=574521 GN=rpmF PE=3 SV=1</t>
  </si>
  <si>
    <t>RL30_ECO24</t>
  </si>
  <si>
    <t>RL30_ECO24; RL30_ECO27; RL30_ECO45; RL30_ECO55; RL30_ECO57; RL30_ECO5E; RL30_ECO7I; RL30_ECO81; RL30_ECO8A; RL30_ECOBW; RL30_ECODH; RL30_ECOHS; RL30_ECOL5; RL30_ECOL6; RL30_ECOLC; RL30_ECOLI; RL30_ECOLU; RL30_ECOSE; RL30_ECOSM; RL30_ECOUT</t>
  </si>
  <si>
    <t>A7ZSJ1|RL30_ECO24 50S ribosomal protein L30 OS=Escherichia coli O139:H28 (strain E24377A / ETEC) OX=331111 GN=rpmD PE=3 SV=1</t>
  </si>
  <si>
    <t>RS14_ECO24</t>
  </si>
  <si>
    <t>RS14_ECO24; RS14_ECO45; RS14_ECO57; RS14_ECO5E; RS14_ECO7I; RS14_ECODH; RS14_ECOHS; RS14_ECOK1; RS14_ECOL5; RS14_ECOL6; RS14_ECOLC; RS14_ECOLI; RS14_ECOLU; RS14_ECOSE; RS14_ECOSM; RS14_ECOUT</t>
  </si>
  <si>
    <t>A7ZSJ6|RS14_ECO24 30S ribosomal protein S14 OS=Escherichia coli O139:H28 (strain E24377A / ETEC) OX=331111 GN=rpsN PE=3 SV=1</t>
  </si>
  <si>
    <t>NDK_ECO24</t>
  </si>
  <si>
    <t>NDK_ECO24; NDK_ECO55; NDK_ECO57; NDK_ECO5E; NDK_ECO8A; NDK_ECOBW; NDK_ECODH; NDK_ECOHS; NDK_ECOLC; NDK_ECOLI; NDK_ECOLU; NDK_ECOSE</t>
  </si>
  <si>
    <t>NDK_ECO27; NDK_ECO45; NDK_ECO7I; NDK_ECO81; NDK_ECOK1; NDK_ECOL5; NDK_ECOL6; NDK_ECOSM; NDK_ECOUT</t>
  </si>
  <si>
    <t>A7ZPW1|NDK_ECO24 Nucleoside diphosphate kinase OS=Escherichia coli O139:H28 (strain E24377A / ETEC) OX=331111 GN=ndk PE=3 SV=1</t>
  </si>
  <si>
    <t>RBFA_ECO24</t>
  </si>
  <si>
    <t>RBFA_ECO24; RBFA_ECO27; RBFA_ECO45; RBFA_ECO55; RBFA_ECO57; RBFA_ECO5E; RBFA_ECO7I; RBFA_ECO81; RBFA_ECO8A; RBFA_ECOBW; RBFA_ECODH; RBFA_ECOHS; RBFA_ECOK1; RBFA_ECOL5; RBFA_ECOL6; RBFA_ECOLC; RBFA_ECOLI; RBFA_ECOLU; RBFA_ECOSE; RBFA_ECOSM; RBFA_ECOUT</t>
  </si>
  <si>
    <t>A7ZS64|RBFA_ECO24 Ribosome-binding factor A OS=Escherichia coli O139:H28 (strain E24377A / ETEC) OX=331111 GN=rbfA PE=3 SV=1</t>
  </si>
  <si>
    <t>RL33_ECO24</t>
  </si>
  <si>
    <t>RL33_ECO24; RL33_ECO27; RL33_ECO45; RL33_ECO55; RL33_ECO57; RL33_ECO5E; RL33_ECO7I; RL33_ECO81; RL33_ECO8A; RL33_ECOBW; RL33_ECODH; RL33_ECOHS; RL33_ECOL5; RL33_ECOL6; RL33_ECOLC; RL33_ECOLI; RL33_ECOLU; RL33_ECOSE; RL33_ECOSM; RL33_ECOUT</t>
  </si>
  <si>
    <t>A7ZTI7|RL33_ECO24 50S ribosomal protein L33 OS=Escherichia coli O139:H28 (strain E24377A / ETEC) OX=331111 GN=rpmG PE=3 SV=1</t>
  </si>
  <si>
    <t>AROG_ECO57</t>
  </si>
  <si>
    <t>AROG_ECO57; AROG_ECOLI</t>
  </si>
  <si>
    <t>AROF_ECOLI</t>
  </si>
  <si>
    <t>P0AB92|AROG_ECO57 Phospho-2-dehydro-3-deoxyheptonate aldolase, Phe-sensitive OS=Escherichia coli O157:H7 OX=83334 GN=aroG PE=3 SV=1</t>
  </si>
  <si>
    <t>P00761|CON__TRYP_PIG</t>
  </si>
  <si>
    <t>sp|P00761|CON__TRYP_PIG Trypsin OS=Sus scrofa OX=9823 PE=1 SV=1</t>
  </si>
  <si>
    <t>ODO1_ECO57</t>
  </si>
  <si>
    <t>ODO1_ECO57; ODO1_ECOL6; ODO1_ECOLI</t>
  </si>
  <si>
    <t>P0AFG5|ODO1_ECO57 2-oxoglutarate dehydrogenase E1 component OS=Escherichia coli O157:H7 OX=83334 GN=sucA PE=3 SV=1</t>
  </si>
  <si>
    <t>RL27_ECO24</t>
  </si>
  <si>
    <t>RL27_ECO24; RL27_ECO27; RL27_ECO45; RL27_ECO55; RL27_ECO57; RL27_ECO5E; RL27_ECO7I; RL27_ECO81; RL27_ECO8A; RL27_ECOBW; RL27_ECODH; RL27_ECOHS; RL27_ECOL6; RL27_ECOLC; RL27_ECOLI; RL27_ECOLU; RL27_ECOSE; RL27_ECOSM; RL27_ECOUT</t>
  </si>
  <si>
    <t>RL27_ECOL5</t>
  </si>
  <si>
    <t>A7ZS81|RL27_ECO24 50S ribosomal protein L27 OS=Escherichia coli O139:H28 (strain E24377A / ETEC) OX=331111 GN=rpmA PE=3 SV=1</t>
  </si>
  <si>
    <t>RS15_ECO24</t>
  </si>
  <si>
    <t>RS15_ECO24; RS15_ECO27; RS15_ECO45; RS15_ECO55; RS15_ECO7I; RS15_ECO81; RS15_ECO8A; RS15_ECOBW; RS15_ECODH; RS15_ECOHS; RS15_ECOK1; RS15_ECOL5; RS15_ECOL6; RS15_ECOLC; RS15_ECOLI; RS15_ECOLU; RS15_ECOSE; RS15_ECOSM; RS15_ECOUT</t>
  </si>
  <si>
    <t>RS15_ECO57; RS15_ECO5E</t>
  </si>
  <si>
    <t>A7ZS62|RS15_ECO24 30S ribosomal protein S15 OS=Escherichia coli O139:H28 (strain E24377A / ETEC) OX=331111 GN=rpsO PE=3 SV=1</t>
  </si>
  <si>
    <t>STHA_ECO24</t>
  </si>
  <si>
    <t>STHA_ECO24; STHA_ECO27; STHA_ECO45; STHA_ECO55; STHA_ECO5E; STHA_ECO7I; STHA_ECO8A; STHA_ECOBW; STHA_ECODH; STHA_ECOHS; STHA_ECOK1; STHA_ECOLC; STHA_ECOLI; STHA_ECOLU; STHA_ECOSE; STHA_ECOUT</t>
  </si>
  <si>
    <t>STHA_ECO57; STHA_ECO81; STHA_ECOL5; STHA_ECOL6; STHA_ECOSM</t>
  </si>
  <si>
    <t>A7ZUI2|STHA_ECO24 Soluble pyridine nucleotide transhydrogenase OS=Escherichia coli O139:H28 (strain E24377A / ETEC) OX=331111 GN=sthA PE=3 SV=1</t>
  </si>
  <si>
    <t>FUR_ECO57</t>
  </si>
  <si>
    <t>FUR_ECO57; FUR_ECOL6; FUR_ECOLI</t>
  </si>
  <si>
    <t>P0A9B1|FUR_ECO57 Ferric uptake regulation protein OS=Escherichia coli O157:H7 OX=83334 GN=fur PE=3 SV=1</t>
  </si>
  <si>
    <t>SYQ_ECO24</t>
  </si>
  <si>
    <t>SYQ_ECO24; SYQ_ECO27; SYQ_ECO45; SYQ_ECO55; SYQ_ECO57; SYQ_ECO5E; SYQ_ECO81; SYQ_ECO8A; SYQ_ECOBW; SYQ_ECODH; SYQ_ECOHS; SYQ_ECOK1; SYQ_ECOL5; SYQ_ECOL6; SYQ_ECOLC; SYQ_ECOLI; SYQ_ECOLU; SYQ_ECOSE; SYQ_ECOSM; SYQ_ECOUT</t>
  </si>
  <si>
    <t>SYQ_ECO7I</t>
  </si>
  <si>
    <t>A7ZJ63|SYQ_ECO24 Glutamine--tRNA ligase OS=Escherichia coli O139:H28 (strain E24377A / ETEC) OX=331111 GN=glnS PE=3 SV=1</t>
  </si>
  <si>
    <t>THIM_ECO24</t>
  </si>
  <si>
    <t>THIM_ECO24; THIM_ECOBW; THIM_ECODH; THIM_ECOHS; THIM_ECOLC; THIM_ECOLI</t>
  </si>
  <si>
    <t>THIM_ECO27; THIM_ECO45; THIM_ECO55; THIM_ECO57; THIM_ECO5E; THIM_ECO7I; THIM_ECO81; THIM_ECO8A; THIM_ECOK1; THIM_ECOL5; THIM_ECOL6; THIM_ECOLU; THIM_ECOSE; THIM_ECOSM; THIM_ECOUT</t>
  </si>
  <si>
    <t>A7ZNS3|THIM_ECO24 Hydroxyethylthiazole kinase OS=Escherichia coli O139:H28 (strain E24377A / ETEC) OX=331111 GN=thiM PE=3 SV=1</t>
  </si>
  <si>
    <t>FLAV_ECO57</t>
  </si>
  <si>
    <t>FLAV_ECO57; FLAV_ECOL6; FLAV_ECOLI</t>
  </si>
  <si>
    <t>P61951|FLAV_ECO57 Flavodoxin 1 OS=Escherichia coli O157:H7 OX=83334 GN=fldA PE=3 SV=2</t>
  </si>
  <si>
    <t>AHPF_ECOLI</t>
  </si>
  <si>
    <t>P35340|AHPF_ECOLI Alkyl hydroperoxide reductase subunit F OS=Escherichia coli (strain K12) OX=83333 GN=ahpF PE=1 SV=2</t>
  </si>
  <si>
    <t>IOJAP_ECOL6</t>
  </si>
  <si>
    <t>IOJAP_ECOL6; IOJAP_ECOLI</t>
  </si>
  <si>
    <t>P0AAT7|IOJAP_ECOL6 Ribosomal silencing factor RsfS OS=Escherichia coli O6:H1 (strain CFT073 / ATCC 700928 / UPEC) OX=199310 GN=rsfS PE=3 SV=1</t>
  </si>
  <si>
    <t>IF1_ECO24</t>
  </si>
  <si>
    <t>IF1_ECO24; IF1_ECO57; IF1_ECOHS; IF1_ECOL5; IF1_ECOL6; IF1_ECOLI; IF1_ECOUT</t>
  </si>
  <si>
    <t>A7ZJV1|IF1_ECO24 Translation initiation factor IF-1 OS=Escherichia coli O139:H28 (strain E24377A / ETEC) OX=331111 GN=infA PE=3 SV=1</t>
  </si>
  <si>
    <t>RS21_ECO24</t>
  </si>
  <si>
    <t>RS21_ECO24; RS21_ECO27; RS21_ECO45; RS21_ECO55; RS21_ECO57; RS21_ECO5E; RS21_ECO7I; RS21_ECO81; RS21_ECO8A; RS21_ECOBW; RS21_ECODH; RS21_ECOHS; RS21_ECOL5; RS21_ECOL6; RS21_ECOLC; RS21_ECOLI; RS21_ECOLU; RS21_ECOSE; RS21_ECOSM; RS21_ECOUT</t>
  </si>
  <si>
    <t>A7ZRU7|RS21_ECO24 30S ribosomal protein S21 OS=Escherichia coli O139:H28 (strain E24377A / ETEC) OX=331111 GN=rpsU PE=3 SV=1</t>
  </si>
  <si>
    <t>THID_ECOLI</t>
  </si>
  <si>
    <t>P76422|THID_ECOLI Hydroxymethylpyrimidine/phosphomethylpyrimidine kinase OS=Escherichia coli (strain K12) OX=83333 GN=thiD PE=1 SV=1</t>
  </si>
  <si>
    <t>CAN_ECOLI</t>
  </si>
  <si>
    <t>P61517|CAN_ECOLI Carbonic anhydrase 2 OS=Escherichia coli (strain K12) OX=83333 GN=can PE=1 SV=1</t>
  </si>
  <si>
    <t>RAPZ_ECO24</t>
  </si>
  <si>
    <t>RAPZ_ECO24; RAPZ_ECO27; RAPZ_ECO45; RAPZ_ECO55; RAPZ_ECO57; RAPZ_ECO5E; RAPZ_ECO7I; RAPZ_ECO81; RAPZ_ECO8A; RAPZ_ECOBW; RAPZ_ECODH; RAPZ_ECOHS; RAPZ_ECOK1; RAPZ_ECOL5; RAPZ_ECOL6; RAPZ_ECOLC; RAPZ_ECOLI; RAPZ_ECOLU; RAPZ_ECOSE; RAPZ_ECOSM; RAPZ_ECOUT</t>
  </si>
  <si>
    <t>A7ZSA4|RAPZ_ECO24 RNase adapter protein RapZ OS=Escherichia coli O139:H28 (strain E24377A / ETEC) OX=331111 GN=rapZ PE=3 SV=1</t>
  </si>
  <si>
    <t>SOPA_ECO57</t>
  </si>
  <si>
    <t>SOPA_ECO57; SOPA_ECOLI</t>
  </si>
  <si>
    <t>P62557|SOPA_ECO57 Protein SopA OS=Escherichia coli O157:H7 OX=83334 GN=sopA PE=3 SV=1</t>
  </si>
  <si>
    <t>RS14_ECO8A</t>
  </si>
  <si>
    <t>B7M1M1|RS14_ECO8A 30S ribosomal protein S14 OS=Escherichia coli O8 (strain IAI1) OX=585034 GN=rpsN PE=3 SV=1</t>
  </si>
  <si>
    <t>ASPG1_ECO57</t>
  </si>
  <si>
    <t>ASPG1_ECO57; ASPG1_ECOLI</t>
  </si>
  <si>
    <t>P0A963|ASPG1_ECO57 L-asparaginase 1 OS=Escherichia coli O157:H7 OX=83334 GN=ansA PE=3 SV=1</t>
  </si>
  <si>
    <t>GALR_ECOLI</t>
  </si>
  <si>
    <t>P03024|GALR_ECOLI HTH-type transcriptional regulator GalR OS=Escherichia coli (strain K12) OX=83333 GN=galR PE=1 SV=1</t>
  </si>
  <si>
    <t>YFIA_ECO57</t>
  </si>
  <si>
    <t>YFIA_ECO57; YFIA_ECOL6; YFIA_ECOLI</t>
  </si>
  <si>
    <t>P0AD51|YFIA_ECO57 Ribosome-associated factor Y OS=Escherichia coli O157:H7 OX=83334 GN=yfiA PE=3 SV=2</t>
  </si>
  <si>
    <t>HNS_ECO57</t>
  </si>
  <si>
    <t>HNS_ECO57; HNS_ECOL6; HNS_ECOLI</t>
  </si>
  <si>
    <t>P0ACG0|HNS_ECO57 DNA-binding protein H-NS OS=Escherichia coli O157:H7 OX=83334 GN=hns PE=3 SV=2</t>
  </si>
  <si>
    <t>DBHB_ECO57</t>
  </si>
  <si>
    <t>DBHB_ECO57; DBHB_ECOL6; DBHB_ECOLI</t>
  </si>
  <si>
    <t>P0ACF6|DBHB_ECO57 DNA-binding protein HU-beta OS=Escherichia coli O157:H7 OX=83334 GN=hupB PE=3 SV=1</t>
  </si>
  <si>
    <t>HSLV_ECO24</t>
  </si>
  <si>
    <t>HSLV_ECO24; HSLV_ECO27; HSLV_ECO45; HSLV_ECO55; HSLV_ECO57; HSLV_ECO5E; HSLV_ECO7I; HSLV_ECO81; HSLV_ECO8A; HSLV_ECOBW; HSLV_ECODH; HSLV_ECOHS; HSLV_ECOK1; HSLV_ECOL5; HSLV_ECOL6; HSLV_ECOLC; HSLV_ECOLI; HSLV_ECOLU; HSLV_ECOSE; HSLV_ECOSM; HSLV_ECOUT</t>
  </si>
  <si>
    <t>A7ZUE7|HSLV_ECO24 ATP-dependent protease subunit HslV OS=Escherichia coli O139:H28 (strain E24377A / ETEC) OX=331111 GN=hslV PE=3 SV=1</t>
  </si>
  <si>
    <t>RS12_ECO24</t>
  </si>
  <si>
    <t>RS12_ECO24; RS12_ECO27; RS12_ECO45; RS12_ECO55; RS12_ECO57; RS12_ECO5E; RS12_ECO7I; RS12_ECO81; RS12_ECO8A; RS12_ECOHS; RS12_ECOK1; RS12_ECOL6; RS12_ECOLC; RS12_ECOLI; RS12_ECOLU; RS12_ECOSE; RS12_ECOSM; RS12_ECOUT</t>
  </si>
  <si>
    <t>RS12_ECOBW; RS12_ECOL5</t>
  </si>
  <si>
    <t>A7ZSL7|RS12_ECO24 30S ribosomal protein S12 OS=Escherichia coli O139:H28 (strain E24377A / ETEC) OX=331111 GN=rpsL PE=3 SV=1</t>
  </si>
  <si>
    <t>RL20_ECO24</t>
  </si>
  <si>
    <t>RL20_ECO24; RL20_ECO27; RL20_ECO45; RL20_ECO55; RL20_ECO57; RL20_ECO5E; RL20_ECO7I; RL20_ECO81; RL20_ECO8A; RL20_ECOBW; RL20_ECODH; RL20_ECOHS; RL20_ECOK1; RL20_ECOL5; RL20_ECOL6; RL20_ECOLC; RL20_ECOLI; RL20_ECOLU; RL20_ECOSE; RL20_ECOSM; RL20_ECOUT</t>
  </si>
  <si>
    <t>A7ZMI4|RL20_ECO24 50S ribosomal protein L20 OS=Escherichia coli O139:H28 (strain E24377A / ETEC) OX=331111 GN=rplT PE=3 SV=1</t>
  </si>
  <si>
    <t>DNAK_ECO24</t>
  </si>
  <si>
    <t>DNAK_ECO24; DNAK_ECO57; DNAK_ECOHS; DNAK_ECOK1; DNAK_ECOL5; DNAK_ECOL6; DNAK_ECOLC; DNAK_ECOLI; DNAK_ECOUT</t>
  </si>
  <si>
    <t>A7ZHA4|DNAK_ECO24 Chaperone protein DnaK OS=Escherichia coli O139:H28 (strain E24377A / ETEC) OX=331111 GN=dnaK PE=3 SV=1</t>
  </si>
  <si>
    <t>TRMD_ECO24</t>
  </si>
  <si>
    <t>TRMD_ECO24; TRMD_ECO27; TRMD_ECO45; TRMD_ECO55; TRMD_ECO57; TRMD_ECO5E; TRMD_ECO7I; TRMD_ECO8A; TRMD_ECOBW; TRMD_ECODH; TRMD_ECOHS; TRMD_ECOL5; TRMD_ECOL6; TRMD_ECOLC; TRMD_ECOLI; TRMD_ECOLU; TRMD_ECOSE; TRMD_ECOSM; TRMD_ECOUT</t>
  </si>
  <si>
    <t>TRMD_ECO81</t>
  </si>
  <si>
    <t>A7ZQ47|TRMD_ECO24 tRNA (guanine-N(1)-)-methyltransferase OS=Escherichia coli O139:H28 (strain E24377A / ETEC) OX=331111 GN=trmD PE=3 SV=1</t>
  </si>
  <si>
    <t>OMPC_ECOLI</t>
  </si>
  <si>
    <t>OMPC_ECO57; OMPC_ECOL5; OMPC_ECOL6; OMPN_ECOLI; YDDL_ECOLI; YEDS_ECOLI</t>
  </si>
  <si>
    <t>P06996|OMPC_ECOLI Outer membrane porin C OS=Escherichia coli (strain K12) OX=83333 GN=ompC PE=1 SV=1</t>
  </si>
  <si>
    <t>ZAPB_ECO5E</t>
  </si>
  <si>
    <t>ZAPB_ECO5E; ZAPB_ECOLC; ZAPB_ECOSE</t>
  </si>
  <si>
    <t>ZAPB_ECO24; ZAPB_ECO27; ZAPB_ECO45; ZAPB_ECO55; ZAPB_ECO57; ZAPB_ECO7I; ZAPB_ECO81; ZAPB_ECO8A; ZAPB_ECOBW; ZAPB_ECODH; ZAPB_ECOHS; ZAPB_ECOL5; ZAPB_ECOL6; ZAPB_ECOLI; ZAPB_ECOLU; ZAPB_ECOSM; ZAPB_ECOUT</t>
  </si>
  <si>
    <t>B5YZ66|ZAPB_ECO5E Cell division protein ZapB OS=Escherichia coli O157:H7 (strain EC4115 / EHEC) OX=444450 GN=zapB PE=3 SV=1</t>
  </si>
  <si>
    <t>SOPB_ECO57</t>
  </si>
  <si>
    <t>SOPB_ECO57; SOPB_ECOLI</t>
  </si>
  <si>
    <t>P62559|SOPB_ECO57 Protein SopB OS=Escherichia coli O157:H7 OX=83334 GN=sopB PE=3 SV=1</t>
  </si>
  <si>
    <t>LPP_ECO57</t>
  </si>
  <si>
    <t>LPP_ECO57; LPP_ECOL6; LPP_ECOLI</t>
  </si>
  <si>
    <t>P69778|LPP_ECO57 Major outer membrane lipoprotein Lpp OS=Escherichia coli O157:H7 OX=83334 GN=lpp PE=3 SV=1</t>
  </si>
  <si>
    <t>MURC_ECO24</t>
  </si>
  <si>
    <t>MURC_ECO24; MURC_ECO27; MURC_ECO45; MURC_ECO55; MURC_ECO57; MURC_ECO5E; MURC_ECO81; MURC_ECO8A; MURC_ECOHS; MURC_ECOK1; MURC_ECOL6; MURC_ECOSM; MURC_ECOUT</t>
  </si>
  <si>
    <t>MURC_ECO7I; MURC_ECOBW; MURC_ECODH; MURC_ECOL5; MURC_ECOLC; MURC_ECOLI; MURC_ECOLU; MURC_ECOSE</t>
  </si>
  <si>
    <t>A7ZHI2|MURC_ECO24 UDP-N-acetylmuramate--L-alanine ligase OS=Escherichia coli O139:H28 (strain E24377A / ETEC) OX=331111 GN=murC PE=3 SV=1</t>
  </si>
  <si>
    <t>OMPA_ECO57</t>
  </si>
  <si>
    <t>OMPA_ECO57; OMPA_ECOLI</t>
  </si>
  <si>
    <t>P0A911|OMPA_ECO57 Outer membrane protein A OS=Escherichia coli O157:H7 OX=83334 GN=ompA PE=3 SV=1</t>
  </si>
  <si>
    <t>CRA_ECO57</t>
  </si>
  <si>
    <t>CRA_ECO57; CRA_ECOL6; CRA_ECOLI</t>
  </si>
  <si>
    <t>P0ACP3|CRA_ECO57 Catabolite repressor/activator OS=Escherichia coli O157:H7 OX=83334 GN=cra PE=3 SV=1</t>
  </si>
  <si>
    <t>RL28_ECO24</t>
  </si>
  <si>
    <t>RL28_ECO24; RL28_ECO27; RL28_ECO45; RL28_ECO55; RL28_ECO57; RL28_ECO5E; RL28_ECO7I; RL28_ECO81; RL28_ECO8A; RL28_ECOBW; RL28_ECODH; RL28_ECOHS; RL28_ECOL5; RL28_ECOL6; RL28_ECOLC; RL28_ECOLI; RL28_ECOLU; RL28_ECOSE; RL28_ECOSM; RL28_ECOUT</t>
  </si>
  <si>
    <t>A7ZTI8|RL28_ECO24 50S ribosomal protein L28 OS=Escherichia coli O139:H28 (strain E24377A / ETEC) OX=331111 GN=rpmB PE=3 SV=1</t>
  </si>
  <si>
    <t>YCHF_ECO57</t>
  </si>
  <si>
    <t>YCHF_ECO57; YCHF_ECOLI</t>
  </si>
  <si>
    <t>P0ABU3|YCHF_ECO57 Ribosome-binding ATPase YchF OS=Escherichia coli O157:H7 OX=83334 GN=ychF PE=3 SV=2</t>
  </si>
  <si>
    <t>P04264|CON__K2C1_HUMAN</t>
  </si>
  <si>
    <t>G3N0V2|CON__G3N0V2_BOVIN; P04259|CON__K2C6B_HUMAN; P35908|CON__K22E_HUMAN; Q6IFZ6|CON__K2C1B_MOUSE; Q6NXH9|CON__K2C73_MOUSE; Q7Z794|CON__K2C1B_HUMAN; Q9R0H5|CON__K2C71_MOUSE</t>
  </si>
  <si>
    <t>sp|P04264|CON__K2C1_HUMAN Keratin, type II cytoskeletal 1 OS=Homo sapiens OX=9606 GN=KRT1 PE=1 SV=6</t>
  </si>
  <si>
    <t>MSYB_ECOLI</t>
  </si>
  <si>
    <t>P25738|MSYB_ECOLI Acidic protein MsyB OS=Escherichia coli (strain K12) OX=83333 GN=msyB PE=4 SV=1</t>
  </si>
  <si>
    <t>SYK2_ECO57</t>
  </si>
  <si>
    <t>SYK2_ECO57; SYK2_ECOL6; SYK2_ECOLI</t>
  </si>
  <si>
    <t>P0A8N6|SYK2_ECO57 Lysine--tRNA ligase, heat inducible OS=Escherichia coli O157:H7 OX=83334 GN=lysU PE=3 SV=2</t>
  </si>
  <si>
    <t>SSRP_ECO24</t>
  </si>
  <si>
    <t>SSRP_ECO24; SSRP_ECO27; SSRP_ECO45; SSRP_ECO55; SSRP_ECO57; SSRP_ECO5E; SSRP_ECO7I; SSRP_ECO81; SSRP_ECO8A; SSRP_ECOBW; SSRP_ECODH; SSRP_ECOHS; SSRP_ECOK1; SSRP_ECOL5; SSRP_ECOL6; SSRP_ECOLC; SSRP_ECOLI; SSRP_ECOLU; SSRP_ECOSE; SSRP_ECOSM; SSRP_ECOUT</t>
  </si>
  <si>
    <t>A7ZQ60|SSRP_ECO24 SsrA-binding protein OS=Escherichia coli O139:H28 (strain E24377A / ETEC) OX=331111 GN=smpB PE=3 SV=1</t>
  </si>
  <si>
    <t>OBG_ECO45</t>
  </si>
  <si>
    <t>OBG_ECO45; OBG_ECO57; OBG_ECO5E; OBG_ECODH; OBG_ECOK1; OBG_ECOL5; OBG_ECOL6; OBG_ECOLI; OBG_ECOUT</t>
  </si>
  <si>
    <t>OBG_ECO24; OBG_ECO27; OBG_ECO55; OBG_ECO7I; OBG_ECO81; OBG_ECO8A; OBG_ECOHS; OBG_ECOLC; OBG_ECOLU; OBG_ECOSE; OBG_ECOSM</t>
  </si>
  <si>
    <t>B7MBV2|OBG_ECO45 GTPase Obg OS=Escherichia coli O45:K1 (strain S88 / ExPEC) OX=585035 GN=obg PE=3 SV=1</t>
  </si>
  <si>
    <t>PFLB_ECOLI</t>
  </si>
  <si>
    <t>TDCE_ECOLI</t>
  </si>
  <si>
    <t>P09373|PFLB_ECOLI Formate acetyltransferase 1 OS=Escherichia coli (strain K12) OX=83333 GN=pflB PE=1 SV=2</t>
  </si>
  <si>
    <t>G6PI_ECO27</t>
  </si>
  <si>
    <t>G6PI_ECO27; G6PI_ECO45; G6PI_ECO55; G6PI_ECO57; G6PI_ECO5E; G6PI_ECO7I; G6PI_ECO81; G6PI_ECOBW; G6PI_ECODH; G6PI_ECOK1; G6PI_ECOL5; G6PI_ECOL6; G6PI_ECOLC; G6PI_ECOLI; G6PI_ECOLU; G6PI_ECOUT</t>
  </si>
  <si>
    <t>G6PI_ECO24; G6PI_ECO8A; G6PI_ECOHS; G6PI_ECOSE; G6PI_ECOSM</t>
  </si>
  <si>
    <t>B7UPI6|G6PI_ECO27 Glucose-6-phosphate isomerase OS=Escherichia coli O127:H6 (strain E2348/69 / EPEC) OX=574521 GN=pgi PE=3 SV=1</t>
  </si>
  <si>
    <t>OXYR_ECO57</t>
  </si>
  <si>
    <t>OXYR_ECO57; OXYR_ECOL6; OXYR_ECOLI</t>
  </si>
  <si>
    <t>P0ACQ6|OXYR_ECO57 Hydrogen peroxide-inducible genes activator OS=Escherichia coli O157:H7 OX=83334 GN=oxyR PE=3 SV=1</t>
  </si>
  <si>
    <t>DPO3X_ECOLI</t>
  </si>
  <si>
    <t>P06710|DPO3X_ECOLI DNA polymerase III subunit tau OS=Escherichia coli (strain K12) OX=83333 GN=dnaX PE=1 SV=1</t>
  </si>
  <si>
    <t>YDFZ_ECO57</t>
  </si>
  <si>
    <t>YDFZ_ECO57; YDFZ_ECOL6; YDFZ_ECOLI</t>
  </si>
  <si>
    <t>P64465|YDFZ_ECO57 Putative selenoprotein YdfZ OS=Escherichia coli O157:H7 OX=83334 GN=ydfZ PE=3 SV=1</t>
  </si>
  <si>
    <t>GLPR_ECOLI</t>
  </si>
  <si>
    <t>P0ACL0|GLPR_ECOLI Glycerol-3-phosphate regulon repressor OS=Escherichia coli (strain K12) OX=83333 GN=glpR PE=1 SV=1</t>
  </si>
  <si>
    <t>HDEA_ECO57</t>
  </si>
  <si>
    <t>HDEA_ECO57; HDEA_ECOLI</t>
  </si>
  <si>
    <t>P0AET0|HDEA_ECO57 Acid stress chaperone HdeA OS=Escherichia coli O157:H7 OX=83334 GN=hdeA PE=3 SV=1</t>
  </si>
  <si>
    <t>RLMG_ECO24</t>
  </si>
  <si>
    <t>RLMG_ECO24; RLMG_ECO57; RLMG_ECO5E; RLMG_ECODH; RLMG_ECOHS; RLMG_ECOK1; RLMG_ECOL5; RLMG_ECOL6; RLMG_ECOLC; RLMG_ECOLI; RLMG_ECOSM; RLMG_ECOUT</t>
  </si>
  <si>
    <t>A7ZRW7|RLMG_ECO24 Ribosomal RNA large subunit methyltransferase G OS=Escherichia coli O139:H28 (strain E24377A / ETEC) OX=331111 GN=rlmG PE=3 SV=1</t>
  </si>
  <si>
    <t>CSPA_ECO57</t>
  </si>
  <si>
    <t>CSPA_ECO57; CSPA_ECOL6; CSPA_ECOLI</t>
  </si>
  <si>
    <t>CSPG_ECO57; CSPG_ECOL6; CSPG_ECOLI</t>
  </si>
  <si>
    <t>P0A9Y1|CSPA_ECO57 Cold shock protein CspA OS=Escherichia coli O157:H7 OX=83334 GN=cspA PE=3 SV=2</t>
  </si>
  <si>
    <t>ILVI_ECOLI</t>
  </si>
  <si>
    <t>P00893|ILVI_ECOLI Acetolactate synthase isozyme 3 large subunit OS=Escherichia coli (strain K12) OX=83333 GN=ilvI PE=1 SV=2</t>
  </si>
  <si>
    <t>ARGE_ECO55</t>
  </si>
  <si>
    <t>ARGE_ECO55; ARGE_ECOBW; ARGE_ECODH; ARGE_ECOHS; ARGE_ECOLC; ARGE_ECOLI</t>
  </si>
  <si>
    <t>ARGE_ECO24; ARGE_ECO27; ARGE_ECO45; ARGE_ECO57; ARGE_ECO5E; ARGE_ECO7I; ARGE_ECO81; ARGE_ECO8A; ARGE_ECOL5; ARGE_ECOL6; ARGE_ECOLU; ARGE_ECOSE; ARGE_ECOSM</t>
  </si>
  <si>
    <t>B7LA57|ARGE_ECO55 Acetylornithine deacetylase OS=Escherichia coli (strain 55989 / EAEC) OX=585055 GN=argE PE=3 SV=1</t>
  </si>
  <si>
    <t>RIMM_ECO24</t>
  </si>
  <si>
    <t>RIMM_ECO24; RIMM_ECO27; RIMM_ECO45; RIMM_ECO55; RIMM_ECO57; RIMM_ECO5E; RIMM_ECO7I; RIMM_ECO81; RIMM_ECO8A; RIMM_ECOBW; RIMM_ECODH; RIMM_ECOHS; RIMM_ECOK1; RIMM_ECOL5; RIMM_ECOL6; RIMM_ECOLC; RIMM_ECOLI; RIMM_ECOLU; RIMM_ECOSE; RIMM_ECOSM; RIMM_ECOUT</t>
  </si>
  <si>
    <t>A7ZQ48|RIMM_ECO24 Ribosome maturation factor RimM OS=Escherichia coli O139:H28 (strain E24377A / ETEC) OX=331111 GN=rimM PE=3 SV=1</t>
  </si>
  <si>
    <t>MPL_ECOLI</t>
  </si>
  <si>
    <t>P37773|MPL_ECOLI UDP-N-acetylmuramate--L-alanyl-gamma-D-glutamyl-meso-2,6-diaminoheptandioate ligase OS=Escherichia coli (strain K12) OX=83333 GN=mpl PE=1 SV=3</t>
  </si>
  <si>
    <t>YIID_ECO57</t>
  </si>
  <si>
    <t>YIID_ECO57; YIID_ECOL6; YIID_ECOLI</t>
  </si>
  <si>
    <t>P0ADQ4|YIID_ECO57 Uncharacterized protein YiiD OS=Escherichia coli O157:H7 OX=83334 GN=yiiD PE=4 SV=1</t>
  </si>
  <si>
    <t>P35527|CON__K1C9_HUMAN</t>
  </si>
  <si>
    <t>sp|P35527|CON__K1C9_HUMAN Keratin, type I cytoskeletal 9 OS=Homo sapiens OX=9606 GN=KRT9 PE=1 SV=3</t>
  </si>
  <si>
    <t>LAST_ECOLI</t>
  </si>
  <si>
    <t>P37005|LAST_ECOLI Uncharacterized tRNA/rRNA methyltransferase LasT OS=Escherichia coli (strain K12) OX=83333 GN=lasT PE=3 SV=2</t>
  </si>
  <si>
    <t>ALAC_ECOLI</t>
  </si>
  <si>
    <t>P77434|ALAC_ECOLI Glutamate-pyruvate aminotransferase AlaC OS=Escherichia coli (strain K12) OX=83333 GN=alaC PE=1 SV=1</t>
  </si>
  <si>
    <t>SKP_ECO57</t>
  </si>
  <si>
    <t>SKP_ECO57; SKP_ECOL6; SKP_ECOLI</t>
  </si>
  <si>
    <t>P0AEU9|SKP_ECO57 Chaperone protein Skp OS=Escherichia coli O157:H7 OX=83334 GN=skp PE=3 SV=1</t>
  </si>
  <si>
    <t>HSLO_ECO27</t>
  </si>
  <si>
    <t>HSLO_ECO27; HSLO_ECO45; HSLO_ECO55; HSLO_ECO57; HSLO_ECO7I; HSLO_ECO81; HSLO_ECO8A; HSLO_ECOBW; HSLO_ECODH; HSLO_ECOL6; HSLO_ECOLI; HSLO_ECOLU; HSLO_ECOSM</t>
  </si>
  <si>
    <t>B7UKA5|HSLO_ECO27 33 kDa chaperonin OS=Escherichia coli O127:H6 (strain E2348/69 / EPEC) OX=574521 GN=hslO PE=3 SV=1</t>
  </si>
  <si>
    <t>FIMA1_ECOLI</t>
  </si>
  <si>
    <t>FIMA1_ECOLX</t>
  </si>
  <si>
    <t>P04128|FIMA1_ECOLI Type-1 fimbrial protein, A chain OS=Escherichia coli (strain K12) OX=83333 GN=fimA PE=1 SV=2</t>
  </si>
  <si>
    <t>DPS_ECO24</t>
  </si>
  <si>
    <t>DPS_ECO24; DPS_ECO27; DPS_ECO45; DPS_ECO55; DPS_ECO57; DPS_ECO5E; DPS_ECO7I; DPS_ECO81; DPS_ECO8A; DPS_ECOBW; DPS_ECODH; DPS_ECOHS; DPS_ECOL5; DPS_ECOL6; DPS_ECOLC; DPS_ECOLI; DPS_ECOLU; DPS_ECOSE; DPS_ECOSM; DPS_ECOUT</t>
  </si>
  <si>
    <t>A7ZJM7|DPS_ECO24 DNA protection during starvation protein OS=Escherichia coli O139:H28 (strain E24377A / ETEC) OX=331111 GN=dps PE=3 SV=1</t>
  </si>
  <si>
    <t>PURU_ECOL6</t>
  </si>
  <si>
    <t>PURU_ECOLI</t>
  </si>
  <si>
    <t>P0A440|PURU_ECOL6 Formyltetrahydrofolate deformylase OS=Escherichia coli O6:H1 (strain CFT073 / ATCC 700928 / UPEC) OX=199310 GN=purU PE=3 SV=1</t>
  </si>
  <si>
    <t>RL34_ECO24</t>
  </si>
  <si>
    <t>RL34_ECO24; RL34_ECO27; RL34_ECO45; RL34_ECO55; RL34_ECO57; RL34_ECO5E; RL34_ECO7I; RL34_ECO81; RL34_ECO8A; RL34_ECOBW; RL34_ECODH; RL34_ECOHS; RL34_ECOL6; RL34_ECOLC; RL34_ECOLI; RL34_ECOLU; RL34_ECOSE; RL34_ECOSM; RL34_ECOUT</t>
  </si>
  <si>
    <t>A7ZTQ9|RL34_ECO24 50S ribosomal protein L34 OS=Escherichia coli O139:H28 (strain E24377A / ETEC) OX=331111 GN=rpmH PE=3 SV=1</t>
  </si>
  <si>
    <t>ACP_ECO24</t>
  </si>
  <si>
    <t>ACP_ECO24; ACP_ECO27; ACP_ECO45; ACP_ECO55; ACP_ECO57; ACP_ECO7I; ACP_ECO81; ACP_ECO8A; ACP_ECOBW; ACP_ECODH; ACP_ECOHS; ACP_ECOL5; ACP_ECOL6; ACP_ECOLC; ACP_ECOLI; ACP_ECOSE; ACP_ECOSM; ACP_ECOUT</t>
  </si>
  <si>
    <t>A7ZKJ7|ACP_ECO24 Acyl carrier protein OS=Escherichia coli O139:H28 (strain E24377A / ETEC) OX=331111 GN=acpP PE=3 SV=1</t>
  </si>
  <si>
    <t>RS17_ECO24</t>
  </si>
  <si>
    <t>RS17_ECO24; RS17_ECO27; RS17_ECO45; RS17_ECO55; RS17_ECO57; RS17_ECO5E; RS17_ECO7I; RS17_ECO81; RS17_ECO8A; RS17_ECOBW; RS17_ECODH; RS17_ECOHS; RS17_ECOK1; RS17_ECOL5; RS17_ECOL6; RS17_ECOLC; RS17_ECOLI; RS17_ECOLU; RS17_ECOSE; RS17_ECOSM; RS17_ECOUT</t>
  </si>
  <si>
    <t>A7ZSK0|RS17_ECO24 30S ribosomal protein S17 OS=Escherichia coli O139:H28 (strain E24377A / ETEC) OX=331111 GN=rpsQ PE=3 SV=1</t>
  </si>
  <si>
    <t>YBED_ECO24</t>
  </si>
  <si>
    <t>YBED_ECO24; YBED_ECO27; YBED_ECO45; YBED_ECO55; YBED_ECO57; YBED_ECO5E; YBED_ECO7I; YBED_ECO81; YBED_ECO8A; YBED_ECOBW; YBED_ECOHS; YBED_ECOK1; YBED_ECOL5; YBED_ECOL6; YBED_ECOLC; YBED_ECOLI; YBED_ECOLU; YBED_ECOSE; YBED_ECOSM; YBED_ECOUT</t>
  </si>
  <si>
    <t>A7ZJ19|YBED_ECO24 UPF0250 protein YbeD OS=Escherichia coli O139:H28 (strain E24377A / ETEC) OX=331111 GN=ybeD PE=3 SV=1</t>
  </si>
  <si>
    <t>EX7S_ECO24</t>
  </si>
  <si>
    <t>EX7S_ECO24; EX7S_ECO27; EX7S_ECO45; EX7S_ECO55; EX7S_ECO57; EX7S_ECO5E; EX7S_ECO7I; EX7S_ECO81; EX7S_ECO8A; EX7S_ECOBW; EX7S_ECODH; EX7S_ECOHS; EX7S_ECOL6; EX7S_ECOLC; EX7S_ECOLI; EX7S_ECOLU; EX7S_ECOSE; EX7S_ECOSM; EX7S_ECOUT</t>
  </si>
  <si>
    <t>A7ZIH5|EX7S_ECO24 Exodeoxyribonuclease 7 small subunit OS=Escherichia coli O139:H28 (strain E24377A / ETEC) OX=331111 GN=xseB PE=3 SV=1</t>
  </si>
  <si>
    <t>PGK_ECO24</t>
  </si>
  <si>
    <t>PGK_ECO24; PGK_ECO57; PGK_ECOHS; PGK_ECOK1; PGK_ECOL5; PGK_ECOL6; PGK_ECOLC; PGK_ECOLI</t>
  </si>
  <si>
    <t>A7ZR34|PGK_ECO24 Phosphoglycerate kinase OS=Escherichia coli O139:H28 (strain E24377A / ETEC) OX=331111 GN=pgk PE=3 SV=1</t>
  </si>
  <si>
    <t>DNAJ_ECO24</t>
  </si>
  <si>
    <t>DNAJ_ECO24; DNAJ_ECO27; DNAJ_ECO45; DNAJ_ECO55; DNAJ_ECO57; DNAJ_ECO5E; DNAJ_ECO7I; DNAJ_ECO81; DNAJ_ECO8A; DNAJ_ECOHS; DNAJ_ECOL6; DNAJ_ECOLC; DNAJ_ECOLU; DNAJ_ECOSE; DNAJ_ECOSM; DNAJ_ECOUT</t>
  </si>
  <si>
    <t>DNAJ_ECOBW; DNAJ_ECODH; DNAJ_ECOLI</t>
  </si>
  <si>
    <t>A7ZHA5|DNAJ_ECO24 Chaperone protein DnaJ OS=Escherichia coli O139:H28 (strain E24377A / ETEC) OX=331111 GN=dnaJ PE=3 SV=1</t>
  </si>
  <si>
    <t>CSPE_ECO57</t>
  </si>
  <si>
    <t>CSPE_ECO57; CSPE_ECOL6; CSPE_ECOLI; CSPE_ECOLW</t>
  </si>
  <si>
    <t>P0A974|CSPE_ECO57 Cold shock-like protein CspE OS=Escherichia coli O157:H7 OX=83334 GN=cspE PE=3 SV=2</t>
  </si>
  <si>
    <t>CDSA_ECO57</t>
  </si>
  <si>
    <t>CDSA_ECO57; CDSA_ECOLI</t>
  </si>
  <si>
    <t>P0ABG2|CDSA_ECO57 Phosphatidate cytidylyltransferase OS=Escherichia coli O157:H7 OX=83334 GN=cdsA PE=3 SV=2</t>
  </si>
  <si>
    <t>GNSB_ECOLI</t>
  </si>
  <si>
    <t>GNSA_ECOL6; GNSA_ECOLI</t>
  </si>
  <si>
    <t>P77695|GNSB_ECOLI Protein GnsB OS=Escherichia coli (strain K12) OX=83333 GN=gnsB PE=3 SV=2</t>
  </si>
  <si>
    <t>PFKA_ECO24</t>
  </si>
  <si>
    <t>PFKA_ECO24; PFKA_ECO27; PFKA_ECO45; PFKA_ECO55; PFKA_ECO57; PFKA_ECO5E; PFKA_ECO7I; PFKA_ECO81; PFKA_ECO8A; PFKA_ECOBW; PFKA_ECODH; PFKA_ECOHS; PFKA_ECOL5; PFKA_ECOL6; PFKA_ECOLC; PFKA_ECOLI; PFKA_ECOLU; PFKA_ECOSE; PFKA_ECOSM</t>
  </si>
  <si>
    <t>A7ZUC9|PFKA_ECO24 ATP-dependent 6-phosphofructokinase isozyme 1 OS=Escherichia coli O139:H28 (strain E24377A / ETEC) OX=331111 GN=pfkA PE=3 SV=1</t>
  </si>
  <si>
    <t>RL31_ECO24</t>
  </si>
  <si>
    <t>RL31_ECO24; RL31_ECO27; RL31_ECO45; RL31_ECO55; RL31_ECO57; RL31_ECO5E; RL31_ECO7I; RL31_ECO81; RL31_ECO8A; RL31_ECOBW; RL31_ECODH; RL31_ECOHS; RL31_ECOL5; RL31_ECOL6; RL31_ECOLC; RL31_ECOLI; RL31_ECOLU; RL31_ECOSE; RL31_ECOSM; RL31_ECOUT</t>
  </si>
  <si>
    <t>A7ZUF1|RL31_ECO24 50S ribosomal protein L31 OS=Escherichia coli O139:H28 (strain E24377A / ETEC) OX=331111 GN=rpmE PE=3 SV=1</t>
  </si>
  <si>
    <t>LUXS_ECO24</t>
  </si>
  <si>
    <t>LUXS_ECO24; LUXS_ECO27; LUXS_ECO45; LUXS_ECO55; LUXS_ECO57; LUXS_ECO5E; LUXS_ECO7I; LUXS_ECO81; LUXS_ECO8A; LUXS_ECOBW; LUXS_ECODH; LUXS_ECOHS; LUXS_ECOK1; LUXS_ECOL5; LUXS_ECOL6; LUXS_ECOLC; LUXS_ECOLI; LUXS_ECOLU; LUXS_ECOSE; LUXS_ECOSM; LUXS_ECOUT</t>
  </si>
  <si>
    <t>A7ZQC0|LUXS_ECO24 S-ribosylhomocysteine lyase OS=Escherichia coli O139:H28 (strain E24377A / ETEC) OX=331111 GN=luxS PE=3 SV=1</t>
  </si>
  <si>
    <t>HPF_ECO57</t>
  </si>
  <si>
    <t>HPF_ECO57; HPF_ECOL6; HPF_ECOLI</t>
  </si>
  <si>
    <t>P0AFX2|HPF_ECO57 Ribosome hibernation promoting factor OS=Escherichia coli O157:H7 OX=83334 GN=hpf PE=3 SV=1</t>
  </si>
  <si>
    <t>METE_ECO24</t>
  </si>
  <si>
    <t>METE_ECO24; METE_ECO45; METE_ECO57; METE_ECO5E; METE_ECO7I; METE_ECO8A; METE_ECODH; METE_ECOHS; METE_ECOL5; METE_ECOL6; METE_ECOLC; METE_ECOLI; METE_ECOLU; METE_ECOSE; METE_ECOSM; METE_ECOUT</t>
  </si>
  <si>
    <t>A7ZU36|METE_ECO24 5-methyltetrahydropteroyltriglutamate--homocysteine methyltransferase OS=Escherichia coli O139:H28 (strain E24377A / ETEC) OX=331111 GN=metE PE=3 SV=1</t>
  </si>
  <si>
    <t>METE_ECOK1</t>
  </si>
  <si>
    <t>A1AHZ7|METE_ECOK1 5-methyltetrahydropteroyltriglutamate--homocysteine methyltransferase OS=Escherichia coli O1:K1 / APEC OX=405955 GN=metE PE=3 SV=1</t>
  </si>
  <si>
    <t>P62894|CON__CYC_BOVIN</t>
  </si>
  <si>
    <t>sp|P62894|CON__CYC_BOVIN Cytochrome c OS=Bos taurus OX=9913 GN=CYCS PE=1 SV=2</t>
  </si>
  <si>
    <t>ARNA_ECO24</t>
  </si>
  <si>
    <t>ARNA_ECO24; ARNA_ECO27; ARNA_ECO45; ARNA_ECO55; ARNA_ECO57; ARNA_ECO5E; ARNA_ECO7I; ARNA_ECO81; ARNA_ECO8A; ARNA_ECOBW; ARNA_ECODH; ARNA_ECOHS; ARNA_ECOK1; ARNA_ECOL5; ARNA_ECOL6; ARNA_ECOLC; ARNA_ECOLI; ARNA_ECOLU; ARNA_ECOSE; ARNA_ECOSM; ARNA_ECOUT</t>
  </si>
  <si>
    <t>A7ZP73|ARNA_ECO24 Bifunctional polymyxin resistance protein ArnA OS=Escherichia coli O139:H28 (strain E24377A / ETEC) OX=331111 GN=arnA PE=3 SV=1</t>
  </si>
  <si>
    <t>DEOR_ECO57</t>
  </si>
  <si>
    <t>DEOR_ECO57; DEOR_ECOL6; DEOR_ECOLI</t>
  </si>
  <si>
    <t>P0ACK7|DEOR_ECO57 Deoxyribose operon repressor OS=Escherichia coli O157:H7 OX=83334 GN=deoR PE=3 SV=1</t>
  </si>
  <si>
    <t>USPA_ECO57</t>
  </si>
  <si>
    <t>USPA_ECO57; USPA_ECOL6; USPA_ECOLI</t>
  </si>
  <si>
    <t>P0AED2|USPA_ECO57 Universal stress protein A OS=Escherichia coli O157:H7 OX=83334 GN=uspA PE=3 SV=2</t>
  </si>
  <si>
    <t>USPF_ECO57</t>
  </si>
  <si>
    <t>USPF_ECO57; USPF_ECOL5; USPF_ECOL6; USPF_ECOLI</t>
  </si>
  <si>
    <t>P0A4P7|USPF_ECO57 Universal stress protein F OS=Escherichia coli O157:H7 OX=83334 GN=uspF PE=3 SV=1</t>
  </si>
  <si>
    <t>PFLA_ECO57</t>
  </si>
  <si>
    <t>PFLA_ECO57; PFLA_ECOL6; PFLA_ECOLI</t>
  </si>
  <si>
    <t>P0A9N6|PFLA_ECO57 Pyruvate formate-lyase 1-activating enzyme OS=Escherichia coli O157:H7 OX=83334 GN=pflA PE=3 SV=2</t>
  </si>
  <si>
    <t>ICLR_ECOLI</t>
  </si>
  <si>
    <t>P16528|ICLR_ECOLI Transcriptional repressor IclR OS=Escherichia coli (strain K12) OX=83333 GN=iclR PE=1 SV=1</t>
  </si>
  <si>
    <t>PYRB_ECO24</t>
  </si>
  <si>
    <t>PYRB_ECO24; PYRB_ECO27; PYRB_ECO45; PYRB_ECO55; PYRB_ECO57; PYRB_ECO5E; PYRB_ECO7I; PYRB_ECO81; PYRB_ECO8A; PYRB_ECOBW; PYRB_ECODH; PYRB_ECOHS; PYRB_ECOK1; PYRB_ECOL5; PYRB_ECOL6; PYRB_ECOLC; PYRB_ECOLI; PYRB_ECOLU; PYRB_ECOSE; PYRB_ECOSM; PYRB_ECOUT</t>
  </si>
  <si>
    <t>A7ZVC7|PYRB_ECO24 Aspartate carbamoyltransferase OS=Escherichia coli O139:H28 (strain E24377A / ETEC) OX=331111 GN=pyrB PE=3 SV=1</t>
  </si>
  <si>
    <t>SRA_ECO57</t>
  </si>
  <si>
    <t>SRA_ECO57; SRA_ECOL5; SRA_ECOL6; SRA_ECOLI; SRA_ECOUT</t>
  </si>
  <si>
    <t>P68193|SRA_ECO57 Stationary-phase-induced ribosome-associated protein OS=Escherichia coli O157:H7 OX=83334 GN=sra PE=3 SV=1</t>
  </si>
  <si>
    <t>SDHA_ECO57</t>
  </si>
  <si>
    <t>SDHA_ECO57; SDHA_ECOL6; SDHA_ECOLI</t>
  </si>
  <si>
    <t>P0AC43|SDHA_ECO57 Succinate dehydrogenase flavoprotein subunit OS=Escherichia coli O157:H7 OX=83334 GN=sdhA PE=3 SV=1</t>
  </si>
  <si>
    <t>ADHE_ECO57</t>
  </si>
  <si>
    <t>ADHE_ECO57; ADHE_ECOLI</t>
  </si>
  <si>
    <t>P0A9Q8|ADHE_ECO57 Aldehyde-alcohol dehydrogenase OS=Escherichia coli O157:H7 OX=83334 GN=adhE PE=3 SV=2</t>
  </si>
  <si>
    <t>HDEB_ECOL6</t>
  </si>
  <si>
    <t>HDEB_ECOL6; HDEB_ECOLI</t>
  </si>
  <si>
    <t>P0AET3|HDEB_ECOL6 Acid stress chaperone HdeB OS=Escherichia coli O6:H1 (strain CFT073 / ATCC 700928 / UPEC) OX=199310 GN=hdeB PE=3 SV=1</t>
  </si>
  <si>
    <t>RRAA_ECO24</t>
  </si>
  <si>
    <t>RRAA_ECO24; RRAA_ECO27; RRAA_ECO45; RRAA_ECO55; RRAA_ECO57; RRAA_ECO5E; RRAA_ECO7I; RRAA_ECO81; RRAA_ECO8A; RRAA_ECOBW; RRAA_ECODH; RRAA_ECOHS; RRAA_ECOL5; RRAA_ECOL6; RRAA_ECOLC; RRAA_ECOLI; RRAA_ECOLU; RRAA_ECOSE; RRAA_ECOSM; RRAA_ECOUT</t>
  </si>
  <si>
    <t>A7ZUE4|RRAA_ECO24 Regulator of ribonuclease activity A OS=Escherichia coli O139:H28 (strain E24377A / ETEC) OX=331111 GN=rraA PE=3 SV=1</t>
  </si>
  <si>
    <t>CYSK_ECO57</t>
  </si>
  <si>
    <t>CYSK_ECO57; CYSK_ECOLI</t>
  </si>
  <si>
    <t>P0ABK6|CYSK_ECO57 Cysteine synthase A OS=Escherichia coli O157:H7 OX=83334 GN=cysK PE=3 SV=2</t>
  </si>
  <si>
    <t>ODO2_ECO57</t>
  </si>
  <si>
    <t>ODO2_ECO57; ODO2_ECOLI</t>
  </si>
  <si>
    <t>P0AFG7|ODO2_ECO57 Dihydrolipoyllysine-residue succinyltransferase component of 2-oxoglutarate dehydrogenase complex OS=Escherichia coli O157:H7 OX=83334 GN=sucB PE=1 SV=2</t>
  </si>
  <si>
    <t>G3P1_ECO57</t>
  </si>
  <si>
    <t>G3P1_ECO57; G3P1_ECOLI; G3P_ECOL6</t>
  </si>
  <si>
    <t>G3P2_ECO57</t>
  </si>
  <si>
    <t>P0A9B4|G3P1_ECO57 Glyceraldehyde-3-phosphate dehydrogenase A OS=Escherichia coli O157:H7 OX=83334 GN=gapA PE=3 SV=2</t>
  </si>
  <si>
    <t>JAYE_ECOLI</t>
  </si>
  <si>
    <t>P75981|JAYE_ECOLI Putative protein JayE OS=Escherichia coli (strain K12) OX=83333 GN=jayE PE=5 SV=1</t>
  </si>
  <si>
    <t>ABGA_ECOLI</t>
  </si>
  <si>
    <t>P77357|ABGA_ECOLI p-aminobenzoyl-glutamate hydrolase subunit A OS=Escherichia coli (strain K12) OX=83333 GN=abgA PE=1 SV=2</t>
  </si>
  <si>
    <t>YGGL_ECOLI</t>
  </si>
  <si>
    <t>P38521|YGGL_ECOLI Uncharacterized protein YggL OS=Escherichia coli (strain K12) OX=83333 GN=yggL PE=4 SV=2</t>
  </si>
  <si>
    <t>ECNB_ECO57</t>
  </si>
  <si>
    <t>ECNB_ECO57; ECNB_ECOL6; ECNB_ECOLI</t>
  </si>
  <si>
    <t>P0ADB9|ECNB_ECO57 Entericidin B OS=Escherichia coli O157:H7 OX=83334 GN=ecnB PE=3 SV=1</t>
  </si>
  <si>
    <t>DBHA_ECO57</t>
  </si>
  <si>
    <t>DBHA_ECO57; DBHA_ECOL6; DBHA_ECOLI; DBHA_ECOLW</t>
  </si>
  <si>
    <t>P0ACF2|DBHA_ECO57 DNA-binding protein HU-alpha OS=Escherichia coli O157:H7 OX=83334 GN=hupA PE=3 SV=1</t>
  </si>
  <si>
    <t>CH601_ECOK1</t>
  </si>
  <si>
    <t>CH601_ECOK1; CH60_ECO24; CH60_ECO27; CH60_ECO45; CH60_ECO55; CH60_ECO57; CH60_ECO5E; CH60_ECO7I; CH60_ECO81; CH60_ECO8A; CH60_ECOBW; CH60_ECODH; CH60_ECOHS; CH60_ECOL6; CH60_ECOLC; CH60_ECOLI; CH60_ECOLU; CH60_ECOSE; CH60_ECOSM; CH60_ECOUT</t>
  </si>
  <si>
    <t>CH60_ECOL5</t>
  </si>
  <si>
    <t>A1AJ51|CH601_ECOK1 60 kDa chaperonin 1 OS=Escherichia coli O1:K1 / APEC OX=405955 GN=groL1 PE=3 SV=1</t>
  </si>
  <si>
    <t>KPPR_ECOLI</t>
  </si>
  <si>
    <t>P0AEX5|KPPR_ECOLI Probable phosphoribulokinase OS=Escherichia coli (strain K12) OX=83333 GN=prkB PE=3 SV=1</t>
  </si>
  <si>
    <t>PYRI_ECO24</t>
  </si>
  <si>
    <t>PYRI_ECO24; PYRI_ECO27; PYRI_ECO45; PYRI_ECO55; PYRI_ECO57; PYRI_ECO5E; PYRI_ECO7I; PYRI_ECO81; PYRI_ECO8A; PYRI_ECOBW; PYRI_ECODH; PYRI_ECOHS; PYRI_ECOK1; PYRI_ECOL5; PYRI_ECOL6; PYRI_ECOLC; PYRI_ECOLI; PYRI_ECOLU; PYRI_ECOSE; PYRI_ECOSM; PYRI_ECOUT</t>
  </si>
  <si>
    <t>A7ZVC6|PYRI_ECO24 Aspartate carbamoyltransferase regulatory chain OS=Escherichia coli O139:H28 (strain E24377A / ETEC) OX=331111 GN=pyrI PE=3 SV=1</t>
  </si>
  <si>
    <t>DCDA_ECOLI</t>
  </si>
  <si>
    <t>DCDA_ECOLI; DCDA_ECOLW</t>
  </si>
  <si>
    <t>P00861|DCDA_ECOLI Diaminopimelate decarboxylase OS=Escherichia coli (strain K12) OX=83333 GN=lysA PE=1 SV=1</t>
  </si>
  <si>
    <t>GLYA_ECO24</t>
  </si>
  <si>
    <t>GLYA_ECO24; GLYA_ECO27; GLYA_ECO45; GLYA_ECO55; GLYA_ECO57; GLYA_ECO5E; GLYA_ECO7I; GLYA_ECO81; GLYA_ECO8A; GLYA_ECOBW; GLYA_ECODH; GLYA_ECOHS; GLYA_ECOK1; GLYA_ECOL5; GLYA_ECOL6; GLYA_ECOLC; GLYA_ECOLI; GLYA_ECOLU; GLYA_ECOSE; GLYA_ECOSM; GLYA_ECOUT</t>
  </si>
  <si>
    <t>A7ZPZ4|GLYA_ECO24 Serine hydroxymethyltransferase OS=Escherichia coli O139:H28 (strain E24377A / ETEC) OX=331111 GN=glyA PE=3 SV=1</t>
  </si>
  <si>
    <t>P12763|CON__FETUA_BOVIN</t>
  </si>
  <si>
    <t>sp|P12763|CON__FETUA_BOVIN Alpha-2-HS-glycoprotein OS=Bos taurus OX=9913 GN=AHSG PE=1 SV=2</t>
  </si>
  <si>
    <t>P13645|CON__K1C10_HUMAN</t>
  </si>
  <si>
    <t>P02535-2|CON__K1C10_MOUSE; P02535-3|CON__K1C10_MOUSE; P02535|CON__K1C10_MOUSE</t>
  </si>
  <si>
    <t>sp|P13645|CON__K1C10_HUMAN Keratin, type I cytoskeletal 10 OS=Homo sapiens OX=9606 GN=KRT10 PE=1 SV=6</t>
  </si>
  <si>
    <t>KAD_ECO24</t>
  </si>
  <si>
    <t>KAD_ECO24; KAD_ECO27; KAD_ECO45; KAD_ECO55; KAD_ECO57; KAD_ECO7I; KAD_ECO81; KAD_ECO8A; KAD_ECOBW; KAD_ECODH; KAD_ECOHS; KAD_ECOL5; KAD_ECOL6; KAD_ECOLC; KAD_ECOLI; KAD_ECOLU; KAD_ECOSE; KAD_ECOSM</t>
  </si>
  <si>
    <t>A7ZIN4|KAD_ECO24 Adenylate kinase OS=Escherichia coli O139:H28 (strain E24377A / ETEC) OX=331111 GN=adk PE=3 SV=1</t>
  </si>
  <si>
    <t>TIG_ECO24</t>
  </si>
  <si>
    <t>TIG_ECO24; TIG_ECO27; TIG_ECO45; TIG_ECO55; TIG_ECO57; TIG_ECO5E; TIG_ECO7I; TIG_ECO81; TIG_ECO8A; TIG_ECOBW; TIG_ECODH; TIG_ECOHS; TIG_ECOK1; TIG_ECOL5; TIG_ECOL6; TIG_ECOLC; TIG_ECOLI; TIG_ECOLU; TIG_ECOSE; TIG_ECOSM; TIG_ECOUT</t>
  </si>
  <si>
    <t>A7ZIJ4|TIG_ECO24 Trigger factor OS=Escherichia coli O139:H28 (strain E24377A / ETEC) OX=331111 GN=tig PE=3 SV=1</t>
  </si>
  <si>
    <t>YAGE_ECOLI</t>
  </si>
  <si>
    <t>P75682|YAGE_ECOLI Putative 2-dehydro-3-deoxy-D-gluconate aldolase YagE OS=Escherichia coli (strain K12) OX=83333 GN=yagE PE=1 SV=2</t>
  </si>
  <si>
    <t>YBFA_ECO57</t>
  </si>
  <si>
    <t>YBFA_ECO57; YBFA_ECOLI</t>
  </si>
  <si>
    <t>P0AAU3|YBFA_ECO57 Uncharacterized protein YbfA OS=Escherichia coli O157:H7 OX=83334 GN=ybfA PE=3 SV=1</t>
  </si>
  <si>
    <t>DCEB_ECO57</t>
  </si>
  <si>
    <t>DCEB_ECO57; DCEB_ECOL6; DCEB_ECOLI</t>
  </si>
  <si>
    <t>P69911|DCEB_ECO57 Glutamate decarboxylase beta OS=Escherichia coli O157:H7 OX=83334 GN=gadB PE=3 SV=1</t>
  </si>
  <si>
    <t>YBIB_ECOLI</t>
  </si>
  <si>
    <t>P30177|YBIB_ECOLI Uncharacterized protein YbiB OS=Escherichia coli (strain K12) OX=83333 GN=ybiB PE=1 SV=1</t>
  </si>
  <si>
    <t>PPK1_ECO57</t>
  </si>
  <si>
    <t>PPK1_ECO57; PPK1_ECOL6; PPK1_ECOLI</t>
  </si>
  <si>
    <t>P0A7B2|PPK1_ECO57 Polyphosphate kinase OS=Escherichia coli O157:H7 OX=83334 GN=ppk PE=3 SV=2</t>
  </si>
  <si>
    <t>BETB_ECO24</t>
  </si>
  <si>
    <t>BETB_ECO24; BETB_ECO27; BETB_ECO45; BETB_ECO55; BETB_ECO57; BETB_ECO5E; BETB_ECO7I; BETB_ECO8A; BETB_ECODH; BETB_ECOHS; BETB_ECOL5; BETB_ECOL6; BETB_ECOLC; BETB_ECOLI; BETB_ECOLU; BETB_ECOSE; BETB_ECOSM</t>
  </si>
  <si>
    <t>A7ZI51|BETB_ECO24 NAD/NADP-dependent betaine aldehyde dehydrogenase OS=Escherichia coli O139:H28 (strain E24377A / ETEC) OX=331111 GN=betB PE=3 SV=1</t>
  </si>
  <si>
    <t>quant_channel_name</t>
  </si>
  <si>
    <t>-</t>
  </si>
  <si>
    <t>1_comp1_01nM A</t>
  </si>
  <si>
    <t>11_comp5_1nM A</t>
  </si>
  <si>
    <t>3_comp2_01nM A</t>
  </si>
  <si>
    <t>13_comp6_1nM A</t>
  </si>
  <si>
    <t>5_comp3_01nM A</t>
  </si>
  <si>
    <t>15_comp7_1nM A</t>
  </si>
  <si>
    <t>7_comp4_01nM A</t>
  </si>
  <si>
    <t>17_comp8_1nM A</t>
  </si>
  <si>
    <t>9_ref_01nM A</t>
  </si>
  <si>
    <t>19_ref_1nM A</t>
  </si>
  <si>
    <t>2_comp1_01nM B</t>
  </si>
  <si>
    <t>12_comp5_1nM B</t>
  </si>
  <si>
    <t>4_comp2_01nM B</t>
  </si>
  <si>
    <t>14_comp6_1nM B</t>
  </si>
  <si>
    <t>6_comp3_01nM B</t>
  </si>
  <si>
    <t>16_comp7_1nM B</t>
  </si>
  <si>
    <t>8_comp4_01nM B</t>
  </si>
  <si>
    <t>18_comp8_1nM B</t>
  </si>
  <si>
    <t>10_ref_01nM B</t>
  </si>
  <si>
    <t>20_ref_1nM B</t>
  </si>
  <si>
    <t>result_file_name</t>
  </si>
  <si>
    <t>DATASET_IdentSummary_Id217</t>
  </si>
  <si>
    <t>F149599.dat</t>
  </si>
  <si>
    <t>F149605.dat</t>
  </si>
  <si>
    <t>F149600.dat</t>
  </si>
  <si>
    <t>F149601.dat</t>
  </si>
  <si>
    <t>F149602.dat</t>
  </si>
  <si>
    <t>F149603.dat</t>
  </si>
  <si>
    <t>F149604.dat</t>
  </si>
  <si>
    <t>F149606.dat</t>
  </si>
  <si>
    <t>F149607.dat</t>
  </si>
  <si>
    <t>F149608.dat</t>
  </si>
  <si>
    <t>F149609.dat</t>
  </si>
  <si>
    <t>F149610.dat</t>
  </si>
  <si>
    <t>F149611.dat</t>
  </si>
  <si>
    <t>F149612.dat</t>
  </si>
  <si>
    <t>F149613.dat</t>
  </si>
  <si>
    <t>F149614.dat</t>
  </si>
  <si>
    <t>F149615.dat</t>
  </si>
  <si>
    <t>F149616.dat</t>
  </si>
  <si>
    <t>F149617.dat</t>
  </si>
  <si>
    <t>F149618.dat</t>
  </si>
  <si>
    <t>import_params</t>
  </si>
  <si>
    <t>Target-Decoy Mode: SEPARATED</t>
  </si>
  <si>
    <t>psm_filter_expected_fdr</t>
  </si>
  <si>
    <t>psm_filter_1</t>
  </si>
  <si>
    <t>PSM FILTER: PRETTY_RANK; Description: peptide match rank filter; Properties: [threshold_value=1]</t>
  </si>
  <si>
    <t>psm_filter_2</t>
  </si>
  <si>
    <t>PSM FILTER: PEP_SEQ_LENGTH; Description: peptide sequence length filter; Properties: [threshold_value=7]</t>
  </si>
  <si>
    <t>psm_filter_3</t>
  </si>
  <si>
    <t>PSM FILTER: MASCOT_ADJUSTED_EVALUE; Description: peptide match mascot adjusted e-value filter; Properties: [threshold_value=0.8340186503083038]</t>
  </si>
  <si>
    <t>PSM FILTER: MASCOT_ADJUSTED_EVALUE; Description: peptide match mascot adjusted e-value filter; Properties: [threshold_value=0.2656313786376507]</t>
  </si>
  <si>
    <t>PSM FILTER: MASCOT_ADJUSTED_EVALUE; Description: peptide match mascot adjusted e-value filter; Properties: [threshold_value=0.5021741412567545]</t>
  </si>
  <si>
    <t>PSM FILTER: MASCOT_ADJUSTED_EVALUE; Description: peptide match mascot adjusted e-value filter; Properties: [threshold_value=0.39515498917997305]</t>
  </si>
  <si>
    <t>PSM FILTER: MASCOT_ADJUSTED_EVALUE; Description: peptide match mascot adjusted e-value filter; Properties: [threshold_value=0.5740685411105904]</t>
  </si>
  <si>
    <t>PSM FILTER: MASCOT_ADJUSTED_EVALUE; Description: peptide match mascot adjusted e-value filter; Properties: [threshold_value=0.5403935629818285]</t>
  </si>
  <si>
    <t>PSM FILTER: MASCOT_ADJUSTED_EVALUE; Description: peptide match mascot adjusted e-value filter; Properties: [threshold_value=0.3680111955109162]</t>
  </si>
  <si>
    <t>PSM FILTER: MASCOT_ADJUSTED_EVALUE; Description: peptide match mascot adjusted e-value filter; Properties: [threshold_value=0.7032347159182305]</t>
  </si>
  <si>
    <t>PSM FILTER: MASCOT_ADJUSTED_EVALUE; Description: peptide match mascot adjusted e-value filter; Properties: [threshold_value=0.8783226946865668]</t>
  </si>
  <si>
    <t>PSM FILTER: MASCOT_ADJUSTED_EVALUE; Description: peptide match mascot adjusted e-value filter; Properties: [threshold_value=0.9316294591593796]</t>
  </si>
  <si>
    <t>PSM FILTER: MASCOT_ADJUSTED_EVALUE; Description: peptide match mascot adjusted e-value filter; Properties: [threshold_value=0.5142392644291787]</t>
  </si>
  <si>
    <t>PSM FILTER: MASCOT_ADJUSTED_EVALUE; Description: peptide match mascot adjusted e-value filter; Properties: [threshold_value=0.359380832936058]</t>
  </si>
  <si>
    <t>PSM FILTER: MASCOT_ADJUSTED_EVALUE; Description: peptide match mascot adjusted e-value filter; Properties: [threshold_value=0.4819773131557873]</t>
  </si>
  <si>
    <t>PSM FILTER: MASCOT_ADJUSTED_EVALUE; Description: peptide match mascot adjusted e-value filter; Properties: [threshold_value=0.49573692726384744]</t>
  </si>
  <si>
    <t>PSM FILTER: MASCOT_ADJUSTED_EVALUE; Description: peptide match mascot adjusted e-value filter; Properties: [threshold_value=0.33960178312329065]</t>
  </si>
  <si>
    <t>PSM FILTER: MASCOT_ADJUSTED_EVALUE; Description: peptide match mascot adjusted e-value filter; Properties: [threshold_value=0.5209185927062961]</t>
  </si>
  <si>
    <t>PSM FILTER: MASCOT_ADJUSTED_EVALUE; Description: peptide match mascot adjusted e-value filter; Properties: [threshold_value=0.32958699719872014]</t>
  </si>
  <si>
    <t>PSM FILTER: MASCOT_ADJUSTED_EVALUE; Description: peptide match mascot adjusted e-value filter; Properties: [threshold_value=0.7567340031010414]</t>
  </si>
  <si>
    <t>PSM FILTER: MASCOT_ADJUSTED_EVALUE; Description: peptide match mascot adjusted e-value filter; Properties: [threshold_value=0.5054570459699246]</t>
  </si>
  <si>
    <t>prot_filter_expected_fdr</t>
  </si>
  <si>
    <t>import_prot_filter_1</t>
  </si>
  <si>
    <t>Protein FILTER: SPECIFIC_PEP; Description: protein set filter on specific peptide (protein set context); Properties: [threshold_value=1]</t>
  </si>
  <si>
    <t>import_prot_filter_2</t>
  </si>
  <si>
    <t>Protein FILTER: SCORE; Description: protein set score filter; Properties: [rule_1_threshold_value=3.1195998, rule_2_threshold_value=0.1]</t>
  </si>
  <si>
    <t>Protein FILTER: SCORE; Description: protein set score filter; Properties: [rule_1_threshold_value=3.35, rule_2_threshold_value=0.0]</t>
  </si>
  <si>
    <t>Protein FILTER: SCORE; Description: protein set score filter; Properties: [rule_1_threshold_value=0.1, rule_2_threshold_value=0.0]</t>
  </si>
  <si>
    <t>Protein FILTER: SCORE; Description: protein set score filter; Properties: [rule_1_threshold_value=0.33528575, rule_2_threshold_value=0.0]</t>
  </si>
  <si>
    <t>Protein FILTER: SCORE; Description: protein set score filter; Properties: [rule_1_threshold_value=3.2915196, rule_2_threshold_value=0.1]</t>
  </si>
  <si>
    <t>Protein FILTER: SCORE; Description: protein set score filter; Properties: [rule_1_threshold_value=4.444283, rule_2_threshold_value=0.0]</t>
  </si>
  <si>
    <t>Protein FILTER: SCORE; Description: protein set score filter; Properties: [rule_1_threshold_value=4.379768, rule_2_threshold_value=0.0]</t>
  </si>
  <si>
    <t>Protein FILTER: SCORE; Description: protein set score filter; Properties: [rule_1_threshold_value=5.6330123, rule_2_threshold_value=0.0]</t>
  </si>
  <si>
    <t>Protein FILTER: SCORE; Description: protein set score filter; Properties: [rule_1_threshold_value=2.8860831, rule_2_threshold_value=0.0]</t>
  </si>
  <si>
    <t>Protein FILTER: SCORE; Description: protein set score filter; Properties: [rule_1_threshold_value=3.4700007, rule_2_threshold_value=0.0]</t>
  </si>
  <si>
    <t>Protein FILTER: SCORE; Description: protein set score filter; Properties: [rule_1_threshold_value=6.243933, rule_2_threshold_value=0.0]</t>
  </si>
  <si>
    <t>Protein FILTER: SCORE; Description: protein set score filter; Properties: [rule_1_threshold_value=4.1764884, rule_2_threshold_value=0.1]</t>
  </si>
  <si>
    <t>Protein FILTER: SCORE; Description: protein set score filter; Properties: [rule_1_threshold_value=2.9180198, rule_2_threshold_value=0.0]</t>
  </si>
  <si>
    <t>Protein FILTER: SCORE; Description: protein set score filter; Properties: [rule_1_threshold_value=6.5500007, rule_2_threshold_value=0.0]</t>
  </si>
  <si>
    <t>Protein FILTER: SCORE; Description: protein set score filter; Properties: [rule_1_threshold_value=1.4500004, rule_2_threshold_value=0.1]</t>
  </si>
  <si>
    <t>Protein FILTER: SCORE; Description: protein set score filter; Properties: [rule_1_threshold_value=11.271886, rule_2_threshold_value=0.0]</t>
  </si>
  <si>
    <t>Protein FILTER: SCORE; Description: protein set score filter; Properties: [rule_1_threshold_value=0.0, rule_2_threshold_value=0.0]</t>
  </si>
  <si>
    <t>Protein FILTER: SCORE; Description: protein set score filter; Properties: [rule_1_threshold_value=2.0172372, rule_2_threshold_value=0.0]</t>
  </si>
  <si>
    <t>Protein FILTER: SCORE; Description: protein set score filter; Properties: [rule_1_threshold_value=3.6844478, rule_2_threshold_value=0.0]</t>
  </si>
  <si>
    <t>Protein FILTER: SCORE; Description: protein set score filter; Properties: [rule_1_threshold_value=2.114534, rule_2_threshold_value=0.0]</t>
  </si>
  <si>
    <t>import_prot_filter_3</t>
  </si>
  <si>
    <t>version</t>
  </si>
  <si>
    <t>2.0</t>
  </si>
  <si>
    <t>use last peakel detection</t>
  </si>
  <si>
    <t>false</t>
  </si>
  <si>
    <t>detection method name</t>
  </si>
  <si>
    <t>DETECT_PEAKELS</t>
  </si>
  <si>
    <t>alignment smoothing method window size</t>
  </si>
  <si>
    <t>50</t>
  </si>
  <si>
    <t>alignment smoothing method window overlap</t>
  </si>
  <si>
    <t>alignment smoothing method min window landmarks</t>
  </si>
  <si>
    <t>alignment smoothing method name</t>
  </si>
  <si>
    <t>LANDMARK_RANGE</t>
  </si>
  <si>
    <t>alignment method max iterations</t>
  </si>
  <si>
    <t>3</t>
  </si>
  <si>
    <t>alignment method mass interval</t>
  </si>
  <si>
    <t>20000</t>
  </si>
  <si>
    <t>alignment method name</t>
  </si>
  <si>
    <t>ITERATIVE</t>
  </si>
  <si>
    <t>alignment ignore errors</t>
  </si>
  <si>
    <t>alignment feature mapping method time tolerance</t>
  </si>
  <si>
    <t>600.0</t>
  </si>
  <si>
    <t>alignment feature mapping method moz tolerance</t>
  </si>
  <si>
    <t>5.0 ppm</t>
  </si>
  <si>
    <t>alignment feature mapping method name</t>
  </si>
  <si>
    <t>PEPTIDE_IDENTITY</t>
  </si>
  <si>
    <t>cross assignment restrain to reliable features</t>
  </si>
  <si>
    <t>cross assignment method name</t>
  </si>
  <si>
    <t>BETWEEN_ALL_RUNS</t>
  </si>
  <si>
    <t>cross assignment feature filter operator</t>
  </si>
  <si>
    <t>GT</t>
  </si>
  <si>
    <t>cross assignment feature filter value</t>
  </si>
  <si>
    <t>0.0</t>
  </si>
  <si>
    <t>cross assignment feature filter name</t>
  </si>
  <si>
    <t>INTENSITY</t>
  </si>
  <si>
    <t>cross assignment feature mapping time tolerance</t>
  </si>
  <si>
    <t>60.0</t>
  </si>
  <si>
    <t>cross assignment feature mapping moz tolerance</t>
  </si>
  <si>
    <t>extraction moz tolerance</t>
  </si>
  <si>
    <t>detection start from validated peptides</t>
  </si>
  <si>
    <t>detection isotope matching moz tolerance</t>
  </si>
  <si>
    <t>detection psm matching moz tolerance</t>
  </si>
  <si>
    <t>clustering time computation</t>
  </si>
  <si>
    <t>MOST_INTENSE</t>
  </si>
  <si>
    <t>clustering time tolerance</t>
  </si>
  <si>
    <t>15.0</t>
  </si>
  <si>
    <t>clustering moz tolerance</t>
  </si>
  <si>
    <t>clustering intensity computation</t>
  </si>
  <si>
    <t>discard peptides sharing peakels</t>
  </si>
  <si>
    <t>use only specific peptides</t>
  </si>
  <si>
    <t>peptide stat apply miss val inference</t>
  </si>
  <si>
    <t>peptide stat min psm count per ratio</t>
  </si>
  <si>
    <t>0</t>
  </si>
  <si>
    <t>peptide stat min zscore</t>
  </si>
  <si>
    <t>0.4</t>
  </si>
  <si>
    <t>peptide stat stat tests alpha</t>
  </si>
  <si>
    <t>0.01</t>
  </si>
  <si>
    <t>peptide stat apply ttest</t>
  </si>
  <si>
    <t>peptide stat apply variance correction</t>
  </si>
  <si>
    <t>peptide stat apply ztest</t>
  </si>
  <si>
    <t>peptide stat apply normalization</t>
  </si>
  <si>
    <t>peptide stat miss val inference method</t>
  </si>
  <si>
    <t>GAUSSIAN_MODEL</t>
  </si>
  <si>
    <t>discard missed cleaved peptides</t>
  </si>
  <si>
    <t>oxidized peptide filtering method</t>
  </si>
  <si>
    <t>DISCARD_ALL_FORMS</t>
  </si>
  <si>
    <t>apply profile clustering</t>
  </si>
  <si>
    <t>protein stat apply miss val inference</t>
  </si>
  <si>
    <t>protein stat min psm count per ratio</t>
  </si>
  <si>
    <t>protein stat min zscore</t>
  </si>
  <si>
    <t>protein stat stat tests alpha</t>
  </si>
  <si>
    <t>protein stat apply ttest</t>
  </si>
  <si>
    <t>protein stat apply variance correction</t>
  </si>
  <si>
    <t>protein stat miss val inference noise percentile</t>
  </si>
  <si>
    <t>5</t>
  </si>
  <si>
    <t>protein stat apply ztest</t>
  </si>
  <si>
    <t>protein stat apply normalization</t>
  </si>
  <si>
    <t>protein stat miss val inference method</t>
  </si>
  <si>
    <t>PERCENTILE</t>
  </si>
  <si>
    <t>abundance summarizer method</t>
  </si>
  <si>
    <t>LFQ</t>
  </si>
  <si>
    <t>miss cleaved peptide filtering method</t>
  </si>
  <si>
    <t>discard oxidized peptides</t>
  </si>
  <si>
    <t>summarizing based on</t>
  </si>
  <si>
    <t>QUANT_PEPTIDE_IONS</t>
  </si>
  <si>
    <t>profile clustering method</t>
  </si>
  <si>
    <t>QUANT_PROFILE</t>
  </si>
  <si>
    <t>project_name</t>
  </si>
  <si>
    <t>Christophe Danelon</t>
  </si>
  <si>
    <t>result_set_name</t>
  </si>
  <si>
    <t>ETB Christophe Danelon 110825 [Mascot] QEAJS250807_PA_02b.raw.mgf</t>
  </si>
  <si>
    <t>ETB Christophe Danelon 110825 [Mascot] QEAJS250807_PA_04.raw.mgf</t>
  </si>
  <si>
    <t>ETB Christophe Danelon 110825 [Mascot] QEAJS250807_PA_06.raw.mgf</t>
  </si>
  <si>
    <t>ETB Christophe Danelon 110825 [Mascot] QEAJS250807_PA_08.raw.mgf</t>
  </si>
  <si>
    <t>ETB Christophe Danelon 110825 [Mascot] QEAJS250807_PA_10.raw.mgf</t>
  </si>
  <si>
    <t>ETB Christophe Danelon 110825 [Mascot] QEAJS250807_PA_12.raw.mgf</t>
  </si>
  <si>
    <t>ETB Christophe Danelon 110825 [Mascot] QEAJS250807_PA_14.raw.mgf</t>
  </si>
  <si>
    <t>ETB Christophe Danelon 110825 [Mascot] QEAJS250807_PA_16.raw.mgf</t>
  </si>
  <si>
    <t>ETB Christophe Danelon 110825 [Mascot] QEAJS250807_PA_18.raw.mgf</t>
  </si>
  <si>
    <t>ETB Christophe Danelon 110825 [Mascot] QEAJS250807_PA_20.raw.mgf</t>
  </si>
  <si>
    <t>ETB Christophe Danelon 110825 [Mascot] QEAJS250807_PA_22.raw.mgf</t>
  </si>
  <si>
    <t>ETB Christophe Danelon 110825 [Mascot] QEAJS250807_PA_24.raw.mgf</t>
  </si>
  <si>
    <t>ETB Christophe Danelon 110825 [Mascot] QEAJS250807_PA_26.raw.mgf</t>
  </si>
  <si>
    <t>ETB Christophe Danelon 110825 [Mascot] QEAJS250807_PA_28.raw.mgf</t>
  </si>
  <si>
    <t>ETB Christophe Danelon 110825 [Mascot] QEAJS250807_PA_30.raw.mgf</t>
  </si>
  <si>
    <t>ETB Christophe Danelon 110825 [Mascot] QEAJS250807_PA_32.raw.mgf</t>
  </si>
  <si>
    <t>ETB Christophe Danelon 110825 [Mascot] QEAJS250807_PA_34.raw.mgf</t>
  </si>
  <si>
    <t>ETB Christophe Danelon 110825 [Mascot] QEAJS250807_PA_36.raw.mgf</t>
  </si>
  <si>
    <t>ETB Christophe Danelon 110825 [Mascot] QEAJS250807_PA_38.raw.mgf</t>
  </si>
  <si>
    <t>ETB Christophe Danelon 110825 [Mascot] QEAJS250807_PA_40.raw.mgf</t>
  </si>
  <si>
    <t>search_title</t>
  </si>
  <si>
    <t>search_date</t>
  </si>
  <si>
    <t>2025:08:11 10:05:57</t>
  </si>
  <si>
    <t>2025:08:11 10:08:40</t>
  </si>
  <si>
    <t>2025:08:11 10:02:49</t>
  </si>
  <si>
    <t>2025:08:11 10:07:10</t>
  </si>
  <si>
    <t>2025:08:11 10:08:44</t>
  </si>
  <si>
    <t>2025:08:11 10:09:23</t>
  </si>
  <si>
    <t>2025:08:11 10:08:52</t>
  </si>
  <si>
    <t>2025:08:11 10:09:56</t>
  </si>
  <si>
    <t>2025:08:11 10:11:42</t>
  </si>
  <si>
    <t>2025:08:11 10:11:57</t>
  </si>
  <si>
    <t>2025:08:11 10:12:05</t>
  </si>
  <si>
    <t>2025:08:11 10:12:18</t>
  </si>
  <si>
    <t>2025:08:11 10:12:28</t>
  </si>
  <si>
    <t>2025:08:11 10:12:40</t>
  </si>
  <si>
    <t>2025:08:11 10:12:50</t>
  </si>
  <si>
    <t>2025:08:11 10:13:01</t>
  </si>
  <si>
    <t>2025:08:11 10:13:11</t>
  </si>
  <si>
    <t>2025:08:11 10:13:20</t>
  </si>
  <si>
    <t>2025:08:11 10:13:29</t>
  </si>
  <si>
    <t>2025:08:11 10:13:40</t>
  </si>
  <si>
    <t>raw_file_name</t>
  </si>
  <si>
    <t>QEAJS250807_PA_02b</t>
  </si>
  <si>
    <t>QEAJS250807_PA_04</t>
  </si>
  <si>
    <t>QEAJS250807_PA_06</t>
  </si>
  <si>
    <t>QEAJS250807_PA_08</t>
  </si>
  <si>
    <t>QEAJS250807_PA_10</t>
  </si>
  <si>
    <t>QEAJS250807_PA_12</t>
  </si>
  <si>
    <t>QEAJS250807_PA_14</t>
  </si>
  <si>
    <t>QEAJS250807_PA_16</t>
  </si>
  <si>
    <t>QEAJS250807_PA_18</t>
  </si>
  <si>
    <t>QEAJS250807_PA_20</t>
  </si>
  <si>
    <t>QEAJS250807_PA_22</t>
  </si>
  <si>
    <t>QEAJS250807_PA_24</t>
  </si>
  <si>
    <t>QEAJS250807_PA_26</t>
  </si>
  <si>
    <t>QEAJS250807_PA_28</t>
  </si>
  <si>
    <t>QEAJS250807_PA_30</t>
  </si>
  <si>
    <t>QEAJS250807_PA_32</t>
  </si>
  <si>
    <t>QEAJS250807_PA_34</t>
  </si>
  <si>
    <t>QEAJS250807_PA_36</t>
  </si>
  <si>
    <t>QEAJS250807_PA_38</t>
  </si>
  <si>
    <t>QEAJS250807_PA_40</t>
  </si>
  <si>
    <t>peaklist_file_path</t>
  </si>
  <si>
    <t>QEAJS250807_PA_02b.raw.mgf</t>
  </si>
  <si>
    <t>QEAJS250807_PA_04.raw.mgf</t>
  </si>
  <si>
    <t>QEAJS250807_PA_06.raw.mgf</t>
  </si>
  <si>
    <t>QEAJS250807_PA_08.raw.mgf</t>
  </si>
  <si>
    <t>QEAJS250807_PA_10.raw.mgf</t>
  </si>
  <si>
    <t>QEAJS250807_PA_12.raw.mgf</t>
  </si>
  <si>
    <t>QEAJS250807_PA_14.raw.mgf</t>
  </si>
  <si>
    <t>QEAJS250807_PA_16.raw.mgf</t>
  </si>
  <si>
    <t>QEAJS250807_PA_18.raw.mgf</t>
  </si>
  <si>
    <t>QEAJS250807_PA_20.raw.mgf</t>
  </si>
  <si>
    <t>QEAJS250807_PA_22.raw.mgf</t>
  </si>
  <si>
    <t>QEAJS250807_PA_24.raw.mgf</t>
  </si>
  <si>
    <t>QEAJS250807_PA_26.raw.mgf</t>
  </si>
  <si>
    <t>QEAJS250807_PA_28.raw.mgf</t>
  </si>
  <si>
    <t>QEAJS250807_PA_30.raw.mgf</t>
  </si>
  <si>
    <t>QEAJS250807_PA_32.raw.mgf</t>
  </si>
  <si>
    <t>QEAJS250807_PA_34.raw.mgf</t>
  </si>
  <si>
    <t>QEAJS250807_PA_36.raw.mgf</t>
  </si>
  <si>
    <t>QEAJS250807_PA_38.raw.mgf</t>
  </si>
  <si>
    <t>QEAJS250807_PA_40.raw.mgf</t>
  </si>
  <si>
    <t>result_file_directory</t>
  </si>
  <si>
    <t>G:\Mascot\data\20250811</t>
  </si>
  <si>
    <t>job_number</t>
  </si>
  <si>
    <t>user_name</t>
  </si>
  <si>
    <t>stella</t>
  </si>
  <si>
    <t>user_email</t>
  </si>
  <si>
    <t>queries_count</t>
  </si>
  <si>
    <t>searched_sequences_count</t>
  </si>
  <si>
    <t>software_name</t>
  </si>
  <si>
    <t>Mascot</t>
  </si>
  <si>
    <t>software_version</t>
  </si>
  <si>
    <t>2.8.3</t>
  </si>
  <si>
    <t>instrument_config</t>
  </si>
  <si>
    <t>Q-EXACTIVE (A1=FTMS F=HCD A2=FTMS)</t>
  </si>
  <si>
    <t>database_names</t>
  </si>
  <si>
    <t>D:/Sequences/Alexandre/current/Alex_20191003.fasta; D:/Sequences/contaminants/current/contaminants_20220223.fasta; D:/Sequences/Sprot_Ecoli/current/Sprot_Ecoli_20191105.fasta</t>
  </si>
  <si>
    <t>database_releases</t>
  </si>
  <si>
    <t>2024:11:19 15:07:18; 2025:01:20 16:08:51; 2025:01:20 16:08:51</t>
  </si>
  <si>
    <t>database_sequences_count</t>
  </si>
  <si>
    <t>29; 364; 23135</t>
  </si>
  <si>
    <t>taxonomy</t>
  </si>
  <si>
    <t>All entries</t>
  </si>
  <si>
    <t>enzymes</t>
  </si>
  <si>
    <t>Trypsin/P</t>
  </si>
  <si>
    <t>max_missed_cleavages</t>
  </si>
  <si>
    <t>fixed_ptms</t>
  </si>
  <si>
    <t>Carbamidomethyl (C)</t>
  </si>
  <si>
    <t>variable_ptms</t>
  </si>
  <si>
    <t>Oxidation (M)</t>
  </si>
  <si>
    <t>peptide_charge_states</t>
  </si>
  <si>
    <t>2+ and 3+</t>
  </si>
  <si>
    <t>peptide_mass_error_tolerance</t>
  </si>
  <si>
    <t>10.0 ppm</t>
  </si>
  <si>
    <t>fragment_mass_error_tolerance</t>
  </si>
  <si>
    <t>20.0 mmu</t>
  </si>
  <si>
    <t>is_decoy</t>
  </si>
  <si>
    <t>PUR8_ECOL6</t>
  </si>
  <si>
    <t>PUR8_ECOL6; PUR8_ECOLI</t>
  </si>
  <si>
    <t>P0AB90|PUR8_ECOL6 Adenylosuccinate lyase OS=Escherichia coli O6:H1 (strain CFT073 / ATCC 700928 / UPEC) OX=199310 GN=purB PE=3 SV=1</t>
  </si>
  <si>
    <t>SPOT_ECO57</t>
  </si>
  <si>
    <t>SPOT_ECO57; SPOT_ECOLI</t>
  </si>
  <si>
    <t>P0AG25|SPOT_ECO57 Guanosine-3',5'-bis(diphosphate) 3'-pyrophosphohydrolase OS=Escherichia coli O157:H7 OX=83334 GN=spoT PE=3 SV=1</t>
  </si>
  <si>
    <t>PT1_ECOLI</t>
  </si>
  <si>
    <t>P08839|PT1_ECOLI Phosphoenolpyruvate-protein phosphotransferase OS=Escherichia coli (strain K12) OX=83333 GN=ptsI PE=1 SV=1</t>
  </si>
  <si>
    <t>GLMS_ECO57</t>
  </si>
  <si>
    <t>GLMS_ECO57; GLMS_ECOL6; GLMS_ECOLI</t>
  </si>
  <si>
    <t>Q8XEG2|GLMS_ECO57 Glutamine--fructose-6-phosphate aminotransferase [isomerizing] OS=Escherichia coli O157:H7 OX=83334 GN=glmS PE=3 SV=3</t>
  </si>
  <si>
    <t>YPFM_ECOLI</t>
  </si>
  <si>
    <t>A5A621|YPFM_ECOLI Uncharacterized protein YpfM OS=Escherichia coli (strain K12) OX=83333 GN=ypfM PE=1 SV=1</t>
  </si>
  <si>
    <t>YIGA_ECOLI</t>
  </si>
  <si>
    <t>P23305|YIGA_ECOLI Uncharacterized protein YigA OS=Escherichia coli (strain K12) OX=83333 GN=yigA PE=4 SV=1</t>
  </si>
  <si>
    <t>YFCZ_ECOL6</t>
  </si>
  <si>
    <t>YFCZ_ECOL6; YFCZ_ECOLI</t>
  </si>
  <si>
    <t>P0AD34|YFCZ_ECOL6 UPF0381 protein YfcZ OS=Escherichia coli O6:H1 (strain CFT073 / ATCC 700928 / UPEC) OX=199310 GN=yfcZ PE=3 SV=1</t>
  </si>
  <si>
    <t>RL361_ECO24</t>
  </si>
  <si>
    <t>RL361_ECO24; RL361_ECODH; RL361_ECOHS; RL361_ECOL5; RL361_ECOLC; RL361_ECOSM; RL361_ECOUT; RL36_ECO57; RL36_ECOBW; RL36_ECOLI</t>
  </si>
  <si>
    <t>A7ZSI8|RL361_ECO24 50S ribosomal protein L36 1 OS=Escherichia coli O139:H28 (strain E24377A / ETEC) OX=331111 GN=rpmJ1 PE=3 SV=1</t>
  </si>
  <si>
    <t>UDP_ECOLI</t>
  </si>
  <si>
    <t>P12758|UDP_ECOLI Uridine phosphorylase OS=Escherichia coli (strain K12) OX=83333 GN=udp PE=1 SV=3</t>
  </si>
  <si>
    <t>PTHP_ECO57</t>
  </si>
  <si>
    <t>PTHP_ECO57; PTHP_ECOL6; PTHP_ECOLI</t>
  </si>
  <si>
    <t>P0AA06|PTHP_ECO57 Phosphocarrier protein HPr OS=Escherichia coli O157:H7 OX=83334 GN=ptsH PE=3 SV=1</t>
  </si>
  <si>
    <t>abgA</t>
  </si>
  <si>
    <t>acpP</t>
  </si>
  <si>
    <t>1 SV</t>
  </si>
  <si>
    <t>adhE</t>
  </si>
  <si>
    <t>ahpF</t>
  </si>
  <si>
    <t>alaC</t>
  </si>
  <si>
    <t>argE</t>
  </si>
  <si>
    <t>arnA</t>
  </si>
  <si>
    <t>aroG</t>
  </si>
  <si>
    <t>ansA</t>
  </si>
  <si>
    <t>betB</t>
  </si>
  <si>
    <t>can</t>
  </si>
  <si>
    <t>cdsA</t>
  </si>
  <si>
    <t>groL1</t>
  </si>
  <si>
    <t>pheA</t>
  </si>
  <si>
    <t>cra</t>
  </si>
  <si>
    <t>cspA</t>
  </si>
  <si>
    <t>cspE</t>
  </si>
  <si>
    <t>cysK</t>
  </si>
  <si>
    <t>hupA</t>
  </si>
  <si>
    <t>hupB</t>
  </si>
  <si>
    <t>lysA</t>
  </si>
  <si>
    <t>gadB</t>
  </si>
  <si>
    <t>deoR</t>
  </si>
  <si>
    <t>dnaJ</t>
  </si>
  <si>
    <t>dnaK</t>
  </si>
  <si>
    <t>dnaX</t>
  </si>
  <si>
    <t>dps</t>
  </si>
  <si>
    <t>ecnB</t>
  </si>
  <si>
    <t>fusA</t>
  </si>
  <si>
    <t>tsf</t>
  </si>
  <si>
    <t>tuf1</t>
  </si>
  <si>
    <t>xseB</t>
  </si>
  <si>
    <t>fimA</t>
  </si>
  <si>
    <t>fldA</t>
  </si>
  <si>
    <t>fmt</t>
  </si>
  <si>
    <t>ftsA</t>
  </si>
  <si>
    <t>ftsZ</t>
  </si>
  <si>
    <t>fur</t>
  </si>
  <si>
    <t>gapA</t>
  </si>
  <si>
    <t>pgi</t>
  </si>
  <si>
    <t>galR</t>
  </si>
  <si>
    <t>glmS</t>
  </si>
  <si>
    <t>glpR</t>
  </si>
  <si>
    <t>glyA</t>
  </si>
  <si>
    <t>gnsB</t>
  </si>
  <si>
    <t>grcA</t>
  </si>
  <si>
    <t>hdeA</t>
  </si>
  <si>
    <t>hdeB</t>
  </si>
  <si>
    <t>hisB</t>
  </si>
  <si>
    <t>hns</t>
  </si>
  <si>
    <t>hpf</t>
  </si>
  <si>
    <t>hslO</t>
  </si>
  <si>
    <t>hslV</t>
  </si>
  <si>
    <t>iclR</t>
  </si>
  <si>
    <t>infA</t>
  </si>
  <si>
    <t>infB</t>
  </si>
  <si>
    <t>infC</t>
  </si>
  <si>
    <t>ilvI</t>
  </si>
  <si>
    <t>rsfS</t>
  </si>
  <si>
    <t>jayE</t>
  </si>
  <si>
    <t>adk</t>
  </si>
  <si>
    <t>prkB</t>
  </si>
  <si>
    <t>lasT</t>
  </si>
  <si>
    <t>lpp</t>
  </si>
  <si>
    <t>luxS</t>
  </si>
  <si>
    <t>metE</t>
  </si>
  <si>
    <t>minD</t>
  </si>
  <si>
    <t>minE</t>
  </si>
  <si>
    <t>mpl</t>
  </si>
  <si>
    <t>msyB</t>
  </si>
  <si>
    <t>murC</t>
  </si>
  <si>
    <t>ndk</t>
  </si>
  <si>
    <t>obg</t>
  </si>
  <si>
    <t>sucA</t>
  </si>
  <si>
    <t>sucB</t>
  </si>
  <si>
    <t>aceE</t>
  </si>
  <si>
    <t>ompA</t>
  </si>
  <si>
    <t>ompC</t>
  </si>
  <si>
    <t>oxyR</t>
  </si>
  <si>
    <t>KRT1</t>
  </si>
  <si>
    <t>AHSG</t>
  </si>
  <si>
    <t>KRT10</t>
  </si>
  <si>
    <t>KRT9</t>
  </si>
  <si>
    <t>CYCS</t>
  </si>
  <si>
    <t>pfkA</t>
  </si>
  <si>
    <t>pflA</t>
  </si>
  <si>
    <t>pflB</t>
  </si>
  <si>
    <t>pgk</t>
  </si>
  <si>
    <t>plsB</t>
  </si>
  <si>
    <t>plsC</t>
  </si>
  <si>
    <t>ppk</t>
  </si>
  <si>
    <t>psd</t>
  </si>
  <si>
    <t>pssA</t>
  </si>
  <si>
    <t>ptsI</t>
  </si>
  <si>
    <t>pth</t>
  </si>
  <si>
    <t>ptsH</t>
  </si>
  <si>
    <t>purB</t>
  </si>
  <si>
    <t>purU</t>
  </si>
  <si>
    <t>pyrB</t>
  </si>
  <si>
    <t>pyrI</t>
  </si>
  <si>
    <t>rapZ</t>
  </si>
  <si>
    <t>rbfA</t>
  </si>
  <si>
    <t>prfA</t>
  </si>
  <si>
    <t>prfB</t>
  </si>
  <si>
    <t>prfC</t>
  </si>
  <si>
    <t>rhlE</t>
  </si>
  <si>
    <t>rimM</t>
  </si>
  <si>
    <t>rplA</t>
  </si>
  <si>
    <t>rplJ</t>
  </si>
  <si>
    <t>rplK</t>
  </si>
  <si>
    <t>rplM</t>
  </si>
  <si>
    <t>rplN</t>
  </si>
  <si>
    <t>rplO</t>
  </si>
  <si>
    <t>rplP</t>
  </si>
  <si>
    <t>rplQ</t>
  </si>
  <si>
    <t>rplR</t>
  </si>
  <si>
    <t>rplS</t>
  </si>
  <si>
    <t>rplB</t>
  </si>
  <si>
    <t>rplT</t>
  </si>
  <si>
    <t>rplU</t>
  </si>
  <si>
    <t>rplV</t>
  </si>
  <si>
    <t>rplW</t>
  </si>
  <si>
    <t>rplX</t>
  </si>
  <si>
    <t>rplY</t>
  </si>
  <si>
    <t>rpmA</t>
  </si>
  <si>
    <t>rpmB</t>
  </si>
  <si>
    <t>rpmC</t>
  </si>
  <si>
    <t>rplC</t>
  </si>
  <si>
    <t>rpmD</t>
  </si>
  <si>
    <t>rpmE</t>
  </si>
  <si>
    <t>rpmF</t>
  </si>
  <si>
    <t>rpmG</t>
  </si>
  <si>
    <t>rpmH</t>
  </si>
  <si>
    <t>rpmJ1</t>
  </si>
  <si>
    <t>rplD</t>
  </si>
  <si>
    <t>rplE</t>
  </si>
  <si>
    <t>rplF</t>
  </si>
  <si>
    <t>rplL</t>
  </si>
  <si>
    <t>rplI</t>
  </si>
  <si>
    <t>rlmG</t>
  </si>
  <si>
    <t>rraA</t>
  </si>
  <si>
    <t>frr</t>
  </si>
  <si>
    <t>rpsA</t>
  </si>
  <si>
    <t>rpsJ</t>
  </si>
  <si>
    <t>rpsK</t>
  </si>
  <si>
    <t>rpsL</t>
  </si>
  <si>
    <t>rpsM</t>
  </si>
  <si>
    <t>rpsN</t>
  </si>
  <si>
    <t>rpsO</t>
  </si>
  <si>
    <t>rpsP</t>
  </si>
  <si>
    <t>rpsQ</t>
  </si>
  <si>
    <t>rpsR</t>
  </si>
  <si>
    <t>rpsS</t>
  </si>
  <si>
    <t>rpsB</t>
  </si>
  <si>
    <t>rpsT</t>
  </si>
  <si>
    <t>rpsU</t>
  </si>
  <si>
    <t>rpsC</t>
  </si>
  <si>
    <t>rpsD</t>
  </si>
  <si>
    <t>rpsE</t>
  </si>
  <si>
    <t>rpsF</t>
  </si>
  <si>
    <t>rpsG</t>
  </si>
  <si>
    <t>rpsH</t>
  </si>
  <si>
    <t>rpsI</t>
  </si>
  <si>
    <t>rsmI</t>
  </si>
  <si>
    <t>sdhA</t>
  </si>
  <si>
    <t>skp</t>
  </si>
  <si>
    <t>slyD</t>
  </si>
  <si>
    <t>sopA</t>
  </si>
  <si>
    <t>sopB</t>
  </si>
  <si>
    <t>spoT</t>
  </si>
  <si>
    <t>sra</t>
  </si>
  <si>
    <t>smpB</t>
  </si>
  <si>
    <t>sthA</t>
  </si>
  <si>
    <t>alaS</t>
  </si>
  <si>
    <t>cysS</t>
  </si>
  <si>
    <t>aspS</t>
  </si>
  <si>
    <t>gltX</t>
  </si>
  <si>
    <t>pheS</t>
  </si>
  <si>
    <t>pheT</t>
  </si>
  <si>
    <t>glyQ</t>
  </si>
  <si>
    <t>glyS</t>
  </si>
  <si>
    <t>hisS</t>
  </si>
  <si>
    <t>ileS</t>
  </si>
  <si>
    <t>lysS</t>
  </si>
  <si>
    <t>lysU</t>
  </si>
  <si>
    <t>leuS</t>
  </si>
  <si>
    <t>metG</t>
  </si>
  <si>
    <t>asnS</t>
  </si>
  <si>
    <t>proS</t>
  </si>
  <si>
    <t>glnS</t>
  </si>
  <si>
    <t>argS</t>
  </si>
  <si>
    <t>serS</t>
  </si>
  <si>
    <t>thrS</t>
  </si>
  <si>
    <t>valS</t>
  </si>
  <si>
    <t>trpS</t>
  </si>
  <si>
    <t>tyrS</t>
  </si>
  <si>
    <t>thiD</t>
  </si>
  <si>
    <t>thiM</t>
  </si>
  <si>
    <t>tig</t>
  </si>
  <si>
    <t>trmD</t>
  </si>
  <si>
    <t>udp</t>
  </si>
  <si>
    <t>uspA</t>
  </si>
  <si>
    <t>uspF</t>
  </si>
  <si>
    <t>yagE</t>
  </si>
  <si>
    <t>ybeD</t>
  </si>
  <si>
    <t>ybfA</t>
  </si>
  <si>
    <t>ybiB</t>
  </si>
  <si>
    <t>ychF</t>
  </si>
  <si>
    <t>ydfZ</t>
  </si>
  <si>
    <t>yfcZ</t>
  </si>
  <si>
    <t>yfiA</t>
  </si>
  <si>
    <t>yggL</t>
  </si>
  <si>
    <t>yigA</t>
  </si>
  <si>
    <t>yiiD</t>
  </si>
  <si>
    <t>ypfM</t>
  </si>
  <si>
    <t>zapB</t>
  </si>
  <si>
    <t>Mean_Comp1</t>
  </si>
  <si>
    <t>Mean_Comp2</t>
  </si>
  <si>
    <t>Mean_Comp3</t>
  </si>
  <si>
    <t>Mean_Comp4</t>
  </si>
  <si>
    <t>Mean_REF_0.1nM</t>
  </si>
  <si>
    <t>Mean_Comp5</t>
  </si>
  <si>
    <t>Mean_Comp6</t>
  </si>
  <si>
    <t>Mean_Comp7</t>
  </si>
  <si>
    <t>Mean_Comp8</t>
  </si>
  <si>
    <t>Mean_REF_1nM</t>
  </si>
  <si>
    <t>(TOP-REF)/REF_Comp1</t>
  </si>
  <si>
    <t>(TOP-REF)/REF_Comp2</t>
  </si>
  <si>
    <t>(TOP-REF)/REF_Comp3</t>
  </si>
  <si>
    <t>(TOP-REF)/REF_Comp4</t>
  </si>
  <si>
    <t>(TOP-REF)/REF_Comp5</t>
  </si>
  <si>
    <t>(TOP-REF)/REF_Comp6</t>
  </si>
  <si>
    <t>(TOP-REF)/REF_Comp7</t>
  </si>
  <si>
    <t>(TOP-REF)/REF_Comp8</t>
  </si>
  <si>
    <t>Error_ Prop_Comp1</t>
  </si>
  <si>
    <t>Error_ Prop_Comp2</t>
  </si>
  <si>
    <t>Error_ Prop_Comp3</t>
  </si>
  <si>
    <t>Error_ Prop_Comp4</t>
  </si>
  <si>
    <t>Error_ Prop_Comp5</t>
  </si>
  <si>
    <t>Error_ Prop_Comp6</t>
  </si>
  <si>
    <t>Error_ Prop_Comp7</t>
  </si>
  <si>
    <t>Error_ Prop_Comp8</t>
  </si>
  <si>
    <t>mVenus</t>
  </si>
  <si>
    <t>mCherry</t>
  </si>
  <si>
    <t>TP</t>
  </si>
  <si>
    <t>DNAP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</si>
</sst>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/>
    <xf numFmtId="0" fontId="3" fillId="2" borderId="0" xfId="0" applyFont="1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/>
    <xf numFmtId="11" fontId="4" fillId="3" borderId="0" xfId="0" applyNumberFormat="1" applyFont="1" applyFill="1" applyAlignment="1">
      <alignment horizontal="center" vertical="center" wrapText="1"/>
    </xf>
    <xf numFmtId="11" fontId="0" fillId="3" borderId="0" xfId="0" applyNumberFormat="1" applyFill="1"/>
    <xf numFmtId="11" fontId="4" fillId="4" borderId="0" xfId="0" applyNumberFormat="1" applyFont="1" applyFill="1" applyAlignment="1">
      <alignment horizontal="center" vertical="center" wrapText="1"/>
    </xf>
    <xf numFmtId="11" fontId="0" fillId="4" borderId="0" xfId="0" applyNumberFormat="1" applyFill="1"/>
    <xf numFmtId="0" fontId="5" fillId="5" borderId="0" xfId="0" applyFont="1" applyFill="1"/>
    <xf numFmtId="11" fontId="1" fillId="4" borderId="0" xfId="0" applyNumberFormat="1" applyFont="1" applyFill="1" applyAlignment="1">
      <alignment horizontal="center" vertical="center" wrapText="1"/>
    </xf>
    <xf numFmtId="11" fontId="0" fillId="0" borderId="0" xfId="0" applyNumberFormat="1"/>
    <xf numFmtId="0" fontId="6" fillId="2" borderId="0" xfId="0" applyNumberFormat="1" applyFont="1" applyFill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0" fontId="5" fillId="5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0.1nM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histogrammes!$CD$14</c:f>
              <c:strCache>
                <c:ptCount val="1"/>
                <c:pt idx="0">
                  <c:v>UPI001D0F4A03_Aequorea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histogrammes!$CE$1:$CN$1</c:f>
              <c:strCache>
                <c:ptCount val="10"/>
                <c:pt idx="0">
                  <c:v>abundance_1_comp1_01nM A</c:v>
                </c:pt>
                <c:pt idx="1">
                  <c:v>abundance_2_comp1_01nM B</c:v>
                </c:pt>
                <c:pt idx="2">
                  <c:v>abundance_3_comp2_01nM A</c:v>
                </c:pt>
                <c:pt idx="3">
                  <c:v>abundance_4_comp2_01nM B</c:v>
                </c:pt>
                <c:pt idx="4">
                  <c:v>abundance_5_comp3_01nM A</c:v>
                </c:pt>
                <c:pt idx="5">
                  <c:v>abundance_6_comp3_01nM B</c:v>
                </c:pt>
                <c:pt idx="6">
                  <c:v>abundance_7_comp4_01nM A</c:v>
                </c:pt>
                <c:pt idx="7">
                  <c:v>abundance_8_comp4_01nM B</c:v>
                </c:pt>
                <c:pt idx="8">
                  <c:v>abundance_9_ref_01nM A</c:v>
                </c:pt>
                <c:pt idx="9">
                  <c:v>abundance_10_ref_01nM B</c:v>
                </c:pt>
              </c:strCache>
            </c:strRef>
          </c:cat>
          <c:val>
            <c:numRef>
              <c:f>histogrammes!$CE$14:$CN$14</c:f>
              <c:numCache>
                <c:formatCode>0.00E+00</c:formatCode>
                <c:ptCount val="10"/>
                <c:pt idx="0">
                  <c:v>102319064</c:v>
                </c:pt>
                <c:pt idx="1">
                  <c:v>117251368</c:v>
                </c:pt>
                <c:pt idx="2">
                  <c:v>113607560</c:v>
                </c:pt>
                <c:pt idx="3">
                  <c:v>159778336</c:v>
                </c:pt>
                <c:pt idx="4">
                  <c:v>75999992</c:v>
                </c:pt>
                <c:pt idx="5">
                  <c:v>92483848</c:v>
                </c:pt>
                <c:pt idx="6">
                  <c:v>55613428</c:v>
                </c:pt>
                <c:pt idx="7">
                  <c:v>59964100</c:v>
                </c:pt>
                <c:pt idx="8">
                  <c:v>63612048</c:v>
                </c:pt>
                <c:pt idx="9">
                  <c:v>61380796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B-4E8A-A95D-1345FB778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68512"/>
        <c:axId val="1076341808"/>
      </c:barChart>
      <c:catAx>
        <c:axId val="89336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341808"/>
        <c:crosses val="autoZero"/>
        <c:auto val="1"/>
        <c:lblAlgn val="ctr"/>
        <c:lblOffset val="100"/>
        <c:noMultiLvlLbl val="0"/>
      </c:catAx>
      <c:valAx>
        <c:axId val="107634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6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1nM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histogrammes!$CD$9</c:f>
              <c:strCache>
                <c:ptCount val="1"/>
                <c:pt idx="0">
                  <c:v>plsC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histogrammes!$CO$1:$CX$1</c:f>
              <c:strCache>
                <c:ptCount val="10"/>
                <c:pt idx="0">
                  <c:v>abundance_11_comp5_1nM A</c:v>
                </c:pt>
                <c:pt idx="1">
                  <c:v>abundance_12_comp5_1nM B</c:v>
                </c:pt>
                <c:pt idx="2">
                  <c:v>abundance_13_comp6_1nM A</c:v>
                </c:pt>
                <c:pt idx="3">
                  <c:v>abundance_14_comp6_1nM B</c:v>
                </c:pt>
                <c:pt idx="4">
                  <c:v>abundance_15_comp7_1nM A</c:v>
                </c:pt>
                <c:pt idx="5">
                  <c:v>abundance_16_comp7_1nM B</c:v>
                </c:pt>
                <c:pt idx="6">
                  <c:v>abundance_17_comp8_1nM A</c:v>
                </c:pt>
                <c:pt idx="7">
                  <c:v>abundance_18_comp8_1nM B</c:v>
                </c:pt>
                <c:pt idx="8">
                  <c:v>abundance_19_ref_1nM A</c:v>
                </c:pt>
                <c:pt idx="9">
                  <c:v>abundance_20_ref_1nM B</c:v>
                </c:pt>
              </c:strCache>
            </c:strRef>
          </c:cat>
          <c:val>
            <c:numRef>
              <c:f>histogrammes!$CO$9:$CX$9</c:f>
              <c:numCache>
                <c:formatCode>0.00E+00</c:formatCode>
                <c:ptCount val="10"/>
                <c:pt idx="0">
                  <c:v>600533312</c:v>
                </c:pt>
                <c:pt idx="1">
                  <c:v>1003702144</c:v>
                </c:pt>
                <c:pt idx="2">
                  <c:v>472325376</c:v>
                </c:pt>
                <c:pt idx="3">
                  <c:v>667008192</c:v>
                </c:pt>
                <c:pt idx="4">
                  <c:v>736245440</c:v>
                </c:pt>
                <c:pt idx="5">
                  <c:v>978740160</c:v>
                </c:pt>
                <c:pt idx="6">
                  <c:v>836522432</c:v>
                </c:pt>
                <c:pt idx="7">
                  <c:v>734130368</c:v>
                </c:pt>
                <c:pt idx="8">
                  <c:v>766408896</c:v>
                </c:pt>
                <c:pt idx="9">
                  <c:v>1106947840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2-4BDD-B945-74DF59055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4534960"/>
        <c:axId val="854534000"/>
      </c:barChart>
      <c:catAx>
        <c:axId val="85453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34000"/>
        <c:crosses val="autoZero"/>
        <c:auto val="1"/>
        <c:lblAlgn val="ctr"/>
        <c:lblOffset val="100"/>
        <c:noMultiLvlLbl val="0"/>
      </c:catAx>
      <c:valAx>
        <c:axId val="85453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453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histogrammes!$DK$1</c:f>
              <c:strCache>
                <c:ptCount val="1"/>
                <c:pt idx="0">
                  <c:v>(TOP-REF)/REF_Comp1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2A8-46BB-8365-A26D4DD6637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A8-46BB-8365-A26D4DD66377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histogrammes!$DK$2:$DK$14</c:f>
              <c:numCache>
                <c:formatCode>General</c:formatCode>
                <c:ptCount val="13"/>
                <c:pt idx="0">
                  <c:v>1.2423137152469399</c:v>
                </c:pt>
                <c:pt idx="1">
                  <c:v>0.25695814824864488</c:v>
                </c:pt>
                <c:pt idx="2">
                  <c:v>1.9359708903765354</c:v>
                </c:pt>
                <c:pt idx="3">
                  <c:v>1.180765274289489</c:v>
                </c:pt>
                <c:pt idx="4">
                  <c:v>0.25210305897370783</c:v>
                </c:pt>
                <c:pt idx="5">
                  <c:v>1.823129641275723</c:v>
                </c:pt>
                <c:pt idx="6">
                  <c:v>0.60734091788128586</c:v>
                </c:pt>
                <c:pt idx="7">
                  <c:v>0.48023199042979287</c:v>
                </c:pt>
                <c:pt idx="8">
                  <c:v>6.9596194293719602</c:v>
                </c:pt>
                <c:pt idx="9">
                  <c:v>1.8389431450758931</c:v>
                </c:pt>
                <c:pt idx="10">
                  <c:v>0.74219955836151097</c:v>
                </c:pt>
                <c:pt idx="11">
                  <c:v>0.30633171155474698</c:v>
                </c:pt>
                <c:pt idx="12">
                  <c:v>0.75666402150190293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8-46BB-8365-A26D4DD66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9422016"/>
        <c:axId val="1660284640"/>
      </c:barChart>
      <c:catAx>
        <c:axId val="166942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84640"/>
        <c:crosses val="autoZero"/>
        <c:auto val="1"/>
        <c:lblAlgn val="ctr"/>
        <c:lblOffset val="100"/>
        <c:noMultiLvlLbl val="0"/>
      </c:catAx>
      <c:valAx>
        <c:axId val="166028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2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histogrammes!$DL$1</c:f>
              <c:strCache>
                <c:ptCount val="1"/>
                <c:pt idx="0">
                  <c:v>(TOP-REF)/REF_Comp2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35F-4928-AC66-84BFDA4EFFA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5F-4928-AC66-84BFDA4EFFAD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histogrammes!$DL$2:$DL$14</c:f>
              <c:numCache>
                <c:formatCode>General</c:formatCode>
                <c:ptCount val="13"/>
                <c:pt idx="0">
                  <c:v>1.0548330115923834</c:v>
                </c:pt>
                <c:pt idx="1">
                  <c:v>0.14647109102274139</c:v>
                </c:pt>
                <c:pt idx="2">
                  <c:v>1.1456421473038083</c:v>
                </c:pt>
                <c:pt idx="3">
                  <c:v>1.4035474452532259</c:v>
                </c:pt>
                <c:pt idx="4">
                  <c:v>-0.26127425135979071</c:v>
                </c:pt>
                <c:pt idx="5">
                  <c:v>2.8090714338192666</c:v>
                </c:pt>
                <c:pt idx="6">
                  <c:v>0.12987170087419367</c:v>
                </c:pt>
                <c:pt idx="7">
                  <c:v>0.62245568436151277</c:v>
                </c:pt>
                <c:pt idx="8">
                  <c:v>5.2407079310236879</c:v>
                </c:pt>
                <c:pt idx="9">
                  <c:v>0.54321991191097418</c:v>
                </c:pt>
                <c:pt idx="10">
                  <c:v>6.8309516557060551E-2</c:v>
                </c:pt>
                <c:pt idx="11">
                  <c:v>0.22108497613123609</c:v>
                </c:pt>
                <c:pt idx="12">
                  <c:v>1.187212381534418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F-4928-AC66-84BFDA4EF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288800"/>
        <c:axId val="1660283392"/>
      </c:barChart>
      <c:catAx>
        <c:axId val="166028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83392"/>
        <c:crosses val="autoZero"/>
        <c:auto val="1"/>
        <c:lblAlgn val="ctr"/>
        <c:lblOffset val="100"/>
        <c:noMultiLvlLbl val="0"/>
      </c:catAx>
      <c:valAx>
        <c:axId val="166028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8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histogrammes!$DM$1</c:f>
              <c:strCache>
                <c:ptCount val="1"/>
                <c:pt idx="0">
                  <c:v>(TOP-REF)/REF_Comp3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7B-4526-8A25-1AA350C5F850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87B-4526-8A25-1AA350C5F850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histogrammes!$DM$2:$DM$14</c:f>
              <c:numCache>
                <c:formatCode>General</c:formatCode>
                <c:ptCount val="13"/>
                <c:pt idx="0">
                  <c:v>1.6392050761670709</c:v>
                </c:pt>
                <c:pt idx="1">
                  <c:v>-0.3246899381736234</c:v>
                </c:pt>
                <c:pt idx="2">
                  <c:v>0.67632082236026514</c:v>
                </c:pt>
                <c:pt idx="3">
                  <c:v>0.22748910824785218</c:v>
                </c:pt>
                <c:pt idx="4">
                  <c:v>-0.55682932805857643</c:v>
                </c:pt>
                <c:pt idx="5">
                  <c:v>0.60625229716401896</c:v>
                </c:pt>
                <c:pt idx="6">
                  <c:v>-0.42153403161217323</c:v>
                </c:pt>
                <c:pt idx="7">
                  <c:v>-0.27987336032249066</c:v>
                </c:pt>
                <c:pt idx="8">
                  <c:v>2.034968780629046</c:v>
                </c:pt>
                <c:pt idx="9">
                  <c:v>0.43250257084882376</c:v>
                </c:pt>
                <c:pt idx="10">
                  <c:v>-0.21788230473055742</c:v>
                </c:pt>
                <c:pt idx="11">
                  <c:v>-0.30769985683484208</c:v>
                </c:pt>
                <c:pt idx="12">
                  <c:v>0.34794788732065335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B-4526-8A25-1AA350C5F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806112"/>
        <c:axId val="1469921504"/>
      </c:barChart>
      <c:catAx>
        <c:axId val="14768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21504"/>
        <c:crosses val="autoZero"/>
        <c:auto val="1"/>
        <c:lblAlgn val="ctr"/>
        <c:lblOffset val="100"/>
        <c:noMultiLvlLbl val="0"/>
      </c:catAx>
      <c:valAx>
        <c:axId val="146992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0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histogrammes!$DN$1</c:f>
              <c:strCache>
                <c:ptCount val="1"/>
                <c:pt idx="0">
                  <c:v>(TOP-REF)/REF_Comp4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45-4200-A95C-B4C7C8C8242B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45-4200-A95C-B4C7C8C8242B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histogrammes!$DN$2:$DN$14</c:f>
              <c:numCache>
                <c:formatCode>General</c:formatCode>
                <c:ptCount val="13"/>
                <c:pt idx="0">
                  <c:v>0.98299826517264033</c:v>
                </c:pt>
                <c:pt idx="1">
                  <c:v>-0.37840253861024081</c:v>
                </c:pt>
                <c:pt idx="2">
                  <c:v>0.21467414510584404</c:v>
                </c:pt>
                <c:pt idx="3">
                  <c:v>-0.1069770900096831</c:v>
                </c:pt>
                <c:pt idx="4">
                  <c:v>-0.52250255136303969</c:v>
                </c:pt>
                <c:pt idx="5">
                  <c:v>0.61753232133032443</c:v>
                </c:pt>
                <c:pt idx="6">
                  <c:v>-0.45659527469719341</c:v>
                </c:pt>
                <c:pt idx="7">
                  <c:v>-0.11391367403243069</c:v>
                </c:pt>
                <c:pt idx="8">
                  <c:v>0.8492659605770414</c:v>
                </c:pt>
                <c:pt idx="9">
                  <c:v>0.12077610382903993</c:v>
                </c:pt>
                <c:pt idx="10">
                  <c:v>-0.37752420940063242</c:v>
                </c:pt>
                <c:pt idx="11">
                  <c:v>-0.28841024184641489</c:v>
                </c:pt>
                <c:pt idx="12" formatCode="0.00E+00">
                  <c:v>-7.5326840310954116E-2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45-4200-A95C-B4C7C8C8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509344"/>
        <c:axId val="1535510176"/>
      </c:barChart>
      <c:catAx>
        <c:axId val="153550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10176"/>
        <c:crosses val="autoZero"/>
        <c:auto val="1"/>
        <c:lblAlgn val="ctr"/>
        <c:lblOffset val="100"/>
        <c:noMultiLvlLbl val="0"/>
      </c:catAx>
      <c:valAx>
        <c:axId val="153551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50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histogrammes!$DP$1</c:f>
              <c:strCache>
                <c:ptCount val="1"/>
                <c:pt idx="0">
                  <c:v>(TOP-REF)/REF_Comp5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C18-43E9-AA4D-DFA77920FC1D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18-43E9-AA4D-DFA77920FC1D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histogrammes!$DP$2:$DP$14</c:f>
              <c:numCache>
                <c:formatCode>General</c:formatCode>
                <c:ptCount val="13"/>
                <c:pt idx="0">
                  <c:v>1.9059279287677204</c:v>
                </c:pt>
                <c:pt idx="1">
                  <c:v>-0.18571184848295239</c:v>
                </c:pt>
                <c:pt idx="2">
                  <c:v>1.6380195664741557</c:v>
                </c:pt>
                <c:pt idx="3">
                  <c:v>0.37519327140386299</c:v>
                </c:pt>
                <c:pt idx="4">
                  <c:v>-0.60726135931022596</c:v>
                </c:pt>
                <c:pt idx="5">
                  <c:v>3.9849854460735461E-2</c:v>
                </c:pt>
                <c:pt idx="6">
                  <c:v>-0.57031866227948058</c:v>
                </c:pt>
                <c:pt idx="7">
                  <c:v>-0.14365725162129506</c:v>
                </c:pt>
                <c:pt idx="8">
                  <c:v>3.4899864028439258</c:v>
                </c:pt>
                <c:pt idx="9">
                  <c:v>-0.14435161183466799</c:v>
                </c:pt>
                <c:pt idx="10">
                  <c:v>-0.11102346213395507</c:v>
                </c:pt>
                <c:pt idx="11">
                  <c:v>-0.32321967365634785</c:v>
                </c:pt>
                <c:pt idx="12">
                  <c:v>0.96375205183480317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8-43E9-AA4D-DFA77920F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0280064"/>
        <c:axId val="1660279232"/>
      </c:barChart>
      <c:catAx>
        <c:axId val="16602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79232"/>
        <c:crosses val="autoZero"/>
        <c:auto val="1"/>
        <c:lblAlgn val="ctr"/>
        <c:lblOffset val="100"/>
        <c:noMultiLvlLbl val="0"/>
      </c:catAx>
      <c:valAx>
        <c:axId val="16602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28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histogrammes!$DQ$1</c:f>
              <c:strCache>
                <c:ptCount val="1"/>
                <c:pt idx="0">
                  <c:v>(TOP-REF)/REF_Comp6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126-47E6-9F4D-18BE1689FE8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26-47E6-9F4D-18BE1689FE82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histogrammes!$DQ$2:$DQ$14</c:f>
              <c:numCache>
                <c:formatCode>General</c:formatCode>
                <c:ptCount val="13"/>
                <c:pt idx="0">
                  <c:v>1.55473423458796</c:v>
                </c:pt>
                <c:pt idx="1">
                  <c:v>-0.50327184245549184</c:v>
                </c:pt>
                <c:pt idx="2">
                  <c:v>0.35373006073067026</c:v>
                </c:pt>
                <c:pt idx="3">
                  <c:v>-0.19142553492616896</c:v>
                </c:pt>
                <c:pt idx="4">
                  <c:v>-0.81952178303017098</c:v>
                </c:pt>
                <c:pt idx="5">
                  <c:v>-0.44564245689817189</c:v>
                </c:pt>
                <c:pt idx="6">
                  <c:v>-0.71981597034111422</c:v>
                </c:pt>
                <c:pt idx="7">
                  <c:v>-0.39182241902697595</c:v>
                </c:pt>
                <c:pt idx="8">
                  <c:v>1.6230457510337466</c:v>
                </c:pt>
                <c:pt idx="9">
                  <c:v>-0.54374624974367336</c:v>
                </c:pt>
                <c:pt idx="10">
                  <c:v>-0.53904728196441409</c:v>
                </c:pt>
                <c:pt idx="11">
                  <c:v>-0.57987898359175283</c:v>
                </c:pt>
                <c:pt idx="12" formatCode="0.00E+00">
                  <c:v>-2.5009973061593038E-2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6-47E6-9F4D-18BE1689F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805696"/>
        <c:axId val="1476801536"/>
      </c:barChart>
      <c:catAx>
        <c:axId val="14768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01536"/>
        <c:crosses val="autoZero"/>
        <c:auto val="1"/>
        <c:lblAlgn val="ctr"/>
        <c:lblOffset val="100"/>
        <c:noMultiLvlLbl val="0"/>
      </c:catAx>
      <c:valAx>
        <c:axId val="147680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0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histogrammes!$DR$1</c:f>
              <c:strCache>
                <c:ptCount val="1"/>
                <c:pt idx="0">
                  <c:v>(TOP-REF)/REF_Comp7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7B3-4A7A-AB5A-A76CE502A01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B3-4A7A-AB5A-A76CE502A017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histogrammes!$DR$2:$DR$14</c:f>
              <c:numCache>
                <c:formatCode>General</c:formatCode>
                <c:ptCount val="13"/>
                <c:pt idx="0">
                  <c:v>2.6190341814325202</c:v>
                </c:pt>
                <c:pt idx="1">
                  <c:v>-0.30034782103316582</c:v>
                </c:pt>
                <c:pt idx="2">
                  <c:v>1.4316068554061985</c:v>
                </c:pt>
                <c:pt idx="3">
                  <c:v>0.18963791386353937</c:v>
                </c:pt>
                <c:pt idx="4">
                  <c:v>-0.64222241834857097</c:v>
                </c:pt>
                <c:pt idx="5">
                  <c:v>-0.10397624248330899</c:v>
                </c:pt>
                <c:pt idx="6">
                  <c:v>-0.61228867294491374</c:v>
                </c:pt>
                <c:pt idx="7">
                  <c:v>-8.4538696211248474E-2</c:v>
                </c:pt>
                <c:pt idx="8">
                  <c:v>1.524822467417867</c:v>
                </c:pt>
                <c:pt idx="9">
                  <c:v>-0.22300939601550054</c:v>
                </c:pt>
                <c:pt idx="10">
                  <c:v>-0.26245508672670298</c:v>
                </c:pt>
                <c:pt idx="11">
                  <c:v>-0.27647518772929025</c:v>
                </c:pt>
                <c:pt idx="12">
                  <c:v>0.46035912744493374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3-4A7A-AB5A-A76CE502A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585472"/>
        <c:axId val="1542593792"/>
      </c:barChart>
      <c:catAx>
        <c:axId val="154258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93792"/>
        <c:crosses val="autoZero"/>
        <c:auto val="1"/>
        <c:lblAlgn val="ctr"/>
        <c:lblOffset val="100"/>
        <c:noMultiLvlLbl val="0"/>
      </c:catAx>
      <c:valAx>
        <c:axId val="15425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58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histogrammes!$DS$1</c:f>
              <c:strCache>
                <c:ptCount val="1"/>
                <c:pt idx="0">
                  <c:v>(TOP-REF)/REF_Comp8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BA-42BC-BD25-97887B4AE2D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BA-42BC-BD25-97887B4AE2D6}"/>
              </c:ext>
            </c:extLst>
          </c:dPt>
          <c:cat>
            <c:strRef>
              <c:f>histogrammes!$DJ$2:$DJ$14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histogrammes!$DS$2:$DS$14</c:f>
              <c:numCache>
                <c:formatCode>General</c:formatCode>
                <c:ptCount val="13"/>
                <c:pt idx="0">
                  <c:v>4.1310188803069217</c:v>
                </c:pt>
                <c:pt idx="1">
                  <c:v>-0.145863186487802</c:v>
                </c:pt>
                <c:pt idx="2">
                  <c:v>1.2068465291383985</c:v>
                </c:pt>
                <c:pt idx="3">
                  <c:v>0.4373814283965079</c:v>
                </c:pt>
                <c:pt idx="4">
                  <c:v>-0.65191882194291073</c:v>
                </c:pt>
                <c:pt idx="5">
                  <c:v>0.14813613386873081</c:v>
                </c:pt>
                <c:pt idx="6">
                  <c:v>-0.66412502659034733</c:v>
                </c:pt>
                <c:pt idx="7">
                  <c:v>-0.16158371237201455</c:v>
                </c:pt>
                <c:pt idx="8">
                  <c:v>4.1106672755145093</c:v>
                </c:pt>
                <c:pt idx="9">
                  <c:v>-0.32938579398171275</c:v>
                </c:pt>
                <c:pt idx="10">
                  <c:v>-3.8130630454787345E-2</c:v>
                </c:pt>
                <c:pt idx="11">
                  <c:v>-0.23632006589300319</c:v>
                </c:pt>
                <c:pt idx="12">
                  <c:v>1.3009586118956675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BA-42BC-BD25-97887B4AE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813904"/>
        <c:axId val="1476812240"/>
      </c:barChart>
      <c:catAx>
        <c:axId val="147681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2240"/>
        <c:crosses val="autoZero"/>
        <c:auto val="1"/>
        <c:lblAlgn val="ctr"/>
        <c:lblOffset val="100"/>
        <c:noMultiLvlLbl val="0"/>
      </c:catAx>
      <c:valAx>
        <c:axId val="147681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histogrammes!$DV$1</c:f>
              <c:strCache>
                <c:ptCount val="1"/>
                <c:pt idx="0">
                  <c:v>Error_ Prop_Comp1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histogrammes!$DV$2:$DV$14</c:f>
              <c:numCache>
                <c:formatCode>General</c:formatCode>
                <c:ptCount val="13"/>
                <c:pt idx="0">
                  <c:v>1.001443533093529</c:v>
                </c:pt>
                <c:pt idx="1">
                  <c:v>5.7399692799667758E-2</c:v>
                </c:pt>
                <c:pt idx="2">
                  <c:v>0.1943709046811041</c:v>
                </c:pt>
                <c:pt idx="3">
                  <c:v>0.25790654047976441</c:v>
                </c:pt>
                <c:pt idx="4">
                  <c:v>0.10463519905337232</c:v>
                </c:pt>
                <c:pt idx="5">
                  <c:v>0.52795517743876552</c:v>
                </c:pt>
                <c:pt idx="6">
                  <c:v>0.2557819355775281</c:v>
                </c:pt>
                <c:pt idx="7">
                  <c:v>0.54684124011380597</c:v>
                </c:pt>
                <c:pt idx="8">
                  <c:v>2.5996768982388039</c:v>
                </c:pt>
                <c:pt idx="9">
                  <c:v>0.61069920658136156</c:v>
                </c:pt>
                <c:pt idx="10">
                  <c:v>0.22632582426107004</c:v>
                </c:pt>
                <c:pt idx="11">
                  <c:v>0.20434861905055279</c:v>
                </c:pt>
                <c:pt idx="12">
                  <c:v>0.17467279404476793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A-4907-BD93-0F71F6991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326384"/>
        <c:axId val="1671327632"/>
      </c:barChart>
      <c:catAx>
        <c:axId val="167132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27632"/>
        <c:crosses val="autoZero"/>
        <c:auto val="1"/>
        <c:lblAlgn val="ctr"/>
        <c:lblOffset val="100"/>
        <c:noMultiLvlLbl val="0"/>
      </c:catAx>
      <c:valAx>
        <c:axId val="16713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3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histogrammes!$DW$1</c:f>
              <c:strCache>
                <c:ptCount val="1"/>
                <c:pt idx="0">
                  <c:v>Error_ Prop_Comp2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histogrammes!$DW$2:$DW$14</c:f>
              <c:numCache>
                <c:formatCode>General</c:formatCode>
                <c:ptCount val="13"/>
                <c:pt idx="0">
                  <c:v>1.4732619323593459</c:v>
                </c:pt>
                <c:pt idx="1">
                  <c:v>0.10953984942678928</c:v>
                </c:pt>
                <c:pt idx="2">
                  <c:v>0.85559004149418372</c:v>
                </c:pt>
                <c:pt idx="3">
                  <c:v>0.52722787189427034</c:v>
                </c:pt>
                <c:pt idx="4">
                  <c:v>0.53044847460014899</c:v>
                </c:pt>
                <c:pt idx="5">
                  <c:v>0.62948425932533492</c:v>
                </c:pt>
                <c:pt idx="6">
                  <c:v>0.56405424540068516</c:v>
                </c:pt>
                <c:pt idx="7">
                  <c:v>0.39627897492380021</c:v>
                </c:pt>
                <c:pt idx="8">
                  <c:v>2.6485490246100678</c:v>
                </c:pt>
                <c:pt idx="9">
                  <c:v>1.3732813571620546</c:v>
                </c:pt>
                <c:pt idx="10">
                  <c:v>0.60811251030333024</c:v>
                </c:pt>
                <c:pt idx="11">
                  <c:v>0.21768231658918857</c:v>
                </c:pt>
                <c:pt idx="12">
                  <c:v>6.8909820244626399E-2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5-42DC-B1DD-6754C9900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373504"/>
        <c:axId val="1783362272"/>
      </c:barChart>
      <c:catAx>
        <c:axId val="178337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62272"/>
        <c:crosses val="autoZero"/>
        <c:auto val="1"/>
        <c:lblAlgn val="ctr"/>
        <c:lblOffset val="100"/>
        <c:noMultiLvlLbl val="0"/>
      </c:catAx>
      <c:valAx>
        <c:axId val="178336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7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histogrammes!$DX$1</c:f>
              <c:strCache>
                <c:ptCount val="1"/>
                <c:pt idx="0">
                  <c:v>Error_ Prop_Comp3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histogrammes!$DX$2:$DX$14</c:f>
              <c:numCache>
                <c:formatCode>General</c:formatCode>
                <c:ptCount val="13"/>
                <c:pt idx="0">
                  <c:v>1.6800905364674885</c:v>
                </c:pt>
                <c:pt idx="1">
                  <c:v>2.5937895845373125E-2</c:v>
                </c:pt>
                <c:pt idx="2">
                  <c:v>0.43685748539682523</c:v>
                </c:pt>
                <c:pt idx="3">
                  <c:v>0.95578729885502345</c:v>
                </c:pt>
                <c:pt idx="4">
                  <c:v>0.43709073689732331</c:v>
                </c:pt>
                <c:pt idx="5">
                  <c:v>0.72695958299010532</c:v>
                </c:pt>
                <c:pt idx="6">
                  <c:v>0.22885670112443315</c:v>
                </c:pt>
                <c:pt idx="7">
                  <c:v>0.38108792334668323</c:v>
                </c:pt>
                <c:pt idx="8">
                  <c:v>5.1194676697516002</c:v>
                </c:pt>
                <c:pt idx="9">
                  <c:v>1.4022939240229046</c:v>
                </c:pt>
                <c:pt idx="10">
                  <c:v>0.48751146635932335</c:v>
                </c:pt>
                <c:pt idx="11">
                  <c:v>0.51909358577115294</c:v>
                </c:pt>
                <c:pt idx="12">
                  <c:v>0.52349978144439557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7-42AA-A5EF-BF3B20F06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663776"/>
        <c:axId val="1659665440"/>
      </c:barChart>
      <c:catAx>
        <c:axId val="165966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65440"/>
        <c:crosses val="autoZero"/>
        <c:auto val="1"/>
        <c:lblAlgn val="ctr"/>
        <c:lblOffset val="100"/>
        <c:noMultiLvlLbl val="0"/>
      </c:catAx>
      <c:valAx>
        <c:axId val="165966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6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histogrammes!$DY$1</c:f>
              <c:strCache>
                <c:ptCount val="1"/>
                <c:pt idx="0">
                  <c:v>Error_ Prop_Comp4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histogrammes!$DY$2:$DY$14</c:f>
              <c:numCache>
                <c:formatCode>General</c:formatCode>
                <c:ptCount val="13"/>
                <c:pt idx="0">
                  <c:v>0.67238802308240142</c:v>
                </c:pt>
                <c:pt idx="1">
                  <c:v>0.37592702427321711</c:v>
                </c:pt>
                <c:pt idx="2">
                  <c:v>0.5939263109035281</c:v>
                </c:pt>
                <c:pt idx="3">
                  <c:v>0.36920403562950366</c:v>
                </c:pt>
                <c:pt idx="4">
                  <c:v>0.43696660408811444</c:v>
                </c:pt>
                <c:pt idx="5">
                  <c:v>2.0300336958588008</c:v>
                </c:pt>
                <c:pt idx="6">
                  <c:v>0.52741559377927316</c:v>
                </c:pt>
                <c:pt idx="7">
                  <c:v>0.97584401680979871</c:v>
                </c:pt>
                <c:pt idx="8">
                  <c:v>0.1846866146936873</c:v>
                </c:pt>
                <c:pt idx="9">
                  <c:v>0.76588922188040931</c:v>
                </c:pt>
                <c:pt idx="10">
                  <c:v>0.47315849250051784</c:v>
                </c:pt>
                <c:pt idx="11">
                  <c:v>0.67014197561940891</c:v>
                </c:pt>
                <c:pt idx="12">
                  <c:v>0.94818542068540856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6-4B7E-B71A-F3E40572C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9672928"/>
        <c:axId val="1659669600"/>
      </c:barChart>
      <c:catAx>
        <c:axId val="165967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69600"/>
        <c:crosses val="autoZero"/>
        <c:auto val="1"/>
        <c:lblAlgn val="ctr"/>
        <c:lblOffset val="100"/>
        <c:noMultiLvlLbl val="0"/>
      </c:catAx>
      <c:valAx>
        <c:axId val="165966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67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histogrammes!$DZ$1</c:f>
              <c:strCache>
                <c:ptCount val="1"/>
                <c:pt idx="0">
                  <c:v>Error_ Prop_Comp5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histogrammes!$DZ$2:$DZ$14</c:f>
              <c:numCache>
                <c:formatCode>General</c:formatCode>
                <c:ptCount val="13"/>
                <c:pt idx="0">
                  <c:v>1.3780010991079694</c:v>
                </c:pt>
                <c:pt idx="1">
                  <c:v>0.12196982843675254</c:v>
                </c:pt>
                <c:pt idx="2">
                  <c:v>0.17839655378268635</c:v>
                </c:pt>
                <c:pt idx="3">
                  <c:v>0.26115097375232915</c:v>
                </c:pt>
                <c:pt idx="4">
                  <c:v>4.3580813279853775E-2</c:v>
                </c:pt>
                <c:pt idx="5">
                  <c:v>0.1811736648484347</c:v>
                </c:pt>
                <c:pt idx="6">
                  <c:v>9.0716980296870878E-2</c:v>
                </c:pt>
                <c:pt idx="7">
                  <c:v>0.37562779966088095</c:v>
                </c:pt>
                <c:pt idx="8">
                  <c:v>0.46577475231204252</c:v>
                </c:pt>
                <c:pt idx="9">
                  <c:v>0.34648712761046568</c:v>
                </c:pt>
                <c:pt idx="10">
                  <c:v>0.25543755273096197</c:v>
                </c:pt>
                <c:pt idx="11">
                  <c:v>0.14649465521399377</c:v>
                </c:pt>
                <c:pt idx="12">
                  <c:v>0.28608831613178615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59A-892D-ECA08E8A4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147824"/>
        <c:axId val="1848148240"/>
      </c:barChart>
      <c:catAx>
        <c:axId val="184814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8240"/>
        <c:crosses val="autoZero"/>
        <c:auto val="1"/>
        <c:lblAlgn val="ctr"/>
        <c:lblOffset val="100"/>
        <c:noMultiLvlLbl val="0"/>
      </c:catAx>
      <c:valAx>
        <c:axId val="18481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histogrammes!$EA$1</c:f>
              <c:strCache>
                <c:ptCount val="1"/>
                <c:pt idx="0">
                  <c:v>Error_ Prop_Comp6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histogrammes!$EA$2:$EA$14</c:f>
              <c:numCache>
                <c:formatCode>General</c:formatCode>
                <c:ptCount val="13"/>
                <c:pt idx="0">
                  <c:v>1.3460853362517862</c:v>
                </c:pt>
                <c:pt idx="1">
                  <c:v>0.23983982448295885</c:v>
                </c:pt>
                <c:pt idx="2">
                  <c:v>0.99241539971698789</c:v>
                </c:pt>
                <c:pt idx="3">
                  <c:v>0.4312786569846549</c:v>
                </c:pt>
                <c:pt idx="4">
                  <c:v>0.15725022664824714</c:v>
                </c:pt>
                <c:pt idx="5">
                  <c:v>0.39437766045339884</c:v>
                </c:pt>
                <c:pt idx="6">
                  <c:v>0.10304947473762252</c:v>
                </c:pt>
                <c:pt idx="7">
                  <c:v>0.4305330934276671</c:v>
                </c:pt>
                <c:pt idx="8">
                  <c:v>1.5609043500069919</c:v>
                </c:pt>
                <c:pt idx="9">
                  <c:v>0.3555763848988861</c:v>
                </c:pt>
                <c:pt idx="10">
                  <c:v>0.34501295759018447</c:v>
                </c:pt>
                <c:pt idx="11">
                  <c:v>0.21374882518744096</c:v>
                </c:pt>
                <c:pt idx="12">
                  <c:v>0.75863330999565581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1-46C6-AFBA-9E3FF9E06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3385568"/>
        <c:axId val="1783388896"/>
      </c:barChart>
      <c:catAx>
        <c:axId val="17833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88896"/>
        <c:crosses val="autoZero"/>
        <c:auto val="1"/>
        <c:lblAlgn val="ctr"/>
        <c:lblOffset val="100"/>
        <c:noMultiLvlLbl val="0"/>
      </c:catAx>
      <c:valAx>
        <c:axId val="17833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38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histogrammes!$EB$1</c:f>
              <c:strCache>
                <c:ptCount val="1"/>
                <c:pt idx="0">
                  <c:v>Error_ Prop_Comp7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histogrammes!$EB$2:$EB$14</c:f>
              <c:numCache>
                <c:formatCode>General</c:formatCode>
                <c:ptCount val="13"/>
                <c:pt idx="0">
                  <c:v>1.5202352360770239</c:v>
                </c:pt>
                <c:pt idx="1">
                  <c:v>0.10351053301475925</c:v>
                </c:pt>
                <c:pt idx="2">
                  <c:v>0.1898928225394946</c:v>
                </c:pt>
                <c:pt idx="3">
                  <c:v>0.22589538234567164</c:v>
                </c:pt>
                <c:pt idx="4">
                  <c:v>3.6551451342169687E-2</c:v>
                </c:pt>
                <c:pt idx="5">
                  <c:v>0.15350993021626053</c:v>
                </c:pt>
                <c:pt idx="6">
                  <c:v>8.8549668554371991E-2</c:v>
                </c:pt>
                <c:pt idx="7">
                  <c:v>0.27746325240692815</c:v>
                </c:pt>
                <c:pt idx="8">
                  <c:v>1.6842053459195847E-2</c:v>
                </c:pt>
                <c:pt idx="9">
                  <c:v>0.33513343783953381</c:v>
                </c:pt>
                <c:pt idx="10">
                  <c:v>0.21044221596436427</c:v>
                </c:pt>
                <c:pt idx="11">
                  <c:v>0.15615098778155448</c:v>
                </c:pt>
                <c:pt idx="12">
                  <c:v>0.18376512667652742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0-4DAD-A547-FAE47844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8144496"/>
        <c:axId val="1848163632"/>
      </c:barChart>
      <c:catAx>
        <c:axId val="1848144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63632"/>
        <c:crosses val="autoZero"/>
        <c:auto val="1"/>
        <c:lblAlgn val="ctr"/>
        <c:lblOffset val="100"/>
        <c:noMultiLvlLbl val="0"/>
      </c:catAx>
      <c:valAx>
        <c:axId val="18481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1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histogrammes!$EC$1</c:f>
              <c:strCache>
                <c:ptCount val="1"/>
                <c:pt idx="0">
                  <c:v>Error_ Prop_Comp8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histogrammes!$DU$2:$DU$14</c:f>
              <c:strCache>
                <c:ptCount val="13"/>
                <c:pt idx="0">
                  <c:v>cdsA</c:v>
                </c:pt>
                <c:pt idx="1">
                  <c:v>DNAP</c:v>
                </c:pt>
                <c:pt idx="2">
                  <c:v>ftsA</c:v>
                </c:pt>
                <c:pt idx="3">
                  <c:v>ftsZ</c:v>
                </c:pt>
                <c:pt idx="4">
                  <c:v>minD</c:v>
                </c:pt>
                <c:pt idx="5">
                  <c:v>minE</c:v>
                </c:pt>
                <c:pt idx="6">
                  <c:v>plsB</c:v>
                </c:pt>
                <c:pt idx="7">
                  <c:v>plsC</c:v>
                </c:pt>
                <c:pt idx="8">
                  <c:v>mCherry</c:v>
                </c:pt>
                <c:pt idx="9">
                  <c:v>psd</c:v>
                </c:pt>
                <c:pt idx="10">
                  <c:v>pssA</c:v>
                </c:pt>
                <c:pt idx="11">
                  <c:v>TP</c:v>
                </c:pt>
                <c:pt idx="12">
                  <c:v>mVenus</c:v>
                </c:pt>
              </c:strCache>
            </c:strRef>
          </c:cat>
          <c:val>
            <c:numRef>
              <c:f>histogrammes!$EC$2:$EC$14</c:f>
              <c:numCache>
                <c:formatCode>General</c:formatCode>
                <c:ptCount val="13"/>
                <c:pt idx="0">
                  <c:v>2.0439604109690013</c:v>
                </c:pt>
                <c:pt idx="1">
                  <c:v>0.160031974529283</c:v>
                </c:pt>
                <c:pt idx="2">
                  <c:v>0.64419892552738178</c:v>
                </c:pt>
                <c:pt idx="3">
                  <c:v>0.39841515774379421</c:v>
                </c:pt>
                <c:pt idx="4">
                  <c:v>0.1212378730958987</c:v>
                </c:pt>
                <c:pt idx="5">
                  <c:v>0.31277219546099261</c:v>
                </c:pt>
                <c:pt idx="6">
                  <c:v>0.11650959054355149</c:v>
                </c:pt>
                <c:pt idx="7">
                  <c:v>0.22178355373019945</c:v>
                </c:pt>
                <c:pt idx="8">
                  <c:v>0.27206683013238947</c:v>
                </c:pt>
                <c:pt idx="9">
                  <c:v>0.29105989839204943</c:v>
                </c:pt>
                <c:pt idx="10">
                  <c:v>0.31304461244535475</c:v>
                </c:pt>
                <c:pt idx="11">
                  <c:v>0.22406555333336403</c:v>
                </c:pt>
                <c:pt idx="12">
                  <c:v>0.3682846012674148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3-4D6B-8898-694C530FE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333216"/>
        <c:axId val="1759333632"/>
      </c:barChart>
      <c:catAx>
        <c:axId val="17593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33632"/>
        <c:crosses val="autoZero"/>
        <c:auto val="1"/>
        <c:lblAlgn val="ctr"/>
        <c:lblOffset val="100"/>
        <c:noMultiLvlLbl val="0"/>
      </c:catAx>
      <c:valAx>
        <c:axId val="175933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933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78</xdr:col>
      <xdr:colOff>438149</xdr:colOff>
      <xdr:row>17</xdr:row>
      <xdr:rowOff>128586</xdr:rowOff>
    </xdr:from>
    <xdr:to>
      <xdr:col>89</xdr:col>
      <xdr:colOff>180975</xdr:colOff>
      <xdr:row>41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4088179-6E01-BDB5-43E5-075C96368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90</xdr:col>
      <xdr:colOff>685800</xdr:colOff>
      <xdr:row>16</xdr:row>
      <xdr:rowOff>185737</xdr:rowOff>
    </xdr:from>
    <xdr:to>
      <xdr:col>101</xdr:col>
      <xdr:colOff>400050</xdr:colOff>
      <xdr:row>40</xdr:row>
      <xdr:rowOff>114300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4111704-CFFF-6C2D-8BF2-7AD337AB8F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111</xdr:col>
      <xdr:colOff>166687</xdr:colOff>
      <xdr:row>16</xdr:row>
      <xdr:rowOff>85725</xdr:rowOff>
    </xdr:from>
    <xdr:to>
      <xdr:col>116</xdr:col>
      <xdr:colOff>547687</xdr:colOff>
      <xdr:row>31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CB00633-6D7F-4AD7-99BE-5A66D342A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111</xdr:col>
      <xdr:colOff>53033</xdr:colOff>
      <xdr:row>32</xdr:row>
      <xdr:rowOff>44720</xdr:rowOff>
    </xdr:from>
    <xdr:to>
      <xdr:col>116</xdr:col>
      <xdr:colOff>602012</xdr:colOff>
      <xdr:row>48</xdr:row>
      <xdr:rowOff>139970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D6AF2CC-70E7-44A0-B611-62C824034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111</xdr:col>
      <xdr:colOff>150382</xdr:colOff>
      <xdr:row>49</xdr:row>
      <xdr:rowOff>175970</xdr:rowOff>
    </xdr:from>
    <xdr:to>
      <xdr:col>116</xdr:col>
      <xdr:colOff>532673</xdr:colOff>
      <xdr:row>65</xdr:row>
      <xdr:rowOff>26960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F5A2DA68-AB90-48C4-B7C4-4E5C8FDBC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111</xdr:col>
      <xdr:colOff>172569</xdr:colOff>
      <xdr:row>66</xdr:row>
      <xdr:rowOff>57709</xdr:rowOff>
    </xdr:from>
    <xdr:to>
      <xdr:col>116</xdr:col>
      <xdr:colOff>551048</xdr:colOff>
      <xdr:row>81</xdr:row>
      <xdr:rowOff>163604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9727629F-B6BA-4546-B054-76A33941C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117</xdr:col>
      <xdr:colOff>114300</xdr:colOff>
      <xdr:row>16</xdr:row>
      <xdr:rowOff>180974</xdr:rowOff>
    </xdr:from>
    <xdr:to>
      <xdr:col>124</xdr:col>
      <xdr:colOff>609600</xdr:colOff>
      <xdr:row>34</xdr:row>
      <xdr:rowOff>114299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39FBD917-EB4B-4EEF-AEBA-DC10986D6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117</xdr:col>
      <xdr:colOff>100012</xdr:colOff>
      <xdr:row>35</xdr:row>
      <xdr:rowOff>123825</xdr:rowOff>
    </xdr:from>
    <xdr:to>
      <xdr:col>124</xdr:col>
      <xdr:colOff>609600</xdr:colOff>
      <xdr:row>51</xdr:row>
      <xdr:rowOff>66675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AA5C503A-5B27-4038-B101-A365793A9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117</xdr:col>
      <xdr:colOff>119062</xdr:colOff>
      <xdr:row>51</xdr:row>
      <xdr:rowOff>133349</xdr:rowOff>
    </xdr:from>
    <xdr:to>
      <xdr:col>124</xdr:col>
      <xdr:colOff>609600</xdr:colOff>
      <xdr:row>66</xdr:row>
      <xdr:rowOff>114299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A961F2F5-B44C-4722-A379-44417C268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117</xdr:col>
      <xdr:colOff>90486</xdr:colOff>
      <xdr:row>66</xdr:row>
      <xdr:rowOff>66675</xdr:rowOff>
    </xdr:from>
    <xdr:to>
      <xdr:col>124</xdr:col>
      <xdr:colOff>647699</xdr:colOff>
      <xdr:row>82</xdr:row>
      <xdr:rowOff>85725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76AC8CAC-4520-4FE6-A07B-706EF5592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125</xdr:col>
      <xdr:colOff>385762</xdr:colOff>
      <xdr:row>17</xdr:row>
      <xdr:rowOff>95250</xdr:rowOff>
    </xdr:from>
    <xdr:to>
      <xdr:col>130</xdr:col>
      <xdr:colOff>766762</xdr:colOff>
      <xdr:row>32</xdr:row>
      <xdr:rowOff>123825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AD90CC34-71BC-4359-8A8E-F261B4BBF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125</xdr:col>
      <xdr:colOff>309562</xdr:colOff>
      <xdr:row>33</xdr:row>
      <xdr:rowOff>171450</xdr:rowOff>
    </xdr:from>
    <xdr:to>
      <xdr:col>130</xdr:col>
      <xdr:colOff>676275</xdr:colOff>
      <xdr:row>51</xdr:row>
      <xdr:rowOff>47625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CFEDB125-DC50-4219-8C3C-ADE4D60A8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125</xdr:col>
      <xdr:colOff>261937</xdr:colOff>
      <xdr:row>51</xdr:row>
      <xdr:rowOff>114300</xdr:rowOff>
    </xdr:from>
    <xdr:to>
      <xdr:col>130</xdr:col>
      <xdr:colOff>628650</xdr:colOff>
      <xdr:row>66</xdr:row>
      <xdr:rowOff>114300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9FFCE5B7-1D20-4FEE-BEAB-5D7B625E8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125</xdr:col>
      <xdr:colOff>33337</xdr:colOff>
      <xdr:row>66</xdr:row>
      <xdr:rowOff>180974</xdr:rowOff>
    </xdr:from>
    <xdr:to>
      <xdr:col>130</xdr:col>
      <xdr:colOff>781051</xdr:colOff>
      <xdr:row>84</xdr:row>
      <xdr:rowOff>114299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3570C02B-4B0C-49E7-AB3A-4013A01DD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131</xdr:col>
      <xdr:colOff>90487</xdr:colOff>
      <xdr:row>17</xdr:row>
      <xdr:rowOff>76200</xdr:rowOff>
    </xdr:from>
    <xdr:to>
      <xdr:col>136</xdr:col>
      <xdr:colOff>581025</xdr:colOff>
      <xdr:row>33</xdr:row>
      <xdr:rowOff>0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B4060DC1-E35D-4418-9EEA-4B8CFA6AC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131</xdr:col>
      <xdr:colOff>109537</xdr:colOff>
      <xdr:row>34</xdr:row>
      <xdr:rowOff>38100</xdr:rowOff>
    </xdr:from>
    <xdr:to>
      <xdr:col>136</xdr:col>
      <xdr:colOff>733425</xdr:colOff>
      <xdr:row>51</xdr:row>
      <xdr:rowOff>85725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C5840E03-3C6E-4B93-AA2C-4F1B3940D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131</xdr:col>
      <xdr:colOff>100011</xdr:colOff>
      <xdr:row>51</xdr:row>
      <xdr:rowOff>1</xdr:rowOff>
    </xdr:from>
    <xdr:to>
      <xdr:col>136</xdr:col>
      <xdr:colOff>784412</xdr:colOff>
      <xdr:row>66</xdr:row>
      <xdr:rowOff>145117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B34E2A79-4A2E-4E92-996F-ACC75A1A1D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131</xdr:col>
      <xdr:colOff>201706</xdr:colOff>
      <xdr:row>67</xdr:row>
      <xdr:rowOff>68366</xdr:rowOff>
    </xdr:from>
    <xdr:to>
      <xdr:col>136</xdr:col>
      <xdr:colOff>806824</xdr:colOff>
      <xdr:row>85</xdr:row>
      <xdr:rowOff>22412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58039FF7-E0DE-41FF-AEDE-9A68282E6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opLeftCell="A13" workbookViewId="0"/>
  </sheetViews>
  <sheetFormatPr baseColWidth="10" defaultColWidth="9.125" defaultRowHeight="14.25"/>
  <cols>
    <col min="1" max="1" width="30" customWidth="1"/>
    <col min="2" max="21" width="175" customWidth="1"/>
  </cols>
  <sheetData>
    <row r="1" spans="1:21" ht="15">
      <c r="A1" s="1" t="s">
        <v>957</v>
      </c>
      <c r="B1" s="3" t="s">
        <v>958</v>
      </c>
      <c r="C1" s="3" t="s">
        <v>958</v>
      </c>
      <c r="D1" s="3" t="s">
        <v>958</v>
      </c>
      <c r="E1" s="3" t="s">
        <v>958</v>
      </c>
      <c r="F1" s="3" t="s">
        <v>958</v>
      </c>
      <c r="G1" s="3" t="s">
        <v>958</v>
      </c>
      <c r="H1" s="3" t="s">
        <v>958</v>
      </c>
      <c r="I1" s="3" t="s">
        <v>958</v>
      </c>
      <c r="J1" s="3" t="s">
        <v>958</v>
      </c>
      <c r="K1" s="3" t="s">
        <v>958</v>
      </c>
      <c r="L1" s="3" t="s">
        <v>958</v>
      </c>
      <c r="M1" s="3" t="s">
        <v>958</v>
      </c>
      <c r="N1" s="3" t="s">
        <v>958</v>
      </c>
      <c r="O1" s="3" t="s">
        <v>958</v>
      </c>
      <c r="P1" s="3" t="s">
        <v>958</v>
      </c>
      <c r="Q1" s="3" t="s">
        <v>958</v>
      </c>
      <c r="R1" s="3" t="s">
        <v>958</v>
      </c>
      <c r="S1" s="3" t="s">
        <v>958</v>
      </c>
      <c r="T1" s="3" t="s">
        <v>958</v>
      </c>
      <c r="U1" s="3" t="s">
        <v>958</v>
      </c>
    </row>
    <row r="2" spans="1:21" ht="15">
      <c r="A2" s="2" t="s">
        <v>775</v>
      </c>
      <c r="B2" s="4" t="s">
        <v>777</v>
      </c>
      <c r="C2" s="4" t="s">
        <v>778</v>
      </c>
      <c r="D2" s="4" t="s">
        <v>779</v>
      </c>
      <c r="E2" s="4" t="s">
        <v>780</v>
      </c>
      <c r="F2" s="4" t="s">
        <v>781</v>
      </c>
      <c r="G2" s="4" t="s">
        <v>782</v>
      </c>
      <c r="H2" s="4" t="s">
        <v>783</v>
      </c>
      <c r="I2" s="4" t="s">
        <v>784</v>
      </c>
      <c r="J2" s="4" t="s">
        <v>785</v>
      </c>
      <c r="K2" s="4" t="s">
        <v>786</v>
      </c>
      <c r="L2" s="4" t="s">
        <v>787</v>
      </c>
      <c r="M2" s="4" t="s">
        <v>788</v>
      </c>
      <c r="N2" s="4" t="s">
        <v>789</v>
      </c>
      <c r="O2" s="4" t="s">
        <v>790</v>
      </c>
      <c r="P2" s="4" t="s">
        <v>791</v>
      </c>
      <c r="Q2" s="4" t="s">
        <v>792</v>
      </c>
      <c r="R2" s="4" t="s">
        <v>793</v>
      </c>
      <c r="S2" s="4" t="s">
        <v>794</v>
      </c>
      <c r="T2" s="4" t="s">
        <v>795</v>
      </c>
      <c r="U2" s="4" t="s">
        <v>796</v>
      </c>
    </row>
    <row r="3" spans="1:21" ht="15">
      <c r="A3" s="1" t="s">
        <v>959</v>
      </c>
      <c r="B3" s="3" t="s">
        <v>960</v>
      </c>
      <c r="C3" s="3" t="s">
        <v>961</v>
      </c>
      <c r="D3" s="3" t="s">
        <v>962</v>
      </c>
      <c r="E3" s="3" t="s">
        <v>963</v>
      </c>
      <c r="F3" s="3" t="s">
        <v>964</v>
      </c>
      <c r="G3" s="3" t="s">
        <v>965</v>
      </c>
      <c r="H3" s="3" t="s">
        <v>966</v>
      </c>
      <c r="I3" s="3" t="s">
        <v>967</v>
      </c>
      <c r="J3" s="3" t="s">
        <v>968</v>
      </c>
      <c r="K3" s="3" t="s">
        <v>969</v>
      </c>
      <c r="L3" s="3" t="s">
        <v>970</v>
      </c>
      <c r="M3" s="3" t="s">
        <v>971</v>
      </c>
      <c r="N3" s="3" t="s">
        <v>972</v>
      </c>
      <c r="O3" s="3" t="s">
        <v>973</v>
      </c>
      <c r="P3" s="3" t="s">
        <v>974</v>
      </c>
      <c r="Q3" s="3" t="s">
        <v>975</v>
      </c>
      <c r="R3" s="3" t="s">
        <v>976</v>
      </c>
      <c r="S3" s="3" t="s">
        <v>977</v>
      </c>
      <c r="T3" s="3" t="s">
        <v>978</v>
      </c>
      <c r="U3" s="3" t="s">
        <v>979</v>
      </c>
    </row>
    <row r="4" spans="1:21" ht="15">
      <c r="A4" s="2" t="s">
        <v>980</v>
      </c>
      <c r="B4" s="4" t="s">
        <v>960</v>
      </c>
      <c r="C4" s="4" t="s">
        <v>961</v>
      </c>
      <c r="D4" s="4" t="s">
        <v>962</v>
      </c>
      <c r="E4" s="4" t="s">
        <v>963</v>
      </c>
      <c r="F4" s="4" t="s">
        <v>964</v>
      </c>
      <c r="G4" s="4" t="s">
        <v>965</v>
      </c>
      <c r="H4" s="4" t="s">
        <v>966</v>
      </c>
      <c r="I4" s="4" t="s">
        <v>967</v>
      </c>
      <c r="J4" s="4" t="s">
        <v>968</v>
      </c>
      <c r="K4" s="4" t="s">
        <v>969</v>
      </c>
      <c r="L4" s="4" t="s">
        <v>970</v>
      </c>
      <c r="M4" s="4" t="s">
        <v>971</v>
      </c>
      <c r="N4" s="4" t="s">
        <v>972</v>
      </c>
      <c r="O4" s="4" t="s">
        <v>973</v>
      </c>
      <c r="P4" s="4" t="s">
        <v>974</v>
      </c>
      <c r="Q4" s="4" t="s">
        <v>975</v>
      </c>
      <c r="R4" s="4" t="s">
        <v>976</v>
      </c>
      <c r="S4" s="4" t="s">
        <v>977</v>
      </c>
      <c r="T4" s="4" t="s">
        <v>978</v>
      </c>
      <c r="U4" s="4" t="s">
        <v>979</v>
      </c>
    </row>
    <row r="5" spans="1:21" ht="15">
      <c r="A5" s="1" t="s">
        <v>981</v>
      </c>
      <c r="B5" s="3" t="s">
        <v>982</v>
      </c>
      <c r="C5" s="3" t="s">
        <v>983</v>
      </c>
      <c r="D5" s="3" t="s">
        <v>984</v>
      </c>
      <c r="E5" s="3" t="s">
        <v>985</v>
      </c>
      <c r="F5" s="3" t="s">
        <v>986</v>
      </c>
      <c r="G5" s="3" t="s">
        <v>987</v>
      </c>
      <c r="H5" s="3" t="s">
        <v>988</v>
      </c>
      <c r="I5" s="3" t="s">
        <v>989</v>
      </c>
      <c r="J5" s="3" t="s">
        <v>990</v>
      </c>
      <c r="K5" s="3" t="s">
        <v>991</v>
      </c>
      <c r="L5" s="3" t="s">
        <v>992</v>
      </c>
      <c r="M5" s="3" t="s">
        <v>993</v>
      </c>
      <c r="N5" s="3" t="s">
        <v>994</v>
      </c>
      <c r="O5" s="3" t="s">
        <v>995</v>
      </c>
      <c r="P5" s="3" t="s">
        <v>996</v>
      </c>
      <c r="Q5" s="3" t="s">
        <v>997</v>
      </c>
      <c r="R5" s="3" t="s">
        <v>998</v>
      </c>
      <c r="S5" s="3" t="s">
        <v>999</v>
      </c>
      <c r="T5" s="3" t="s">
        <v>1000</v>
      </c>
      <c r="U5" s="3" t="s">
        <v>1001</v>
      </c>
    </row>
    <row r="6" spans="1:21" ht="15">
      <c r="A6" s="2" t="s">
        <v>1002</v>
      </c>
      <c r="B6" s="4" t="s">
        <v>1003</v>
      </c>
      <c r="C6" s="4" t="s">
        <v>1004</v>
      </c>
      <c r="D6" s="4" t="s">
        <v>1005</v>
      </c>
      <c r="E6" s="4" t="s">
        <v>1006</v>
      </c>
      <c r="F6" s="4" t="s">
        <v>1007</v>
      </c>
      <c r="G6" s="4" t="s">
        <v>1008</v>
      </c>
      <c r="H6" s="4" t="s">
        <v>1009</v>
      </c>
      <c r="I6" s="4" t="s">
        <v>1010</v>
      </c>
      <c r="J6" s="4" t="s">
        <v>1011</v>
      </c>
      <c r="K6" s="4" t="s">
        <v>1012</v>
      </c>
      <c r="L6" s="4" t="s">
        <v>1013</v>
      </c>
      <c r="M6" s="4" t="s">
        <v>1014</v>
      </c>
      <c r="N6" s="4" t="s">
        <v>1015</v>
      </c>
      <c r="O6" s="4" t="s">
        <v>1016</v>
      </c>
      <c r="P6" s="4" t="s">
        <v>1017</v>
      </c>
      <c r="Q6" s="4" t="s">
        <v>1018</v>
      </c>
      <c r="R6" s="4" t="s">
        <v>1019</v>
      </c>
      <c r="S6" s="4" t="s">
        <v>1020</v>
      </c>
      <c r="T6" s="4" t="s">
        <v>1021</v>
      </c>
      <c r="U6" s="4" t="s">
        <v>1022</v>
      </c>
    </row>
    <row r="7" spans="1:21" ht="15">
      <c r="A7" s="1" t="s">
        <v>1023</v>
      </c>
      <c r="B7" s="3" t="s">
        <v>1024</v>
      </c>
      <c r="C7" s="3" t="s">
        <v>1025</v>
      </c>
      <c r="D7" s="3" t="s">
        <v>1026</v>
      </c>
      <c r="E7" s="3" t="s">
        <v>1027</v>
      </c>
      <c r="F7" s="3" t="s">
        <v>1028</v>
      </c>
      <c r="G7" s="3" t="s">
        <v>1029</v>
      </c>
      <c r="H7" s="3" t="s">
        <v>1030</v>
      </c>
      <c r="I7" s="3" t="s">
        <v>1031</v>
      </c>
      <c r="J7" s="3" t="s">
        <v>1032</v>
      </c>
      <c r="K7" s="3" t="s">
        <v>1033</v>
      </c>
      <c r="L7" s="3" t="s">
        <v>1034</v>
      </c>
      <c r="M7" s="3" t="s">
        <v>1035</v>
      </c>
      <c r="N7" s="3" t="s">
        <v>1036</v>
      </c>
      <c r="O7" s="3" t="s">
        <v>1037</v>
      </c>
      <c r="P7" s="3" t="s">
        <v>1038</v>
      </c>
      <c r="Q7" s="3" t="s">
        <v>1039</v>
      </c>
      <c r="R7" s="3" t="s">
        <v>1040</v>
      </c>
      <c r="S7" s="3" t="s">
        <v>1041</v>
      </c>
      <c r="T7" s="3" t="s">
        <v>1042</v>
      </c>
      <c r="U7" s="3" t="s">
        <v>1043</v>
      </c>
    </row>
    <row r="8" spans="1:21" ht="15">
      <c r="A8" s="2" t="s">
        <v>797</v>
      </c>
      <c r="B8" s="4" t="s">
        <v>799</v>
      </c>
      <c r="C8" s="4" t="s">
        <v>800</v>
      </c>
      <c r="D8" s="4" t="s">
        <v>801</v>
      </c>
      <c r="E8" s="4" t="s">
        <v>802</v>
      </c>
      <c r="F8" s="4" t="s">
        <v>803</v>
      </c>
      <c r="G8" s="4" t="s">
        <v>804</v>
      </c>
      <c r="H8" s="4" t="s">
        <v>805</v>
      </c>
      <c r="I8" s="4" t="s">
        <v>806</v>
      </c>
      <c r="J8" s="4" t="s">
        <v>807</v>
      </c>
      <c r="K8" s="4" t="s">
        <v>808</v>
      </c>
      <c r="L8" s="4" t="s">
        <v>809</v>
      </c>
      <c r="M8" s="4" t="s">
        <v>810</v>
      </c>
      <c r="N8" s="4" t="s">
        <v>811</v>
      </c>
      <c r="O8" s="4" t="s">
        <v>812</v>
      </c>
      <c r="P8" s="4" t="s">
        <v>813</v>
      </c>
      <c r="Q8" s="4" t="s">
        <v>814</v>
      </c>
      <c r="R8" s="4" t="s">
        <v>815</v>
      </c>
      <c r="S8" s="4" t="s">
        <v>816</v>
      </c>
      <c r="T8" s="4" t="s">
        <v>817</v>
      </c>
      <c r="U8" s="4" t="s">
        <v>818</v>
      </c>
    </row>
    <row r="9" spans="1:21" ht="15">
      <c r="A9" s="1" t="s">
        <v>1044</v>
      </c>
      <c r="B9" s="3" t="s">
        <v>1045</v>
      </c>
      <c r="C9" s="3" t="s">
        <v>1045</v>
      </c>
      <c r="D9" s="3" t="s">
        <v>1045</v>
      </c>
      <c r="E9" s="3" t="s">
        <v>1045</v>
      </c>
      <c r="F9" s="3" t="s">
        <v>1045</v>
      </c>
      <c r="G9" s="3" t="s">
        <v>1045</v>
      </c>
      <c r="H9" s="3" t="s">
        <v>1045</v>
      </c>
      <c r="I9" s="3" t="s">
        <v>1045</v>
      </c>
      <c r="J9" s="3" t="s">
        <v>1045</v>
      </c>
      <c r="K9" s="3" t="s">
        <v>1045</v>
      </c>
      <c r="L9" s="3" t="s">
        <v>1045</v>
      </c>
      <c r="M9" s="3" t="s">
        <v>1045</v>
      </c>
      <c r="N9" s="3" t="s">
        <v>1045</v>
      </c>
      <c r="O9" s="3" t="s">
        <v>1045</v>
      </c>
      <c r="P9" s="3" t="s">
        <v>1045</v>
      </c>
      <c r="Q9" s="3" t="s">
        <v>1045</v>
      </c>
      <c r="R9" s="3" t="s">
        <v>1045</v>
      </c>
      <c r="S9" s="3" t="s">
        <v>1045</v>
      </c>
      <c r="T9" s="3" t="s">
        <v>1045</v>
      </c>
      <c r="U9" s="3" t="s">
        <v>1045</v>
      </c>
    </row>
    <row r="10" spans="1:21" ht="15">
      <c r="A10" s="2" t="s">
        <v>1046</v>
      </c>
      <c r="B10" s="4">
        <v>149599</v>
      </c>
      <c r="C10" s="4">
        <v>149605</v>
      </c>
      <c r="D10" s="4">
        <v>149600</v>
      </c>
      <c r="E10" s="4">
        <v>149601</v>
      </c>
      <c r="F10" s="4">
        <v>149602</v>
      </c>
      <c r="G10" s="4">
        <v>149603</v>
      </c>
      <c r="H10" s="4">
        <v>149604</v>
      </c>
      <c r="I10" s="4">
        <v>149606</v>
      </c>
      <c r="J10" s="4">
        <v>149607</v>
      </c>
      <c r="K10" s="4">
        <v>149608</v>
      </c>
      <c r="L10" s="4">
        <v>149609</v>
      </c>
      <c r="M10" s="4">
        <v>149610</v>
      </c>
      <c r="N10" s="4">
        <v>149611</v>
      </c>
      <c r="O10" s="4">
        <v>149612</v>
      </c>
      <c r="P10" s="4">
        <v>149613</v>
      </c>
      <c r="Q10" s="4">
        <v>149614</v>
      </c>
      <c r="R10" s="4">
        <v>149615</v>
      </c>
      <c r="S10" s="4">
        <v>149616</v>
      </c>
      <c r="T10" s="4">
        <v>149617</v>
      </c>
      <c r="U10" s="4">
        <v>149618</v>
      </c>
    </row>
    <row r="11" spans="1:21" ht="15">
      <c r="A11" s="1" t="s">
        <v>1047</v>
      </c>
      <c r="B11" s="3" t="s">
        <v>1048</v>
      </c>
      <c r="C11" s="3" t="s">
        <v>1048</v>
      </c>
      <c r="D11" s="3" t="s">
        <v>1048</v>
      </c>
      <c r="E11" s="3" t="s">
        <v>1048</v>
      </c>
      <c r="F11" s="3" t="s">
        <v>1048</v>
      </c>
      <c r="G11" s="3" t="s">
        <v>1048</v>
      </c>
      <c r="H11" s="3" t="s">
        <v>1048</v>
      </c>
      <c r="I11" s="3" t="s">
        <v>1048</v>
      </c>
      <c r="J11" s="3" t="s">
        <v>1048</v>
      </c>
      <c r="K11" s="3" t="s">
        <v>1048</v>
      </c>
      <c r="L11" s="3" t="s">
        <v>1048</v>
      </c>
      <c r="M11" s="3" t="s">
        <v>1048</v>
      </c>
      <c r="N11" s="3" t="s">
        <v>1048</v>
      </c>
      <c r="O11" s="3" t="s">
        <v>1048</v>
      </c>
      <c r="P11" s="3" t="s">
        <v>1048</v>
      </c>
      <c r="Q11" s="3" t="s">
        <v>1048</v>
      </c>
      <c r="R11" s="3" t="s">
        <v>1048</v>
      </c>
      <c r="S11" s="3" t="s">
        <v>1048</v>
      </c>
      <c r="T11" s="3" t="s">
        <v>1048</v>
      </c>
      <c r="U11" s="3" t="s">
        <v>1048</v>
      </c>
    </row>
    <row r="12" spans="1:21" ht="15">
      <c r="A12" s="2" t="s">
        <v>1049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15">
      <c r="A13" s="1" t="s">
        <v>1050</v>
      </c>
      <c r="B13" s="3">
        <v>18799</v>
      </c>
      <c r="C13" s="3">
        <v>19549</v>
      </c>
      <c r="D13" s="3">
        <v>6345</v>
      </c>
      <c r="E13" s="3">
        <v>17789</v>
      </c>
      <c r="F13" s="3">
        <v>19005</v>
      </c>
      <c r="G13" s="3">
        <v>18818</v>
      </c>
      <c r="H13" s="3">
        <v>18805</v>
      </c>
      <c r="I13" s="3">
        <v>18702</v>
      </c>
      <c r="J13" s="3">
        <v>18771</v>
      </c>
      <c r="K13" s="3">
        <v>18989</v>
      </c>
      <c r="L13" s="3">
        <v>15553</v>
      </c>
      <c r="M13" s="3">
        <v>19364</v>
      </c>
      <c r="N13" s="3">
        <v>18587</v>
      </c>
      <c r="O13" s="3">
        <v>18985</v>
      </c>
      <c r="P13" s="3">
        <v>18964</v>
      </c>
      <c r="Q13" s="3">
        <v>19299</v>
      </c>
      <c r="R13" s="3">
        <v>18553</v>
      </c>
      <c r="S13" s="3">
        <v>19198</v>
      </c>
      <c r="T13" s="3">
        <v>18917</v>
      </c>
      <c r="U13" s="3">
        <v>18813</v>
      </c>
    </row>
    <row r="14" spans="1:21" ht="15">
      <c r="A14" s="2" t="s">
        <v>1051</v>
      </c>
      <c r="B14" s="4">
        <v>23530</v>
      </c>
      <c r="C14" s="4">
        <v>23530</v>
      </c>
      <c r="D14" s="4">
        <v>23530</v>
      </c>
      <c r="E14" s="4">
        <v>23530</v>
      </c>
      <c r="F14" s="4">
        <v>23530</v>
      </c>
      <c r="G14" s="4">
        <v>23530</v>
      </c>
      <c r="H14" s="4">
        <v>23530</v>
      </c>
      <c r="I14" s="4">
        <v>23530</v>
      </c>
      <c r="J14" s="4">
        <v>23530</v>
      </c>
      <c r="K14" s="4">
        <v>23530</v>
      </c>
      <c r="L14" s="4">
        <v>23530</v>
      </c>
      <c r="M14" s="4">
        <v>23530</v>
      </c>
      <c r="N14" s="4">
        <v>23530</v>
      </c>
      <c r="O14" s="4">
        <v>23530</v>
      </c>
      <c r="P14" s="4">
        <v>23530</v>
      </c>
      <c r="Q14" s="4">
        <v>23530</v>
      </c>
      <c r="R14" s="4">
        <v>23530</v>
      </c>
      <c r="S14" s="4">
        <v>23530</v>
      </c>
      <c r="T14" s="4">
        <v>23530</v>
      </c>
      <c r="U14" s="4">
        <v>23530</v>
      </c>
    </row>
    <row r="15" spans="1:21" ht="15">
      <c r="A15" s="1" t="s">
        <v>1052</v>
      </c>
      <c r="B15" s="3" t="s">
        <v>1053</v>
      </c>
      <c r="C15" s="3" t="s">
        <v>1053</v>
      </c>
      <c r="D15" s="3" t="s">
        <v>1053</v>
      </c>
      <c r="E15" s="3" t="s">
        <v>1053</v>
      </c>
      <c r="F15" s="3" t="s">
        <v>1053</v>
      </c>
      <c r="G15" s="3" t="s">
        <v>1053</v>
      </c>
      <c r="H15" s="3" t="s">
        <v>1053</v>
      </c>
      <c r="I15" s="3" t="s">
        <v>1053</v>
      </c>
      <c r="J15" s="3" t="s">
        <v>1053</v>
      </c>
      <c r="K15" s="3" t="s">
        <v>1053</v>
      </c>
      <c r="L15" s="3" t="s">
        <v>1053</v>
      </c>
      <c r="M15" s="3" t="s">
        <v>1053</v>
      </c>
      <c r="N15" s="3" t="s">
        <v>1053</v>
      </c>
      <c r="O15" s="3" t="s">
        <v>1053</v>
      </c>
      <c r="P15" s="3" t="s">
        <v>1053</v>
      </c>
      <c r="Q15" s="3" t="s">
        <v>1053</v>
      </c>
      <c r="R15" s="3" t="s">
        <v>1053</v>
      </c>
      <c r="S15" s="3" t="s">
        <v>1053</v>
      </c>
      <c r="T15" s="3" t="s">
        <v>1053</v>
      </c>
      <c r="U15" s="3" t="s">
        <v>1053</v>
      </c>
    </row>
    <row r="16" spans="1:21" ht="15">
      <c r="A16" s="2" t="s">
        <v>1054</v>
      </c>
      <c r="B16" s="4" t="s">
        <v>1055</v>
      </c>
      <c r="C16" s="4" t="s">
        <v>1055</v>
      </c>
      <c r="D16" s="4" t="s">
        <v>1055</v>
      </c>
      <c r="E16" s="4" t="s">
        <v>1055</v>
      </c>
      <c r="F16" s="4" t="s">
        <v>1055</v>
      </c>
      <c r="G16" s="4" t="s">
        <v>1055</v>
      </c>
      <c r="H16" s="4" t="s">
        <v>1055</v>
      </c>
      <c r="I16" s="4" t="s">
        <v>1055</v>
      </c>
      <c r="J16" s="4" t="s">
        <v>1055</v>
      </c>
      <c r="K16" s="4" t="s">
        <v>1055</v>
      </c>
      <c r="L16" s="4" t="s">
        <v>1055</v>
      </c>
      <c r="M16" s="4" t="s">
        <v>1055</v>
      </c>
      <c r="N16" s="4" t="s">
        <v>1055</v>
      </c>
      <c r="O16" s="4" t="s">
        <v>1055</v>
      </c>
      <c r="P16" s="4" t="s">
        <v>1055</v>
      </c>
      <c r="Q16" s="4" t="s">
        <v>1055</v>
      </c>
      <c r="R16" s="4" t="s">
        <v>1055</v>
      </c>
      <c r="S16" s="4" t="s">
        <v>1055</v>
      </c>
      <c r="T16" s="4" t="s">
        <v>1055</v>
      </c>
      <c r="U16" s="4" t="s">
        <v>1055</v>
      </c>
    </row>
    <row r="17" spans="1:21" ht="15">
      <c r="A17" s="1" t="s">
        <v>1056</v>
      </c>
      <c r="B17" s="3" t="s">
        <v>1057</v>
      </c>
      <c r="C17" s="3" t="s">
        <v>1057</v>
      </c>
      <c r="D17" s="3" t="s">
        <v>1057</v>
      </c>
      <c r="E17" s="3" t="s">
        <v>1057</v>
      </c>
      <c r="F17" s="3" t="s">
        <v>1057</v>
      </c>
      <c r="G17" s="3" t="s">
        <v>1057</v>
      </c>
      <c r="H17" s="3" t="s">
        <v>1057</v>
      </c>
      <c r="I17" s="3" t="s">
        <v>1057</v>
      </c>
      <c r="J17" s="3" t="s">
        <v>1057</v>
      </c>
      <c r="K17" s="3" t="s">
        <v>1057</v>
      </c>
      <c r="L17" s="3" t="s">
        <v>1057</v>
      </c>
      <c r="M17" s="3" t="s">
        <v>1057</v>
      </c>
      <c r="N17" s="3" t="s">
        <v>1057</v>
      </c>
      <c r="O17" s="3" t="s">
        <v>1057</v>
      </c>
      <c r="P17" s="3" t="s">
        <v>1057</v>
      </c>
      <c r="Q17" s="3" t="s">
        <v>1057</v>
      </c>
      <c r="R17" s="3" t="s">
        <v>1057</v>
      </c>
      <c r="S17" s="3" t="s">
        <v>1057</v>
      </c>
      <c r="T17" s="3" t="s">
        <v>1057</v>
      </c>
      <c r="U17" s="3" t="s">
        <v>1057</v>
      </c>
    </row>
    <row r="18" spans="1:21" ht="15">
      <c r="A18" s="2" t="s">
        <v>1058</v>
      </c>
      <c r="B18" s="4" t="s">
        <v>1059</v>
      </c>
      <c r="C18" s="4" t="s">
        <v>1059</v>
      </c>
      <c r="D18" s="4" t="s">
        <v>1059</v>
      </c>
      <c r="E18" s="4" t="s">
        <v>1059</v>
      </c>
      <c r="F18" s="4" t="s">
        <v>1059</v>
      </c>
      <c r="G18" s="4" t="s">
        <v>1059</v>
      </c>
      <c r="H18" s="4" t="s">
        <v>1059</v>
      </c>
      <c r="I18" s="4" t="s">
        <v>1059</v>
      </c>
      <c r="J18" s="4" t="s">
        <v>1059</v>
      </c>
      <c r="K18" s="4" t="s">
        <v>1059</v>
      </c>
      <c r="L18" s="4" t="s">
        <v>1059</v>
      </c>
      <c r="M18" s="4" t="s">
        <v>1059</v>
      </c>
      <c r="N18" s="4" t="s">
        <v>1059</v>
      </c>
      <c r="O18" s="4" t="s">
        <v>1059</v>
      </c>
      <c r="P18" s="4" t="s">
        <v>1059</v>
      </c>
      <c r="Q18" s="4" t="s">
        <v>1059</v>
      </c>
      <c r="R18" s="4" t="s">
        <v>1059</v>
      </c>
      <c r="S18" s="4" t="s">
        <v>1059</v>
      </c>
      <c r="T18" s="4" t="s">
        <v>1059</v>
      </c>
      <c r="U18" s="4" t="s">
        <v>1059</v>
      </c>
    </row>
    <row r="19" spans="1:21" ht="15">
      <c r="A19" s="1" t="s">
        <v>1060</v>
      </c>
      <c r="B19" s="3" t="s">
        <v>1061</v>
      </c>
      <c r="C19" s="3" t="s">
        <v>1061</v>
      </c>
      <c r="D19" s="3" t="s">
        <v>1061</v>
      </c>
      <c r="E19" s="3" t="s">
        <v>1061</v>
      </c>
      <c r="F19" s="3" t="s">
        <v>1061</v>
      </c>
      <c r="G19" s="3" t="s">
        <v>1061</v>
      </c>
      <c r="H19" s="3" t="s">
        <v>1061</v>
      </c>
      <c r="I19" s="3" t="s">
        <v>1061</v>
      </c>
      <c r="J19" s="3" t="s">
        <v>1061</v>
      </c>
      <c r="K19" s="3" t="s">
        <v>1061</v>
      </c>
      <c r="L19" s="3" t="s">
        <v>1061</v>
      </c>
      <c r="M19" s="3" t="s">
        <v>1061</v>
      </c>
      <c r="N19" s="3" t="s">
        <v>1061</v>
      </c>
      <c r="O19" s="3" t="s">
        <v>1061</v>
      </c>
      <c r="P19" s="3" t="s">
        <v>1061</v>
      </c>
      <c r="Q19" s="3" t="s">
        <v>1061</v>
      </c>
      <c r="R19" s="3" t="s">
        <v>1061</v>
      </c>
      <c r="S19" s="3" t="s">
        <v>1061</v>
      </c>
      <c r="T19" s="3" t="s">
        <v>1061</v>
      </c>
      <c r="U19" s="3" t="s">
        <v>1061</v>
      </c>
    </row>
    <row r="20" spans="1:21" ht="15">
      <c r="A20" s="2" t="s">
        <v>1062</v>
      </c>
      <c r="B20" s="4" t="s">
        <v>1063</v>
      </c>
      <c r="C20" s="4" t="s">
        <v>1063</v>
      </c>
      <c r="D20" s="4" t="s">
        <v>1063</v>
      </c>
      <c r="E20" s="4" t="s">
        <v>1063</v>
      </c>
      <c r="F20" s="4" t="s">
        <v>1063</v>
      </c>
      <c r="G20" s="4" t="s">
        <v>1063</v>
      </c>
      <c r="H20" s="4" t="s">
        <v>1063</v>
      </c>
      <c r="I20" s="4" t="s">
        <v>1063</v>
      </c>
      <c r="J20" s="4" t="s">
        <v>1063</v>
      </c>
      <c r="K20" s="4" t="s">
        <v>1063</v>
      </c>
      <c r="L20" s="4" t="s">
        <v>1063</v>
      </c>
      <c r="M20" s="4" t="s">
        <v>1063</v>
      </c>
      <c r="N20" s="4" t="s">
        <v>1063</v>
      </c>
      <c r="O20" s="4" t="s">
        <v>1063</v>
      </c>
      <c r="P20" s="4" t="s">
        <v>1063</v>
      </c>
      <c r="Q20" s="4" t="s">
        <v>1063</v>
      </c>
      <c r="R20" s="4" t="s">
        <v>1063</v>
      </c>
      <c r="S20" s="4" t="s">
        <v>1063</v>
      </c>
      <c r="T20" s="4" t="s">
        <v>1063</v>
      </c>
      <c r="U20" s="4" t="s">
        <v>1063</v>
      </c>
    </row>
    <row r="21" spans="1:21" ht="15">
      <c r="A21" s="1" t="s">
        <v>1064</v>
      </c>
      <c r="B21" s="3" t="s">
        <v>1065</v>
      </c>
      <c r="C21" s="3" t="s">
        <v>1065</v>
      </c>
      <c r="D21" s="3" t="s">
        <v>1065</v>
      </c>
      <c r="E21" s="3" t="s">
        <v>1065</v>
      </c>
      <c r="F21" s="3" t="s">
        <v>1065</v>
      </c>
      <c r="G21" s="3" t="s">
        <v>1065</v>
      </c>
      <c r="H21" s="3" t="s">
        <v>1065</v>
      </c>
      <c r="I21" s="3" t="s">
        <v>1065</v>
      </c>
      <c r="J21" s="3" t="s">
        <v>1065</v>
      </c>
      <c r="K21" s="3" t="s">
        <v>1065</v>
      </c>
      <c r="L21" s="3" t="s">
        <v>1065</v>
      </c>
      <c r="M21" s="3" t="s">
        <v>1065</v>
      </c>
      <c r="N21" s="3" t="s">
        <v>1065</v>
      </c>
      <c r="O21" s="3" t="s">
        <v>1065</v>
      </c>
      <c r="P21" s="3" t="s">
        <v>1065</v>
      </c>
      <c r="Q21" s="3" t="s">
        <v>1065</v>
      </c>
      <c r="R21" s="3" t="s">
        <v>1065</v>
      </c>
      <c r="S21" s="3" t="s">
        <v>1065</v>
      </c>
      <c r="T21" s="3" t="s">
        <v>1065</v>
      </c>
      <c r="U21" s="3" t="s">
        <v>1065</v>
      </c>
    </row>
    <row r="22" spans="1:21" ht="15">
      <c r="A22" s="2" t="s">
        <v>1066</v>
      </c>
      <c r="B22" s="4" t="s">
        <v>1067</v>
      </c>
      <c r="C22" s="4" t="s">
        <v>1067</v>
      </c>
      <c r="D22" s="4" t="s">
        <v>1067</v>
      </c>
      <c r="E22" s="4" t="s">
        <v>1067</v>
      </c>
      <c r="F22" s="4" t="s">
        <v>1067</v>
      </c>
      <c r="G22" s="4" t="s">
        <v>1067</v>
      </c>
      <c r="H22" s="4" t="s">
        <v>1067</v>
      </c>
      <c r="I22" s="4" t="s">
        <v>1067</v>
      </c>
      <c r="J22" s="4" t="s">
        <v>1067</v>
      </c>
      <c r="K22" s="4" t="s">
        <v>1067</v>
      </c>
      <c r="L22" s="4" t="s">
        <v>1067</v>
      </c>
      <c r="M22" s="4" t="s">
        <v>1067</v>
      </c>
      <c r="N22" s="4" t="s">
        <v>1067</v>
      </c>
      <c r="O22" s="4" t="s">
        <v>1067</v>
      </c>
      <c r="P22" s="4" t="s">
        <v>1067</v>
      </c>
      <c r="Q22" s="4" t="s">
        <v>1067</v>
      </c>
      <c r="R22" s="4" t="s">
        <v>1067</v>
      </c>
      <c r="S22" s="4" t="s">
        <v>1067</v>
      </c>
      <c r="T22" s="4" t="s">
        <v>1067</v>
      </c>
      <c r="U22" s="4" t="s">
        <v>1067</v>
      </c>
    </row>
    <row r="23" spans="1:21" ht="15">
      <c r="A23" s="1" t="s">
        <v>1068</v>
      </c>
      <c r="B23" s="3">
        <v>2</v>
      </c>
      <c r="C23" s="3">
        <v>2</v>
      </c>
      <c r="D23" s="3">
        <v>2</v>
      </c>
      <c r="E23" s="3">
        <v>2</v>
      </c>
      <c r="F23" s="3">
        <v>2</v>
      </c>
      <c r="G23" s="3">
        <v>2</v>
      </c>
      <c r="H23" s="3">
        <v>2</v>
      </c>
      <c r="I23" s="3">
        <v>2</v>
      </c>
      <c r="J23" s="3">
        <v>2</v>
      </c>
      <c r="K23" s="3">
        <v>2</v>
      </c>
      <c r="L23" s="3">
        <v>2</v>
      </c>
      <c r="M23" s="3">
        <v>2</v>
      </c>
      <c r="N23" s="3">
        <v>2</v>
      </c>
      <c r="O23" s="3">
        <v>2</v>
      </c>
      <c r="P23" s="3">
        <v>2</v>
      </c>
      <c r="Q23" s="3">
        <v>2</v>
      </c>
      <c r="R23" s="3">
        <v>2</v>
      </c>
      <c r="S23" s="3">
        <v>2</v>
      </c>
      <c r="T23" s="3">
        <v>2</v>
      </c>
      <c r="U23" s="3">
        <v>2</v>
      </c>
    </row>
    <row r="24" spans="1:21" ht="15">
      <c r="A24" s="2" t="s">
        <v>1069</v>
      </c>
      <c r="B24" s="4" t="s">
        <v>1070</v>
      </c>
      <c r="C24" s="4" t="s">
        <v>1070</v>
      </c>
      <c r="D24" s="4" t="s">
        <v>1070</v>
      </c>
      <c r="E24" s="4" t="s">
        <v>1070</v>
      </c>
      <c r="F24" s="4" t="s">
        <v>1070</v>
      </c>
      <c r="G24" s="4" t="s">
        <v>1070</v>
      </c>
      <c r="H24" s="4" t="s">
        <v>1070</v>
      </c>
      <c r="I24" s="4" t="s">
        <v>1070</v>
      </c>
      <c r="J24" s="4" t="s">
        <v>1070</v>
      </c>
      <c r="K24" s="4" t="s">
        <v>1070</v>
      </c>
      <c r="L24" s="4" t="s">
        <v>1070</v>
      </c>
      <c r="M24" s="4" t="s">
        <v>1070</v>
      </c>
      <c r="N24" s="4" t="s">
        <v>1070</v>
      </c>
      <c r="O24" s="4" t="s">
        <v>1070</v>
      </c>
      <c r="P24" s="4" t="s">
        <v>1070</v>
      </c>
      <c r="Q24" s="4" t="s">
        <v>1070</v>
      </c>
      <c r="R24" s="4" t="s">
        <v>1070</v>
      </c>
      <c r="S24" s="4" t="s">
        <v>1070</v>
      </c>
      <c r="T24" s="4" t="s">
        <v>1070</v>
      </c>
      <c r="U24" s="4" t="s">
        <v>1070</v>
      </c>
    </row>
    <row r="25" spans="1:21" ht="15">
      <c r="A25" s="1" t="s">
        <v>1071</v>
      </c>
      <c r="B25" s="3" t="s">
        <v>1072</v>
      </c>
      <c r="C25" s="3" t="s">
        <v>1072</v>
      </c>
      <c r="D25" s="3" t="s">
        <v>1072</v>
      </c>
      <c r="E25" s="3" t="s">
        <v>1072</v>
      </c>
      <c r="F25" s="3" t="s">
        <v>1072</v>
      </c>
      <c r="G25" s="3" t="s">
        <v>1072</v>
      </c>
      <c r="H25" s="3" t="s">
        <v>1072</v>
      </c>
      <c r="I25" s="3" t="s">
        <v>1072</v>
      </c>
      <c r="J25" s="3" t="s">
        <v>1072</v>
      </c>
      <c r="K25" s="3" t="s">
        <v>1072</v>
      </c>
      <c r="L25" s="3" t="s">
        <v>1072</v>
      </c>
      <c r="M25" s="3" t="s">
        <v>1072</v>
      </c>
      <c r="N25" s="3" t="s">
        <v>1072</v>
      </c>
      <c r="O25" s="3" t="s">
        <v>1072</v>
      </c>
      <c r="P25" s="3" t="s">
        <v>1072</v>
      </c>
      <c r="Q25" s="3" t="s">
        <v>1072</v>
      </c>
      <c r="R25" s="3" t="s">
        <v>1072</v>
      </c>
      <c r="S25" s="3" t="s">
        <v>1072</v>
      </c>
      <c r="T25" s="3" t="s">
        <v>1072</v>
      </c>
      <c r="U25" s="3" t="s">
        <v>1072</v>
      </c>
    </row>
    <row r="26" spans="1:21" ht="15">
      <c r="A26" s="2" t="s">
        <v>1073</v>
      </c>
      <c r="B26" s="4" t="s">
        <v>1074</v>
      </c>
      <c r="C26" s="4" t="s">
        <v>1074</v>
      </c>
      <c r="D26" s="4" t="s">
        <v>1074</v>
      </c>
      <c r="E26" s="4" t="s">
        <v>1074</v>
      </c>
      <c r="F26" s="4" t="s">
        <v>1074</v>
      </c>
      <c r="G26" s="4" t="s">
        <v>1074</v>
      </c>
      <c r="H26" s="4" t="s">
        <v>1074</v>
      </c>
      <c r="I26" s="4" t="s">
        <v>1074</v>
      </c>
      <c r="J26" s="4" t="s">
        <v>1074</v>
      </c>
      <c r="K26" s="4" t="s">
        <v>1074</v>
      </c>
      <c r="L26" s="4" t="s">
        <v>1074</v>
      </c>
      <c r="M26" s="4" t="s">
        <v>1074</v>
      </c>
      <c r="N26" s="4" t="s">
        <v>1074</v>
      </c>
      <c r="O26" s="4" t="s">
        <v>1074</v>
      </c>
      <c r="P26" s="4" t="s">
        <v>1074</v>
      </c>
      <c r="Q26" s="4" t="s">
        <v>1074</v>
      </c>
      <c r="R26" s="4" t="s">
        <v>1074</v>
      </c>
      <c r="S26" s="4" t="s">
        <v>1074</v>
      </c>
      <c r="T26" s="4" t="s">
        <v>1074</v>
      </c>
      <c r="U26" s="4" t="s">
        <v>1074</v>
      </c>
    </row>
    <row r="27" spans="1:21" ht="15">
      <c r="A27" s="1" t="s">
        <v>1075</v>
      </c>
      <c r="B27" s="3" t="s">
        <v>1076</v>
      </c>
      <c r="C27" s="3" t="s">
        <v>1076</v>
      </c>
      <c r="D27" s="3" t="s">
        <v>1076</v>
      </c>
      <c r="E27" s="3" t="s">
        <v>1076</v>
      </c>
      <c r="F27" s="3" t="s">
        <v>1076</v>
      </c>
      <c r="G27" s="3" t="s">
        <v>1076</v>
      </c>
      <c r="H27" s="3" t="s">
        <v>1076</v>
      </c>
      <c r="I27" s="3" t="s">
        <v>1076</v>
      </c>
      <c r="J27" s="3" t="s">
        <v>1076</v>
      </c>
      <c r="K27" s="3" t="s">
        <v>1076</v>
      </c>
      <c r="L27" s="3" t="s">
        <v>1076</v>
      </c>
      <c r="M27" s="3" t="s">
        <v>1076</v>
      </c>
      <c r="N27" s="3" t="s">
        <v>1076</v>
      </c>
      <c r="O27" s="3" t="s">
        <v>1076</v>
      </c>
      <c r="P27" s="3" t="s">
        <v>1076</v>
      </c>
      <c r="Q27" s="3" t="s">
        <v>1076</v>
      </c>
      <c r="R27" s="3" t="s">
        <v>1076</v>
      </c>
      <c r="S27" s="3" t="s">
        <v>1076</v>
      </c>
      <c r="T27" s="3" t="s">
        <v>1076</v>
      </c>
      <c r="U27" s="3" t="s">
        <v>1076</v>
      </c>
    </row>
    <row r="28" spans="1:21" ht="15">
      <c r="A28" s="2" t="s">
        <v>1077</v>
      </c>
      <c r="B28" s="4" t="s">
        <v>1078</v>
      </c>
      <c r="C28" s="4" t="s">
        <v>1078</v>
      </c>
      <c r="D28" s="4" t="s">
        <v>1078</v>
      </c>
      <c r="E28" s="4" t="s">
        <v>1078</v>
      </c>
      <c r="F28" s="4" t="s">
        <v>1078</v>
      </c>
      <c r="G28" s="4" t="s">
        <v>1078</v>
      </c>
      <c r="H28" s="4" t="s">
        <v>1078</v>
      </c>
      <c r="I28" s="4" t="s">
        <v>1078</v>
      </c>
      <c r="J28" s="4" t="s">
        <v>1078</v>
      </c>
      <c r="K28" s="4" t="s">
        <v>1078</v>
      </c>
      <c r="L28" s="4" t="s">
        <v>1078</v>
      </c>
      <c r="M28" s="4" t="s">
        <v>1078</v>
      </c>
      <c r="N28" s="4" t="s">
        <v>1078</v>
      </c>
      <c r="O28" s="4" t="s">
        <v>1078</v>
      </c>
      <c r="P28" s="4" t="s">
        <v>1078</v>
      </c>
      <c r="Q28" s="4" t="s">
        <v>1078</v>
      </c>
      <c r="R28" s="4" t="s">
        <v>1078</v>
      </c>
      <c r="S28" s="4" t="s">
        <v>1078</v>
      </c>
      <c r="T28" s="4" t="s">
        <v>1078</v>
      </c>
      <c r="U28" s="4" t="s">
        <v>1078</v>
      </c>
    </row>
    <row r="29" spans="1:21" ht="15">
      <c r="A29" s="1" t="s">
        <v>1079</v>
      </c>
      <c r="B29" s="3" t="s">
        <v>874</v>
      </c>
      <c r="C29" s="3" t="s">
        <v>874</v>
      </c>
      <c r="D29" s="3" t="s">
        <v>874</v>
      </c>
      <c r="E29" s="3" t="s">
        <v>874</v>
      </c>
      <c r="F29" s="3" t="s">
        <v>874</v>
      </c>
      <c r="G29" s="3" t="s">
        <v>874</v>
      </c>
      <c r="H29" s="3" t="s">
        <v>874</v>
      </c>
      <c r="I29" s="3" t="s">
        <v>874</v>
      </c>
      <c r="J29" s="3" t="s">
        <v>874</v>
      </c>
      <c r="K29" s="3" t="s">
        <v>874</v>
      </c>
      <c r="L29" s="3" t="s">
        <v>874</v>
      </c>
      <c r="M29" s="3" t="s">
        <v>874</v>
      </c>
      <c r="N29" s="3" t="s">
        <v>874</v>
      </c>
      <c r="O29" s="3" t="s">
        <v>874</v>
      </c>
      <c r="P29" s="3" t="s">
        <v>874</v>
      </c>
      <c r="Q29" s="3" t="s">
        <v>874</v>
      </c>
      <c r="R29" s="3" t="s">
        <v>874</v>
      </c>
      <c r="S29" s="3" t="s">
        <v>874</v>
      </c>
      <c r="T29" s="3" t="s">
        <v>874</v>
      </c>
      <c r="U29" s="3" t="s">
        <v>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workbookViewId="0"/>
  </sheetViews>
  <sheetFormatPr baseColWidth="10" defaultColWidth="9.125" defaultRowHeight="14.25"/>
  <cols>
    <col min="1" max="1" width="25" customWidth="1"/>
    <col min="2" max="2" width="27" customWidth="1"/>
    <col min="3" max="4" width="144" customWidth="1"/>
    <col min="5" max="5" width="137" customWidth="1"/>
    <col min="6" max="6" width="144" customWidth="1"/>
    <col min="7" max="7" width="145" customWidth="1"/>
    <col min="8" max="14" width="144" customWidth="1"/>
    <col min="15" max="15" width="143" customWidth="1"/>
    <col min="16" max="16" width="144" customWidth="1"/>
    <col min="17" max="18" width="145" customWidth="1"/>
    <col min="19" max="19" width="144" customWidth="1"/>
    <col min="20" max="20" width="145" customWidth="1"/>
    <col min="21" max="22" width="144" customWidth="1"/>
  </cols>
  <sheetData>
    <row r="1" spans="1:22" ht="15">
      <c r="A1" s="5" t="s">
        <v>775</v>
      </c>
      <c r="B1" s="7" t="s">
        <v>776</v>
      </c>
      <c r="C1" s="7" t="s">
        <v>777</v>
      </c>
      <c r="D1" s="7" t="s">
        <v>778</v>
      </c>
      <c r="E1" s="7" t="s">
        <v>779</v>
      </c>
      <c r="F1" s="7" t="s">
        <v>780</v>
      </c>
      <c r="G1" s="7" t="s">
        <v>781</v>
      </c>
      <c r="H1" s="7" t="s">
        <v>782</v>
      </c>
      <c r="I1" s="7" t="s">
        <v>783</v>
      </c>
      <c r="J1" s="7" t="s">
        <v>784</v>
      </c>
      <c r="K1" s="7" t="s">
        <v>785</v>
      </c>
      <c r="L1" s="7" t="s">
        <v>786</v>
      </c>
      <c r="M1" s="7" t="s">
        <v>787</v>
      </c>
      <c r="N1" s="7" t="s">
        <v>788</v>
      </c>
      <c r="O1" s="7" t="s">
        <v>789</v>
      </c>
      <c r="P1" s="7" t="s">
        <v>790</v>
      </c>
      <c r="Q1" s="7" t="s">
        <v>791</v>
      </c>
      <c r="R1" s="7" t="s">
        <v>792</v>
      </c>
      <c r="S1" s="7" t="s">
        <v>793</v>
      </c>
      <c r="T1" s="7" t="s">
        <v>794</v>
      </c>
      <c r="U1" s="7" t="s">
        <v>795</v>
      </c>
      <c r="V1" s="7" t="s">
        <v>796</v>
      </c>
    </row>
    <row r="2" spans="1:22" ht="15">
      <c r="A2" s="6" t="s">
        <v>797</v>
      </c>
      <c r="B2" s="8" t="s">
        <v>798</v>
      </c>
      <c r="C2" s="8" t="s">
        <v>799</v>
      </c>
      <c r="D2" s="8" t="s">
        <v>800</v>
      </c>
      <c r="E2" s="8" t="s">
        <v>801</v>
      </c>
      <c r="F2" s="8" t="s">
        <v>802</v>
      </c>
      <c r="G2" s="8" t="s">
        <v>803</v>
      </c>
      <c r="H2" s="8" t="s">
        <v>804</v>
      </c>
      <c r="I2" s="8" t="s">
        <v>805</v>
      </c>
      <c r="J2" s="8" t="s">
        <v>806</v>
      </c>
      <c r="K2" s="8" t="s">
        <v>807</v>
      </c>
      <c r="L2" s="8" t="s">
        <v>808</v>
      </c>
      <c r="M2" s="8" t="s">
        <v>809</v>
      </c>
      <c r="N2" s="8" t="s">
        <v>810</v>
      </c>
      <c r="O2" s="8" t="s">
        <v>811</v>
      </c>
      <c r="P2" s="8" t="s">
        <v>812</v>
      </c>
      <c r="Q2" s="8" t="s">
        <v>813</v>
      </c>
      <c r="R2" s="8" t="s">
        <v>814</v>
      </c>
      <c r="S2" s="8" t="s">
        <v>815</v>
      </c>
      <c r="T2" s="8" t="s">
        <v>816</v>
      </c>
      <c r="U2" s="8" t="s">
        <v>817</v>
      </c>
      <c r="V2" s="8" t="s">
        <v>818</v>
      </c>
    </row>
    <row r="3" spans="1:22" ht="15">
      <c r="A3" s="5" t="s">
        <v>819</v>
      </c>
      <c r="B3" s="7"/>
      <c r="C3" s="7" t="s">
        <v>820</v>
      </c>
      <c r="D3" s="7" t="s">
        <v>820</v>
      </c>
      <c r="E3" s="7" t="s">
        <v>820</v>
      </c>
      <c r="F3" s="7" t="s">
        <v>820</v>
      </c>
      <c r="G3" s="7" t="s">
        <v>820</v>
      </c>
      <c r="H3" s="7" t="s">
        <v>820</v>
      </c>
      <c r="I3" s="7" t="s">
        <v>820</v>
      </c>
      <c r="J3" s="7" t="s">
        <v>820</v>
      </c>
      <c r="K3" s="7" t="s">
        <v>820</v>
      </c>
      <c r="L3" s="7" t="s">
        <v>820</v>
      </c>
      <c r="M3" s="7" t="s">
        <v>820</v>
      </c>
      <c r="N3" s="7" t="s">
        <v>820</v>
      </c>
      <c r="O3" s="7" t="s">
        <v>820</v>
      </c>
      <c r="P3" s="7" t="s">
        <v>820</v>
      </c>
      <c r="Q3" s="7" t="s">
        <v>820</v>
      </c>
      <c r="R3" s="7" t="s">
        <v>820</v>
      </c>
      <c r="S3" s="7" t="s">
        <v>820</v>
      </c>
      <c r="T3" s="7" t="s">
        <v>820</v>
      </c>
      <c r="U3" s="7" t="s">
        <v>820</v>
      </c>
      <c r="V3" s="7" t="s">
        <v>820</v>
      </c>
    </row>
    <row r="4" spans="1:22" ht="15">
      <c r="A4" s="6" t="s">
        <v>821</v>
      </c>
      <c r="B4" s="8" t="s">
        <v>776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</row>
    <row r="5" spans="1:22" ht="15">
      <c r="A5" s="5" t="s">
        <v>822</v>
      </c>
      <c r="B5" s="7"/>
      <c r="C5" s="7" t="s">
        <v>823</v>
      </c>
      <c r="D5" s="7" t="s">
        <v>823</v>
      </c>
      <c r="E5" s="7" t="s">
        <v>823</v>
      </c>
      <c r="F5" s="7" t="s">
        <v>823</v>
      </c>
      <c r="G5" s="7" t="s">
        <v>823</v>
      </c>
      <c r="H5" s="7" t="s">
        <v>823</v>
      </c>
      <c r="I5" s="7" t="s">
        <v>823</v>
      </c>
      <c r="J5" s="7" t="s">
        <v>823</v>
      </c>
      <c r="K5" s="7" t="s">
        <v>823</v>
      </c>
      <c r="L5" s="7" t="s">
        <v>823</v>
      </c>
      <c r="M5" s="7" t="s">
        <v>823</v>
      </c>
      <c r="N5" s="7" t="s">
        <v>823</v>
      </c>
      <c r="O5" s="7" t="s">
        <v>823</v>
      </c>
      <c r="P5" s="7" t="s">
        <v>823</v>
      </c>
      <c r="Q5" s="7" t="s">
        <v>823</v>
      </c>
      <c r="R5" s="7" t="s">
        <v>823</v>
      </c>
      <c r="S5" s="7" t="s">
        <v>823</v>
      </c>
      <c r="T5" s="7" t="s">
        <v>823</v>
      </c>
      <c r="U5" s="7" t="s">
        <v>823</v>
      </c>
      <c r="V5" s="7" t="s">
        <v>823</v>
      </c>
    </row>
    <row r="6" spans="1:22" ht="15">
      <c r="A6" s="6" t="s">
        <v>824</v>
      </c>
      <c r="B6" s="8"/>
      <c r="C6" s="8" t="s">
        <v>825</v>
      </c>
      <c r="D6" s="8" t="s">
        <v>825</v>
      </c>
      <c r="E6" s="8" t="s">
        <v>825</v>
      </c>
      <c r="F6" s="8" t="s">
        <v>825</v>
      </c>
      <c r="G6" s="8" t="s">
        <v>825</v>
      </c>
      <c r="H6" s="8" t="s">
        <v>825</v>
      </c>
      <c r="I6" s="8" t="s">
        <v>825</v>
      </c>
      <c r="J6" s="8" t="s">
        <v>825</v>
      </c>
      <c r="K6" s="8" t="s">
        <v>825</v>
      </c>
      <c r="L6" s="8" t="s">
        <v>825</v>
      </c>
      <c r="M6" s="8" t="s">
        <v>825</v>
      </c>
      <c r="N6" s="8" t="s">
        <v>825</v>
      </c>
      <c r="O6" s="8" t="s">
        <v>825</v>
      </c>
      <c r="P6" s="8" t="s">
        <v>825</v>
      </c>
      <c r="Q6" s="8" t="s">
        <v>825</v>
      </c>
      <c r="R6" s="8" t="s">
        <v>825</v>
      </c>
      <c r="S6" s="8" t="s">
        <v>825</v>
      </c>
      <c r="T6" s="8" t="s">
        <v>825</v>
      </c>
      <c r="U6" s="8" t="s">
        <v>825</v>
      </c>
      <c r="V6" s="8" t="s">
        <v>825</v>
      </c>
    </row>
    <row r="7" spans="1:22" ht="15">
      <c r="A7" s="5" t="s">
        <v>826</v>
      </c>
      <c r="B7" s="7"/>
      <c r="C7" s="7" t="s">
        <v>827</v>
      </c>
      <c r="D7" s="7" t="s">
        <v>828</v>
      </c>
      <c r="E7" s="7"/>
      <c r="F7" s="7" t="s">
        <v>829</v>
      </c>
      <c r="G7" s="7" t="s">
        <v>830</v>
      </c>
      <c r="H7" s="7" t="s">
        <v>831</v>
      </c>
      <c r="I7" s="7" t="s">
        <v>832</v>
      </c>
      <c r="J7" s="7" t="s">
        <v>833</v>
      </c>
      <c r="K7" s="7" t="s">
        <v>834</v>
      </c>
      <c r="L7" s="7" t="s">
        <v>835</v>
      </c>
      <c r="M7" s="7" t="s">
        <v>836</v>
      </c>
      <c r="N7" s="7" t="s">
        <v>837</v>
      </c>
      <c r="O7" s="7" t="s">
        <v>838</v>
      </c>
      <c r="P7" s="7" t="s">
        <v>839</v>
      </c>
      <c r="Q7" s="7" t="s">
        <v>840</v>
      </c>
      <c r="R7" s="7" t="s">
        <v>841</v>
      </c>
      <c r="S7" s="7" t="s">
        <v>842</v>
      </c>
      <c r="T7" s="7" t="s">
        <v>843</v>
      </c>
      <c r="U7" s="7" t="s">
        <v>844</v>
      </c>
      <c r="V7" s="7" t="s">
        <v>845</v>
      </c>
    </row>
    <row r="8" spans="1:22" ht="15">
      <c r="A8" s="6" t="s">
        <v>846</v>
      </c>
      <c r="B8" s="8" t="s">
        <v>776</v>
      </c>
      <c r="C8" s="8">
        <v>1</v>
      </c>
      <c r="D8" s="8">
        <v>1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  <c r="M8" s="8">
        <v>1</v>
      </c>
      <c r="N8" s="8">
        <v>1</v>
      </c>
      <c r="O8" s="8">
        <v>1</v>
      </c>
      <c r="P8" s="8">
        <v>1</v>
      </c>
      <c r="Q8" s="8">
        <v>1</v>
      </c>
      <c r="R8" s="8">
        <v>1</v>
      </c>
      <c r="S8" s="8">
        <v>1</v>
      </c>
      <c r="T8" s="8">
        <v>1</v>
      </c>
      <c r="U8" s="8">
        <v>1</v>
      </c>
      <c r="V8" s="8">
        <v>1</v>
      </c>
    </row>
    <row r="9" spans="1:22" ht="15">
      <c r="A9" s="5" t="s">
        <v>847</v>
      </c>
      <c r="B9" s="7"/>
      <c r="C9" s="7" t="s">
        <v>848</v>
      </c>
      <c r="D9" s="7" t="s">
        <v>848</v>
      </c>
      <c r="E9" s="7" t="s">
        <v>848</v>
      </c>
      <c r="F9" s="7" t="s">
        <v>848</v>
      </c>
      <c r="G9" s="7" t="s">
        <v>848</v>
      </c>
      <c r="H9" s="7" t="s">
        <v>848</v>
      </c>
      <c r="I9" s="7" t="s">
        <v>848</v>
      </c>
      <c r="J9" s="7" t="s">
        <v>848</v>
      </c>
      <c r="K9" s="7" t="s">
        <v>848</v>
      </c>
      <c r="L9" s="7" t="s">
        <v>848</v>
      </c>
      <c r="M9" s="7" t="s">
        <v>848</v>
      </c>
      <c r="N9" s="7" t="s">
        <v>848</v>
      </c>
      <c r="O9" s="7" t="s">
        <v>848</v>
      </c>
      <c r="P9" s="7" t="s">
        <v>848</v>
      </c>
      <c r="Q9" s="7" t="s">
        <v>848</v>
      </c>
      <c r="R9" s="7" t="s">
        <v>848</v>
      </c>
      <c r="S9" s="7" t="s">
        <v>848</v>
      </c>
      <c r="T9" s="7" t="s">
        <v>848</v>
      </c>
      <c r="U9" s="7" t="s">
        <v>848</v>
      </c>
      <c r="V9" s="7" t="s">
        <v>848</v>
      </c>
    </row>
    <row r="10" spans="1:22" ht="15">
      <c r="A10" s="6" t="s">
        <v>849</v>
      </c>
      <c r="B10" s="8"/>
      <c r="C10" s="8" t="s">
        <v>850</v>
      </c>
      <c r="D10" s="8" t="s">
        <v>851</v>
      </c>
      <c r="E10" s="8" t="s">
        <v>852</v>
      </c>
      <c r="F10" s="8" t="s">
        <v>853</v>
      </c>
      <c r="G10" s="8" t="s">
        <v>854</v>
      </c>
      <c r="H10" s="8" t="s">
        <v>855</v>
      </c>
      <c r="I10" s="8" t="s">
        <v>856</v>
      </c>
      <c r="J10" s="8" t="s">
        <v>857</v>
      </c>
      <c r="K10" s="8" t="s">
        <v>858</v>
      </c>
      <c r="L10" s="8" t="s">
        <v>859</v>
      </c>
      <c r="M10" s="8" t="s">
        <v>860</v>
      </c>
      <c r="N10" s="8" t="s">
        <v>861</v>
      </c>
      <c r="O10" s="8" t="s">
        <v>862</v>
      </c>
      <c r="P10" s="8" t="s">
        <v>863</v>
      </c>
      <c r="Q10" s="8" t="s">
        <v>864</v>
      </c>
      <c r="R10" s="8" t="s">
        <v>865</v>
      </c>
      <c r="S10" s="8" t="s">
        <v>866</v>
      </c>
      <c r="T10" s="8" t="s">
        <v>867</v>
      </c>
      <c r="U10" s="8" t="s">
        <v>868</v>
      </c>
      <c r="V10" s="8" t="s">
        <v>869</v>
      </c>
    </row>
    <row r="11" spans="1:22" ht="15">
      <c r="A11" s="5" t="s">
        <v>870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"/>
  <sheetViews>
    <sheetView topLeftCell="A7" workbookViewId="0">
      <selection activeCell="F55" sqref="F55"/>
    </sheetView>
  </sheetViews>
  <sheetFormatPr baseColWidth="10" defaultColWidth="9.125" defaultRowHeight="14.25"/>
  <cols>
    <col min="1" max="1" width="49" customWidth="1"/>
    <col min="2" max="2" width="19" customWidth="1"/>
  </cols>
  <sheetData>
    <row r="1" spans="1:2" ht="15">
      <c r="A1" s="9" t="s">
        <v>871</v>
      </c>
      <c r="B1" s="11" t="s">
        <v>872</v>
      </c>
    </row>
    <row r="2" spans="1:2" ht="15">
      <c r="A2" s="10" t="s">
        <v>873</v>
      </c>
      <c r="B2" s="12" t="s">
        <v>874</v>
      </c>
    </row>
    <row r="3" spans="1:2" ht="15">
      <c r="A3" s="9" t="s">
        <v>875</v>
      </c>
      <c r="B3" s="11" t="s">
        <v>876</v>
      </c>
    </row>
    <row r="4" spans="1:2" ht="15">
      <c r="A4" s="10" t="s">
        <v>877</v>
      </c>
      <c r="B4" s="12" t="s">
        <v>878</v>
      </c>
    </row>
    <row r="5" spans="1:2" ht="15">
      <c r="A5" s="9" t="s">
        <v>879</v>
      </c>
      <c r="B5" s="11" t="s">
        <v>878</v>
      </c>
    </row>
    <row r="6" spans="1:2" ht="15">
      <c r="A6" s="10" t="s">
        <v>880</v>
      </c>
      <c r="B6" s="12" t="s">
        <v>878</v>
      </c>
    </row>
    <row r="7" spans="1:2" ht="15">
      <c r="A7" s="9" t="s">
        <v>881</v>
      </c>
      <c r="B7" s="11" t="s">
        <v>882</v>
      </c>
    </row>
    <row r="8" spans="1:2" ht="15">
      <c r="A8" s="10" t="s">
        <v>883</v>
      </c>
      <c r="B8" s="12" t="s">
        <v>884</v>
      </c>
    </row>
    <row r="9" spans="1:2" ht="15">
      <c r="A9" s="9" t="s">
        <v>885</v>
      </c>
      <c r="B9" s="11" t="s">
        <v>886</v>
      </c>
    </row>
    <row r="10" spans="1:2" ht="15">
      <c r="A10" s="10" t="s">
        <v>887</v>
      </c>
      <c r="B10" s="12" t="s">
        <v>888</v>
      </c>
    </row>
    <row r="11" spans="1:2" ht="15">
      <c r="A11" s="9" t="s">
        <v>889</v>
      </c>
      <c r="B11" s="11" t="s">
        <v>874</v>
      </c>
    </row>
    <row r="12" spans="1:2" ht="15">
      <c r="A12" s="10" t="s">
        <v>890</v>
      </c>
      <c r="B12" s="12" t="s">
        <v>891</v>
      </c>
    </row>
    <row r="13" spans="1:2" ht="15">
      <c r="A13" s="9" t="s">
        <v>892</v>
      </c>
      <c r="B13" s="11" t="s">
        <v>893</v>
      </c>
    </row>
    <row r="14" spans="1:2" ht="15">
      <c r="A14" s="10" t="s">
        <v>894</v>
      </c>
      <c r="B14" s="12" t="s">
        <v>895</v>
      </c>
    </row>
    <row r="15" spans="1:2" ht="15">
      <c r="A15" s="9" t="s">
        <v>896</v>
      </c>
      <c r="B15" s="11" t="s">
        <v>874</v>
      </c>
    </row>
    <row r="16" spans="1:2" ht="15">
      <c r="A16" s="10" t="s">
        <v>897</v>
      </c>
      <c r="B16" s="12" t="s">
        <v>898</v>
      </c>
    </row>
    <row r="17" spans="1:2" ht="15">
      <c r="A17" s="9" t="s">
        <v>899</v>
      </c>
      <c r="B17" s="11" t="s">
        <v>900</v>
      </c>
    </row>
    <row r="18" spans="1:2" ht="15">
      <c r="A18" s="10" t="s">
        <v>901</v>
      </c>
      <c r="B18" s="12" t="s">
        <v>902</v>
      </c>
    </row>
    <row r="19" spans="1:2" ht="15">
      <c r="A19" s="9" t="s">
        <v>903</v>
      </c>
      <c r="B19" s="11" t="s">
        <v>904</v>
      </c>
    </row>
    <row r="20" spans="1:2" ht="15">
      <c r="A20" s="10" t="s">
        <v>905</v>
      </c>
      <c r="B20" s="12" t="s">
        <v>906</v>
      </c>
    </row>
    <row r="21" spans="1:2" ht="15">
      <c r="A21" s="9" t="s">
        <v>907</v>
      </c>
      <c r="B21" s="11" t="s">
        <v>893</v>
      </c>
    </row>
    <row r="22" spans="1:2" ht="15">
      <c r="A22" s="10" t="s">
        <v>908</v>
      </c>
      <c r="B22" s="12" t="s">
        <v>893</v>
      </c>
    </row>
    <row r="23" spans="1:2" ht="15">
      <c r="A23" s="9" t="s">
        <v>909</v>
      </c>
      <c r="B23" s="11" t="s">
        <v>874</v>
      </c>
    </row>
    <row r="24" spans="1:2" ht="15">
      <c r="A24" s="10" t="s">
        <v>910</v>
      </c>
      <c r="B24" s="12" t="s">
        <v>893</v>
      </c>
    </row>
    <row r="25" spans="1:2" ht="15">
      <c r="A25" s="9" t="s">
        <v>911</v>
      </c>
      <c r="B25" s="11" t="s">
        <v>893</v>
      </c>
    </row>
    <row r="26" spans="1:2" ht="15">
      <c r="A26" s="10" t="s">
        <v>912</v>
      </c>
      <c r="B26" s="12" t="s">
        <v>913</v>
      </c>
    </row>
    <row r="27" spans="1:2" ht="15">
      <c r="A27" s="9" t="s">
        <v>914</v>
      </c>
      <c r="B27" s="11" t="s">
        <v>915</v>
      </c>
    </row>
    <row r="28" spans="1:2" ht="15">
      <c r="A28" s="10" t="s">
        <v>916</v>
      </c>
      <c r="B28" s="12" t="s">
        <v>893</v>
      </c>
    </row>
    <row r="29" spans="1:2" ht="15">
      <c r="A29" s="9" t="s">
        <v>917</v>
      </c>
      <c r="B29" s="11" t="s">
        <v>913</v>
      </c>
    </row>
    <row r="30" spans="1:2" ht="15">
      <c r="A30" s="10" t="s">
        <v>918</v>
      </c>
      <c r="B30" s="12" t="s">
        <v>874</v>
      </c>
    </row>
    <row r="31" spans="1:2" ht="15">
      <c r="A31" s="9" t="s">
        <v>919</v>
      </c>
      <c r="B31" s="11" t="s">
        <v>104</v>
      </c>
    </row>
    <row r="32" spans="1:2" ht="15">
      <c r="A32" s="10" t="s">
        <v>920</v>
      </c>
      <c r="B32" s="12" t="s">
        <v>874</v>
      </c>
    </row>
    <row r="33" spans="1:2" ht="15">
      <c r="A33" s="9" t="s">
        <v>921</v>
      </c>
      <c r="B33" s="11" t="s">
        <v>922</v>
      </c>
    </row>
    <row r="34" spans="1:2" ht="15">
      <c r="A34" s="10" t="s">
        <v>923</v>
      </c>
      <c r="B34" s="12" t="s">
        <v>924</v>
      </c>
    </row>
    <row r="35" spans="1:2" ht="15">
      <c r="A35" s="9" t="s">
        <v>925</v>
      </c>
      <c r="B35" s="11" t="s">
        <v>926</v>
      </c>
    </row>
    <row r="36" spans="1:2" ht="15">
      <c r="A36" s="10" t="s">
        <v>927</v>
      </c>
      <c r="B36" s="12" t="s">
        <v>874</v>
      </c>
    </row>
    <row r="37" spans="1:2" ht="15">
      <c r="A37" s="9" t="s">
        <v>928</v>
      </c>
      <c r="B37" s="11" t="s">
        <v>874</v>
      </c>
    </row>
    <row r="38" spans="1:2" ht="15">
      <c r="A38" s="10" t="s">
        <v>929</v>
      </c>
      <c r="B38" s="12" t="s">
        <v>874</v>
      </c>
    </row>
    <row r="39" spans="1:2" ht="15">
      <c r="A39" s="9" t="s">
        <v>930</v>
      </c>
      <c r="B39" s="11" t="s">
        <v>104</v>
      </c>
    </row>
    <row r="40" spans="1:2" ht="15">
      <c r="A40" s="10" t="s">
        <v>931</v>
      </c>
      <c r="B40" s="12" t="s">
        <v>932</v>
      </c>
    </row>
    <row r="41" spans="1:2" ht="15">
      <c r="A41" s="9" t="s">
        <v>933</v>
      </c>
      <c r="B41" s="11" t="s">
        <v>874</v>
      </c>
    </row>
    <row r="42" spans="1:2" ht="15">
      <c r="A42" s="10" t="s">
        <v>934</v>
      </c>
      <c r="B42" s="12" t="s">
        <v>935</v>
      </c>
    </row>
    <row r="43" spans="1:2" ht="15">
      <c r="A43" s="9" t="s">
        <v>936</v>
      </c>
      <c r="B43" s="11" t="s">
        <v>874</v>
      </c>
    </row>
    <row r="44" spans="1:2" ht="15">
      <c r="A44" s="10" t="s">
        <v>937</v>
      </c>
      <c r="B44" s="12" t="s">
        <v>104</v>
      </c>
    </row>
    <row r="45" spans="1:2" ht="15">
      <c r="A45" s="9" t="s">
        <v>938</v>
      </c>
      <c r="B45" s="11" t="s">
        <v>922</v>
      </c>
    </row>
    <row r="46" spans="1:2" ht="15">
      <c r="A46" s="10" t="s">
        <v>939</v>
      </c>
      <c r="B46" s="12" t="s">
        <v>924</v>
      </c>
    </row>
    <row r="47" spans="1:2" ht="15">
      <c r="A47" s="9" t="s">
        <v>940</v>
      </c>
      <c r="B47" s="11" t="s">
        <v>926</v>
      </c>
    </row>
    <row r="48" spans="1:2" ht="15">
      <c r="A48" s="10" t="s">
        <v>941</v>
      </c>
      <c r="B48" s="12" t="s">
        <v>874</v>
      </c>
    </row>
    <row r="49" spans="1:2" ht="15">
      <c r="A49" s="9" t="s">
        <v>942</v>
      </c>
      <c r="B49" s="11" t="s">
        <v>874</v>
      </c>
    </row>
    <row r="50" spans="1:2" ht="15">
      <c r="A50" s="10" t="s">
        <v>943</v>
      </c>
      <c r="B50" s="12" t="s">
        <v>944</v>
      </c>
    </row>
    <row r="51" spans="1:2" ht="15">
      <c r="A51" s="9" t="s">
        <v>945</v>
      </c>
      <c r="B51" s="11" t="s">
        <v>874</v>
      </c>
    </row>
    <row r="52" spans="1:2" ht="15">
      <c r="A52" s="10" t="s">
        <v>946</v>
      </c>
      <c r="B52" s="12" t="s">
        <v>104</v>
      </c>
    </row>
    <row r="53" spans="1:2" ht="15">
      <c r="A53" s="9" t="s">
        <v>947</v>
      </c>
      <c r="B53" s="11" t="s">
        <v>948</v>
      </c>
    </row>
    <row r="54" spans="1:2" ht="15">
      <c r="A54" s="10" t="s">
        <v>949</v>
      </c>
      <c r="B54" s="12" t="s">
        <v>950</v>
      </c>
    </row>
    <row r="55" spans="1:2" ht="15">
      <c r="A55" s="9" t="s">
        <v>951</v>
      </c>
      <c r="B55" s="11" t="s">
        <v>935</v>
      </c>
    </row>
    <row r="56" spans="1:2" ht="15">
      <c r="A56" s="10" t="s">
        <v>952</v>
      </c>
      <c r="B56" s="12" t="s">
        <v>874</v>
      </c>
    </row>
    <row r="57" spans="1:2" ht="15">
      <c r="A57" s="9" t="s">
        <v>953</v>
      </c>
      <c r="B57" s="11" t="s">
        <v>954</v>
      </c>
    </row>
    <row r="58" spans="1:2" ht="15">
      <c r="A58" s="10" t="s">
        <v>955</v>
      </c>
      <c r="B58" s="12" t="s">
        <v>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28"/>
  <sheetViews>
    <sheetView workbookViewId="0">
      <selection activeCell="C33" sqref="C33"/>
    </sheetView>
  </sheetViews>
  <sheetFormatPr baseColWidth="10" defaultColWidth="9.125" defaultRowHeight="14.25"/>
  <cols>
    <col min="1" max="1" width="15" customWidth="1"/>
    <col min="2" max="2" width="24" customWidth="1"/>
    <col min="3" max="3" width="11.375" bestFit="1" customWidth="1"/>
    <col min="4" max="6" width="3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9" width="30" customWidth="1"/>
    <col min="30" max="31" width="28" customWidth="1"/>
    <col min="32" max="39" width="30" customWidth="1"/>
    <col min="40" max="40" width="29" customWidth="1"/>
    <col min="41" max="41" width="28" customWidth="1"/>
    <col min="42" max="49" width="25" customWidth="1"/>
    <col min="50" max="51" width="23" customWidth="1"/>
    <col min="52" max="59" width="25" customWidth="1"/>
    <col min="60" max="60" width="24" customWidth="1"/>
    <col min="61" max="61" width="23" customWidth="1"/>
    <col min="62" max="69" width="29" customWidth="1"/>
    <col min="70" max="71" width="27" customWidth="1"/>
    <col min="72" max="79" width="29" customWidth="1"/>
    <col min="80" max="80" width="28" customWidth="1"/>
    <col min="81" max="81" width="27" customWidth="1"/>
    <col min="82" max="89" width="25" customWidth="1"/>
    <col min="90" max="91" width="23" customWidth="1"/>
    <col min="92" max="99" width="25" customWidth="1"/>
    <col min="100" max="100" width="24" customWidth="1"/>
    <col min="101" max="101" width="23" customWidth="1"/>
  </cols>
  <sheetData>
    <row r="1" spans="1:101" ht="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55</v>
      </c>
      <c r="BE1" s="13" t="s">
        <v>56</v>
      </c>
      <c r="BF1" s="13" t="s">
        <v>57</v>
      </c>
      <c r="BG1" s="13" t="s">
        <v>58</v>
      </c>
      <c r="BH1" s="13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3" t="s">
        <v>70</v>
      </c>
      <c r="BT1" s="13" t="s">
        <v>71</v>
      </c>
      <c r="BU1" s="13" t="s">
        <v>72</v>
      </c>
      <c r="BV1" s="13" t="s">
        <v>73</v>
      </c>
      <c r="BW1" s="13" t="s">
        <v>74</v>
      </c>
      <c r="BX1" s="13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13" t="s">
        <v>80</v>
      </c>
      <c r="CD1" s="13" t="s">
        <v>81</v>
      </c>
      <c r="CE1" s="13" t="s">
        <v>82</v>
      </c>
      <c r="CF1" s="13" t="s">
        <v>83</v>
      </c>
      <c r="CG1" s="13" t="s">
        <v>84</v>
      </c>
      <c r="CH1" s="13" t="s">
        <v>85</v>
      </c>
      <c r="CI1" s="13" t="s">
        <v>86</v>
      </c>
      <c r="CJ1" s="13" t="s">
        <v>87</v>
      </c>
      <c r="CK1" s="13" t="s">
        <v>88</v>
      </c>
      <c r="CL1" s="13" t="s">
        <v>89</v>
      </c>
      <c r="CM1" s="13" t="s">
        <v>90</v>
      </c>
      <c r="CN1" s="13" t="s">
        <v>91</v>
      </c>
      <c r="CO1" s="13" t="s">
        <v>92</v>
      </c>
      <c r="CP1" s="13" t="s">
        <v>93</v>
      </c>
      <c r="CQ1" s="13" t="s">
        <v>94</v>
      </c>
      <c r="CR1" s="13" t="s">
        <v>95</v>
      </c>
      <c r="CS1" s="13" t="s">
        <v>96</v>
      </c>
      <c r="CT1" s="13" t="s">
        <v>97</v>
      </c>
      <c r="CU1" s="13" t="s">
        <v>98</v>
      </c>
      <c r="CV1" s="13" t="s">
        <v>99</v>
      </c>
      <c r="CW1" s="13" t="s">
        <v>100</v>
      </c>
    </row>
    <row r="2" spans="1:101">
      <c r="A2">
        <v>31099</v>
      </c>
      <c r="B2" t="s">
        <v>101</v>
      </c>
      <c r="D2" t="s">
        <v>102</v>
      </c>
      <c r="F2" t="s">
        <v>103</v>
      </c>
      <c r="G2">
        <v>3253.6480000000001</v>
      </c>
      <c r="H2" t="s">
        <v>104</v>
      </c>
      <c r="I2">
        <v>2</v>
      </c>
      <c r="J2">
        <v>3</v>
      </c>
      <c r="K2">
        <v>0</v>
      </c>
      <c r="L2">
        <v>0</v>
      </c>
      <c r="M2">
        <v>0</v>
      </c>
      <c r="N2">
        <v>-1</v>
      </c>
      <c r="O2">
        <v>55</v>
      </c>
      <c r="P2">
        <v>55</v>
      </c>
      <c r="Q2">
        <v>63</v>
      </c>
      <c r="R2">
        <v>63</v>
      </c>
      <c r="S2">
        <v>63</v>
      </c>
      <c r="T2">
        <v>63</v>
      </c>
      <c r="U2">
        <v>63</v>
      </c>
      <c r="V2">
        <v>59</v>
      </c>
      <c r="W2">
        <v>63</v>
      </c>
      <c r="X2">
        <v>55</v>
      </c>
      <c r="Y2">
        <v>63</v>
      </c>
      <c r="Z2">
        <v>62</v>
      </c>
      <c r="AA2">
        <v>63</v>
      </c>
      <c r="AB2">
        <v>62</v>
      </c>
      <c r="AC2">
        <v>63</v>
      </c>
      <c r="AD2">
        <v>63</v>
      </c>
      <c r="AE2">
        <v>63</v>
      </c>
      <c r="AF2">
        <v>62</v>
      </c>
      <c r="AG2">
        <v>63</v>
      </c>
      <c r="AH2">
        <v>63</v>
      </c>
      <c r="AI2">
        <v>63</v>
      </c>
      <c r="AJ2">
        <v>63</v>
      </c>
      <c r="AK2">
        <v>63</v>
      </c>
      <c r="AL2">
        <v>62</v>
      </c>
      <c r="AM2">
        <v>63</v>
      </c>
      <c r="AN2">
        <v>63</v>
      </c>
      <c r="AO2">
        <v>62</v>
      </c>
      <c r="AP2">
        <v>503</v>
      </c>
      <c r="AQ2">
        <v>445</v>
      </c>
      <c r="AR2">
        <v>115</v>
      </c>
      <c r="AS2">
        <v>233</v>
      </c>
      <c r="AT2">
        <v>365</v>
      </c>
      <c r="AU2">
        <v>406</v>
      </c>
      <c r="AV2">
        <v>313</v>
      </c>
      <c r="AW2">
        <v>312</v>
      </c>
      <c r="AX2">
        <v>229</v>
      </c>
      <c r="AY2">
        <v>239</v>
      </c>
      <c r="AZ2">
        <v>153</v>
      </c>
      <c r="BA2">
        <v>292</v>
      </c>
      <c r="BB2">
        <v>294</v>
      </c>
      <c r="BC2">
        <v>261</v>
      </c>
      <c r="BD2">
        <v>290</v>
      </c>
      <c r="BE2">
        <v>293</v>
      </c>
      <c r="BF2">
        <v>256</v>
      </c>
      <c r="BG2">
        <v>299</v>
      </c>
      <c r="BH2">
        <v>221</v>
      </c>
      <c r="BI2">
        <v>184</v>
      </c>
      <c r="BJ2">
        <v>3867881472</v>
      </c>
      <c r="BK2">
        <v>7756794368</v>
      </c>
      <c r="BL2">
        <v>297449344</v>
      </c>
      <c r="BM2">
        <v>3554981632</v>
      </c>
      <c r="BN2">
        <v>7226753024</v>
      </c>
      <c r="BO2">
        <v>7504921600</v>
      </c>
      <c r="BP2">
        <v>5926765568</v>
      </c>
      <c r="BQ2">
        <v>6782410752</v>
      </c>
      <c r="BR2">
        <v>3598043648</v>
      </c>
      <c r="BS2">
        <v>3497448960</v>
      </c>
      <c r="BT2">
        <v>1251458944</v>
      </c>
      <c r="BU2">
        <v>6355807744</v>
      </c>
      <c r="BV2">
        <v>5783006720</v>
      </c>
      <c r="BW2">
        <v>5465459200</v>
      </c>
      <c r="BX2">
        <v>5921390592</v>
      </c>
      <c r="BY2">
        <v>5899318784</v>
      </c>
      <c r="BZ2">
        <v>4891280896</v>
      </c>
      <c r="CA2">
        <v>7358483968</v>
      </c>
      <c r="CB2">
        <v>3349822464</v>
      </c>
      <c r="CC2">
        <v>2722606848</v>
      </c>
      <c r="CD2">
        <v>5013380608</v>
      </c>
      <c r="CE2">
        <v>5900277760</v>
      </c>
      <c r="CF2">
        <v>8268679168</v>
      </c>
      <c r="CG2">
        <v>4966910976</v>
      </c>
      <c r="CH2">
        <v>7410031104</v>
      </c>
      <c r="CI2">
        <v>6714483200</v>
      </c>
      <c r="CJ2">
        <v>5973911040</v>
      </c>
      <c r="CK2">
        <v>7996424704</v>
      </c>
      <c r="CL2">
        <v>4480625152</v>
      </c>
      <c r="CM2">
        <v>4379667968</v>
      </c>
      <c r="CN2">
        <v>6268612608</v>
      </c>
      <c r="CO2">
        <v>6629017600</v>
      </c>
      <c r="CP2">
        <v>8474229760</v>
      </c>
      <c r="CQ2">
        <v>4613583872</v>
      </c>
      <c r="CR2">
        <v>8463860736</v>
      </c>
      <c r="CS2">
        <v>6102811648</v>
      </c>
      <c r="CT2">
        <v>6738662400</v>
      </c>
      <c r="CU2">
        <v>7876606976</v>
      </c>
      <c r="CV2">
        <v>5341062144</v>
      </c>
      <c r="CW2">
        <v>5095693312</v>
      </c>
    </row>
    <row r="3" spans="1:101">
      <c r="A3">
        <v>31052</v>
      </c>
      <c r="B3" t="s">
        <v>105</v>
      </c>
      <c r="D3" t="s">
        <v>106</v>
      </c>
      <c r="E3" t="s">
        <v>107</v>
      </c>
      <c r="F3" t="s">
        <v>108</v>
      </c>
      <c r="G3">
        <v>2976.5929999999998</v>
      </c>
      <c r="H3" t="s">
        <v>104</v>
      </c>
      <c r="I3">
        <v>2</v>
      </c>
      <c r="J3">
        <v>20</v>
      </c>
      <c r="K3">
        <v>1</v>
      </c>
      <c r="L3">
        <v>0</v>
      </c>
      <c r="M3">
        <v>0</v>
      </c>
      <c r="N3">
        <v>-1</v>
      </c>
      <c r="O3">
        <v>64</v>
      </c>
      <c r="P3">
        <v>64</v>
      </c>
      <c r="Q3">
        <v>76</v>
      </c>
      <c r="R3">
        <v>76</v>
      </c>
      <c r="S3">
        <v>76</v>
      </c>
      <c r="T3">
        <v>76</v>
      </c>
      <c r="U3">
        <v>76</v>
      </c>
      <c r="V3">
        <v>60</v>
      </c>
      <c r="W3">
        <v>69</v>
      </c>
      <c r="X3">
        <v>55</v>
      </c>
      <c r="Y3">
        <v>74</v>
      </c>
      <c r="Z3">
        <v>73</v>
      </c>
      <c r="AA3">
        <v>72</v>
      </c>
      <c r="AB3">
        <v>73</v>
      </c>
      <c r="AC3">
        <v>70</v>
      </c>
      <c r="AD3">
        <v>76</v>
      </c>
      <c r="AE3">
        <v>76</v>
      </c>
      <c r="AF3">
        <v>74</v>
      </c>
      <c r="AG3">
        <v>75</v>
      </c>
      <c r="AH3">
        <v>75</v>
      </c>
      <c r="AI3">
        <v>76</v>
      </c>
      <c r="AJ3">
        <v>70</v>
      </c>
      <c r="AK3">
        <v>74</v>
      </c>
      <c r="AL3">
        <v>74</v>
      </c>
      <c r="AM3">
        <v>74</v>
      </c>
      <c r="AN3">
        <v>76</v>
      </c>
      <c r="AO3">
        <v>76</v>
      </c>
      <c r="AP3">
        <v>242</v>
      </c>
      <c r="AQ3">
        <v>231</v>
      </c>
      <c r="AR3">
        <v>22</v>
      </c>
      <c r="AS3">
        <v>210</v>
      </c>
      <c r="AT3">
        <v>132</v>
      </c>
      <c r="AU3">
        <v>216</v>
      </c>
      <c r="AV3">
        <v>173</v>
      </c>
      <c r="AW3">
        <v>114</v>
      </c>
      <c r="AX3">
        <v>214</v>
      </c>
      <c r="AY3">
        <v>216</v>
      </c>
      <c r="AZ3">
        <v>103</v>
      </c>
      <c r="BA3">
        <v>162</v>
      </c>
      <c r="BB3">
        <v>105</v>
      </c>
      <c r="BC3">
        <v>232</v>
      </c>
      <c r="BD3">
        <v>107</v>
      </c>
      <c r="BE3">
        <v>186</v>
      </c>
      <c r="BF3">
        <v>122</v>
      </c>
      <c r="BG3">
        <v>127</v>
      </c>
      <c r="BH3">
        <v>184</v>
      </c>
      <c r="BI3">
        <v>168</v>
      </c>
      <c r="BJ3">
        <v>1636583936</v>
      </c>
      <c r="BK3">
        <v>2955387136</v>
      </c>
      <c r="BL3">
        <v>200981376</v>
      </c>
      <c r="BM3">
        <v>2459207936</v>
      </c>
      <c r="BN3">
        <v>1789053696</v>
      </c>
      <c r="BO3">
        <v>3296034560</v>
      </c>
      <c r="BP3">
        <v>2824846848</v>
      </c>
      <c r="BQ3">
        <v>1617680128</v>
      </c>
      <c r="BR3">
        <v>2868861440</v>
      </c>
      <c r="BS3">
        <v>2821844736</v>
      </c>
      <c r="BT3">
        <v>443641152</v>
      </c>
      <c r="BU3">
        <v>2272920320</v>
      </c>
      <c r="BV3">
        <v>1240828288</v>
      </c>
      <c r="BW3">
        <v>4537196544</v>
      </c>
      <c r="BX3">
        <v>1369683328</v>
      </c>
      <c r="BY3">
        <v>2952653824</v>
      </c>
      <c r="BZ3">
        <v>1755225088</v>
      </c>
      <c r="CA3">
        <v>1806418176</v>
      </c>
      <c r="CB3">
        <v>2038192256</v>
      </c>
      <c r="CC3">
        <v>2171952128</v>
      </c>
      <c r="CD3">
        <v>2522045952</v>
      </c>
      <c r="CE3">
        <v>2470503168</v>
      </c>
      <c r="CF3">
        <v>2481586688</v>
      </c>
      <c r="CG3">
        <v>4370152960</v>
      </c>
      <c r="CH3">
        <v>2034030976</v>
      </c>
      <c r="CI3">
        <v>3234258944</v>
      </c>
      <c r="CJ3">
        <v>3436663040</v>
      </c>
      <c r="CK3">
        <v>2230918144</v>
      </c>
      <c r="CL3">
        <v>4523711488</v>
      </c>
      <c r="CM3">
        <v>3991266816</v>
      </c>
      <c r="CN3">
        <v>2427444224</v>
      </c>
      <c r="CO3">
        <v>2761239040</v>
      </c>
      <c r="CP3">
        <v>2109169408</v>
      </c>
      <c r="CQ3">
        <v>4605462528</v>
      </c>
      <c r="CR3">
        <v>2165194752</v>
      </c>
      <c r="CS3">
        <v>3545898752</v>
      </c>
      <c r="CT3">
        <v>2769473792</v>
      </c>
      <c r="CU3">
        <v>2437506048</v>
      </c>
      <c r="CV3">
        <v>4086346240</v>
      </c>
      <c r="CW3">
        <v>5898643456</v>
      </c>
    </row>
    <row r="4" spans="1:101">
      <c r="A4">
        <v>30985</v>
      </c>
      <c r="B4" t="s">
        <v>109</v>
      </c>
      <c r="D4" t="s">
        <v>110</v>
      </c>
      <c r="E4" t="s">
        <v>111</v>
      </c>
      <c r="F4" t="s">
        <v>112</v>
      </c>
      <c r="G4">
        <v>2679.2080000000001</v>
      </c>
      <c r="H4" t="s">
        <v>104</v>
      </c>
      <c r="I4">
        <v>2</v>
      </c>
      <c r="J4">
        <v>3</v>
      </c>
      <c r="K4">
        <v>17</v>
      </c>
      <c r="L4">
        <v>0</v>
      </c>
      <c r="M4">
        <v>0</v>
      </c>
      <c r="N4">
        <v>-1</v>
      </c>
      <c r="O4">
        <v>50</v>
      </c>
      <c r="P4">
        <v>50</v>
      </c>
      <c r="Q4">
        <v>70</v>
      </c>
      <c r="R4">
        <v>70</v>
      </c>
      <c r="S4">
        <v>70</v>
      </c>
      <c r="T4">
        <v>70</v>
      </c>
      <c r="U4">
        <v>70</v>
      </c>
      <c r="V4">
        <v>67</v>
      </c>
      <c r="W4">
        <v>69</v>
      </c>
      <c r="X4">
        <v>62</v>
      </c>
      <c r="Y4">
        <v>70</v>
      </c>
      <c r="Z4">
        <v>69</v>
      </c>
      <c r="AA4">
        <v>70</v>
      </c>
      <c r="AB4">
        <v>70</v>
      </c>
      <c r="AC4">
        <v>70</v>
      </c>
      <c r="AD4">
        <v>70</v>
      </c>
      <c r="AE4">
        <v>70</v>
      </c>
      <c r="AF4">
        <v>70</v>
      </c>
      <c r="AG4">
        <v>70</v>
      </c>
      <c r="AH4">
        <v>70</v>
      </c>
      <c r="AI4">
        <v>69</v>
      </c>
      <c r="AJ4">
        <v>68</v>
      </c>
      <c r="AK4">
        <v>70</v>
      </c>
      <c r="AL4">
        <v>70</v>
      </c>
      <c r="AM4">
        <v>70</v>
      </c>
      <c r="AN4">
        <v>70</v>
      </c>
      <c r="AO4">
        <v>70</v>
      </c>
      <c r="AP4">
        <v>258</v>
      </c>
      <c r="AQ4">
        <v>244</v>
      </c>
      <c r="AR4">
        <v>55</v>
      </c>
      <c r="AS4">
        <v>165</v>
      </c>
      <c r="AT4">
        <v>128</v>
      </c>
      <c r="AU4">
        <v>212</v>
      </c>
      <c r="AV4">
        <v>127</v>
      </c>
      <c r="AW4">
        <v>161</v>
      </c>
      <c r="AX4">
        <v>172</v>
      </c>
      <c r="AY4">
        <v>332</v>
      </c>
      <c r="AZ4">
        <v>142</v>
      </c>
      <c r="BA4">
        <v>214</v>
      </c>
      <c r="BB4">
        <v>175</v>
      </c>
      <c r="BC4">
        <v>156</v>
      </c>
      <c r="BD4">
        <v>110</v>
      </c>
      <c r="BE4">
        <v>190</v>
      </c>
      <c r="BF4">
        <v>111</v>
      </c>
      <c r="BG4">
        <v>148</v>
      </c>
      <c r="BH4">
        <v>162</v>
      </c>
      <c r="BI4">
        <v>273</v>
      </c>
      <c r="BJ4">
        <v>4973792256</v>
      </c>
      <c r="BK4">
        <v>7838917632</v>
      </c>
      <c r="BL4">
        <v>44024340</v>
      </c>
      <c r="BM4">
        <v>2357065728</v>
      </c>
      <c r="BN4">
        <v>2467616256</v>
      </c>
      <c r="BO4">
        <v>5516452864</v>
      </c>
      <c r="BP4">
        <v>2432603648</v>
      </c>
      <c r="BQ4">
        <v>3803087360</v>
      </c>
      <c r="BR4">
        <v>3629181184</v>
      </c>
      <c r="BS4">
        <v>8827361280</v>
      </c>
      <c r="BT4">
        <v>1528061184</v>
      </c>
      <c r="BU4">
        <v>5699619840</v>
      </c>
      <c r="BV4">
        <v>4452158464</v>
      </c>
      <c r="BW4">
        <v>3907031040</v>
      </c>
      <c r="BX4">
        <v>2011925376</v>
      </c>
      <c r="BY4">
        <v>4531474432</v>
      </c>
      <c r="BZ4">
        <v>1890153216</v>
      </c>
      <c r="CA4">
        <v>4206892288</v>
      </c>
      <c r="CB4">
        <v>2986504192</v>
      </c>
      <c r="CC4">
        <v>7479626752</v>
      </c>
      <c r="CD4">
        <v>5032764416</v>
      </c>
      <c r="CE4">
        <v>4259844096</v>
      </c>
      <c r="CF4">
        <v>3356788736</v>
      </c>
      <c r="CG4">
        <v>2981152000</v>
      </c>
      <c r="CH4">
        <v>1881056640</v>
      </c>
      <c r="CI4">
        <v>3785919744</v>
      </c>
      <c r="CJ4">
        <v>1959993344</v>
      </c>
      <c r="CK4">
        <v>3467204096</v>
      </c>
      <c r="CL4">
        <v>3670698752</v>
      </c>
      <c r="CM4">
        <v>8331904512</v>
      </c>
      <c r="CN4">
        <v>6066571776</v>
      </c>
      <c r="CO4">
        <v>4151264256</v>
      </c>
      <c r="CP4">
        <v>4445430272</v>
      </c>
      <c r="CQ4">
        <v>2503513088</v>
      </c>
      <c r="CR4">
        <v>2113483776</v>
      </c>
      <c r="CS4">
        <v>3803616256</v>
      </c>
      <c r="CT4">
        <v>1792435072</v>
      </c>
      <c r="CU4">
        <v>3107623680</v>
      </c>
      <c r="CV4">
        <v>3234703872</v>
      </c>
      <c r="CW4">
        <v>11243319296</v>
      </c>
    </row>
    <row r="5" spans="1:101">
      <c r="A5">
        <v>30922</v>
      </c>
      <c r="B5" t="s">
        <v>113</v>
      </c>
      <c r="D5" t="s">
        <v>114</v>
      </c>
      <c r="E5" t="s">
        <v>115</v>
      </c>
      <c r="F5" t="s">
        <v>116</v>
      </c>
      <c r="G5">
        <v>2287.9079999999999</v>
      </c>
      <c r="H5" t="s">
        <v>104</v>
      </c>
      <c r="I5">
        <v>2</v>
      </c>
      <c r="J5">
        <v>7</v>
      </c>
      <c r="K5">
        <v>9</v>
      </c>
      <c r="L5">
        <v>0</v>
      </c>
      <c r="M5">
        <v>0</v>
      </c>
      <c r="N5">
        <v>-1</v>
      </c>
      <c r="O5">
        <v>38</v>
      </c>
      <c r="P5">
        <v>38</v>
      </c>
      <c r="Q5">
        <v>50</v>
      </c>
      <c r="R5">
        <v>50</v>
      </c>
      <c r="S5">
        <v>50</v>
      </c>
      <c r="T5">
        <v>50</v>
      </c>
      <c r="U5">
        <v>50</v>
      </c>
      <c r="V5">
        <v>41</v>
      </c>
      <c r="W5">
        <v>45</v>
      </c>
      <c r="X5">
        <v>44</v>
      </c>
      <c r="Y5">
        <v>50</v>
      </c>
      <c r="Z5">
        <v>49</v>
      </c>
      <c r="AA5">
        <v>49</v>
      </c>
      <c r="AB5">
        <v>49</v>
      </c>
      <c r="AC5">
        <v>49</v>
      </c>
      <c r="AD5">
        <v>50</v>
      </c>
      <c r="AE5">
        <v>50</v>
      </c>
      <c r="AF5">
        <v>50</v>
      </c>
      <c r="AG5">
        <v>49</v>
      </c>
      <c r="AH5">
        <v>49</v>
      </c>
      <c r="AI5">
        <v>50</v>
      </c>
      <c r="AJ5">
        <v>50</v>
      </c>
      <c r="AK5">
        <v>50</v>
      </c>
      <c r="AL5">
        <v>49</v>
      </c>
      <c r="AM5">
        <v>50</v>
      </c>
      <c r="AN5">
        <v>50</v>
      </c>
      <c r="AO5">
        <v>49</v>
      </c>
      <c r="AP5">
        <v>326</v>
      </c>
      <c r="AQ5">
        <v>283</v>
      </c>
      <c r="AR5">
        <v>143</v>
      </c>
      <c r="AS5">
        <v>366</v>
      </c>
      <c r="AT5">
        <v>249</v>
      </c>
      <c r="AU5">
        <v>346</v>
      </c>
      <c r="AV5">
        <v>347</v>
      </c>
      <c r="AW5">
        <v>245</v>
      </c>
      <c r="AX5">
        <v>330</v>
      </c>
      <c r="AY5">
        <v>327</v>
      </c>
      <c r="AZ5">
        <v>200</v>
      </c>
      <c r="BA5">
        <v>261</v>
      </c>
      <c r="BB5">
        <v>187</v>
      </c>
      <c r="BC5">
        <v>398</v>
      </c>
      <c r="BD5">
        <v>215</v>
      </c>
      <c r="BE5">
        <v>296</v>
      </c>
      <c r="BF5">
        <v>218</v>
      </c>
      <c r="BG5">
        <v>191</v>
      </c>
      <c r="BH5">
        <v>240</v>
      </c>
      <c r="BI5">
        <v>229</v>
      </c>
      <c r="BJ5">
        <v>4038358016</v>
      </c>
      <c r="BK5">
        <v>6648982528</v>
      </c>
      <c r="BL5">
        <v>108487856</v>
      </c>
      <c r="BM5">
        <v>5410932224</v>
      </c>
      <c r="BN5">
        <v>4440069632</v>
      </c>
      <c r="BO5">
        <v>7455619584</v>
      </c>
      <c r="BP5">
        <v>6998557696</v>
      </c>
      <c r="BQ5">
        <v>4195613184</v>
      </c>
      <c r="BR5">
        <v>5742360576</v>
      </c>
      <c r="BS5">
        <v>5498242560</v>
      </c>
      <c r="BT5">
        <v>1270411136</v>
      </c>
      <c r="BU5">
        <v>4986344448</v>
      </c>
      <c r="BV5">
        <v>2833715456</v>
      </c>
      <c r="BW5">
        <v>10581468160</v>
      </c>
      <c r="BX5">
        <v>3375751936</v>
      </c>
      <c r="BY5">
        <v>6984832512</v>
      </c>
      <c r="BZ5">
        <v>4554723840</v>
      </c>
      <c r="CA5">
        <v>4192368896</v>
      </c>
      <c r="CB5">
        <v>4919057408</v>
      </c>
      <c r="CC5">
        <v>4412060160</v>
      </c>
      <c r="CD5">
        <v>3429685504</v>
      </c>
      <c r="CE5">
        <v>3950422272</v>
      </c>
      <c r="CF5">
        <v>5014224896</v>
      </c>
      <c r="CG5">
        <v>6705052160</v>
      </c>
      <c r="CH5">
        <v>3717886976</v>
      </c>
      <c r="CI5">
        <v>5042930176</v>
      </c>
      <c r="CJ5">
        <v>6235761152</v>
      </c>
      <c r="CK5">
        <v>4123692288</v>
      </c>
      <c r="CL5">
        <v>6266421248</v>
      </c>
      <c r="CM5">
        <v>5430196736</v>
      </c>
      <c r="CN5">
        <v>5199313408</v>
      </c>
      <c r="CO5">
        <v>4119903488</v>
      </c>
      <c r="CP5">
        <v>3304758016</v>
      </c>
      <c r="CQ5">
        <v>7354566656</v>
      </c>
      <c r="CR5">
        <v>4156237056</v>
      </c>
      <c r="CS5">
        <v>6231840768</v>
      </c>
      <c r="CT5">
        <v>4908310528</v>
      </c>
      <c r="CU5">
        <v>3863505664</v>
      </c>
      <c r="CV5">
        <v>6022190592</v>
      </c>
      <c r="CW5">
        <v>6835217920</v>
      </c>
    </row>
    <row r="6" spans="1:101">
      <c r="A6">
        <v>31148</v>
      </c>
      <c r="B6" t="s">
        <v>117</v>
      </c>
      <c r="D6" t="s">
        <v>117</v>
      </c>
      <c r="F6" t="s">
        <v>118</v>
      </c>
      <c r="G6">
        <v>2254.69</v>
      </c>
      <c r="H6" t="s">
        <v>104</v>
      </c>
      <c r="I6">
        <v>2</v>
      </c>
      <c r="J6">
        <v>1</v>
      </c>
      <c r="K6">
        <v>0</v>
      </c>
      <c r="L6">
        <v>0</v>
      </c>
      <c r="M6">
        <v>0</v>
      </c>
      <c r="N6">
        <v>-1</v>
      </c>
      <c r="O6">
        <v>53</v>
      </c>
      <c r="P6">
        <v>53</v>
      </c>
      <c r="Q6">
        <v>61</v>
      </c>
      <c r="R6">
        <v>61</v>
      </c>
      <c r="S6">
        <v>61</v>
      </c>
      <c r="T6">
        <v>61</v>
      </c>
      <c r="U6">
        <v>61</v>
      </c>
      <c r="V6">
        <v>50</v>
      </c>
      <c r="W6">
        <v>60</v>
      </c>
      <c r="X6">
        <v>41</v>
      </c>
      <c r="Y6">
        <v>60</v>
      </c>
      <c r="Z6">
        <v>57</v>
      </c>
      <c r="AA6">
        <v>61</v>
      </c>
      <c r="AB6">
        <v>56</v>
      </c>
      <c r="AC6">
        <v>61</v>
      </c>
      <c r="AD6">
        <v>58</v>
      </c>
      <c r="AE6">
        <v>61</v>
      </c>
      <c r="AF6">
        <v>58</v>
      </c>
      <c r="AG6">
        <v>61</v>
      </c>
      <c r="AH6">
        <v>59</v>
      </c>
      <c r="AI6">
        <v>60</v>
      </c>
      <c r="AJ6">
        <v>59</v>
      </c>
      <c r="AK6">
        <v>61</v>
      </c>
      <c r="AL6">
        <v>57</v>
      </c>
      <c r="AM6">
        <v>61</v>
      </c>
      <c r="AN6">
        <v>61</v>
      </c>
      <c r="AO6">
        <v>61</v>
      </c>
      <c r="AP6">
        <v>143</v>
      </c>
      <c r="AQ6">
        <v>170</v>
      </c>
      <c r="AR6">
        <v>13</v>
      </c>
      <c r="AS6">
        <v>97</v>
      </c>
      <c r="AT6">
        <v>64</v>
      </c>
      <c r="AU6">
        <v>135</v>
      </c>
      <c r="AV6">
        <v>63</v>
      </c>
      <c r="AW6">
        <v>122</v>
      </c>
      <c r="AX6">
        <v>90</v>
      </c>
      <c r="AY6">
        <v>145</v>
      </c>
      <c r="AZ6">
        <v>62</v>
      </c>
      <c r="BA6">
        <v>140</v>
      </c>
      <c r="BB6">
        <v>80</v>
      </c>
      <c r="BC6">
        <v>103</v>
      </c>
      <c r="BD6">
        <v>59</v>
      </c>
      <c r="BE6">
        <v>135</v>
      </c>
      <c r="BF6">
        <v>57</v>
      </c>
      <c r="BG6">
        <v>126</v>
      </c>
      <c r="BH6">
        <v>78</v>
      </c>
      <c r="BI6">
        <v>120</v>
      </c>
      <c r="BJ6">
        <v>1258450432</v>
      </c>
      <c r="BK6">
        <v>4023819264</v>
      </c>
      <c r="BL6">
        <v>12090747</v>
      </c>
      <c r="BM6">
        <v>1128080000</v>
      </c>
      <c r="BN6">
        <v>746537280</v>
      </c>
      <c r="BO6">
        <v>2611799552</v>
      </c>
      <c r="BP6">
        <v>687106048</v>
      </c>
      <c r="BQ6">
        <v>2377007104</v>
      </c>
      <c r="BR6">
        <v>891662912</v>
      </c>
      <c r="BS6">
        <v>2354162432</v>
      </c>
      <c r="BT6">
        <v>283382784</v>
      </c>
      <c r="BU6">
        <v>2679485952</v>
      </c>
      <c r="BV6">
        <v>971259904</v>
      </c>
      <c r="BW6">
        <v>1942432128</v>
      </c>
      <c r="BX6">
        <v>595214656</v>
      </c>
      <c r="BY6">
        <v>2370192384</v>
      </c>
      <c r="BZ6">
        <v>597434240</v>
      </c>
      <c r="CA6">
        <v>2527975168</v>
      </c>
      <c r="CB6">
        <v>667660736</v>
      </c>
      <c r="CC6">
        <v>1662050560</v>
      </c>
      <c r="CD6">
        <v>1265352064</v>
      </c>
      <c r="CE6">
        <v>2141550976</v>
      </c>
      <c r="CF6">
        <v>1170804352</v>
      </c>
      <c r="CG6">
        <v>1419737344</v>
      </c>
      <c r="CH6">
        <v>640762304</v>
      </c>
      <c r="CI6">
        <v>1702780160</v>
      </c>
      <c r="CJ6">
        <v>581367168</v>
      </c>
      <c r="CK6">
        <v>2361195520</v>
      </c>
      <c r="CL6">
        <v>1002593920</v>
      </c>
      <c r="CM6">
        <v>2459922688</v>
      </c>
      <c r="CN6">
        <v>1319002880</v>
      </c>
      <c r="CO6">
        <v>2306038272</v>
      </c>
      <c r="CP6">
        <v>1186384896</v>
      </c>
      <c r="CQ6">
        <v>1293359744</v>
      </c>
      <c r="CR6">
        <v>747701504</v>
      </c>
      <c r="CS6">
        <v>2118674816</v>
      </c>
      <c r="CT6">
        <v>696661440</v>
      </c>
      <c r="CU6">
        <v>2304044544</v>
      </c>
      <c r="CV6">
        <v>1053445056</v>
      </c>
      <c r="CW6">
        <v>3002012672</v>
      </c>
    </row>
    <row r="7" spans="1:101">
      <c r="A7">
        <v>31086</v>
      </c>
      <c r="B7" t="s">
        <v>119</v>
      </c>
      <c r="D7" t="s">
        <v>120</v>
      </c>
      <c r="E7" t="s">
        <v>121</v>
      </c>
      <c r="F7" t="s">
        <v>122</v>
      </c>
      <c r="G7">
        <v>2196.877</v>
      </c>
      <c r="H7" t="s">
        <v>104</v>
      </c>
      <c r="I7">
        <v>2</v>
      </c>
      <c r="J7">
        <v>3</v>
      </c>
      <c r="K7">
        <v>7</v>
      </c>
      <c r="L7">
        <v>0</v>
      </c>
      <c r="M7">
        <v>0</v>
      </c>
      <c r="N7">
        <v>-1</v>
      </c>
      <c r="O7">
        <v>52</v>
      </c>
      <c r="P7">
        <v>52</v>
      </c>
      <c r="Q7">
        <v>56</v>
      </c>
      <c r="R7">
        <v>56</v>
      </c>
      <c r="S7">
        <v>56</v>
      </c>
      <c r="T7">
        <v>56</v>
      </c>
      <c r="U7">
        <v>56</v>
      </c>
      <c r="V7">
        <v>54</v>
      </c>
      <c r="W7">
        <v>56</v>
      </c>
      <c r="X7">
        <v>39</v>
      </c>
      <c r="Y7">
        <v>54</v>
      </c>
      <c r="Z7">
        <v>55</v>
      </c>
      <c r="AA7">
        <v>55</v>
      </c>
      <c r="AB7">
        <v>53</v>
      </c>
      <c r="AC7">
        <v>56</v>
      </c>
      <c r="AD7">
        <v>56</v>
      </c>
      <c r="AE7">
        <v>56</v>
      </c>
      <c r="AF7">
        <v>55</v>
      </c>
      <c r="AG7">
        <v>56</v>
      </c>
      <c r="AH7">
        <v>55</v>
      </c>
      <c r="AI7">
        <v>54</v>
      </c>
      <c r="AJ7">
        <v>56</v>
      </c>
      <c r="AK7">
        <v>56</v>
      </c>
      <c r="AL7">
        <v>53</v>
      </c>
      <c r="AM7">
        <v>56</v>
      </c>
      <c r="AN7">
        <v>56</v>
      </c>
      <c r="AO7">
        <v>56</v>
      </c>
      <c r="AP7">
        <v>125</v>
      </c>
      <c r="AQ7">
        <v>89</v>
      </c>
      <c r="AR7">
        <v>5</v>
      </c>
      <c r="AS7">
        <v>46</v>
      </c>
      <c r="AT7">
        <v>82</v>
      </c>
      <c r="AU7">
        <v>71</v>
      </c>
      <c r="AV7">
        <v>61</v>
      </c>
      <c r="AW7">
        <v>82</v>
      </c>
      <c r="AX7">
        <v>84</v>
      </c>
      <c r="AY7">
        <v>101</v>
      </c>
      <c r="AZ7">
        <v>54</v>
      </c>
      <c r="BA7">
        <v>82</v>
      </c>
      <c r="BB7">
        <v>57</v>
      </c>
      <c r="BC7">
        <v>64</v>
      </c>
      <c r="BD7">
        <v>80</v>
      </c>
      <c r="BE7">
        <v>62</v>
      </c>
      <c r="BF7">
        <v>59</v>
      </c>
      <c r="BG7">
        <v>87</v>
      </c>
      <c r="BH7">
        <v>86</v>
      </c>
      <c r="BI7">
        <v>74</v>
      </c>
      <c r="BJ7">
        <v>1196130048</v>
      </c>
      <c r="BK7">
        <v>1504612992</v>
      </c>
      <c r="BL7">
        <v>5871350.5</v>
      </c>
      <c r="BM7">
        <v>489780640</v>
      </c>
      <c r="BN7">
        <v>1455166720</v>
      </c>
      <c r="BO7">
        <v>752661504</v>
      </c>
      <c r="BP7">
        <v>923388480</v>
      </c>
      <c r="BQ7">
        <v>1315982720</v>
      </c>
      <c r="BR7">
        <v>972022592</v>
      </c>
      <c r="BS7">
        <v>861259328</v>
      </c>
      <c r="BT7">
        <v>286537536</v>
      </c>
      <c r="BU7">
        <v>1214601856</v>
      </c>
      <c r="BV7">
        <v>931551296</v>
      </c>
      <c r="BW7">
        <v>864907520</v>
      </c>
      <c r="BX7">
        <v>1203443072</v>
      </c>
      <c r="BY7">
        <v>668440384</v>
      </c>
      <c r="BZ7">
        <v>887730816</v>
      </c>
      <c r="CA7">
        <v>1567938432</v>
      </c>
      <c r="CB7">
        <v>909533056</v>
      </c>
      <c r="CC7">
        <v>702169408</v>
      </c>
      <c r="CD7">
        <v>1378062208</v>
      </c>
      <c r="CE7">
        <v>931754944</v>
      </c>
      <c r="CF7">
        <v>437835360</v>
      </c>
      <c r="CG7">
        <v>364838432</v>
      </c>
      <c r="CH7">
        <v>1122224384</v>
      </c>
      <c r="CI7">
        <v>520908256</v>
      </c>
      <c r="CJ7">
        <v>525719296</v>
      </c>
      <c r="CK7">
        <v>1194523520</v>
      </c>
      <c r="CL7">
        <v>1185205376</v>
      </c>
      <c r="CM7">
        <v>1049312128</v>
      </c>
      <c r="CN7">
        <v>1245730816</v>
      </c>
      <c r="CO7">
        <v>929838272</v>
      </c>
      <c r="CP7">
        <v>593030976</v>
      </c>
      <c r="CQ7">
        <v>400885920</v>
      </c>
      <c r="CR7">
        <v>1148539776</v>
      </c>
      <c r="CS7">
        <v>526549632</v>
      </c>
      <c r="CT7">
        <v>525843264</v>
      </c>
      <c r="CU7">
        <v>1251450752</v>
      </c>
      <c r="CV7">
        <v>1215494784</v>
      </c>
      <c r="CW7">
        <v>1356155776</v>
      </c>
    </row>
    <row r="8" spans="1:101">
      <c r="A8">
        <v>31067</v>
      </c>
      <c r="B8" t="s">
        <v>123</v>
      </c>
      <c r="D8" t="s">
        <v>124</v>
      </c>
      <c r="F8" t="s">
        <v>125</v>
      </c>
      <c r="G8">
        <v>2085.5309999999999</v>
      </c>
      <c r="H8" t="s">
        <v>104</v>
      </c>
      <c r="I8">
        <v>2</v>
      </c>
      <c r="J8">
        <v>3</v>
      </c>
      <c r="K8">
        <v>0</v>
      </c>
      <c r="L8">
        <v>0</v>
      </c>
      <c r="M8">
        <v>0</v>
      </c>
      <c r="N8">
        <v>-1</v>
      </c>
      <c r="O8">
        <v>35</v>
      </c>
      <c r="P8">
        <v>35</v>
      </c>
      <c r="Q8">
        <v>53</v>
      </c>
      <c r="R8">
        <v>53</v>
      </c>
      <c r="S8">
        <v>53</v>
      </c>
      <c r="T8">
        <v>53</v>
      </c>
      <c r="U8">
        <v>53</v>
      </c>
      <c r="V8">
        <v>45</v>
      </c>
      <c r="W8">
        <v>53</v>
      </c>
      <c r="X8">
        <v>43</v>
      </c>
      <c r="Y8">
        <v>53</v>
      </c>
      <c r="Z8">
        <v>53</v>
      </c>
      <c r="AA8">
        <v>52</v>
      </c>
      <c r="AB8">
        <v>51</v>
      </c>
      <c r="AC8">
        <v>53</v>
      </c>
      <c r="AD8">
        <v>48</v>
      </c>
      <c r="AE8">
        <v>53</v>
      </c>
      <c r="AF8">
        <v>51</v>
      </c>
      <c r="AG8">
        <v>53</v>
      </c>
      <c r="AH8">
        <v>49</v>
      </c>
      <c r="AI8">
        <v>52</v>
      </c>
      <c r="AJ8">
        <v>50</v>
      </c>
      <c r="AK8">
        <v>53</v>
      </c>
      <c r="AL8">
        <v>51</v>
      </c>
      <c r="AM8">
        <v>53</v>
      </c>
      <c r="AN8">
        <v>52</v>
      </c>
      <c r="AO8">
        <v>51</v>
      </c>
      <c r="AP8">
        <v>107</v>
      </c>
      <c r="AQ8">
        <v>154</v>
      </c>
      <c r="AR8">
        <v>17</v>
      </c>
      <c r="AS8">
        <v>81</v>
      </c>
      <c r="AT8">
        <v>66</v>
      </c>
      <c r="AU8">
        <v>138</v>
      </c>
      <c r="AV8">
        <v>44</v>
      </c>
      <c r="AW8">
        <v>125</v>
      </c>
      <c r="AX8">
        <v>51</v>
      </c>
      <c r="AY8">
        <v>94</v>
      </c>
      <c r="AZ8">
        <v>57</v>
      </c>
      <c r="BA8">
        <v>141</v>
      </c>
      <c r="BB8">
        <v>66</v>
      </c>
      <c r="BC8">
        <v>89</v>
      </c>
      <c r="BD8">
        <v>52</v>
      </c>
      <c r="BE8">
        <v>115</v>
      </c>
      <c r="BF8">
        <v>50</v>
      </c>
      <c r="BG8">
        <v>129</v>
      </c>
      <c r="BH8">
        <v>47</v>
      </c>
      <c r="BI8">
        <v>84</v>
      </c>
      <c r="BJ8">
        <v>796782272</v>
      </c>
      <c r="BK8">
        <v>2421658624</v>
      </c>
      <c r="BL8">
        <v>13723308</v>
      </c>
      <c r="BM8">
        <v>690843712</v>
      </c>
      <c r="BN8">
        <v>557877952</v>
      </c>
      <c r="BO8">
        <v>1663772288</v>
      </c>
      <c r="BP8">
        <v>379964128</v>
      </c>
      <c r="BQ8">
        <v>1453744640</v>
      </c>
      <c r="BR8">
        <v>349144512</v>
      </c>
      <c r="BS8">
        <v>958453440</v>
      </c>
      <c r="BT8">
        <v>198021648</v>
      </c>
      <c r="BU8">
        <v>1765585536</v>
      </c>
      <c r="BV8">
        <v>636396864</v>
      </c>
      <c r="BW8">
        <v>1191844608</v>
      </c>
      <c r="BX8">
        <v>435543648</v>
      </c>
      <c r="BY8">
        <v>1385160448</v>
      </c>
      <c r="BZ8">
        <v>336172960</v>
      </c>
      <c r="CA8">
        <v>1642706048</v>
      </c>
      <c r="CB8">
        <v>278643008</v>
      </c>
      <c r="CC8">
        <v>710181504</v>
      </c>
      <c r="CD8">
        <v>836292032</v>
      </c>
      <c r="CE8">
        <v>1383574912</v>
      </c>
      <c r="CF8">
        <v>1279115264</v>
      </c>
      <c r="CG8">
        <v>866850112</v>
      </c>
      <c r="CH8">
        <v>502771680</v>
      </c>
      <c r="CI8">
        <v>1234200576</v>
      </c>
      <c r="CJ8">
        <v>332872800</v>
      </c>
      <c r="CK8">
        <v>1532793088</v>
      </c>
      <c r="CL8">
        <v>402110208</v>
      </c>
      <c r="CM8">
        <v>896739584</v>
      </c>
      <c r="CN8">
        <v>976082880</v>
      </c>
      <c r="CO8">
        <v>1457099648</v>
      </c>
      <c r="CP8">
        <v>718407872</v>
      </c>
      <c r="CQ8">
        <v>803385600</v>
      </c>
      <c r="CR8">
        <v>517361248</v>
      </c>
      <c r="CS8">
        <v>1223180672</v>
      </c>
      <c r="CT8">
        <v>409294336</v>
      </c>
      <c r="CU8">
        <v>1436340736</v>
      </c>
      <c r="CV8">
        <v>428962688</v>
      </c>
      <c r="CW8">
        <v>1168915200</v>
      </c>
    </row>
    <row r="9" spans="1:101">
      <c r="A9">
        <v>31029</v>
      </c>
      <c r="B9" t="s">
        <v>126</v>
      </c>
      <c r="D9" t="s">
        <v>127</v>
      </c>
      <c r="E9" t="s">
        <v>128</v>
      </c>
      <c r="F9" t="s">
        <v>129</v>
      </c>
      <c r="G9">
        <v>1999.5219999999999</v>
      </c>
      <c r="H9" t="s">
        <v>104</v>
      </c>
      <c r="I9">
        <v>2</v>
      </c>
      <c r="J9">
        <v>13</v>
      </c>
      <c r="K9">
        <v>8</v>
      </c>
      <c r="L9">
        <v>0</v>
      </c>
      <c r="M9">
        <v>0</v>
      </c>
      <c r="N9">
        <v>-1</v>
      </c>
      <c r="O9">
        <v>46</v>
      </c>
      <c r="P9">
        <v>46</v>
      </c>
      <c r="Q9">
        <v>49</v>
      </c>
      <c r="R9">
        <v>49</v>
      </c>
      <c r="S9">
        <v>49</v>
      </c>
      <c r="T9">
        <v>49</v>
      </c>
      <c r="U9">
        <v>49</v>
      </c>
      <c r="V9">
        <v>48</v>
      </c>
      <c r="W9">
        <v>49</v>
      </c>
      <c r="X9">
        <v>34</v>
      </c>
      <c r="Y9">
        <v>49</v>
      </c>
      <c r="Z9">
        <v>49</v>
      </c>
      <c r="AA9">
        <v>49</v>
      </c>
      <c r="AB9">
        <v>49</v>
      </c>
      <c r="AC9">
        <v>48</v>
      </c>
      <c r="AD9">
        <v>49</v>
      </c>
      <c r="AE9">
        <v>49</v>
      </c>
      <c r="AF9">
        <v>48</v>
      </c>
      <c r="AG9">
        <v>49</v>
      </c>
      <c r="AH9">
        <v>49</v>
      </c>
      <c r="AI9">
        <v>49</v>
      </c>
      <c r="AJ9">
        <v>48</v>
      </c>
      <c r="AK9">
        <v>49</v>
      </c>
      <c r="AL9">
        <v>48</v>
      </c>
      <c r="AM9">
        <v>47</v>
      </c>
      <c r="AN9">
        <v>49</v>
      </c>
      <c r="AO9">
        <v>49</v>
      </c>
      <c r="AP9">
        <v>93</v>
      </c>
      <c r="AQ9">
        <v>93</v>
      </c>
      <c r="AR9">
        <v>5</v>
      </c>
      <c r="AS9">
        <v>60</v>
      </c>
      <c r="AT9">
        <v>59</v>
      </c>
      <c r="AU9">
        <v>85</v>
      </c>
      <c r="AV9">
        <v>54</v>
      </c>
      <c r="AW9">
        <v>52</v>
      </c>
      <c r="AX9">
        <v>46</v>
      </c>
      <c r="AY9">
        <v>49</v>
      </c>
      <c r="AZ9">
        <v>40</v>
      </c>
      <c r="BA9">
        <v>77</v>
      </c>
      <c r="BB9">
        <v>48</v>
      </c>
      <c r="BC9">
        <v>72</v>
      </c>
      <c r="BD9">
        <v>47</v>
      </c>
      <c r="BE9">
        <v>79</v>
      </c>
      <c r="BF9">
        <v>45</v>
      </c>
      <c r="BG9">
        <v>53</v>
      </c>
      <c r="BH9">
        <v>43</v>
      </c>
      <c r="BI9">
        <v>41</v>
      </c>
      <c r="BJ9">
        <v>467768672</v>
      </c>
      <c r="BK9">
        <v>859238784</v>
      </c>
      <c r="BL9">
        <v>7373018</v>
      </c>
      <c r="BM9">
        <v>287843264</v>
      </c>
      <c r="BN9">
        <v>389337952</v>
      </c>
      <c r="BO9">
        <v>745509376</v>
      </c>
      <c r="BP9">
        <v>330390848</v>
      </c>
      <c r="BQ9">
        <v>355698240</v>
      </c>
      <c r="BR9">
        <v>173613808</v>
      </c>
      <c r="BS9">
        <v>177749088</v>
      </c>
      <c r="BT9">
        <v>91960880</v>
      </c>
      <c r="BU9">
        <v>693718080</v>
      </c>
      <c r="BV9">
        <v>296254912</v>
      </c>
      <c r="BW9">
        <v>573411712</v>
      </c>
      <c r="BX9">
        <v>282769056</v>
      </c>
      <c r="BY9">
        <v>658722880</v>
      </c>
      <c r="BZ9">
        <v>221458032</v>
      </c>
      <c r="CA9">
        <v>394743040</v>
      </c>
      <c r="CB9">
        <v>159322784</v>
      </c>
      <c r="CC9">
        <v>154293760</v>
      </c>
      <c r="CD9">
        <v>572236928</v>
      </c>
      <c r="CE9">
        <v>572140736</v>
      </c>
      <c r="CF9">
        <v>279482304</v>
      </c>
      <c r="CG9">
        <v>405844704</v>
      </c>
      <c r="CH9">
        <v>349248288</v>
      </c>
      <c r="CI9">
        <v>564759168</v>
      </c>
      <c r="CJ9">
        <v>291537760</v>
      </c>
      <c r="CK9">
        <v>365639040</v>
      </c>
      <c r="CL9">
        <v>207595840</v>
      </c>
      <c r="CM9">
        <v>184768544</v>
      </c>
      <c r="CN9">
        <v>402006496</v>
      </c>
      <c r="CO9">
        <v>583070400</v>
      </c>
      <c r="CP9">
        <v>356230432</v>
      </c>
      <c r="CQ9">
        <v>404646784</v>
      </c>
      <c r="CR9">
        <v>324186272</v>
      </c>
      <c r="CS9">
        <v>588436800</v>
      </c>
      <c r="CT9">
        <v>248111056</v>
      </c>
      <c r="CU9">
        <v>342744544</v>
      </c>
      <c r="CV9">
        <v>222725424</v>
      </c>
      <c r="CW9">
        <v>256331584</v>
      </c>
    </row>
    <row r="10" spans="1:101">
      <c r="A10">
        <v>31054</v>
      </c>
      <c r="B10" t="s">
        <v>130</v>
      </c>
      <c r="D10" t="s">
        <v>131</v>
      </c>
      <c r="F10" t="s">
        <v>132</v>
      </c>
      <c r="G10">
        <v>1906.453</v>
      </c>
      <c r="H10" t="s">
        <v>104</v>
      </c>
      <c r="I10">
        <v>2</v>
      </c>
      <c r="J10">
        <v>20</v>
      </c>
      <c r="K10">
        <v>0</v>
      </c>
      <c r="L10">
        <v>0</v>
      </c>
      <c r="M10">
        <v>0</v>
      </c>
      <c r="N10">
        <v>-1</v>
      </c>
      <c r="O10">
        <v>29</v>
      </c>
      <c r="P10">
        <v>29</v>
      </c>
      <c r="Q10">
        <v>36</v>
      </c>
      <c r="R10">
        <v>36</v>
      </c>
      <c r="S10">
        <v>36</v>
      </c>
      <c r="T10">
        <v>36</v>
      </c>
      <c r="U10">
        <v>36</v>
      </c>
      <c r="V10">
        <v>31</v>
      </c>
      <c r="W10">
        <v>35</v>
      </c>
      <c r="X10">
        <v>34</v>
      </c>
      <c r="Y10">
        <v>36</v>
      </c>
      <c r="Z10">
        <v>36</v>
      </c>
      <c r="AA10">
        <v>36</v>
      </c>
      <c r="AB10">
        <v>36</v>
      </c>
      <c r="AC10">
        <v>35</v>
      </c>
      <c r="AD10">
        <v>36</v>
      </c>
      <c r="AE10">
        <v>36</v>
      </c>
      <c r="AF10">
        <v>36</v>
      </c>
      <c r="AG10">
        <v>36</v>
      </c>
      <c r="AH10">
        <v>36</v>
      </c>
      <c r="AI10">
        <v>29</v>
      </c>
      <c r="AJ10">
        <v>33</v>
      </c>
      <c r="AK10">
        <v>36</v>
      </c>
      <c r="AL10">
        <v>31</v>
      </c>
      <c r="AM10">
        <v>31</v>
      </c>
      <c r="AN10">
        <v>36</v>
      </c>
      <c r="AO10">
        <v>36</v>
      </c>
      <c r="AP10">
        <v>370</v>
      </c>
      <c r="AQ10">
        <v>375</v>
      </c>
      <c r="AR10">
        <v>128</v>
      </c>
      <c r="AS10">
        <v>238</v>
      </c>
      <c r="AT10">
        <v>303</v>
      </c>
      <c r="AU10">
        <v>333</v>
      </c>
      <c r="AV10">
        <v>278</v>
      </c>
      <c r="AW10">
        <v>274</v>
      </c>
      <c r="AX10">
        <v>233</v>
      </c>
      <c r="AY10">
        <v>240</v>
      </c>
      <c r="AZ10">
        <v>192</v>
      </c>
      <c r="BA10">
        <v>279</v>
      </c>
      <c r="BB10">
        <v>273</v>
      </c>
      <c r="BC10">
        <v>245</v>
      </c>
      <c r="BD10">
        <v>273</v>
      </c>
      <c r="BE10">
        <v>273</v>
      </c>
      <c r="BF10">
        <v>256</v>
      </c>
      <c r="BG10">
        <v>277</v>
      </c>
      <c r="BH10">
        <v>220</v>
      </c>
      <c r="BI10">
        <v>216</v>
      </c>
      <c r="BJ10">
        <v>4816078848</v>
      </c>
      <c r="BK10">
        <v>8602770432</v>
      </c>
      <c r="BL10">
        <v>101730624</v>
      </c>
      <c r="BM10">
        <v>3461866496</v>
      </c>
      <c r="BN10">
        <v>7608628736</v>
      </c>
      <c r="BO10">
        <v>7772646400</v>
      </c>
      <c r="BP10">
        <v>6406312448</v>
      </c>
      <c r="BQ10">
        <v>7216708096</v>
      </c>
      <c r="BR10">
        <v>3693026816</v>
      </c>
      <c r="BS10">
        <v>3696423936</v>
      </c>
      <c r="BT10">
        <v>1215414016</v>
      </c>
      <c r="BU10">
        <v>6377525248</v>
      </c>
      <c r="BV10">
        <v>6252787200</v>
      </c>
      <c r="BW10">
        <v>6503911936</v>
      </c>
      <c r="BX10">
        <v>6833231360</v>
      </c>
      <c r="BY10">
        <v>5684747264</v>
      </c>
      <c r="BZ10">
        <v>5716696064</v>
      </c>
      <c r="CA10">
        <v>7286065664</v>
      </c>
      <c r="CB10">
        <v>3171809536</v>
      </c>
      <c r="CC10">
        <v>2591538432</v>
      </c>
      <c r="CD10">
        <v>4171477504</v>
      </c>
      <c r="CE10">
        <v>5214381568</v>
      </c>
      <c r="CF10">
        <v>6605015040</v>
      </c>
      <c r="CG10">
        <v>4440420864</v>
      </c>
      <c r="CH10">
        <v>7037443584</v>
      </c>
      <c r="CI10">
        <v>6092392960</v>
      </c>
      <c r="CJ10">
        <v>5853123072</v>
      </c>
      <c r="CK10">
        <v>7469434368</v>
      </c>
      <c r="CL10">
        <v>4535737344</v>
      </c>
      <c r="CM10">
        <v>4167594240</v>
      </c>
      <c r="CN10">
        <v>6254115328</v>
      </c>
      <c r="CO10">
        <v>6347582976</v>
      </c>
      <c r="CP10">
        <v>8820758528</v>
      </c>
      <c r="CQ10">
        <v>4548597760</v>
      </c>
      <c r="CR10">
        <v>8445054464</v>
      </c>
      <c r="CS10">
        <v>5915294720</v>
      </c>
      <c r="CT10">
        <v>6435917312</v>
      </c>
      <c r="CU10">
        <v>7266936320</v>
      </c>
      <c r="CV10">
        <v>4842379264</v>
      </c>
      <c r="CW10">
        <v>5571273728</v>
      </c>
    </row>
    <row r="11" spans="1:101">
      <c r="A11">
        <v>30925</v>
      </c>
      <c r="B11" t="s">
        <v>133</v>
      </c>
      <c r="D11" t="s">
        <v>134</v>
      </c>
      <c r="E11" t="s">
        <v>135</v>
      </c>
      <c r="F11" t="s">
        <v>136</v>
      </c>
      <c r="G11">
        <v>1815.2670000000001</v>
      </c>
      <c r="H11" t="s">
        <v>104</v>
      </c>
      <c r="I11">
        <v>2</v>
      </c>
      <c r="J11">
        <v>5</v>
      </c>
      <c r="K11">
        <v>16</v>
      </c>
      <c r="L11">
        <v>0</v>
      </c>
      <c r="M11">
        <v>0</v>
      </c>
      <c r="N11">
        <v>-1</v>
      </c>
      <c r="O11">
        <v>46</v>
      </c>
      <c r="P11">
        <v>46</v>
      </c>
      <c r="Q11">
        <v>47</v>
      </c>
      <c r="R11">
        <v>47</v>
      </c>
      <c r="S11">
        <v>47</v>
      </c>
      <c r="T11">
        <v>47</v>
      </c>
      <c r="U11">
        <v>47</v>
      </c>
      <c r="V11">
        <v>46</v>
      </c>
      <c r="W11">
        <v>47</v>
      </c>
      <c r="X11">
        <v>26</v>
      </c>
      <c r="Y11">
        <v>47</v>
      </c>
      <c r="Z11">
        <v>47</v>
      </c>
      <c r="AA11">
        <v>47</v>
      </c>
      <c r="AB11">
        <v>47</v>
      </c>
      <c r="AC11">
        <v>47</v>
      </c>
      <c r="AD11">
        <v>47</v>
      </c>
      <c r="AE11">
        <v>47</v>
      </c>
      <c r="AF11">
        <v>47</v>
      </c>
      <c r="AG11">
        <v>47</v>
      </c>
      <c r="AH11">
        <v>47</v>
      </c>
      <c r="AI11">
        <v>47</v>
      </c>
      <c r="AJ11">
        <v>47</v>
      </c>
      <c r="AK11">
        <v>47</v>
      </c>
      <c r="AL11">
        <v>47</v>
      </c>
      <c r="AM11">
        <v>47</v>
      </c>
      <c r="AN11">
        <v>47</v>
      </c>
      <c r="AO11">
        <v>47</v>
      </c>
      <c r="AP11">
        <v>64</v>
      </c>
      <c r="AQ11">
        <v>68</v>
      </c>
      <c r="AR11">
        <v>2</v>
      </c>
      <c r="AS11">
        <v>28</v>
      </c>
      <c r="AT11">
        <v>63</v>
      </c>
      <c r="AU11">
        <v>45</v>
      </c>
      <c r="AV11">
        <v>34</v>
      </c>
      <c r="AW11">
        <v>62</v>
      </c>
      <c r="AX11">
        <v>74</v>
      </c>
      <c r="AY11">
        <v>79</v>
      </c>
      <c r="AZ11">
        <v>38</v>
      </c>
      <c r="BA11">
        <v>60</v>
      </c>
      <c r="BB11">
        <v>33</v>
      </c>
      <c r="BC11">
        <v>40</v>
      </c>
      <c r="BD11">
        <v>55</v>
      </c>
      <c r="BE11">
        <v>42</v>
      </c>
      <c r="BF11">
        <v>39</v>
      </c>
      <c r="BG11">
        <v>62</v>
      </c>
      <c r="BH11">
        <v>60</v>
      </c>
      <c r="BI11">
        <v>65</v>
      </c>
      <c r="BJ11">
        <v>188768608</v>
      </c>
      <c r="BK11">
        <v>307875744</v>
      </c>
      <c r="BL11">
        <v>5569511.5</v>
      </c>
      <c r="BM11">
        <v>70957136</v>
      </c>
      <c r="BN11">
        <v>276846432</v>
      </c>
      <c r="BO11">
        <v>146519456</v>
      </c>
      <c r="BP11">
        <v>94229616</v>
      </c>
      <c r="BQ11">
        <v>248148544</v>
      </c>
      <c r="BR11">
        <v>238842112</v>
      </c>
      <c r="BS11">
        <v>258352528</v>
      </c>
      <c r="BT11">
        <v>63183188</v>
      </c>
      <c r="BU11">
        <v>252488288</v>
      </c>
      <c r="BV11">
        <v>79258888</v>
      </c>
      <c r="BW11">
        <v>121788328</v>
      </c>
      <c r="BX11">
        <v>198882912</v>
      </c>
      <c r="BY11">
        <v>124713984</v>
      </c>
      <c r="BZ11">
        <v>87381624</v>
      </c>
      <c r="CA11">
        <v>282374528</v>
      </c>
      <c r="CB11">
        <v>194930896</v>
      </c>
      <c r="CC11">
        <v>199826992</v>
      </c>
      <c r="CD11">
        <v>246376000</v>
      </c>
      <c r="CE11">
        <v>210378640</v>
      </c>
      <c r="CF11">
        <v>111050808</v>
      </c>
      <c r="CG11">
        <v>85732688</v>
      </c>
      <c r="CH11">
        <v>258804864</v>
      </c>
      <c r="CI11">
        <v>117396816</v>
      </c>
      <c r="CJ11">
        <v>89570064</v>
      </c>
      <c r="CK11">
        <v>263958032</v>
      </c>
      <c r="CL11">
        <v>299729056</v>
      </c>
      <c r="CM11">
        <v>280509056</v>
      </c>
      <c r="CN11">
        <v>288629184</v>
      </c>
      <c r="CO11">
        <v>223805680</v>
      </c>
      <c r="CP11">
        <v>105511288</v>
      </c>
      <c r="CQ11">
        <v>86401024</v>
      </c>
      <c r="CR11">
        <v>247019216</v>
      </c>
      <c r="CS11">
        <v>120148656</v>
      </c>
      <c r="CT11">
        <v>110834440</v>
      </c>
      <c r="CU11">
        <v>270079392</v>
      </c>
      <c r="CV11">
        <v>289030208</v>
      </c>
      <c r="CW11">
        <v>356674688</v>
      </c>
    </row>
    <row r="12" spans="1:101">
      <c r="A12">
        <v>31021</v>
      </c>
      <c r="B12" t="s">
        <v>137</v>
      </c>
      <c r="D12" t="s">
        <v>138</v>
      </c>
      <c r="F12" t="s">
        <v>139</v>
      </c>
      <c r="G12">
        <v>1617.6020000000001</v>
      </c>
      <c r="H12" t="s">
        <v>104</v>
      </c>
      <c r="I12">
        <v>2</v>
      </c>
      <c r="J12">
        <v>21</v>
      </c>
      <c r="K12">
        <v>0</v>
      </c>
      <c r="L12">
        <v>0</v>
      </c>
      <c r="M12">
        <v>0</v>
      </c>
      <c r="N12">
        <v>-1</v>
      </c>
      <c r="O12">
        <v>33</v>
      </c>
      <c r="P12">
        <v>33</v>
      </c>
      <c r="Q12">
        <v>40</v>
      </c>
      <c r="R12">
        <v>40</v>
      </c>
      <c r="S12">
        <v>40</v>
      </c>
      <c r="T12">
        <v>40</v>
      </c>
      <c r="U12">
        <v>40</v>
      </c>
      <c r="V12">
        <v>33</v>
      </c>
      <c r="W12">
        <v>36</v>
      </c>
      <c r="X12">
        <v>33</v>
      </c>
      <c r="Y12">
        <v>39</v>
      </c>
      <c r="Z12">
        <v>40</v>
      </c>
      <c r="AA12">
        <v>37</v>
      </c>
      <c r="AB12">
        <v>40</v>
      </c>
      <c r="AC12">
        <v>39</v>
      </c>
      <c r="AD12">
        <v>40</v>
      </c>
      <c r="AE12">
        <v>39</v>
      </c>
      <c r="AF12">
        <v>40</v>
      </c>
      <c r="AG12">
        <v>38</v>
      </c>
      <c r="AH12">
        <v>40</v>
      </c>
      <c r="AI12">
        <v>39</v>
      </c>
      <c r="AJ12">
        <v>40</v>
      </c>
      <c r="AK12">
        <v>39</v>
      </c>
      <c r="AL12">
        <v>40</v>
      </c>
      <c r="AM12">
        <v>39</v>
      </c>
      <c r="AN12">
        <v>38</v>
      </c>
      <c r="AO12">
        <v>38</v>
      </c>
      <c r="AP12">
        <v>84</v>
      </c>
      <c r="AQ12">
        <v>95</v>
      </c>
      <c r="AR12">
        <v>13</v>
      </c>
      <c r="AS12">
        <v>87</v>
      </c>
      <c r="AT12">
        <v>160</v>
      </c>
      <c r="AU12">
        <v>62</v>
      </c>
      <c r="AV12">
        <v>168</v>
      </c>
      <c r="AW12">
        <v>129</v>
      </c>
      <c r="AX12">
        <v>95</v>
      </c>
      <c r="AY12">
        <v>72</v>
      </c>
      <c r="AZ12">
        <v>64</v>
      </c>
      <c r="BA12">
        <v>69</v>
      </c>
      <c r="BB12">
        <v>99</v>
      </c>
      <c r="BC12">
        <v>115</v>
      </c>
      <c r="BD12">
        <v>191</v>
      </c>
      <c r="BE12">
        <v>66</v>
      </c>
      <c r="BF12">
        <v>171</v>
      </c>
      <c r="BG12">
        <v>135</v>
      </c>
      <c r="BH12">
        <v>72</v>
      </c>
      <c r="BI12">
        <v>40</v>
      </c>
      <c r="BJ12">
        <v>878364416</v>
      </c>
      <c r="BK12">
        <v>1552321664</v>
      </c>
      <c r="BL12">
        <v>15839465</v>
      </c>
      <c r="BM12">
        <v>861609216</v>
      </c>
      <c r="BN12">
        <v>3681659648</v>
      </c>
      <c r="BO12">
        <v>723069184</v>
      </c>
      <c r="BP12">
        <v>3401247232</v>
      </c>
      <c r="BQ12">
        <v>3475923200</v>
      </c>
      <c r="BR12">
        <v>1140605696</v>
      </c>
      <c r="BS12">
        <v>651590912</v>
      </c>
      <c r="BT12">
        <v>432822880</v>
      </c>
      <c r="BU12">
        <v>855937920</v>
      </c>
      <c r="BV12">
        <v>1412451456</v>
      </c>
      <c r="BW12">
        <v>2578777088</v>
      </c>
      <c r="BX12">
        <v>4536558080</v>
      </c>
      <c r="BY12">
        <v>851437376</v>
      </c>
      <c r="BZ12">
        <v>3966178816</v>
      </c>
      <c r="CA12">
        <v>3347494656</v>
      </c>
      <c r="CB12">
        <v>662153280</v>
      </c>
      <c r="CC12">
        <v>371809760</v>
      </c>
      <c r="CD12">
        <v>554136832</v>
      </c>
      <c r="CE12">
        <v>764984128</v>
      </c>
      <c r="CF12">
        <v>2297650176</v>
      </c>
      <c r="CG12">
        <v>1267756928</v>
      </c>
      <c r="CH12">
        <v>3176765184</v>
      </c>
      <c r="CI12">
        <v>508863072</v>
      </c>
      <c r="CJ12">
        <v>3345396224</v>
      </c>
      <c r="CK12">
        <v>2667356928</v>
      </c>
      <c r="CL12">
        <v>1454815488</v>
      </c>
      <c r="CM12">
        <v>815334016</v>
      </c>
      <c r="CN12">
        <v>2012416000</v>
      </c>
      <c r="CO12">
        <v>778480832</v>
      </c>
      <c r="CP12">
        <v>2014533248</v>
      </c>
      <c r="CQ12">
        <v>1562988032</v>
      </c>
      <c r="CR12">
        <v>5384642560</v>
      </c>
      <c r="CS12">
        <v>776141824</v>
      </c>
      <c r="CT12">
        <v>4766512128</v>
      </c>
      <c r="CU12">
        <v>2909552384</v>
      </c>
      <c r="CV12">
        <v>836021056</v>
      </c>
      <c r="CW12">
        <v>623463360</v>
      </c>
    </row>
    <row r="13" spans="1:101">
      <c r="A13">
        <v>30921</v>
      </c>
      <c r="B13" t="s">
        <v>140</v>
      </c>
      <c r="D13" t="s">
        <v>141</v>
      </c>
      <c r="F13" t="s">
        <v>142</v>
      </c>
      <c r="G13">
        <v>1476.6310000000001</v>
      </c>
      <c r="H13" t="s">
        <v>104</v>
      </c>
      <c r="I13">
        <v>2</v>
      </c>
      <c r="J13">
        <v>20</v>
      </c>
      <c r="K13">
        <v>0</v>
      </c>
      <c r="L13">
        <v>0</v>
      </c>
      <c r="M13">
        <v>0</v>
      </c>
      <c r="N13">
        <v>-1</v>
      </c>
      <c r="O13">
        <v>34</v>
      </c>
      <c r="P13">
        <v>34</v>
      </c>
      <c r="Q13">
        <v>39</v>
      </c>
      <c r="R13">
        <v>39</v>
      </c>
      <c r="S13">
        <v>39</v>
      </c>
      <c r="T13">
        <v>39</v>
      </c>
      <c r="U13">
        <v>39</v>
      </c>
      <c r="V13">
        <v>34</v>
      </c>
      <c r="W13">
        <v>36</v>
      </c>
      <c r="X13">
        <v>29</v>
      </c>
      <c r="Y13">
        <v>38</v>
      </c>
      <c r="Z13">
        <v>36</v>
      </c>
      <c r="AA13">
        <v>39</v>
      </c>
      <c r="AB13">
        <v>38</v>
      </c>
      <c r="AC13">
        <v>37</v>
      </c>
      <c r="AD13">
        <v>39</v>
      </c>
      <c r="AE13">
        <v>38</v>
      </c>
      <c r="AF13">
        <v>35</v>
      </c>
      <c r="AG13">
        <v>38</v>
      </c>
      <c r="AH13">
        <v>36</v>
      </c>
      <c r="AI13">
        <v>39</v>
      </c>
      <c r="AJ13">
        <v>39</v>
      </c>
      <c r="AK13">
        <v>38</v>
      </c>
      <c r="AL13">
        <v>38</v>
      </c>
      <c r="AM13">
        <v>38</v>
      </c>
      <c r="AN13">
        <v>39</v>
      </c>
      <c r="AO13">
        <v>39</v>
      </c>
      <c r="AP13">
        <v>118</v>
      </c>
      <c r="AQ13">
        <v>127</v>
      </c>
      <c r="AR13">
        <v>26</v>
      </c>
      <c r="AS13">
        <v>102</v>
      </c>
      <c r="AT13">
        <v>62</v>
      </c>
      <c r="AU13">
        <v>101</v>
      </c>
      <c r="AV13">
        <v>74</v>
      </c>
      <c r="AW13">
        <v>56</v>
      </c>
      <c r="AX13">
        <v>95</v>
      </c>
      <c r="AY13">
        <v>91</v>
      </c>
      <c r="AZ13">
        <v>43</v>
      </c>
      <c r="BA13">
        <v>75</v>
      </c>
      <c r="BB13">
        <v>47</v>
      </c>
      <c r="BC13">
        <v>110</v>
      </c>
      <c r="BD13">
        <v>52</v>
      </c>
      <c r="BE13">
        <v>76</v>
      </c>
      <c r="BF13">
        <v>58</v>
      </c>
      <c r="BG13">
        <v>66</v>
      </c>
      <c r="BH13">
        <v>85</v>
      </c>
      <c r="BI13">
        <v>77</v>
      </c>
      <c r="BJ13">
        <v>791351360</v>
      </c>
      <c r="BK13">
        <v>1365287168</v>
      </c>
      <c r="BL13">
        <v>12866697</v>
      </c>
      <c r="BM13">
        <v>1073359872</v>
      </c>
      <c r="BN13">
        <v>704607680</v>
      </c>
      <c r="BO13">
        <v>1295910400</v>
      </c>
      <c r="BP13">
        <v>1105613568</v>
      </c>
      <c r="BQ13">
        <v>747173888</v>
      </c>
      <c r="BR13">
        <v>1149541888</v>
      </c>
      <c r="BS13">
        <v>1144235136</v>
      </c>
      <c r="BT13">
        <v>175727728</v>
      </c>
      <c r="BU13">
        <v>1109153024</v>
      </c>
      <c r="BV13">
        <v>521331520</v>
      </c>
      <c r="BW13">
        <v>1987858816</v>
      </c>
      <c r="BX13">
        <v>595990720</v>
      </c>
      <c r="BY13">
        <v>1172869376</v>
      </c>
      <c r="BZ13">
        <v>790132096</v>
      </c>
      <c r="CA13">
        <v>1019493760</v>
      </c>
      <c r="CB13">
        <v>1043652544</v>
      </c>
      <c r="CC13">
        <v>883294208</v>
      </c>
      <c r="CD13">
        <v>1050548352</v>
      </c>
      <c r="CE13">
        <v>815276544</v>
      </c>
      <c r="CF13">
        <v>992870016</v>
      </c>
      <c r="CG13">
        <v>1270794752</v>
      </c>
      <c r="CH13">
        <v>601433728</v>
      </c>
      <c r="CI13">
        <v>935791488</v>
      </c>
      <c r="CJ13">
        <v>869523456</v>
      </c>
      <c r="CK13">
        <v>677453952</v>
      </c>
      <c r="CL13">
        <v>1246049152</v>
      </c>
      <c r="CM13">
        <v>1051528064</v>
      </c>
      <c r="CN13">
        <v>686009600</v>
      </c>
      <c r="CO13">
        <v>847632256</v>
      </c>
      <c r="CP13">
        <v>603516992</v>
      </c>
      <c r="CQ13">
        <v>1264364928</v>
      </c>
      <c r="CR13">
        <v>690074240</v>
      </c>
      <c r="CS13">
        <v>913743040</v>
      </c>
      <c r="CT13">
        <v>857670848</v>
      </c>
      <c r="CU13">
        <v>890164352</v>
      </c>
      <c r="CV13">
        <v>1443085696</v>
      </c>
      <c r="CW13">
        <v>1516143232</v>
      </c>
    </row>
    <row r="14" spans="1:101">
      <c r="A14">
        <v>31069</v>
      </c>
      <c r="B14" t="s">
        <v>143</v>
      </c>
      <c r="D14" t="s">
        <v>143</v>
      </c>
      <c r="E14" t="s">
        <v>144</v>
      </c>
      <c r="F14" t="s">
        <v>145</v>
      </c>
      <c r="G14">
        <v>1467.79</v>
      </c>
      <c r="H14" t="s">
        <v>104</v>
      </c>
      <c r="I14">
        <v>2</v>
      </c>
      <c r="J14">
        <v>1</v>
      </c>
      <c r="K14">
        <v>2</v>
      </c>
      <c r="L14">
        <v>0</v>
      </c>
      <c r="M14">
        <v>0</v>
      </c>
      <c r="N14">
        <v>-1</v>
      </c>
      <c r="O14">
        <v>44</v>
      </c>
      <c r="P14">
        <v>44</v>
      </c>
      <c r="Q14">
        <v>44</v>
      </c>
      <c r="R14">
        <v>44</v>
      </c>
      <c r="S14">
        <v>44</v>
      </c>
      <c r="T14">
        <v>44</v>
      </c>
      <c r="U14">
        <v>44</v>
      </c>
      <c r="V14">
        <v>43</v>
      </c>
      <c r="W14">
        <v>43</v>
      </c>
      <c r="X14">
        <v>15</v>
      </c>
      <c r="Y14">
        <v>42</v>
      </c>
      <c r="Z14">
        <v>42</v>
      </c>
      <c r="AA14">
        <v>43</v>
      </c>
      <c r="AB14">
        <v>42</v>
      </c>
      <c r="AC14">
        <v>43</v>
      </c>
      <c r="AD14">
        <v>44</v>
      </c>
      <c r="AE14">
        <v>43</v>
      </c>
      <c r="AF14">
        <v>43</v>
      </c>
      <c r="AG14">
        <v>44</v>
      </c>
      <c r="AH14">
        <v>42</v>
      </c>
      <c r="AI14">
        <v>42</v>
      </c>
      <c r="AJ14">
        <v>43</v>
      </c>
      <c r="AK14">
        <v>44</v>
      </c>
      <c r="AL14">
        <v>42</v>
      </c>
      <c r="AM14">
        <v>44</v>
      </c>
      <c r="AN14">
        <v>44</v>
      </c>
      <c r="AO14">
        <v>44</v>
      </c>
      <c r="AP14">
        <v>51</v>
      </c>
      <c r="AQ14">
        <v>31</v>
      </c>
      <c r="AR14">
        <v>0</v>
      </c>
      <c r="AS14">
        <v>23</v>
      </c>
      <c r="AT14">
        <v>42</v>
      </c>
      <c r="AU14">
        <v>33</v>
      </c>
      <c r="AV14">
        <v>32</v>
      </c>
      <c r="AW14">
        <v>43</v>
      </c>
      <c r="AX14">
        <v>47</v>
      </c>
      <c r="AY14">
        <v>43</v>
      </c>
      <c r="AZ14">
        <v>26</v>
      </c>
      <c r="BA14">
        <v>40</v>
      </c>
      <c r="BB14">
        <v>21</v>
      </c>
      <c r="BC14">
        <v>32</v>
      </c>
      <c r="BD14">
        <v>42</v>
      </c>
      <c r="BE14">
        <v>34</v>
      </c>
      <c r="BF14">
        <v>28</v>
      </c>
      <c r="BG14">
        <v>43</v>
      </c>
      <c r="BH14">
        <v>47</v>
      </c>
      <c r="BI14">
        <v>38</v>
      </c>
      <c r="BJ14">
        <v>194474272</v>
      </c>
      <c r="BK14">
        <v>171865520</v>
      </c>
      <c r="BL14">
        <v>1163792.8799999999</v>
      </c>
      <c r="BM14">
        <v>38132020</v>
      </c>
      <c r="BN14">
        <v>185833680</v>
      </c>
      <c r="BO14">
        <v>98380808</v>
      </c>
      <c r="BP14">
        <v>81629152</v>
      </c>
      <c r="BQ14">
        <v>163218192</v>
      </c>
      <c r="BR14">
        <v>149031360</v>
      </c>
      <c r="BS14">
        <v>131879408</v>
      </c>
      <c r="BT14">
        <v>51261516</v>
      </c>
      <c r="BU14">
        <v>124033376</v>
      </c>
      <c r="BV14">
        <v>53925228</v>
      </c>
      <c r="BW14">
        <v>82028264</v>
      </c>
      <c r="BX14">
        <v>145311664</v>
      </c>
      <c r="BY14">
        <v>96306944</v>
      </c>
      <c r="BZ14">
        <v>62010012</v>
      </c>
      <c r="CA14">
        <v>214039008</v>
      </c>
      <c r="CB14">
        <v>128392728</v>
      </c>
      <c r="CC14">
        <v>118631168</v>
      </c>
      <c r="CD14">
        <v>203275680</v>
      </c>
      <c r="CE14">
        <v>104692280</v>
      </c>
      <c r="CF14">
        <v>53159028</v>
      </c>
      <c r="CG14">
        <v>43691872</v>
      </c>
      <c r="CH14">
        <v>145039232</v>
      </c>
      <c r="CI14">
        <v>66820240</v>
      </c>
      <c r="CJ14">
        <v>68175408</v>
      </c>
      <c r="CK14">
        <v>151771696</v>
      </c>
      <c r="CL14">
        <v>156236688</v>
      </c>
      <c r="CM14">
        <v>124239400</v>
      </c>
      <c r="CN14">
        <v>185355168</v>
      </c>
      <c r="CO14">
        <v>92460120</v>
      </c>
      <c r="CP14">
        <v>62110096</v>
      </c>
      <c r="CQ14">
        <v>51431516</v>
      </c>
      <c r="CR14">
        <v>151896176</v>
      </c>
      <c r="CS14">
        <v>79276768</v>
      </c>
      <c r="CT14">
        <v>65188880</v>
      </c>
      <c r="CU14">
        <v>156931648</v>
      </c>
      <c r="CV14">
        <v>145705280</v>
      </c>
      <c r="CW14">
        <v>153499280</v>
      </c>
    </row>
    <row r="15" spans="1:101">
      <c r="A15">
        <v>30934</v>
      </c>
      <c r="B15" t="s">
        <v>146</v>
      </c>
      <c r="D15" t="s">
        <v>147</v>
      </c>
      <c r="E15" t="s">
        <v>148</v>
      </c>
      <c r="F15" t="s">
        <v>149</v>
      </c>
      <c r="G15">
        <v>1304.0909999999999</v>
      </c>
      <c r="H15" t="s">
        <v>104</v>
      </c>
      <c r="I15">
        <v>2</v>
      </c>
      <c r="J15">
        <v>13</v>
      </c>
      <c r="K15">
        <v>5</v>
      </c>
      <c r="L15">
        <v>0</v>
      </c>
      <c r="M15">
        <v>0</v>
      </c>
      <c r="N15">
        <v>-1</v>
      </c>
      <c r="O15">
        <v>30</v>
      </c>
      <c r="P15">
        <v>30</v>
      </c>
      <c r="Q15">
        <v>33</v>
      </c>
      <c r="R15">
        <v>33</v>
      </c>
      <c r="S15">
        <v>33</v>
      </c>
      <c r="T15">
        <v>33</v>
      </c>
      <c r="U15">
        <v>33</v>
      </c>
      <c r="V15">
        <v>27</v>
      </c>
      <c r="W15">
        <v>29</v>
      </c>
      <c r="X15">
        <v>16</v>
      </c>
      <c r="Y15">
        <v>32</v>
      </c>
      <c r="Z15">
        <v>29</v>
      </c>
      <c r="AA15">
        <v>32</v>
      </c>
      <c r="AB15">
        <v>33</v>
      </c>
      <c r="AC15">
        <v>33</v>
      </c>
      <c r="AD15">
        <v>32</v>
      </c>
      <c r="AE15">
        <v>33</v>
      </c>
      <c r="AF15">
        <v>33</v>
      </c>
      <c r="AG15">
        <v>33</v>
      </c>
      <c r="AH15">
        <v>31</v>
      </c>
      <c r="AI15">
        <v>32</v>
      </c>
      <c r="AJ15">
        <v>31</v>
      </c>
      <c r="AK15">
        <v>33</v>
      </c>
      <c r="AL15">
        <v>32</v>
      </c>
      <c r="AM15">
        <v>29</v>
      </c>
      <c r="AN15">
        <v>32</v>
      </c>
      <c r="AO15">
        <v>33</v>
      </c>
      <c r="AP15">
        <v>40</v>
      </c>
      <c r="AQ15">
        <v>53</v>
      </c>
      <c r="AR15">
        <v>8</v>
      </c>
      <c r="AS15">
        <v>37</v>
      </c>
      <c r="AT15">
        <v>30</v>
      </c>
      <c r="AU15">
        <v>58</v>
      </c>
      <c r="AV15">
        <v>48</v>
      </c>
      <c r="AW15">
        <v>24</v>
      </c>
      <c r="AX15">
        <v>44</v>
      </c>
      <c r="AY15">
        <v>37</v>
      </c>
      <c r="AZ15">
        <v>17</v>
      </c>
      <c r="BA15">
        <v>48</v>
      </c>
      <c r="BB15">
        <v>26</v>
      </c>
      <c r="BC15">
        <v>45</v>
      </c>
      <c r="BD15">
        <v>25</v>
      </c>
      <c r="BE15">
        <v>57</v>
      </c>
      <c r="BF15">
        <v>47</v>
      </c>
      <c r="BG15">
        <v>25</v>
      </c>
      <c r="BH15">
        <v>42</v>
      </c>
      <c r="BI15">
        <v>37</v>
      </c>
      <c r="BJ15">
        <v>109952064</v>
      </c>
      <c r="BK15">
        <v>432689888</v>
      </c>
      <c r="BL15">
        <v>4832358.5</v>
      </c>
      <c r="BM15">
        <v>176217280</v>
      </c>
      <c r="BN15">
        <v>135811200</v>
      </c>
      <c r="BO15">
        <v>489996672</v>
      </c>
      <c r="BP15">
        <v>468128064</v>
      </c>
      <c r="BQ15">
        <v>126585176</v>
      </c>
      <c r="BR15">
        <v>245258784</v>
      </c>
      <c r="BS15">
        <v>208467952</v>
      </c>
      <c r="BT15">
        <v>36557940</v>
      </c>
      <c r="BU15">
        <v>388555424</v>
      </c>
      <c r="BV15">
        <v>110769512</v>
      </c>
      <c r="BW15">
        <v>380101440</v>
      </c>
      <c r="BX15">
        <v>120236944</v>
      </c>
      <c r="BY15">
        <v>446369184</v>
      </c>
      <c r="BZ15">
        <v>372636448</v>
      </c>
      <c r="CA15">
        <v>129380224</v>
      </c>
      <c r="CB15">
        <v>209463056</v>
      </c>
      <c r="CC15">
        <v>177099440</v>
      </c>
      <c r="CD15">
        <v>158336480</v>
      </c>
      <c r="CE15">
        <v>298251488</v>
      </c>
      <c r="CF15">
        <v>177333232</v>
      </c>
      <c r="CG15">
        <v>232044576</v>
      </c>
      <c r="CH15">
        <v>126567328</v>
      </c>
      <c r="CI15">
        <v>379980544</v>
      </c>
      <c r="CJ15">
        <v>421421024</v>
      </c>
      <c r="CK15">
        <v>130036592</v>
      </c>
      <c r="CL15">
        <v>295683104</v>
      </c>
      <c r="CM15">
        <v>219786320</v>
      </c>
      <c r="CN15">
        <v>165738560</v>
      </c>
      <c r="CO15">
        <v>324280800</v>
      </c>
      <c r="CP15">
        <v>132902392</v>
      </c>
      <c r="CQ15">
        <v>262296736</v>
      </c>
      <c r="CR15">
        <v>142757856</v>
      </c>
      <c r="CS15">
        <v>402858208</v>
      </c>
      <c r="CT15">
        <v>402567808</v>
      </c>
      <c r="CU15">
        <v>114626192</v>
      </c>
      <c r="CV15">
        <v>278638272</v>
      </c>
      <c r="CW15">
        <v>314155264</v>
      </c>
    </row>
    <row r="16" spans="1:101">
      <c r="A16">
        <v>30928</v>
      </c>
      <c r="B16" t="s">
        <v>150</v>
      </c>
      <c r="D16" t="s">
        <v>151</v>
      </c>
      <c r="E16" t="s">
        <v>152</v>
      </c>
      <c r="F16" t="s">
        <v>153</v>
      </c>
      <c r="G16">
        <v>1277.1600000000001</v>
      </c>
      <c r="H16" t="s">
        <v>104</v>
      </c>
      <c r="I16">
        <v>2</v>
      </c>
      <c r="J16">
        <v>19</v>
      </c>
      <c r="K16">
        <v>1</v>
      </c>
      <c r="L16">
        <v>0</v>
      </c>
      <c r="M16">
        <v>0</v>
      </c>
      <c r="N16">
        <v>-1</v>
      </c>
      <c r="O16">
        <v>17</v>
      </c>
      <c r="P16">
        <v>17</v>
      </c>
      <c r="Q16">
        <v>29</v>
      </c>
      <c r="R16">
        <v>29</v>
      </c>
      <c r="S16">
        <v>29</v>
      </c>
      <c r="T16">
        <v>29</v>
      </c>
      <c r="U16">
        <v>29</v>
      </c>
      <c r="V16">
        <v>21</v>
      </c>
      <c r="W16">
        <v>23</v>
      </c>
      <c r="X16">
        <v>25</v>
      </c>
      <c r="Y16">
        <v>27</v>
      </c>
      <c r="Z16">
        <v>27</v>
      </c>
      <c r="AA16">
        <v>26</v>
      </c>
      <c r="AB16">
        <v>25</v>
      </c>
      <c r="AC16">
        <v>25</v>
      </c>
      <c r="AD16">
        <v>26</v>
      </c>
      <c r="AE16">
        <v>25</v>
      </c>
      <c r="AF16">
        <v>25</v>
      </c>
      <c r="AG16">
        <v>26</v>
      </c>
      <c r="AH16">
        <v>23</v>
      </c>
      <c r="AI16">
        <v>24</v>
      </c>
      <c r="AJ16">
        <v>26</v>
      </c>
      <c r="AK16">
        <v>27</v>
      </c>
      <c r="AL16">
        <v>26</v>
      </c>
      <c r="AM16">
        <v>25</v>
      </c>
      <c r="AN16">
        <v>26</v>
      </c>
      <c r="AO16">
        <v>25</v>
      </c>
      <c r="AP16">
        <v>381</v>
      </c>
      <c r="AQ16">
        <v>385</v>
      </c>
      <c r="AR16">
        <v>222</v>
      </c>
      <c r="AS16">
        <v>330</v>
      </c>
      <c r="AT16">
        <v>370</v>
      </c>
      <c r="AU16">
        <v>391</v>
      </c>
      <c r="AV16">
        <v>345</v>
      </c>
      <c r="AW16">
        <v>358</v>
      </c>
      <c r="AX16">
        <v>279</v>
      </c>
      <c r="AY16">
        <v>269</v>
      </c>
      <c r="AZ16">
        <v>199</v>
      </c>
      <c r="BA16">
        <v>332</v>
      </c>
      <c r="BB16">
        <v>322</v>
      </c>
      <c r="BC16">
        <v>323</v>
      </c>
      <c r="BD16">
        <v>340</v>
      </c>
      <c r="BE16">
        <v>336</v>
      </c>
      <c r="BF16">
        <v>304</v>
      </c>
      <c r="BG16">
        <v>355</v>
      </c>
      <c r="BH16">
        <v>266</v>
      </c>
      <c r="BI16">
        <v>209</v>
      </c>
      <c r="BJ16">
        <v>4832683520</v>
      </c>
      <c r="BK16">
        <v>8871508992</v>
      </c>
      <c r="BL16">
        <v>215053136</v>
      </c>
      <c r="BM16">
        <v>4403608064</v>
      </c>
      <c r="BN16">
        <v>8344840704</v>
      </c>
      <c r="BO16">
        <v>8835284992</v>
      </c>
      <c r="BP16">
        <v>7437335040</v>
      </c>
      <c r="BQ16">
        <v>7706740224</v>
      </c>
      <c r="BR16">
        <v>4714099200</v>
      </c>
      <c r="BS16">
        <v>4838491648</v>
      </c>
      <c r="BT16">
        <v>1749014784</v>
      </c>
      <c r="BU16">
        <v>8011349504</v>
      </c>
      <c r="BV16">
        <v>7327793152</v>
      </c>
      <c r="BW16">
        <v>6275954688</v>
      </c>
      <c r="BX16">
        <v>6937517568</v>
      </c>
      <c r="BY16">
        <v>7456719872</v>
      </c>
      <c r="BZ16">
        <v>6061517312</v>
      </c>
      <c r="CA16">
        <v>8031047168</v>
      </c>
      <c r="CB16">
        <v>4201714944</v>
      </c>
      <c r="CC16">
        <v>3512656384</v>
      </c>
      <c r="CD16">
        <v>3184531456</v>
      </c>
      <c r="CE16">
        <v>2003339392</v>
      </c>
      <c r="CF16">
        <v>80743268352</v>
      </c>
      <c r="CG16">
        <v>2983626496</v>
      </c>
      <c r="CH16">
        <v>3440340224</v>
      </c>
      <c r="CI16">
        <v>2984414464</v>
      </c>
      <c r="CJ16">
        <v>2948507136</v>
      </c>
      <c r="CK16">
        <v>3626652160</v>
      </c>
      <c r="CL16">
        <v>2475919616</v>
      </c>
      <c r="CM16">
        <v>2194480128</v>
      </c>
      <c r="CN16">
        <v>4281166592</v>
      </c>
      <c r="CO16">
        <v>2902129152</v>
      </c>
      <c r="CP16">
        <v>3980090368</v>
      </c>
      <c r="CQ16">
        <v>2218664960</v>
      </c>
      <c r="CR16">
        <v>4192891136</v>
      </c>
      <c r="CS16">
        <v>3118750208</v>
      </c>
      <c r="CT16">
        <v>3191832064</v>
      </c>
      <c r="CU16">
        <v>3634463744</v>
      </c>
      <c r="CV16">
        <v>3503404544</v>
      </c>
      <c r="CW16">
        <v>3810688512</v>
      </c>
    </row>
    <row r="17" spans="1:101">
      <c r="A17">
        <v>31000</v>
      </c>
      <c r="B17" t="s">
        <v>154</v>
      </c>
      <c r="D17" t="s">
        <v>155</v>
      </c>
      <c r="F17" t="s">
        <v>156</v>
      </c>
      <c r="G17">
        <v>1256.433</v>
      </c>
      <c r="H17" t="s">
        <v>104</v>
      </c>
      <c r="I17">
        <v>2</v>
      </c>
      <c r="J17">
        <v>9</v>
      </c>
      <c r="K17">
        <v>0</v>
      </c>
      <c r="L17">
        <v>0</v>
      </c>
      <c r="M17">
        <v>0</v>
      </c>
      <c r="N17">
        <v>-1</v>
      </c>
      <c r="O17">
        <v>15</v>
      </c>
      <c r="P17">
        <v>15</v>
      </c>
      <c r="Q17">
        <v>22</v>
      </c>
      <c r="R17">
        <v>22</v>
      </c>
      <c r="S17">
        <v>22</v>
      </c>
      <c r="T17">
        <v>22</v>
      </c>
      <c r="U17">
        <v>22</v>
      </c>
      <c r="V17">
        <v>20</v>
      </c>
      <c r="W17">
        <v>21</v>
      </c>
      <c r="X17">
        <v>20</v>
      </c>
      <c r="Y17">
        <v>22</v>
      </c>
      <c r="Z17">
        <v>21</v>
      </c>
      <c r="AA17">
        <v>22</v>
      </c>
      <c r="AB17">
        <v>22</v>
      </c>
      <c r="AC17">
        <v>22</v>
      </c>
      <c r="AD17">
        <v>22</v>
      </c>
      <c r="AE17">
        <v>22</v>
      </c>
      <c r="AF17">
        <v>22</v>
      </c>
      <c r="AG17">
        <v>22</v>
      </c>
      <c r="AH17">
        <v>21</v>
      </c>
      <c r="AI17">
        <v>22</v>
      </c>
      <c r="AJ17">
        <v>21</v>
      </c>
      <c r="AK17">
        <v>22</v>
      </c>
      <c r="AL17">
        <v>22</v>
      </c>
      <c r="AM17">
        <v>22</v>
      </c>
      <c r="AN17">
        <v>22</v>
      </c>
      <c r="AO17">
        <v>22</v>
      </c>
      <c r="AP17">
        <v>114</v>
      </c>
      <c r="AQ17">
        <v>147</v>
      </c>
      <c r="AR17">
        <v>13</v>
      </c>
      <c r="AS17">
        <v>122</v>
      </c>
      <c r="AT17">
        <v>154</v>
      </c>
      <c r="AU17">
        <v>121</v>
      </c>
      <c r="AV17">
        <v>134</v>
      </c>
      <c r="AW17">
        <v>148</v>
      </c>
      <c r="AX17">
        <v>110</v>
      </c>
      <c r="AY17">
        <v>111</v>
      </c>
      <c r="AZ17">
        <v>90</v>
      </c>
      <c r="BA17">
        <v>162</v>
      </c>
      <c r="BB17">
        <v>141</v>
      </c>
      <c r="BC17">
        <v>126</v>
      </c>
      <c r="BD17">
        <v>140</v>
      </c>
      <c r="BE17">
        <v>106</v>
      </c>
      <c r="BF17">
        <v>128</v>
      </c>
      <c r="BG17">
        <v>144</v>
      </c>
      <c r="BH17">
        <v>108</v>
      </c>
      <c r="BI17">
        <v>86</v>
      </c>
      <c r="BJ17">
        <v>4658905600</v>
      </c>
      <c r="BK17">
        <v>7072535040</v>
      </c>
      <c r="BL17">
        <v>18898200</v>
      </c>
      <c r="BM17">
        <v>2930580736</v>
      </c>
      <c r="BN17">
        <v>6990748672</v>
      </c>
      <c r="BO17">
        <v>3695539712</v>
      </c>
      <c r="BP17">
        <v>5497673216</v>
      </c>
      <c r="BQ17">
        <v>5912274944</v>
      </c>
      <c r="BR17">
        <v>3082467328</v>
      </c>
      <c r="BS17">
        <v>3049689088</v>
      </c>
      <c r="BT17">
        <v>1106732160</v>
      </c>
      <c r="BU17">
        <v>5647819264</v>
      </c>
      <c r="BV17">
        <v>5427227136</v>
      </c>
      <c r="BW17">
        <v>4883132928</v>
      </c>
      <c r="BX17">
        <v>5715819520</v>
      </c>
      <c r="BY17">
        <v>3014593280</v>
      </c>
      <c r="BZ17">
        <v>4836628992</v>
      </c>
      <c r="CA17">
        <v>6412374528</v>
      </c>
      <c r="CB17">
        <v>2785848576</v>
      </c>
      <c r="CC17">
        <v>1697135104</v>
      </c>
      <c r="CD17">
        <v>4630607360</v>
      </c>
      <c r="CE17">
        <v>4417575424</v>
      </c>
      <c r="CF17">
        <v>3312129024</v>
      </c>
      <c r="CG17">
        <v>3716751872</v>
      </c>
      <c r="CH17">
        <v>6184837632</v>
      </c>
      <c r="CI17">
        <v>2800325376</v>
      </c>
      <c r="CJ17">
        <v>4656743424</v>
      </c>
      <c r="CK17">
        <v>5740326400</v>
      </c>
      <c r="CL17">
        <v>3192451840</v>
      </c>
      <c r="CM17">
        <v>2818400000</v>
      </c>
      <c r="CN17">
        <v>4551866368</v>
      </c>
      <c r="CO17">
        <v>4981356544</v>
      </c>
      <c r="CP17">
        <v>6568923136</v>
      </c>
      <c r="CQ17">
        <v>3120623616</v>
      </c>
      <c r="CR17">
        <v>6000280064</v>
      </c>
      <c r="CS17">
        <v>2888553216</v>
      </c>
      <c r="CT17">
        <v>4548311040</v>
      </c>
      <c r="CU17">
        <v>5387057152</v>
      </c>
      <c r="CV17">
        <v>3453122304</v>
      </c>
      <c r="CW17">
        <v>2256548864</v>
      </c>
    </row>
    <row r="18" spans="1:101">
      <c r="A18">
        <v>30938</v>
      </c>
      <c r="B18" t="s">
        <v>157</v>
      </c>
      <c r="D18" t="s">
        <v>158</v>
      </c>
      <c r="F18" t="s">
        <v>159</v>
      </c>
      <c r="G18">
        <v>1242.67</v>
      </c>
      <c r="H18" t="s">
        <v>104</v>
      </c>
      <c r="I18">
        <v>2</v>
      </c>
      <c r="J18">
        <v>21</v>
      </c>
      <c r="K18">
        <v>0</v>
      </c>
      <c r="L18">
        <v>0</v>
      </c>
      <c r="M18">
        <v>0</v>
      </c>
      <c r="N18">
        <v>-1</v>
      </c>
      <c r="O18">
        <v>28</v>
      </c>
      <c r="P18">
        <v>28</v>
      </c>
      <c r="Q18">
        <v>34</v>
      </c>
      <c r="R18">
        <v>34</v>
      </c>
      <c r="S18">
        <v>34</v>
      </c>
      <c r="T18">
        <v>34</v>
      </c>
      <c r="U18">
        <v>34</v>
      </c>
      <c r="V18">
        <v>28</v>
      </c>
      <c r="W18">
        <v>30</v>
      </c>
      <c r="X18">
        <v>26</v>
      </c>
      <c r="Y18">
        <v>34</v>
      </c>
      <c r="Z18">
        <v>34</v>
      </c>
      <c r="AA18">
        <v>33</v>
      </c>
      <c r="AB18">
        <v>34</v>
      </c>
      <c r="AC18">
        <v>33</v>
      </c>
      <c r="AD18">
        <v>34</v>
      </c>
      <c r="AE18">
        <v>33</v>
      </c>
      <c r="AF18">
        <v>34</v>
      </c>
      <c r="AG18">
        <v>33</v>
      </c>
      <c r="AH18">
        <v>34</v>
      </c>
      <c r="AI18">
        <v>33</v>
      </c>
      <c r="AJ18">
        <v>34</v>
      </c>
      <c r="AK18">
        <v>33</v>
      </c>
      <c r="AL18">
        <v>34</v>
      </c>
      <c r="AM18">
        <v>34</v>
      </c>
      <c r="AN18">
        <v>32</v>
      </c>
      <c r="AO18">
        <v>33</v>
      </c>
      <c r="AP18">
        <v>64</v>
      </c>
      <c r="AQ18">
        <v>66</v>
      </c>
      <c r="AR18">
        <v>23</v>
      </c>
      <c r="AS18">
        <v>62</v>
      </c>
      <c r="AT18">
        <v>85</v>
      </c>
      <c r="AU18">
        <v>46</v>
      </c>
      <c r="AV18">
        <v>90</v>
      </c>
      <c r="AW18">
        <v>87</v>
      </c>
      <c r="AX18">
        <v>61</v>
      </c>
      <c r="AY18">
        <v>51</v>
      </c>
      <c r="AZ18">
        <v>36</v>
      </c>
      <c r="BA18">
        <v>46</v>
      </c>
      <c r="BB18">
        <v>56</v>
      </c>
      <c r="BC18">
        <v>79</v>
      </c>
      <c r="BD18">
        <v>114</v>
      </c>
      <c r="BE18">
        <v>40</v>
      </c>
      <c r="BF18">
        <v>115</v>
      </c>
      <c r="BG18">
        <v>78</v>
      </c>
      <c r="BH18">
        <v>43</v>
      </c>
      <c r="BI18">
        <v>33</v>
      </c>
      <c r="BJ18">
        <v>412152704</v>
      </c>
      <c r="BK18">
        <v>631882880</v>
      </c>
      <c r="BL18">
        <v>37559368</v>
      </c>
      <c r="BM18">
        <v>523578592</v>
      </c>
      <c r="BN18">
        <v>1533611648</v>
      </c>
      <c r="BO18">
        <v>487001440</v>
      </c>
      <c r="BP18">
        <v>1678594816</v>
      </c>
      <c r="BQ18">
        <v>1887592576</v>
      </c>
      <c r="BR18">
        <v>673039744</v>
      </c>
      <c r="BS18">
        <v>370751424</v>
      </c>
      <c r="BT18">
        <v>207717376</v>
      </c>
      <c r="BU18">
        <v>507652224</v>
      </c>
      <c r="BV18">
        <v>787248576</v>
      </c>
      <c r="BW18">
        <v>1605200000</v>
      </c>
      <c r="BX18">
        <v>2793977344</v>
      </c>
      <c r="BY18">
        <v>374019168</v>
      </c>
      <c r="BZ18">
        <v>2834256384</v>
      </c>
      <c r="CA18">
        <v>1890919936</v>
      </c>
      <c r="CB18">
        <v>482130144</v>
      </c>
      <c r="CC18">
        <v>193057984</v>
      </c>
      <c r="CD18">
        <v>254115872</v>
      </c>
      <c r="CE18">
        <v>449974880</v>
      </c>
      <c r="CF18">
        <v>1592312448</v>
      </c>
      <c r="CG18">
        <v>1016820352</v>
      </c>
      <c r="CH18">
        <v>2239360256</v>
      </c>
      <c r="CI18">
        <v>292285088</v>
      </c>
      <c r="CJ18">
        <v>2596312576</v>
      </c>
      <c r="CK18">
        <v>1293129600</v>
      </c>
      <c r="CL18">
        <v>855045952</v>
      </c>
      <c r="CM18">
        <v>531640128</v>
      </c>
      <c r="CN18">
        <v>1407559168</v>
      </c>
      <c r="CO18">
        <v>483101728</v>
      </c>
      <c r="CP18">
        <v>1297628544</v>
      </c>
      <c r="CQ18">
        <v>867373824</v>
      </c>
      <c r="CR18">
        <v>3325283072</v>
      </c>
      <c r="CS18">
        <v>405363456</v>
      </c>
      <c r="CT18">
        <v>3603706880</v>
      </c>
      <c r="CU18">
        <v>1343116032</v>
      </c>
      <c r="CV18">
        <v>405927904</v>
      </c>
      <c r="CW18">
        <v>350963168</v>
      </c>
    </row>
    <row r="19" spans="1:101">
      <c r="A19">
        <v>30959</v>
      </c>
      <c r="B19" t="s">
        <v>160</v>
      </c>
      <c r="D19" t="s">
        <v>161</v>
      </c>
      <c r="E19" t="s">
        <v>162</v>
      </c>
      <c r="F19" t="s">
        <v>163</v>
      </c>
      <c r="G19">
        <v>1226.0139999999999</v>
      </c>
      <c r="H19" t="s">
        <v>104</v>
      </c>
      <c r="I19">
        <v>2</v>
      </c>
      <c r="J19">
        <v>6</v>
      </c>
      <c r="K19">
        <v>14</v>
      </c>
      <c r="L19">
        <v>0</v>
      </c>
      <c r="M19">
        <v>0</v>
      </c>
      <c r="N19">
        <v>-1</v>
      </c>
      <c r="O19">
        <v>40</v>
      </c>
      <c r="P19">
        <v>2</v>
      </c>
      <c r="Q19">
        <v>40</v>
      </c>
      <c r="R19">
        <v>2</v>
      </c>
      <c r="S19">
        <v>40</v>
      </c>
      <c r="T19">
        <v>2</v>
      </c>
      <c r="U19">
        <v>2</v>
      </c>
      <c r="V19">
        <v>1</v>
      </c>
      <c r="W19">
        <v>2</v>
      </c>
      <c r="X19">
        <v>1</v>
      </c>
      <c r="Y19">
        <v>2</v>
      </c>
      <c r="Z19">
        <v>2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0</v>
      </c>
      <c r="AS19">
        <v>2</v>
      </c>
      <c r="AT19">
        <v>3</v>
      </c>
      <c r="AU19">
        <v>2</v>
      </c>
      <c r="AV19">
        <v>2</v>
      </c>
      <c r="AW19">
        <v>2</v>
      </c>
      <c r="AX19">
        <v>3</v>
      </c>
      <c r="AY19">
        <v>3</v>
      </c>
      <c r="AZ19">
        <v>2</v>
      </c>
      <c r="BA19">
        <v>2</v>
      </c>
      <c r="BB19">
        <v>2</v>
      </c>
      <c r="BC19">
        <v>1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1</v>
      </c>
      <c r="BJ19">
        <v>119626352</v>
      </c>
      <c r="BK19">
        <v>88090872</v>
      </c>
      <c r="BL19">
        <v>1503534</v>
      </c>
      <c r="BM19">
        <v>19223582</v>
      </c>
      <c r="BN19">
        <v>90754352</v>
      </c>
      <c r="BO19">
        <v>49432192</v>
      </c>
      <c r="BP19">
        <v>47939312</v>
      </c>
      <c r="BQ19">
        <v>69399160</v>
      </c>
      <c r="BR19">
        <v>66826284</v>
      </c>
      <c r="BS19">
        <v>58368160</v>
      </c>
      <c r="BT19">
        <v>34223588</v>
      </c>
      <c r="BU19">
        <v>54685688</v>
      </c>
      <c r="BV19">
        <v>33775160</v>
      </c>
      <c r="BW19">
        <v>31389184</v>
      </c>
      <c r="BX19">
        <v>86338064</v>
      </c>
      <c r="BY19">
        <v>37054884</v>
      </c>
      <c r="BZ19">
        <v>43210336</v>
      </c>
      <c r="CA19">
        <v>125380736</v>
      </c>
      <c r="CB19">
        <v>64240808</v>
      </c>
      <c r="CC19">
        <v>85399096</v>
      </c>
      <c r="CD19">
        <v>62083.05</v>
      </c>
      <c r="CE19">
        <v>3327896</v>
      </c>
      <c r="CF19">
        <v>5001831.5</v>
      </c>
      <c r="CG19">
        <v>1753414.88</v>
      </c>
      <c r="CH19">
        <v>5838983.5</v>
      </c>
      <c r="CI19">
        <v>3283258.5</v>
      </c>
      <c r="CJ19">
        <v>3681985.25</v>
      </c>
      <c r="CK19">
        <v>5795693.5</v>
      </c>
      <c r="CL19">
        <v>5261576.5</v>
      </c>
      <c r="CM19">
        <v>4924898.5</v>
      </c>
      <c r="CN19">
        <v>8736750</v>
      </c>
      <c r="CO19">
        <v>3961630.75</v>
      </c>
      <c r="CP19">
        <v>3274443.75</v>
      </c>
      <c r="CQ19">
        <v>1651902.5</v>
      </c>
      <c r="CR19">
        <v>7535351</v>
      </c>
      <c r="CS19">
        <v>2930241.25</v>
      </c>
      <c r="CT19">
        <v>3822429</v>
      </c>
      <c r="CU19">
        <v>5523004</v>
      </c>
      <c r="CV19">
        <v>4763343.5</v>
      </c>
      <c r="CW19">
        <v>5176642</v>
      </c>
    </row>
    <row r="20" spans="1:101">
      <c r="A20">
        <v>31150</v>
      </c>
      <c r="B20" t="s">
        <v>164</v>
      </c>
      <c r="D20" t="s">
        <v>164</v>
      </c>
      <c r="F20" t="s">
        <v>165</v>
      </c>
      <c r="G20">
        <v>1198.6079999999999</v>
      </c>
      <c r="H20" t="s">
        <v>104</v>
      </c>
      <c r="I20">
        <v>2</v>
      </c>
      <c r="J20">
        <v>1</v>
      </c>
      <c r="K20">
        <v>0</v>
      </c>
      <c r="L20">
        <v>0</v>
      </c>
      <c r="M20">
        <v>0</v>
      </c>
      <c r="N20">
        <v>-1</v>
      </c>
      <c r="O20">
        <v>28</v>
      </c>
      <c r="P20">
        <v>28</v>
      </c>
      <c r="Q20">
        <v>32</v>
      </c>
      <c r="R20">
        <v>32</v>
      </c>
      <c r="S20">
        <v>32</v>
      </c>
      <c r="T20">
        <v>32</v>
      </c>
      <c r="U20">
        <v>32</v>
      </c>
      <c r="V20">
        <v>29</v>
      </c>
      <c r="W20">
        <v>31</v>
      </c>
      <c r="X20">
        <v>21</v>
      </c>
      <c r="Y20">
        <v>31</v>
      </c>
      <c r="Z20">
        <v>31</v>
      </c>
      <c r="AA20">
        <v>32</v>
      </c>
      <c r="AB20">
        <v>30</v>
      </c>
      <c r="AC20">
        <v>32</v>
      </c>
      <c r="AD20">
        <v>31</v>
      </c>
      <c r="AE20">
        <v>32</v>
      </c>
      <c r="AF20">
        <v>32</v>
      </c>
      <c r="AG20">
        <v>32</v>
      </c>
      <c r="AH20">
        <v>32</v>
      </c>
      <c r="AI20">
        <v>32</v>
      </c>
      <c r="AJ20">
        <v>32</v>
      </c>
      <c r="AK20">
        <v>32</v>
      </c>
      <c r="AL20">
        <v>31</v>
      </c>
      <c r="AM20">
        <v>32</v>
      </c>
      <c r="AN20">
        <v>32</v>
      </c>
      <c r="AO20">
        <v>32</v>
      </c>
      <c r="AP20">
        <v>86</v>
      </c>
      <c r="AQ20">
        <v>92</v>
      </c>
      <c r="AR20">
        <v>2</v>
      </c>
      <c r="AS20">
        <v>57</v>
      </c>
      <c r="AT20">
        <v>41</v>
      </c>
      <c r="AU20">
        <v>76</v>
      </c>
      <c r="AV20">
        <v>42</v>
      </c>
      <c r="AW20">
        <v>76</v>
      </c>
      <c r="AX20">
        <v>51</v>
      </c>
      <c r="AY20">
        <v>79</v>
      </c>
      <c r="AZ20">
        <v>44</v>
      </c>
      <c r="BA20">
        <v>77</v>
      </c>
      <c r="BB20">
        <v>56</v>
      </c>
      <c r="BC20">
        <v>58</v>
      </c>
      <c r="BD20">
        <v>40</v>
      </c>
      <c r="BE20">
        <v>76</v>
      </c>
      <c r="BF20">
        <v>36</v>
      </c>
      <c r="BG20">
        <v>68</v>
      </c>
      <c r="BH20">
        <v>49</v>
      </c>
      <c r="BI20">
        <v>77</v>
      </c>
      <c r="BJ20">
        <v>788704832</v>
      </c>
      <c r="BK20">
        <v>1948919040</v>
      </c>
      <c r="BL20">
        <v>3380802</v>
      </c>
      <c r="BM20">
        <v>560849792</v>
      </c>
      <c r="BN20">
        <v>402890112</v>
      </c>
      <c r="BO20">
        <v>1338638592</v>
      </c>
      <c r="BP20">
        <v>333903168</v>
      </c>
      <c r="BQ20">
        <v>1357616512</v>
      </c>
      <c r="BR20">
        <v>396070144</v>
      </c>
      <c r="BS20">
        <v>1094414208</v>
      </c>
      <c r="BT20">
        <v>203900048</v>
      </c>
      <c r="BU20">
        <v>1490088320</v>
      </c>
      <c r="BV20">
        <v>584075584</v>
      </c>
      <c r="BW20">
        <v>933248320</v>
      </c>
      <c r="BX20">
        <v>332907104</v>
      </c>
      <c r="BY20">
        <v>1236603392</v>
      </c>
      <c r="BZ20">
        <v>275368768</v>
      </c>
      <c r="CA20">
        <v>1592181248</v>
      </c>
      <c r="CB20">
        <v>350308160</v>
      </c>
      <c r="CC20">
        <v>1096442880</v>
      </c>
      <c r="CD20">
        <v>832800896</v>
      </c>
      <c r="CE20">
        <v>1152080256</v>
      </c>
      <c r="CF20">
        <v>317036384</v>
      </c>
      <c r="CG20">
        <v>609955520</v>
      </c>
      <c r="CH20">
        <v>325894464</v>
      </c>
      <c r="CI20">
        <v>897155840</v>
      </c>
      <c r="CJ20">
        <v>258047328</v>
      </c>
      <c r="CK20">
        <v>1284736256</v>
      </c>
      <c r="CL20">
        <v>442999904</v>
      </c>
      <c r="CM20">
        <v>1060053504</v>
      </c>
      <c r="CN20">
        <v>693636864</v>
      </c>
      <c r="CO20">
        <v>1208977024</v>
      </c>
      <c r="CP20">
        <v>618968896</v>
      </c>
      <c r="CQ20">
        <v>614301504</v>
      </c>
      <c r="CR20">
        <v>359362272</v>
      </c>
      <c r="CS20">
        <v>1061710016</v>
      </c>
      <c r="CT20">
        <v>287338272</v>
      </c>
      <c r="CU20">
        <v>1269919104</v>
      </c>
      <c r="CV20">
        <v>433155616</v>
      </c>
      <c r="CW20">
        <v>1595874048</v>
      </c>
    </row>
    <row r="21" spans="1:101">
      <c r="A21">
        <v>30958</v>
      </c>
      <c r="B21" t="s">
        <v>166</v>
      </c>
      <c r="D21" t="s">
        <v>166</v>
      </c>
      <c r="F21" t="s">
        <v>167</v>
      </c>
      <c r="G21">
        <v>1179.97</v>
      </c>
      <c r="H21" t="s">
        <v>104</v>
      </c>
      <c r="I21">
        <v>2</v>
      </c>
      <c r="J21">
        <v>1</v>
      </c>
      <c r="K21">
        <v>0</v>
      </c>
      <c r="L21">
        <v>0</v>
      </c>
      <c r="M21">
        <v>0</v>
      </c>
      <c r="N21">
        <v>-1</v>
      </c>
      <c r="O21">
        <v>39</v>
      </c>
      <c r="P21">
        <v>1</v>
      </c>
      <c r="Q21">
        <v>39</v>
      </c>
      <c r="R21">
        <v>1</v>
      </c>
      <c r="S21">
        <v>39</v>
      </c>
      <c r="T21">
        <v>1</v>
      </c>
      <c r="U21">
        <v>1</v>
      </c>
      <c r="V21">
        <v>1</v>
      </c>
      <c r="W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2</v>
      </c>
      <c r="AQ21">
        <v>1</v>
      </c>
      <c r="AR21">
        <v>0</v>
      </c>
      <c r="AS21">
        <v>1</v>
      </c>
      <c r="AT21">
        <v>2</v>
      </c>
      <c r="AU21">
        <v>1</v>
      </c>
      <c r="AV21">
        <v>1</v>
      </c>
      <c r="AW21">
        <v>1</v>
      </c>
      <c r="AX21">
        <v>2</v>
      </c>
      <c r="AY21">
        <v>2</v>
      </c>
      <c r="AZ21">
        <v>1</v>
      </c>
      <c r="BA21">
        <v>1</v>
      </c>
      <c r="BB21">
        <v>1</v>
      </c>
      <c r="BC21">
        <v>0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  <c r="BJ21">
        <v>119626352</v>
      </c>
      <c r="BK21">
        <v>86289712</v>
      </c>
      <c r="BL21">
        <v>1113911</v>
      </c>
      <c r="BM21">
        <v>18726816</v>
      </c>
      <c r="BN21">
        <v>88769752</v>
      </c>
      <c r="BO21">
        <v>47948972</v>
      </c>
      <c r="BP21">
        <v>46701832</v>
      </c>
      <c r="BQ21">
        <v>67159752</v>
      </c>
      <c r="BR21">
        <v>65328960</v>
      </c>
      <c r="BS21">
        <v>56358720</v>
      </c>
      <c r="BT21">
        <v>33595028</v>
      </c>
      <c r="BU21">
        <v>52598240</v>
      </c>
      <c r="BV21">
        <v>32840538</v>
      </c>
      <c r="BW21">
        <v>30270688</v>
      </c>
      <c r="BX21">
        <v>84143952</v>
      </c>
      <c r="BY21">
        <v>35843312</v>
      </c>
      <c r="BZ21">
        <v>42182624</v>
      </c>
      <c r="CA21">
        <v>122680488</v>
      </c>
      <c r="CB21">
        <v>62932240</v>
      </c>
      <c r="CC21">
        <v>83645864</v>
      </c>
      <c r="CD21">
        <v>2928441</v>
      </c>
      <c r="CE21">
        <v>1106817.3799999999</v>
      </c>
      <c r="CF21">
        <v>1861110.38</v>
      </c>
      <c r="CG21">
        <v>396386.44</v>
      </c>
      <c r="CH21">
        <v>1631123.88</v>
      </c>
      <c r="CI21">
        <v>807315.12</v>
      </c>
      <c r="CJ21">
        <v>1049878.8799999999</v>
      </c>
      <c r="CK21">
        <v>1198678.75</v>
      </c>
      <c r="CL21">
        <v>1286581.8799999999</v>
      </c>
      <c r="CM21">
        <v>912414.06</v>
      </c>
      <c r="CN21">
        <v>2301170.75</v>
      </c>
      <c r="CO21">
        <v>680727.12</v>
      </c>
      <c r="CP21">
        <v>750249.5</v>
      </c>
      <c r="CQ21">
        <v>263808.15999999997</v>
      </c>
      <c r="CR21">
        <v>1768284.75</v>
      </c>
      <c r="CS21">
        <v>621656.81000000006</v>
      </c>
      <c r="CT21">
        <v>974807.62</v>
      </c>
      <c r="CU21">
        <v>936975.81</v>
      </c>
      <c r="CV21">
        <v>1005409.25</v>
      </c>
      <c r="CW21">
        <v>570714.31000000006</v>
      </c>
    </row>
    <row r="22" spans="1:101">
      <c r="A22">
        <v>30935</v>
      </c>
      <c r="B22" t="s">
        <v>168</v>
      </c>
      <c r="D22" t="s">
        <v>169</v>
      </c>
      <c r="E22" t="s">
        <v>170</v>
      </c>
      <c r="F22" t="s">
        <v>171</v>
      </c>
      <c r="G22">
        <v>1101.444</v>
      </c>
      <c r="H22" t="s">
        <v>104</v>
      </c>
      <c r="I22">
        <v>2</v>
      </c>
      <c r="J22">
        <v>16</v>
      </c>
      <c r="K22">
        <v>5</v>
      </c>
      <c r="L22">
        <v>0</v>
      </c>
      <c r="M22">
        <v>0</v>
      </c>
      <c r="N22">
        <v>-1</v>
      </c>
      <c r="O22">
        <v>28</v>
      </c>
      <c r="P22">
        <v>28</v>
      </c>
      <c r="Q22">
        <v>32</v>
      </c>
      <c r="R22">
        <v>32</v>
      </c>
      <c r="S22">
        <v>32</v>
      </c>
      <c r="T22">
        <v>32</v>
      </c>
      <c r="U22">
        <v>32</v>
      </c>
      <c r="V22">
        <v>25</v>
      </c>
      <c r="W22">
        <v>29</v>
      </c>
      <c r="X22">
        <v>22</v>
      </c>
      <c r="Y22">
        <v>31</v>
      </c>
      <c r="Z22">
        <v>31</v>
      </c>
      <c r="AA22">
        <v>32</v>
      </c>
      <c r="AB22">
        <v>32</v>
      </c>
      <c r="AC22">
        <v>30</v>
      </c>
      <c r="AD22">
        <v>28</v>
      </c>
      <c r="AE22">
        <v>32</v>
      </c>
      <c r="AF22">
        <v>29</v>
      </c>
      <c r="AG22">
        <v>32</v>
      </c>
      <c r="AH22">
        <v>29</v>
      </c>
      <c r="AI22">
        <v>30</v>
      </c>
      <c r="AJ22">
        <v>30</v>
      </c>
      <c r="AK22">
        <v>32</v>
      </c>
      <c r="AL22">
        <v>30</v>
      </c>
      <c r="AM22">
        <v>31</v>
      </c>
      <c r="AN22">
        <v>29</v>
      </c>
      <c r="AO22">
        <v>32</v>
      </c>
      <c r="AP22">
        <v>236</v>
      </c>
      <c r="AQ22">
        <v>225</v>
      </c>
      <c r="AR22">
        <v>22</v>
      </c>
      <c r="AS22">
        <v>143</v>
      </c>
      <c r="AT22">
        <v>201</v>
      </c>
      <c r="AU22">
        <v>199</v>
      </c>
      <c r="AV22">
        <v>153</v>
      </c>
      <c r="AW22">
        <v>157</v>
      </c>
      <c r="AX22">
        <v>126</v>
      </c>
      <c r="AY22">
        <v>140</v>
      </c>
      <c r="AZ22">
        <v>88</v>
      </c>
      <c r="BA22">
        <v>185</v>
      </c>
      <c r="BB22">
        <v>167</v>
      </c>
      <c r="BC22">
        <v>147</v>
      </c>
      <c r="BD22">
        <v>141</v>
      </c>
      <c r="BE22">
        <v>153</v>
      </c>
      <c r="BF22">
        <v>121</v>
      </c>
      <c r="BG22">
        <v>148</v>
      </c>
      <c r="BH22">
        <v>122</v>
      </c>
      <c r="BI22">
        <v>102</v>
      </c>
      <c r="BJ22">
        <v>2640438528</v>
      </c>
      <c r="BK22">
        <v>4748355072</v>
      </c>
      <c r="BL22">
        <v>34395380</v>
      </c>
      <c r="BM22">
        <v>2277787136</v>
      </c>
      <c r="BN22">
        <v>4814022144</v>
      </c>
      <c r="BO22">
        <v>4275608064</v>
      </c>
      <c r="BP22">
        <v>3861445120</v>
      </c>
      <c r="BQ22">
        <v>4443656704</v>
      </c>
      <c r="BR22">
        <v>2572941312</v>
      </c>
      <c r="BS22">
        <v>2138998912</v>
      </c>
      <c r="BT22">
        <v>832330176</v>
      </c>
      <c r="BU22">
        <v>4424099840</v>
      </c>
      <c r="BV22">
        <v>3806158848</v>
      </c>
      <c r="BW22">
        <v>3756964352</v>
      </c>
      <c r="BX22">
        <v>4095721728</v>
      </c>
      <c r="BY22">
        <v>3369993216</v>
      </c>
      <c r="BZ22">
        <v>3518118656</v>
      </c>
      <c r="CA22">
        <v>4817851392</v>
      </c>
      <c r="CB22">
        <v>2423749120</v>
      </c>
      <c r="CC22">
        <v>1962452096</v>
      </c>
      <c r="CD22">
        <v>2245234432</v>
      </c>
      <c r="CE22">
        <v>3366260992</v>
      </c>
      <c r="CF22">
        <v>2546957824</v>
      </c>
      <c r="CG22">
        <v>2863903488</v>
      </c>
      <c r="CH22">
        <v>4281314560</v>
      </c>
      <c r="CI22">
        <v>3551643904</v>
      </c>
      <c r="CJ22">
        <v>3194622464</v>
      </c>
      <c r="CK22">
        <v>4167531520</v>
      </c>
      <c r="CL22">
        <v>2127165056</v>
      </c>
      <c r="CM22">
        <v>2649831680</v>
      </c>
      <c r="CN22">
        <v>2758290432</v>
      </c>
      <c r="CO22">
        <v>4474907648</v>
      </c>
      <c r="CP22">
        <v>3976673792</v>
      </c>
      <c r="CQ22">
        <v>2155058176</v>
      </c>
      <c r="CR22">
        <v>4093142528</v>
      </c>
      <c r="CS22">
        <v>3266736128</v>
      </c>
      <c r="CT22">
        <v>3215910912</v>
      </c>
      <c r="CU22">
        <v>3865925120</v>
      </c>
      <c r="CV22">
        <v>2726142720</v>
      </c>
      <c r="CW22">
        <v>3120096000</v>
      </c>
    </row>
    <row r="23" spans="1:101">
      <c r="A23">
        <v>31045</v>
      </c>
      <c r="B23" t="s">
        <v>172</v>
      </c>
      <c r="D23" t="s">
        <v>173</v>
      </c>
      <c r="E23" t="s">
        <v>174</v>
      </c>
      <c r="F23" t="s">
        <v>175</v>
      </c>
      <c r="G23">
        <v>1084.616</v>
      </c>
      <c r="H23" t="s">
        <v>104</v>
      </c>
      <c r="I23">
        <v>2</v>
      </c>
      <c r="J23">
        <v>3</v>
      </c>
      <c r="K23">
        <v>18</v>
      </c>
      <c r="L23">
        <v>0</v>
      </c>
      <c r="M23">
        <v>0</v>
      </c>
      <c r="N23">
        <v>-1</v>
      </c>
      <c r="O23">
        <v>29</v>
      </c>
      <c r="P23">
        <v>29</v>
      </c>
      <c r="Q23">
        <v>29</v>
      </c>
      <c r="R23">
        <v>29</v>
      </c>
      <c r="S23">
        <v>29</v>
      </c>
      <c r="T23">
        <v>29</v>
      </c>
      <c r="U23">
        <v>29</v>
      </c>
      <c r="V23">
        <v>26</v>
      </c>
      <c r="W23">
        <v>28</v>
      </c>
      <c r="X23">
        <v>11</v>
      </c>
      <c r="Y23">
        <v>28</v>
      </c>
      <c r="Z23">
        <v>29</v>
      </c>
      <c r="AA23">
        <v>29</v>
      </c>
      <c r="AB23">
        <v>26</v>
      </c>
      <c r="AC23">
        <v>29</v>
      </c>
      <c r="AD23">
        <v>29</v>
      </c>
      <c r="AE23">
        <v>29</v>
      </c>
      <c r="AF23">
        <v>29</v>
      </c>
      <c r="AG23">
        <v>29</v>
      </c>
      <c r="AH23">
        <v>28</v>
      </c>
      <c r="AI23">
        <v>28</v>
      </c>
      <c r="AJ23">
        <v>29</v>
      </c>
      <c r="AK23">
        <v>28</v>
      </c>
      <c r="AL23">
        <v>27</v>
      </c>
      <c r="AM23">
        <v>29</v>
      </c>
      <c r="AN23">
        <v>29</v>
      </c>
      <c r="AO23">
        <v>29</v>
      </c>
      <c r="AP23">
        <v>29</v>
      </c>
      <c r="AQ23">
        <v>31</v>
      </c>
      <c r="AR23">
        <v>1</v>
      </c>
      <c r="AS23">
        <v>19</v>
      </c>
      <c r="AT23">
        <v>28</v>
      </c>
      <c r="AU23">
        <v>22</v>
      </c>
      <c r="AV23">
        <v>17</v>
      </c>
      <c r="AW23">
        <v>35</v>
      </c>
      <c r="AX23">
        <v>28</v>
      </c>
      <c r="AY23">
        <v>32</v>
      </c>
      <c r="AZ23">
        <v>18</v>
      </c>
      <c r="BA23">
        <v>35</v>
      </c>
      <c r="BB23">
        <v>17</v>
      </c>
      <c r="BC23">
        <v>27</v>
      </c>
      <c r="BD23">
        <v>25</v>
      </c>
      <c r="BE23">
        <v>24</v>
      </c>
      <c r="BF23">
        <v>17</v>
      </c>
      <c r="BG23">
        <v>35</v>
      </c>
      <c r="BH23">
        <v>29</v>
      </c>
      <c r="BI23">
        <v>35</v>
      </c>
      <c r="BJ23">
        <v>90060376</v>
      </c>
      <c r="BK23">
        <v>137017056</v>
      </c>
      <c r="BL23">
        <v>932968.5</v>
      </c>
      <c r="BM23">
        <v>30099308</v>
      </c>
      <c r="BN23">
        <v>84506592</v>
      </c>
      <c r="BO23">
        <v>59970872</v>
      </c>
      <c r="BP23">
        <v>37857860</v>
      </c>
      <c r="BQ23">
        <v>131377968</v>
      </c>
      <c r="BR23">
        <v>85072584</v>
      </c>
      <c r="BS23">
        <v>93249912</v>
      </c>
      <c r="BT23">
        <v>34266520</v>
      </c>
      <c r="BU23">
        <v>105568120</v>
      </c>
      <c r="BV23">
        <v>28497808</v>
      </c>
      <c r="BW23">
        <v>61686076</v>
      </c>
      <c r="BX23">
        <v>67042396</v>
      </c>
      <c r="BY23">
        <v>52914556</v>
      </c>
      <c r="BZ23">
        <v>33747568</v>
      </c>
      <c r="CA23">
        <v>159508864</v>
      </c>
      <c r="CB23">
        <v>57357968</v>
      </c>
      <c r="CC23">
        <v>107548400</v>
      </c>
      <c r="CD23">
        <v>98065552</v>
      </c>
      <c r="CE23">
        <v>88123264</v>
      </c>
      <c r="CF23">
        <v>40637892</v>
      </c>
      <c r="CG23">
        <v>35470732</v>
      </c>
      <c r="CH23">
        <v>73933344</v>
      </c>
      <c r="CI23">
        <v>44013176</v>
      </c>
      <c r="CJ23">
        <v>32447636</v>
      </c>
      <c r="CK23">
        <v>125699320</v>
      </c>
      <c r="CL23">
        <v>92744688</v>
      </c>
      <c r="CM23">
        <v>93128088</v>
      </c>
      <c r="CN23">
        <v>134381952</v>
      </c>
      <c r="CO23">
        <v>88934840</v>
      </c>
      <c r="CP23">
        <v>32891154</v>
      </c>
      <c r="CQ23">
        <v>41995588</v>
      </c>
      <c r="CR23">
        <v>73590616</v>
      </c>
      <c r="CS23">
        <v>45512228</v>
      </c>
      <c r="CT23">
        <v>39873220</v>
      </c>
      <c r="CU23">
        <v>136046752</v>
      </c>
      <c r="CV23">
        <v>77165248</v>
      </c>
      <c r="CW23">
        <v>171842960</v>
      </c>
    </row>
    <row r="24" spans="1:101">
      <c r="A24">
        <v>31005</v>
      </c>
      <c r="B24" t="s">
        <v>176</v>
      </c>
      <c r="D24" t="s">
        <v>177</v>
      </c>
      <c r="F24" t="s">
        <v>178</v>
      </c>
      <c r="G24">
        <v>1078.1659999999999</v>
      </c>
      <c r="H24" t="s">
        <v>104</v>
      </c>
      <c r="I24">
        <v>2</v>
      </c>
      <c r="J24">
        <v>20</v>
      </c>
      <c r="K24">
        <v>0</v>
      </c>
      <c r="L24">
        <v>0</v>
      </c>
      <c r="M24">
        <v>0</v>
      </c>
      <c r="N24">
        <v>-1</v>
      </c>
      <c r="O24">
        <v>28</v>
      </c>
      <c r="P24">
        <v>28</v>
      </c>
      <c r="Q24">
        <v>29</v>
      </c>
      <c r="R24">
        <v>29</v>
      </c>
      <c r="S24">
        <v>29</v>
      </c>
      <c r="T24">
        <v>29</v>
      </c>
      <c r="U24">
        <v>29</v>
      </c>
      <c r="V24">
        <v>22</v>
      </c>
      <c r="W24">
        <v>27</v>
      </c>
      <c r="X24">
        <v>20</v>
      </c>
      <c r="Y24">
        <v>28</v>
      </c>
      <c r="Z24">
        <v>29</v>
      </c>
      <c r="AA24">
        <v>29</v>
      </c>
      <c r="AB24">
        <v>28</v>
      </c>
      <c r="AC24">
        <v>28</v>
      </c>
      <c r="AD24">
        <v>26</v>
      </c>
      <c r="AE24">
        <v>29</v>
      </c>
      <c r="AF24">
        <v>27</v>
      </c>
      <c r="AG24">
        <v>29</v>
      </c>
      <c r="AH24">
        <v>27</v>
      </c>
      <c r="AI24">
        <v>27</v>
      </c>
      <c r="AJ24">
        <v>25</v>
      </c>
      <c r="AK24">
        <v>29</v>
      </c>
      <c r="AL24">
        <v>25</v>
      </c>
      <c r="AM24">
        <v>29</v>
      </c>
      <c r="AN24">
        <v>27</v>
      </c>
      <c r="AO24">
        <v>29</v>
      </c>
      <c r="AP24">
        <v>105</v>
      </c>
      <c r="AQ24">
        <v>129</v>
      </c>
      <c r="AR24">
        <v>9</v>
      </c>
      <c r="AS24">
        <v>93</v>
      </c>
      <c r="AT24">
        <v>112</v>
      </c>
      <c r="AU24">
        <v>108</v>
      </c>
      <c r="AV24">
        <v>100</v>
      </c>
      <c r="AW24">
        <v>99</v>
      </c>
      <c r="AX24">
        <v>76</v>
      </c>
      <c r="AY24">
        <v>85</v>
      </c>
      <c r="AZ24">
        <v>58</v>
      </c>
      <c r="BA24">
        <v>109</v>
      </c>
      <c r="BB24">
        <v>93</v>
      </c>
      <c r="BC24">
        <v>86</v>
      </c>
      <c r="BD24">
        <v>85</v>
      </c>
      <c r="BE24">
        <v>88</v>
      </c>
      <c r="BF24">
        <v>85</v>
      </c>
      <c r="BG24">
        <v>96</v>
      </c>
      <c r="BH24">
        <v>73</v>
      </c>
      <c r="BI24">
        <v>72</v>
      </c>
      <c r="BJ24">
        <v>3819982848</v>
      </c>
      <c r="BK24">
        <v>6850032640</v>
      </c>
      <c r="BL24">
        <v>23512800</v>
      </c>
      <c r="BM24">
        <v>2798336512</v>
      </c>
      <c r="BN24">
        <v>6555611648</v>
      </c>
      <c r="BO24">
        <v>3733888512</v>
      </c>
      <c r="BP24">
        <v>5280961536</v>
      </c>
      <c r="BQ24">
        <v>5977761792</v>
      </c>
      <c r="BR24">
        <v>2846112256</v>
      </c>
      <c r="BS24">
        <v>2727472128</v>
      </c>
      <c r="BT24">
        <v>1020267904</v>
      </c>
      <c r="BU24">
        <v>5552967168</v>
      </c>
      <c r="BV24">
        <v>5238943232</v>
      </c>
      <c r="BW24">
        <v>5036166656</v>
      </c>
      <c r="BX24">
        <v>5257507328</v>
      </c>
      <c r="BY24">
        <v>3441475328</v>
      </c>
      <c r="BZ24">
        <v>4634323968</v>
      </c>
      <c r="CA24">
        <v>5849242624</v>
      </c>
      <c r="CB24">
        <v>2586483456</v>
      </c>
      <c r="CC24">
        <v>1939385088</v>
      </c>
      <c r="CD24">
        <v>3080220928</v>
      </c>
      <c r="CE24">
        <v>5031846400</v>
      </c>
      <c r="CF24">
        <v>2716554496</v>
      </c>
      <c r="CG24">
        <v>3080220928</v>
      </c>
      <c r="CH24">
        <v>5869347840</v>
      </c>
      <c r="CI24">
        <v>3497617920</v>
      </c>
      <c r="CJ24">
        <v>4172035584</v>
      </c>
      <c r="CK24">
        <v>4867445248</v>
      </c>
      <c r="CL24">
        <v>1924847616</v>
      </c>
      <c r="CM24">
        <v>3193458944</v>
      </c>
      <c r="CN24">
        <v>2606143744</v>
      </c>
      <c r="CO24">
        <v>6034417152</v>
      </c>
      <c r="CP24">
        <v>4833159680</v>
      </c>
      <c r="CQ24">
        <v>2598651648</v>
      </c>
      <c r="CR24">
        <v>4465343488</v>
      </c>
      <c r="CS24">
        <v>3946519552</v>
      </c>
      <c r="CT24">
        <v>3669093120</v>
      </c>
      <c r="CU24">
        <v>4285830912</v>
      </c>
      <c r="CV24">
        <v>2631199488</v>
      </c>
      <c r="CW24">
        <v>4625401344</v>
      </c>
    </row>
    <row r="25" spans="1:101">
      <c r="A25">
        <v>31044</v>
      </c>
      <c r="B25" t="s">
        <v>179</v>
      </c>
      <c r="D25" t="s">
        <v>180</v>
      </c>
      <c r="F25" t="s">
        <v>181</v>
      </c>
      <c r="G25">
        <v>1064.0840000000001</v>
      </c>
      <c r="H25" t="s">
        <v>104</v>
      </c>
      <c r="I25">
        <v>2</v>
      </c>
      <c r="J25">
        <v>21</v>
      </c>
      <c r="K25">
        <v>0</v>
      </c>
      <c r="L25">
        <v>0</v>
      </c>
      <c r="M25">
        <v>0</v>
      </c>
      <c r="N25">
        <v>-1</v>
      </c>
      <c r="O25">
        <v>30</v>
      </c>
      <c r="P25">
        <v>30</v>
      </c>
      <c r="Q25">
        <v>35</v>
      </c>
      <c r="R25">
        <v>35</v>
      </c>
      <c r="S25">
        <v>35</v>
      </c>
      <c r="T25">
        <v>35</v>
      </c>
      <c r="U25">
        <v>35</v>
      </c>
      <c r="V25">
        <v>28</v>
      </c>
      <c r="W25">
        <v>33</v>
      </c>
      <c r="X25">
        <v>29</v>
      </c>
      <c r="Y25">
        <v>35</v>
      </c>
      <c r="Z25">
        <v>34</v>
      </c>
      <c r="AA25">
        <v>33</v>
      </c>
      <c r="AB25">
        <v>35</v>
      </c>
      <c r="AC25">
        <v>35</v>
      </c>
      <c r="AD25">
        <v>35</v>
      </c>
      <c r="AE25">
        <v>34</v>
      </c>
      <c r="AF25">
        <v>34</v>
      </c>
      <c r="AG25">
        <v>35</v>
      </c>
      <c r="AH25">
        <v>35</v>
      </c>
      <c r="AI25">
        <v>35</v>
      </c>
      <c r="AJ25">
        <v>35</v>
      </c>
      <c r="AK25">
        <v>35</v>
      </c>
      <c r="AL25">
        <v>34</v>
      </c>
      <c r="AM25">
        <v>35</v>
      </c>
      <c r="AN25">
        <v>34</v>
      </c>
      <c r="AO25">
        <v>35</v>
      </c>
      <c r="AP25">
        <v>111</v>
      </c>
      <c r="AQ25">
        <v>147</v>
      </c>
      <c r="AR25">
        <v>11</v>
      </c>
      <c r="AS25">
        <v>143</v>
      </c>
      <c r="AT25">
        <v>176</v>
      </c>
      <c r="AU25">
        <v>83</v>
      </c>
      <c r="AV25">
        <v>191</v>
      </c>
      <c r="AW25">
        <v>183</v>
      </c>
      <c r="AX25">
        <v>124</v>
      </c>
      <c r="AY25">
        <v>99</v>
      </c>
      <c r="AZ25">
        <v>78</v>
      </c>
      <c r="BA25">
        <v>127</v>
      </c>
      <c r="BB25">
        <v>127</v>
      </c>
      <c r="BC25">
        <v>169</v>
      </c>
      <c r="BD25">
        <v>209</v>
      </c>
      <c r="BE25">
        <v>90</v>
      </c>
      <c r="BF25">
        <v>204</v>
      </c>
      <c r="BG25">
        <v>189</v>
      </c>
      <c r="BH25">
        <v>98</v>
      </c>
      <c r="BI25">
        <v>57</v>
      </c>
      <c r="BJ25">
        <v>892925056</v>
      </c>
      <c r="BK25">
        <v>1736916352</v>
      </c>
      <c r="BL25">
        <v>7282495.5</v>
      </c>
      <c r="BM25">
        <v>1198094336</v>
      </c>
      <c r="BN25">
        <v>2684459008</v>
      </c>
      <c r="BO25">
        <v>818049152</v>
      </c>
      <c r="BP25">
        <v>2988259840</v>
      </c>
      <c r="BQ25">
        <v>3491387904</v>
      </c>
      <c r="BR25">
        <v>1096871168</v>
      </c>
      <c r="BS25">
        <v>613758528</v>
      </c>
      <c r="BT25">
        <v>355441600</v>
      </c>
      <c r="BU25">
        <v>1170065152</v>
      </c>
      <c r="BV25">
        <v>1529269248</v>
      </c>
      <c r="BW25">
        <v>2532662784</v>
      </c>
      <c r="BX25">
        <v>4140559104</v>
      </c>
      <c r="BY25">
        <v>717454912</v>
      </c>
      <c r="BZ25">
        <v>3845496320</v>
      </c>
      <c r="CA25">
        <v>3943420416</v>
      </c>
      <c r="CB25">
        <v>739759232</v>
      </c>
      <c r="CC25">
        <v>272582496</v>
      </c>
      <c r="CD25">
        <v>753583232</v>
      </c>
      <c r="CE25">
        <v>1033200192</v>
      </c>
      <c r="CF25">
        <v>1136449664</v>
      </c>
      <c r="CG25">
        <v>1536231808</v>
      </c>
      <c r="CH25">
        <v>2449654016</v>
      </c>
      <c r="CI25">
        <v>633280128</v>
      </c>
      <c r="CJ25">
        <v>2919117056</v>
      </c>
      <c r="CK25">
        <v>3100916480</v>
      </c>
      <c r="CL25">
        <v>1348897408</v>
      </c>
      <c r="CM25">
        <v>691617536</v>
      </c>
      <c r="CN25">
        <v>1522903936</v>
      </c>
      <c r="CO25">
        <v>966973952</v>
      </c>
      <c r="CP25">
        <v>2079052160</v>
      </c>
      <c r="CQ25">
        <v>1780544000</v>
      </c>
      <c r="CR25">
        <v>5013210112</v>
      </c>
      <c r="CS25">
        <v>709022080</v>
      </c>
      <c r="CT25">
        <v>4476106240</v>
      </c>
      <c r="CU25">
        <v>3445466624</v>
      </c>
      <c r="CV25">
        <v>956006144</v>
      </c>
      <c r="CW25">
        <v>480514848</v>
      </c>
    </row>
    <row r="26" spans="1:101">
      <c r="A26">
        <v>30933</v>
      </c>
      <c r="B26" t="s">
        <v>182</v>
      </c>
      <c r="D26" t="s">
        <v>183</v>
      </c>
      <c r="F26" t="s">
        <v>184</v>
      </c>
      <c r="G26">
        <v>1054.8399999999999</v>
      </c>
      <c r="H26" t="s">
        <v>104</v>
      </c>
      <c r="I26">
        <v>2</v>
      </c>
      <c r="J26">
        <v>3</v>
      </c>
      <c r="K26">
        <v>0</v>
      </c>
      <c r="L26">
        <v>0</v>
      </c>
      <c r="M26">
        <v>0</v>
      </c>
      <c r="N26">
        <v>-1</v>
      </c>
      <c r="O26">
        <v>21</v>
      </c>
      <c r="P26">
        <v>21</v>
      </c>
      <c r="Q26">
        <v>24</v>
      </c>
      <c r="R26">
        <v>24</v>
      </c>
      <c r="S26">
        <v>24</v>
      </c>
      <c r="T26">
        <v>24</v>
      </c>
      <c r="U26">
        <v>24</v>
      </c>
      <c r="V26">
        <v>23</v>
      </c>
      <c r="W26">
        <v>24</v>
      </c>
      <c r="X26">
        <v>20</v>
      </c>
      <c r="Y26">
        <v>23</v>
      </c>
      <c r="Z26">
        <v>23</v>
      </c>
      <c r="AA26">
        <v>24</v>
      </c>
      <c r="AB26">
        <v>24</v>
      </c>
      <c r="AC26">
        <v>24</v>
      </c>
      <c r="AD26">
        <v>24</v>
      </c>
      <c r="AE26">
        <v>24</v>
      </c>
      <c r="AF26">
        <v>23</v>
      </c>
      <c r="AG26">
        <v>24</v>
      </c>
      <c r="AH26">
        <v>24</v>
      </c>
      <c r="AI26">
        <v>23</v>
      </c>
      <c r="AJ26">
        <v>22</v>
      </c>
      <c r="AK26">
        <v>24</v>
      </c>
      <c r="AL26">
        <v>23</v>
      </c>
      <c r="AM26">
        <v>23</v>
      </c>
      <c r="AN26">
        <v>24</v>
      </c>
      <c r="AO26">
        <v>24</v>
      </c>
      <c r="AP26">
        <v>209</v>
      </c>
      <c r="AQ26">
        <v>135</v>
      </c>
      <c r="AR26">
        <v>43</v>
      </c>
      <c r="AS26">
        <v>70</v>
      </c>
      <c r="AT26">
        <v>67</v>
      </c>
      <c r="AU26">
        <v>106</v>
      </c>
      <c r="AV26">
        <v>73</v>
      </c>
      <c r="AW26">
        <v>80</v>
      </c>
      <c r="AX26">
        <v>112</v>
      </c>
      <c r="AY26">
        <v>196</v>
      </c>
      <c r="AZ26">
        <v>85</v>
      </c>
      <c r="BA26">
        <v>101</v>
      </c>
      <c r="BB26">
        <v>91</v>
      </c>
      <c r="BC26">
        <v>70</v>
      </c>
      <c r="BD26">
        <v>58</v>
      </c>
      <c r="BE26">
        <v>94</v>
      </c>
      <c r="BF26">
        <v>63</v>
      </c>
      <c r="BG26">
        <v>81</v>
      </c>
      <c r="BH26">
        <v>100</v>
      </c>
      <c r="BI26">
        <v>171</v>
      </c>
      <c r="BJ26">
        <v>3023323136</v>
      </c>
      <c r="BK26">
        <v>3647605504</v>
      </c>
      <c r="BL26">
        <v>33143496</v>
      </c>
      <c r="BM26">
        <v>841056448</v>
      </c>
      <c r="BN26">
        <v>1465878016</v>
      </c>
      <c r="BO26">
        <v>2862885632</v>
      </c>
      <c r="BP26">
        <v>1451925376</v>
      </c>
      <c r="BQ26">
        <v>2112053888</v>
      </c>
      <c r="BR26">
        <v>2244013568</v>
      </c>
      <c r="BS26">
        <v>5154114560</v>
      </c>
      <c r="BT26">
        <v>729592960</v>
      </c>
      <c r="BU26">
        <v>2844517120</v>
      </c>
      <c r="BV26">
        <v>2463091712</v>
      </c>
      <c r="BW26">
        <v>1579141248</v>
      </c>
      <c r="BX26">
        <v>1141894656</v>
      </c>
      <c r="BY26">
        <v>2430323456</v>
      </c>
      <c r="BZ26">
        <v>1096978432</v>
      </c>
      <c r="CA26">
        <v>2391769856</v>
      </c>
      <c r="CB26">
        <v>2083243264</v>
      </c>
      <c r="CC26">
        <v>3759643904</v>
      </c>
      <c r="CD26">
        <v>3350154240</v>
      </c>
      <c r="CE26">
        <v>2301503488</v>
      </c>
      <c r="CF26">
        <v>1086837504</v>
      </c>
      <c r="CG26">
        <v>1119537152</v>
      </c>
      <c r="CH26">
        <v>1087318912</v>
      </c>
      <c r="CI26">
        <v>2062152960</v>
      </c>
      <c r="CJ26">
        <v>1279745280</v>
      </c>
      <c r="CK26">
        <v>2203798016</v>
      </c>
      <c r="CL26">
        <v>2498904832</v>
      </c>
      <c r="CM26">
        <v>5627723776</v>
      </c>
      <c r="CN26">
        <v>2983692544</v>
      </c>
      <c r="CO26">
        <v>2458021120</v>
      </c>
      <c r="CP26">
        <v>2650055936</v>
      </c>
      <c r="CQ26">
        <v>1067643904</v>
      </c>
      <c r="CR26">
        <v>1154489472</v>
      </c>
      <c r="CS26">
        <v>2273685248</v>
      </c>
      <c r="CT26">
        <v>1135707392</v>
      </c>
      <c r="CU26">
        <v>2014531328</v>
      </c>
      <c r="CV26">
        <v>2559661824</v>
      </c>
      <c r="CW26">
        <v>6491085312</v>
      </c>
    </row>
    <row r="27" spans="1:101">
      <c r="A27">
        <v>30913</v>
      </c>
      <c r="B27" t="s">
        <v>185</v>
      </c>
      <c r="D27" t="s">
        <v>186</v>
      </c>
      <c r="F27" t="s">
        <v>187</v>
      </c>
      <c r="G27">
        <v>1019.853</v>
      </c>
      <c r="H27" t="s">
        <v>104</v>
      </c>
      <c r="I27">
        <v>2</v>
      </c>
      <c r="J27">
        <v>21</v>
      </c>
      <c r="K27">
        <v>0</v>
      </c>
      <c r="L27">
        <v>0</v>
      </c>
      <c r="M27">
        <v>0</v>
      </c>
      <c r="N27">
        <v>-1</v>
      </c>
      <c r="O27">
        <v>22</v>
      </c>
      <c r="P27">
        <v>22</v>
      </c>
      <c r="Q27">
        <v>24</v>
      </c>
      <c r="R27">
        <v>24</v>
      </c>
      <c r="S27">
        <v>24</v>
      </c>
      <c r="T27">
        <v>24</v>
      </c>
      <c r="U27">
        <v>24</v>
      </c>
      <c r="V27">
        <v>21</v>
      </c>
      <c r="W27">
        <v>22</v>
      </c>
      <c r="X27">
        <v>18</v>
      </c>
      <c r="Y27">
        <v>24</v>
      </c>
      <c r="Z27">
        <v>24</v>
      </c>
      <c r="AA27">
        <v>23</v>
      </c>
      <c r="AB27">
        <v>23</v>
      </c>
      <c r="AC27">
        <v>22</v>
      </c>
      <c r="AD27">
        <v>21</v>
      </c>
      <c r="AE27">
        <v>24</v>
      </c>
      <c r="AF27">
        <v>22</v>
      </c>
      <c r="AG27">
        <v>24</v>
      </c>
      <c r="AH27">
        <v>23</v>
      </c>
      <c r="AI27">
        <v>22</v>
      </c>
      <c r="AJ27">
        <v>22</v>
      </c>
      <c r="AK27">
        <v>24</v>
      </c>
      <c r="AL27">
        <v>22</v>
      </c>
      <c r="AM27">
        <v>22</v>
      </c>
      <c r="AN27">
        <v>23</v>
      </c>
      <c r="AO27">
        <v>24</v>
      </c>
      <c r="AP27">
        <v>159</v>
      </c>
      <c r="AQ27">
        <v>116</v>
      </c>
      <c r="AR27">
        <v>13</v>
      </c>
      <c r="AS27">
        <v>84</v>
      </c>
      <c r="AT27">
        <v>110</v>
      </c>
      <c r="AU27">
        <v>80</v>
      </c>
      <c r="AV27">
        <v>89</v>
      </c>
      <c r="AW27">
        <v>92</v>
      </c>
      <c r="AX27">
        <v>76</v>
      </c>
      <c r="AY27">
        <v>75</v>
      </c>
      <c r="AZ27">
        <v>55</v>
      </c>
      <c r="BA27">
        <v>102</v>
      </c>
      <c r="BB27">
        <v>94</v>
      </c>
      <c r="BC27">
        <v>82</v>
      </c>
      <c r="BD27">
        <v>89</v>
      </c>
      <c r="BE27">
        <v>81</v>
      </c>
      <c r="BF27">
        <v>85</v>
      </c>
      <c r="BG27">
        <v>99</v>
      </c>
      <c r="BH27">
        <v>76</v>
      </c>
      <c r="BI27">
        <v>55</v>
      </c>
      <c r="BJ27">
        <v>4249940480</v>
      </c>
      <c r="BK27">
        <v>7066850816</v>
      </c>
      <c r="BL27">
        <v>27975392</v>
      </c>
      <c r="BM27">
        <v>3227709184</v>
      </c>
      <c r="BN27">
        <v>7037791232</v>
      </c>
      <c r="BO27">
        <v>3520900864</v>
      </c>
      <c r="BP27">
        <v>6040716800</v>
      </c>
      <c r="BQ27">
        <v>6245046272</v>
      </c>
      <c r="BR27">
        <v>3628585728</v>
      </c>
      <c r="BS27">
        <v>2746401024</v>
      </c>
      <c r="BT27">
        <v>1289771392</v>
      </c>
      <c r="BU27">
        <v>5843748864</v>
      </c>
      <c r="BV27">
        <v>5963763200</v>
      </c>
      <c r="BW27">
        <v>5668506112</v>
      </c>
      <c r="BX27">
        <v>6362288640</v>
      </c>
      <c r="BY27">
        <v>3347022336</v>
      </c>
      <c r="BZ27">
        <v>5655034880</v>
      </c>
      <c r="CA27">
        <v>7215556608</v>
      </c>
      <c r="CB27">
        <v>3621951488</v>
      </c>
      <c r="CC27">
        <v>1709654144</v>
      </c>
      <c r="CD27">
        <v>3003230720</v>
      </c>
      <c r="CE27">
        <v>4373900288</v>
      </c>
      <c r="CF27">
        <v>3302439936</v>
      </c>
      <c r="CG27">
        <v>4383429632</v>
      </c>
      <c r="CH27">
        <v>6886319616</v>
      </c>
      <c r="CI27">
        <v>2929388032</v>
      </c>
      <c r="CJ27">
        <v>5024984064</v>
      </c>
      <c r="CK27">
        <v>5537993216</v>
      </c>
      <c r="CL27">
        <v>3512205824</v>
      </c>
      <c r="CM27">
        <v>3441731328</v>
      </c>
      <c r="CN27">
        <v>4428805632</v>
      </c>
      <c r="CO27">
        <v>6268939776</v>
      </c>
      <c r="CP27">
        <v>7257485312</v>
      </c>
      <c r="CQ27">
        <v>3270161920</v>
      </c>
      <c r="CR27">
        <v>6571205632</v>
      </c>
      <c r="CS27">
        <v>3343796224</v>
      </c>
      <c r="CT27">
        <v>5223875072</v>
      </c>
      <c r="CU27">
        <v>5529906688</v>
      </c>
      <c r="CV27">
        <v>4650246656</v>
      </c>
      <c r="CW27">
        <v>2521068800</v>
      </c>
    </row>
    <row r="28" spans="1:101">
      <c r="A28">
        <v>31031</v>
      </c>
      <c r="B28" t="s">
        <v>188</v>
      </c>
      <c r="D28" t="s">
        <v>189</v>
      </c>
      <c r="E28" t="s">
        <v>190</v>
      </c>
      <c r="F28" t="s">
        <v>191</v>
      </c>
      <c r="G28">
        <v>992.49300000000005</v>
      </c>
      <c r="H28" t="s">
        <v>104</v>
      </c>
      <c r="I28">
        <v>2</v>
      </c>
      <c r="J28">
        <v>14</v>
      </c>
      <c r="K28">
        <v>4</v>
      </c>
      <c r="L28">
        <v>0</v>
      </c>
      <c r="M28">
        <v>0</v>
      </c>
      <c r="N28">
        <v>-1</v>
      </c>
      <c r="O28">
        <v>22</v>
      </c>
      <c r="P28">
        <v>3</v>
      </c>
      <c r="Q28">
        <v>24</v>
      </c>
      <c r="R28">
        <v>3</v>
      </c>
      <c r="S28">
        <v>24</v>
      </c>
      <c r="T28">
        <v>3</v>
      </c>
      <c r="U28">
        <v>3</v>
      </c>
      <c r="V28">
        <v>3</v>
      </c>
      <c r="W28">
        <v>3</v>
      </c>
      <c r="X28">
        <v>2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  <c r="AI28">
        <v>3</v>
      </c>
      <c r="AJ28">
        <v>3</v>
      </c>
      <c r="AK28">
        <v>3</v>
      </c>
      <c r="AL28">
        <v>3</v>
      </c>
      <c r="AM28">
        <v>3</v>
      </c>
      <c r="AN28">
        <v>3</v>
      </c>
      <c r="AO28">
        <v>3</v>
      </c>
      <c r="AP28">
        <v>8</v>
      </c>
      <c r="AQ28">
        <v>9</v>
      </c>
      <c r="AR28">
        <v>0</v>
      </c>
      <c r="AS28">
        <v>6</v>
      </c>
      <c r="AT28">
        <v>6</v>
      </c>
      <c r="AU28">
        <v>7</v>
      </c>
      <c r="AV28">
        <v>5</v>
      </c>
      <c r="AW28">
        <v>5</v>
      </c>
      <c r="AX28">
        <v>6</v>
      </c>
      <c r="AY28">
        <v>7</v>
      </c>
      <c r="AZ28">
        <v>2</v>
      </c>
      <c r="BA28">
        <v>8</v>
      </c>
      <c r="BB28">
        <v>6</v>
      </c>
      <c r="BC28">
        <v>7</v>
      </c>
      <c r="BD28">
        <v>5</v>
      </c>
      <c r="BE28">
        <v>7</v>
      </c>
      <c r="BF28">
        <v>5</v>
      </c>
      <c r="BG28">
        <v>6</v>
      </c>
      <c r="BH28">
        <v>5</v>
      </c>
      <c r="BI28">
        <v>7</v>
      </c>
      <c r="BJ28">
        <v>863903360</v>
      </c>
      <c r="BK28">
        <v>2108730624</v>
      </c>
      <c r="BL28">
        <v>5664576</v>
      </c>
      <c r="BM28">
        <v>571742400</v>
      </c>
      <c r="BN28">
        <v>588958848</v>
      </c>
      <c r="BO28">
        <v>1438991872</v>
      </c>
      <c r="BP28">
        <v>472748064</v>
      </c>
      <c r="BQ28">
        <v>1248752512</v>
      </c>
      <c r="BR28">
        <v>412370240</v>
      </c>
      <c r="BS28">
        <v>1077044992</v>
      </c>
      <c r="BT28">
        <v>271090784</v>
      </c>
      <c r="BU28">
        <v>1583726336</v>
      </c>
      <c r="BV28">
        <v>995828928</v>
      </c>
      <c r="BW28">
        <v>1122465024</v>
      </c>
      <c r="BX28">
        <v>559698688</v>
      </c>
      <c r="BY28">
        <v>1208075136</v>
      </c>
      <c r="BZ28">
        <v>385147456</v>
      </c>
      <c r="CA28">
        <v>1321497472</v>
      </c>
      <c r="CB28">
        <v>354370432</v>
      </c>
      <c r="CC28">
        <v>1219758976</v>
      </c>
      <c r="CD28">
        <v>143727280</v>
      </c>
      <c r="CE28">
        <v>175066288</v>
      </c>
      <c r="CF28">
        <v>25165468</v>
      </c>
      <c r="CG28">
        <v>67634392</v>
      </c>
      <c r="CH28">
        <v>65743288</v>
      </c>
      <c r="CI28">
        <v>140080352</v>
      </c>
      <c r="CJ28">
        <v>51695356</v>
      </c>
      <c r="CK28">
        <v>142620288</v>
      </c>
      <c r="CL28">
        <v>41110508</v>
      </c>
      <c r="CM28">
        <v>137671648</v>
      </c>
      <c r="CN28">
        <v>111715328</v>
      </c>
      <c r="CO28">
        <v>150400112</v>
      </c>
      <c r="CP28">
        <v>113690472</v>
      </c>
      <c r="CQ28">
        <v>105912672</v>
      </c>
      <c r="CR28">
        <v>63150520</v>
      </c>
      <c r="CS28">
        <v>155466672</v>
      </c>
      <c r="CT28">
        <v>49149908</v>
      </c>
      <c r="CU28">
        <v>112463920</v>
      </c>
      <c r="CV28">
        <v>48867556</v>
      </c>
      <c r="CW28">
        <v>242702352</v>
      </c>
    </row>
    <row r="29" spans="1:101">
      <c r="A29">
        <v>30973</v>
      </c>
      <c r="B29" t="s">
        <v>192</v>
      </c>
      <c r="D29" t="s">
        <v>193</v>
      </c>
      <c r="F29" t="s">
        <v>194</v>
      </c>
      <c r="G29">
        <v>987.25599999999997</v>
      </c>
      <c r="H29" t="s">
        <v>104</v>
      </c>
      <c r="I29">
        <v>2</v>
      </c>
      <c r="J29">
        <v>21</v>
      </c>
      <c r="K29">
        <v>0</v>
      </c>
      <c r="L29">
        <v>0</v>
      </c>
      <c r="M29">
        <v>0</v>
      </c>
      <c r="N29">
        <v>-1</v>
      </c>
      <c r="O29">
        <v>30</v>
      </c>
      <c r="P29">
        <v>30</v>
      </c>
      <c r="Q29">
        <v>33</v>
      </c>
      <c r="R29">
        <v>33</v>
      </c>
      <c r="S29">
        <v>33</v>
      </c>
      <c r="T29">
        <v>33</v>
      </c>
      <c r="U29">
        <v>33</v>
      </c>
      <c r="V29">
        <v>22</v>
      </c>
      <c r="W29">
        <v>32</v>
      </c>
      <c r="X29">
        <v>26</v>
      </c>
      <c r="Y29">
        <v>32</v>
      </c>
      <c r="Z29">
        <v>33</v>
      </c>
      <c r="AA29">
        <v>29</v>
      </c>
      <c r="AB29">
        <v>33</v>
      </c>
      <c r="AC29">
        <v>33</v>
      </c>
      <c r="AD29">
        <v>33</v>
      </c>
      <c r="AE29">
        <v>33</v>
      </c>
      <c r="AF29">
        <v>33</v>
      </c>
      <c r="AG29">
        <v>33</v>
      </c>
      <c r="AH29">
        <v>33</v>
      </c>
      <c r="AI29">
        <v>33</v>
      </c>
      <c r="AJ29">
        <v>33</v>
      </c>
      <c r="AK29">
        <v>33</v>
      </c>
      <c r="AL29">
        <v>33</v>
      </c>
      <c r="AM29">
        <v>33</v>
      </c>
      <c r="AN29">
        <v>31</v>
      </c>
      <c r="AO29">
        <v>32</v>
      </c>
      <c r="AP29">
        <v>38</v>
      </c>
      <c r="AQ29">
        <v>55</v>
      </c>
      <c r="AR29">
        <v>28</v>
      </c>
      <c r="AS29">
        <v>55</v>
      </c>
      <c r="AT29">
        <v>109</v>
      </c>
      <c r="AU29">
        <v>49</v>
      </c>
      <c r="AV29">
        <v>120</v>
      </c>
      <c r="AW29">
        <v>97</v>
      </c>
      <c r="AX29">
        <v>71</v>
      </c>
      <c r="AY29">
        <v>55</v>
      </c>
      <c r="AZ29">
        <v>38</v>
      </c>
      <c r="BA29">
        <v>43</v>
      </c>
      <c r="BB29">
        <v>59</v>
      </c>
      <c r="BC29">
        <v>65</v>
      </c>
      <c r="BD29">
        <v>144</v>
      </c>
      <c r="BE29">
        <v>45</v>
      </c>
      <c r="BF29">
        <v>151</v>
      </c>
      <c r="BG29">
        <v>87</v>
      </c>
      <c r="BH29">
        <v>45</v>
      </c>
      <c r="BI29">
        <v>26</v>
      </c>
      <c r="BJ29">
        <v>229931200</v>
      </c>
      <c r="BK29">
        <v>809749952</v>
      </c>
      <c r="BL29">
        <v>9661919</v>
      </c>
      <c r="BM29">
        <v>473836448</v>
      </c>
      <c r="BN29">
        <v>1842033664</v>
      </c>
      <c r="BO29">
        <v>259460832</v>
      </c>
      <c r="BP29">
        <v>1997566592</v>
      </c>
      <c r="BQ29">
        <v>1352014592</v>
      </c>
      <c r="BR29">
        <v>492321632</v>
      </c>
      <c r="BS29">
        <v>395851456</v>
      </c>
      <c r="BT29">
        <v>178949696</v>
      </c>
      <c r="BU29">
        <v>362735712</v>
      </c>
      <c r="BV29">
        <v>732613952</v>
      </c>
      <c r="BW29">
        <v>864856384</v>
      </c>
      <c r="BX29">
        <v>2641277952</v>
      </c>
      <c r="BY29">
        <v>284625920</v>
      </c>
      <c r="BZ29">
        <v>2849890816</v>
      </c>
      <c r="CA29">
        <v>1182909184</v>
      </c>
      <c r="CB29">
        <v>301282464</v>
      </c>
      <c r="CC29">
        <v>100349992</v>
      </c>
      <c r="CD29">
        <v>64559564</v>
      </c>
      <c r="CE29">
        <v>538633984</v>
      </c>
      <c r="CF29">
        <v>995421888</v>
      </c>
      <c r="CG29">
        <v>840094144</v>
      </c>
      <c r="CH29">
        <v>1754698112</v>
      </c>
      <c r="CI29">
        <v>122521088</v>
      </c>
      <c r="CJ29">
        <v>1711008512</v>
      </c>
      <c r="CK29">
        <v>713503552</v>
      </c>
      <c r="CL29">
        <v>488055200</v>
      </c>
      <c r="CM29">
        <v>472267744</v>
      </c>
      <c r="CN29">
        <v>752714048</v>
      </c>
      <c r="CO29">
        <v>414186432</v>
      </c>
      <c r="CP29">
        <v>974124736</v>
      </c>
      <c r="CQ29">
        <v>554127808</v>
      </c>
      <c r="CR29">
        <v>2890986752</v>
      </c>
      <c r="CS29">
        <v>329700672</v>
      </c>
      <c r="CT29">
        <v>3582586112</v>
      </c>
      <c r="CU29">
        <v>752144384</v>
      </c>
      <c r="CV29">
        <v>206709728</v>
      </c>
      <c r="CW29">
        <v>190961696</v>
      </c>
    </row>
    <row r="30" spans="1:101">
      <c r="A30">
        <v>31015</v>
      </c>
      <c r="B30" t="s">
        <v>195</v>
      </c>
      <c r="D30" t="s">
        <v>196</v>
      </c>
      <c r="F30" t="s">
        <v>197</v>
      </c>
      <c r="G30">
        <v>959.00699999999995</v>
      </c>
      <c r="H30" t="s">
        <v>104</v>
      </c>
      <c r="I30">
        <v>2</v>
      </c>
      <c r="J30">
        <v>21</v>
      </c>
      <c r="K30">
        <v>0</v>
      </c>
      <c r="L30">
        <v>0</v>
      </c>
      <c r="M30">
        <v>0</v>
      </c>
      <c r="N30">
        <v>-1</v>
      </c>
      <c r="O30">
        <v>25</v>
      </c>
      <c r="P30">
        <v>25</v>
      </c>
      <c r="Q30">
        <v>27</v>
      </c>
      <c r="R30">
        <v>27</v>
      </c>
      <c r="S30">
        <v>27</v>
      </c>
      <c r="T30">
        <v>27</v>
      </c>
      <c r="U30">
        <v>27</v>
      </c>
      <c r="V30">
        <v>24</v>
      </c>
      <c r="W30">
        <v>27</v>
      </c>
      <c r="X30">
        <v>18</v>
      </c>
      <c r="Y30">
        <v>27</v>
      </c>
      <c r="Z30">
        <v>27</v>
      </c>
      <c r="AA30">
        <v>27</v>
      </c>
      <c r="AB30">
        <v>27</v>
      </c>
      <c r="AC30">
        <v>27</v>
      </c>
      <c r="AD30">
        <v>24</v>
      </c>
      <c r="AE30">
        <v>27</v>
      </c>
      <c r="AF30">
        <v>26</v>
      </c>
      <c r="AG30">
        <v>27</v>
      </c>
      <c r="AH30">
        <v>26</v>
      </c>
      <c r="AI30">
        <v>25</v>
      </c>
      <c r="AJ30">
        <v>22</v>
      </c>
      <c r="AK30">
        <v>27</v>
      </c>
      <c r="AL30">
        <v>23</v>
      </c>
      <c r="AM30">
        <v>25</v>
      </c>
      <c r="AN30">
        <v>26</v>
      </c>
      <c r="AO30">
        <v>27</v>
      </c>
      <c r="AP30">
        <v>223</v>
      </c>
      <c r="AQ30">
        <v>230</v>
      </c>
      <c r="AR30">
        <v>66</v>
      </c>
      <c r="AS30">
        <v>164</v>
      </c>
      <c r="AT30">
        <v>173</v>
      </c>
      <c r="AU30">
        <v>93</v>
      </c>
      <c r="AV30">
        <v>163</v>
      </c>
      <c r="AW30">
        <v>171</v>
      </c>
      <c r="AX30">
        <v>158</v>
      </c>
      <c r="AY30">
        <v>107</v>
      </c>
      <c r="AZ30">
        <v>107</v>
      </c>
      <c r="BA30">
        <v>153</v>
      </c>
      <c r="BB30">
        <v>164</v>
      </c>
      <c r="BC30">
        <v>155</v>
      </c>
      <c r="BD30">
        <v>164</v>
      </c>
      <c r="BE30">
        <v>95</v>
      </c>
      <c r="BF30">
        <v>130</v>
      </c>
      <c r="BG30">
        <v>152</v>
      </c>
      <c r="BH30">
        <v>146</v>
      </c>
      <c r="BI30">
        <v>84</v>
      </c>
      <c r="BJ30">
        <v>3639123456</v>
      </c>
      <c r="BK30">
        <v>5009141760</v>
      </c>
      <c r="BL30">
        <v>81571216</v>
      </c>
      <c r="BM30">
        <v>2639622912</v>
      </c>
      <c r="BN30">
        <v>5720368640</v>
      </c>
      <c r="BO30">
        <v>1289089152</v>
      </c>
      <c r="BP30">
        <v>4804821504</v>
      </c>
      <c r="BQ30">
        <v>5533213696</v>
      </c>
      <c r="BR30">
        <v>2919664640</v>
      </c>
      <c r="BS30">
        <v>1235888640</v>
      </c>
      <c r="BT30">
        <v>1023145280</v>
      </c>
      <c r="BU30">
        <v>4157945344</v>
      </c>
      <c r="BV30">
        <v>5138020352</v>
      </c>
      <c r="BW30">
        <v>4461125632</v>
      </c>
      <c r="BX30">
        <v>5412697088</v>
      </c>
      <c r="BY30">
        <v>1372819840</v>
      </c>
      <c r="BZ30">
        <v>4576632320</v>
      </c>
      <c r="CA30">
        <v>6276915200</v>
      </c>
      <c r="CB30">
        <v>2852142848</v>
      </c>
      <c r="CC30">
        <v>774614656</v>
      </c>
      <c r="CD30">
        <v>3649791232</v>
      </c>
      <c r="CE30">
        <v>4039991808</v>
      </c>
      <c r="CF30">
        <v>3179481344</v>
      </c>
      <c r="CG30">
        <v>3710651392</v>
      </c>
      <c r="CH30">
        <v>5108841984</v>
      </c>
      <c r="CI30">
        <v>1305872000</v>
      </c>
      <c r="CJ30">
        <v>4161013248</v>
      </c>
      <c r="CK30">
        <v>5161224192</v>
      </c>
      <c r="CL30">
        <v>3097814272</v>
      </c>
      <c r="CM30">
        <v>1795945216</v>
      </c>
      <c r="CN30">
        <v>4439045632</v>
      </c>
      <c r="CO30">
        <v>4302875136</v>
      </c>
      <c r="CP30">
        <v>5980253184</v>
      </c>
      <c r="CQ30">
        <v>2964599296</v>
      </c>
      <c r="CR30">
        <v>5454203904</v>
      </c>
      <c r="CS30">
        <v>1786459776</v>
      </c>
      <c r="CT30">
        <v>4444670464</v>
      </c>
      <c r="CU30">
        <v>5171796480</v>
      </c>
      <c r="CV30">
        <v>3502108928</v>
      </c>
      <c r="CW30">
        <v>2003177856</v>
      </c>
    </row>
    <row r="31" spans="1:101">
      <c r="A31">
        <v>30997</v>
      </c>
      <c r="B31" t="s">
        <v>198</v>
      </c>
      <c r="D31" t="s">
        <v>199</v>
      </c>
      <c r="E31" t="s">
        <v>200</v>
      </c>
      <c r="F31" t="s">
        <v>201</v>
      </c>
      <c r="G31">
        <v>955.31299999999999</v>
      </c>
      <c r="H31" t="s">
        <v>104</v>
      </c>
      <c r="I31">
        <v>2</v>
      </c>
      <c r="J31">
        <v>11</v>
      </c>
      <c r="K31">
        <v>10</v>
      </c>
      <c r="L31">
        <v>0</v>
      </c>
      <c r="M31">
        <v>0</v>
      </c>
      <c r="N31">
        <v>-1</v>
      </c>
      <c r="O31">
        <v>30</v>
      </c>
      <c r="P31">
        <v>30</v>
      </c>
      <c r="Q31">
        <v>30</v>
      </c>
      <c r="R31">
        <v>30</v>
      </c>
      <c r="S31">
        <v>30</v>
      </c>
      <c r="T31">
        <v>30</v>
      </c>
      <c r="U31">
        <v>30</v>
      </c>
      <c r="V31">
        <v>30</v>
      </c>
      <c r="W31">
        <v>30</v>
      </c>
      <c r="X31">
        <v>8</v>
      </c>
      <c r="Y31">
        <v>29</v>
      </c>
      <c r="Z31">
        <v>30</v>
      </c>
      <c r="AA31">
        <v>30</v>
      </c>
      <c r="AB31">
        <v>30</v>
      </c>
      <c r="AC31">
        <v>30</v>
      </c>
      <c r="AD31">
        <v>30</v>
      </c>
      <c r="AE31">
        <v>30</v>
      </c>
      <c r="AF31">
        <v>30</v>
      </c>
      <c r="AG31">
        <v>30</v>
      </c>
      <c r="AH31">
        <v>29</v>
      </c>
      <c r="AI31">
        <v>30</v>
      </c>
      <c r="AJ31">
        <v>30</v>
      </c>
      <c r="AK31">
        <v>30</v>
      </c>
      <c r="AL31">
        <v>29</v>
      </c>
      <c r="AM31">
        <v>30</v>
      </c>
      <c r="AN31">
        <v>30</v>
      </c>
      <c r="AO31">
        <v>30</v>
      </c>
      <c r="AP31">
        <v>29</v>
      </c>
      <c r="AQ31">
        <v>31</v>
      </c>
      <c r="AR31">
        <v>1</v>
      </c>
      <c r="AS31">
        <v>14</v>
      </c>
      <c r="AT31">
        <v>29</v>
      </c>
      <c r="AU31">
        <v>22</v>
      </c>
      <c r="AV31">
        <v>19</v>
      </c>
      <c r="AW31">
        <v>25</v>
      </c>
      <c r="AX31">
        <v>28</v>
      </c>
      <c r="AY31">
        <v>27</v>
      </c>
      <c r="AZ31">
        <v>16</v>
      </c>
      <c r="BA31">
        <v>23</v>
      </c>
      <c r="BB31">
        <v>16</v>
      </c>
      <c r="BC31">
        <v>14</v>
      </c>
      <c r="BD31">
        <v>23</v>
      </c>
      <c r="BE31">
        <v>20</v>
      </c>
      <c r="BF31">
        <v>16</v>
      </c>
      <c r="BG31">
        <v>29</v>
      </c>
      <c r="BH31">
        <v>27</v>
      </c>
      <c r="BI31">
        <v>24</v>
      </c>
      <c r="BJ31">
        <v>92148248</v>
      </c>
      <c r="BK31">
        <v>98060192</v>
      </c>
      <c r="BL31">
        <v>314577.81</v>
      </c>
      <c r="BM31">
        <v>21651778</v>
      </c>
      <c r="BN31">
        <v>101258536</v>
      </c>
      <c r="BO31">
        <v>58523372</v>
      </c>
      <c r="BP31">
        <v>42675180</v>
      </c>
      <c r="BQ31">
        <v>85136640</v>
      </c>
      <c r="BR31">
        <v>81411136</v>
      </c>
      <c r="BS31">
        <v>95754768</v>
      </c>
      <c r="BT31">
        <v>28678132</v>
      </c>
      <c r="BU31">
        <v>74785456</v>
      </c>
      <c r="BV31">
        <v>30702980</v>
      </c>
      <c r="BW31">
        <v>37694708</v>
      </c>
      <c r="BX31">
        <v>71341408</v>
      </c>
      <c r="BY31">
        <v>52631612</v>
      </c>
      <c r="BZ31">
        <v>37734632</v>
      </c>
      <c r="CA31">
        <v>84749488</v>
      </c>
      <c r="CB31">
        <v>59470856</v>
      </c>
      <c r="CC31">
        <v>61586596</v>
      </c>
      <c r="CD31">
        <v>111615208</v>
      </c>
      <c r="CE31">
        <v>64798280</v>
      </c>
      <c r="CF31">
        <v>27800696</v>
      </c>
      <c r="CG31">
        <v>26443384</v>
      </c>
      <c r="CH31">
        <v>95176328</v>
      </c>
      <c r="CI31">
        <v>44940008</v>
      </c>
      <c r="CJ31">
        <v>40313504</v>
      </c>
      <c r="CK31">
        <v>84768792</v>
      </c>
      <c r="CL31">
        <v>89713744</v>
      </c>
      <c r="CM31">
        <v>79922912</v>
      </c>
      <c r="CN31">
        <v>113956256</v>
      </c>
      <c r="CO31">
        <v>54950536</v>
      </c>
      <c r="CP31">
        <v>39136804</v>
      </c>
      <c r="CQ31">
        <v>25904366</v>
      </c>
      <c r="CR31">
        <v>84490440</v>
      </c>
      <c r="CS31">
        <v>47921588</v>
      </c>
      <c r="CT31">
        <v>44637380</v>
      </c>
      <c r="CU31">
        <v>72103224</v>
      </c>
      <c r="CV31">
        <v>76607024</v>
      </c>
      <c r="CW31">
        <v>85151232</v>
      </c>
    </row>
    <row r="32" spans="1:101">
      <c r="A32">
        <v>30929</v>
      </c>
      <c r="B32" t="s">
        <v>202</v>
      </c>
      <c r="D32" t="s">
        <v>203</v>
      </c>
      <c r="E32" t="s">
        <v>204</v>
      </c>
      <c r="F32" t="s">
        <v>205</v>
      </c>
      <c r="G32">
        <v>937.697</v>
      </c>
      <c r="H32" t="s">
        <v>104</v>
      </c>
      <c r="I32">
        <v>2</v>
      </c>
      <c r="J32">
        <v>2</v>
      </c>
      <c r="K32">
        <v>18</v>
      </c>
      <c r="L32">
        <v>0</v>
      </c>
      <c r="M32">
        <v>0</v>
      </c>
      <c r="N32">
        <v>-1</v>
      </c>
      <c r="O32">
        <v>34</v>
      </c>
      <c r="P32">
        <v>34</v>
      </c>
      <c r="Q32">
        <v>34</v>
      </c>
      <c r="R32">
        <v>34</v>
      </c>
      <c r="S32">
        <v>34</v>
      </c>
      <c r="T32">
        <v>34</v>
      </c>
      <c r="U32">
        <v>34</v>
      </c>
      <c r="V32">
        <v>30</v>
      </c>
      <c r="W32">
        <v>33</v>
      </c>
      <c r="X32">
        <v>6</v>
      </c>
      <c r="Y32">
        <v>33</v>
      </c>
      <c r="Z32">
        <v>33</v>
      </c>
      <c r="AA32">
        <v>33</v>
      </c>
      <c r="AB32">
        <v>33</v>
      </c>
      <c r="AC32">
        <v>34</v>
      </c>
      <c r="AD32">
        <v>34</v>
      </c>
      <c r="AE32">
        <v>34</v>
      </c>
      <c r="AF32">
        <v>34</v>
      </c>
      <c r="AG32">
        <v>34</v>
      </c>
      <c r="AH32">
        <v>33</v>
      </c>
      <c r="AI32">
        <v>32</v>
      </c>
      <c r="AJ32">
        <v>34</v>
      </c>
      <c r="AK32">
        <v>33</v>
      </c>
      <c r="AL32">
        <v>33</v>
      </c>
      <c r="AM32">
        <v>34</v>
      </c>
      <c r="AN32">
        <v>34</v>
      </c>
      <c r="AO32">
        <v>34</v>
      </c>
      <c r="AP32">
        <v>33</v>
      </c>
      <c r="AQ32">
        <v>32</v>
      </c>
      <c r="AR32">
        <v>0</v>
      </c>
      <c r="AS32">
        <v>13</v>
      </c>
      <c r="AT32">
        <v>31</v>
      </c>
      <c r="AU32">
        <v>25</v>
      </c>
      <c r="AV32">
        <v>17</v>
      </c>
      <c r="AW32">
        <v>33</v>
      </c>
      <c r="AX32">
        <v>32</v>
      </c>
      <c r="AY32">
        <v>33</v>
      </c>
      <c r="AZ32">
        <v>12</v>
      </c>
      <c r="BA32">
        <v>28</v>
      </c>
      <c r="BB32">
        <v>15</v>
      </c>
      <c r="BC32">
        <v>20</v>
      </c>
      <c r="BD32">
        <v>28</v>
      </c>
      <c r="BE32">
        <v>24</v>
      </c>
      <c r="BF32">
        <v>21</v>
      </c>
      <c r="BG32">
        <v>35</v>
      </c>
      <c r="BH32">
        <v>32</v>
      </c>
      <c r="BI32">
        <v>32</v>
      </c>
      <c r="BJ32">
        <v>86454064</v>
      </c>
      <c r="BK32">
        <v>102201440</v>
      </c>
      <c r="BL32">
        <v>313871.44</v>
      </c>
      <c r="BM32">
        <v>21164268</v>
      </c>
      <c r="BN32">
        <v>115526392</v>
      </c>
      <c r="BO32">
        <v>59636492</v>
      </c>
      <c r="BP32">
        <v>47016520</v>
      </c>
      <c r="BQ32">
        <v>98481976</v>
      </c>
      <c r="BR32">
        <v>83045688</v>
      </c>
      <c r="BS32">
        <v>88247208</v>
      </c>
      <c r="BT32">
        <v>20197666</v>
      </c>
      <c r="BU32">
        <v>67610840</v>
      </c>
      <c r="BV32">
        <v>31078266</v>
      </c>
      <c r="BW32">
        <v>49237700</v>
      </c>
      <c r="BX32">
        <v>93647080</v>
      </c>
      <c r="BY32">
        <v>60913972</v>
      </c>
      <c r="BZ32">
        <v>38247352</v>
      </c>
      <c r="CA32">
        <v>105447560</v>
      </c>
      <c r="CB32">
        <v>69080360</v>
      </c>
      <c r="CC32">
        <v>69637128</v>
      </c>
      <c r="CD32">
        <v>94814336</v>
      </c>
      <c r="CE32">
        <v>60109008</v>
      </c>
      <c r="CF32">
        <v>26467146</v>
      </c>
      <c r="CG32">
        <v>24897710</v>
      </c>
      <c r="CH32">
        <v>92874440</v>
      </c>
      <c r="CI32">
        <v>39720124</v>
      </c>
      <c r="CJ32">
        <v>35478532</v>
      </c>
      <c r="CK32">
        <v>91082400</v>
      </c>
      <c r="CL32">
        <v>86899176</v>
      </c>
      <c r="CM32">
        <v>81855096</v>
      </c>
      <c r="CN32">
        <v>77419640</v>
      </c>
      <c r="CO32">
        <v>52672732</v>
      </c>
      <c r="CP32">
        <v>34287744</v>
      </c>
      <c r="CQ32">
        <v>31229296</v>
      </c>
      <c r="CR32">
        <v>97755304</v>
      </c>
      <c r="CS32">
        <v>49451696</v>
      </c>
      <c r="CT32">
        <v>40562848</v>
      </c>
      <c r="CU32">
        <v>85821648</v>
      </c>
      <c r="CV32">
        <v>83225992</v>
      </c>
      <c r="CW32">
        <v>92957984</v>
      </c>
    </row>
    <row r="33" spans="1:101">
      <c r="A33">
        <v>30991</v>
      </c>
      <c r="B33" t="s">
        <v>206</v>
      </c>
      <c r="D33" t="s">
        <v>207</v>
      </c>
      <c r="F33" t="s">
        <v>208</v>
      </c>
      <c r="G33">
        <v>933.58299999999997</v>
      </c>
      <c r="H33" t="s">
        <v>104</v>
      </c>
      <c r="I33">
        <v>2</v>
      </c>
      <c r="J33">
        <v>21</v>
      </c>
      <c r="K33">
        <v>0</v>
      </c>
      <c r="L33">
        <v>0</v>
      </c>
      <c r="M33">
        <v>0</v>
      </c>
      <c r="N33">
        <v>-1</v>
      </c>
      <c r="O33">
        <v>22</v>
      </c>
      <c r="P33">
        <v>22</v>
      </c>
      <c r="Q33">
        <v>24</v>
      </c>
      <c r="R33">
        <v>24</v>
      </c>
      <c r="S33">
        <v>24</v>
      </c>
      <c r="T33">
        <v>24</v>
      </c>
      <c r="U33">
        <v>24</v>
      </c>
      <c r="V33">
        <v>14</v>
      </c>
      <c r="W33">
        <v>21</v>
      </c>
      <c r="X33">
        <v>19</v>
      </c>
      <c r="Y33">
        <v>23</v>
      </c>
      <c r="Z33">
        <v>23</v>
      </c>
      <c r="AA33">
        <v>20</v>
      </c>
      <c r="AB33">
        <v>24</v>
      </c>
      <c r="AC33">
        <v>24</v>
      </c>
      <c r="AD33">
        <v>23</v>
      </c>
      <c r="AE33">
        <v>23</v>
      </c>
      <c r="AF33">
        <v>23</v>
      </c>
      <c r="AG33">
        <v>24</v>
      </c>
      <c r="AH33">
        <v>24</v>
      </c>
      <c r="AI33">
        <v>24</v>
      </c>
      <c r="AJ33">
        <v>24</v>
      </c>
      <c r="AK33">
        <v>24</v>
      </c>
      <c r="AL33">
        <v>22</v>
      </c>
      <c r="AM33">
        <v>24</v>
      </c>
      <c r="AN33">
        <v>23</v>
      </c>
      <c r="AO33">
        <v>24</v>
      </c>
      <c r="AP33">
        <v>51</v>
      </c>
      <c r="AQ33">
        <v>78</v>
      </c>
      <c r="AR33">
        <v>5</v>
      </c>
      <c r="AS33">
        <v>75</v>
      </c>
      <c r="AT33">
        <v>125</v>
      </c>
      <c r="AU33">
        <v>37</v>
      </c>
      <c r="AV33">
        <v>125</v>
      </c>
      <c r="AW33">
        <v>96</v>
      </c>
      <c r="AX33">
        <v>70</v>
      </c>
      <c r="AY33">
        <v>62</v>
      </c>
      <c r="AZ33">
        <v>41</v>
      </c>
      <c r="BA33">
        <v>53</v>
      </c>
      <c r="BB33">
        <v>75</v>
      </c>
      <c r="BC33">
        <v>83</v>
      </c>
      <c r="BD33">
        <v>137</v>
      </c>
      <c r="BE33">
        <v>44</v>
      </c>
      <c r="BF33">
        <v>137</v>
      </c>
      <c r="BG33">
        <v>88</v>
      </c>
      <c r="BH33">
        <v>48</v>
      </c>
      <c r="BI33">
        <v>20</v>
      </c>
      <c r="BJ33">
        <v>215737520</v>
      </c>
      <c r="BK33">
        <v>835598208</v>
      </c>
      <c r="BL33">
        <v>4946649</v>
      </c>
      <c r="BM33">
        <v>631852736</v>
      </c>
      <c r="BN33">
        <v>2373391872</v>
      </c>
      <c r="BO33">
        <v>277035232</v>
      </c>
      <c r="BP33">
        <v>2389484544</v>
      </c>
      <c r="BQ33">
        <v>1620535424</v>
      </c>
      <c r="BR33">
        <v>673122624</v>
      </c>
      <c r="BS33">
        <v>417578240</v>
      </c>
      <c r="BT33">
        <v>182824048</v>
      </c>
      <c r="BU33">
        <v>467328416</v>
      </c>
      <c r="BV33">
        <v>996484352</v>
      </c>
      <c r="BW33">
        <v>1120483584</v>
      </c>
      <c r="BX33">
        <v>3291469568</v>
      </c>
      <c r="BY33">
        <v>308598144</v>
      </c>
      <c r="BZ33">
        <v>3371180544</v>
      </c>
      <c r="CA33">
        <v>1650543232</v>
      </c>
      <c r="CB33">
        <v>313304256</v>
      </c>
      <c r="CC33">
        <v>85121816</v>
      </c>
      <c r="CD33">
        <v>104238880</v>
      </c>
      <c r="CE33">
        <v>464871552</v>
      </c>
      <c r="CF33">
        <v>983121856</v>
      </c>
      <c r="CG33">
        <v>941157760</v>
      </c>
      <c r="CH33">
        <v>2259631360</v>
      </c>
      <c r="CI33">
        <v>187382608</v>
      </c>
      <c r="CJ33">
        <v>2210830592</v>
      </c>
      <c r="CK33">
        <v>1587017216</v>
      </c>
      <c r="CL33">
        <v>743054656</v>
      </c>
      <c r="CM33">
        <v>519215360</v>
      </c>
      <c r="CN33">
        <v>863545088</v>
      </c>
      <c r="CO33">
        <v>462209120</v>
      </c>
      <c r="CP33">
        <v>1236778496</v>
      </c>
      <c r="CQ33">
        <v>977677440</v>
      </c>
      <c r="CR33">
        <v>3888710400</v>
      </c>
      <c r="CS33">
        <v>330496480</v>
      </c>
      <c r="CT33">
        <v>3872662528</v>
      </c>
      <c r="CU33">
        <v>1520431872</v>
      </c>
      <c r="CV33">
        <v>309591776</v>
      </c>
      <c r="CW33">
        <v>146007120</v>
      </c>
    </row>
    <row r="34" spans="1:101">
      <c r="A34">
        <v>31091</v>
      </c>
      <c r="B34" t="s">
        <v>209</v>
      </c>
      <c r="D34" t="s">
        <v>210</v>
      </c>
      <c r="E34" t="s">
        <v>211</v>
      </c>
      <c r="F34" t="s">
        <v>212</v>
      </c>
      <c r="G34">
        <v>926.77200000000005</v>
      </c>
      <c r="H34" t="s">
        <v>104</v>
      </c>
      <c r="I34">
        <v>2</v>
      </c>
      <c r="J34">
        <v>2</v>
      </c>
      <c r="K34">
        <v>1</v>
      </c>
      <c r="L34">
        <v>0</v>
      </c>
      <c r="M34">
        <v>0</v>
      </c>
      <c r="N34">
        <v>-1</v>
      </c>
      <c r="O34">
        <v>27</v>
      </c>
      <c r="P34">
        <v>27</v>
      </c>
      <c r="Q34">
        <v>27</v>
      </c>
      <c r="R34">
        <v>27</v>
      </c>
      <c r="S34">
        <v>27</v>
      </c>
      <c r="T34">
        <v>27</v>
      </c>
      <c r="U34">
        <v>27</v>
      </c>
      <c r="V34">
        <v>26</v>
      </c>
      <c r="W34">
        <v>27</v>
      </c>
      <c r="X34">
        <v>15</v>
      </c>
      <c r="Y34">
        <v>26</v>
      </c>
      <c r="Z34">
        <v>27</v>
      </c>
      <c r="AA34">
        <v>26</v>
      </c>
      <c r="AB34">
        <v>25</v>
      </c>
      <c r="AC34">
        <v>27</v>
      </c>
      <c r="AD34">
        <v>27</v>
      </c>
      <c r="AE34">
        <v>27</v>
      </c>
      <c r="AF34">
        <v>27</v>
      </c>
      <c r="AG34">
        <v>26</v>
      </c>
      <c r="AH34">
        <v>26</v>
      </c>
      <c r="AI34">
        <v>26</v>
      </c>
      <c r="AJ34">
        <v>26</v>
      </c>
      <c r="AK34">
        <v>26</v>
      </c>
      <c r="AL34">
        <v>26</v>
      </c>
      <c r="AM34">
        <v>26</v>
      </c>
      <c r="AN34">
        <v>27</v>
      </c>
      <c r="AO34">
        <v>27</v>
      </c>
      <c r="AP34">
        <v>25</v>
      </c>
      <c r="AQ34">
        <v>22</v>
      </c>
      <c r="AR34">
        <v>5</v>
      </c>
      <c r="AS34">
        <v>13</v>
      </c>
      <c r="AT34">
        <v>26</v>
      </c>
      <c r="AU34">
        <v>17</v>
      </c>
      <c r="AV34">
        <v>14</v>
      </c>
      <c r="AW34">
        <v>23</v>
      </c>
      <c r="AX34">
        <v>23</v>
      </c>
      <c r="AY34">
        <v>26</v>
      </c>
      <c r="AZ34">
        <v>15</v>
      </c>
      <c r="BA34">
        <v>26</v>
      </c>
      <c r="BB34">
        <v>9</v>
      </c>
      <c r="BC34">
        <v>18</v>
      </c>
      <c r="BD34">
        <v>20</v>
      </c>
      <c r="BE34">
        <v>17</v>
      </c>
      <c r="BF34">
        <v>18</v>
      </c>
      <c r="BG34">
        <v>24</v>
      </c>
      <c r="BH34">
        <v>23</v>
      </c>
      <c r="BI34">
        <v>26</v>
      </c>
      <c r="BJ34">
        <v>111393560</v>
      </c>
      <c r="BK34">
        <v>164084480</v>
      </c>
      <c r="BL34">
        <v>3698355.75</v>
      </c>
      <c r="BM34">
        <v>28875854</v>
      </c>
      <c r="BN34">
        <v>139814352</v>
      </c>
      <c r="BO34">
        <v>78828920</v>
      </c>
      <c r="BP34">
        <v>43886940</v>
      </c>
      <c r="BQ34">
        <v>130234080</v>
      </c>
      <c r="BR34">
        <v>122185384</v>
      </c>
      <c r="BS34">
        <v>133339864</v>
      </c>
      <c r="BT34">
        <v>35170816</v>
      </c>
      <c r="BU34">
        <v>135362592</v>
      </c>
      <c r="BV34">
        <v>31330308</v>
      </c>
      <c r="BW34">
        <v>59420700</v>
      </c>
      <c r="BX34">
        <v>107370184</v>
      </c>
      <c r="BY34">
        <v>63951184</v>
      </c>
      <c r="BZ34">
        <v>42075500</v>
      </c>
      <c r="CA34">
        <v>164751744</v>
      </c>
      <c r="CB34">
        <v>94452416</v>
      </c>
      <c r="CC34">
        <v>87920416</v>
      </c>
      <c r="CD34">
        <v>129786136</v>
      </c>
      <c r="CE34">
        <v>109297584</v>
      </c>
      <c r="CF34">
        <v>62619736</v>
      </c>
      <c r="CG34">
        <v>42108268</v>
      </c>
      <c r="CH34">
        <v>132718296</v>
      </c>
      <c r="CI34">
        <v>67021784</v>
      </c>
      <c r="CJ34">
        <v>44278244</v>
      </c>
      <c r="CK34">
        <v>144169760</v>
      </c>
      <c r="CL34">
        <v>161379072</v>
      </c>
      <c r="CM34">
        <v>156735216</v>
      </c>
      <c r="CN34">
        <v>165355472</v>
      </c>
      <c r="CO34">
        <v>125094688</v>
      </c>
      <c r="CP34">
        <v>44683324</v>
      </c>
      <c r="CQ34">
        <v>46216292</v>
      </c>
      <c r="CR34">
        <v>139708576</v>
      </c>
      <c r="CS34">
        <v>64338648</v>
      </c>
      <c r="CT34">
        <v>55930992</v>
      </c>
      <c r="CU34">
        <v>152546160</v>
      </c>
      <c r="CV34">
        <v>150388816</v>
      </c>
      <c r="CW34">
        <v>187598400</v>
      </c>
    </row>
    <row r="35" spans="1:101">
      <c r="A35">
        <v>31034</v>
      </c>
      <c r="B35" t="s">
        <v>213</v>
      </c>
      <c r="D35" t="s">
        <v>214</v>
      </c>
      <c r="F35" t="s">
        <v>215</v>
      </c>
      <c r="G35">
        <v>911.59299999999996</v>
      </c>
      <c r="H35" t="s">
        <v>104</v>
      </c>
      <c r="I35">
        <v>2</v>
      </c>
      <c r="J35">
        <v>21</v>
      </c>
      <c r="K35">
        <v>0</v>
      </c>
      <c r="L35">
        <v>0</v>
      </c>
      <c r="M35">
        <v>0</v>
      </c>
      <c r="N35">
        <v>-1</v>
      </c>
      <c r="O35">
        <v>16</v>
      </c>
      <c r="P35">
        <v>16</v>
      </c>
      <c r="Q35">
        <v>17</v>
      </c>
      <c r="R35">
        <v>17</v>
      </c>
      <c r="S35">
        <v>17</v>
      </c>
      <c r="T35">
        <v>17</v>
      </c>
      <c r="U35">
        <v>17</v>
      </c>
      <c r="V35">
        <v>14</v>
      </c>
      <c r="W35">
        <v>17</v>
      </c>
      <c r="X35">
        <v>15</v>
      </c>
      <c r="Y35">
        <v>17</v>
      </c>
      <c r="Z35">
        <v>17</v>
      </c>
      <c r="AA35">
        <v>16</v>
      </c>
      <c r="AB35">
        <v>17</v>
      </c>
      <c r="AC35">
        <v>17</v>
      </c>
      <c r="AD35">
        <v>17</v>
      </c>
      <c r="AE35">
        <v>17</v>
      </c>
      <c r="AF35">
        <v>17</v>
      </c>
      <c r="AG35">
        <v>16</v>
      </c>
      <c r="AH35">
        <v>17</v>
      </c>
      <c r="AI35">
        <v>17</v>
      </c>
      <c r="AJ35">
        <v>17</v>
      </c>
      <c r="AK35">
        <v>17</v>
      </c>
      <c r="AL35">
        <v>17</v>
      </c>
      <c r="AM35">
        <v>17</v>
      </c>
      <c r="AN35">
        <v>16</v>
      </c>
      <c r="AO35">
        <v>15</v>
      </c>
      <c r="AP35">
        <v>58</v>
      </c>
      <c r="AQ35">
        <v>47</v>
      </c>
      <c r="AR35">
        <v>4</v>
      </c>
      <c r="AS35">
        <v>46</v>
      </c>
      <c r="AT35">
        <v>61</v>
      </c>
      <c r="AU35">
        <v>34</v>
      </c>
      <c r="AV35">
        <v>55</v>
      </c>
      <c r="AW35">
        <v>55</v>
      </c>
      <c r="AX35">
        <v>45</v>
      </c>
      <c r="AY35">
        <v>37</v>
      </c>
      <c r="AZ35">
        <v>32</v>
      </c>
      <c r="BA35">
        <v>47</v>
      </c>
      <c r="BB35">
        <v>51</v>
      </c>
      <c r="BC35">
        <v>43</v>
      </c>
      <c r="BD35">
        <v>63</v>
      </c>
      <c r="BE35">
        <v>37</v>
      </c>
      <c r="BF35">
        <v>62</v>
      </c>
      <c r="BG35">
        <v>59</v>
      </c>
      <c r="BH35">
        <v>43</v>
      </c>
      <c r="BI35">
        <v>33</v>
      </c>
      <c r="BJ35">
        <v>988169600</v>
      </c>
      <c r="BK35">
        <v>929932480</v>
      </c>
      <c r="BL35">
        <v>4760074</v>
      </c>
      <c r="BM35">
        <v>363692832</v>
      </c>
      <c r="BN35">
        <v>1190149248</v>
      </c>
      <c r="BO35">
        <v>597324992</v>
      </c>
      <c r="BP35">
        <v>1044873088</v>
      </c>
      <c r="BQ35">
        <v>1089652224</v>
      </c>
      <c r="BR35">
        <v>472137408</v>
      </c>
      <c r="BS35">
        <v>371202560</v>
      </c>
      <c r="BT35">
        <v>138965040</v>
      </c>
      <c r="BU35">
        <v>647492544</v>
      </c>
      <c r="BV35">
        <v>823381696</v>
      </c>
      <c r="BW35">
        <v>747493504</v>
      </c>
      <c r="BX35">
        <v>1345113600</v>
      </c>
      <c r="BY35">
        <v>473578240</v>
      </c>
      <c r="BZ35">
        <v>1247809664</v>
      </c>
      <c r="CA35">
        <v>1543158784</v>
      </c>
      <c r="CB35">
        <v>525002656</v>
      </c>
      <c r="CC35">
        <v>412463904</v>
      </c>
      <c r="CD35">
        <v>513702656</v>
      </c>
      <c r="CE35">
        <v>619157888</v>
      </c>
      <c r="CF35">
        <v>753521280</v>
      </c>
      <c r="CG35">
        <v>543068160</v>
      </c>
      <c r="CH35">
        <v>1420254720</v>
      </c>
      <c r="CI35">
        <v>113622944</v>
      </c>
      <c r="CJ35">
        <v>1079842560</v>
      </c>
      <c r="CK35">
        <v>829801536</v>
      </c>
      <c r="CL35">
        <v>545245952</v>
      </c>
      <c r="CM35">
        <v>385955744</v>
      </c>
      <c r="CN35">
        <v>699658432</v>
      </c>
      <c r="CO35">
        <v>592211328</v>
      </c>
      <c r="CP35">
        <v>1210900608</v>
      </c>
      <c r="CQ35">
        <v>511337344</v>
      </c>
      <c r="CR35">
        <v>2008483712</v>
      </c>
      <c r="CS35">
        <v>319261600</v>
      </c>
      <c r="CT35">
        <v>1692245888</v>
      </c>
      <c r="CU35">
        <v>1188964352</v>
      </c>
      <c r="CV35">
        <v>464807136</v>
      </c>
      <c r="CW35">
        <v>423615072</v>
      </c>
    </row>
    <row r="36" spans="1:101">
      <c r="A36">
        <v>31030</v>
      </c>
      <c r="B36" t="s">
        <v>216</v>
      </c>
      <c r="D36" t="s">
        <v>216</v>
      </c>
      <c r="F36" t="s">
        <v>217</v>
      </c>
      <c r="G36">
        <v>910.77499999999998</v>
      </c>
      <c r="H36" t="s">
        <v>104</v>
      </c>
      <c r="I36">
        <v>2</v>
      </c>
      <c r="J36">
        <v>1</v>
      </c>
      <c r="K36">
        <v>0</v>
      </c>
      <c r="L36">
        <v>0</v>
      </c>
      <c r="M36">
        <v>0</v>
      </c>
      <c r="N36">
        <v>-1</v>
      </c>
      <c r="O36">
        <v>20</v>
      </c>
      <c r="P36">
        <v>1</v>
      </c>
      <c r="Q36">
        <v>22</v>
      </c>
      <c r="R36">
        <v>1</v>
      </c>
      <c r="S36">
        <v>22</v>
      </c>
      <c r="T36">
        <v>1</v>
      </c>
      <c r="U36">
        <v>1</v>
      </c>
      <c r="V36">
        <v>1</v>
      </c>
      <c r="W36">
        <v>1</v>
      </c>
      <c r="Y36">
        <v>1</v>
      </c>
      <c r="Z36">
        <v>1</v>
      </c>
      <c r="AA36">
        <v>1</v>
      </c>
      <c r="AD36">
        <v>1</v>
      </c>
      <c r="AE36">
        <v>1</v>
      </c>
      <c r="AF36">
        <v>1</v>
      </c>
      <c r="AG36">
        <v>1</v>
      </c>
      <c r="AI36">
        <v>1</v>
      </c>
      <c r="AJ36">
        <v>1</v>
      </c>
      <c r="AK36">
        <v>1</v>
      </c>
      <c r="AL36">
        <v>1</v>
      </c>
      <c r="AN36">
        <v>1</v>
      </c>
      <c r="AO36">
        <v>1</v>
      </c>
      <c r="AP36">
        <v>0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768330112</v>
      </c>
      <c r="BK36">
        <v>1795394304</v>
      </c>
      <c r="BL36">
        <v>5235375.5</v>
      </c>
      <c r="BM36">
        <v>502993632</v>
      </c>
      <c r="BN36">
        <v>512814880</v>
      </c>
      <c r="BO36">
        <v>1260680704</v>
      </c>
      <c r="BP36">
        <v>420827168</v>
      </c>
      <c r="BQ36">
        <v>1104077056</v>
      </c>
      <c r="BR36">
        <v>374720224</v>
      </c>
      <c r="BS36">
        <v>941629440</v>
      </c>
      <c r="BT36">
        <v>244054512</v>
      </c>
      <c r="BU36">
        <v>1387060352</v>
      </c>
      <c r="BV36">
        <v>899786176</v>
      </c>
      <c r="BW36">
        <v>982383360</v>
      </c>
      <c r="BX36">
        <v>495061280</v>
      </c>
      <c r="BY36">
        <v>1057876096</v>
      </c>
      <c r="BZ36">
        <v>335717568</v>
      </c>
      <c r="CA36">
        <v>1160114048</v>
      </c>
      <c r="CB36">
        <v>316821600</v>
      </c>
      <c r="CC36">
        <v>1082346240</v>
      </c>
      <c r="CD36">
        <v>462589.59</v>
      </c>
      <c r="CE36">
        <v>238782.88</v>
      </c>
      <c r="CF36">
        <v>1861110.38</v>
      </c>
      <c r="CG36">
        <v>170760.72</v>
      </c>
      <c r="CH36">
        <v>192403.52</v>
      </c>
      <c r="CI36">
        <v>192750.28</v>
      </c>
      <c r="CJ36">
        <v>283374.34000000003</v>
      </c>
      <c r="CK36">
        <v>281040.15999999997</v>
      </c>
      <c r="CL36">
        <v>229441.66</v>
      </c>
      <c r="CM36">
        <v>241179.38</v>
      </c>
      <c r="CN36">
        <v>250544.2</v>
      </c>
      <c r="CO36">
        <v>152554.67000000001</v>
      </c>
      <c r="CP36">
        <v>384147.09</v>
      </c>
      <c r="CQ36">
        <v>210977.39</v>
      </c>
      <c r="CR36">
        <v>219806.36</v>
      </c>
      <c r="CS36">
        <v>190224.92</v>
      </c>
      <c r="CT36">
        <v>217754.12</v>
      </c>
      <c r="CU36">
        <v>245732.98</v>
      </c>
      <c r="CV36">
        <v>258297.05</v>
      </c>
      <c r="CW36">
        <v>310892.5</v>
      </c>
    </row>
    <row r="37" spans="1:101">
      <c r="A37">
        <v>31104</v>
      </c>
      <c r="B37" t="s">
        <v>218</v>
      </c>
      <c r="D37" t="s">
        <v>218</v>
      </c>
      <c r="F37" t="s">
        <v>219</v>
      </c>
      <c r="G37">
        <v>896.38599999999997</v>
      </c>
      <c r="H37" t="s">
        <v>104</v>
      </c>
      <c r="I37">
        <v>2</v>
      </c>
      <c r="J37">
        <v>1</v>
      </c>
      <c r="K37">
        <v>0</v>
      </c>
      <c r="L37">
        <v>0</v>
      </c>
      <c r="M37">
        <v>0</v>
      </c>
      <c r="N37">
        <v>-1</v>
      </c>
      <c r="O37">
        <v>22</v>
      </c>
      <c r="P37">
        <v>22</v>
      </c>
      <c r="Q37">
        <v>26</v>
      </c>
      <c r="R37">
        <v>26</v>
      </c>
      <c r="S37">
        <v>26</v>
      </c>
      <c r="T37">
        <v>26</v>
      </c>
      <c r="U37">
        <v>26</v>
      </c>
      <c r="V37">
        <v>25</v>
      </c>
      <c r="W37">
        <v>26</v>
      </c>
      <c r="X37">
        <v>17</v>
      </c>
      <c r="Y37">
        <v>26</v>
      </c>
      <c r="Z37">
        <v>24</v>
      </c>
      <c r="AA37">
        <v>25</v>
      </c>
      <c r="AB37">
        <v>25</v>
      </c>
      <c r="AC37">
        <v>25</v>
      </c>
      <c r="AD37">
        <v>25</v>
      </c>
      <c r="AE37">
        <v>24</v>
      </c>
      <c r="AF37">
        <v>24</v>
      </c>
      <c r="AG37">
        <v>26</v>
      </c>
      <c r="AH37">
        <v>25</v>
      </c>
      <c r="AI37">
        <v>26</v>
      </c>
      <c r="AJ37">
        <v>25</v>
      </c>
      <c r="AK37">
        <v>25</v>
      </c>
      <c r="AL37">
        <v>25</v>
      </c>
      <c r="AM37">
        <v>26</v>
      </c>
      <c r="AN37">
        <v>25</v>
      </c>
      <c r="AO37">
        <v>25</v>
      </c>
      <c r="AP37">
        <v>65</v>
      </c>
      <c r="AQ37">
        <v>71</v>
      </c>
      <c r="AR37">
        <v>11</v>
      </c>
      <c r="AS37">
        <v>48</v>
      </c>
      <c r="AT37">
        <v>29</v>
      </c>
      <c r="AU37">
        <v>79</v>
      </c>
      <c r="AV37">
        <v>29</v>
      </c>
      <c r="AW37">
        <v>61</v>
      </c>
      <c r="AX37">
        <v>36</v>
      </c>
      <c r="AY37">
        <v>82</v>
      </c>
      <c r="AZ37">
        <v>20</v>
      </c>
      <c r="BA37">
        <v>67</v>
      </c>
      <c r="BB37">
        <v>43</v>
      </c>
      <c r="BC37">
        <v>53</v>
      </c>
      <c r="BD37">
        <v>22</v>
      </c>
      <c r="BE37">
        <v>72</v>
      </c>
      <c r="BF37">
        <v>26</v>
      </c>
      <c r="BG37">
        <v>57</v>
      </c>
      <c r="BH37">
        <v>31</v>
      </c>
      <c r="BI37">
        <v>68</v>
      </c>
      <c r="BJ37">
        <v>225372672</v>
      </c>
      <c r="BK37">
        <v>812177920</v>
      </c>
      <c r="BL37">
        <v>4537581.5</v>
      </c>
      <c r="BM37">
        <v>241412784</v>
      </c>
      <c r="BN37">
        <v>137120208</v>
      </c>
      <c r="BO37">
        <v>646676288</v>
      </c>
      <c r="BP37">
        <v>136564496</v>
      </c>
      <c r="BQ37">
        <v>656029312</v>
      </c>
      <c r="BR37">
        <v>155960544</v>
      </c>
      <c r="BS37">
        <v>615012096</v>
      </c>
      <c r="BT37">
        <v>51385636</v>
      </c>
      <c r="BU37">
        <v>611734400</v>
      </c>
      <c r="BV37">
        <v>236701584</v>
      </c>
      <c r="BW37">
        <v>459828384</v>
      </c>
      <c r="BX37">
        <v>117368536</v>
      </c>
      <c r="BY37">
        <v>681964672</v>
      </c>
      <c r="BZ37">
        <v>125336608</v>
      </c>
      <c r="CA37">
        <v>604862208</v>
      </c>
      <c r="CB37">
        <v>125213808</v>
      </c>
      <c r="CC37">
        <v>433817344</v>
      </c>
      <c r="CD37">
        <v>291229888</v>
      </c>
      <c r="CE37">
        <v>501685440</v>
      </c>
      <c r="CF37">
        <v>171435024</v>
      </c>
      <c r="CG37">
        <v>311000896</v>
      </c>
      <c r="CH37">
        <v>128554728</v>
      </c>
      <c r="CI37">
        <v>483400160</v>
      </c>
      <c r="CJ37">
        <v>129632216</v>
      </c>
      <c r="CK37">
        <v>589364800</v>
      </c>
      <c r="CL37">
        <v>201081456</v>
      </c>
      <c r="CM37">
        <v>638056384</v>
      </c>
      <c r="CN37">
        <v>233225696</v>
      </c>
      <c r="CO37">
        <v>517135072</v>
      </c>
      <c r="CP37">
        <v>318796384</v>
      </c>
      <c r="CQ37">
        <v>321446432</v>
      </c>
      <c r="CR37">
        <v>149384384</v>
      </c>
      <c r="CS37">
        <v>605789184</v>
      </c>
      <c r="CT37">
        <v>156051136</v>
      </c>
      <c r="CU37">
        <v>560273792</v>
      </c>
      <c r="CV37">
        <v>200390528</v>
      </c>
      <c r="CW37">
        <v>867336832</v>
      </c>
    </row>
    <row r="38" spans="1:101">
      <c r="A38">
        <v>30932</v>
      </c>
      <c r="B38" t="s">
        <v>220</v>
      </c>
      <c r="D38" t="s">
        <v>221</v>
      </c>
      <c r="E38" t="s">
        <v>222</v>
      </c>
      <c r="F38" t="s">
        <v>223</v>
      </c>
      <c r="G38">
        <v>880.43299999999999</v>
      </c>
      <c r="H38" t="s">
        <v>104</v>
      </c>
      <c r="I38">
        <v>2</v>
      </c>
      <c r="J38">
        <v>18</v>
      </c>
      <c r="K38">
        <v>3</v>
      </c>
      <c r="L38">
        <v>0</v>
      </c>
      <c r="M38">
        <v>0</v>
      </c>
      <c r="N38">
        <v>-1</v>
      </c>
      <c r="O38">
        <v>22</v>
      </c>
      <c r="P38">
        <v>22</v>
      </c>
      <c r="Q38">
        <v>22</v>
      </c>
      <c r="R38">
        <v>22</v>
      </c>
      <c r="S38">
        <v>22</v>
      </c>
      <c r="T38">
        <v>22</v>
      </c>
      <c r="U38">
        <v>22</v>
      </c>
      <c r="V38">
        <v>20</v>
      </c>
      <c r="W38">
        <v>22</v>
      </c>
      <c r="X38">
        <v>12</v>
      </c>
      <c r="Y38">
        <v>22</v>
      </c>
      <c r="Z38">
        <v>22</v>
      </c>
      <c r="AA38">
        <v>22</v>
      </c>
      <c r="AB38">
        <v>21</v>
      </c>
      <c r="AC38">
        <v>22</v>
      </c>
      <c r="AD38">
        <v>22</v>
      </c>
      <c r="AE38">
        <v>22</v>
      </c>
      <c r="AF38">
        <v>22</v>
      </c>
      <c r="AG38">
        <v>22</v>
      </c>
      <c r="AH38">
        <v>22</v>
      </c>
      <c r="AI38">
        <v>22</v>
      </c>
      <c r="AJ38">
        <v>22</v>
      </c>
      <c r="AK38">
        <v>21</v>
      </c>
      <c r="AL38">
        <v>22</v>
      </c>
      <c r="AM38">
        <v>22</v>
      </c>
      <c r="AN38">
        <v>22</v>
      </c>
      <c r="AO38">
        <v>22</v>
      </c>
      <c r="AP38">
        <v>33</v>
      </c>
      <c r="AQ38">
        <v>27</v>
      </c>
      <c r="AR38">
        <v>3</v>
      </c>
      <c r="AS38">
        <v>17</v>
      </c>
      <c r="AT38">
        <v>33</v>
      </c>
      <c r="AU38">
        <v>24</v>
      </c>
      <c r="AV38">
        <v>15</v>
      </c>
      <c r="AW38">
        <v>29</v>
      </c>
      <c r="AX38">
        <v>27</v>
      </c>
      <c r="AY38">
        <v>33</v>
      </c>
      <c r="AZ38">
        <v>20</v>
      </c>
      <c r="BA38">
        <v>33</v>
      </c>
      <c r="BB38">
        <v>12</v>
      </c>
      <c r="BC38">
        <v>21</v>
      </c>
      <c r="BD38">
        <v>31</v>
      </c>
      <c r="BE38">
        <v>22</v>
      </c>
      <c r="BF38">
        <v>17</v>
      </c>
      <c r="BG38">
        <v>35</v>
      </c>
      <c r="BH38">
        <v>31</v>
      </c>
      <c r="BI38">
        <v>29</v>
      </c>
      <c r="BJ38">
        <v>96033616</v>
      </c>
      <c r="BK38">
        <v>168214144</v>
      </c>
      <c r="BL38">
        <v>1463094.38</v>
      </c>
      <c r="BM38">
        <v>28575322</v>
      </c>
      <c r="BN38">
        <v>131251616</v>
      </c>
      <c r="BO38">
        <v>78707120</v>
      </c>
      <c r="BP38">
        <v>36443540</v>
      </c>
      <c r="BQ38">
        <v>116478712</v>
      </c>
      <c r="BR38">
        <v>111491456</v>
      </c>
      <c r="BS38">
        <v>118226144</v>
      </c>
      <c r="BT38">
        <v>34536592</v>
      </c>
      <c r="BU38">
        <v>135146240</v>
      </c>
      <c r="BV38">
        <v>30089812</v>
      </c>
      <c r="BW38">
        <v>53726604</v>
      </c>
      <c r="BX38">
        <v>98879712</v>
      </c>
      <c r="BY38">
        <v>60368848</v>
      </c>
      <c r="BZ38">
        <v>39554628</v>
      </c>
      <c r="CA38">
        <v>128888296</v>
      </c>
      <c r="CB38">
        <v>93472960</v>
      </c>
      <c r="CC38">
        <v>81104008</v>
      </c>
      <c r="CD38">
        <v>125117112</v>
      </c>
      <c r="CE38">
        <v>115660496</v>
      </c>
      <c r="CF38">
        <v>37185436</v>
      </c>
      <c r="CG38">
        <v>39321372</v>
      </c>
      <c r="CH38">
        <v>124350424</v>
      </c>
      <c r="CI38">
        <v>61032792</v>
      </c>
      <c r="CJ38">
        <v>35817128</v>
      </c>
      <c r="CK38">
        <v>120603600</v>
      </c>
      <c r="CL38">
        <v>138548144</v>
      </c>
      <c r="CM38">
        <v>126599216</v>
      </c>
      <c r="CN38">
        <v>134620384</v>
      </c>
      <c r="CO38">
        <v>113694168</v>
      </c>
      <c r="CP38">
        <v>39687116</v>
      </c>
      <c r="CQ38">
        <v>40334856</v>
      </c>
      <c r="CR38">
        <v>121363408</v>
      </c>
      <c r="CS38">
        <v>57054828</v>
      </c>
      <c r="CT38">
        <v>49067284</v>
      </c>
      <c r="CU38">
        <v>124432456</v>
      </c>
      <c r="CV38">
        <v>134734880</v>
      </c>
      <c r="CW38">
        <v>135475136</v>
      </c>
    </row>
    <row r="39" spans="1:101">
      <c r="A39">
        <v>30943</v>
      </c>
      <c r="B39" t="s">
        <v>224</v>
      </c>
      <c r="D39" t="s">
        <v>225</v>
      </c>
      <c r="E39" t="s">
        <v>226</v>
      </c>
      <c r="F39" t="s">
        <v>227</v>
      </c>
      <c r="G39">
        <v>879.44899999999996</v>
      </c>
      <c r="H39" t="s">
        <v>104</v>
      </c>
      <c r="I39">
        <v>2</v>
      </c>
      <c r="J39">
        <v>3</v>
      </c>
      <c r="K39">
        <v>18</v>
      </c>
      <c r="L39">
        <v>0</v>
      </c>
      <c r="M39">
        <v>0</v>
      </c>
      <c r="N39">
        <v>-1</v>
      </c>
      <c r="O39">
        <v>25</v>
      </c>
      <c r="P39">
        <v>25</v>
      </c>
      <c r="Q39">
        <v>25</v>
      </c>
      <c r="R39">
        <v>25</v>
      </c>
      <c r="S39">
        <v>25</v>
      </c>
      <c r="T39">
        <v>25</v>
      </c>
      <c r="U39">
        <v>25</v>
      </c>
      <c r="V39">
        <v>21</v>
      </c>
      <c r="W39">
        <v>23</v>
      </c>
      <c r="X39">
        <v>7</v>
      </c>
      <c r="Y39">
        <v>22</v>
      </c>
      <c r="Z39">
        <v>24</v>
      </c>
      <c r="AA39">
        <v>25</v>
      </c>
      <c r="AB39">
        <v>23</v>
      </c>
      <c r="AC39">
        <v>25</v>
      </c>
      <c r="AD39">
        <v>25</v>
      </c>
      <c r="AE39">
        <v>25</v>
      </c>
      <c r="AF39">
        <v>25</v>
      </c>
      <c r="AG39">
        <v>24</v>
      </c>
      <c r="AH39">
        <v>22</v>
      </c>
      <c r="AI39">
        <v>23</v>
      </c>
      <c r="AJ39">
        <v>24</v>
      </c>
      <c r="AK39">
        <v>24</v>
      </c>
      <c r="AL39">
        <v>20</v>
      </c>
      <c r="AM39">
        <v>24</v>
      </c>
      <c r="AN39">
        <v>24</v>
      </c>
      <c r="AO39">
        <v>23</v>
      </c>
      <c r="AP39">
        <v>32</v>
      </c>
      <c r="AQ39">
        <v>26</v>
      </c>
      <c r="AR39">
        <v>12</v>
      </c>
      <c r="AS39">
        <v>14</v>
      </c>
      <c r="AT39">
        <v>26</v>
      </c>
      <c r="AU39">
        <v>21</v>
      </c>
      <c r="AV39">
        <v>16</v>
      </c>
      <c r="AW39">
        <v>27</v>
      </c>
      <c r="AX39">
        <v>29</v>
      </c>
      <c r="AY39">
        <v>30</v>
      </c>
      <c r="AZ39">
        <v>17</v>
      </c>
      <c r="BA39">
        <v>25</v>
      </c>
      <c r="BB39">
        <v>12</v>
      </c>
      <c r="BC39">
        <v>15</v>
      </c>
      <c r="BD39">
        <v>23</v>
      </c>
      <c r="BE39">
        <v>20</v>
      </c>
      <c r="BF39">
        <v>13</v>
      </c>
      <c r="BG39">
        <v>22</v>
      </c>
      <c r="BH39">
        <v>26</v>
      </c>
      <c r="BI39">
        <v>26</v>
      </c>
      <c r="BJ39">
        <v>77629072</v>
      </c>
      <c r="BK39">
        <v>97038944</v>
      </c>
      <c r="BL39">
        <v>2754688.5</v>
      </c>
      <c r="BM39">
        <v>22340004</v>
      </c>
      <c r="BN39">
        <v>95467232</v>
      </c>
      <c r="BO39">
        <v>53436048</v>
      </c>
      <c r="BP39">
        <v>36290512</v>
      </c>
      <c r="BQ39">
        <v>90994936</v>
      </c>
      <c r="BR39">
        <v>103361984</v>
      </c>
      <c r="BS39">
        <v>97490888</v>
      </c>
      <c r="BT39">
        <v>27429586</v>
      </c>
      <c r="BU39">
        <v>89738568</v>
      </c>
      <c r="BV39">
        <v>33660472</v>
      </c>
      <c r="BW39">
        <v>36918400</v>
      </c>
      <c r="BX39">
        <v>85820904</v>
      </c>
      <c r="BY39">
        <v>43236368</v>
      </c>
      <c r="BZ39">
        <v>33776492</v>
      </c>
      <c r="CA39">
        <v>105480808</v>
      </c>
      <c r="CB39">
        <v>79188464</v>
      </c>
      <c r="CC39">
        <v>68832440</v>
      </c>
      <c r="CD39">
        <v>133345320</v>
      </c>
      <c r="CE39">
        <v>87393392</v>
      </c>
      <c r="CF39">
        <v>37601336</v>
      </c>
      <c r="CG39">
        <v>35361176</v>
      </c>
      <c r="CH39">
        <v>111887608</v>
      </c>
      <c r="CI39">
        <v>53807304</v>
      </c>
      <c r="CJ39">
        <v>43196500</v>
      </c>
      <c r="CK39">
        <v>118114424</v>
      </c>
      <c r="CL39">
        <v>140963120</v>
      </c>
      <c r="CM39">
        <v>125154944</v>
      </c>
      <c r="CN39">
        <v>145059488</v>
      </c>
      <c r="CO39">
        <v>96375616</v>
      </c>
      <c r="CP39">
        <v>52955976</v>
      </c>
      <c r="CQ39">
        <v>36115916</v>
      </c>
      <c r="CR39">
        <v>123308264</v>
      </c>
      <c r="CS39">
        <v>53653780</v>
      </c>
      <c r="CT39">
        <v>49557724</v>
      </c>
      <c r="CU39">
        <v>113641744</v>
      </c>
      <c r="CV39">
        <v>144526640</v>
      </c>
      <c r="CW39">
        <v>150267184</v>
      </c>
    </row>
    <row r="40" spans="1:101">
      <c r="A40">
        <v>30937</v>
      </c>
      <c r="B40" t="s">
        <v>228</v>
      </c>
      <c r="D40" t="s">
        <v>229</v>
      </c>
      <c r="F40" t="s">
        <v>230</v>
      </c>
      <c r="G40">
        <v>874.59100000000001</v>
      </c>
      <c r="H40" t="s">
        <v>104</v>
      </c>
      <c r="I40">
        <v>2</v>
      </c>
      <c r="J40">
        <v>21</v>
      </c>
      <c r="K40">
        <v>0</v>
      </c>
      <c r="L40">
        <v>0</v>
      </c>
      <c r="M40">
        <v>0</v>
      </c>
      <c r="N40">
        <v>-1</v>
      </c>
      <c r="O40">
        <v>22</v>
      </c>
      <c r="P40">
        <v>22</v>
      </c>
      <c r="Q40">
        <v>23</v>
      </c>
      <c r="R40">
        <v>23</v>
      </c>
      <c r="S40">
        <v>23</v>
      </c>
      <c r="T40">
        <v>23</v>
      </c>
      <c r="U40">
        <v>23</v>
      </c>
      <c r="V40">
        <v>16</v>
      </c>
      <c r="W40">
        <v>22</v>
      </c>
      <c r="X40">
        <v>22</v>
      </c>
      <c r="Y40">
        <v>23</v>
      </c>
      <c r="Z40">
        <v>23</v>
      </c>
      <c r="AA40">
        <v>20</v>
      </c>
      <c r="AB40">
        <v>23</v>
      </c>
      <c r="AC40">
        <v>23</v>
      </c>
      <c r="AD40">
        <v>23</v>
      </c>
      <c r="AE40">
        <v>23</v>
      </c>
      <c r="AF40">
        <v>23</v>
      </c>
      <c r="AG40">
        <v>21</v>
      </c>
      <c r="AH40">
        <v>23</v>
      </c>
      <c r="AI40">
        <v>23</v>
      </c>
      <c r="AJ40">
        <v>23</v>
      </c>
      <c r="AK40">
        <v>22</v>
      </c>
      <c r="AL40">
        <v>23</v>
      </c>
      <c r="AM40">
        <v>22</v>
      </c>
      <c r="AN40">
        <v>22</v>
      </c>
      <c r="AO40">
        <v>22</v>
      </c>
      <c r="AP40">
        <v>68</v>
      </c>
      <c r="AQ40">
        <v>61</v>
      </c>
      <c r="AR40">
        <v>5</v>
      </c>
      <c r="AS40">
        <v>54</v>
      </c>
      <c r="AT40">
        <v>74</v>
      </c>
      <c r="AU40">
        <v>50</v>
      </c>
      <c r="AV40">
        <v>76</v>
      </c>
      <c r="AW40">
        <v>80</v>
      </c>
      <c r="AX40">
        <v>63</v>
      </c>
      <c r="AY40">
        <v>53</v>
      </c>
      <c r="AZ40">
        <v>39</v>
      </c>
      <c r="BA40">
        <v>58</v>
      </c>
      <c r="BB40">
        <v>62</v>
      </c>
      <c r="BC40">
        <v>72</v>
      </c>
      <c r="BD40">
        <v>91</v>
      </c>
      <c r="BE40">
        <v>50</v>
      </c>
      <c r="BF40">
        <v>80</v>
      </c>
      <c r="BG40">
        <v>87</v>
      </c>
      <c r="BH40">
        <v>59</v>
      </c>
      <c r="BI40">
        <v>36</v>
      </c>
      <c r="BJ40">
        <v>1266260352</v>
      </c>
      <c r="BK40">
        <v>1454387072</v>
      </c>
      <c r="BL40">
        <v>5134002</v>
      </c>
      <c r="BM40">
        <v>781478400</v>
      </c>
      <c r="BN40">
        <v>2212370176</v>
      </c>
      <c r="BO40">
        <v>1091401088</v>
      </c>
      <c r="BP40">
        <v>2063536128</v>
      </c>
      <c r="BQ40">
        <v>3417594880</v>
      </c>
      <c r="BR40">
        <v>959673984</v>
      </c>
      <c r="BS40">
        <v>759906432</v>
      </c>
      <c r="BT40">
        <v>296476000</v>
      </c>
      <c r="BU40">
        <v>1071548672</v>
      </c>
      <c r="BV40">
        <v>1427898112</v>
      </c>
      <c r="BW40">
        <v>2164471296</v>
      </c>
      <c r="BX40">
        <v>3090122240</v>
      </c>
      <c r="BY40">
        <v>843629312</v>
      </c>
      <c r="BZ40">
        <v>2587642624</v>
      </c>
      <c r="CA40">
        <v>3404346624</v>
      </c>
      <c r="CB40">
        <v>848211584</v>
      </c>
      <c r="CC40">
        <v>417392576</v>
      </c>
      <c r="CD40">
        <v>1104449536</v>
      </c>
      <c r="CE40">
        <v>952339520</v>
      </c>
      <c r="CF40">
        <v>1059991424</v>
      </c>
      <c r="CG40">
        <v>1088831872</v>
      </c>
      <c r="CH40">
        <v>2126836480</v>
      </c>
      <c r="CI40">
        <v>660420672</v>
      </c>
      <c r="CJ40">
        <v>2048495360</v>
      </c>
      <c r="CK40">
        <v>2544403456</v>
      </c>
      <c r="CL40">
        <v>1127809536</v>
      </c>
      <c r="CM40">
        <v>799398848</v>
      </c>
      <c r="CN40">
        <v>1331836288</v>
      </c>
      <c r="CO40">
        <v>885070208</v>
      </c>
      <c r="CP40">
        <v>1709398016</v>
      </c>
      <c r="CQ40">
        <v>1423989248</v>
      </c>
      <c r="CR40">
        <v>3813045248</v>
      </c>
      <c r="CS40">
        <v>716983872</v>
      </c>
      <c r="CT40">
        <v>2895851008</v>
      </c>
      <c r="CU40">
        <v>2904692992</v>
      </c>
      <c r="CV40">
        <v>1022631872</v>
      </c>
      <c r="CW40">
        <v>702950592</v>
      </c>
    </row>
    <row r="41" spans="1:101">
      <c r="A41">
        <v>31032</v>
      </c>
      <c r="B41" t="s">
        <v>231</v>
      </c>
      <c r="D41" t="s">
        <v>231</v>
      </c>
      <c r="F41" t="s">
        <v>232</v>
      </c>
      <c r="G41">
        <v>812.81500000000005</v>
      </c>
      <c r="H41" t="s">
        <v>104</v>
      </c>
      <c r="I41">
        <v>2</v>
      </c>
      <c r="J41">
        <v>1</v>
      </c>
      <c r="K41">
        <v>0</v>
      </c>
      <c r="L41">
        <v>0</v>
      </c>
      <c r="M41">
        <v>0</v>
      </c>
      <c r="N41">
        <v>-1</v>
      </c>
      <c r="O41">
        <v>18</v>
      </c>
      <c r="P41">
        <v>1</v>
      </c>
      <c r="Q41">
        <v>20</v>
      </c>
      <c r="R41">
        <v>1</v>
      </c>
      <c r="S41">
        <v>20</v>
      </c>
      <c r="T41">
        <v>1</v>
      </c>
      <c r="U41">
        <v>1</v>
      </c>
      <c r="V41">
        <v>1</v>
      </c>
      <c r="W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708939264</v>
      </c>
      <c r="BK41">
        <v>1688191488</v>
      </c>
      <c r="BL41">
        <v>5065200</v>
      </c>
      <c r="BM41">
        <v>472355264</v>
      </c>
      <c r="BN41">
        <v>472266016</v>
      </c>
      <c r="BO41">
        <v>1184764928</v>
      </c>
      <c r="BP41">
        <v>392730272</v>
      </c>
      <c r="BQ41">
        <v>1049550272</v>
      </c>
      <c r="BR41">
        <v>345422592</v>
      </c>
      <c r="BS41">
        <v>884010624</v>
      </c>
      <c r="BT41">
        <v>230691280</v>
      </c>
      <c r="BU41">
        <v>1297196416</v>
      </c>
      <c r="BV41">
        <v>849321344</v>
      </c>
      <c r="BW41">
        <v>917113088</v>
      </c>
      <c r="BX41">
        <v>458668896</v>
      </c>
      <c r="BY41">
        <v>988516224</v>
      </c>
      <c r="BZ41">
        <v>316711296</v>
      </c>
      <c r="CA41">
        <v>1124438144</v>
      </c>
      <c r="CB41">
        <v>304630496</v>
      </c>
      <c r="CC41">
        <v>1028137664</v>
      </c>
      <c r="CD41">
        <v>348380.06</v>
      </c>
      <c r="CE41">
        <v>218411.14</v>
      </c>
      <c r="CF41">
        <v>1861110.38</v>
      </c>
      <c r="CG41">
        <v>132036.66</v>
      </c>
      <c r="CH41">
        <v>179399.88</v>
      </c>
      <c r="CI41">
        <v>235089.39</v>
      </c>
      <c r="CJ41">
        <v>101531.45</v>
      </c>
      <c r="CK41">
        <v>199921.2</v>
      </c>
      <c r="CL41">
        <v>96021.3</v>
      </c>
      <c r="CM41">
        <v>260106.58</v>
      </c>
      <c r="CN41">
        <v>249506.5</v>
      </c>
      <c r="CO41">
        <v>199057.8</v>
      </c>
      <c r="CP41">
        <v>120363.29</v>
      </c>
      <c r="CQ41">
        <v>163728.16</v>
      </c>
      <c r="CR41">
        <v>157522.75</v>
      </c>
      <c r="CS41">
        <v>224368.03</v>
      </c>
      <c r="CT41">
        <v>159546.48000000001</v>
      </c>
      <c r="CU41">
        <v>194144.53</v>
      </c>
      <c r="CV41">
        <v>135534.88</v>
      </c>
      <c r="CW41">
        <v>203018.88</v>
      </c>
    </row>
    <row r="42" spans="1:101">
      <c r="A42">
        <v>30912</v>
      </c>
      <c r="B42" t="s">
        <v>233</v>
      </c>
      <c r="D42" t="s">
        <v>234</v>
      </c>
      <c r="E42" t="s">
        <v>235</v>
      </c>
      <c r="F42" t="s">
        <v>236</v>
      </c>
      <c r="G42">
        <v>800.61199999999997</v>
      </c>
      <c r="H42" t="s">
        <v>104</v>
      </c>
      <c r="I42">
        <v>2</v>
      </c>
      <c r="J42">
        <v>4</v>
      </c>
      <c r="K42">
        <v>17</v>
      </c>
      <c r="L42">
        <v>0</v>
      </c>
      <c r="M42">
        <v>0</v>
      </c>
      <c r="N42">
        <v>-1</v>
      </c>
      <c r="O42">
        <v>28</v>
      </c>
      <c r="P42">
        <v>28</v>
      </c>
      <c r="Q42">
        <v>28</v>
      </c>
      <c r="R42">
        <v>28</v>
      </c>
      <c r="S42">
        <v>28</v>
      </c>
      <c r="T42">
        <v>28</v>
      </c>
      <c r="U42">
        <v>28</v>
      </c>
      <c r="V42">
        <v>28</v>
      </c>
      <c r="W42">
        <v>26</v>
      </c>
      <c r="X42">
        <v>5</v>
      </c>
      <c r="Y42">
        <v>23</v>
      </c>
      <c r="Z42">
        <v>26</v>
      </c>
      <c r="AA42">
        <v>27</v>
      </c>
      <c r="AB42">
        <v>25</v>
      </c>
      <c r="AC42">
        <v>27</v>
      </c>
      <c r="AD42">
        <v>27</v>
      </c>
      <c r="AE42">
        <v>27</v>
      </c>
      <c r="AF42">
        <v>26</v>
      </c>
      <c r="AG42">
        <v>26</v>
      </c>
      <c r="AH42">
        <v>24</v>
      </c>
      <c r="AI42">
        <v>24</v>
      </c>
      <c r="AJ42">
        <v>26</v>
      </c>
      <c r="AK42">
        <v>25</v>
      </c>
      <c r="AL42">
        <v>23</v>
      </c>
      <c r="AM42">
        <v>28</v>
      </c>
      <c r="AN42">
        <v>28</v>
      </c>
      <c r="AO42">
        <v>28</v>
      </c>
      <c r="AP42">
        <v>25</v>
      </c>
      <c r="AQ42">
        <v>9</v>
      </c>
      <c r="AR42">
        <v>0</v>
      </c>
      <c r="AS42">
        <v>3</v>
      </c>
      <c r="AT42">
        <v>16</v>
      </c>
      <c r="AU42">
        <v>6</v>
      </c>
      <c r="AV42">
        <v>13</v>
      </c>
      <c r="AW42">
        <v>14</v>
      </c>
      <c r="AX42">
        <v>17</v>
      </c>
      <c r="AY42">
        <v>8</v>
      </c>
      <c r="AZ42">
        <v>18</v>
      </c>
      <c r="BA42">
        <v>8</v>
      </c>
      <c r="BB42">
        <v>16</v>
      </c>
      <c r="BC42">
        <v>3</v>
      </c>
      <c r="BD42">
        <v>15</v>
      </c>
      <c r="BE42">
        <v>5</v>
      </c>
      <c r="BF42">
        <v>10</v>
      </c>
      <c r="BG42">
        <v>20</v>
      </c>
      <c r="BH42">
        <v>16</v>
      </c>
      <c r="BI42">
        <v>17</v>
      </c>
      <c r="BJ42">
        <v>63121828</v>
      </c>
      <c r="BK42">
        <v>30950594</v>
      </c>
      <c r="BL42">
        <v>134294.95000000001</v>
      </c>
      <c r="BM42">
        <v>5918268.5</v>
      </c>
      <c r="BN42">
        <v>33308994</v>
      </c>
      <c r="BO42">
        <v>17652612</v>
      </c>
      <c r="BP42">
        <v>23091936</v>
      </c>
      <c r="BQ42">
        <v>30744112</v>
      </c>
      <c r="BR42">
        <v>22263084</v>
      </c>
      <c r="BS42">
        <v>16296943</v>
      </c>
      <c r="BT42">
        <v>14524517</v>
      </c>
      <c r="BU42">
        <v>18897636</v>
      </c>
      <c r="BV42">
        <v>19361052</v>
      </c>
      <c r="BW42">
        <v>12506451</v>
      </c>
      <c r="BX42">
        <v>30153518</v>
      </c>
      <c r="BY42">
        <v>13025274</v>
      </c>
      <c r="BZ42">
        <v>16710413</v>
      </c>
      <c r="CA42">
        <v>49512028</v>
      </c>
      <c r="CB42">
        <v>23592762</v>
      </c>
      <c r="CC42">
        <v>22495570</v>
      </c>
      <c r="CD42">
        <v>65218264</v>
      </c>
      <c r="CE42">
        <v>17573964</v>
      </c>
      <c r="CF42">
        <v>18584066</v>
      </c>
      <c r="CG42">
        <v>6588101.5</v>
      </c>
      <c r="CH42">
        <v>24060230</v>
      </c>
      <c r="CI42">
        <v>11389461</v>
      </c>
      <c r="CJ42">
        <v>18189826</v>
      </c>
      <c r="CK42">
        <v>25983208</v>
      </c>
      <c r="CL42">
        <v>21601412</v>
      </c>
      <c r="CM42">
        <v>13215063</v>
      </c>
      <c r="CN42">
        <v>53627616</v>
      </c>
      <c r="CO42">
        <v>13129428</v>
      </c>
      <c r="CP42">
        <v>19996454</v>
      </c>
      <c r="CQ42">
        <v>6722919</v>
      </c>
      <c r="CR42">
        <v>28387878</v>
      </c>
      <c r="CS42">
        <v>9748432</v>
      </c>
      <c r="CT42">
        <v>16386978</v>
      </c>
      <c r="CU42">
        <v>34646868</v>
      </c>
      <c r="CV42">
        <v>26153492</v>
      </c>
      <c r="CW42">
        <v>30522414</v>
      </c>
    </row>
    <row r="43" spans="1:101">
      <c r="A43">
        <v>31083</v>
      </c>
      <c r="B43" t="s">
        <v>237</v>
      </c>
      <c r="D43" t="s">
        <v>238</v>
      </c>
      <c r="F43" t="s">
        <v>239</v>
      </c>
      <c r="G43">
        <v>798.48199999999997</v>
      </c>
      <c r="H43" t="s">
        <v>104</v>
      </c>
      <c r="I43">
        <v>2</v>
      </c>
      <c r="J43">
        <v>21</v>
      </c>
      <c r="K43">
        <v>0</v>
      </c>
      <c r="L43">
        <v>0</v>
      </c>
      <c r="M43">
        <v>0</v>
      </c>
      <c r="N43">
        <v>-1</v>
      </c>
      <c r="O43">
        <v>20</v>
      </c>
      <c r="P43">
        <v>20</v>
      </c>
      <c r="Q43">
        <v>22</v>
      </c>
      <c r="R43">
        <v>22</v>
      </c>
      <c r="S43">
        <v>22</v>
      </c>
      <c r="T43">
        <v>22</v>
      </c>
      <c r="U43">
        <v>22</v>
      </c>
      <c r="V43">
        <v>20</v>
      </c>
      <c r="W43">
        <v>21</v>
      </c>
      <c r="X43">
        <v>17</v>
      </c>
      <c r="Y43">
        <v>22</v>
      </c>
      <c r="Z43">
        <v>22</v>
      </c>
      <c r="AA43">
        <v>21</v>
      </c>
      <c r="AB43">
        <v>22</v>
      </c>
      <c r="AC43">
        <v>21</v>
      </c>
      <c r="AD43">
        <v>21</v>
      </c>
      <c r="AE43">
        <v>21</v>
      </c>
      <c r="AF43">
        <v>22</v>
      </c>
      <c r="AG43">
        <v>21</v>
      </c>
      <c r="AH43">
        <v>22</v>
      </c>
      <c r="AI43">
        <v>22</v>
      </c>
      <c r="AJ43">
        <v>22</v>
      </c>
      <c r="AK43">
        <v>21</v>
      </c>
      <c r="AL43">
        <v>22</v>
      </c>
      <c r="AM43">
        <v>22</v>
      </c>
      <c r="AN43">
        <v>21</v>
      </c>
      <c r="AO43">
        <v>21</v>
      </c>
      <c r="AP43">
        <v>147</v>
      </c>
      <c r="AQ43">
        <v>157</v>
      </c>
      <c r="AR43">
        <v>83</v>
      </c>
      <c r="AS43">
        <v>121</v>
      </c>
      <c r="AT43">
        <v>143</v>
      </c>
      <c r="AU43">
        <v>163</v>
      </c>
      <c r="AV43">
        <v>159</v>
      </c>
      <c r="AW43">
        <v>199</v>
      </c>
      <c r="AX43">
        <v>128</v>
      </c>
      <c r="AY43">
        <v>116</v>
      </c>
      <c r="AZ43">
        <v>58</v>
      </c>
      <c r="BA43">
        <v>102</v>
      </c>
      <c r="BB43">
        <v>109</v>
      </c>
      <c r="BC43">
        <v>153</v>
      </c>
      <c r="BD43">
        <v>149</v>
      </c>
      <c r="BE43">
        <v>138</v>
      </c>
      <c r="BF43">
        <v>127</v>
      </c>
      <c r="BG43">
        <v>164</v>
      </c>
      <c r="BH43">
        <v>85</v>
      </c>
      <c r="BI43">
        <v>60</v>
      </c>
      <c r="BJ43">
        <v>1438318592</v>
      </c>
      <c r="BK43">
        <v>2552243712</v>
      </c>
      <c r="BL43">
        <v>8194167</v>
      </c>
      <c r="BM43">
        <v>1221065472</v>
      </c>
      <c r="BN43">
        <v>2664327936</v>
      </c>
      <c r="BO43">
        <v>2776089344</v>
      </c>
      <c r="BP43">
        <v>2647150848</v>
      </c>
      <c r="BQ43">
        <v>4015513088</v>
      </c>
      <c r="BR43">
        <v>1272264448</v>
      </c>
      <c r="BS43">
        <v>1292326528</v>
      </c>
      <c r="BT43">
        <v>310803104</v>
      </c>
      <c r="BU43">
        <v>1807395456</v>
      </c>
      <c r="BV43">
        <v>1749422208</v>
      </c>
      <c r="BW43">
        <v>2938155776</v>
      </c>
      <c r="BX43">
        <v>2755915264</v>
      </c>
      <c r="BY43">
        <v>2548159232</v>
      </c>
      <c r="BZ43">
        <v>2351591936</v>
      </c>
      <c r="CA43">
        <v>4036319744</v>
      </c>
      <c r="CB43">
        <v>892251776</v>
      </c>
      <c r="CC43">
        <v>464295712</v>
      </c>
      <c r="CD43">
        <v>933605376</v>
      </c>
      <c r="CE43">
        <v>1215963648</v>
      </c>
      <c r="CF43">
        <v>1264806400</v>
      </c>
      <c r="CG43">
        <v>1428756736</v>
      </c>
      <c r="CH43">
        <v>1996707072</v>
      </c>
      <c r="CI43">
        <v>1536556800</v>
      </c>
      <c r="CJ43">
        <v>2036006784</v>
      </c>
      <c r="CK43">
        <v>3133598464</v>
      </c>
      <c r="CL43">
        <v>1241956736</v>
      </c>
      <c r="CM43">
        <v>1188462592</v>
      </c>
      <c r="CN43">
        <v>1346199680</v>
      </c>
      <c r="CO43">
        <v>1408443520</v>
      </c>
      <c r="CP43">
        <v>2026428800</v>
      </c>
      <c r="CQ43">
        <v>1824527104</v>
      </c>
      <c r="CR43">
        <v>3046332672</v>
      </c>
      <c r="CS43">
        <v>1747811712</v>
      </c>
      <c r="CT43">
        <v>2291269376</v>
      </c>
      <c r="CU43">
        <v>3288185600</v>
      </c>
      <c r="CV43">
        <v>933366272</v>
      </c>
      <c r="CW43">
        <v>767244288</v>
      </c>
    </row>
    <row r="44" spans="1:101">
      <c r="A44">
        <v>31127</v>
      </c>
      <c r="B44" t="s">
        <v>240</v>
      </c>
      <c r="D44" t="s">
        <v>241</v>
      </c>
      <c r="F44" t="s">
        <v>242</v>
      </c>
      <c r="G44">
        <v>792.78099999999995</v>
      </c>
      <c r="H44" t="s">
        <v>104</v>
      </c>
      <c r="I44">
        <v>2</v>
      </c>
      <c r="J44">
        <v>2</v>
      </c>
      <c r="K44">
        <v>0</v>
      </c>
      <c r="L44">
        <v>0</v>
      </c>
      <c r="M44">
        <v>0</v>
      </c>
      <c r="N44">
        <v>-1</v>
      </c>
      <c r="O44">
        <v>33</v>
      </c>
      <c r="P44">
        <v>33</v>
      </c>
      <c r="Q44">
        <v>33</v>
      </c>
      <c r="R44">
        <v>33</v>
      </c>
      <c r="S44">
        <v>33</v>
      </c>
      <c r="T44">
        <v>33</v>
      </c>
      <c r="U44">
        <v>33</v>
      </c>
      <c r="V44">
        <v>31</v>
      </c>
      <c r="W44">
        <v>32</v>
      </c>
      <c r="X44">
        <v>8</v>
      </c>
      <c r="Y44">
        <v>33</v>
      </c>
      <c r="Z44">
        <v>32</v>
      </c>
      <c r="AA44">
        <v>33</v>
      </c>
      <c r="AB44">
        <v>33</v>
      </c>
      <c r="AC44">
        <v>33</v>
      </c>
      <c r="AD44">
        <v>33</v>
      </c>
      <c r="AE44">
        <v>33</v>
      </c>
      <c r="AF44">
        <v>33</v>
      </c>
      <c r="AG44">
        <v>33</v>
      </c>
      <c r="AH44">
        <v>33</v>
      </c>
      <c r="AI44">
        <v>33</v>
      </c>
      <c r="AJ44">
        <v>32</v>
      </c>
      <c r="AK44">
        <v>33</v>
      </c>
      <c r="AL44">
        <v>33</v>
      </c>
      <c r="AM44">
        <v>33</v>
      </c>
      <c r="AN44">
        <v>33</v>
      </c>
      <c r="AO44">
        <v>33</v>
      </c>
      <c r="AP44">
        <v>22</v>
      </c>
      <c r="AQ44">
        <v>23</v>
      </c>
      <c r="AR44">
        <v>0</v>
      </c>
      <c r="AS44">
        <v>28</v>
      </c>
      <c r="AT44">
        <v>21</v>
      </c>
      <c r="AU44">
        <v>29</v>
      </c>
      <c r="AV44">
        <v>25</v>
      </c>
      <c r="AW44">
        <v>16</v>
      </c>
      <c r="AX44">
        <v>30</v>
      </c>
      <c r="AY44">
        <v>30</v>
      </c>
      <c r="AZ44">
        <v>5</v>
      </c>
      <c r="BA44">
        <v>25</v>
      </c>
      <c r="BB44">
        <v>16</v>
      </c>
      <c r="BC44">
        <v>35</v>
      </c>
      <c r="BD44">
        <v>17</v>
      </c>
      <c r="BE44">
        <v>27</v>
      </c>
      <c r="BF44">
        <v>22</v>
      </c>
      <c r="BG44">
        <v>18</v>
      </c>
      <c r="BH44">
        <v>32</v>
      </c>
      <c r="BI44">
        <v>26</v>
      </c>
      <c r="BJ44">
        <v>36371268</v>
      </c>
      <c r="BK44">
        <v>67403096</v>
      </c>
      <c r="BL44">
        <v>711947.62</v>
      </c>
      <c r="BM44">
        <v>47756860</v>
      </c>
      <c r="BN44">
        <v>37289512</v>
      </c>
      <c r="BO44">
        <v>62955112</v>
      </c>
      <c r="BP44">
        <v>50359480</v>
      </c>
      <c r="BQ44">
        <v>32641222</v>
      </c>
      <c r="BR44">
        <v>57632960</v>
      </c>
      <c r="BS44">
        <v>53467608</v>
      </c>
      <c r="BT44">
        <v>8365958</v>
      </c>
      <c r="BU44">
        <v>53819512</v>
      </c>
      <c r="BV44">
        <v>27914586</v>
      </c>
      <c r="BW44">
        <v>82483864</v>
      </c>
      <c r="BX44">
        <v>29156008</v>
      </c>
      <c r="BY44">
        <v>54089948</v>
      </c>
      <c r="BZ44">
        <v>40796680</v>
      </c>
      <c r="CA44">
        <v>34066968</v>
      </c>
      <c r="CB44">
        <v>48896592</v>
      </c>
      <c r="CC44">
        <v>41845752</v>
      </c>
      <c r="CD44">
        <v>40216172</v>
      </c>
      <c r="CE44">
        <v>40900620</v>
      </c>
      <c r="CF44">
        <v>25022912</v>
      </c>
      <c r="CG44">
        <v>53316980</v>
      </c>
      <c r="CH44">
        <v>30220622</v>
      </c>
      <c r="CI44">
        <v>41004616</v>
      </c>
      <c r="CJ44">
        <v>38584948</v>
      </c>
      <c r="CK44">
        <v>28875964</v>
      </c>
      <c r="CL44">
        <v>60445836</v>
      </c>
      <c r="CM44">
        <v>50482860</v>
      </c>
      <c r="CN44">
        <v>32307478</v>
      </c>
      <c r="CO44">
        <v>41523672</v>
      </c>
      <c r="CP44">
        <v>28970328</v>
      </c>
      <c r="CQ44">
        <v>54043496</v>
      </c>
      <c r="CR44">
        <v>31828264</v>
      </c>
      <c r="CS44">
        <v>42432392</v>
      </c>
      <c r="CT44">
        <v>43791684</v>
      </c>
      <c r="CU44">
        <v>27884794</v>
      </c>
      <c r="CV44">
        <v>59860096</v>
      </c>
      <c r="CW44">
        <v>67344848</v>
      </c>
    </row>
    <row r="45" spans="1:101">
      <c r="A45">
        <v>31003</v>
      </c>
      <c r="B45" t="s">
        <v>243</v>
      </c>
      <c r="D45" t="s">
        <v>244</v>
      </c>
      <c r="E45" t="s">
        <v>245</v>
      </c>
      <c r="F45" t="s">
        <v>246</v>
      </c>
      <c r="G45">
        <v>791.4</v>
      </c>
      <c r="H45" t="s">
        <v>104</v>
      </c>
      <c r="I45">
        <v>2</v>
      </c>
      <c r="J45">
        <v>2</v>
      </c>
      <c r="K45">
        <v>1</v>
      </c>
      <c r="L45">
        <v>0</v>
      </c>
      <c r="M45">
        <v>0</v>
      </c>
      <c r="N45">
        <v>-1</v>
      </c>
      <c r="O45">
        <v>27</v>
      </c>
      <c r="P45">
        <v>21</v>
      </c>
      <c r="Q45">
        <v>28</v>
      </c>
      <c r="R45">
        <v>22</v>
      </c>
      <c r="S45">
        <v>28</v>
      </c>
      <c r="T45">
        <v>22</v>
      </c>
      <c r="U45">
        <v>22</v>
      </c>
      <c r="V45">
        <v>20</v>
      </c>
      <c r="W45">
        <v>20</v>
      </c>
      <c r="X45">
        <v>11</v>
      </c>
      <c r="Y45">
        <v>21</v>
      </c>
      <c r="Z45">
        <v>22</v>
      </c>
      <c r="AA45">
        <v>21</v>
      </c>
      <c r="AB45">
        <v>22</v>
      </c>
      <c r="AC45">
        <v>22</v>
      </c>
      <c r="AD45">
        <v>22</v>
      </c>
      <c r="AE45">
        <v>22</v>
      </c>
      <c r="AF45">
        <v>22</v>
      </c>
      <c r="AG45">
        <v>22</v>
      </c>
      <c r="AH45">
        <v>21</v>
      </c>
      <c r="AI45">
        <v>21</v>
      </c>
      <c r="AJ45">
        <v>22</v>
      </c>
      <c r="AK45">
        <v>21</v>
      </c>
      <c r="AL45">
        <v>21</v>
      </c>
      <c r="AM45">
        <v>22</v>
      </c>
      <c r="AN45">
        <v>22</v>
      </c>
      <c r="AO45">
        <v>22</v>
      </c>
      <c r="AP45">
        <v>25</v>
      </c>
      <c r="AQ45">
        <v>21</v>
      </c>
      <c r="AR45">
        <v>0</v>
      </c>
      <c r="AS45">
        <v>16</v>
      </c>
      <c r="AT45">
        <v>27</v>
      </c>
      <c r="AU45">
        <v>23</v>
      </c>
      <c r="AV45">
        <v>19</v>
      </c>
      <c r="AW45">
        <v>25</v>
      </c>
      <c r="AX45">
        <v>30</v>
      </c>
      <c r="AY45">
        <v>27</v>
      </c>
      <c r="AZ45">
        <v>16</v>
      </c>
      <c r="BA45">
        <v>26</v>
      </c>
      <c r="BB45">
        <v>19</v>
      </c>
      <c r="BC45">
        <v>19</v>
      </c>
      <c r="BD45">
        <v>21</v>
      </c>
      <c r="BE45">
        <v>22</v>
      </c>
      <c r="BF45">
        <v>14</v>
      </c>
      <c r="BG45">
        <v>23</v>
      </c>
      <c r="BH45">
        <v>30</v>
      </c>
      <c r="BI45">
        <v>21</v>
      </c>
      <c r="BJ45">
        <v>133149416</v>
      </c>
      <c r="BK45">
        <v>137118672</v>
      </c>
      <c r="BL45">
        <v>577486.62</v>
      </c>
      <c r="BM45">
        <v>29515512</v>
      </c>
      <c r="BN45">
        <v>153942272</v>
      </c>
      <c r="BO45">
        <v>80139944</v>
      </c>
      <c r="BP45">
        <v>70367040</v>
      </c>
      <c r="BQ45">
        <v>117284240</v>
      </c>
      <c r="BR45">
        <v>128789352</v>
      </c>
      <c r="BS45">
        <v>121575336</v>
      </c>
      <c r="BT45">
        <v>30686984</v>
      </c>
      <c r="BU45">
        <v>105931256</v>
      </c>
      <c r="BV45">
        <v>54901012</v>
      </c>
      <c r="BW45">
        <v>56060556</v>
      </c>
      <c r="BX45">
        <v>108435288</v>
      </c>
      <c r="BY45">
        <v>69447480</v>
      </c>
      <c r="BZ45">
        <v>44313188</v>
      </c>
      <c r="CA45">
        <v>118407080</v>
      </c>
      <c r="CB45">
        <v>103960312</v>
      </c>
      <c r="CC45">
        <v>72838296</v>
      </c>
      <c r="CD45">
        <v>117531704</v>
      </c>
      <c r="CE45">
        <v>70878896</v>
      </c>
      <c r="CF45">
        <v>38946100</v>
      </c>
      <c r="CG45">
        <v>31369648</v>
      </c>
      <c r="CH45">
        <v>111787168</v>
      </c>
      <c r="CI45">
        <v>50117756</v>
      </c>
      <c r="CJ45">
        <v>49776392</v>
      </c>
      <c r="CK45">
        <v>98352120</v>
      </c>
      <c r="CL45">
        <v>124272776</v>
      </c>
      <c r="CM45">
        <v>103923504</v>
      </c>
      <c r="CN45">
        <v>113074304</v>
      </c>
      <c r="CO45">
        <v>76434688</v>
      </c>
      <c r="CP45">
        <v>56087032</v>
      </c>
      <c r="CQ45">
        <v>33767640</v>
      </c>
      <c r="CR45">
        <v>103212040</v>
      </c>
      <c r="CS45">
        <v>46435248</v>
      </c>
      <c r="CT45">
        <v>40278096</v>
      </c>
      <c r="CU45">
        <v>88862480</v>
      </c>
      <c r="CV45">
        <v>117452960</v>
      </c>
      <c r="CW45">
        <v>85897216</v>
      </c>
    </row>
    <row r="46" spans="1:101">
      <c r="A46">
        <v>30940</v>
      </c>
      <c r="B46" t="s">
        <v>247</v>
      </c>
      <c r="D46" t="s">
        <v>248</v>
      </c>
      <c r="E46" t="s">
        <v>249</v>
      </c>
      <c r="F46" t="s">
        <v>250</v>
      </c>
      <c r="G46">
        <v>787.19200000000001</v>
      </c>
      <c r="H46" t="s">
        <v>104</v>
      </c>
      <c r="I46">
        <v>2</v>
      </c>
      <c r="J46">
        <v>18</v>
      </c>
      <c r="K46">
        <v>2</v>
      </c>
      <c r="L46">
        <v>0</v>
      </c>
      <c r="M46">
        <v>0</v>
      </c>
      <c r="N46">
        <v>-1</v>
      </c>
      <c r="O46">
        <v>15</v>
      </c>
      <c r="P46">
        <v>15</v>
      </c>
      <c r="Q46">
        <v>20</v>
      </c>
      <c r="R46">
        <v>20</v>
      </c>
      <c r="S46">
        <v>20</v>
      </c>
      <c r="T46">
        <v>20</v>
      </c>
      <c r="U46">
        <v>19</v>
      </c>
      <c r="V46">
        <v>15</v>
      </c>
      <c r="W46">
        <v>16</v>
      </c>
      <c r="X46">
        <v>15</v>
      </c>
      <c r="Y46">
        <v>19</v>
      </c>
      <c r="Z46">
        <v>19</v>
      </c>
      <c r="AA46">
        <v>19</v>
      </c>
      <c r="AB46">
        <v>19</v>
      </c>
      <c r="AC46">
        <v>19</v>
      </c>
      <c r="AD46">
        <v>19</v>
      </c>
      <c r="AE46">
        <v>19</v>
      </c>
      <c r="AF46">
        <v>18</v>
      </c>
      <c r="AG46">
        <v>19</v>
      </c>
      <c r="AH46">
        <v>19</v>
      </c>
      <c r="AI46">
        <v>18</v>
      </c>
      <c r="AJ46">
        <v>18</v>
      </c>
      <c r="AK46">
        <v>19</v>
      </c>
      <c r="AL46">
        <v>17</v>
      </c>
      <c r="AM46">
        <v>17</v>
      </c>
      <c r="AN46">
        <v>18</v>
      </c>
      <c r="AO46">
        <v>19</v>
      </c>
      <c r="AP46">
        <v>142</v>
      </c>
      <c r="AQ46">
        <v>82</v>
      </c>
      <c r="AR46">
        <v>11</v>
      </c>
      <c r="AS46">
        <v>64</v>
      </c>
      <c r="AT46">
        <v>73</v>
      </c>
      <c r="AU46">
        <v>44</v>
      </c>
      <c r="AV46">
        <v>71</v>
      </c>
      <c r="AW46">
        <v>87</v>
      </c>
      <c r="AX46">
        <v>61</v>
      </c>
      <c r="AY46">
        <v>40</v>
      </c>
      <c r="AZ46">
        <v>43</v>
      </c>
      <c r="BA46">
        <v>75</v>
      </c>
      <c r="BB46">
        <v>74</v>
      </c>
      <c r="BC46">
        <v>82</v>
      </c>
      <c r="BD46">
        <v>84</v>
      </c>
      <c r="BE46">
        <v>44</v>
      </c>
      <c r="BF46">
        <v>79</v>
      </c>
      <c r="BG46">
        <v>94</v>
      </c>
      <c r="BH46">
        <v>75</v>
      </c>
      <c r="BI46">
        <v>68</v>
      </c>
      <c r="BJ46">
        <v>1950851456</v>
      </c>
      <c r="BK46">
        <v>1860396928</v>
      </c>
      <c r="BL46">
        <v>15994783</v>
      </c>
      <c r="BM46">
        <v>1101218944</v>
      </c>
      <c r="BN46">
        <v>1741467392</v>
      </c>
      <c r="BO46">
        <v>643410304</v>
      </c>
      <c r="BP46">
        <v>1630334336</v>
      </c>
      <c r="BQ46">
        <v>2808862208</v>
      </c>
      <c r="BR46">
        <v>1254261376</v>
      </c>
      <c r="BS46">
        <v>485871712</v>
      </c>
      <c r="BT46">
        <v>355583648</v>
      </c>
      <c r="BU46">
        <v>1411390336</v>
      </c>
      <c r="BV46">
        <v>1904515072</v>
      </c>
      <c r="BW46">
        <v>2382854144</v>
      </c>
      <c r="BX46">
        <v>2676245504</v>
      </c>
      <c r="BY46">
        <v>613160064</v>
      </c>
      <c r="BZ46">
        <v>2169239296</v>
      </c>
      <c r="CA46">
        <v>3178313984</v>
      </c>
      <c r="CB46">
        <v>1375502976</v>
      </c>
      <c r="CC46">
        <v>622205568</v>
      </c>
      <c r="CD46">
        <v>1312248192</v>
      </c>
      <c r="CE46">
        <v>1041083968</v>
      </c>
      <c r="CF46">
        <v>1518664320</v>
      </c>
      <c r="CG46">
        <v>1279092608</v>
      </c>
      <c r="CH46">
        <v>1351402496</v>
      </c>
      <c r="CI46">
        <v>440703424</v>
      </c>
      <c r="CJ46">
        <v>1419028864</v>
      </c>
      <c r="CK46">
        <v>2267856128</v>
      </c>
      <c r="CL46">
        <v>1285338752</v>
      </c>
      <c r="CM46">
        <v>589722176</v>
      </c>
      <c r="CN46">
        <v>1432475392</v>
      </c>
      <c r="CO46">
        <v>1239784704</v>
      </c>
      <c r="CP46">
        <v>2201689088</v>
      </c>
      <c r="CQ46">
        <v>1420446080</v>
      </c>
      <c r="CR46">
        <v>2509062400</v>
      </c>
      <c r="CS46">
        <v>580452672</v>
      </c>
      <c r="CT46">
        <v>1675016448</v>
      </c>
      <c r="CU46">
        <v>2527363328</v>
      </c>
      <c r="CV46">
        <v>1890258816</v>
      </c>
      <c r="CW46">
        <v>1253501568</v>
      </c>
    </row>
    <row r="47" spans="1:101">
      <c r="A47">
        <v>31036</v>
      </c>
      <c r="B47" t="s">
        <v>251</v>
      </c>
      <c r="D47" t="s">
        <v>252</v>
      </c>
      <c r="F47" t="s">
        <v>253</v>
      </c>
      <c r="G47">
        <v>761.42399999999998</v>
      </c>
      <c r="H47" t="s">
        <v>104</v>
      </c>
      <c r="I47">
        <v>2</v>
      </c>
      <c r="J47">
        <v>3</v>
      </c>
      <c r="K47">
        <v>0</v>
      </c>
      <c r="L47">
        <v>0</v>
      </c>
      <c r="M47">
        <v>0</v>
      </c>
      <c r="N47">
        <v>-1</v>
      </c>
      <c r="O47">
        <v>16</v>
      </c>
      <c r="P47">
        <v>16</v>
      </c>
      <c r="Q47">
        <v>16</v>
      </c>
      <c r="R47">
        <v>16</v>
      </c>
      <c r="S47">
        <v>16</v>
      </c>
      <c r="T47">
        <v>16</v>
      </c>
      <c r="U47">
        <v>16</v>
      </c>
      <c r="V47">
        <v>16</v>
      </c>
      <c r="W47">
        <v>16</v>
      </c>
      <c r="X47">
        <v>15</v>
      </c>
      <c r="Y47">
        <v>16</v>
      </c>
      <c r="Z47">
        <v>15</v>
      </c>
      <c r="AA47">
        <v>16</v>
      </c>
      <c r="AB47">
        <v>16</v>
      </c>
      <c r="AC47">
        <v>16</v>
      </c>
      <c r="AD47">
        <v>15</v>
      </c>
      <c r="AE47">
        <v>16</v>
      </c>
      <c r="AF47">
        <v>16</v>
      </c>
      <c r="AG47">
        <v>16</v>
      </c>
      <c r="AH47">
        <v>16</v>
      </c>
      <c r="AI47">
        <v>15</v>
      </c>
      <c r="AJ47">
        <v>16</v>
      </c>
      <c r="AK47">
        <v>16</v>
      </c>
      <c r="AL47">
        <v>16</v>
      </c>
      <c r="AM47">
        <v>16</v>
      </c>
      <c r="AN47">
        <v>16</v>
      </c>
      <c r="AO47">
        <v>16</v>
      </c>
      <c r="AP47">
        <v>35</v>
      </c>
      <c r="AQ47">
        <v>42</v>
      </c>
      <c r="AR47">
        <v>6</v>
      </c>
      <c r="AS47">
        <v>30</v>
      </c>
      <c r="AT47">
        <v>24</v>
      </c>
      <c r="AU47">
        <v>41</v>
      </c>
      <c r="AV47">
        <v>21</v>
      </c>
      <c r="AW47">
        <v>33</v>
      </c>
      <c r="AX47">
        <v>18</v>
      </c>
      <c r="AY47">
        <v>26</v>
      </c>
      <c r="AZ47">
        <v>19</v>
      </c>
      <c r="BA47">
        <v>42</v>
      </c>
      <c r="BB47">
        <v>30</v>
      </c>
      <c r="BC47">
        <v>35</v>
      </c>
      <c r="BD47">
        <v>26</v>
      </c>
      <c r="BE47">
        <v>36</v>
      </c>
      <c r="BF47">
        <v>22</v>
      </c>
      <c r="BG47">
        <v>38</v>
      </c>
      <c r="BH47">
        <v>16</v>
      </c>
      <c r="BI47">
        <v>22</v>
      </c>
      <c r="BJ47">
        <v>173108656</v>
      </c>
      <c r="BK47">
        <v>572205696</v>
      </c>
      <c r="BL47">
        <v>2603802</v>
      </c>
      <c r="BM47">
        <v>160597136</v>
      </c>
      <c r="BN47">
        <v>150859024</v>
      </c>
      <c r="BO47">
        <v>497814880</v>
      </c>
      <c r="BP47">
        <v>109096920</v>
      </c>
      <c r="BQ47">
        <v>331213312</v>
      </c>
      <c r="BR47">
        <v>68413576</v>
      </c>
      <c r="BS47">
        <v>147810544</v>
      </c>
      <c r="BT47">
        <v>60058792</v>
      </c>
      <c r="BU47">
        <v>484097696</v>
      </c>
      <c r="BV47">
        <v>160736720</v>
      </c>
      <c r="BW47">
        <v>304972288</v>
      </c>
      <c r="BX47">
        <v>116131504</v>
      </c>
      <c r="BY47">
        <v>398923712</v>
      </c>
      <c r="BZ47">
        <v>88990048</v>
      </c>
      <c r="CA47">
        <v>343110496</v>
      </c>
      <c r="CB47">
        <v>52355988</v>
      </c>
      <c r="CC47">
        <v>87648480</v>
      </c>
      <c r="CD47">
        <v>210991952</v>
      </c>
      <c r="CE47">
        <v>377243040</v>
      </c>
      <c r="CF47">
        <v>137331696</v>
      </c>
      <c r="CG47">
        <v>185426688</v>
      </c>
      <c r="CH47">
        <v>120407480</v>
      </c>
      <c r="CI47">
        <v>336326560</v>
      </c>
      <c r="CJ47">
        <v>90779112</v>
      </c>
      <c r="CK47">
        <v>312636288</v>
      </c>
      <c r="CL47">
        <v>76768032</v>
      </c>
      <c r="CM47">
        <v>138477488</v>
      </c>
      <c r="CN47">
        <v>227140048</v>
      </c>
      <c r="CO47">
        <v>388273728</v>
      </c>
      <c r="CP47">
        <v>182860336</v>
      </c>
      <c r="CQ47">
        <v>207407040</v>
      </c>
      <c r="CR47">
        <v>129748200</v>
      </c>
      <c r="CS47">
        <v>369292096</v>
      </c>
      <c r="CT47">
        <v>90485496</v>
      </c>
      <c r="CU47">
        <v>327760032</v>
      </c>
      <c r="CV47">
        <v>72460968</v>
      </c>
      <c r="CW47">
        <v>151708672</v>
      </c>
    </row>
    <row r="48" spans="1:101">
      <c r="A48">
        <v>31059</v>
      </c>
      <c r="B48" t="s">
        <v>254</v>
      </c>
      <c r="D48" t="s">
        <v>255</v>
      </c>
      <c r="F48" t="s">
        <v>256</v>
      </c>
      <c r="G48">
        <v>730.78399999999999</v>
      </c>
      <c r="H48" t="s">
        <v>104</v>
      </c>
      <c r="I48">
        <v>2</v>
      </c>
      <c r="J48">
        <v>6</v>
      </c>
      <c r="K48">
        <v>0</v>
      </c>
      <c r="L48">
        <v>0</v>
      </c>
      <c r="M48">
        <v>0</v>
      </c>
      <c r="N48">
        <v>-1</v>
      </c>
      <c r="O48">
        <v>9</v>
      </c>
      <c r="P48">
        <v>9</v>
      </c>
      <c r="Q48">
        <v>15</v>
      </c>
      <c r="R48">
        <v>15</v>
      </c>
      <c r="S48">
        <v>15</v>
      </c>
      <c r="T48">
        <v>15</v>
      </c>
      <c r="U48">
        <v>15</v>
      </c>
      <c r="V48">
        <v>14</v>
      </c>
      <c r="W48">
        <v>15</v>
      </c>
      <c r="X48">
        <v>14</v>
      </c>
      <c r="Y48">
        <v>15</v>
      </c>
      <c r="Z48">
        <v>15</v>
      </c>
      <c r="AA48">
        <v>15</v>
      </c>
      <c r="AB48">
        <v>15</v>
      </c>
      <c r="AC48">
        <v>14</v>
      </c>
      <c r="AD48">
        <v>14</v>
      </c>
      <c r="AE48">
        <v>14</v>
      </c>
      <c r="AF48">
        <v>15</v>
      </c>
      <c r="AG48">
        <v>15</v>
      </c>
      <c r="AH48">
        <v>15</v>
      </c>
      <c r="AI48">
        <v>15</v>
      </c>
      <c r="AJ48">
        <v>14</v>
      </c>
      <c r="AK48">
        <v>15</v>
      </c>
      <c r="AL48">
        <v>15</v>
      </c>
      <c r="AM48">
        <v>15</v>
      </c>
      <c r="AN48">
        <v>15</v>
      </c>
      <c r="AO48">
        <v>15</v>
      </c>
      <c r="AP48">
        <v>87</v>
      </c>
      <c r="AQ48">
        <v>107</v>
      </c>
      <c r="AR48">
        <v>4</v>
      </c>
      <c r="AS48">
        <v>86</v>
      </c>
      <c r="AT48">
        <v>73</v>
      </c>
      <c r="AU48">
        <v>121</v>
      </c>
      <c r="AV48">
        <v>68</v>
      </c>
      <c r="AW48">
        <v>64</v>
      </c>
      <c r="AX48">
        <v>59</v>
      </c>
      <c r="AY48">
        <v>58</v>
      </c>
      <c r="AZ48">
        <v>60</v>
      </c>
      <c r="BA48">
        <v>110</v>
      </c>
      <c r="BB48">
        <v>70</v>
      </c>
      <c r="BC48">
        <v>90</v>
      </c>
      <c r="BD48">
        <v>59</v>
      </c>
      <c r="BE48">
        <v>104</v>
      </c>
      <c r="BF48">
        <v>60</v>
      </c>
      <c r="BG48">
        <v>71</v>
      </c>
      <c r="BH48">
        <v>55</v>
      </c>
      <c r="BI48">
        <v>46</v>
      </c>
      <c r="BJ48">
        <v>1766634368</v>
      </c>
      <c r="BK48">
        <v>2685757184</v>
      </c>
      <c r="BL48">
        <v>9501820</v>
      </c>
      <c r="BM48">
        <v>1042449024</v>
      </c>
      <c r="BN48">
        <v>1443366912</v>
      </c>
      <c r="BO48">
        <v>2543891968</v>
      </c>
      <c r="BP48">
        <v>1117427968</v>
      </c>
      <c r="BQ48">
        <v>1230545536</v>
      </c>
      <c r="BR48">
        <v>683163840</v>
      </c>
      <c r="BS48">
        <v>699387392</v>
      </c>
      <c r="BT48">
        <v>416142208</v>
      </c>
      <c r="BU48">
        <v>2232843264</v>
      </c>
      <c r="BV48">
        <v>1053044992</v>
      </c>
      <c r="BW48">
        <v>1804479232</v>
      </c>
      <c r="BX48">
        <v>1037713600</v>
      </c>
      <c r="BY48">
        <v>2047181568</v>
      </c>
      <c r="BZ48">
        <v>807811904</v>
      </c>
      <c r="CA48">
        <v>1401633536</v>
      </c>
      <c r="CB48">
        <v>580042048</v>
      </c>
      <c r="CC48">
        <v>598166912</v>
      </c>
      <c r="CD48">
        <v>1785721088</v>
      </c>
      <c r="CE48">
        <v>1638856960</v>
      </c>
      <c r="CF48">
        <v>680951296</v>
      </c>
      <c r="CG48">
        <v>1244418944</v>
      </c>
      <c r="CH48">
        <v>1104359936</v>
      </c>
      <c r="CI48">
        <v>1687775488</v>
      </c>
      <c r="CJ48">
        <v>921996736</v>
      </c>
      <c r="CK48">
        <v>1099420800</v>
      </c>
      <c r="CL48">
        <v>679634048</v>
      </c>
      <c r="CM48">
        <v>584421184</v>
      </c>
      <c r="CN48">
        <v>1371810944</v>
      </c>
      <c r="CO48">
        <v>1791753856</v>
      </c>
      <c r="CP48">
        <v>1238358656</v>
      </c>
      <c r="CQ48">
        <v>1161004416</v>
      </c>
      <c r="CR48">
        <v>1077983104</v>
      </c>
      <c r="CS48">
        <v>1694782720</v>
      </c>
      <c r="CT48">
        <v>853172480</v>
      </c>
      <c r="CU48">
        <v>1076640512</v>
      </c>
      <c r="CV48">
        <v>688007488</v>
      </c>
      <c r="CW48">
        <v>674915904</v>
      </c>
    </row>
    <row r="49" spans="1:101">
      <c r="A49">
        <v>31060</v>
      </c>
      <c r="B49" t="s">
        <v>257</v>
      </c>
      <c r="D49" t="s">
        <v>258</v>
      </c>
      <c r="F49" t="s">
        <v>259</v>
      </c>
      <c r="G49">
        <v>720.76199999999994</v>
      </c>
      <c r="H49" t="s">
        <v>104</v>
      </c>
      <c r="I49">
        <v>2</v>
      </c>
      <c r="J49">
        <v>20</v>
      </c>
      <c r="K49">
        <v>0</v>
      </c>
      <c r="L49">
        <v>0</v>
      </c>
      <c r="M49">
        <v>0</v>
      </c>
      <c r="N49">
        <v>-1</v>
      </c>
      <c r="O49">
        <v>14</v>
      </c>
      <c r="P49">
        <v>14</v>
      </c>
      <c r="Q49">
        <v>18</v>
      </c>
      <c r="R49">
        <v>18</v>
      </c>
      <c r="S49">
        <v>18</v>
      </c>
      <c r="T49">
        <v>18</v>
      </c>
      <c r="U49">
        <v>18</v>
      </c>
      <c r="V49">
        <v>17</v>
      </c>
      <c r="W49">
        <v>18</v>
      </c>
      <c r="X49">
        <v>15</v>
      </c>
      <c r="Y49">
        <v>18</v>
      </c>
      <c r="Z49">
        <v>18</v>
      </c>
      <c r="AA49">
        <v>18</v>
      </c>
      <c r="AB49">
        <v>18</v>
      </c>
      <c r="AC49">
        <v>18</v>
      </c>
      <c r="AD49">
        <v>18</v>
      </c>
      <c r="AE49">
        <v>18</v>
      </c>
      <c r="AF49">
        <v>18</v>
      </c>
      <c r="AG49">
        <v>18</v>
      </c>
      <c r="AH49">
        <v>18</v>
      </c>
      <c r="AI49">
        <v>18</v>
      </c>
      <c r="AJ49">
        <v>18</v>
      </c>
      <c r="AK49">
        <v>18</v>
      </c>
      <c r="AL49">
        <v>18</v>
      </c>
      <c r="AM49">
        <v>18</v>
      </c>
      <c r="AN49">
        <v>18</v>
      </c>
      <c r="AO49">
        <v>18</v>
      </c>
      <c r="AP49">
        <v>52</v>
      </c>
      <c r="AQ49">
        <v>82</v>
      </c>
      <c r="AR49">
        <v>1</v>
      </c>
      <c r="AS49">
        <v>54</v>
      </c>
      <c r="AT49">
        <v>41</v>
      </c>
      <c r="AU49">
        <v>88</v>
      </c>
      <c r="AV49">
        <v>72</v>
      </c>
      <c r="AW49">
        <v>32</v>
      </c>
      <c r="AX49">
        <v>57</v>
      </c>
      <c r="AY49">
        <v>55</v>
      </c>
      <c r="AZ49">
        <v>26</v>
      </c>
      <c r="BA49">
        <v>75</v>
      </c>
      <c r="BB49">
        <v>34</v>
      </c>
      <c r="BC49">
        <v>72</v>
      </c>
      <c r="BD49">
        <v>35</v>
      </c>
      <c r="BE49">
        <v>66</v>
      </c>
      <c r="BF49">
        <v>78</v>
      </c>
      <c r="BG49">
        <v>33</v>
      </c>
      <c r="BH49">
        <v>63</v>
      </c>
      <c r="BI49">
        <v>40</v>
      </c>
      <c r="BJ49">
        <v>909091136</v>
      </c>
      <c r="BK49">
        <v>3087929088</v>
      </c>
      <c r="BL49">
        <v>4623303.5</v>
      </c>
      <c r="BM49">
        <v>1062087808</v>
      </c>
      <c r="BN49">
        <v>806237184</v>
      </c>
      <c r="BO49">
        <v>2879053056</v>
      </c>
      <c r="BP49">
        <v>2353159936</v>
      </c>
      <c r="BQ49">
        <v>638813824</v>
      </c>
      <c r="BR49">
        <v>1401944704</v>
      </c>
      <c r="BS49">
        <v>1494429952</v>
      </c>
      <c r="BT49">
        <v>179986336</v>
      </c>
      <c r="BU49">
        <v>2434855680</v>
      </c>
      <c r="BV49">
        <v>591602368</v>
      </c>
      <c r="BW49">
        <v>2043008128</v>
      </c>
      <c r="BX49">
        <v>667624192</v>
      </c>
      <c r="BY49">
        <v>2033697152</v>
      </c>
      <c r="BZ49">
        <v>2167927808</v>
      </c>
      <c r="CA49">
        <v>639390528</v>
      </c>
      <c r="CB49">
        <v>1203148032</v>
      </c>
      <c r="CC49">
        <v>811022976</v>
      </c>
      <c r="CD49">
        <v>891550976</v>
      </c>
      <c r="CE49">
        <v>1759475456</v>
      </c>
      <c r="CF49">
        <v>658431232</v>
      </c>
      <c r="CG49">
        <v>1298706048</v>
      </c>
      <c r="CH49">
        <v>637704256</v>
      </c>
      <c r="CI49">
        <v>1814569088</v>
      </c>
      <c r="CJ49">
        <v>1796820608</v>
      </c>
      <c r="CK49">
        <v>568862848</v>
      </c>
      <c r="CL49">
        <v>1462559616</v>
      </c>
      <c r="CM49">
        <v>1086944128</v>
      </c>
      <c r="CN49">
        <v>761786880</v>
      </c>
      <c r="CO49">
        <v>1799193344</v>
      </c>
      <c r="CP49">
        <v>704772352</v>
      </c>
      <c r="CQ49">
        <v>1212205696</v>
      </c>
      <c r="CR49">
        <v>668324160</v>
      </c>
      <c r="CS49">
        <v>1524798208</v>
      </c>
      <c r="CT49">
        <v>2274116864</v>
      </c>
      <c r="CU49">
        <v>539722880</v>
      </c>
      <c r="CV49">
        <v>1495971328</v>
      </c>
      <c r="CW49">
        <v>1332551936</v>
      </c>
    </row>
    <row r="50" spans="1:101">
      <c r="A50">
        <v>31011</v>
      </c>
      <c r="B50" t="s">
        <v>260</v>
      </c>
      <c r="D50" t="s">
        <v>261</v>
      </c>
      <c r="F50" t="s">
        <v>262</v>
      </c>
      <c r="G50">
        <v>717.69100000000003</v>
      </c>
      <c r="H50" t="s">
        <v>104</v>
      </c>
      <c r="I50">
        <v>2</v>
      </c>
      <c r="J50">
        <v>21</v>
      </c>
      <c r="K50">
        <v>0</v>
      </c>
      <c r="L50">
        <v>0</v>
      </c>
      <c r="M50">
        <v>0</v>
      </c>
      <c r="N50">
        <v>-1</v>
      </c>
      <c r="O50">
        <v>18</v>
      </c>
      <c r="P50">
        <v>18</v>
      </c>
      <c r="Q50">
        <v>20</v>
      </c>
      <c r="R50">
        <v>20</v>
      </c>
      <c r="S50">
        <v>20</v>
      </c>
      <c r="T50">
        <v>20</v>
      </c>
      <c r="U50">
        <v>20</v>
      </c>
      <c r="V50">
        <v>16</v>
      </c>
      <c r="W50">
        <v>19</v>
      </c>
      <c r="X50">
        <v>15</v>
      </c>
      <c r="Y50">
        <v>20</v>
      </c>
      <c r="Z50">
        <v>20</v>
      </c>
      <c r="AA50">
        <v>18</v>
      </c>
      <c r="AB50">
        <v>20</v>
      </c>
      <c r="AC50">
        <v>19</v>
      </c>
      <c r="AD50">
        <v>20</v>
      </c>
      <c r="AE50">
        <v>20</v>
      </c>
      <c r="AF50">
        <v>19</v>
      </c>
      <c r="AG50">
        <v>20</v>
      </c>
      <c r="AH50">
        <v>20</v>
      </c>
      <c r="AI50">
        <v>20</v>
      </c>
      <c r="AJ50">
        <v>19</v>
      </c>
      <c r="AK50">
        <v>20</v>
      </c>
      <c r="AL50">
        <v>20</v>
      </c>
      <c r="AM50">
        <v>19</v>
      </c>
      <c r="AN50">
        <v>19</v>
      </c>
      <c r="AO50">
        <v>19</v>
      </c>
      <c r="AP50">
        <v>42</v>
      </c>
      <c r="AQ50">
        <v>35</v>
      </c>
      <c r="AR50">
        <v>3</v>
      </c>
      <c r="AS50">
        <v>34</v>
      </c>
      <c r="AT50">
        <v>49</v>
      </c>
      <c r="AU50">
        <v>40</v>
      </c>
      <c r="AV50">
        <v>46</v>
      </c>
      <c r="AW50">
        <v>52</v>
      </c>
      <c r="AX50">
        <v>38</v>
      </c>
      <c r="AY50">
        <v>35</v>
      </c>
      <c r="AZ50">
        <v>20</v>
      </c>
      <c r="BA50">
        <v>31</v>
      </c>
      <c r="BB50">
        <v>37</v>
      </c>
      <c r="BC50">
        <v>46</v>
      </c>
      <c r="BD50">
        <v>50</v>
      </c>
      <c r="BE50">
        <v>34</v>
      </c>
      <c r="BF50">
        <v>48</v>
      </c>
      <c r="BG50">
        <v>52</v>
      </c>
      <c r="BH50">
        <v>38</v>
      </c>
      <c r="BI50">
        <v>33</v>
      </c>
      <c r="BJ50">
        <v>891598208</v>
      </c>
      <c r="BK50">
        <v>922056384</v>
      </c>
      <c r="BL50">
        <v>5303955</v>
      </c>
      <c r="BM50">
        <v>505634976</v>
      </c>
      <c r="BN50">
        <v>1494764416</v>
      </c>
      <c r="BO50">
        <v>909086656</v>
      </c>
      <c r="BP50">
        <v>1309055872</v>
      </c>
      <c r="BQ50">
        <v>1827160320</v>
      </c>
      <c r="BR50">
        <v>663384064</v>
      </c>
      <c r="BS50">
        <v>525036160</v>
      </c>
      <c r="BT50">
        <v>198432608</v>
      </c>
      <c r="BU50">
        <v>620702080</v>
      </c>
      <c r="BV50">
        <v>867821952</v>
      </c>
      <c r="BW50">
        <v>1294211072</v>
      </c>
      <c r="BX50">
        <v>1514592128</v>
      </c>
      <c r="BY50">
        <v>789460416</v>
      </c>
      <c r="BZ50">
        <v>1240650112</v>
      </c>
      <c r="CA50">
        <v>1973865088</v>
      </c>
      <c r="CB50">
        <v>581430656</v>
      </c>
      <c r="CC50">
        <v>334736480</v>
      </c>
      <c r="CD50">
        <v>677557760</v>
      </c>
      <c r="CE50">
        <v>577069184</v>
      </c>
      <c r="CF50">
        <v>388124640</v>
      </c>
      <c r="CG50">
        <v>625152768</v>
      </c>
      <c r="CH50">
        <v>1152175872</v>
      </c>
      <c r="CI50">
        <v>491412640</v>
      </c>
      <c r="CJ50">
        <v>1001068672</v>
      </c>
      <c r="CK50">
        <v>1197878144</v>
      </c>
      <c r="CL50">
        <v>621100352</v>
      </c>
      <c r="CM50">
        <v>514755872</v>
      </c>
      <c r="CN50">
        <v>726414592</v>
      </c>
      <c r="CO50">
        <v>542320192</v>
      </c>
      <c r="CP50">
        <v>911217408</v>
      </c>
      <c r="CQ50">
        <v>770824128</v>
      </c>
      <c r="CR50">
        <v>1592412800</v>
      </c>
      <c r="CS50">
        <v>515643552</v>
      </c>
      <c r="CT50">
        <v>1480826624</v>
      </c>
      <c r="CU50">
        <v>1642867712</v>
      </c>
      <c r="CV50">
        <v>588055872</v>
      </c>
      <c r="CW50">
        <v>572693056</v>
      </c>
    </row>
    <row r="51" spans="1:101">
      <c r="A51">
        <v>30926</v>
      </c>
      <c r="B51" t="s">
        <v>263</v>
      </c>
      <c r="D51" t="s">
        <v>264</v>
      </c>
      <c r="E51" t="s">
        <v>265</v>
      </c>
      <c r="F51" t="s">
        <v>266</v>
      </c>
      <c r="G51">
        <v>711.71299999999997</v>
      </c>
      <c r="H51" t="s">
        <v>104</v>
      </c>
      <c r="I51">
        <v>2</v>
      </c>
      <c r="J51">
        <v>13</v>
      </c>
      <c r="K51">
        <v>2</v>
      </c>
      <c r="L51">
        <v>0</v>
      </c>
      <c r="M51">
        <v>0</v>
      </c>
      <c r="N51">
        <v>-1</v>
      </c>
      <c r="O51">
        <v>16</v>
      </c>
      <c r="P51">
        <v>16</v>
      </c>
      <c r="Q51">
        <v>16</v>
      </c>
      <c r="R51">
        <v>16</v>
      </c>
      <c r="S51">
        <v>16</v>
      </c>
      <c r="T51">
        <v>16</v>
      </c>
      <c r="U51">
        <v>16</v>
      </c>
      <c r="V51">
        <v>16</v>
      </c>
      <c r="W51">
        <v>16</v>
      </c>
      <c r="X51">
        <v>11</v>
      </c>
      <c r="Y51">
        <v>16</v>
      </c>
      <c r="Z51">
        <v>16</v>
      </c>
      <c r="AA51">
        <v>16</v>
      </c>
      <c r="AB51">
        <v>16</v>
      </c>
      <c r="AC51">
        <v>16</v>
      </c>
      <c r="AD51">
        <v>16</v>
      </c>
      <c r="AE51">
        <v>16</v>
      </c>
      <c r="AF51">
        <v>16</v>
      </c>
      <c r="AG51">
        <v>16</v>
      </c>
      <c r="AH51">
        <v>16</v>
      </c>
      <c r="AI51">
        <v>16</v>
      </c>
      <c r="AJ51">
        <v>16</v>
      </c>
      <c r="AK51">
        <v>16</v>
      </c>
      <c r="AL51">
        <v>16</v>
      </c>
      <c r="AM51">
        <v>16</v>
      </c>
      <c r="AN51">
        <v>16</v>
      </c>
      <c r="AO51">
        <v>16</v>
      </c>
      <c r="AP51">
        <v>22</v>
      </c>
      <c r="AQ51">
        <v>25</v>
      </c>
      <c r="AR51">
        <v>1</v>
      </c>
      <c r="AS51">
        <v>22</v>
      </c>
      <c r="AT51">
        <v>21</v>
      </c>
      <c r="AU51">
        <v>29</v>
      </c>
      <c r="AV51">
        <v>28</v>
      </c>
      <c r="AW51">
        <v>17</v>
      </c>
      <c r="AX51">
        <v>28</v>
      </c>
      <c r="AY51">
        <v>24</v>
      </c>
      <c r="AZ51">
        <v>11</v>
      </c>
      <c r="BA51">
        <v>26</v>
      </c>
      <c r="BB51">
        <v>18</v>
      </c>
      <c r="BC51">
        <v>24</v>
      </c>
      <c r="BD51">
        <v>16</v>
      </c>
      <c r="BE51">
        <v>28</v>
      </c>
      <c r="BF51">
        <v>26</v>
      </c>
      <c r="BG51">
        <v>15</v>
      </c>
      <c r="BH51">
        <v>27</v>
      </c>
      <c r="BI51">
        <v>17</v>
      </c>
      <c r="BJ51">
        <v>72140960</v>
      </c>
      <c r="BK51">
        <v>225513616</v>
      </c>
      <c r="BL51">
        <v>1831255.5</v>
      </c>
      <c r="BM51">
        <v>78348752</v>
      </c>
      <c r="BN51">
        <v>69099576</v>
      </c>
      <c r="BO51">
        <v>215126400</v>
      </c>
      <c r="BP51">
        <v>175428896</v>
      </c>
      <c r="BQ51">
        <v>53204536</v>
      </c>
      <c r="BR51">
        <v>106565560</v>
      </c>
      <c r="BS51">
        <v>90986144</v>
      </c>
      <c r="BT51">
        <v>16663132</v>
      </c>
      <c r="BU51">
        <v>162755248</v>
      </c>
      <c r="BV51">
        <v>51638840</v>
      </c>
      <c r="BW51">
        <v>135426560</v>
      </c>
      <c r="BX51">
        <v>48787880</v>
      </c>
      <c r="BY51">
        <v>152282176</v>
      </c>
      <c r="BZ51">
        <v>141083520</v>
      </c>
      <c r="CA51">
        <v>52999556</v>
      </c>
      <c r="CB51">
        <v>85997904</v>
      </c>
      <c r="CC51">
        <v>58841792</v>
      </c>
      <c r="CD51">
        <v>94595624</v>
      </c>
      <c r="CE51">
        <v>153940832</v>
      </c>
      <c r="CF51">
        <v>43262128</v>
      </c>
      <c r="CG51">
        <v>109259496</v>
      </c>
      <c r="CH51">
        <v>66012024</v>
      </c>
      <c r="CI51">
        <v>166388192</v>
      </c>
      <c r="CJ51">
        <v>168519632</v>
      </c>
      <c r="CK51">
        <v>56884832</v>
      </c>
      <c r="CL51">
        <v>141313488</v>
      </c>
      <c r="CM51">
        <v>102473040</v>
      </c>
      <c r="CN51">
        <v>76978368</v>
      </c>
      <c r="CO51">
        <v>147918672</v>
      </c>
      <c r="CP51">
        <v>69942064</v>
      </c>
      <c r="CQ51">
        <v>95035240</v>
      </c>
      <c r="CR51">
        <v>60292984</v>
      </c>
      <c r="CS51">
        <v>149790656</v>
      </c>
      <c r="CT51">
        <v>165254336</v>
      </c>
      <c r="CU51">
        <v>48678764</v>
      </c>
      <c r="CV51">
        <v>127374216</v>
      </c>
      <c r="CW51">
        <v>109272136</v>
      </c>
    </row>
    <row r="52" spans="1:101">
      <c r="A52">
        <v>31076</v>
      </c>
      <c r="B52" t="s">
        <v>267</v>
      </c>
      <c r="D52" t="s">
        <v>268</v>
      </c>
      <c r="E52" t="s">
        <v>269</v>
      </c>
      <c r="F52" t="s">
        <v>270</v>
      </c>
      <c r="G52">
        <v>708.86300000000006</v>
      </c>
      <c r="H52" t="s">
        <v>104</v>
      </c>
      <c r="I52">
        <v>2</v>
      </c>
      <c r="J52">
        <v>5</v>
      </c>
      <c r="K52">
        <v>16</v>
      </c>
      <c r="L52">
        <v>0</v>
      </c>
      <c r="M52">
        <v>0</v>
      </c>
      <c r="N52">
        <v>-1</v>
      </c>
      <c r="O52">
        <v>22</v>
      </c>
      <c r="P52">
        <v>22</v>
      </c>
      <c r="Q52">
        <v>25</v>
      </c>
      <c r="R52">
        <v>25</v>
      </c>
      <c r="S52">
        <v>25</v>
      </c>
      <c r="T52">
        <v>25</v>
      </c>
      <c r="U52">
        <v>25</v>
      </c>
      <c r="V52">
        <v>18</v>
      </c>
      <c r="W52">
        <v>23</v>
      </c>
      <c r="X52">
        <v>24</v>
      </c>
      <c r="Y52">
        <v>25</v>
      </c>
      <c r="Z52">
        <v>25</v>
      </c>
      <c r="AA52">
        <v>22</v>
      </c>
      <c r="AB52">
        <v>25</v>
      </c>
      <c r="AC52">
        <v>25</v>
      </c>
      <c r="AD52">
        <v>25</v>
      </c>
      <c r="AE52">
        <v>25</v>
      </c>
      <c r="AF52">
        <v>25</v>
      </c>
      <c r="AG52">
        <v>25</v>
      </c>
      <c r="AH52">
        <v>25</v>
      </c>
      <c r="AI52">
        <v>25</v>
      </c>
      <c r="AJ52">
        <v>25</v>
      </c>
      <c r="AK52">
        <v>25</v>
      </c>
      <c r="AL52">
        <v>24</v>
      </c>
      <c r="AM52">
        <v>25</v>
      </c>
      <c r="AN52">
        <v>25</v>
      </c>
      <c r="AO52">
        <v>25</v>
      </c>
      <c r="AP52">
        <v>53</v>
      </c>
      <c r="AQ52">
        <v>61</v>
      </c>
      <c r="AR52">
        <v>4</v>
      </c>
      <c r="AS52">
        <v>69</v>
      </c>
      <c r="AT52">
        <v>103</v>
      </c>
      <c r="AU52">
        <v>38</v>
      </c>
      <c r="AV52">
        <v>103</v>
      </c>
      <c r="AW52">
        <v>60</v>
      </c>
      <c r="AX52">
        <v>54</v>
      </c>
      <c r="AY52">
        <v>47</v>
      </c>
      <c r="AZ52">
        <v>46</v>
      </c>
      <c r="BA52">
        <v>50</v>
      </c>
      <c r="BB52">
        <v>59</v>
      </c>
      <c r="BC52">
        <v>60</v>
      </c>
      <c r="BD52">
        <v>103</v>
      </c>
      <c r="BE52">
        <v>36</v>
      </c>
      <c r="BF52">
        <v>108</v>
      </c>
      <c r="BG52">
        <v>73</v>
      </c>
      <c r="BH52">
        <v>36</v>
      </c>
      <c r="BI52">
        <v>20</v>
      </c>
      <c r="BJ52">
        <v>599977216</v>
      </c>
      <c r="BK52">
        <v>1088102272</v>
      </c>
      <c r="BL52">
        <v>6956534</v>
      </c>
      <c r="BM52">
        <v>565323136</v>
      </c>
      <c r="BN52">
        <v>2031654784</v>
      </c>
      <c r="BO52">
        <v>584609664</v>
      </c>
      <c r="BP52">
        <v>1894393088</v>
      </c>
      <c r="BQ52">
        <v>2135266816</v>
      </c>
      <c r="BR52">
        <v>781959296</v>
      </c>
      <c r="BS52">
        <v>374490432</v>
      </c>
      <c r="BT52">
        <v>276039424</v>
      </c>
      <c r="BU52">
        <v>687397248</v>
      </c>
      <c r="BV52">
        <v>1131393664</v>
      </c>
      <c r="BW52">
        <v>1634712320</v>
      </c>
      <c r="BX52">
        <v>3317759232</v>
      </c>
      <c r="BY52">
        <v>503522336</v>
      </c>
      <c r="BZ52">
        <v>2656104192</v>
      </c>
      <c r="CA52">
        <v>2583361280</v>
      </c>
      <c r="CB52">
        <v>529417472</v>
      </c>
      <c r="CC52">
        <v>153802112</v>
      </c>
      <c r="CD52">
        <v>270575584</v>
      </c>
      <c r="CE52">
        <v>604730304</v>
      </c>
      <c r="CF52">
        <v>1040009728</v>
      </c>
      <c r="CG52">
        <v>958527104</v>
      </c>
      <c r="CH52">
        <v>1880415488</v>
      </c>
      <c r="CI52">
        <v>352096000</v>
      </c>
      <c r="CJ52">
        <v>1646650112</v>
      </c>
      <c r="CK52">
        <v>1031049280</v>
      </c>
      <c r="CL52">
        <v>805666176</v>
      </c>
      <c r="CM52">
        <v>564101440</v>
      </c>
      <c r="CN52">
        <v>994412160</v>
      </c>
      <c r="CO52">
        <v>725434176</v>
      </c>
      <c r="CP52">
        <v>1498749056</v>
      </c>
      <c r="CQ52">
        <v>805534848</v>
      </c>
      <c r="CR52">
        <v>2631130368</v>
      </c>
      <c r="CS52">
        <v>513016704</v>
      </c>
      <c r="CT52">
        <v>2542003968</v>
      </c>
      <c r="CU52">
        <v>1387517696</v>
      </c>
      <c r="CV52">
        <v>446045600</v>
      </c>
      <c r="CW52">
        <v>297446656</v>
      </c>
    </row>
    <row r="53" spans="1:101">
      <c r="A53">
        <v>31062</v>
      </c>
      <c r="B53" t="s">
        <v>271</v>
      </c>
      <c r="D53" t="s">
        <v>272</v>
      </c>
      <c r="E53" t="s">
        <v>273</v>
      </c>
      <c r="F53" t="s">
        <v>274</v>
      </c>
      <c r="G53">
        <v>673.73299999999995</v>
      </c>
      <c r="H53" t="s">
        <v>104</v>
      </c>
      <c r="I53">
        <v>2</v>
      </c>
      <c r="J53">
        <v>19</v>
      </c>
      <c r="K53">
        <v>2</v>
      </c>
      <c r="L53">
        <v>0</v>
      </c>
      <c r="M53">
        <v>0</v>
      </c>
      <c r="N53">
        <v>-1</v>
      </c>
      <c r="O53">
        <v>20</v>
      </c>
      <c r="P53">
        <v>20</v>
      </c>
      <c r="Q53">
        <v>21</v>
      </c>
      <c r="R53">
        <v>21</v>
      </c>
      <c r="S53">
        <v>21</v>
      </c>
      <c r="T53">
        <v>21</v>
      </c>
      <c r="U53">
        <v>21</v>
      </c>
      <c r="V53">
        <v>20</v>
      </c>
      <c r="W53">
        <v>21</v>
      </c>
      <c r="X53">
        <v>11</v>
      </c>
      <c r="Y53">
        <v>21</v>
      </c>
      <c r="Z53">
        <v>21</v>
      </c>
      <c r="AA53">
        <v>21</v>
      </c>
      <c r="AB53">
        <v>21</v>
      </c>
      <c r="AC53">
        <v>21</v>
      </c>
      <c r="AD53">
        <v>21</v>
      </c>
      <c r="AE53">
        <v>21</v>
      </c>
      <c r="AF53">
        <v>21</v>
      </c>
      <c r="AG53">
        <v>21</v>
      </c>
      <c r="AH53">
        <v>21</v>
      </c>
      <c r="AI53">
        <v>21</v>
      </c>
      <c r="AJ53">
        <v>21</v>
      </c>
      <c r="AK53">
        <v>21</v>
      </c>
      <c r="AL53">
        <v>21</v>
      </c>
      <c r="AM53">
        <v>21</v>
      </c>
      <c r="AN53">
        <v>21</v>
      </c>
      <c r="AO53">
        <v>21</v>
      </c>
      <c r="AP53">
        <v>27</v>
      </c>
      <c r="AQ53">
        <v>35</v>
      </c>
      <c r="AR53">
        <v>0</v>
      </c>
      <c r="AS53">
        <v>28</v>
      </c>
      <c r="AT53">
        <v>25</v>
      </c>
      <c r="AU53">
        <v>40</v>
      </c>
      <c r="AV53">
        <v>35</v>
      </c>
      <c r="AW53">
        <v>24</v>
      </c>
      <c r="AX53">
        <v>32</v>
      </c>
      <c r="AY53">
        <v>33</v>
      </c>
      <c r="AZ53">
        <v>13</v>
      </c>
      <c r="BA53">
        <v>38</v>
      </c>
      <c r="BB53">
        <v>22</v>
      </c>
      <c r="BC53">
        <v>34</v>
      </c>
      <c r="BD53">
        <v>24</v>
      </c>
      <c r="BE53">
        <v>36</v>
      </c>
      <c r="BF53">
        <v>33</v>
      </c>
      <c r="BG53">
        <v>22</v>
      </c>
      <c r="BH53">
        <v>30</v>
      </c>
      <c r="BI53">
        <v>23</v>
      </c>
      <c r="BJ53">
        <v>143270592</v>
      </c>
      <c r="BK53">
        <v>421699040</v>
      </c>
      <c r="BL53">
        <v>547630.25</v>
      </c>
      <c r="BM53">
        <v>155418144</v>
      </c>
      <c r="BN53">
        <v>206820640</v>
      </c>
      <c r="BO53">
        <v>362776288</v>
      </c>
      <c r="BP53">
        <v>406016640</v>
      </c>
      <c r="BQ53">
        <v>229029632</v>
      </c>
      <c r="BR53">
        <v>211418960</v>
      </c>
      <c r="BS53">
        <v>155044592</v>
      </c>
      <c r="BT53">
        <v>36283828</v>
      </c>
      <c r="BU53">
        <v>301187040</v>
      </c>
      <c r="BV53">
        <v>125908968</v>
      </c>
      <c r="BW53">
        <v>320350688</v>
      </c>
      <c r="BX53">
        <v>302274528</v>
      </c>
      <c r="BY53">
        <v>280402816</v>
      </c>
      <c r="BZ53">
        <v>477602304</v>
      </c>
      <c r="CA53">
        <v>268337952</v>
      </c>
      <c r="CB53">
        <v>178952448</v>
      </c>
      <c r="CC53">
        <v>111895376</v>
      </c>
      <c r="CD53">
        <v>172289552</v>
      </c>
      <c r="CE53">
        <v>300839872</v>
      </c>
      <c r="CF53">
        <v>57656344</v>
      </c>
      <c r="CG53">
        <v>189274608</v>
      </c>
      <c r="CH53">
        <v>108640432</v>
      </c>
      <c r="CI53">
        <v>292307680</v>
      </c>
      <c r="CJ53">
        <v>312290592</v>
      </c>
      <c r="CK53">
        <v>98016840</v>
      </c>
      <c r="CL53">
        <v>232696992</v>
      </c>
      <c r="CM53">
        <v>166838096</v>
      </c>
      <c r="CN53">
        <v>118073520</v>
      </c>
      <c r="CO53">
        <v>279862048</v>
      </c>
      <c r="CP53">
        <v>111704712</v>
      </c>
      <c r="CQ53">
        <v>202523952</v>
      </c>
      <c r="CR53">
        <v>112802192</v>
      </c>
      <c r="CS53">
        <v>278208064</v>
      </c>
      <c r="CT53">
        <v>373061440</v>
      </c>
      <c r="CU53">
        <v>101455528</v>
      </c>
      <c r="CV53">
        <v>239829216</v>
      </c>
      <c r="CW53">
        <v>209205120</v>
      </c>
    </row>
    <row r="54" spans="1:101">
      <c r="A54">
        <v>31020</v>
      </c>
      <c r="B54" t="s">
        <v>275</v>
      </c>
      <c r="D54" t="s">
        <v>276</v>
      </c>
      <c r="F54" t="s">
        <v>277</v>
      </c>
      <c r="G54">
        <v>672.96</v>
      </c>
      <c r="H54" t="s">
        <v>104</v>
      </c>
      <c r="I54">
        <v>2</v>
      </c>
      <c r="J54">
        <v>21</v>
      </c>
      <c r="K54">
        <v>0</v>
      </c>
      <c r="L54">
        <v>0</v>
      </c>
      <c r="M54">
        <v>0</v>
      </c>
      <c r="N54">
        <v>-1</v>
      </c>
      <c r="O54">
        <v>25</v>
      </c>
      <c r="P54">
        <v>25</v>
      </c>
      <c r="Q54">
        <v>25</v>
      </c>
      <c r="R54">
        <v>25</v>
      </c>
      <c r="S54">
        <v>25</v>
      </c>
      <c r="T54">
        <v>25</v>
      </c>
      <c r="U54">
        <v>25</v>
      </c>
      <c r="V54">
        <v>24</v>
      </c>
      <c r="W54">
        <v>25</v>
      </c>
      <c r="X54">
        <v>16</v>
      </c>
      <c r="Y54">
        <v>25</v>
      </c>
      <c r="Z54">
        <v>25</v>
      </c>
      <c r="AA54">
        <v>25</v>
      </c>
      <c r="AB54">
        <v>25</v>
      </c>
      <c r="AC54">
        <v>25</v>
      </c>
      <c r="AD54">
        <v>25</v>
      </c>
      <c r="AE54">
        <v>25</v>
      </c>
      <c r="AF54">
        <v>25</v>
      </c>
      <c r="AG54">
        <v>25</v>
      </c>
      <c r="AH54">
        <v>25</v>
      </c>
      <c r="AI54">
        <v>25</v>
      </c>
      <c r="AJ54">
        <v>25</v>
      </c>
      <c r="AK54">
        <v>25</v>
      </c>
      <c r="AL54">
        <v>24</v>
      </c>
      <c r="AM54">
        <v>25</v>
      </c>
      <c r="AN54">
        <v>25</v>
      </c>
      <c r="AO54">
        <v>25</v>
      </c>
      <c r="AP54">
        <v>29</v>
      </c>
      <c r="AQ54">
        <v>36</v>
      </c>
      <c r="AR54">
        <v>3</v>
      </c>
      <c r="AS54">
        <v>19</v>
      </c>
      <c r="AT54">
        <v>36</v>
      </c>
      <c r="AU54">
        <v>28</v>
      </c>
      <c r="AV54">
        <v>22</v>
      </c>
      <c r="AW54">
        <v>31</v>
      </c>
      <c r="AX54">
        <v>35</v>
      </c>
      <c r="AY54">
        <v>37</v>
      </c>
      <c r="AZ54">
        <v>24</v>
      </c>
      <c r="BA54">
        <v>33</v>
      </c>
      <c r="BB54">
        <v>22</v>
      </c>
      <c r="BC54">
        <v>24</v>
      </c>
      <c r="BD54">
        <v>34</v>
      </c>
      <c r="BE54">
        <v>25</v>
      </c>
      <c r="BF54">
        <v>18</v>
      </c>
      <c r="BG54">
        <v>36</v>
      </c>
      <c r="BH54">
        <v>33</v>
      </c>
      <c r="BI54">
        <v>30</v>
      </c>
      <c r="BJ54">
        <v>212038080</v>
      </c>
      <c r="BK54">
        <v>349152352</v>
      </c>
      <c r="BL54">
        <v>2206063</v>
      </c>
      <c r="BM54">
        <v>81735496</v>
      </c>
      <c r="BN54">
        <v>303256768</v>
      </c>
      <c r="BO54">
        <v>187299808</v>
      </c>
      <c r="BP54">
        <v>101597696</v>
      </c>
      <c r="BQ54">
        <v>301953760</v>
      </c>
      <c r="BR54">
        <v>295970112</v>
      </c>
      <c r="BS54">
        <v>327071296</v>
      </c>
      <c r="BT54">
        <v>90167976</v>
      </c>
      <c r="BU54">
        <v>342844640</v>
      </c>
      <c r="BV54">
        <v>113296784</v>
      </c>
      <c r="BW54">
        <v>155287504</v>
      </c>
      <c r="BX54">
        <v>236511488</v>
      </c>
      <c r="BY54">
        <v>172823216</v>
      </c>
      <c r="BZ54">
        <v>92172688</v>
      </c>
      <c r="CA54">
        <v>297154656</v>
      </c>
      <c r="CB54">
        <v>215834880</v>
      </c>
      <c r="CC54">
        <v>227896928</v>
      </c>
      <c r="CD54">
        <v>271289184</v>
      </c>
      <c r="CE54">
        <v>231869568</v>
      </c>
      <c r="CF54">
        <v>91801424</v>
      </c>
      <c r="CG54">
        <v>88277576</v>
      </c>
      <c r="CH54">
        <v>242694048</v>
      </c>
      <c r="CI54">
        <v>124476320</v>
      </c>
      <c r="CJ54">
        <v>85296696</v>
      </c>
      <c r="CK54">
        <v>273411360</v>
      </c>
      <c r="CL54">
        <v>304349600</v>
      </c>
      <c r="CM54">
        <v>299435904</v>
      </c>
      <c r="CN54">
        <v>328270272</v>
      </c>
      <c r="CO54">
        <v>240737408</v>
      </c>
      <c r="CP54">
        <v>98619736</v>
      </c>
      <c r="CQ54">
        <v>91408760</v>
      </c>
      <c r="CR54">
        <v>245034832</v>
      </c>
      <c r="CS54">
        <v>128948896</v>
      </c>
      <c r="CT54">
        <v>104271816</v>
      </c>
      <c r="CU54">
        <v>251716128</v>
      </c>
      <c r="CV54">
        <v>255799312</v>
      </c>
      <c r="CW54">
        <v>324922816</v>
      </c>
    </row>
    <row r="55" spans="1:101">
      <c r="A55">
        <v>30981</v>
      </c>
      <c r="B55" t="s">
        <v>278</v>
      </c>
      <c r="D55" t="s">
        <v>279</v>
      </c>
      <c r="E55" t="s">
        <v>280</v>
      </c>
      <c r="F55" t="s">
        <v>281</v>
      </c>
      <c r="G55">
        <v>636.77300000000002</v>
      </c>
      <c r="H55" t="s">
        <v>104</v>
      </c>
      <c r="I55">
        <v>2</v>
      </c>
      <c r="J55">
        <v>19</v>
      </c>
      <c r="K55">
        <v>1</v>
      </c>
      <c r="L55">
        <v>0</v>
      </c>
      <c r="M55">
        <v>0</v>
      </c>
      <c r="N55">
        <v>-1</v>
      </c>
      <c r="O55">
        <v>16</v>
      </c>
      <c r="P55">
        <v>16</v>
      </c>
      <c r="Q55">
        <v>16</v>
      </c>
      <c r="R55">
        <v>16</v>
      </c>
      <c r="S55">
        <v>16</v>
      </c>
      <c r="T55">
        <v>16</v>
      </c>
      <c r="U55">
        <v>16</v>
      </c>
      <c r="V55">
        <v>13</v>
      </c>
      <c r="W55">
        <v>16</v>
      </c>
      <c r="X55">
        <v>6</v>
      </c>
      <c r="Y55">
        <v>16</v>
      </c>
      <c r="Z55">
        <v>16</v>
      </c>
      <c r="AA55">
        <v>16</v>
      </c>
      <c r="AB55">
        <v>16</v>
      </c>
      <c r="AC55">
        <v>16</v>
      </c>
      <c r="AD55">
        <v>16</v>
      </c>
      <c r="AE55">
        <v>16</v>
      </c>
      <c r="AF55">
        <v>16</v>
      </c>
      <c r="AG55">
        <v>16</v>
      </c>
      <c r="AH55">
        <v>16</v>
      </c>
      <c r="AI55">
        <v>16</v>
      </c>
      <c r="AJ55">
        <v>16</v>
      </c>
      <c r="AK55">
        <v>16</v>
      </c>
      <c r="AL55">
        <v>15</v>
      </c>
      <c r="AM55">
        <v>16</v>
      </c>
      <c r="AN55">
        <v>16</v>
      </c>
      <c r="AO55">
        <v>16</v>
      </c>
      <c r="AP55">
        <v>15</v>
      </c>
      <c r="AQ55">
        <v>16</v>
      </c>
      <c r="AR55">
        <v>0</v>
      </c>
      <c r="AS55">
        <v>7</v>
      </c>
      <c r="AT55">
        <v>16</v>
      </c>
      <c r="AU55">
        <v>15</v>
      </c>
      <c r="AV55">
        <v>8</v>
      </c>
      <c r="AW55">
        <v>15</v>
      </c>
      <c r="AX55">
        <v>15</v>
      </c>
      <c r="AY55">
        <v>17</v>
      </c>
      <c r="AZ55">
        <v>8</v>
      </c>
      <c r="BA55">
        <v>16</v>
      </c>
      <c r="BB55">
        <v>7</v>
      </c>
      <c r="BC55">
        <v>10</v>
      </c>
      <c r="BD55">
        <v>12</v>
      </c>
      <c r="BE55">
        <v>10</v>
      </c>
      <c r="BF55">
        <v>7</v>
      </c>
      <c r="BG55">
        <v>15</v>
      </c>
      <c r="BH55">
        <v>15</v>
      </c>
      <c r="BI55">
        <v>13</v>
      </c>
      <c r="BJ55">
        <v>38768692</v>
      </c>
      <c r="BK55">
        <v>62399960</v>
      </c>
      <c r="BL55">
        <v>370251.97</v>
      </c>
      <c r="BM55">
        <v>14261569</v>
      </c>
      <c r="BN55">
        <v>55808164</v>
      </c>
      <c r="BO55">
        <v>33419216</v>
      </c>
      <c r="BP55">
        <v>22574600</v>
      </c>
      <c r="BQ55">
        <v>65032464</v>
      </c>
      <c r="BR55">
        <v>60497288</v>
      </c>
      <c r="BS55">
        <v>55791364</v>
      </c>
      <c r="BT55">
        <v>17022752</v>
      </c>
      <c r="BU55">
        <v>58419176</v>
      </c>
      <c r="BV55">
        <v>18123938</v>
      </c>
      <c r="BW55">
        <v>31442678</v>
      </c>
      <c r="BX55">
        <v>48767124</v>
      </c>
      <c r="BY55">
        <v>28746368</v>
      </c>
      <c r="BZ55">
        <v>12785397</v>
      </c>
      <c r="CA55">
        <v>63423076</v>
      </c>
      <c r="CB55">
        <v>40164124</v>
      </c>
      <c r="CC55">
        <v>45204200</v>
      </c>
      <c r="CD55">
        <v>63725380</v>
      </c>
      <c r="CE55">
        <v>56438308</v>
      </c>
      <c r="CF55">
        <v>27577308</v>
      </c>
      <c r="CG55">
        <v>24982034</v>
      </c>
      <c r="CH55">
        <v>64457728</v>
      </c>
      <c r="CI55">
        <v>32087538</v>
      </c>
      <c r="CJ55">
        <v>21777308</v>
      </c>
      <c r="CK55">
        <v>70280568</v>
      </c>
      <c r="CL55">
        <v>85033936</v>
      </c>
      <c r="CM55">
        <v>73799840</v>
      </c>
      <c r="CN55">
        <v>83884408</v>
      </c>
      <c r="CO55">
        <v>61247816</v>
      </c>
      <c r="CP55">
        <v>22994092</v>
      </c>
      <c r="CQ55">
        <v>22180064</v>
      </c>
      <c r="CR55">
        <v>54581360</v>
      </c>
      <c r="CS55">
        <v>28307072</v>
      </c>
      <c r="CT55">
        <v>20036116</v>
      </c>
      <c r="CU55">
        <v>57407956</v>
      </c>
      <c r="CV55">
        <v>57112316</v>
      </c>
      <c r="CW55">
        <v>67047260</v>
      </c>
    </row>
    <row r="56" spans="1:101">
      <c r="A56">
        <v>31022</v>
      </c>
      <c r="B56" t="s">
        <v>282</v>
      </c>
      <c r="D56" t="s">
        <v>283</v>
      </c>
      <c r="E56" t="s">
        <v>284</v>
      </c>
      <c r="F56" t="s">
        <v>285</v>
      </c>
      <c r="G56">
        <v>622.66300000000001</v>
      </c>
      <c r="H56" t="s">
        <v>104</v>
      </c>
      <c r="I56">
        <v>2</v>
      </c>
      <c r="J56">
        <v>9</v>
      </c>
      <c r="K56">
        <v>10</v>
      </c>
      <c r="L56">
        <v>0</v>
      </c>
      <c r="M56">
        <v>0</v>
      </c>
      <c r="N56">
        <v>-1</v>
      </c>
      <c r="O56">
        <v>16</v>
      </c>
      <c r="P56">
        <v>16</v>
      </c>
      <c r="Q56">
        <v>20</v>
      </c>
      <c r="R56">
        <v>20</v>
      </c>
      <c r="S56">
        <v>20</v>
      </c>
      <c r="T56">
        <v>20</v>
      </c>
      <c r="U56">
        <v>20</v>
      </c>
      <c r="V56">
        <v>16</v>
      </c>
      <c r="W56">
        <v>18</v>
      </c>
      <c r="X56">
        <v>17</v>
      </c>
      <c r="Y56">
        <v>20</v>
      </c>
      <c r="Z56">
        <v>20</v>
      </c>
      <c r="AA56">
        <v>20</v>
      </c>
      <c r="AB56">
        <v>20</v>
      </c>
      <c r="AC56">
        <v>20</v>
      </c>
      <c r="AD56">
        <v>20</v>
      </c>
      <c r="AE56">
        <v>20</v>
      </c>
      <c r="AF56">
        <v>20</v>
      </c>
      <c r="AG56">
        <v>20</v>
      </c>
      <c r="AH56">
        <v>20</v>
      </c>
      <c r="AI56">
        <v>20</v>
      </c>
      <c r="AJ56">
        <v>20</v>
      </c>
      <c r="AK56">
        <v>20</v>
      </c>
      <c r="AL56">
        <v>20</v>
      </c>
      <c r="AM56">
        <v>20</v>
      </c>
      <c r="AN56">
        <v>20</v>
      </c>
      <c r="AO56">
        <v>20</v>
      </c>
      <c r="AP56">
        <v>71</v>
      </c>
      <c r="AQ56">
        <v>49</v>
      </c>
      <c r="AR56">
        <v>2</v>
      </c>
      <c r="AS56">
        <v>39</v>
      </c>
      <c r="AT56">
        <v>62</v>
      </c>
      <c r="AU56">
        <v>51</v>
      </c>
      <c r="AV56">
        <v>61</v>
      </c>
      <c r="AW56">
        <v>68</v>
      </c>
      <c r="AX56">
        <v>53</v>
      </c>
      <c r="AY56">
        <v>45</v>
      </c>
      <c r="AZ56">
        <v>31</v>
      </c>
      <c r="BA56">
        <v>37</v>
      </c>
      <c r="BB56">
        <v>46</v>
      </c>
      <c r="BC56">
        <v>51</v>
      </c>
      <c r="BD56">
        <v>70</v>
      </c>
      <c r="BE56">
        <v>43</v>
      </c>
      <c r="BF56">
        <v>65</v>
      </c>
      <c r="BG56">
        <v>74</v>
      </c>
      <c r="BH56">
        <v>41</v>
      </c>
      <c r="BI56">
        <v>22</v>
      </c>
      <c r="BJ56">
        <v>458806240</v>
      </c>
      <c r="BK56">
        <v>519455872</v>
      </c>
      <c r="BL56">
        <v>4865891.5</v>
      </c>
      <c r="BM56">
        <v>233968288</v>
      </c>
      <c r="BN56">
        <v>689220032</v>
      </c>
      <c r="BO56">
        <v>582087808</v>
      </c>
      <c r="BP56">
        <v>679547968</v>
      </c>
      <c r="BQ56">
        <v>1105044608</v>
      </c>
      <c r="BR56">
        <v>501134496</v>
      </c>
      <c r="BS56">
        <v>458594368</v>
      </c>
      <c r="BT56">
        <v>103753864</v>
      </c>
      <c r="BU56">
        <v>407540640</v>
      </c>
      <c r="BV56">
        <v>467434816</v>
      </c>
      <c r="BW56">
        <v>606189952</v>
      </c>
      <c r="BX56">
        <v>1072494272</v>
      </c>
      <c r="BY56">
        <v>424105920</v>
      </c>
      <c r="BZ56">
        <v>782268672</v>
      </c>
      <c r="CA56">
        <v>1102311936</v>
      </c>
      <c r="CB56">
        <v>366258080</v>
      </c>
      <c r="CC56">
        <v>147889440</v>
      </c>
      <c r="CD56">
        <v>357061760</v>
      </c>
      <c r="CE56">
        <v>313541664</v>
      </c>
      <c r="CF56">
        <v>382090880</v>
      </c>
      <c r="CG56">
        <v>324576288</v>
      </c>
      <c r="CH56">
        <v>590557888</v>
      </c>
      <c r="CI56">
        <v>339432896</v>
      </c>
      <c r="CJ56">
        <v>664159040</v>
      </c>
      <c r="CK56">
        <v>906272960</v>
      </c>
      <c r="CL56">
        <v>505142624</v>
      </c>
      <c r="CM56">
        <v>373754528</v>
      </c>
      <c r="CN56">
        <v>420787136</v>
      </c>
      <c r="CO56">
        <v>333647456</v>
      </c>
      <c r="CP56">
        <v>627305216</v>
      </c>
      <c r="CQ56">
        <v>404127264</v>
      </c>
      <c r="CR56">
        <v>1198802944</v>
      </c>
      <c r="CS56">
        <v>313655104</v>
      </c>
      <c r="CT56">
        <v>926383488</v>
      </c>
      <c r="CU56">
        <v>1083861632</v>
      </c>
      <c r="CV56">
        <v>412945088</v>
      </c>
      <c r="CW56">
        <v>215984352</v>
      </c>
    </row>
    <row r="57" spans="1:101">
      <c r="A57">
        <v>30992</v>
      </c>
      <c r="B57" t="s">
        <v>286</v>
      </c>
      <c r="D57" t="s">
        <v>287</v>
      </c>
      <c r="F57" t="s">
        <v>288</v>
      </c>
      <c r="G57">
        <v>610.56200000000001</v>
      </c>
      <c r="H57" t="s">
        <v>104</v>
      </c>
      <c r="I57">
        <v>2</v>
      </c>
      <c r="J57">
        <v>21</v>
      </c>
      <c r="K57">
        <v>0</v>
      </c>
      <c r="L57">
        <v>0</v>
      </c>
      <c r="M57">
        <v>0</v>
      </c>
      <c r="N57">
        <v>-1</v>
      </c>
      <c r="O57">
        <v>12</v>
      </c>
      <c r="P57">
        <v>12</v>
      </c>
      <c r="Q57">
        <v>16</v>
      </c>
      <c r="R57">
        <v>16</v>
      </c>
      <c r="S57">
        <v>16</v>
      </c>
      <c r="T57">
        <v>16</v>
      </c>
      <c r="U57">
        <v>16</v>
      </c>
      <c r="V57">
        <v>16</v>
      </c>
      <c r="W57">
        <v>16</v>
      </c>
      <c r="X57">
        <v>14</v>
      </c>
      <c r="Y57">
        <v>16</v>
      </c>
      <c r="Z57">
        <v>16</v>
      </c>
      <c r="AA57">
        <v>16</v>
      </c>
      <c r="AB57">
        <v>16</v>
      </c>
      <c r="AC57">
        <v>16</v>
      </c>
      <c r="AD57">
        <v>16</v>
      </c>
      <c r="AE57">
        <v>16</v>
      </c>
      <c r="AF57">
        <v>16</v>
      </c>
      <c r="AG57">
        <v>16</v>
      </c>
      <c r="AH57">
        <v>16</v>
      </c>
      <c r="AI57">
        <v>16</v>
      </c>
      <c r="AJ57">
        <v>16</v>
      </c>
      <c r="AK57">
        <v>16</v>
      </c>
      <c r="AL57">
        <v>16</v>
      </c>
      <c r="AM57">
        <v>16</v>
      </c>
      <c r="AN57">
        <v>16</v>
      </c>
      <c r="AO57">
        <v>16</v>
      </c>
      <c r="AP57">
        <v>149</v>
      </c>
      <c r="AQ57">
        <v>91</v>
      </c>
      <c r="AR57">
        <v>19</v>
      </c>
      <c r="AS57">
        <v>77</v>
      </c>
      <c r="AT57">
        <v>97</v>
      </c>
      <c r="AU57">
        <v>42</v>
      </c>
      <c r="AV57">
        <v>103</v>
      </c>
      <c r="AW57">
        <v>122</v>
      </c>
      <c r="AX57">
        <v>93</v>
      </c>
      <c r="AY57">
        <v>46</v>
      </c>
      <c r="AZ57">
        <v>72</v>
      </c>
      <c r="BA57">
        <v>76</v>
      </c>
      <c r="BB57">
        <v>117</v>
      </c>
      <c r="BC57">
        <v>117</v>
      </c>
      <c r="BD57">
        <v>130</v>
      </c>
      <c r="BE57">
        <v>39</v>
      </c>
      <c r="BF57">
        <v>143</v>
      </c>
      <c r="BG57">
        <v>127</v>
      </c>
      <c r="BH57">
        <v>97</v>
      </c>
      <c r="BI57">
        <v>44</v>
      </c>
      <c r="BJ57">
        <v>1204140288</v>
      </c>
      <c r="BK57">
        <v>1117704704</v>
      </c>
      <c r="BL57">
        <v>15493821</v>
      </c>
      <c r="BM57">
        <v>649397440</v>
      </c>
      <c r="BN57">
        <v>1376630784</v>
      </c>
      <c r="BO57">
        <v>298608544</v>
      </c>
      <c r="BP57">
        <v>1386436224</v>
      </c>
      <c r="BQ57">
        <v>2084772352</v>
      </c>
      <c r="BR57">
        <v>1226415232</v>
      </c>
      <c r="BS57">
        <v>313997280</v>
      </c>
      <c r="BT57">
        <v>285928640</v>
      </c>
      <c r="BU57">
        <v>841587072</v>
      </c>
      <c r="BV57">
        <v>1614315520</v>
      </c>
      <c r="BW57">
        <v>1825010816</v>
      </c>
      <c r="BX57">
        <v>2250731008</v>
      </c>
      <c r="BY57">
        <v>318852928</v>
      </c>
      <c r="BZ57">
        <v>2091803392</v>
      </c>
      <c r="CA57">
        <v>2288005888</v>
      </c>
      <c r="CB57">
        <v>1028211648</v>
      </c>
      <c r="CC57">
        <v>215944176</v>
      </c>
      <c r="CD57">
        <v>1368228608</v>
      </c>
      <c r="CE57">
        <v>608538496</v>
      </c>
      <c r="CF57">
        <v>1824158336</v>
      </c>
      <c r="CG57">
        <v>713405184</v>
      </c>
      <c r="CH57">
        <v>1184724096</v>
      </c>
      <c r="CI57">
        <v>205740144</v>
      </c>
      <c r="CJ57">
        <v>1245096192</v>
      </c>
      <c r="CK57">
        <v>1875217280</v>
      </c>
      <c r="CL57">
        <v>1494142592</v>
      </c>
      <c r="CM57">
        <v>313539936</v>
      </c>
      <c r="CN57">
        <v>1402266624</v>
      </c>
      <c r="CO57">
        <v>633141184</v>
      </c>
      <c r="CP57">
        <v>1839098752</v>
      </c>
      <c r="CQ57">
        <v>1122845824</v>
      </c>
      <c r="CR57">
        <v>2282411264</v>
      </c>
      <c r="CS57">
        <v>277997856</v>
      </c>
      <c r="CT57">
        <v>1986593280</v>
      </c>
      <c r="CU57">
        <v>1661330432</v>
      </c>
      <c r="CV57">
        <v>1368579200</v>
      </c>
      <c r="CW57">
        <v>363417056</v>
      </c>
    </row>
    <row r="58" spans="1:101">
      <c r="A58">
        <v>30977</v>
      </c>
      <c r="B58" t="s">
        <v>289</v>
      </c>
      <c r="D58" t="s">
        <v>290</v>
      </c>
      <c r="E58" t="s">
        <v>291</v>
      </c>
      <c r="F58" t="s">
        <v>292</v>
      </c>
      <c r="G58">
        <v>598.21500000000003</v>
      </c>
      <c r="H58" t="s">
        <v>104</v>
      </c>
      <c r="I58">
        <v>2</v>
      </c>
      <c r="J58">
        <v>14</v>
      </c>
      <c r="K58">
        <v>7</v>
      </c>
      <c r="L58">
        <v>0</v>
      </c>
      <c r="M58">
        <v>0</v>
      </c>
      <c r="N58">
        <v>-1</v>
      </c>
      <c r="O58">
        <v>18</v>
      </c>
      <c r="P58">
        <v>18</v>
      </c>
      <c r="Q58">
        <v>18</v>
      </c>
      <c r="R58">
        <v>18</v>
      </c>
      <c r="S58">
        <v>18</v>
      </c>
      <c r="T58">
        <v>18</v>
      </c>
      <c r="U58">
        <v>18</v>
      </c>
      <c r="V58">
        <v>11</v>
      </c>
      <c r="W58">
        <v>14</v>
      </c>
      <c r="X58">
        <v>13</v>
      </c>
      <c r="Y58">
        <v>18</v>
      </c>
      <c r="Z58">
        <v>18</v>
      </c>
      <c r="AA58">
        <v>14</v>
      </c>
      <c r="AB58">
        <v>18</v>
      </c>
      <c r="AC58">
        <v>16</v>
      </c>
      <c r="AD58">
        <v>18</v>
      </c>
      <c r="AE58">
        <v>18</v>
      </c>
      <c r="AF58">
        <v>18</v>
      </c>
      <c r="AG58">
        <v>18</v>
      </c>
      <c r="AH58">
        <v>18</v>
      </c>
      <c r="AI58">
        <v>18</v>
      </c>
      <c r="AJ58">
        <v>18</v>
      </c>
      <c r="AK58">
        <v>18</v>
      </c>
      <c r="AL58">
        <v>18</v>
      </c>
      <c r="AM58">
        <v>18</v>
      </c>
      <c r="AN58">
        <v>17</v>
      </c>
      <c r="AO58">
        <v>17</v>
      </c>
      <c r="AP58">
        <v>29</v>
      </c>
      <c r="AQ58">
        <v>19</v>
      </c>
      <c r="AR58">
        <v>1</v>
      </c>
      <c r="AS58">
        <v>22</v>
      </c>
      <c r="AT58">
        <v>35</v>
      </c>
      <c r="AU58">
        <v>20</v>
      </c>
      <c r="AV58">
        <v>43</v>
      </c>
      <c r="AW58">
        <v>65</v>
      </c>
      <c r="AX58">
        <v>30</v>
      </c>
      <c r="AY58">
        <v>19</v>
      </c>
      <c r="AZ58">
        <v>12</v>
      </c>
      <c r="BA58">
        <v>18</v>
      </c>
      <c r="BB58">
        <v>23</v>
      </c>
      <c r="BC58">
        <v>34</v>
      </c>
      <c r="BD58">
        <v>79</v>
      </c>
      <c r="BE58">
        <v>12</v>
      </c>
      <c r="BF58">
        <v>87</v>
      </c>
      <c r="BG58">
        <v>56</v>
      </c>
      <c r="BH58">
        <v>24</v>
      </c>
      <c r="BI58">
        <v>10</v>
      </c>
      <c r="BJ58">
        <v>106935696</v>
      </c>
      <c r="BK58">
        <v>141792368</v>
      </c>
      <c r="BL58">
        <v>4084699.25</v>
      </c>
      <c r="BM58">
        <v>125124776</v>
      </c>
      <c r="BN58">
        <v>292614752</v>
      </c>
      <c r="BO58">
        <v>135588000</v>
      </c>
      <c r="BP58">
        <v>434483936</v>
      </c>
      <c r="BQ58">
        <v>1011361984</v>
      </c>
      <c r="BR58">
        <v>275084672</v>
      </c>
      <c r="BS58">
        <v>111491328</v>
      </c>
      <c r="BT58">
        <v>54370188</v>
      </c>
      <c r="BU58">
        <v>95849736</v>
      </c>
      <c r="BV58">
        <v>241713600</v>
      </c>
      <c r="BW58">
        <v>515267040</v>
      </c>
      <c r="BX58">
        <v>1357368192</v>
      </c>
      <c r="BY58">
        <v>69224456</v>
      </c>
      <c r="BZ58">
        <v>1372390656</v>
      </c>
      <c r="CA58">
        <v>950247616</v>
      </c>
      <c r="CB58">
        <v>268918560</v>
      </c>
      <c r="CC58">
        <v>55729084</v>
      </c>
      <c r="CD58">
        <v>14776913</v>
      </c>
      <c r="CE58">
        <v>66761632</v>
      </c>
      <c r="CF58">
        <v>285944096</v>
      </c>
      <c r="CG58">
        <v>158647104</v>
      </c>
      <c r="CH58">
        <v>304018240</v>
      </c>
      <c r="CI58">
        <v>42807804</v>
      </c>
      <c r="CJ58">
        <v>571039360</v>
      </c>
      <c r="CK58">
        <v>764498560</v>
      </c>
      <c r="CL58">
        <v>194755216</v>
      </c>
      <c r="CM58">
        <v>96411968</v>
      </c>
      <c r="CN58">
        <v>235223248</v>
      </c>
      <c r="CO58">
        <v>80378400</v>
      </c>
      <c r="CP58">
        <v>266574192</v>
      </c>
      <c r="CQ58">
        <v>321134048</v>
      </c>
      <c r="CR58">
        <v>1567421824</v>
      </c>
      <c r="CS58">
        <v>67093340</v>
      </c>
      <c r="CT58">
        <v>1543333888</v>
      </c>
      <c r="CU58">
        <v>671179776</v>
      </c>
      <c r="CV58">
        <v>208294320</v>
      </c>
      <c r="CW58">
        <v>57236472</v>
      </c>
    </row>
    <row r="59" spans="1:101">
      <c r="A59">
        <v>31089</v>
      </c>
      <c r="B59" t="s">
        <v>293</v>
      </c>
      <c r="D59" t="s">
        <v>294</v>
      </c>
      <c r="F59" t="s">
        <v>295</v>
      </c>
      <c r="G59">
        <v>590.10699999999997</v>
      </c>
      <c r="H59" t="s">
        <v>104</v>
      </c>
      <c r="I59">
        <v>2</v>
      </c>
      <c r="J59">
        <v>6</v>
      </c>
      <c r="K59">
        <v>0</v>
      </c>
      <c r="L59">
        <v>0</v>
      </c>
      <c r="M59">
        <v>0</v>
      </c>
      <c r="N59">
        <v>-1</v>
      </c>
      <c r="O59">
        <v>16</v>
      </c>
      <c r="P59">
        <v>16</v>
      </c>
      <c r="Q59">
        <v>17</v>
      </c>
      <c r="R59">
        <v>17</v>
      </c>
      <c r="S59">
        <v>17</v>
      </c>
      <c r="T59">
        <v>17</v>
      </c>
      <c r="U59">
        <v>17</v>
      </c>
      <c r="V59">
        <v>11</v>
      </c>
      <c r="W59">
        <v>14</v>
      </c>
      <c r="X59">
        <v>13</v>
      </c>
      <c r="Y59">
        <v>15</v>
      </c>
      <c r="Z59">
        <v>16</v>
      </c>
      <c r="AA59">
        <v>16</v>
      </c>
      <c r="AB59">
        <v>15</v>
      </c>
      <c r="AC59">
        <v>15</v>
      </c>
      <c r="AD59">
        <v>14</v>
      </c>
      <c r="AE59">
        <v>16</v>
      </c>
      <c r="AF59">
        <v>14</v>
      </c>
      <c r="AG59">
        <v>16</v>
      </c>
      <c r="AH59">
        <v>14</v>
      </c>
      <c r="AI59">
        <v>14</v>
      </c>
      <c r="AJ59">
        <v>14</v>
      </c>
      <c r="AK59">
        <v>17</v>
      </c>
      <c r="AL59">
        <v>14</v>
      </c>
      <c r="AM59">
        <v>14</v>
      </c>
      <c r="AN59">
        <v>14</v>
      </c>
      <c r="AO59">
        <v>17</v>
      </c>
      <c r="AP59">
        <v>121</v>
      </c>
      <c r="AQ59">
        <v>110</v>
      </c>
      <c r="AR59">
        <v>12</v>
      </c>
      <c r="AS59">
        <v>75</v>
      </c>
      <c r="AT59">
        <v>103</v>
      </c>
      <c r="AU59">
        <v>66</v>
      </c>
      <c r="AV59">
        <v>90</v>
      </c>
      <c r="AW59">
        <v>96</v>
      </c>
      <c r="AX59">
        <v>73</v>
      </c>
      <c r="AY59">
        <v>56</v>
      </c>
      <c r="AZ59">
        <v>50</v>
      </c>
      <c r="BA59">
        <v>82</v>
      </c>
      <c r="BB59">
        <v>101</v>
      </c>
      <c r="BC59">
        <v>82</v>
      </c>
      <c r="BD59">
        <v>94</v>
      </c>
      <c r="BE59">
        <v>65</v>
      </c>
      <c r="BF59">
        <v>92</v>
      </c>
      <c r="BG59">
        <v>95</v>
      </c>
      <c r="BH59">
        <v>75</v>
      </c>
      <c r="BI59">
        <v>50</v>
      </c>
      <c r="BJ59">
        <v>2573337344</v>
      </c>
      <c r="BK59">
        <v>3984306176</v>
      </c>
      <c r="BL59">
        <v>44195392</v>
      </c>
      <c r="BM59">
        <v>2000495872</v>
      </c>
      <c r="BN59">
        <v>5402999296</v>
      </c>
      <c r="BO59">
        <v>2354055680</v>
      </c>
      <c r="BP59">
        <v>3994764288</v>
      </c>
      <c r="BQ59">
        <v>4534948864</v>
      </c>
      <c r="BR59">
        <v>2932719104</v>
      </c>
      <c r="BS59">
        <v>2171470080</v>
      </c>
      <c r="BT59">
        <v>877776512</v>
      </c>
      <c r="BU59">
        <v>3399249408</v>
      </c>
      <c r="BV59">
        <v>4522183680</v>
      </c>
      <c r="BW59">
        <v>3609679616</v>
      </c>
      <c r="BX59">
        <v>3954317568</v>
      </c>
      <c r="BY59">
        <v>2358163712</v>
      </c>
      <c r="BZ59">
        <v>3721545472</v>
      </c>
      <c r="CA59">
        <v>4697113088</v>
      </c>
      <c r="CB59">
        <v>2128551936</v>
      </c>
      <c r="CC59">
        <v>651017024</v>
      </c>
      <c r="CD59">
        <v>2145863808</v>
      </c>
      <c r="CE59">
        <v>2740934400</v>
      </c>
      <c r="CF59">
        <v>3143889408</v>
      </c>
      <c r="CG59">
        <v>2608362752</v>
      </c>
      <c r="CH59">
        <v>4511483904</v>
      </c>
      <c r="CI59">
        <v>1829952256</v>
      </c>
      <c r="CJ59">
        <v>3350789632</v>
      </c>
      <c r="CK59">
        <v>4310915072</v>
      </c>
      <c r="CL59">
        <v>2546293760</v>
      </c>
      <c r="CM59">
        <v>2052813184</v>
      </c>
      <c r="CN59">
        <v>3271630336</v>
      </c>
      <c r="CO59">
        <v>3118446080</v>
      </c>
      <c r="CP59">
        <v>4761090048</v>
      </c>
      <c r="CQ59">
        <v>2359463936</v>
      </c>
      <c r="CR59">
        <v>4359793152</v>
      </c>
      <c r="CS59">
        <v>2251120384</v>
      </c>
      <c r="CT59">
        <v>3822102528</v>
      </c>
      <c r="CU59">
        <v>4056979712</v>
      </c>
      <c r="CV59">
        <v>2872273664</v>
      </c>
      <c r="CW59">
        <v>1400319360</v>
      </c>
    </row>
    <row r="60" spans="1:101">
      <c r="A60">
        <v>30917</v>
      </c>
      <c r="B60" t="s">
        <v>296</v>
      </c>
      <c r="D60" t="s">
        <v>297</v>
      </c>
      <c r="E60" t="s">
        <v>298</v>
      </c>
      <c r="F60" t="s">
        <v>299</v>
      </c>
      <c r="G60">
        <v>588.09699999999998</v>
      </c>
      <c r="H60" t="s">
        <v>104</v>
      </c>
      <c r="I60">
        <v>2</v>
      </c>
      <c r="J60">
        <v>20</v>
      </c>
      <c r="K60">
        <v>1</v>
      </c>
      <c r="L60">
        <v>0</v>
      </c>
      <c r="M60">
        <v>0</v>
      </c>
      <c r="N60">
        <v>-1</v>
      </c>
      <c r="O60">
        <v>14</v>
      </c>
      <c r="P60">
        <v>14</v>
      </c>
      <c r="Q60">
        <v>17</v>
      </c>
      <c r="R60">
        <v>17</v>
      </c>
      <c r="S60">
        <v>17</v>
      </c>
      <c r="T60">
        <v>17</v>
      </c>
      <c r="U60">
        <v>17</v>
      </c>
      <c r="V60">
        <v>13</v>
      </c>
      <c r="W60">
        <v>15</v>
      </c>
      <c r="X60">
        <v>15</v>
      </c>
      <c r="Y60">
        <v>17</v>
      </c>
      <c r="Z60">
        <v>17</v>
      </c>
      <c r="AA60">
        <v>17</v>
      </c>
      <c r="AB60">
        <v>17</v>
      </c>
      <c r="AC60">
        <v>17</v>
      </c>
      <c r="AD60">
        <v>17</v>
      </c>
      <c r="AE60">
        <v>17</v>
      </c>
      <c r="AF60">
        <v>17</v>
      </c>
      <c r="AG60">
        <v>17</v>
      </c>
      <c r="AH60">
        <v>17</v>
      </c>
      <c r="AI60">
        <v>17</v>
      </c>
      <c r="AJ60">
        <v>17</v>
      </c>
      <c r="AK60">
        <v>17</v>
      </c>
      <c r="AL60">
        <v>17</v>
      </c>
      <c r="AM60">
        <v>17</v>
      </c>
      <c r="AN60">
        <v>17</v>
      </c>
      <c r="AO60">
        <v>17</v>
      </c>
      <c r="AP60">
        <v>31</v>
      </c>
      <c r="AQ60">
        <v>29</v>
      </c>
      <c r="AR60">
        <v>14</v>
      </c>
      <c r="AS60">
        <v>34</v>
      </c>
      <c r="AT60">
        <v>59</v>
      </c>
      <c r="AU60">
        <v>20</v>
      </c>
      <c r="AV60">
        <v>69</v>
      </c>
      <c r="AW60">
        <v>54</v>
      </c>
      <c r="AX60">
        <v>37</v>
      </c>
      <c r="AY60">
        <v>26</v>
      </c>
      <c r="AZ60">
        <v>24</v>
      </c>
      <c r="BA60">
        <v>23</v>
      </c>
      <c r="BB60">
        <v>31</v>
      </c>
      <c r="BC60">
        <v>43</v>
      </c>
      <c r="BD60">
        <v>80</v>
      </c>
      <c r="BE60">
        <v>23</v>
      </c>
      <c r="BF60">
        <v>83</v>
      </c>
      <c r="BG60">
        <v>70</v>
      </c>
      <c r="BH60">
        <v>23</v>
      </c>
      <c r="BI60">
        <v>10</v>
      </c>
      <c r="BJ60">
        <v>262425728</v>
      </c>
      <c r="BK60">
        <v>512581984</v>
      </c>
      <c r="BL60">
        <v>2924538</v>
      </c>
      <c r="BM60">
        <v>348271424</v>
      </c>
      <c r="BN60">
        <v>1193527680</v>
      </c>
      <c r="BO60">
        <v>198488272</v>
      </c>
      <c r="BP60">
        <v>1333596416</v>
      </c>
      <c r="BQ60">
        <v>1186968192</v>
      </c>
      <c r="BR60">
        <v>359032768</v>
      </c>
      <c r="BS60">
        <v>229969008</v>
      </c>
      <c r="BT60">
        <v>104863856</v>
      </c>
      <c r="BU60">
        <v>312440448</v>
      </c>
      <c r="BV60">
        <v>529505056</v>
      </c>
      <c r="BW60">
        <v>857470656</v>
      </c>
      <c r="BX60">
        <v>1611905024</v>
      </c>
      <c r="BY60">
        <v>146947824</v>
      </c>
      <c r="BZ60">
        <v>2210429952</v>
      </c>
      <c r="CA60">
        <v>1284237952</v>
      </c>
      <c r="CB60">
        <v>251474912</v>
      </c>
      <c r="CC60">
        <v>88031672</v>
      </c>
      <c r="CD60">
        <v>227824176</v>
      </c>
      <c r="CE60">
        <v>291155616</v>
      </c>
      <c r="CF60">
        <v>479098944</v>
      </c>
      <c r="CG60">
        <v>445354592</v>
      </c>
      <c r="CH60">
        <v>981346624</v>
      </c>
      <c r="CI60">
        <v>140695456</v>
      </c>
      <c r="CJ60">
        <v>1061098496</v>
      </c>
      <c r="CK60">
        <v>1024422656</v>
      </c>
      <c r="CL60">
        <v>400124096</v>
      </c>
      <c r="CM60">
        <v>256464928</v>
      </c>
      <c r="CN60">
        <v>552332224</v>
      </c>
      <c r="CO60">
        <v>259319760</v>
      </c>
      <c r="CP60">
        <v>615774016</v>
      </c>
      <c r="CQ60">
        <v>532140224</v>
      </c>
      <c r="CR60">
        <v>1944837632</v>
      </c>
      <c r="CS60">
        <v>174689120</v>
      </c>
      <c r="CT60">
        <v>2000230272</v>
      </c>
      <c r="CU60">
        <v>1105189760</v>
      </c>
      <c r="CV60">
        <v>281419296</v>
      </c>
      <c r="CW60">
        <v>98475128</v>
      </c>
    </row>
    <row r="61" spans="1:101">
      <c r="A61">
        <v>31075</v>
      </c>
      <c r="B61" t="s">
        <v>300</v>
      </c>
      <c r="D61" t="s">
        <v>301</v>
      </c>
      <c r="F61" t="s">
        <v>302</v>
      </c>
      <c r="G61">
        <v>588.03499999999997</v>
      </c>
      <c r="H61" t="s">
        <v>104</v>
      </c>
      <c r="I61">
        <v>2</v>
      </c>
      <c r="J61">
        <v>4</v>
      </c>
      <c r="K61">
        <v>0</v>
      </c>
      <c r="L61">
        <v>0</v>
      </c>
      <c r="M61">
        <v>0</v>
      </c>
      <c r="N61">
        <v>-1</v>
      </c>
      <c r="O61">
        <v>16</v>
      </c>
      <c r="P61">
        <v>16</v>
      </c>
      <c r="Q61">
        <v>20</v>
      </c>
      <c r="R61">
        <v>20</v>
      </c>
      <c r="S61">
        <v>20</v>
      </c>
      <c r="T61">
        <v>20</v>
      </c>
      <c r="U61">
        <v>20</v>
      </c>
      <c r="V61">
        <v>16</v>
      </c>
      <c r="W61">
        <v>20</v>
      </c>
      <c r="X61">
        <v>4</v>
      </c>
      <c r="Y61">
        <v>20</v>
      </c>
      <c r="Z61">
        <v>14</v>
      </c>
      <c r="AA61">
        <v>20</v>
      </c>
      <c r="AB61">
        <v>14</v>
      </c>
      <c r="AC61">
        <v>20</v>
      </c>
      <c r="AD61">
        <v>12</v>
      </c>
      <c r="AE61">
        <v>20</v>
      </c>
      <c r="AF61">
        <v>18</v>
      </c>
      <c r="AG61">
        <v>20</v>
      </c>
      <c r="AH61">
        <v>14</v>
      </c>
      <c r="AI61">
        <v>20</v>
      </c>
      <c r="AJ61">
        <v>14</v>
      </c>
      <c r="AK61">
        <v>20</v>
      </c>
      <c r="AL61">
        <v>13</v>
      </c>
      <c r="AM61">
        <v>20</v>
      </c>
      <c r="AN61">
        <v>12</v>
      </c>
      <c r="AO61">
        <v>20</v>
      </c>
      <c r="AP61">
        <v>15</v>
      </c>
      <c r="AQ61">
        <v>35</v>
      </c>
      <c r="AR61">
        <v>0</v>
      </c>
      <c r="AS61">
        <v>21</v>
      </c>
      <c r="AT61">
        <v>8</v>
      </c>
      <c r="AU61">
        <v>23</v>
      </c>
      <c r="AV61">
        <v>3</v>
      </c>
      <c r="AW61">
        <v>35</v>
      </c>
      <c r="AX61">
        <v>1</v>
      </c>
      <c r="AY61">
        <v>13</v>
      </c>
      <c r="AZ61">
        <v>3</v>
      </c>
      <c r="BA61">
        <v>44</v>
      </c>
      <c r="BB61">
        <v>5</v>
      </c>
      <c r="BC61">
        <v>28</v>
      </c>
      <c r="BD61">
        <v>6</v>
      </c>
      <c r="BE61">
        <v>25</v>
      </c>
      <c r="BF61">
        <v>2</v>
      </c>
      <c r="BG61">
        <v>35</v>
      </c>
      <c r="BH61">
        <v>2</v>
      </c>
      <c r="BI61">
        <v>10</v>
      </c>
      <c r="BJ61">
        <v>36119780</v>
      </c>
      <c r="BK61">
        <v>250606048</v>
      </c>
      <c r="BL61">
        <v>580590.38</v>
      </c>
      <c r="BM61">
        <v>88641656</v>
      </c>
      <c r="BN61">
        <v>14793324</v>
      </c>
      <c r="BO61">
        <v>115759568</v>
      </c>
      <c r="BP61">
        <v>7135518.5</v>
      </c>
      <c r="BQ61">
        <v>183978688</v>
      </c>
      <c r="BR61">
        <v>3757344.75</v>
      </c>
      <c r="BS61">
        <v>43957984</v>
      </c>
      <c r="BT61">
        <v>6415481</v>
      </c>
      <c r="BU61">
        <v>210581280</v>
      </c>
      <c r="BV61">
        <v>9760520</v>
      </c>
      <c r="BW61">
        <v>144298640</v>
      </c>
      <c r="BX61">
        <v>11667941</v>
      </c>
      <c r="BY61">
        <v>127821056</v>
      </c>
      <c r="BZ61">
        <v>7391902.5</v>
      </c>
      <c r="CA61">
        <v>203564512</v>
      </c>
      <c r="CB61">
        <v>3377193.75</v>
      </c>
      <c r="CC61">
        <v>25195148</v>
      </c>
      <c r="CD61">
        <v>40208932</v>
      </c>
      <c r="CE61">
        <v>153495008</v>
      </c>
      <c r="CF61">
        <v>40656540</v>
      </c>
      <c r="CG61">
        <v>96354272</v>
      </c>
      <c r="CH61">
        <v>11534167</v>
      </c>
      <c r="CI61">
        <v>83000232</v>
      </c>
      <c r="CJ61">
        <v>6599932.5</v>
      </c>
      <c r="CK61">
        <v>192313408</v>
      </c>
      <c r="CL61">
        <v>3905537.75</v>
      </c>
      <c r="CM61">
        <v>36833200</v>
      </c>
      <c r="CN61">
        <v>25451284</v>
      </c>
      <c r="CO61">
        <v>177790000</v>
      </c>
      <c r="CP61">
        <v>10824091</v>
      </c>
      <c r="CQ61">
        <v>97182112</v>
      </c>
      <c r="CR61">
        <v>13501792</v>
      </c>
      <c r="CS61">
        <v>103288936</v>
      </c>
      <c r="CT61">
        <v>8654968</v>
      </c>
      <c r="CU61">
        <v>184767344</v>
      </c>
      <c r="CV61">
        <v>4343627.5</v>
      </c>
      <c r="CW61">
        <v>36949876</v>
      </c>
    </row>
    <row r="62" spans="1:101">
      <c r="A62">
        <v>30966</v>
      </c>
      <c r="B62" t="s">
        <v>303</v>
      </c>
      <c r="D62" t="s">
        <v>304</v>
      </c>
      <c r="E62" t="s">
        <v>305</v>
      </c>
      <c r="F62" t="s">
        <v>306</v>
      </c>
      <c r="G62">
        <v>568.62099999999998</v>
      </c>
      <c r="H62" t="s">
        <v>104</v>
      </c>
      <c r="I62">
        <v>2</v>
      </c>
      <c r="J62">
        <v>6</v>
      </c>
      <c r="K62">
        <v>7</v>
      </c>
      <c r="L62">
        <v>0</v>
      </c>
      <c r="M62">
        <v>0</v>
      </c>
      <c r="N62">
        <v>-1</v>
      </c>
      <c r="O62">
        <v>17</v>
      </c>
      <c r="P62">
        <v>17</v>
      </c>
      <c r="Q62">
        <v>17</v>
      </c>
      <c r="R62">
        <v>17</v>
      </c>
      <c r="S62">
        <v>17</v>
      </c>
      <c r="T62">
        <v>17</v>
      </c>
      <c r="U62">
        <v>17</v>
      </c>
      <c r="V62">
        <v>15</v>
      </c>
      <c r="W62">
        <v>16</v>
      </c>
      <c r="X62">
        <v>5</v>
      </c>
      <c r="Y62">
        <v>17</v>
      </c>
      <c r="Z62">
        <v>16</v>
      </c>
      <c r="AA62">
        <v>16</v>
      </c>
      <c r="AB62">
        <v>17</v>
      </c>
      <c r="AC62">
        <v>17</v>
      </c>
      <c r="AD62">
        <v>17</v>
      </c>
      <c r="AE62">
        <v>16</v>
      </c>
      <c r="AF62">
        <v>17</v>
      </c>
      <c r="AG62">
        <v>16</v>
      </c>
      <c r="AH62">
        <v>17</v>
      </c>
      <c r="AI62">
        <v>17</v>
      </c>
      <c r="AJ62">
        <v>17</v>
      </c>
      <c r="AK62">
        <v>17</v>
      </c>
      <c r="AL62">
        <v>15</v>
      </c>
      <c r="AM62">
        <v>17</v>
      </c>
      <c r="AN62">
        <v>17</v>
      </c>
      <c r="AO62">
        <v>16</v>
      </c>
      <c r="AP62">
        <v>14</v>
      </c>
      <c r="AQ62">
        <v>12</v>
      </c>
      <c r="AR62">
        <v>0</v>
      </c>
      <c r="AS62">
        <v>7</v>
      </c>
      <c r="AT62">
        <v>13</v>
      </c>
      <c r="AU62">
        <v>10</v>
      </c>
      <c r="AV62">
        <v>10</v>
      </c>
      <c r="AW62">
        <v>17</v>
      </c>
      <c r="AX62">
        <v>12</v>
      </c>
      <c r="AY62">
        <v>12</v>
      </c>
      <c r="AZ62">
        <v>8</v>
      </c>
      <c r="BA62">
        <v>14</v>
      </c>
      <c r="BB62">
        <v>10</v>
      </c>
      <c r="BC62">
        <v>13</v>
      </c>
      <c r="BD62">
        <v>13</v>
      </c>
      <c r="BE62">
        <v>8</v>
      </c>
      <c r="BF62">
        <v>9</v>
      </c>
      <c r="BG62">
        <v>17</v>
      </c>
      <c r="BH62">
        <v>12</v>
      </c>
      <c r="BI62">
        <v>11</v>
      </c>
      <c r="BJ62">
        <v>40875300</v>
      </c>
      <c r="BK62">
        <v>31730454</v>
      </c>
      <c r="BL62">
        <v>131188.85999999999</v>
      </c>
      <c r="BM62">
        <v>10855068</v>
      </c>
      <c r="BN62">
        <v>32773242</v>
      </c>
      <c r="BO62">
        <v>13800688</v>
      </c>
      <c r="BP62">
        <v>23076426</v>
      </c>
      <c r="BQ62">
        <v>53349560</v>
      </c>
      <c r="BR62">
        <v>31101662</v>
      </c>
      <c r="BS62">
        <v>22492274</v>
      </c>
      <c r="BT62">
        <v>10608730</v>
      </c>
      <c r="BU62">
        <v>21231750</v>
      </c>
      <c r="BV62">
        <v>14152924</v>
      </c>
      <c r="BW62">
        <v>24929602</v>
      </c>
      <c r="BX62">
        <v>32419524</v>
      </c>
      <c r="BY62">
        <v>14896256</v>
      </c>
      <c r="BZ62">
        <v>15248669</v>
      </c>
      <c r="CA62">
        <v>51665692</v>
      </c>
      <c r="CB62">
        <v>21471022</v>
      </c>
      <c r="CC62">
        <v>13516542</v>
      </c>
      <c r="CD62">
        <v>40248040</v>
      </c>
      <c r="CE62">
        <v>17967198</v>
      </c>
      <c r="CF62">
        <v>14073953</v>
      </c>
      <c r="CG62">
        <v>11867491</v>
      </c>
      <c r="CH62">
        <v>22612402</v>
      </c>
      <c r="CI62">
        <v>8299320.5</v>
      </c>
      <c r="CJ62">
        <v>17250242</v>
      </c>
      <c r="CK62">
        <v>43397624</v>
      </c>
      <c r="CL62">
        <v>30304590</v>
      </c>
      <c r="CM62">
        <v>19134836</v>
      </c>
      <c r="CN62">
        <v>37255740</v>
      </c>
      <c r="CO62">
        <v>14911774</v>
      </c>
      <c r="CP62">
        <v>14725497</v>
      </c>
      <c r="CQ62">
        <v>14605231</v>
      </c>
      <c r="CR62">
        <v>30537646</v>
      </c>
      <c r="CS62">
        <v>10945320</v>
      </c>
      <c r="CT62">
        <v>15489822</v>
      </c>
      <c r="CU62">
        <v>38679100</v>
      </c>
      <c r="CV62">
        <v>25258180</v>
      </c>
      <c r="CW62">
        <v>23288236</v>
      </c>
    </row>
    <row r="63" spans="1:101">
      <c r="A63">
        <v>30930</v>
      </c>
      <c r="B63" t="s">
        <v>307</v>
      </c>
      <c r="D63" t="s">
        <v>308</v>
      </c>
      <c r="F63" t="s">
        <v>309</v>
      </c>
      <c r="G63">
        <v>564.83399999999995</v>
      </c>
      <c r="H63" t="s">
        <v>104</v>
      </c>
      <c r="I63">
        <v>2</v>
      </c>
      <c r="J63">
        <v>21</v>
      </c>
      <c r="K63">
        <v>0</v>
      </c>
      <c r="L63">
        <v>0</v>
      </c>
      <c r="M63">
        <v>0</v>
      </c>
      <c r="N63">
        <v>-1</v>
      </c>
      <c r="O63">
        <v>15</v>
      </c>
      <c r="P63">
        <v>15</v>
      </c>
      <c r="Q63">
        <v>16</v>
      </c>
      <c r="R63">
        <v>16</v>
      </c>
      <c r="S63">
        <v>16</v>
      </c>
      <c r="T63">
        <v>16</v>
      </c>
      <c r="U63">
        <v>16</v>
      </c>
      <c r="V63">
        <v>12</v>
      </c>
      <c r="W63">
        <v>13</v>
      </c>
      <c r="X63">
        <v>12</v>
      </c>
      <c r="Y63">
        <v>16</v>
      </c>
      <c r="Z63">
        <v>15</v>
      </c>
      <c r="AA63">
        <v>15</v>
      </c>
      <c r="AB63">
        <v>15</v>
      </c>
      <c r="AC63">
        <v>16</v>
      </c>
      <c r="AD63">
        <v>14</v>
      </c>
      <c r="AE63">
        <v>16</v>
      </c>
      <c r="AF63">
        <v>15</v>
      </c>
      <c r="AG63">
        <v>16</v>
      </c>
      <c r="AH63">
        <v>15</v>
      </c>
      <c r="AI63">
        <v>15</v>
      </c>
      <c r="AJ63">
        <v>15</v>
      </c>
      <c r="AK63">
        <v>16</v>
      </c>
      <c r="AL63">
        <v>15</v>
      </c>
      <c r="AM63">
        <v>15</v>
      </c>
      <c r="AN63">
        <v>14</v>
      </c>
      <c r="AO63">
        <v>15</v>
      </c>
      <c r="AP63">
        <v>95</v>
      </c>
      <c r="AQ63">
        <v>132</v>
      </c>
      <c r="AR63">
        <v>51</v>
      </c>
      <c r="AS63">
        <v>96</v>
      </c>
      <c r="AT63">
        <v>121</v>
      </c>
      <c r="AU63">
        <v>102</v>
      </c>
      <c r="AV63">
        <v>111</v>
      </c>
      <c r="AW63">
        <v>108</v>
      </c>
      <c r="AX63">
        <v>93</v>
      </c>
      <c r="AY63">
        <v>85</v>
      </c>
      <c r="AZ63">
        <v>63</v>
      </c>
      <c r="BA63">
        <v>120</v>
      </c>
      <c r="BB63">
        <v>103</v>
      </c>
      <c r="BC63">
        <v>99</v>
      </c>
      <c r="BD63">
        <v>102</v>
      </c>
      <c r="BE63">
        <v>105</v>
      </c>
      <c r="BF63">
        <v>93</v>
      </c>
      <c r="BG63">
        <v>104</v>
      </c>
      <c r="BH63">
        <v>86</v>
      </c>
      <c r="BI63">
        <v>75</v>
      </c>
      <c r="BJ63">
        <v>1888169216</v>
      </c>
      <c r="BK63">
        <v>3698551040</v>
      </c>
      <c r="BL63">
        <v>15448966</v>
      </c>
      <c r="BM63">
        <v>1499760768</v>
      </c>
      <c r="BN63">
        <v>3723075584</v>
      </c>
      <c r="BO63">
        <v>1876891008</v>
      </c>
      <c r="BP63">
        <v>2754863104</v>
      </c>
      <c r="BQ63">
        <v>2822549760</v>
      </c>
      <c r="BR63">
        <v>1414064896</v>
      </c>
      <c r="BS63">
        <v>1285414528</v>
      </c>
      <c r="BT63">
        <v>481366016</v>
      </c>
      <c r="BU63">
        <v>3014719744</v>
      </c>
      <c r="BV63">
        <v>2951057408</v>
      </c>
      <c r="BW63">
        <v>2295407616</v>
      </c>
      <c r="BX63">
        <v>2635178240</v>
      </c>
      <c r="BY63">
        <v>1681830784</v>
      </c>
      <c r="BZ63">
        <v>2301730304</v>
      </c>
      <c r="CA63">
        <v>2756587264</v>
      </c>
      <c r="CB63">
        <v>1199929600</v>
      </c>
      <c r="CC63">
        <v>625416704</v>
      </c>
      <c r="CD63">
        <v>738976832</v>
      </c>
      <c r="CE63">
        <v>2059043712</v>
      </c>
      <c r="CF63">
        <v>1557053312</v>
      </c>
      <c r="CG63">
        <v>1966386688</v>
      </c>
      <c r="CH63">
        <v>2867885568</v>
      </c>
      <c r="CI63">
        <v>1771758592</v>
      </c>
      <c r="CJ63">
        <v>1853213312</v>
      </c>
      <c r="CK63">
        <v>2748027392</v>
      </c>
      <c r="CL63">
        <v>821564800</v>
      </c>
      <c r="CM63">
        <v>2071211264</v>
      </c>
      <c r="CN63">
        <v>1371135488</v>
      </c>
      <c r="CO63">
        <v>4454503424</v>
      </c>
      <c r="CP63">
        <v>2046783360</v>
      </c>
      <c r="CQ63">
        <v>1259686144</v>
      </c>
      <c r="CR63">
        <v>2336472064</v>
      </c>
      <c r="CS63">
        <v>2944584448</v>
      </c>
      <c r="CT63">
        <v>1709074560</v>
      </c>
      <c r="CU63">
        <v>2193697024</v>
      </c>
      <c r="CV63">
        <v>1279433600</v>
      </c>
      <c r="CW63">
        <v>1469127680</v>
      </c>
    </row>
    <row r="64" spans="1:101">
      <c r="A64">
        <v>31033</v>
      </c>
      <c r="B64" t="s">
        <v>310</v>
      </c>
      <c r="D64" t="s">
        <v>311</v>
      </c>
      <c r="F64" t="s">
        <v>312</v>
      </c>
      <c r="G64">
        <v>558.71199999999999</v>
      </c>
      <c r="H64" t="s">
        <v>104</v>
      </c>
      <c r="I64">
        <v>2</v>
      </c>
      <c r="J64">
        <v>21</v>
      </c>
      <c r="K64">
        <v>0</v>
      </c>
      <c r="L64">
        <v>0</v>
      </c>
      <c r="M64">
        <v>0</v>
      </c>
      <c r="N64">
        <v>-1</v>
      </c>
      <c r="O64">
        <v>18</v>
      </c>
      <c r="P64">
        <v>18</v>
      </c>
      <c r="Q64">
        <v>18</v>
      </c>
      <c r="R64">
        <v>18</v>
      </c>
      <c r="S64">
        <v>18</v>
      </c>
      <c r="T64">
        <v>18</v>
      </c>
      <c r="U64">
        <v>18</v>
      </c>
      <c r="V64">
        <v>14</v>
      </c>
      <c r="W64">
        <v>16</v>
      </c>
      <c r="X64">
        <v>14</v>
      </c>
      <c r="Y64">
        <v>18</v>
      </c>
      <c r="Z64">
        <v>18</v>
      </c>
      <c r="AA64">
        <v>17</v>
      </c>
      <c r="AB64">
        <v>18</v>
      </c>
      <c r="AC64">
        <v>18</v>
      </c>
      <c r="AD64">
        <v>18</v>
      </c>
      <c r="AE64">
        <v>18</v>
      </c>
      <c r="AF64">
        <v>18</v>
      </c>
      <c r="AG64">
        <v>18</v>
      </c>
      <c r="AH64">
        <v>18</v>
      </c>
      <c r="AI64">
        <v>18</v>
      </c>
      <c r="AJ64">
        <v>18</v>
      </c>
      <c r="AK64">
        <v>18</v>
      </c>
      <c r="AL64">
        <v>18</v>
      </c>
      <c r="AM64">
        <v>18</v>
      </c>
      <c r="AN64">
        <v>18</v>
      </c>
      <c r="AO64">
        <v>18</v>
      </c>
      <c r="AP64">
        <v>42</v>
      </c>
      <c r="AQ64">
        <v>38</v>
      </c>
      <c r="AR64">
        <v>5</v>
      </c>
      <c r="AS64">
        <v>28</v>
      </c>
      <c r="AT64">
        <v>48</v>
      </c>
      <c r="AU64">
        <v>21</v>
      </c>
      <c r="AV64">
        <v>59</v>
      </c>
      <c r="AW64">
        <v>45</v>
      </c>
      <c r="AX64">
        <v>37</v>
      </c>
      <c r="AY64">
        <v>30</v>
      </c>
      <c r="AZ64">
        <v>25</v>
      </c>
      <c r="BA64">
        <v>23</v>
      </c>
      <c r="BB64">
        <v>34</v>
      </c>
      <c r="BC64">
        <v>39</v>
      </c>
      <c r="BD64">
        <v>65</v>
      </c>
      <c r="BE64">
        <v>26</v>
      </c>
      <c r="BF64">
        <v>58</v>
      </c>
      <c r="BG64">
        <v>46</v>
      </c>
      <c r="BH64">
        <v>25</v>
      </c>
      <c r="BI64">
        <v>19</v>
      </c>
      <c r="BJ64">
        <v>245467840</v>
      </c>
      <c r="BK64">
        <v>321884128</v>
      </c>
      <c r="BL64">
        <v>4552754.5</v>
      </c>
      <c r="BM64">
        <v>208886384</v>
      </c>
      <c r="BN64">
        <v>707070336</v>
      </c>
      <c r="BO64">
        <v>190371664</v>
      </c>
      <c r="BP64">
        <v>884724992</v>
      </c>
      <c r="BQ64">
        <v>904867520</v>
      </c>
      <c r="BR64">
        <v>320757440</v>
      </c>
      <c r="BS64">
        <v>207855888</v>
      </c>
      <c r="BT64">
        <v>96593864</v>
      </c>
      <c r="BU64">
        <v>192583216</v>
      </c>
      <c r="BV64">
        <v>351880352</v>
      </c>
      <c r="BW64">
        <v>652729984</v>
      </c>
      <c r="BX64">
        <v>1275747968</v>
      </c>
      <c r="BY64">
        <v>212964656</v>
      </c>
      <c r="BZ64">
        <v>1133035648</v>
      </c>
      <c r="CA64">
        <v>1255070208</v>
      </c>
      <c r="CB64">
        <v>215857264</v>
      </c>
      <c r="CC64">
        <v>104349872</v>
      </c>
      <c r="CD64">
        <v>78084944</v>
      </c>
      <c r="CE64">
        <v>225893456</v>
      </c>
      <c r="CF64">
        <v>398253152</v>
      </c>
      <c r="CG64">
        <v>332875232</v>
      </c>
      <c r="CH64">
        <v>816969408</v>
      </c>
      <c r="CI64">
        <v>87085952</v>
      </c>
      <c r="CJ64">
        <v>995993600</v>
      </c>
      <c r="CK64">
        <v>431801984</v>
      </c>
      <c r="CL64">
        <v>375501504</v>
      </c>
      <c r="CM64">
        <v>299085408</v>
      </c>
      <c r="CN64">
        <v>447846496</v>
      </c>
      <c r="CO64">
        <v>163835760</v>
      </c>
      <c r="CP64">
        <v>539567616</v>
      </c>
      <c r="CQ64">
        <v>332907584</v>
      </c>
      <c r="CR64">
        <v>1292683904</v>
      </c>
      <c r="CS64">
        <v>216751968</v>
      </c>
      <c r="CT64">
        <v>1058905664</v>
      </c>
      <c r="CU64">
        <v>688564992</v>
      </c>
      <c r="CV64">
        <v>180347040</v>
      </c>
      <c r="CW64">
        <v>161521488</v>
      </c>
    </row>
    <row r="65" spans="1:101">
      <c r="A65">
        <v>31051</v>
      </c>
      <c r="B65" t="s">
        <v>313</v>
      </c>
      <c r="D65" t="s">
        <v>314</v>
      </c>
      <c r="E65" t="s">
        <v>315</v>
      </c>
      <c r="F65" t="s">
        <v>316</v>
      </c>
      <c r="G65">
        <v>555.95899999999995</v>
      </c>
      <c r="H65" t="s">
        <v>104</v>
      </c>
      <c r="I65">
        <v>2</v>
      </c>
      <c r="J65">
        <v>7</v>
      </c>
      <c r="K65">
        <v>1</v>
      </c>
      <c r="L65">
        <v>0</v>
      </c>
      <c r="M65">
        <v>0</v>
      </c>
      <c r="N65">
        <v>-1</v>
      </c>
      <c r="O65">
        <v>16</v>
      </c>
      <c r="P65">
        <v>16</v>
      </c>
      <c r="Q65">
        <v>16</v>
      </c>
      <c r="R65">
        <v>16</v>
      </c>
      <c r="S65">
        <v>16</v>
      </c>
      <c r="T65">
        <v>16</v>
      </c>
      <c r="U65">
        <v>16</v>
      </c>
      <c r="V65">
        <v>16</v>
      </c>
      <c r="W65">
        <v>15</v>
      </c>
      <c r="X65">
        <v>13</v>
      </c>
      <c r="Y65">
        <v>16</v>
      </c>
      <c r="Z65">
        <v>16</v>
      </c>
      <c r="AA65">
        <v>16</v>
      </c>
      <c r="AB65">
        <v>16</v>
      </c>
      <c r="AC65">
        <v>16</v>
      </c>
      <c r="AD65">
        <v>16</v>
      </c>
      <c r="AE65">
        <v>16</v>
      </c>
      <c r="AF65">
        <v>16</v>
      </c>
      <c r="AG65">
        <v>16</v>
      </c>
      <c r="AH65">
        <v>15</v>
      </c>
      <c r="AI65">
        <v>15</v>
      </c>
      <c r="AJ65">
        <v>16</v>
      </c>
      <c r="AK65">
        <v>16</v>
      </c>
      <c r="AL65">
        <v>14</v>
      </c>
      <c r="AM65">
        <v>16</v>
      </c>
      <c r="AN65">
        <v>16</v>
      </c>
      <c r="AO65">
        <v>16</v>
      </c>
      <c r="AP65">
        <v>21</v>
      </c>
      <c r="AQ65">
        <v>16</v>
      </c>
      <c r="AR65">
        <v>1</v>
      </c>
      <c r="AS65">
        <v>10</v>
      </c>
      <c r="AT65">
        <v>17</v>
      </c>
      <c r="AU65">
        <v>13</v>
      </c>
      <c r="AV65">
        <v>12</v>
      </c>
      <c r="AW65">
        <v>17</v>
      </c>
      <c r="AX65">
        <v>24</v>
      </c>
      <c r="AY65">
        <v>21</v>
      </c>
      <c r="AZ65">
        <v>10</v>
      </c>
      <c r="BA65">
        <v>15</v>
      </c>
      <c r="BB65">
        <v>11</v>
      </c>
      <c r="BC65">
        <v>11</v>
      </c>
      <c r="BD65">
        <v>16</v>
      </c>
      <c r="BE65">
        <v>13</v>
      </c>
      <c r="BF65">
        <v>11</v>
      </c>
      <c r="BG65">
        <v>14</v>
      </c>
      <c r="BH65">
        <v>24</v>
      </c>
      <c r="BI65">
        <v>15</v>
      </c>
      <c r="BJ65">
        <v>92899576</v>
      </c>
      <c r="BK65">
        <v>132707800</v>
      </c>
      <c r="BL65">
        <v>662937.75</v>
      </c>
      <c r="BM65">
        <v>26920580</v>
      </c>
      <c r="BN65">
        <v>127883376</v>
      </c>
      <c r="BO65">
        <v>69217736</v>
      </c>
      <c r="BP65">
        <v>39854364</v>
      </c>
      <c r="BQ65">
        <v>113238624</v>
      </c>
      <c r="BR65">
        <v>116775032</v>
      </c>
      <c r="BS65">
        <v>120373192</v>
      </c>
      <c r="BT65">
        <v>28967620</v>
      </c>
      <c r="BU65">
        <v>111467168</v>
      </c>
      <c r="BV65">
        <v>32917504</v>
      </c>
      <c r="BW65">
        <v>48570028</v>
      </c>
      <c r="BX65">
        <v>98828344</v>
      </c>
      <c r="BY65">
        <v>61420488</v>
      </c>
      <c r="BZ65">
        <v>40621716</v>
      </c>
      <c r="CA65">
        <v>117589216</v>
      </c>
      <c r="CB65">
        <v>93435488</v>
      </c>
      <c r="CC65">
        <v>68710928</v>
      </c>
      <c r="CD65">
        <v>106048400</v>
      </c>
      <c r="CE65">
        <v>76455672</v>
      </c>
      <c r="CF65">
        <v>43060660</v>
      </c>
      <c r="CG65">
        <v>30727578</v>
      </c>
      <c r="CH65">
        <v>98073728</v>
      </c>
      <c r="CI65">
        <v>47527568</v>
      </c>
      <c r="CJ65">
        <v>33036988</v>
      </c>
      <c r="CK65">
        <v>96800992</v>
      </c>
      <c r="CL65">
        <v>123652984</v>
      </c>
      <c r="CM65">
        <v>112649352</v>
      </c>
      <c r="CN65">
        <v>113707152</v>
      </c>
      <c r="CO65">
        <v>87638936</v>
      </c>
      <c r="CP65">
        <v>37257988</v>
      </c>
      <c r="CQ65">
        <v>31155586</v>
      </c>
      <c r="CR65">
        <v>105369448</v>
      </c>
      <c r="CS65">
        <v>50744364</v>
      </c>
      <c r="CT65">
        <v>42936848</v>
      </c>
      <c r="CU65">
        <v>100368440</v>
      </c>
      <c r="CV65">
        <v>115418064</v>
      </c>
      <c r="CW65">
        <v>98728336</v>
      </c>
    </row>
    <row r="66" spans="1:101">
      <c r="A66">
        <v>30919</v>
      </c>
      <c r="B66" t="s">
        <v>317</v>
      </c>
      <c r="D66" t="s">
        <v>318</v>
      </c>
      <c r="F66" t="s">
        <v>319</v>
      </c>
      <c r="G66">
        <v>541.48699999999997</v>
      </c>
      <c r="H66" t="s">
        <v>104</v>
      </c>
      <c r="I66">
        <v>2</v>
      </c>
      <c r="J66">
        <v>20</v>
      </c>
      <c r="K66">
        <v>0</v>
      </c>
      <c r="L66">
        <v>0</v>
      </c>
      <c r="M66">
        <v>0</v>
      </c>
      <c r="N66">
        <v>-1</v>
      </c>
      <c r="O66">
        <v>12</v>
      </c>
      <c r="P66">
        <v>12</v>
      </c>
      <c r="Q66">
        <v>15</v>
      </c>
      <c r="R66">
        <v>15</v>
      </c>
      <c r="S66">
        <v>15</v>
      </c>
      <c r="T66">
        <v>15</v>
      </c>
      <c r="U66">
        <v>15</v>
      </c>
      <c r="V66">
        <v>13</v>
      </c>
      <c r="W66">
        <v>15</v>
      </c>
      <c r="X66">
        <v>7</v>
      </c>
      <c r="Y66">
        <v>15</v>
      </c>
      <c r="Z66">
        <v>15</v>
      </c>
      <c r="AA66">
        <v>15</v>
      </c>
      <c r="AB66">
        <v>15</v>
      </c>
      <c r="AC66">
        <v>15</v>
      </c>
      <c r="AD66">
        <v>15</v>
      </c>
      <c r="AE66">
        <v>15</v>
      </c>
      <c r="AF66">
        <v>15</v>
      </c>
      <c r="AG66">
        <v>15</v>
      </c>
      <c r="AH66">
        <v>15</v>
      </c>
      <c r="AI66">
        <v>15</v>
      </c>
      <c r="AJ66">
        <v>15</v>
      </c>
      <c r="AK66">
        <v>15</v>
      </c>
      <c r="AL66">
        <v>15</v>
      </c>
      <c r="AM66">
        <v>15</v>
      </c>
      <c r="AN66">
        <v>15</v>
      </c>
      <c r="AO66">
        <v>15</v>
      </c>
      <c r="AP66">
        <v>59</v>
      </c>
      <c r="AQ66">
        <v>42</v>
      </c>
      <c r="AR66">
        <v>1</v>
      </c>
      <c r="AS66">
        <v>43</v>
      </c>
      <c r="AT66">
        <v>60</v>
      </c>
      <c r="AU66">
        <v>54</v>
      </c>
      <c r="AV66">
        <v>58</v>
      </c>
      <c r="AW66">
        <v>58</v>
      </c>
      <c r="AX66">
        <v>44</v>
      </c>
      <c r="AY66">
        <v>37</v>
      </c>
      <c r="AZ66">
        <v>29</v>
      </c>
      <c r="BA66">
        <v>30</v>
      </c>
      <c r="BB66">
        <v>42</v>
      </c>
      <c r="BC66">
        <v>45</v>
      </c>
      <c r="BD66">
        <v>56</v>
      </c>
      <c r="BE66">
        <v>46</v>
      </c>
      <c r="BF66">
        <v>48</v>
      </c>
      <c r="BG66">
        <v>57</v>
      </c>
      <c r="BH66">
        <v>41</v>
      </c>
      <c r="BI66">
        <v>17</v>
      </c>
      <c r="BJ66">
        <v>559895168</v>
      </c>
      <c r="BK66">
        <v>604209088</v>
      </c>
      <c r="BL66">
        <v>1670341.88</v>
      </c>
      <c r="BM66">
        <v>305917408</v>
      </c>
      <c r="BN66">
        <v>1007595776</v>
      </c>
      <c r="BO66">
        <v>647837632</v>
      </c>
      <c r="BP66">
        <v>923838912</v>
      </c>
      <c r="BQ66">
        <v>1169064064</v>
      </c>
      <c r="BR66">
        <v>449367520</v>
      </c>
      <c r="BS66">
        <v>349272640</v>
      </c>
      <c r="BT66">
        <v>115234016</v>
      </c>
      <c r="BU66">
        <v>403772288</v>
      </c>
      <c r="BV66">
        <v>532175360</v>
      </c>
      <c r="BW66">
        <v>816542528</v>
      </c>
      <c r="BX66">
        <v>970309312</v>
      </c>
      <c r="BY66">
        <v>508277120</v>
      </c>
      <c r="BZ66">
        <v>770136576</v>
      </c>
      <c r="CA66">
        <v>1132942336</v>
      </c>
      <c r="CB66">
        <v>327742304</v>
      </c>
      <c r="CC66">
        <v>179211568</v>
      </c>
      <c r="CD66">
        <v>531905568</v>
      </c>
      <c r="CE66">
        <v>417074176</v>
      </c>
      <c r="CF66">
        <v>349178176</v>
      </c>
      <c r="CG66">
        <v>375443584</v>
      </c>
      <c r="CH66">
        <v>820537088</v>
      </c>
      <c r="CI66">
        <v>479861504</v>
      </c>
      <c r="CJ66">
        <v>704458496</v>
      </c>
      <c r="CK66">
        <v>738354752</v>
      </c>
      <c r="CL66">
        <v>447214816</v>
      </c>
      <c r="CM66">
        <v>321174688</v>
      </c>
      <c r="CN66">
        <v>612932288</v>
      </c>
      <c r="CO66">
        <v>324228480</v>
      </c>
      <c r="CP66">
        <v>648887296</v>
      </c>
      <c r="CQ66">
        <v>430270656</v>
      </c>
      <c r="CR66">
        <v>887887232</v>
      </c>
      <c r="CS66">
        <v>387228960</v>
      </c>
      <c r="CT66">
        <v>712044544</v>
      </c>
      <c r="CU66">
        <v>747360512</v>
      </c>
      <c r="CV66">
        <v>406936608</v>
      </c>
      <c r="CW66">
        <v>260278624</v>
      </c>
    </row>
    <row r="67" spans="1:101">
      <c r="A67">
        <v>30918</v>
      </c>
      <c r="B67" t="s">
        <v>320</v>
      </c>
      <c r="D67" t="s">
        <v>321</v>
      </c>
      <c r="F67" t="s">
        <v>322</v>
      </c>
      <c r="G67">
        <v>539.23400000000004</v>
      </c>
      <c r="H67" t="s">
        <v>104</v>
      </c>
      <c r="I67">
        <v>2</v>
      </c>
      <c r="J67">
        <v>21</v>
      </c>
      <c r="K67">
        <v>0</v>
      </c>
      <c r="L67">
        <v>0</v>
      </c>
      <c r="M67">
        <v>0</v>
      </c>
      <c r="N67">
        <v>-1</v>
      </c>
      <c r="O67">
        <v>15</v>
      </c>
      <c r="P67">
        <v>15</v>
      </c>
      <c r="Q67">
        <v>17</v>
      </c>
      <c r="R67">
        <v>17</v>
      </c>
      <c r="S67">
        <v>17</v>
      </c>
      <c r="T67">
        <v>17</v>
      </c>
      <c r="U67">
        <v>17</v>
      </c>
      <c r="V67">
        <v>14</v>
      </c>
      <c r="W67">
        <v>16</v>
      </c>
      <c r="X67">
        <v>15</v>
      </c>
      <c r="Y67">
        <v>17</v>
      </c>
      <c r="Z67">
        <v>17</v>
      </c>
      <c r="AA67">
        <v>17</v>
      </c>
      <c r="AB67">
        <v>17</v>
      </c>
      <c r="AC67">
        <v>17</v>
      </c>
      <c r="AD67">
        <v>17</v>
      </c>
      <c r="AE67">
        <v>17</v>
      </c>
      <c r="AF67">
        <v>17</v>
      </c>
      <c r="AG67">
        <v>17</v>
      </c>
      <c r="AH67">
        <v>17</v>
      </c>
      <c r="AI67">
        <v>17</v>
      </c>
      <c r="AJ67">
        <v>17</v>
      </c>
      <c r="AK67">
        <v>17</v>
      </c>
      <c r="AL67">
        <v>17</v>
      </c>
      <c r="AM67">
        <v>17</v>
      </c>
      <c r="AN67">
        <v>17</v>
      </c>
      <c r="AO67">
        <v>17</v>
      </c>
      <c r="AP67">
        <v>85</v>
      </c>
      <c r="AQ67">
        <v>101</v>
      </c>
      <c r="AR67">
        <v>9</v>
      </c>
      <c r="AS67">
        <v>82</v>
      </c>
      <c r="AT67">
        <v>98</v>
      </c>
      <c r="AU67">
        <v>62</v>
      </c>
      <c r="AV67">
        <v>94</v>
      </c>
      <c r="AW67">
        <v>95</v>
      </c>
      <c r="AX67">
        <v>85</v>
      </c>
      <c r="AY67">
        <v>78</v>
      </c>
      <c r="AZ67">
        <v>62</v>
      </c>
      <c r="BA67">
        <v>87</v>
      </c>
      <c r="BB67">
        <v>86</v>
      </c>
      <c r="BC67">
        <v>81</v>
      </c>
      <c r="BD67">
        <v>76</v>
      </c>
      <c r="BE67">
        <v>63</v>
      </c>
      <c r="BF67">
        <v>76</v>
      </c>
      <c r="BG67">
        <v>82</v>
      </c>
      <c r="BH67">
        <v>76</v>
      </c>
      <c r="BI67">
        <v>64</v>
      </c>
      <c r="BJ67">
        <v>2351585024</v>
      </c>
      <c r="BK67">
        <v>3674038272</v>
      </c>
      <c r="BL67">
        <v>18372652</v>
      </c>
      <c r="BM67">
        <v>1685775104</v>
      </c>
      <c r="BN67">
        <v>4252983552</v>
      </c>
      <c r="BO67">
        <v>1895272960</v>
      </c>
      <c r="BP67">
        <v>3358581248</v>
      </c>
      <c r="BQ67">
        <v>3430529792</v>
      </c>
      <c r="BR67">
        <v>1996822528</v>
      </c>
      <c r="BS67">
        <v>1550114816</v>
      </c>
      <c r="BT67">
        <v>719924160</v>
      </c>
      <c r="BU67">
        <v>3570660352</v>
      </c>
      <c r="BV67">
        <v>3024541440</v>
      </c>
      <c r="BW67">
        <v>2631427840</v>
      </c>
      <c r="BX67">
        <v>3348535040</v>
      </c>
      <c r="BY67">
        <v>1620396800</v>
      </c>
      <c r="BZ67">
        <v>2814992640</v>
      </c>
      <c r="CA67">
        <v>4222609920</v>
      </c>
      <c r="CB67">
        <v>1882681728</v>
      </c>
      <c r="CC67">
        <v>960915840</v>
      </c>
      <c r="CD67">
        <v>1456087936</v>
      </c>
      <c r="CE67">
        <v>2356259328</v>
      </c>
      <c r="CF67">
        <v>2053669504</v>
      </c>
      <c r="CG67">
        <v>2330985472</v>
      </c>
      <c r="CH67">
        <v>3346781440</v>
      </c>
      <c r="CI67">
        <v>1916084480</v>
      </c>
      <c r="CJ67">
        <v>2535693312</v>
      </c>
      <c r="CK67">
        <v>3329159424</v>
      </c>
      <c r="CL67">
        <v>1456087936</v>
      </c>
      <c r="CM67">
        <v>2288176128</v>
      </c>
      <c r="CN67">
        <v>1929784448</v>
      </c>
      <c r="CO67">
        <v>2915380224</v>
      </c>
      <c r="CP67">
        <v>2575587072</v>
      </c>
      <c r="CQ67">
        <v>1229819776</v>
      </c>
      <c r="CR67">
        <v>2294246144</v>
      </c>
      <c r="CS67">
        <v>2037958912</v>
      </c>
      <c r="CT67">
        <v>1764762624</v>
      </c>
      <c r="CU67">
        <v>1979467904</v>
      </c>
      <c r="CV67">
        <v>1549723648</v>
      </c>
      <c r="CW67">
        <v>2121969152</v>
      </c>
    </row>
    <row r="68" spans="1:101">
      <c r="A68">
        <v>31134</v>
      </c>
      <c r="B68" t="s">
        <v>323</v>
      </c>
      <c r="D68" t="s">
        <v>323</v>
      </c>
      <c r="E68" t="s">
        <v>324</v>
      </c>
      <c r="F68" t="s">
        <v>325</v>
      </c>
      <c r="G68">
        <v>517.52499999999998</v>
      </c>
      <c r="H68" t="s">
        <v>104</v>
      </c>
      <c r="I68">
        <v>2</v>
      </c>
      <c r="J68">
        <v>1</v>
      </c>
      <c r="K68">
        <v>1</v>
      </c>
      <c r="L68">
        <v>0</v>
      </c>
      <c r="M68">
        <v>0</v>
      </c>
      <c r="N68">
        <v>-1</v>
      </c>
      <c r="O68">
        <v>13</v>
      </c>
      <c r="P68">
        <v>3</v>
      </c>
      <c r="Q68">
        <v>15</v>
      </c>
      <c r="R68">
        <v>3</v>
      </c>
      <c r="S68">
        <v>15</v>
      </c>
      <c r="T68">
        <v>3</v>
      </c>
      <c r="U68">
        <v>3</v>
      </c>
      <c r="V68">
        <v>2</v>
      </c>
      <c r="W68">
        <v>3</v>
      </c>
      <c r="X68">
        <v>1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0</v>
      </c>
      <c r="AS68">
        <v>4</v>
      </c>
      <c r="AT68">
        <v>3</v>
      </c>
      <c r="AU68">
        <v>4</v>
      </c>
      <c r="AV68">
        <v>4</v>
      </c>
      <c r="AW68">
        <v>3</v>
      </c>
      <c r="AX68">
        <v>6</v>
      </c>
      <c r="AY68">
        <v>6</v>
      </c>
      <c r="AZ68">
        <v>3</v>
      </c>
      <c r="BA68">
        <v>4</v>
      </c>
      <c r="BB68">
        <v>2</v>
      </c>
      <c r="BC68">
        <v>4</v>
      </c>
      <c r="BD68">
        <v>3</v>
      </c>
      <c r="BE68">
        <v>4</v>
      </c>
      <c r="BF68">
        <v>4</v>
      </c>
      <c r="BG68">
        <v>3</v>
      </c>
      <c r="BH68">
        <v>6</v>
      </c>
      <c r="BI68">
        <v>5</v>
      </c>
      <c r="BJ68">
        <v>51852684</v>
      </c>
      <c r="BK68">
        <v>98533752</v>
      </c>
      <c r="BL68">
        <v>552442.38</v>
      </c>
      <c r="BM68">
        <v>54829304</v>
      </c>
      <c r="BN68">
        <v>61614400</v>
      </c>
      <c r="BO68">
        <v>71159296</v>
      </c>
      <c r="BP68">
        <v>70762408</v>
      </c>
      <c r="BQ68">
        <v>47051004</v>
      </c>
      <c r="BR68">
        <v>102481464</v>
      </c>
      <c r="BS68">
        <v>80703888</v>
      </c>
      <c r="BT68">
        <v>11232729</v>
      </c>
      <c r="BU68">
        <v>77884728</v>
      </c>
      <c r="BV68">
        <v>42488504</v>
      </c>
      <c r="BW68">
        <v>123582704</v>
      </c>
      <c r="BX68">
        <v>46751828</v>
      </c>
      <c r="BY68">
        <v>58841172</v>
      </c>
      <c r="BZ68">
        <v>59262456</v>
      </c>
      <c r="CA68">
        <v>52821924</v>
      </c>
      <c r="CB68">
        <v>67529104</v>
      </c>
      <c r="CC68">
        <v>67693728</v>
      </c>
      <c r="CD68">
        <v>19242500</v>
      </c>
      <c r="CE68">
        <v>13627275</v>
      </c>
      <c r="CF68">
        <v>8390496</v>
      </c>
      <c r="CG68">
        <v>22879292</v>
      </c>
      <c r="CH68">
        <v>15000945</v>
      </c>
      <c r="CI68">
        <v>13006296</v>
      </c>
      <c r="CJ68">
        <v>15353310</v>
      </c>
      <c r="CK68">
        <v>11080019</v>
      </c>
      <c r="CL68">
        <v>43060076</v>
      </c>
      <c r="CM68">
        <v>21145468</v>
      </c>
      <c r="CN68">
        <v>16493165</v>
      </c>
      <c r="CO68">
        <v>17119976</v>
      </c>
      <c r="CP68">
        <v>11441273</v>
      </c>
      <c r="CQ68">
        <v>18713276</v>
      </c>
      <c r="CR68">
        <v>13624909</v>
      </c>
      <c r="CS68">
        <v>9499225</v>
      </c>
      <c r="CT68">
        <v>18370520</v>
      </c>
      <c r="CU68">
        <v>10475346</v>
      </c>
      <c r="CV68">
        <v>25648552</v>
      </c>
      <c r="CW68">
        <v>29744674</v>
      </c>
    </row>
    <row r="69" spans="1:101">
      <c r="A69">
        <v>30951</v>
      </c>
      <c r="B69" t="s">
        <v>326</v>
      </c>
      <c r="D69" t="s">
        <v>327</v>
      </c>
      <c r="E69" t="s">
        <v>328</v>
      </c>
      <c r="F69" t="s">
        <v>329</v>
      </c>
      <c r="G69">
        <v>508.279</v>
      </c>
      <c r="H69" t="s">
        <v>104</v>
      </c>
      <c r="I69">
        <v>2</v>
      </c>
      <c r="J69">
        <v>8</v>
      </c>
      <c r="K69">
        <v>13</v>
      </c>
      <c r="L69">
        <v>0</v>
      </c>
      <c r="M69">
        <v>0</v>
      </c>
      <c r="N69">
        <v>-1</v>
      </c>
      <c r="O69">
        <v>13</v>
      </c>
      <c r="P69">
        <v>13</v>
      </c>
      <c r="Q69">
        <v>13</v>
      </c>
      <c r="R69">
        <v>13</v>
      </c>
      <c r="S69">
        <v>13</v>
      </c>
      <c r="T69">
        <v>13</v>
      </c>
      <c r="U69">
        <v>13</v>
      </c>
      <c r="V69">
        <v>13</v>
      </c>
      <c r="W69">
        <v>11</v>
      </c>
      <c r="X69">
        <v>4</v>
      </c>
      <c r="Y69">
        <v>12</v>
      </c>
      <c r="Z69">
        <v>12</v>
      </c>
      <c r="AA69">
        <v>12</v>
      </c>
      <c r="AB69">
        <v>12</v>
      </c>
      <c r="AC69">
        <v>13</v>
      </c>
      <c r="AD69">
        <v>12</v>
      </c>
      <c r="AE69">
        <v>12</v>
      </c>
      <c r="AF69">
        <v>12</v>
      </c>
      <c r="AG69">
        <v>12</v>
      </c>
      <c r="AH69">
        <v>12</v>
      </c>
      <c r="AI69">
        <v>12</v>
      </c>
      <c r="AJ69">
        <v>12</v>
      </c>
      <c r="AK69">
        <v>12</v>
      </c>
      <c r="AL69">
        <v>12</v>
      </c>
      <c r="AM69">
        <v>12</v>
      </c>
      <c r="AN69">
        <v>13</v>
      </c>
      <c r="AO69">
        <v>13</v>
      </c>
      <c r="AP69">
        <v>13</v>
      </c>
      <c r="AQ69">
        <v>11</v>
      </c>
      <c r="AR69">
        <v>0</v>
      </c>
      <c r="AS69">
        <v>10</v>
      </c>
      <c r="AT69">
        <v>16</v>
      </c>
      <c r="AU69">
        <v>13</v>
      </c>
      <c r="AV69">
        <v>10</v>
      </c>
      <c r="AW69">
        <v>15</v>
      </c>
      <c r="AX69">
        <v>13</v>
      </c>
      <c r="AY69">
        <v>16</v>
      </c>
      <c r="AZ69">
        <v>5</v>
      </c>
      <c r="BA69">
        <v>12</v>
      </c>
      <c r="BB69">
        <v>10</v>
      </c>
      <c r="BC69">
        <v>8</v>
      </c>
      <c r="BD69">
        <v>11</v>
      </c>
      <c r="BE69">
        <v>10</v>
      </c>
      <c r="BF69">
        <v>8</v>
      </c>
      <c r="BG69">
        <v>13</v>
      </c>
      <c r="BH69">
        <v>11</v>
      </c>
      <c r="BI69">
        <v>10</v>
      </c>
      <c r="BJ69">
        <v>43127440</v>
      </c>
      <c r="BK69">
        <v>82981360</v>
      </c>
      <c r="BL69">
        <v>181885.92</v>
      </c>
      <c r="BM69">
        <v>16974124</v>
      </c>
      <c r="BN69">
        <v>82694592</v>
      </c>
      <c r="BO69">
        <v>44952032</v>
      </c>
      <c r="BP69">
        <v>35771592</v>
      </c>
      <c r="BQ69">
        <v>71385888</v>
      </c>
      <c r="BR69">
        <v>65477312</v>
      </c>
      <c r="BS69">
        <v>78219384</v>
      </c>
      <c r="BT69">
        <v>11318139</v>
      </c>
      <c r="BU69">
        <v>62009840</v>
      </c>
      <c r="BV69">
        <v>31137290</v>
      </c>
      <c r="BW69">
        <v>32019290</v>
      </c>
      <c r="BX69">
        <v>64371532</v>
      </c>
      <c r="BY69">
        <v>36030024</v>
      </c>
      <c r="BZ69">
        <v>25039874</v>
      </c>
      <c r="CA69">
        <v>67802208</v>
      </c>
      <c r="CB69">
        <v>52073676</v>
      </c>
      <c r="CC69">
        <v>55850084</v>
      </c>
      <c r="CD69">
        <v>47262776</v>
      </c>
      <c r="CE69">
        <v>50099924</v>
      </c>
      <c r="CF69">
        <v>14686180</v>
      </c>
      <c r="CG69">
        <v>18952932</v>
      </c>
      <c r="CH69">
        <v>65326796</v>
      </c>
      <c r="CI69">
        <v>29600882</v>
      </c>
      <c r="CJ69">
        <v>27106156</v>
      </c>
      <c r="CK69">
        <v>63863308</v>
      </c>
      <c r="CL69">
        <v>68800792</v>
      </c>
      <c r="CM69">
        <v>70362656</v>
      </c>
      <c r="CN69">
        <v>44907780</v>
      </c>
      <c r="CO69">
        <v>47366632</v>
      </c>
      <c r="CP69">
        <v>32677566</v>
      </c>
      <c r="CQ69">
        <v>18989378</v>
      </c>
      <c r="CR69">
        <v>62700916</v>
      </c>
      <c r="CS69">
        <v>28281666</v>
      </c>
      <c r="CT69">
        <v>24994632</v>
      </c>
      <c r="CU69">
        <v>50736660</v>
      </c>
      <c r="CV69">
        <v>56460352</v>
      </c>
      <c r="CW69">
        <v>84957112</v>
      </c>
    </row>
    <row r="70" spans="1:101">
      <c r="A70">
        <v>30949</v>
      </c>
      <c r="B70" t="s">
        <v>330</v>
      </c>
      <c r="D70" t="s">
        <v>331</v>
      </c>
      <c r="E70" t="s">
        <v>332</v>
      </c>
      <c r="F70" t="s">
        <v>333</v>
      </c>
      <c r="G70">
        <v>502.93299999999999</v>
      </c>
      <c r="H70" t="s">
        <v>104</v>
      </c>
      <c r="I70">
        <v>2</v>
      </c>
      <c r="J70">
        <v>4</v>
      </c>
      <c r="K70">
        <v>17</v>
      </c>
      <c r="L70">
        <v>0</v>
      </c>
      <c r="M70">
        <v>0</v>
      </c>
      <c r="N70">
        <v>-1</v>
      </c>
      <c r="O70">
        <v>20</v>
      </c>
      <c r="P70">
        <v>20</v>
      </c>
      <c r="Q70">
        <v>20</v>
      </c>
      <c r="R70">
        <v>20</v>
      </c>
      <c r="S70">
        <v>20</v>
      </c>
      <c r="T70">
        <v>20</v>
      </c>
      <c r="U70">
        <v>20</v>
      </c>
      <c r="V70">
        <v>19</v>
      </c>
      <c r="W70">
        <v>17</v>
      </c>
      <c r="X70">
        <v>4</v>
      </c>
      <c r="Y70">
        <v>16</v>
      </c>
      <c r="Z70">
        <v>19</v>
      </c>
      <c r="AA70">
        <v>17</v>
      </c>
      <c r="AB70">
        <v>20</v>
      </c>
      <c r="AC70">
        <v>19</v>
      </c>
      <c r="AD70">
        <v>20</v>
      </c>
      <c r="AE70">
        <v>20</v>
      </c>
      <c r="AF70">
        <v>20</v>
      </c>
      <c r="AG70">
        <v>17</v>
      </c>
      <c r="AH70">
        <v>18</v>
      </c>
      <c r="AI70">
        <v>15</v>
      </c>
      <c r="AJ70">
        <v>20</v>
      </c>
      <c r="AK70">
        <v>18</v>
      </c>
      <c r="AL70">
        <v>19</v>
      </c>
      <c r="AM70">
        <v>20</v>
      </c>
      <c r="AN70">
        <v>20</v>
      </c>
      <c r="AO70">
        <v>19</v>
      </c>
      <c r="AP70">
        <v>21</v>
      </c>
      <c r="AQ70">
        <v>11</v>
      </c>
      <c r="AR70">
        <v>0</v>
      </c>
      <c r="AS70">
        <v>4</v>
      </c>
      <c r="AT70">
        <v>13</v>
      </c>
      <c r="AU70">
        <v>10</v>
      </c>
      <c r="AV70">
        <v>14</v>
      </c>
      <c r="AW70">
        <v>9</v>
      </c>
      <c r="AX70">
        <v>14</v>
      </c>
      <c r="AY70">
        <v>11</v>
      </c>
      <c r="AZ70">
        <v>9</v>
      </c>
      <c r="BA70">
        <v>8</v>
      </c>
      <c r="BB70">
        <v>10</v>
      </c>
      <c r="BC70">
        <v>3</v>
      </c>
      <c r="BD70">
        <v>13</v>
      </c>
      <c r="BE70">
        <v>7</v>
      </c>
      <c r="BF70">
        <v>8</v>
      </c>
      <c r="BG70">
        <v>9</v>
      </c>
      <c r="BH70">
        <v>12</v>
      </c>
      <c r="BI70">
        <v>6</v>
      </c>
      <c r="BJ70">
        <v>48513716</v>
      </c>
      <c r="BK70">
        <v>23878116</v>
      </c>
      <c r="BL70">
        <v>185574.88</v>
      </c>
      <c r="BM70">
        <v>4925078</v>
      </c>
      <c r="BN70">
        <v>32138104</v>
      </c>
      <c r="BO70">
        <v>14359791</v>
      </c>
      <c r="BP70">
        <v>22764756</v>
      </c>
      <c r="BQ70">
        <v>18394916</v>
      </c>
      <c r="BR70">
        <v>23764730</v>
      </c>
      <c r="BS70">
        <v>18074442</v>
      </c>
      <c r="BT70">
        <v>13000860</v>
      </c>
      <c r="BU70">
        <v>13277553</v>
      </c>
      <c r="BV70">
        <v>16379006</v>
      </c>
      <c r="BW70">
        <v>8022834.5</v>
      </c>
      <c r="BX70">
        <v>31006814</v>
      </c>
      <c r="BY70">
        <v>11486808</v>
      </c>
      <c r="BZ70">
        <v>19725776</v>
      </c>
      <c r="CA70">
        <v>19293962</v>
      </c>
      <c r="CB70">
        <v>16937812</v>
      </c>
      <c r="CC70">
        <v>15409644</v>
      </c>
      <c r="CD70">
        <v>57376536</v>
      </c>
      <c r="CE70">
        <v>13968824</v>
      </c>
      <c r="CF70">
        <v>21470878</v>
      </c>
      <c r="CG70">
        <v>5606121</v>
      </c>
      <c r="CH70">
        <v>24592512</v>
      </c>
      <c r="CI70">
        <v>8913547</v>
      </c>
      <c r="CJ70">
        <v>18928290</v>
      </c>
      <c r="CK70">
        <v>15229958</v>
      </c>
      <c r="CL70">
        <v>23121932</v>
      </c>
      <c r="CM70">
        <v>14214790</v>
      </c>
      <c r="CN70">
        <v>48512892</v>
      </c>
      <c r="CO70">
        <v>8340691</v>
      </c>
      <c r="CP70">
        <v>17832154</v>
      </c>
      <c r="CQ70">
        <v>4257726.5</v>
      </c>
      <c r="CR70">
        <v>29576044</v>
      </c>
      <c r="CS70">
        <v>8990916</v>
      </c>
      <c r="CT70">
        <v>17574964</v>
      </c>
      <c r="CU70">
        <v>14079722</v>
      </c>
      <c r="CV70">
        <v>18428746</v>
      </c>
      <c r="CW70">
        <v>16657822</v>
      </c>
    </row>
    <row r="71" spans="1:101">
      <c r="A71">
        <v>31049</v>
      </c>
      <c r="B71" t="s">
        <v>334</v>
      </c>
      <c r="D71" t="s">
        <v>335</v>
      </c>
      <c r="F71" t="s">
        <v>336</v>
      </c>
      <c r="G71">
        <v>483.99700000000001</v>
      </c>
      <c r="H71" t="s">
        <v>104</v>
      </c>
      <c r="I71">
        <v>2</v>
      </c>
      <c r="J71">
        <v>5</v>
      </c>
      <c r="K71">
        <v>0</v>
      </c>
      <c r="L71">
        <v>0</v>
      </c>
      <c r="M71">
        <v>0</v>
      </c>
      <c r="N71">
        <v>-1</v>
      </c>
      <c r="O71">
        <v>17</v>
      </c>
      <c r="P71">
        <v>17</v>
      </c>
      <c r="Q71">
        <v>17</v>
      </c>
      <c r="R71">
        <v>17</v>
      </c>
      <c r="S71">
        <v>17</v>
      </c>
      <c r="T71">
        <v>17</v>
      </c>
      <c r="U71">
        <v>17</v>
      </c>
      <c r="V71">
        <v>10</v>
      </c>
      <c r="W71">
        <v>15</v>
      </c>
      <c r="X71">
        <v>13</v>
      </c>
      <c r="Y71">
        <v>17</v>
      </c>
      <c r="Z71">
        <v>17</v>
      </c>
      <c r="AA71">
        <v>16</v>
      </c>
      <c r="AB71">
        <v>17</v>
      </c>
      <c r="AC71">
        <v>17</v>
      </c>
      <c r="AD71">
        <v>17</v>
      </c>
      <c r="AE71">
        <v>17</v>
      </c>
      <c r="AF71">
        <v>17</v>
      </c>
      <c r="AG71">
        <v>17</v>
      </c>
      <c r="AH71">
        <v>17</v>
      </c>
      <c r="AI71">
        <v>17</v>
      </c>
      <c r="AJ71">
        <v>17</v>
      </c>
      <c r="AK71">
        <v>17</v>
      </c>
      <c r="AL71">
        <v>17</v>
      </c>
      <c r="AM71">
        <v>17</v>
      </c>
      <c r="AN71">
        <v>17</v>
      </c>
      <c r="AO71">
        <v>17</v>
      </c>
      <c r="AP71">
        <v>21</v>
      </c>
      <c r="AQ71">
        <v>48</v>
      </c>
      <c r="AR71">
        <v>21</v>
      </c>
      <c r="AS71">
        <v>41</v>
      </c>
      <c r="AT71">
        <v>75</v>
      </c>
      <c r="AU71">
        <v>36</v>
      </c>
      <c r="AV71">
        <v>77</v>
      </c>
      <c r="AW71">
        <v>59</v>
      </c>
      <c r="AX71">
        <v>50</v>
      </c>
      <c r="AY71">
        <v>47</v>
      </c>
      <c r="AZ71">
        <v>25</v>
      </c>
      <c r="BA71">
        <v>37</v>
      </c>
      <c r="BB71">
        <v>41</v>
      </c>
      <c r="BC71">
        <v>39</v>
      </c>
      <c r="BD71">
        <v>89</v>
      </c>
      <c r="BE71">
        <v>48</v>
      </c>
      <c r="BF71">
        <v>98</v>
      </c>
      <c r="BG71">
        <v>67</v>
      </c>
      <c r="BH71">
        <v>32</v>
      </c>
      <c r="BI71">
        <v>28</v>
      </c>
      <c r="BJ71">
        <v>43887564</v>
      </c>
      <c r="BK71">
        <v>152028048</v>
      </c>
      <c r="BL71">
        <v>6968298</v>
      </c>
      <c r="BM71">
        <v>106602632</v>
      </c>
      <c r="BN71">
        <v>445787552</v>
      </c>
      <c r="BO71">
        <v>68695728</v>
      </c>
      <c r="BP71">
        <v>472022720</v>
      </c>
      <c r="BQ71">
        <v>301576576</v>
      </c>
      <c r="BR71">
        <v>114896792</v>
      </c>
      <c r="BS71">
        <v>92516256</v>
      </c>
      <c r="BT71">
        <v>40017984</v>
      </c>
      <c r="BU71">
        <v>97601296</v>
      </c>
      <c r="BV71">
        <v>194385344</v>
      </c>
      <c r="BW71">
        <v>210012704</v>
      </c>
      <c r="BX71">
        <v>717690304</v>
      </c>
      <c r="BY71">
        <v>71587472</v>
      </c>
      <c r="BZ71">
        <v>816035392</v>
      </c>
      <c r="CA71">
        <v>351267456</v>
      </c>
      <c r="CB71">
        <v>76959736</v>
      </c>
      <c r="CC71">
        <v>33645244</v>
      </c>
      <c r="CD71">
        <v>5858062</v>
      </c>
      <c r="CE71">
        <v>120960176</v>
      </c>
      <c r="CF71">
        <v>295211584</v>
      </c>
      <c r="CG71">
        <v>209051712</v>
      </c>
      <c r="CH71">
        <v>502548480</v>
      </c>
      <c r="CI71">
        <v>25010608</v>
      </c>
      <c r="CJ71">
        <v>408832448</v>
      </c>
      <c r="CK71">
        <v>155327504</v>
      </c>
      <c r="CL71">
        <v>134347776</v>
      </c>
      <c r="CM71">
        <v>149581520</v>
      </c>
      <c r="CN71">
        <v>170553200</v>
      </c>
      <c r="CO71">
        <v>116915880</v>
      </c>
      <c r="CP71">
        <v>315396960</v>
      </c>
      <c r="CQ71">
        <v>130330304</v>
      </c>
      <c r="CR71">
        <v>688976960</v>
      </c>
      <c r="CS71">
        <v>106472952</v>
      </c>
      <c r="CT71">
        <v>769405184</v>
      </c>
      <c r="CU71">
        <v>289893344</v>
      </c>
      <c r="CV71">
        <v>72408216</v>
      </c>
      <c r="CW71">
        <v>72550888</v>
      </c>
    </row>
    <row r="72" spans="1:101">
      <c r="A72">
        <v>30946</v>
      </c>
      <c r="B72" t="s">
        <v>337</v>
      </c>
      <c r="D72" t="s">
        <v>338</v>
      </c>
      <c r="E72" t="s">
        <v>339</v>
      </c>
      <c r="F72" t="s">
        <v>340</v>
      </c>
      <c r="G72">
        <v>476.89699999999999</v>
      </c>
      <c r="H72" t="s">
        <v>104</v>
      </c>
      <c r="I72">
        <v>2</v>
      </c>
      <c r="J72">
        <v>15</v>
      </c>
      <c r="K72">
        <v>6</v>
      </c>
      <c r="L72">
        <v>0</v>
      </c>
      <c r="M72">
        <v>0</v>
      </c>
      <c r="N72">
        <v>-1</v>
      </c>
      <c r="O72">
        <v>19</v>
      </c>
      <c r="P72">
        <v>19</v>
      </c>
      <c r="Q72">
        <v>19</v>
      </c>
      <c r="R72">
        <v>19</v>
      </c>
      <c r="S72">
        <v>19</v>
      </c>
      <c r="T72">
        <v>19</v>
      </c>
      <c r="U72">
        <v>19</v>
      </c>
      <c r="V72">
        <v>19</v>
      </c>
      <c r="W72">
        <v>19</v>
      </c>
      <c r="X72">
        <v>4</v>
      </c>
      <c r="Y72">
        <v>18</v>
      </c>
      <c r="Z72">
        <v>19</v>
      </c>
      <c r="AA72">
        <v>19</v>
      </c>
      <c r="AB72">
        <v>19</v>
      </c>
      <c r="AC72">
        <v>19</v>
      </c>
      <c r="AD72">
        <v>19</v>
      </c>
      <c r="AE72">
        <v>19</v>
      </c>
      <c r="AF72">
        <v>19</v>
      </c>
      <c r="AG72">
        <v>19</v>
      </c>
      <c r="AH72">
        <v>19</v>
      </c>
      <c r="AI72">
        <v>19</v>
      </c>
      <c r="AJ72">
        <v>19</v>
      </c>
      <c r="AK72">
        <v>19</v>
      </c>
      <c r="AL72">
        <v>18</v>
      </c>
      <c r="AM72">
        <v>19</v>
      </c>
      <c r="AN72">
        <v>19</v>
      </c>
      <c r="AO72">
        <v>19</v>
      </c>
      <c r="AP72">
        <v>23</v>
      </c>
      <c r="AQ72">
        <v>16</v>
      </c>
      <c r="AR72">
        <v>0</v>
      </c>
      <c r="AS72">
        <v>6</v>
      </c>
      <c r="AT72">
        <v>17</v>
      </c>
      <c r="AU72">
        <v>13</v>
      </c>
      <c r="AV72">
        <v>8</v>
      </c>
      <c r="AW72">
        <v>16</v>
      </c>
      <c r="AX72">
        <v>12</v>
      </c>
      <c r="AY72">
        <v>17</v>
      </c>
      <c r="AZ72">
        <v>8</v>
      </c>
      <c r="BA72">
        <v>11</v>
      </c>
      <c r="BB72">
        <v>2</v>
      </c>
      <c r="BC72">
        <v>9</v>
      </c>
      <c r="BD72">
        <v>13</v>
      </c>
      <c r="BE72">
        <v>12</v>
      </c>
      <c r="BF72">
        <v>5</v>
      </c>
      <c r="BG72">
        <v>19</v>
      </c>
      <c r="BH72">
        <v>16</v>
      </c>
      <c r="BI72">
        <v>14</v>
      </c>
      <c r="BJ72">
        <v>34033360</v>
      </c>
      <c r="BK72">
        <v>39492496</v>
      </c>
      <c r="BL72">
        <v>129777.96</v>
      </c>
      <c r="BM72">
        <v>8745753</v>
      </c>
      <c r="BN72">
        <v>38254012</v>
      </c>
      <c r="BO72">
        <v>23680588</v>
      </c>
      <c r="BP72">
        <v>15903723</v>
      </c>
      <c r="BQ72">
        <v>36610016</v>
      </c>
      <c r="BR72">
        <v>28296392</v>
      </c>
      <c r="BS72">
        <v>30146184</v>
      </c>
      <c r="BT72">
        <v>9074764</v>
      </c>
      <c r="BU72">
        <v>32823080</v>
      </c>
      <c r="BV72">
        <v>10353016</v>
      </c>
      <c r="BW72">
        <v>19050028</v>
      </c>
      <c r="BX72">
        <v>30069566</v>
      </c>
      <c r="BY72">
        <v>20059428</v>
      </c>
      <c r="BZ72">
        <v>13271190</v>
      </c>
      <c r="CA72">
        <v>55496960</v>
      </c>
      <c r="CB72">
        <v>26142690</v>
      </c>
      <c r="CC72">
        <v>20205424</v>
      </c>
      <c r="CD72">
        <v>35781804</v>
      </c>
      <c r="CE72">
        <v>22635904</v>
      </c>
      <c r="CF72">
        <v>13193550</v>
      </c>
      <c r="CG72">
        <v>9164240</v>
      </c>
      <c r="CH72">
        <v>30602098</v>
      </c>
      <c r="CI72">
        <v>15261266</v>
      </c>
      <c r="CJ72">
        <v>11577146</v>
      </c>
      <c r="CK72">
        <v>32555626</v>
      </c>
      <c r="CL72">
        <v>28926268</v>
      </c>
      <c r="CM72">
        <v>26850738</v>
      </c>
      <c r="CN72">
        <v>32761578</v>
      </c>
      <c r="CO72">
        <v>24041534</v>
      </c>
      <c r="CP72">
        <v>10729183</v>
      </c>
      <c r="CQ72">
        <v>11153808</v>
      </c>
      <c r="CR72">
        <v>29194992</v>
      </c>
      <c r="CS72">
        <v>14820506</v>
      </c>
      <c r="CT72">
        <v>13271607</v>
      </c>
      <c r="CU72">
        <v>39350252</v>
      </c>
      <c r="CV72">
        <v>31727552</v>
      </c>
      <c r="CW72">
        <v>28336506</v>
      </c>
    </row>
    <row r="73" spans="1:101">
      <c r="A73">
        <v>31016</v>
      </c>
      <c r="B73" t="s">
        <v>341</v>
      </c>
      <c r="D73" t="s">
        <v>341</v>
      </c>
      <c r="E73" t="s">
        <v>342</v>
      </c>
      <c r="F73" t="s">
        <v>343</v>
      </c>
      <c r="G73">
        <v>473.435</v>
      </c>
      <c r="H73" t="s">
        <v>104</v>
      </c>
      <c r="I73">
        <v>2</v>
      </c>
      <c r="J73">
        <v>1</v>
      </c>
      <c r="K73">
        <v>1</v>
      </c>
      <c r="L73">
        <v>0</v>
      </c>
      <c r="M73">
        <v>0</v>
      </c>
      <c r="N73">
        <v>-1</v>
      </c>
      <c r="O73">
        <v>11</v>
      </c>
      <c r="P73">
        <v>11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11</v>
      </c>
      <c r="W73">
        <v>12</v>
      </c>
      <c r="X73">
        <v>11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11</v>
      </c>
      <c r="AP73">
        <v>19</v>
      </c>
      <c r="AQ73">
        <v>33</v>
      </c>
      <c r="AR73">
        <v>4</v>
      </c>
      <c r="AS73">
        <v>19</v>
      </c>
      <c r="AT73">
        <v>11</v>
      </c>
      <c r="AU73">
        <v>22</v>
      </c>
      <c r="AV73">
        <v>8</v>
      </c>
      <c r="AW73">
        <v>24</v>
      </c>
      <c r="AX73">
        <v>11</v>
      </c>
      <c r="AY73">
        <v>18</v>
      </c>
      <c r="AZ73">
        <v>9</v>
      </c>
      <c r="BA73">
        <v>27</v>
      </c>
      <c r="BB73">
        <v>14</v>
      </c>
      <c r="BC73">
        <v>16</v>
      </c>
      <c r="BD73">
        <v>9</v>
      </c>
      <c r="BE73">
        <v>20</v>
      </c>
      <c r="BF73">
        <v>9</v>
      </c>
      <c r="BG73">
        <v>25</v>
      </c>
      <c r="BH73">
        <v>9</v>
      </c>
      <c r="BI73">
        <v>14</v>
      </c>
      <c r="BJ73">
        <v>116002432</v>
      </c>
      <c r="BK73">
        <v>361385088</v>
      </c>
      <c r="BL73">
        <v>3095702</v>
      </c>
      <c r="BM73">
        <v>105229216</v>
      </c>
      <c r="BN73">
        <v>82103304</v>
      </c>
      <c r="BO73">
        <v>248187056</v>
      </c>
      <c r="BP73">
        <v>68689880</v>
      </c>
      <c r="BQ73">
        <v>336479232</v>
      </c>
      <c r="BR73">
        <v>53769756</v>
      </c>
      <c r="BS73">
        <v>152637968</v>
      </c>
      <c r="BT73">
        <v>27586936</v>
      </c>
      <c r="BU73">
        <v>338496704</v>
      </c>
      <c r="BV73">
        <v>129504568</v>
      </c>
      <c r="BW73">
        <v>143420592</v>
      </c>
      <c r="BX73">
        <v>75999264</v>
      </c>
      <c r="BY73">
        <v>273392288</v>
      </c>
      <c r="BZ73">
        <v>47495824</v>
      </c>
      <c r="CA73">
        <v>293115584</v>
      </c>
      <c r="CB73">
        <v>46040432</v>
      </c>
      <c r="CC73">
        <v>105062984</v>
      </c>
      <c r="CD73">
        <v>102319064</v>
      </c>
      <c r="CE73">
        <v>254565408</v>
      </c>
      <c r="CF73">
        <v>113607560</v>
      </c>
      <c r="CG73">
        <v>141698128</v>
      </c>
      <c r="CH73">
        <v>75999992</v>
      </c>
      <c r="CI73">
        <v>177405104</v>
      </c>
      <c r="CJ73">
        <v>55613428</v>
      </c>
      <c r="CK73">
        <v>329435072</v>
      </c>
      <c r="CL73">
        <v>63612048</v>
      </c>
      <c r="CM73">
        <v>149581920</v>
      </c>
      <c r="CN73">
        <v>117251368</v>
      </c>
      <c r="CO73">
        <v>288342816</v>
      </c>
      <c r="CP73">
        <v>159778336</v>
      </c>
      <c r="CQ73">
        <v>127852248</v>
      </c>
      <c r="CR73">
        <v>92483848</v>
      </c>
      <c r="CS73">
        <v>226332720</v>
      </c>
      <c r="CT73">
        <v>59964100</v>
      </c>
      <c r="CU73">
        <v>306698880</v>
      </c>
      <c r="CV73">
        <v>61380796</v>
      </c>
      <c r="CW73">
        <v>126882832</v>
      </c>
    </row>
    <row r="74" spans="1:101">
      <c r="A74">
        <v>31073</v>
      </c>
      <c r="B74" t="s">
        <v>344</v>
      </c>
      <c r="D74" t="s">
        <v>345</v>
      </c>
      <c r="F74" t="s">
        <v>346</v>
      </c>
      <c r="G74">
        <v>466.03</v>
      </c>
      <c r="H74" t="s">
        <v>104</v>
      </c>
      <c r="I74">
        <v>2</v>
      </c>
      <c r="J74">
        <v>21</v>
      </c>
      <c r="K74">
        <v>0</v>
      </c>
      <c r="L74">
        <v>0</v>
      </c>
      <c r="M74">
        <v>0</v>
      </c>
      <c r="N74">
        <v>-1</v>
      </c>
      <c r="O74">
        <v>8</v>
      </c>
      <c r="P74">
        <v>8</v>
      </c>
      <c r="Q74">
        <v>9</v>
      </c>
      <c r="R74">
        <v>9</v>
      </c>
      <c r="S74">
        <v>9</v>
      </c>
      <c r="T74">
        <v>9</v>
      </c>
      <c r="U74">
        <v>9</v>
      </c>
      <c r="V74">
        <v>8</v>
      </c>
      <c r="W74">
        <v>9</v>
      </c>
      <c r="X74">
        <v>8</v>
      </c>
      <c r="Y74">
        <v>9</v>
      </c>
      <c r="Z74">
        <v>9</v>
      </c>
      <c r="AA74">
        <v>9</v>
      </c>
      <c r="AB74">
        <v>9</v>
      </c>
      <c r="AC74">
        <v>9</v>
      </c>
      <c r="AD74">
        <v>8</v>
      </c>
      <c r="AE74">
        <v>9</v>
      </c>
      <c r="AF74">
        <v>8</v>
      </c>
      <c r="AG74">
        <v>9</v>
      </c>
      <c r="AH74">
        <v>8</v>
      </c>
      <c r="AI74">
        <v>9</v>
      </c>
      <c r="AJ74">
        <v>9</v>
      </c>
      <c r="AK74">
        <v>9</v>
      </c>
      <c r="AL74">
        <v>9</v>
      </c>
      <c r="AM74">
        <v>9</v>
      </c>
      <c r="AN74">
        <v>8</v>
      </c>
      <c r="AO74">
        <v>9</v>
      </c>
      <c r="AP74">
        <v>137</v>
      </c>
      <c r="AQ74">
        <v>138</v>
      </c>
      <c r="AR74">
        <v>53</v>
      </c>
      <c r="AS74">
        <v>62</v>
      </c>
      <c r="AT74">
        <v>72</v>
      </c>
      <c r="AU74">
        <v>81</v>
      </c>
      <c r="AV74">
        <v>67</v>
      </c>
      <c r="AW74">
        <v>64</v>
      </c>
      <c r="AX74">
        <v>58</v>
      </c>
      <c r="AY74">
        <v>55</v>
      </c>
      <c r="AZ74">
        <v>49</v>
      </c>
      <c r="BA74">
        <v>62</v>
      </c>
      <c r="BB74">
        <v>62</v>
      </c>
      <c r="BC74">
        <v>51</v>
      </c>
      <c r="BD74">
        <v>60</v>
      </c>
      <c r="BE74">
        <v>64</v>
      </c>
      <c r="BF74">
        <v>56</v>
      </c>
      <c r="BG74">
        <v>60</v>
      </c>
      <c r="BH74">
        <v>59</v>
      </c>
      <c r="BI74">
        <v>46</v>
      </c>
      <c r="BJ74">
        <v>1392404608</v>
      </c>
      <c r="BK74">
        <v>2510755840</v>
      </c>
      <c r="BL74">
        <v>30438242</v>
      </c>
      <c r="BM74">
        <v>996020288</v>
      </c>
      <c r="BN74">
        <v>2374362624</v>
      </c>
      <c r="BO74">
        <v>2283794432</v>
      </c>
      <c r="BP74">
        <v>1832974080</v>
      </c>
      <c r="BQ74">
        <v>2292793344</v>
      </c>
      <c r="BR74">
        <v>1087120256</v>
      </c>
      <c r="BS74">
        <v>1004866816</v>
      </c>
      <c r="BT74">
        <v>340666368</v>
      </c>
      <c r="BU74">
        <v>2205245952</v>
      </c>
      <c r="BV74">
        <v>1907362176</v>
      </c>
      <c r="BW74">
        <v>1904201728</v>
      </c>
      <c r="BX74">
        <v>2080349056</v>
      </c>
      <c r="BY74">
        <v>1809533440</v>
      </c>
      <c r="BZ74">
        <v>1738599936</v>
      </c>
      <c r="CA74">
        <v>2685220096</v>
      </c>
      <c r="CB74">
        <v>955473792</v>
      </c>
      <c r="CC74">
        <v>613216640</v>
      </c>
      <c r="CD74">
        <v>1197881472</v>
      </c>
      <c r="CE74">
        <v>1348177664</v>
      </c>
      <c r="CF74">
        <v>1096297984</v>
      </c>
      <c r="CG74">
        <v>1222925056</v>
      </c>
      <c r="CH74">
        <v>1982269568</v>
      </c>
      <c r="CI74">
        <v>1817897472</v>
      </c>
      <c r="CJ74">
        <v>1711689088</v>
      </c>
      <c r="CK74">
        <v>2252346624</v>
      </c>
      <c r="CL74">
        <v>1193653376</v>
      </c>
      <c r="CM74">
        <v>1038712832</v>
      </c>
      <c r="CN74">
        <v>1471619072</v>
      </c>
      <c r="CO74">
        <v>1876956928</v>
      </c>
      <c r="CP74">
        <v>2166368512</v>
      </c>
      <c r="CQ74">
        <v>1385916416</v>
      </c>
      <c r="CR74">
        <v>2178124800</v>
      </c>
      <c r="CS74">
        <v>1726807424</v>
      </c>
      <c r="CT74">
        <v>1662504832</v>
      </c>
      <c r="CU74">
        <v>2292846848</v>
      </c>
      <c r="CV74">
        <v>1247638016</v>
      </c>
      <c r="CW74">
        <v>1023561728</v>
      </c>
    </row>
    <row r="75" spans="1:101">
      <c r="A75">
        <v>30916</v>
      </c>
      <c r="B75" t="s">
        <v>347</v>
      </c>
      <c r="D75" t="s">
        <v>348</v>
      </c>
      <c r="F75" t="s">
        <v>349</v>
      </c>
      <c r="G75">
        <v>454.40800000000002</v>
      </c>
      <c r="H75" t="s">
        <v>104</v>
      </c>
      <c r="I75">
        <v>2</v>
      </c>
      <c r="J75">
        <v>21</v>
      </c>
      <c r="K75">
        <v>0</v>
      </c>
      <c r="L75">
        <v>0</v>
      </c>
      <c r="M75">
        <v>0</v>
      </c>
      <c r="N75">
        <v>-1</v>
      </c>
      <c r="O75">
        <v>18</v>
      </c>
      <c r="P75">
        <v>18</v>
      </c>
      <c r="Q75">
        <v>19</v>
      </c>
      <c r="R75">
        <v>19</v>
      </c>
      <c r="S75">
        <v>19</v>
      </c>
      <c r="T75">
        <v>19</v>
      </c>
      <c r="U75">
        <v>19</v>
      </c>
      <c r="V75">
        <v>11</v>
      </c>
      <c r="W75">
        <v>15</v>
      </c>
      <c r="X75">
        <v>15</v>
      </c>
      <c r="Y75">
        <v>18</v>
      </c>
      <c r="Z75">
        <v>18</v>
      </c>
      <c r="AA75">
        <v>18</v>
      </c>
      <c r="AB75">
        <v>19</v>
      </c>
      <c r="AC75">
        <v>19</v>
      </c>
      <c r="AD75">
        <v>19</v>
      </c>
      <c r="AE75">
        <v>18</v>
      </c>
      <c r="AF75">
        <v>19</v>
      </c>
      <c r="AG75">
        <v>17</v>
      </c>
      <c r="AH75">
        <v>19</v>
      </c>
      <c r="AI75">
        <v>19</v>
      </c>
      <c r="AJ75">
        <v>19</v>
      </c>
      <c r="AK75">
        <v>18</v>
      </c>
      <c r="AL75">
        <v>19</v>
      </c>
      <c r="AM75">
        <v>19</v>
      </c>
      <c r="AN75">
        <v>18</v>
      </c>
      <c r="AO75">
        <v>17</v>
      </c>
      <c r="AP75">
        <v>19</v>
      </c>
      <c r="AQ75">
        <v>20</v>
      </c>
      <c r="AR75">
        <v>3</v>
      </c>
      <c r="AS75">
        <v>22</v>
      </c>
      <c r="AT75">
        <v>29</v>
      </c>
      <c r="AU75">
        <v>16</v>
      </c>
      <c r="AV75">
        <v>47</v>
      </c>
      <c r="AW75">
        <v>71</v>
      </c>
      <c r="AX75">
        <v>32</v>
      </c>
      <c r="AY75">
        <v>19</v>
      </c>
      <c r="AZ75">
        <v>9</v>
      </c>
      <c r="BA75">
        <v>14</v>
      </c>
      <c r="BB75">
        <v>22</v>
      </c>
      <c r="BC75">
        <v>46</v>
      </c>
      <c r="BD75">
        <v>83</v>
      </c>
      <c r="BE75">
        <v>16</v>
      </c>
      <c r="BF75">
        <v>86</v>
      </c>
      <c r="BG75">
        <v>62</v>
      </c>
      <c r="BH75">
        <v>27</v>
      </c>
      <c r="BI75">
        <v>6</v>
      </c>
      <c r="BJ75">
        <v>129224472</v>
      </c>
      <c r="BK75">
        <v>159926480</v>
      </c>
      <c r="BL75">
        <v>4582298</v>
      </c>
      <c r="BM75">
        <v>129875432</v>
      </c>
      <c r="BN75">
        <v>290527200</v>
      </c>
      <c r="BO75">
        <v>132390232</v>
      </c>
      <c r="BP75">
        <v>514530432</v>
      </c>
      <c r="BQ75">
        <v>794340416</v>
      </c>
      <c r="BR75">
        <v>205328400</v>
      </c>
      <c r="BS75">
        <v>91497144</v>
      </c>
      <c r="BT75">
        <v>39059088</v>
      </c>
      <c r="BU75">
        <v>88199664</v>
      </c>
      <c r="BV75">
        <v>219102384</v>
      </c>
      <c r="BW75">
        <v>449185408</v>
      </c>
      <c r="BX75">
        <v>955888576</v>
      </c>
      <c r="BY75">
        <v>81246232</v>
      </c>
      <c r="BZ75">
        <v>892630400</v>
      </c>
      <c r="CA75">
        <v>719396224</v>
      </c>
      <c r="CB75">
        <v>199431744</v>
      </c>
      <c r="CC75">
        <v>28573890</v>
      </c>
      <c r="CD75">
        <v>105357720</v>
      </c>
      <c r="CE75">
        <v>118391568</v>
      </c>
      <c r="CF75">
        <v>294175424</v>
      </c>
      <c r="CG75">
        <v>296317120</v>
      </c>
      <c r="CH75">
        <v>409492640</v>
      </c>
      <c r="CI75">
        <v>92819584</v>
      </c>
      <c r="CJ75">
        <v>766828416</v>
      </c>
      <c r="CK75">
        <v>657102144</v>
      </c>
      <c r="CL75">
        <v>265568720</v>
      </c>
      <c r="CM75">
        <v>137997168</v>
      </c>
      <c r="CN75">
        <v>217613392</v>
      </c>
      <c r="CO75">
        <v>135501984</v>
      </c>
      <c r="CP75">
        <v>290528384</v>
      </c>
      <c r="CQ75">
        <v>405421408</v>
      </c>
      <c r="CR75">
        <v>1102346880</v>
      </c>
      <c r="CS75">
        <v>123562424</v>
      </c>
      <c r="CT75">
        <v>1024629824</v>
      </c>
      <c r="CU75">
        <v>640614080</v>
      </c>
      <c r="CV75">
        <v>153422288</v>
      </c>
      <c r="CW75">
        <v>54036352</v>
      </c>
    </row>
    <row r="76" spans="1:101">
      <c r="A76">
        <v>31160</v>
      </c>
      <c r="B76" t="s">
        <v>350</v>
      </c>
      <c r="D76" t="s">
        <v>350</v>
      </c>
      <c r="F76" t="s">
        <v>351</v>
      </c>
      <c r="G76">
        <v>450.03199999999998</v>
      </c>
      <c r="H76" t="s">
        <v>104</v>
      </c>
      <c r="I76">
        <v>2</v>
      </c>
      <c r="J76">
        <v>1</v>
      </c>
      <c r="K76">
        <v>0</v>
      </c>
      <c r="L76">
        <v>0</v>
      </c>
      <c r="M76">
        <v>0</v>
      </c>
      <c r="N76">
        <v>-1</v>
      </c>
      <c r="O76">
        <v>10</v>
      </c>
      <c r="P76">
        <v>10</v>
      </c>
      <c r="Q76">
        <v>13</v>
      </c>
      <c r="R76">
        <v>13</v>
      </c>
      <c r="S76">
        <v>13</v>
      </c>
      <c r="T76">
        <v>13</v>
      </c>
      <c r="U76">
        <v>13</v>
      </c>
      <c r="V76">
        <v>12</v>
      </c>
      <c r="W76">
        <v>12</v>
      </c>
      <c r="X76">
        <v>12</v>
      </c>
      <c r="Y76">
        <v>13</v>
      </c>
      <c r="Z76">
        <v>12</v>
      </c>
      <c r="AA76">
        <v>13</v>
      </c>
      <c r="AB76">
        <v>13</v>
      </c>
      <c r="AC76">
        <v>13</v>
      </c>
      <c r="AD76">
        <v>13</v>
      </c>
      <c r="AE76">
        <v>13</v>
      </c>
      <c r="AF76">
        <v>13</v>
      </c>
      <c r="AG76">
        <v>13</v>
      </c>
      <c r="AH76">
        <v>13</v>
      </c>
      <c r="AI76">
        <v>13</v>
      </c>
      <c r="AJ76">
        <v>13</v>
      </c>
      <c r="AK76">
        <v>13</v>
      </c>
      <c r="AL76">
        <v>13</v>
      </c>
      <c r="AM76">
        <v>13</v>
      </c>
      <c r="AN76">
        <v>13</v>
      </c>
      <c r="AO76">
        <v>13</v>
      </c>
      <c r="AP76">
        <v>75</v>
      </c>
      <c r="AQ76">
        <v>76</v>
      </c>
      <c r="AR76">
        <v>12</v>
      </c>
      <c r="AS76">
        <v>36</v>
      </c>
      <c r="AT76">
        <v>24</v>
      </c>
      <c r="AU76">
        <v>55</v>
      </c>
      <c r="AV76">
        <v>28</v>
      </c>
      <c r="AW76">
        <v>34</v>
      </c>
      <c r="AX76">
        <v>37</v>
      </c>
      <c r="AY76">
        <v>53</v>
      </c>
      <c r="AZ76">
        <v>29</v>
      </c>
      <c r="BA76">
        <v>48</v>
      </c>
      <c r="BB76">
        <v>38</v>
      </c>
      <c r="BC76">
        <v>32</v>
      </c>
      <c r="BD76">
        <v>20</v>
      </c>
      <c r="BE76">
        <v>53</v>
      </c>
      <c r="BF76">
        <v>22</v>
      </c>
      <c r="BG76">
        <v>30</v>
      </c>
      <c r="BH76">
        <v>29</v>
      </c>
      <c r="BI76">
        <v>41</v>
      </c>
      <c r="BJ76">
        <v>933032768</v>
      </c>
      <c r="BK76">
        <v>1642933504</v>
      </c>
      <c r="BL76">
        <v>5278752</v>
      </c>
      <c r="BM76">
        <v>431028384</v>
      </c>
      <c r="BN76">
        <v>360293120</v>
      </c>
      <c r="BO76">
        <v>1573251712</v>
      </c>
      <c r="BP76">
        <v>523805248</v>
      </c>
      <c r="BQ76">
        <v>779330752</v>
      </c>
      <c r="BR76">
        <v>436829920</v>
      </c>
      <c r="BS76">
        <v>680436160</v>
      </c>
      <c r="BT76">
        <v>370091424</v>
      </c>
      <c r="BU76">
        <v>1666769792</v>
      </c>
      <c r="BV76">
        <v>875727040</v>
      </c>
      <c r="BW76">
        <v>946065984</v>
      </c>
      <c r="BX76">
        <v>387054496</v>
      </c>
      <c r="BY76">
        <v>1014910528</v>
      </c>
      <c r="BZ76">
        <v>411540960</v>
      </c>
      <c r="CA76">
        <v>894025472</v>
      </c>
      <c r="CB76">
        <v>416112576</v>
      </c>
      <c r="CC76">
        <v>644805568</v>
      </c>
      <c r="CD76">
        <v>600432256</v>
      </c>
      <c r="CE76">
        <v>600533312</v>
      </c>
      <c r="CF76">
        <v>732220928</v>
      </c>
      <c r="CG76">
        <v>472325376</v>
      </c>
      <c r="CH76">
        <v>276198016</v>
      </c>
      <c r="CI76">
        <v>736245440</v>
      </c>
      <c r="CJ76">
        <v>452936224</v>
      </c>
      <c r="CK76">
        <v>836522432</v>
      </c>
      <c r="CL76">
        <v>491593056</v>
      </c>
      <c r="CM76">
        <v>766408896</v>
      </c>
      <c r="CN76">
        <v>993098112</v>
      </c>
      <c r="CO76">
        <v>1003702144</v>
      </c>
      <c r="CP76">
        <v>1014419072</v>
      </c>
      <c r="CQ76">
        <v>667008192</v>
      </c>
      <c r="CR76">
        <v>499047808</v>
      </c>
      <c r="CS76">
        <v>978740160</v>
      </c>
      <c r="CT76">
        <v>500972000</v>
      </c>
      <c r="CU76">
        <v>734130368</v>
      </c>
      <c r="CV76">
        <v>584947904</v>
      </c>
      <c r="CW76">
        <v>1106947840</v>
      </c>
    </row>
    <row r="77" spans="1:101">
      <c r="A77">
        <v>30980</v>
      </c>
      <c r="B77" t="s">
        <v>352</v>
      </c>
      <c r="D77" t="s">
        <v>353</v>
      </c>
      <c r="E77" t="s">
        <v>354</v>
      </c>
      <c r="F77" t="s">
        <v>355</v>
      </c>
      <c r="G77">
        <v>448.06200000000001</v>
      </c>
      <c r="H77" t="s">
        <v>104</v>
      </c>
      <c r="I77">
        <v>2</v>
      </c>
      <c r="J77">
        <v>19</v>
      </c>
      <c r="K77">
        <v>1</v>
      </c>
      <c r="L77">
        <v>0</v>
      </c>
      <c r="M77">
        <v>0</v>
      </c>
      <c r="N77">
        <v>-1</v>
      </c>
      <c r="O77">
        <v>12</v>
      </c>
      <c r="P77">
        <v>12</v>
      </c>
      <c r="Q77">
        <v>13</v>
      </c>
      <c r="R77">
        <v>13</v>
      </c>
      <c r="S77">
        <v>13</v>
      </c>
      <c r="T77">
        <v>13</v>
      </c>
      <c r="U77">
        <v>13</v>
      </c>
      <c r="V77">
        <v>13</v>
      </c>
      <c r="W77">
        <v>12</v>
      </c>
      <c r="X77">
        <v>8</v>
      </c>
      <c r="Y77">
        <v>13</v>
      </c>
      <c r="Z77">
        <v>12</v>
      </c>
      <c r="AA77">
        <v>13</v>
      </c>
      <c r="AB77">
        <v>12</v>
      </c>
      <c r="AC77">
        <v>13</v>
      </c>
      <c r="AD77">
        <v>13</v>
      </c>
      <c r="AE77">
        <v>13</v>
      </c>
      <c r="AF77">
        <v>13</v>
      </c>
      <c r="AG77">
        <v>13</v>
      </c>
      <c r="AH77">
        <v>13</v>
      </c>
      <c r="AI77">
        <v>13</v>
      </c>
      <c r="AJ77">
        <v>12</v>
      </c>
      <c r="AK77">
        <v>13</v>
      </c>
      <c r="AL77">
        <v>10</v>
      </c>
      <c r="AM77">
        <v>13</v>
      </c>
      <c r="AN77">
        <v>13</v>
      </c>
      <c r="AO77">
        <v>13</v>
      </c>
      <c r="AP77">
        <v>22</v>
      </c>
      <c r="AQ77">
        <v>21</v>
      </c>
      <c r="AR77">
        <v>1</v>
      </c>
      <c r="AS77">
        <v>8</v>
      </c>
      <c r="AT77">
        <v>16</v>
      </c>
      <c r="AU77">
        <v>12</v>
      </c>
      <c r="AV77">
        <v>10</v>
      </c>
      <c r="AW77">
        <v>18</v>
      </c>
      <c r="AX77">
        <v>22</v>
      </c>
      <c r="AY77">
        <v>22</v>
      </c>
      <c r="AZ77">
        <v>12</v>
      </c>
      <c r="BA77">
        <v>18</v>
      </c>
      <c r="BB77">
        <v>10</v>
      </c>
      <c r="BC77">
        <v>11</v>
      </c>
      <c r="BD77">
        <v>15</v>
      </c>
      <c r="BE77">
        <v>14</v>
      </c>
      <c r="BF77">
        <v>9</v>
      </c>
      <c r="BG77">
        <v>15</v>
      </c>
      <c r="BH77">
        <v>18</v>
      </c>
      <c r="BI77">
        <v>18</v>
      </c>
      <c r="BJ77">
        <v>87932448</v>
      </c>
      <c r="BK77">
        <v>104124856</v>
      </c>
      <c r="BL77">
        <v>349552.81</v>
      </c>
      <c r="BM77">
        <v>23621204</v>
      </c>
      <c r="BN77">
        <v>98777136</v>
      </c>
      <c r="BO77">
        <v>54270584</v>
      </c>
      <c r="BP77">
        <v>43143072</v>
      </c>
      <c r="BQ77">
        <v>114211712</v>
      </c>
      <c r="BR77">
        <v>92321376</v>
      </c>
      <c r="BS77">
        <v>84587096</v>
      </c>
      <c r="BT77">
        <v>22612980</v>
      </c>
      <c r="BU77">
        <v>85130424</v>
      </c>
      <c r="BV77">
        <v>38707828</v>
      </c>
      <c r="BW77">
        <v>46482076</v>
      </c>
      <c r="BX77">
        <v>64781684</v>
      </c>
      <c r="BY77">
        <v>39784408</v>
      </c>
      <c r="BZ77">
        <v>34425416</v>
      </c>
      <c r="CA77">
        <v>106839712</v>
      </c>
      <c r="CB77">
        <v>67069560</v>
      </c>
      <c r="CC77">
        <v>53733496</v>
      </c>
      <c r="CD77">
        <v>114803984</v>
      </c>
      <c r="CE77">
        <v>67991952</v>
      </c>
      <c r="CF77">
        <v>33654968</v>
      </c>
      <c r="CG77">
        <v>28520316</v>
      </c>
      <c r="CH77">
        <v>84785176</v>
      </c>
      <c r="CI77">
        <v>39078848</v>
      </c>
      <c r="CJ77">
        <v>31134962</v>
      </c>
      <c r="CK77">
        <v>91417192</v>
      </c>
      <c r="CL77">
        <v>109791304</v>
      </c>
      <c r="CM77">
        <v>92128448</v>
      </c>
      <c r="CN77">
        <v>104363784</v>
      </c>
      <c r="CO77">
        <v>70882232</v>
      </c>
      <c r="CP77">
        <v>40716980</v>
      </c>
      <c r="CQ77">
        <v>26708880</v>
      </c>
      <c r="CR77">
        <v>76255120</v>
      </c>
      <c r="CS77">
        <v>36014696</v>
      </c>
      <c r="CT77">
        <v>34162712</v>
      </c>
      <c r="CU77">
        <v>77795952</v>
      </c>
      <c r="CV77">
        <v>88299928</v>
      </c>
      <c r="CW77">
        <v>110617248</v>
      </c>
    </row>
    <row r="78" spans="1:101">
      <c r="A78">
        <v>31065</v>
      </c>
      <c r="B78" t="s">
        <v>356</v>
      </c>
      <c r="D78" t="s">
        <v>357</v>
      </c>
      <c r="E78" t="s">
        <v>358</v>
      </c>
      <c r="F78" t="s">
        <v>359</v>
      </c>
      <c r="G78">
        <v>442.65600000000001</v>
      </c>
      <c r="H78" t="s">
        <v>104</v>
      </c>
      <c r="I78">
        <v>2</v>
      </c>
      <c r="J78">
        <v>12</v>
      </c>
      <c r="K78">
        <v>9</v>
      </c>
      <c r="L78">
        <v>0</v>
      </c>
      <c r="M78">
        <v>0</v>
      </c>
      <c r="N78">
        <v>-1</v>
      </c>
      <c r="O78">
        <v>13</v>
      </c>
      <c r="P78">
        <v>11</v>
      </c>
      <c r="Q78">
        <v>14</v>
      </c>
      <c r="R78">
        <v>12</v>
      </c>
      <c r="S78">
        <v>14</v>
      </c>
      <c r="T78">
        <v>12</v>
      </c>
      <c r="U78">
        <v>12</v>
      </c>
      <c r="V78">
        <v>11</v>
      </c>
      <c r="W78">
        <v>12</v>
      </c>
      <c r="X78">
        <v>9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>
        <v>12</v>
      </c>
      <c r="AI78">
        <v>12</v>
      </c>
      <c r="AJ78">
        <v>12</v>
      </c>
      <c r="AK78">
        <v>12</v>
      </c>
      <c r="AL78">
        <v>12</v>
      </c>
      <c r="AM78">
        <v>12</v>
      </c>
      <c r="AN78">
        <v>12</v>
      </c>
      <c r="AO78">
        <v>12</v>
      </c>
      <c r="AP78">
        <v>24</v>
      </c>
      <c r="AQ78">
        <v>16</v>
      </c>
      <c r="AR78">
        <v>0</v>
      </c>
      <c r="AS78">
        <v>12</v>
      </c>
      <c r="AT78">
        <v>24</v>
      </c>
      <c r="AU78">
        <v>22</v>
      </c>
      <c r="AV78">
        <v>15</v>
      </c>
      <c r="AW78">
        <v>14</v>
      </c>
      <c r="AX78">
        <v>9</v>
      </c>
      <c r="AY78">
        <v>9</v>
      </c>
      <c r="AZ78">
        <v>10</v>
      </c>
      <c r="BA78">
        <v>18</v>
      </c>
      <c r="BB78">
        <v>17</v>
      </c>
      <c r="BC78">
        <v>15</v>
      </c>
      <c r="BD78">
        <v>18</v>
      </c>
      <c r="BE78">
        <v>16</v>
      </c>
      <c r="BF78">
        <v>11</v>
      </c>
      <c r="BG78">
        <v>13</v>
      </c>
      <c r="BH78">
        <v>11</v>
      </c>
      <c r="BI78">
        <v>6</v>
      </c>
      <c r="BJ78">
        <v>107563264</v>
      </c>
      <c r="BK78">
        <v>161381680</v>
      </c>
      <c r="BL78">
        <v>381058.34</v>
      </c>
      <c r="BM78">
        <v>50023608</v>
      </c>
      <c r="BN78">
        <v>227814864</v>
      </c>
      <c r="BO78">
        <v>208591744</v>
      </c>
      <c r="BP78">
        <v>100625632</v>
      </c>
      <c r="BQ78">
        <v>112100032</v>
      </c>
      <c r="BR78">
        <v>37983332</v>
      </c>
      <c r="BS78">
        <v>24921250</v>
      </c>
      <c r="BT78">
        <v>25717048</v>
      </c>
      <c r="BU78">
        <v>146855680</v>
      </c>
      <c r="BV78">
        <v>140557024</v>
      </c>
      <c r="BW78">
        <v>95073344</v>
      </c>
      <c r="BX78">
        <v>164082832</v>
      </c>
      <c r="BY78">
        <v>160976576</v>
      </c>
      <c r="BZ78">
        <v>89047672</v>
      </c>
      <c r="CA78">
        <v>134953568</v>
      </c>
      <c r="CB78">
        <v>36245104</v>
      </c>
      <c r="CC78">
        <v>13567714</v>
      </c>
      <c r="CD78">
        <v>105587880</v>
      </c>
      <c r="CE78">
        <v>83089264</v>
      </c>
      <c r="CF78">
        <v>49053092</v>
      </c>
      <c r="CG78">
        <v>51099748</v>
      </c>
      <c r="CH78">
        <v>152911088</v>
      </c>
      <c r="CI78">
        <v>122478072</v>
      </c>
      <c r="CJ78">
        <v>71315048</v>
      </c>
      <c r="CK78">
        <v>86210672</v>
      </c>
      <c r="CL78">
        <v>34693704</v>
      </c>
      <c r="CM78">
        <v>20141734</v>
      </c>
      <c r="CN78">
        <v>84043160</v>
      </c>
      <c r="CO78">
        <v>94249568</v>
      </c>
      <c r="CP78">
        <v>138056720</v>
      </c>
      <c r="CQ78">
        <v>50367844</v>
      </c>
      <c r="CR78">
        <v>144971840</v>
      </c>
      <c r="CS78">
        <v>109262904</v>
      </c>
      <c r="CT78">
        <v>80177912</v>
      </c>
      <c r="CU78">
        <v>96372736</v>
      </c>
      <c r="CV78">
        <v>39026512</v>
      </c>
      <c r="CW78">
        <v>16429408</v>
      </c>
    </row>
    <row r="79" spans="1:101">
      <c r="A79">
        <v>31133</v>
      </c>
      <c r="B79" t="s">
        <v>360</v>
      </c>
      <c r="D79" t="s">
        <v>360</v>
      </c>
      <c r="F79" t="s">
        <v>361</v>
      </c>
      <c r="G79">
        <v>438.93700000000001</v>
      </c>
      <c r="H79" t="s">
        <v>104</v>
      </c>
      <c r="I79">
        <v>2</v>
      </c>
      <c r="J79">
        <v>1</v>
      </c>
      <c r="K79">
        <v>0</v>
      </c>
      <c r="L79">
        <v>0</v>
      </c>
      <c r="M79">
        <v>0</v>
      </c>
      <c r="N79">
        <v>-1</v>
      </c>
      <c r="O79">
        <v>11</v>
      </c>
      <c r="P79">
        <v>1</v>
      </c>
      <c r="Q79">
        <v>13</v>
      </c>
      <c r="R79">
        <v>1</v>
      </c>
      <c r="S79">
        <v>13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2</v>
      </c>
      <c r="AQ79">
        <v>2</v>
      </c>
      <c r="AR79">
        <v>0</v>
      </c>
      <c r="AS79">
        <v>2</v>
      </c>
      <c r="AT79">
        <v>2</v>
      </c>
      <c r="AU79">
        <v>2</v>
      </c>
      <c r="AV79">
        <v>2</v>
      </c>
      <c r="AW79">
        <v>2</v>
      </c>
      <c r="AX79">
        <v>2</v>
      </c>
      <c r="AY79">
        <v>3</v>
      </c>
      <c r="AZ79">
        <v>0</v>
      </c>
      <c r="BA79">
        <v>2</v>
      </c>
      <c r="BB79">
        <v>1</v>
      </c>
      <c r="BC79">
        <v>2</v>
      </c>
      <c r="BD79">
        <v>1</v>
      </c>
      <c r="BE79">
        <v>1</v>
      </c>
      <c r="BF79">
        <v>2</v>
      </c>
      <c r="BG79">
        <v>2</v>
      </c>
      <c r="BH79">
        <v>2</v>
      </c>
      <c r="BI79">
        <v>1</v>
      </c>
      <c r="BJ79">
        <v>50730560</v>
      </c>
      <c r="BK79">
        <v>95746424</v>
      </c>
      <c r="BL79">
        <v>568291.88</v>
      </c>
      <c r="BM79">
        <v>55066884</v>
      </c>
      <c r="BN79">
        <v>58454176</v>
      </c>
      <c r="BO79">
        <v>66465980</v>
      </c>
      <c r="BP79">
        <v>71578224</v>
      </c>
      <c r="BQ79">
        <v>44935600</v>
      </c>
      <c r="BR79">
        <v>92841272</v>
      </c>
      <c r="BS79">
        <v>83265936</v>
      </c>
      <c r="BT79">
        <v>11286522</v>
      </c>
      <c r="BU79">
        <v>73046016</v>
      </c>
      <c r="BV79">
        <v>41670056</v>
      </c>
      <c r="BW79">
        <v>126737664</v>
      </c>
      <c r="BX79">
        <v>44003192</v>
      </c>
      <c r="BY79">
        <v>59792988</v>
      </c>
      <c r="BZ79">
        <v>57194900</v>
      </c>
      <c r="CA79">
        <v>48681236</v>
      </c>
      <c r="CB79">
        <v>65997224</v>
      </c>
      <c r="CC79">
        <v>57985600</v>
      </c>
      <c r="CD79">
        <v>14763184</v>
      </c>
      <c r="CE79">
        <v>10365811</v>
      </c>
      <c r="CF79">
        <v>8661357</v>
      </c>
      <c r="CG79">
        <v>15999191</v>
      </c>
      <c r="CH79">
        <v>7707377.5</v>
      </c>
      <c r="CI79">
        <v>5535091</v>
      </c>
      <c r="CJ79">
        <v>16161830</v>
      </c>
      <c r="CK79">
        <v>1749786.5</v>
      </c>
      <c r="CL79">
        <v>20520986</v>
      </c>
      <c r="CM79">
        <v>23624834</v>
      </c>
      <c r="CN79">
        <v>15701048</v>
      </c>
      <c r="CO79">
        <v>9855717</v>
      </c>
      <c r="CP79">
        <v>12467477</v>
      </c>
      <c r="CQ79">
        <v>15133634</v>
      </c>
      <c r="CR79">
        <v>3317886</v>
      </c>
      <c r="CS79">
        <v>10159449</v>
      </c>
      <c r="CT79">
        <v>18414434</v>
      </c>
      <c r="CU79">
        <v>2275294</v>
      </c>
      <c r="CV79">
        <v>19639300</v>
      </c>
      <c r="CW79">
        <v>7714482.5</v>
      </c>
    </row>
    <row r="80" spans="1:101">
      <c r="A80">
        <v>31047</v>
      </c>
      <c r="B80" t="s">
        <v>362</v>
      </c>
      <c r="D80" t="s">
        <v>362</v>
      </c>
      <c r="E80" t="s">
        <v>363</v>
      </c>
      <c r="F80" t="s">
        <v>364</v>
      </c>
      <c r="G80">
        <v>438.64400000000001</v>
      </c>
      <c r="H80" t="s">
        <v>104</v>
      </c>
      <c r="I80">
        <v>2</v>
      </c>
      <c r="J80">
        <v>1</v>
      </c>
      <c r="K80">
        <v>2</v>
      </c>
      <c r="L80">
        <v>0</v>
      </c>
      <c r="M80">
        <v>0</v>
      </c>
      <c r="N80">
        <v>-1</v>
      </c>
      <c r="O80">
        <v>12</v>
      </c>
      <c r="P80">
        <v>12</v>
      </c>
      <c r="Q80">
        <v>12</v>
      </c>
      <c r="R80">
        <v>12</v>
      </c>
      <c r="S80">
        <v>12</v>
      </c>
      <c r="T80">
        <v>12</v>
      </c>
      <c r="U80">
        <v>12</v>
      </c>
      <c r="V80">
        <v>12</v>
      </c>
      <c r="W80">
        <v>12</v>
      </c>
      <c r="X80">
        <v>6</v>
      </c>
      <c r="Y80">
        <v>12</v>
      </c>
      <c r="Z80">
        <v>12</v>
      </c>
      <c r="AA80">
        <v>12</v>
      </c>
      <c r="AB80">
        <v>11</v>
      </c>
      <c r="AC80">
        <v>12</v>
      </c>
      <c r="AD80">
        <v>12</v>
      </c>
      <c r="AE80">
        <v>12</v>
      </c>
      <c r="AF80">
        <v>12</v>
      </c>
      <c r="AG80">
        <v>12</v>
      </c>
      <c r="AH80">
        <v>12</v>
      </c>
      <c r="AI80">
        <v>10</v>
      </c>
      <c r="AJ80">
        <v>11</v>
      </c>
      <c r="AK80">
        <v>12</v>
      </c>
      <c r="AL80">
        <v>12</v>
      </c>
      <c r="AM80">
        <v>12</v>
      </c>
      <c r="AN80">
        <v>12</v>
      </c>
      <c r="AO80">
        <v>12</v>
      </c>
      <c r="AP80">
        <v>17</v>
      </c>
      <c r="AQ80">
        <v>18</v>
      </c>
      <c r="AR80">
        <v>0</v>
      </c>
      <c r="AS80">
        <v>9</v>
      </c>
      <c r="AT80">
        <v>13</v>
      </c>
      <c r="AU80">
        <v>15</v>
      </c>
      <c r="AV80">
        <v>11</v>
      </c>
      <c r="AW80">
        <v>12</v>
      </c>
      <c r="AX80">
        <v>16</v>
      </c>
      <c r="AY80">
        <v>16</v>
      </c>
      <c r="AZ80">
        <v>11</v>
      </c>
      <c r="BA80">
        <v>13</v>
      </c>
      <c r="BB80">
        <v>12</v>
      </c>
      <c r="BC80">
        <v>9</v>
      </c>
      <c r="BD80">
        <v>9</v>
      </c>
      <c r="BE80">
        <v>15</v>
      </c>
      <c r="BF80">
        <v>9</v>
      </c>
      <c r="BG80">
        <v>12</v>
      </c>
      <c r="BH80">
        <v>13</v>
      </c>
      <c r="BI80">
        <v>13</v>
      </c>
      <c r="BJ80">
        <v>82663152</v>
      </c>
      <c r="BK80">
        <v>80790376</v>
      </c>
      <c r="BL80">
        <v>176369.81</v>
      </c>
      <c r="BM80">
        <v>16693017</v>
      </c>
      <c r="BN80">
        <v>79873656</v>
      </c>
      <c r="BO80">
        <v>44132288</v>
      </c>
      <c r="BP80">
        <v>29845988</v>
      </c>
      <c r="BQ80">
        <v>61650896</v>
      </c>
      <c r="BR80">
        <v>69334048</v>
      </c>
      <c r="BS80">
        <v>72112936</v>
      </c>
      <c r="BT80">
        <v>21504086</v>
      </c>
      <c r="BU80">
        <v>69173424</v>
      </c>
      <c r="BV80">
        <v>37632140</v>
      </c>
      <c r="BW80">
        <v>24861404</v>
      </c>
      <c r="BX80">
        <v>50832432</v>
      </c>
      <c r="BY80">
        <v>33239360</v>
      </c>
      <c r="BZ80">
        <v>23819046</v>
      </c>
      <c r="CA80">
        <v>69997304</v>
      </c>
      <c r="CB80">
        <v>54346172</v>
      </c>
      <c r="CC80">
        <v>56838128</v>
      </c>
      <c r="CD80">
        <v>97506288</v>
      </c>
      <c r="CE80">
        <v>52277556</v>
      </c>
      <c r="CF80">
        <v>20857418</v>
      </c>
      <c r="CG80">
        <v>20042072</v>
      </c>
      <c r="CH80">
        <v>68898896</v>
      </c>
      <c r="CI80">
        <v>30533778</v>
      </c>
      <c r="CJ80">
        <v>30196514</v>
      </c>
      <c r="CK80">
        <v>59400208</v>
      </c>
      <c r="CL80">
        <v>74291112</v>
      </c>
      <c r="CM80">
        <v>63339168</v>
      </c>
      <c r="CN80">
        <v>73891312</v>
      </c>
      <c r="CO80">
        <v>54349168</v>
      </c>
      <c r="CP80">
        <v>39944668</v>
      </c>
      <c r="CQ80">
        <v>20223874</v>
      </c>
      <c r="CR80">
        <v>69035272</v>
      </c>
      <c r="CS80">
        <v>27954402</v>
      </c>
      <c r="CT80">
        <v>30292654</v>
      </c>
      <c r="CU80">
        <v>58128592</v>
      </c>
      <c r="CV80">
        <v>72728592</v>
      </c>
      <c r="CW80">
        <v>82808288</v>
      </c>
    </row>
    <row r="81" spans="1:101">
      <c r="A81">
        <v>31152</v>
      </c>
      <c r="B81" t="s">
        <v>365</v>
      </c>
      <c r="D81" t="s">
        <v>365</v>
      </c>
      <c r="F81" t="s">
        <v>366</v>
      </c>
      <c r="G81">
        <v>433.86700000000002</v>
      </c>
      <c r="H81" t="s">
        <v>104</v>
      </c>
      <c r="I81">
        <v>2</v>
      </c>
      <c r="J81">
        <v>1</v>
      </c>
      <c r="K81">
        <v>0</v>
      </c>
      <c r="L81">
        <v>0</v>
      </c>
      <c r="M81">
        <v>0</v>
      </c>
      <c r="N81">
        <v>-1</v>
      </c>
      <c r="O81">
        <v>15</v>
      </c>
      <c r="P81">
        <v>15</v>
      </c>
      <c r="Q81">
        <v>15</v>
      </c>
      <c r="R81">
        <v>15</v>
      </c>
      <c r="S81">
        <v>15</v>
      </c>
      <c r="T81">
        <v>15</v>
      </c>
      <c r="U81">
        <v>15</v>
      </c>
      <c r="V81">
        <v>14</v>
      </c>
      <c r="W81">
        <v>15</v>
      </c>
      <c r="X81">
        <v>3</v>
      </c>
      <c r="Y81">
        <v>15</v>
      </c>
      <c r="Z81">
        <v>15</v>
      </c>
      <c r="AA81">
        <v>15</v>
      </c>
      <c r="AB81">
        <v>15</v>
      </c>
      <c r="AC81">
        <v>15</v>
      </c>
      <c r="AD81">
        <v>15</v>
      </c>
      <c r="AE81">
        <v>15</v>
      </c>
      <c r="AF81">
        <v>15</v>
      </c>
      <c r="AG81">
        <v>15</v>
      </c>
      <c r="AH81">
        <v>15</v>
      </c>
      <c r="AI81">
        <v>15</v>
      </c>
      <c r="AJ81">
        <v>15</v>
      </c>
      <c r="AK81">
        <v>15</v>
      </c>
      <c r="AL81">
        <v>15</v>
      </c>
      <c r="AM81">
        <v>15</v>
      </c>
      <c r="AN81">
        <v>15</v>
      </c>
      <c r="AO81">
        <v>15</v>
      </c>
      <c r="AP81">
        <v>13</v>
      </c>
      <c r="AQ81">
        <v>12</v>
      </c>
      <c r="AR81">
        <v>0</v>
      </c>
      <c r="AS81">
        <v>17</v>
      </c>
      <c r="AT81">
        <v>11</v>
      </c>
      <c r="AU81">
        <v>18</v>
      </c>
      <c r="AV81">
        <v>15</v>
      </c>
      <c r="AW81">
        <v>10</v>
      </c>
      <c r="AX81">
        <v>15</v>
      </c>
      <c r="AY81">
        <v>16</v>
      </c>
      <c r="AZ81">
        <v>7</v>
      </c>
      <c r="BA81">
        <v>18</v>
      </c>
      <c r="BB81">
        <v>8</v>
      </c>
      <c r="BC81">
        <v>16</v>
      </c>
      <c r="BD81">
        <v>11</v>
      </c>
      <c r="BE81">
        <v>15</v>
      </c>
      <c r="BF81">
        <v>15</v>
      </c>
      <c r="BG81">
        <v>10</v>
      </c>
      <c r="BH81">
        <v>15</v>
      </c>
      <c r="BI81">
        <v>13</v>
      </c>
      <c r="BJ81">
        <v>19184318</v>
      </c>
      <c r="BK81">
        <v>38119072</v>
      </c>
      <c r="BL81">
        <v>34974.620000000003</v>
      </c>
      <c r="BM81">
        <v>27497178</v>
      </c>
      <c r="BN81">
        <v>21441390</v>
      </c>
      <c r="BO81">
        <v>36915916</v>
      </c>
      <c r="BP81">
        <v>29907526</v>
      </c>
      <c r="BQ81">
        <v>19147384</v>
      </c>
      <c r="BR81">
        <v>33785892</v>
      </c>
      <c r="BS81">
        <v>30181346</v>
      </c>
      <c r="BT81">
        <v>5962302.5</v>
      </c>
      <c r="BU81">
        <v>32616468</v>
      </c>
      <c r="BV81">
        <v>17106396</v>
      </c>
      <c r="BW81">
        <v>52635992</v>
      </c>
      <c r="BX81">
        <v>18454952</v>
      </c>
      <c r="BY81">
        <v>31799768</v>
      </c>
      <c r="BZ81">
        <v>28649758</v>
      </c>
      <c r="CA81">
        <v>22804916</v>
      </c>
      <c r="CB81">
        <v>30431116</v>
      </c>
      <c r="CC81">
        <v>23137656</v>
      </c>
      <c r="CD81">
        <v>19768382</v>
      </c>
      <c r="CE81">
        <v>20923754</v>
      </c>
      <c r="CF81">
        <v>9039320</v>
      </c>
      <c r="CG81">
        <v>28732962</v>
      </c>
      <c r="CH81">
        <v>15871627</v>
      </c>
      <c r="CI81">
        <v>22111190</v>
      </c>
      <c r="CJ81">
        <v>22117802</v>
      </c>
      <c r="CK81">
        <v>16049568</v>
      </c>
      <c r="CL81">
        <v>31528952</v>
      </c>
      <c r="CM81">
        <v>24662870</v>
      </c>
      <c r="CN81">
        <v>20053270</v>
      </c>
      <c r="CO81">
        <v>22571378</v>
      </c>
      <c r="CP81">
        <v>17283964</v>
      </c>
      <c r="CQ81">
        <v>31309912</v>
      </c>
      <c r="CR81">
        <v>18099956</v>
      </c>
      <c r="CS81">
        <v>22132802</v>
      </c>
      <c r="CT81">
        <v>27609882</v>
      </c>
      <c r="CU81">
        <v>17211052</v>
      </c>
      <c r="CV81">
        <v>34509132</v>
      </c>
      <c r="CW81">
        <v>33355810</v>
      </c>
    </row>
    <row r="82" spans="1:101">
      <c r="A82">
        <v>30936</v>
      </c>
      <c r="B82" t="s">
        <v>367</v>
      </c>
      <c r="D82" t="s">
        <v>368</v>
      </c>
      <c r="E82" t="s">
        <v>369</v>
      </c>
      <c r="F82" t="s">
        <v>370</v>
      </c>
      <c r="G82">
        <v>427.93799999999999</v>
      </c>
      <c r="H82" t="s">
        <v>104</v>
      </c>
      <c r="I82">
        <v>2</v>
      </c>
      <c r="J82">
        <v>7</v>
      </c>
      <c r="K82">
        <v>12</v>
      </c>
      <c r="L82">
        <v>0</v>
      </c>
      <c r="M82">
        <v>0</v>
      </c>
      <c r="N82">
        <v>-1</v>
      </c>
      <c r="O82">
        <v>17</v>
      </c>
      <c r="P82">
        <v>17</v>
      </c>
      <c r="Q82">
        <v>17</v>
      </c>
      <c r="R82">
        <v>17</v>
      </c>
      <c r="S82">
        <v>17</v>
      </c>
      <c r="T82">
        <v>17</v>
      </c>
      <c r="U82">
        <v>17</v>
      </c>
      <c r="V82">
        <v>17</v>
      </c>
      <c r="W82">
        <v>16</v>
      </c>
      <c r="X82">
        <v>7</v>
      </c>
      <c r="Y82">
        <v>17</v>
      </c>
      <c r="Z82">
        <v>17</v>
      </c>
      <c r="AA82">
        <v>17</v>
      </c>
      <c r="AB82">
        <v>17</v>
      </c>
      <c r="AC82">
        <v>17</v>
      </c>
      <c r="AD82">
        <v>17</v>
      </c>
      <c r="AE82">
        <v>17</v>
      </c>
      <c r="AF82">
        <v>17</v>
      </c>
      <c r="AG82">
        <v>17</v>
      </c>
      <c r="AH82">
        <v>17</v>
      </c>
      <c r="AI82">
        <v>17</v>
      </c>
      <c r="AJ82">
        <v>17</v>
      </c>
      <c r="AK82">
        <v>17</v>
      </c>
      <c r="AL82">
        <v>17</v>
      </c>
      <c r="AM82">
        <v>17</v>
      </c>
      <c r="AN82">
        <v>17</v>
      </c>
      <c r="AO82">
        <v>17</v>
      </c>
      <c r="AP82">
        <v>16</v>
      </c>
      <c r="AQ82">
        <v>14</v>
      </c>
      <c r="AR82">
        <v>0</v>
      </c>
      <c r="AS82">
        <v>6</v>
      </c>
      <c r="AT82">
        <v>13</v>
      </c>
      <c r="AU82">
        <v>10</v>
      </c>
      <c r="AV82">
        <v>4</v>
      </c>
      <c r="AW82">
        <v>18</v>
      </c>
      <c r="AX82">
        <v>17</v>
      </c>
      <c r="AY82">
        <v>19</v>
      </c>
      <c r="AZ82">
        <v>8</v>
      </c>
      <c r="BA82">
        <v>14</v>
      </c>
      <c r="BB82">
        <v>9</v>
      </c>
      <c r="BC82">
        <v>10</v>
      </c>
      <c r="BD82">
        <v>15</v>
      </c>
      <c r="BE82">
        <v>13</v>
      </c>
      <c r="BF82">
        <v>7</v>
      </c>
      <c r="BG82">
        <v>14</v>
      </c>
      <c r="BH82">
        <v>17</v>
      </c>
      <c r="BI82">
        <v>12</v>
      </c>
      <c r="BJ82">
        <v>41729432</v>
      </c>
      <c r="BK82">
        <v>54399116</v>
      </c>
      <c r="BL82">
        <v>189670.52</v>
      </c>
      <c r="BM82">
        <v>11857624</v>
      </c>
      <c r="BN82">
        <v>49078224</v>
      </c>
      <c r="BO82">
        <v>28115064</v>
      </c>
      <c r="BP82">
        <v>17948898</v>
      </c>
      <c r="BQ82">
        <v>43987908</v>
      </c>
      <c r="BR82">
        <v>54226592</v>
      </c>
      <c r="BS82">
        <v>51092872</v>
      </c>
      <c r="BT82">
        <v>14073035</v>
      </c>
      <c r="BU82">
        <v>44721152</v>
      </c>
      <c r="BV82">
        <v>13095653</v>
      </c>
      <c r="BW82">
        <v>20932746</v>
      </c>
      <c r="BX82">
        <v>36086780</v>
      </c>
      <c r="BY82">
        <v>22105342</v>
      </c>
      <c r="BZ82">
        <v>16083589</v>
      </c>
      <c r="CA82">
        <v>52056888</v>
      </c>
      <c r="CB82">
        <v>34651016</v>
      </c>
      <c r="CC82">
        <v>29282636</v>
      </c>
      <c r="CD82">
        <v>51918524</v>
      </c>
      <c r="CE82">
        <v>38597580</v>
      </c>
      <c r="CF82">
        <v>24617506</v>
      </c>
      <c r="CG82">
        <v>16424693</v>
      </c>
      <c r="CH82">
        <v>47597356</v>
      </c>
      <c r="CI82">
        <v>22474610</v>
      </c>
      <c r="CJ82">
        <v>17941014</v>
      </c>
      <c r="CK82">
        <v>48985300</v>
      </c>
      <c r="CL82">
        <v>54557580</v>
      </c>
      <c r="CM82">
        <v>49113892</v>
      </c>
      <c r="CN82">
        <v>46077456</v>
      </c>
      <c r="CO82">
        <v>40278692</v>
      </c>
      <c r="CP82">
        <v>20144152</v>
      </c>
      <c r="CQ82">
        <v>16701961</v>
      </c>
      <c r="CR82">
        <v>45771900</v>
      </c>
      <c r="CS82">
        <v>22055354</v>
      </c>
      <c r="CT82">
        <v>20663352</v>
      </c>
      <c r="CU82">
        <v>48755648</v>
      </c>
      <c r="CV82">
        <v>47477468</v>
      </c>
      <c r="CW82">
        <v>48756956</v>
      </c>
    </row>
    <row r="83" spans="1:101">
      <c r="A83">
        <v>31071</v>
      </c>
      <c r="B83" t="s">
        <v>371</v>
      </c>
      <c r="D83" t="s">
        <v>372</v>
      </c>
      <c r="F83" t="s">
        <v>373</v>
      </c>
      <c r="G83">
        <v>424.17200000000003</v>
      </c>
      <c r="H83" t="s">
        <v>104</v>
      </c>
      <c r="I83">
        <v>2</v>
      </c>
      <c r="J83">
        <v>21</v>
      </c>
      <c r="K83">
        <v>0</v>
      </c>
      <c r="L83">
        <v>0</v>
      </c>
      <c r="M83">
        <v>0</v>
      </c>
      <c r="N83">
        <v>-1</v>
      </c>
      <c r="O83">
        <v>11</v>
      </c>
      <c r="P83">
        <v>11</v>
      </c>
      <c r="Q83">
        <v>13</v>
      </c>
      <c r="R83">
        <v>13</v>
      </c>
      <c r="S83">
        <v>13</v>
      </c>
      <c r="T83">
        <v>13</v>
      </c>
      <c r="U83">
        <v>13</v>
      </c>
      <c r="V83">
        <v>8</v>
      </c>
      <c r="W83">
        <v>10</v>
      </c>
      <c r="X83">
        <v>12</v>
      </c>
      <c r="Y83">
        <v>13</v>
      </c>
      <c r="Z83">
        <v>10</v>
      </c>
      <c r="AA83">
        <v>13</v>
      </c>
      <c r="AB83">
        <v>13</v>
      </c>
      <c r="AC83">
        <v>13</v>
      </c>
      <c r="AD83">
        <v>11</v>
      </c>
      <c r="AE83">
        <v>13</v>
      </c>
      <c r="AF83">
        <v>13</v>
      </c>
      <c r="AG83">
        <v>13</v>
      </c>
      <c r="AH83">
        <v>13</v>
      </c>
      <c r="AI83">
        <v>11</v>
      </c>
      <c r="AJ83">
        <v>11</v>
      </c>
      <c r="AK83">
        <v>13</v>
      </c>
      <c r="AL83">
        <v>11</v>
      </c>
      <c r="AM83">
        <v>13</v>
      </c>
      <c r="AN83">
        <v>13</v>
      </c>
      <c r="AO83">
        <v>13</v>
      </c>
      <c r="AP83">
        <v>136</v>
      </c>
      <c r="AQ83">
        <v>98</v>
      </c>
      <c r="AR83">
        <v>16</v>
      </c>
      <c r="AS83">
        <v>74</v>
      </c>
      <c r="AT83">
        <v>72</v>
      </c>
      <c r="AU83">
        <v>58</v>
      </c>
      <c r="AV83">
        <v>70</v>
      </c>
      <c r="AW83">
        <v>78</v>
      </c>
      <c r="AX83">
        <v>59</v>
      </c>
      <c r="AY83">
        <v>53</v>
      </c>
      <c r="AZ83">
        <v>37</v>
      </c>
      <c r="BA83">
        <v>71</v>
      </c>
      <c r="BB83">
        <v>67</v>
      </c>
      <c r="BC83">
        <v>60</v>
      </c>
      <c r="BD83">
        <v>61</v>
      </c>
      <c r="BE83">
        <v>49</v>
      </c>
      <c r="BF83">
        <v>51</v>
      </c>
      <c r="BG83">
        <v>67</v>
      </c>
      <c r="BH83">
        <v>46</v>
      </c>
      <c r="BI83">
        <v>29</v>
      </c>
      <c r="BJ83">
        <v>723508352</v>
      </c>
      <c r="BK83">
        <v>1205866240</v>
      </c>
      <c r="BL83">
        <v>16293345</v>
      </c>
      <c r="BM83">
        <v>1007684928</v>
      </c>
      <c r="BN83">
        <v>1759603840</v>
      </c>
      <c r="BO83">
        <v>862235328</v>
      </c>
      <c r="BP83">
        <v>1517807744</v>
      </c>
      <c r="BQ83">
        <v>1983862272</v>
      </c>
      <c r="BR83">
        <v>839196096</v>
      </c>
      <c r="BS83">
        <v>655894720</v>
      </c>
      <c r="BT83">
        <v>292280576</v>
      </c>
      <c r="BU83">
        <v>1575909376</v>
      </c>
      <c r="BV83">
        <v>1577449600</v>
      </c>
      <c r="BW83">
        <v>1722130560</v>
      </c>
      <c r="BX83">
        <v>1732738304</v>
      </c>
      <c r="BY83">
        <v>959346560</v>
      </c>
      <c r="BZ83">
        <v>1395825664</v>
      </c>
      <c r="CA83">
        <v>1948169856</v>
      </c>
      <c r="CB83">
        <v>810728960</v>
      </c>
      <c r="CC83">
        <v>428332256</v>
      </c>
      <c r="CD83">
        <v>528387104</v>
      </c>
      <c r="CE83">
        <v>588578496</v>
      </c>
      <c r="CF83">
        <v>1217813760</v>
      </c>
      <c r="CG83">
        <v>1348186112</v>
      </c>
      <c r="CH83">
        <v>1576665984</v>
      </c>
      <c r="CI83">
        <v>767672000</v>
      </c>
      <c r="CJ83">
        <v>1409057280</v>
      </c>
      <c r="CK83">
        <v>1920206848</v>
      </c>
      <c r="CL83">
        <v>917684032</v>
      </c>
      <c r="CM83">
        <v>794204224</v>
      </c>
      <c r="CN83">
        <v>1414561024</v>
      </c>
      <c r="CO83">
        <v>1518264320</v>
      </c>
      <c r="CP83">
        <v>1910526848</v>
      </c>
      <c r="CQ83">
        <v>1144023040</v>
      </c>
      <c r="CR83">
        <v>1774913024</v>
      </c>
      <c r="CS83">
        <v>956602880</v>
      </c>
      <c r="CT83">
        <v>1340027264</v>
      </c>
      <c r="CU83">
        <v>1755903488</v>
      </c>
      <c r="CV83">
        <v>1189839488</v>
      </c>
      <c r="CW83">
        <v>839315328</v>
      </c>
    </row>
    <row r="84" spans="1:101">
      <c r="A84">
        <v>30942</v>
      </c>
      <c r="B84" t="s">
        <v>374</v>
      </c>
      <c r="D84" t="s">
        <v>375</v>
      </c>
      <c r="E84" t="s">
        <v>376</v>
      </c>
      <c r="F84" t="s">
        <v>377</v>
      </c>
      <c r="G84">
        <v>421.476</v>
      </c>
      <c r="H84" t="s">
        <v>104</v>
      </c>
      <c r="I84">
        <v>2</v>
      </c>
      <c r="J84">
        <v>20</v>
      </c>
      <c r="K84">
        <v>1</v>
      </c>
      <c r="L84">
        <v>0</v>
      </c>
      <c r="M84">
        <v>0</v>
      </c>
      <c r="N84">
        <v>-1</v>
      </c>
      <c r="O84">
        <v>13</v>
      </c>
      <c r="P84">
        <v>13</v>
      </c>
      <c r="Q84">
        <v>15</v>
      </c>
      <c r="R84">
        <v>15</v>
      </c>
      <c r="S84">
        <v>15</v>
      </c>
      <c r="T84">
        <v>15</v>
      </c>
      <c r="U84">
        <v>15</v>
      </c>
      <c r="V84">
        <v>10</v>
      </c>
      <c r="W84">
        <v>13</v>
      </c>
      <c r="X84">
        <v>10</v>
      </c>
      <c r="Y84">
        <v>15</v>
      </c>
      <c r="Z84">
        <v>15</v>
      </c>
      <c r="AA84">
        <v>15</v>
      </c>
      <c r="AB84">
        <v>15</v>
      </c>
      <c r="AC84">
        <v>15</v>
      </c>
      <c r="AD84">
        <v>15</v>
      </c>
      <c r="AE84">
        <v>15</v>
      </c>
      <c r="AF84">
        <v>15</v>
      </c>
      <c r="AG84">
        <v>15</v>
      </c>
      <c r="AH84">
        <v>15</v>
      </c>
      <c r="AI84">
        <v>15</v>
      </c>
      <c r="AJ84">
        <v>15</v>
      </c>
      <c r="AK84">
        <v>15</v>
      </c>
      <c r="AL84">
        <v>15</v>
      </c>
      <c r="AM84">
        <v>15</v>
      </c>
      <c r="AN84">
        <v>15</v>
      </c>
      <c r="AO84">
        <v>15</v>
      </c>
      <c r="AP84">
        <v>17</v>
      </c>
      <c r="AQ84">
        <v>17</v>
      </c>
      <c r="AR84">
        <v>0</v>
      </c>
      <c r="AS84">
        <v>15</v>
      </c>
      <c r="AT84">
        <v>22</v>
      </c>
      <c r="AU84">
        <v>14</v>
      </c>
      <c r="AV84">
        <v>25</v>
      </c>
      <c r="AW84">
        <v>36</v>
      </c>
      <c r="AX84">
        <v>32</v>
      </c>
      <c r="AY84">
        <v>18</v>
      </c>
      <c r="AZ84">
        <v>12</v>
      </c>
      <c r="BA84">
        <v>11</v>
      </c>
      <c r="BB84">
        <v>20</v>
      </c>
      <c r="BC84">
        <v>29</v>
      </c>
      <c r="BD84">
        <v>49</v>
      </c>
      <c r="BE84">
        <v>13</v>
      </c>
      <c r="BF84">
        <v>55</v>
      </c>
      <c r="BG84">
        <v>41</v>
      </c>
      <c r="BH84">
        <v>27</v>
      </c>
      <c r="BI84">
        <v>11</v>
      </c>
      <c r="BJ84">
        <v>170496384</v>
      </c>
      <c r="BK84">
        <v>186219504</v>
      </c>
      <c r="BL84">
        <v>1396004.25</v>
      </c>
      <c r="BM84">
        <v>111993904</v>
      </c>
      <c r="BN84">
        <v>274882080</v>
      </c>
      <c r="BO84">
        <v>145599632</v>
      </c>
      <c r="BP84">
        <v>330058016</v>
      </c>
      <c r="BQ84">
        <v>875676928</v>
      </c>
      <c r="BR84">
        <v>267183904</v>
      </c>
      <c r="BS84">
        <v>151230528</v>
      </c>
      <c r="BT84">
        <v>44614212</v>
      </c>
      <c r="BU84">
        <v>99728136</v>
      </c>
      <c r="BV84">
        <v>265304240</v>
      </c>
      <c r="BW84">
        <v>423041536</v>
      </c>
      <c r="BX84">
        <v>1180834432</v>
      </c>
      <c r="BY84">
        <v>66979084</v>
      </c>
      <c r="BZ84">
        <v>1224681728</v>
      </c>
      <c r="CA84">
        <v>866463936</v>
      </c>
      <c r="CB84">
        <v>235554816</v>
      </c>
      <c r="CC84">
        <v>60349444</v>
      </c>
      <c r="CD84">
        <v>122459184</v>
      </c>
      <c r="CE84">
        <v>106735136</v>
      </c>
      <c r="CF84">
        <v>238994000</v>
      </c>
      <c r="CG84">
        <v>156286432</v>
      </c>
      <c r="CH84">
        <v>231647376</v>
      </c>
      <c r="CI84">
        <v>98663304</v>
      </c>
      <c r="CJ84">
        <v>339661760</v>
      </c>
      <c r="CK84">
        <v>695254784</v>
      </c>
      <c r="CL84">
        <v>286988864</v>
      </c>
      <c r="CM84">
        <v>177360848</v>
      </c>
      <c r="CN84">
        <v>215720352</v>
      </c>
      <c r="CO84">
        <v>91883800</v>
      </c>
      <c r="CP84">
        <v>283477888</v>
      </c>
      <c r="CQ84">
        <v>295478240</v>
      </c>
      <c r="CR84">
        <v>1198403712</v>
      </c>
      <c r="CS84">
        <v>67435392</v>
      </c>
      <c r="CT84">
        <v>1128819328</v>
      </c>
      <c r="CU84">
        <v>595587648</v>
      </c>
      <c r="CV84">
        <v>223657376</v>
      </c>
      <c r="CW84">
        <v>125550936</v>
      </c>
    </row>
    <row r="85" spans="1:101">
      <c r="A85">
        <v>31027</v>
      </c>
      <c r="B85" t="s">
        <v>378</v>
      </c>
      <c r="D85" t="s">
        <v>379</v>
      </c>
      <c r="F85" t="s">
        <v>380</v>
      </c>
      <c r="G85">
        <v>418.36700000000002</v>
      </c>
      <c r="H85" t="s">
        <v>104</v>
      </c>
      <c r="I85">
        <v>2</v>
      </c>
      <c r="J85">
        <v>20</v>
      </c>
      <c r="K85">
        <v>0</v>
      </c>
      <c r="L85">
        <v>0</v>
      </c>
      <c r="M85">
        <v>0</v>
      </c>
      <c r="N85">
        <v>-1</v>
      </c>
      <c r="O85">
        <v>10</v>
      </c>
      <c r="P85">
        <v>10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8</v>
      </c>
      <c r="W85">
        <v>11</v>
      </c>
      <c r="X85">
        <v>7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10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10</v>
      </c>
      <c r="AO85">
        <v>11</v>
      </c>
      <c r="AP85">
        <v>74</v>
      </c>
      <c r="AQ85">
        <v>88</v>
      </c>
      <c r="AR85">
        <v>1</v>
      </c>
      <c r="AS85">
        <v>65</v>
      </c>
      <c r="AT85">
        <v>75</v>
      </c>
      <c r="AU85">
        <v>26</v>
      </c>
      <c r="AV85">
        <v>68</v>
      </c>
      <c r="AW85">
        <v>62</v>
      </c>
      <c r="AX85">
        <v>60</v>
      </c>
      <c r="AY85">
        <v>41</v>
      </c>
      <c r="AZ85">
        <v>48</v>
      </c>
      <c r="BA85">
        <v>64</v>
      </c>
      <c r="BB85">
        <v>62</v>
      </c>
      <c r="BC85">
        <v>61</v>
      </c>
      <c r="BD85">
        <v>63</v>
      </c>
      <c r="BE85">
        <v>33</v>
      </c>
      <c r="BF85">
        <v>68</v>
      </c>
      <c r="BG85">
        <v>66</v>
      </c>
      <c r="BH85">
        <v>59</v>
      </c>
      <c r="BI85">
        <v>25</v>
      </c>
      <c r="BJ85">
        <v>1008257408</v>
      </c>
      <c r="BK85">
        <v>1207515648</v>
      </c>
      <c r="BL85">
        <v>2427381.75</v>
      </c>
      <c r="BM85">
        <v>738932864</v>
      </c>
      <c r="BN85">
        <v>1745681664</v>
      </c>
      <c r="BO85">
        <v>293298560</v>
      </c>
      <c r="BP85">
        <v>1503154048</v>
      </c>
      <c r="BQ85">
        <v>1567291136</v>
      </c>
      <c r="BR85">
        <v>881629056</v>
      </c>
      <c r="BS85">
        <v>337708192</v>
      </c>
      <c r="BT85">
        <v>253393040</v>
      </c>
      <c r="BU85">
        <v>1178166144</v>
      </c>
      <c r="BV85">
        <v>1458418944</v>
      </c>
      <c r="BW85">
        <v>1462710528</v>
      </c>
      <c r="BX85">
        <v>1721161216</v>
      </c>
      <c r="BY85">
        <v>344979040</v>
      </c>
      <c r="BZ85">
        <v>1389382144</v>
      </c>
      <c r="CA85">
        <v>1728254720</v>
      </c>
      <c r="CB85">
        <v>787966784</v>
      </c>
      <c r="CC85">
        <v>199610480</v>
      </c>
      <c r="CD85">
        <v>262136880</v>
      </c>
      <c r="CE85">
        <v>785847552</v>
      </c>
      <c r="CF85">
        <v>704150400</v>
      </c>
      <c r="CG85">
        <v>1055406592</v>
      </c>
      <c r="CH85">
        <v>1575563776</v>
      </c>
      <c r="CI85">
        <v>226899728</v>
      </c>
      <c r="CJ85">
        <v>1118994560</v>
      </c>
      <c r="CK85">
        <v>1080177792</v>
      </c>
      <c r="CL85">
        <v>388545184</v>
      </c>
      <c r="CM85">
        <v>474875392</v>
      </c>
      <c r="CN85">
        <v>711797376</v>
      </c>
      <c r="CO85">
        <v>1339822848</v>
      </c>
      <c r="CP85">
        <v>1324492032</v>
      </c>
      <c r="CQ85">
        <v>708092928</v>
      </c>
      <c r="CR85">
        <v>1322457216</v>
      </c>
      <c r="CS85">
        <v>408967584</v>
      </c>
      <c r="CT85">
        <v>1417463552</v>
      </c>
      <c r="CU85">
        <v>1235383552</v>
      </c>
      <c r="CV85">
        <v>797206528</v>
      </c>
      <c r="CW85">
        <v>471307520</v>
      </c>
    </row>
    <row r="86" spans="1:101">
      <c r="A86">
        <v>31066</v>
      </c>
      <c r="B86" t="s">
        <v>381</v>
      </c>
      <c r="D86" t="s">
        <v>382</v>
      </c>
      <c r="F86" t="s">
        <v>383</v>
      </c>
      <c r="G86">
        <v>418.11500000000001</v>
      </c>
      <c r="H86" t="s">
        <v>104</v>
      </c>
      <c r="I86">
        <v>2</v>
      </c>
      <c r="J86">
        <v>2</v>
      </c>
      <c r="K86">
        <v>0</v>
      </c>
      <c r="L86">
        <v>0</v>
      </c>
      <c r="M86">
        <v>0</v>
      </c>
      <c r="N86">
        <v>-1</v>
      </c>
      <c r="O86">
        <v>13</v>
      </c>
      <c r="P86">
        <v>13</v>
      </c>
      <c r="Q86">
        <v>13</v>
      </c>
      <c r="R86">
        <v>13</v>
      </c>
      <c r="S86">
        <v>13</v>
      </c>
      <c r="T86">
        <v>13</v>
      </c>
      <c r="U86">
        <v>13</v>
      </c>
      <c r="V86">
        <v>10</v>
      </c>
      <c r="W86">
        <v>13</v>
      </c>
      <c r="X86">
        <v>4</v>
      </c>
      <c r="Y86">
        <v>13</v>
      </c>
      <c r="Z86">
        <v>13</v>
      </c>
      <c r="AA86">
        <v>13</v>
      </c>
      <c r="AB86">
        <v>13</v>
      </c>
      <c r="AC86">
        <v>13</v>
      </c>
      <c r="AD86">
        <v>13</v>
      </c>
      <c r="AE86">
        <v>13</v>
      </c>
      <c r="AF86">
        <v>13</v>
      </c>
      <c r="AG86">
        <v>13</v>
      </c>
      <c r="AH86">
        <v>13</v>
      </c>
      <c r="AI86">
        <v>13</v>
      </c>
      <c r="AJ86">
        <v>13</v>
      </c>
      <c r="AK86">
        <v>13</v>
      </c>
      <c r="AL86">
        <v>13</v>
      </c>
      <c r="AM86">
        <v>13</v>
      </c>
      <c r="AN86">
        <v>13</v>
      </c>
      <c r="AO86">
        <v>13</v>
      </c>
      <c r="AP86">
        <v>12</v>
      </c>
      <c r="AQ86">
        <v>14</v>
      </c>
      <c r="AR86">
        <v>0</v>
      </c>
      <c r="AS86">
        <v>14</v>
      </c>
      <c r="AT86">
        <v>12</v>
      </c>
      <c r="AU86">
        <v>17</v>
      </c>
      <c r="AV86">
        <v>13</v>
      </c>
      <c r="AW86">
        <v>9</v>
      </c>
      <c r="AX86">
        <v>18</v>
      </c>
      <c r="AY86">
        <v>20</v>
      </c>
      <c r="AZ86">
        <v>7</v>
      </c>
      <c r="BA86">
        <v>17</v>
      </c>
      <c r="BB86">
        <v>11</v>
      </c>
      <c r="BC86">
        <v>18</v>
      </c>
      <c r="BD86">
        <v>9</v>
      </c>
      <c r="BE86">
        <v>12</v>
      </c>
      <c r="BF86">
        <v>12</v>
      </c>
      <c r="BG86">
        <v>8</v>
      </c>
      <c r="BH86">
        <v>16</v>
      </c>
      <c r="BI86">
        <v>13</v>
      </c>
      <c r="BJ86">
        <v>26073208</v>
      </c>
      <c r="BK86">
        <v>54237036</v>
      </c>
      <c r="BL86">
        <v>154627.12</v>
      </c>
      <c r="BM86">
        <v>31944658</v>
      </c>
      <c r="BN86">
        <v>28267016</v>
      </c>
      <c r="BO86">
        <v>50350344</v>
      </c>
      <c r="BP86">
        <v>40097204</v>
      </c>
      <c r="BQ86">
        <v>22702836</v>
      </c>
      <c r="BR86">
        <v>48558344</v>
      </c>
      <c r="BS86">
        <v>45662288</v>
      </c>
      <c r="BT86">
        <v>8579276</v>
      </c>
      <c r="BU86">
        <v>43407208</v>
      </c>
      <c r="BV86">
        <v>20437554</v>
      </c>
      <c r="BW86">
        <v>60381920</v>
      </c>
      <c r="BX86">
        <v>21092426</v>
      </c>
      <c r="BY86">
        <v>38721856</v>
      </c>
      <c r="BZ86">
        <v>33054932</v>
      </c>
      <c r="CA86">
        <v>22563486</v>
      </c>
      <c r="CB86">
        <v>44740032</v>
      </c>
      <c r="CC86">
        <v>33552936</v>
      </c>
      <c r="CD86">
        <v>32920472</v>
      </c>
      <c r="CE86">
        <v>37849044</v>
      </c>
      <c r="CF86">
        <v>23227468</v>
      </c>
      <c r="CG86">
        <v>41434420</v>
      </c>
      <c r="CH86">
        <v>26054144</v>
      </c>
      <c r="CI86">
        <v>39017204</v>
      </c>
      <c r="CJ86">
        <v>37667848</v>
      </c>
      <c r="CK86">
        <v>23881424</v>
      </c>
      <c r="CL86">
        <v>59383344</v>
      </c>
      <c r="CM86">
        <v>51351748</v>
      </c>
      <c r="CN86">
        <v>34688848</v>
      </c>
      <c r="CO86">
        <v>40124896</v>
      </c>
      <c r="CP86">
        <v>28749770</v>
      </c>
      <c r="CQ86">
        <v>44147076</v>
      </c>
      <c r="CR86">
        <v>28198544</v>
      </c>
      <c r="CS86">
        <v>40137032</v>
      </c>
      <c r="CT86">
        <v>41800692</v>
      </c>
      <c r="CU86">
        <v>22690690</v>
      </c>
      <c r="CV86">
        <v>62448092</v>
      </c>
      <c r="CW86">
        <v>57673024</v>
      </c>
    </row>
    <row r="87" spans="1:101">
      <c r="A87">
        <v>31018</v>
      </c>
      <c r="B87" t="s">
        <v>384</v>
      </c>
      <c r="D87" t="s">
        <v>385</v>
      </c>
      <c r="F87" t="s">
        <v>386</v>
      </c>
      <c r="G87">
        <v>416.06799999999998</v>
      </c>
      <c r="H87" t="s">
        <v>104</v>
      </c>
      <c r="I87">
        <v>2</v>
      </c>
      <c r="J87">
        <v>20</v>
      </c>
      <c r="K87">
        <v>0</v>
      </c>
      <c r="L87">
        <v>0</v>
      </c>
      <c r="M87">
        <v>0</v>
      </c>
      <c r="N87">
        <v>-1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10</v>
      </c>
      <c r="V87">
        <v>7</v>
      </c>
      <c r="W87">
        <v>10</v>
      </c>
      <c r="X87">
        <v>8</v>
      </c>
      <c r="Y87">
        <v>10</v>
      </c>
      <c r="Z87">
        <v>10</v>
      </c>
      <c r="AA87">
        <v>9</v>
      </c>
      <c r="AB87">
        <v>10</v>
      </c>
      <c r="AC87">
        <v>8</v>
      </c>
      <c r="AD87">
        <v>10</v>
      </c>
      <c r="AE87">
        <v>10</v>
      </c>
      <c r="AF87">
        <v>10</v>
      </c>
      <c r="AG87">
        <v>10</v>
      </c>
      <c r="AH87">
        <v>10</v>
      </c>
      <c r="AI87">
        <v>8</v>
      </c>
      <c r="AJ87">
        <v>8</v>
      </c>
      <c r="AK87">
        <v>10</v>
      </c>
      <c r="AL87">
        <v>7</v>
      </c>
      <c r="AM87">
        <v>10</v>
      </c>
      <c r="AN87">
        <v>9</v>
      </c>
      <c r="AO87">
        <v>10</v>
      </c>
      <c r="AP87">
        <v>48</v>
      </c>
      <c r="AQ87">
        <v>32</v>
      </c>
      <c r="AR87">
        <v>5</v>
      </c>
      <c r="AS87">
        <v>25</v>
      </c>
      <c r="AT87">
        <v>31</v>
      </c>
      <c r="AU87">
        <v>20</v>
      </c>
      <c r="AV87">
        <v>31</v>
      </c>
      <c r="AW87">
        <v>28</v>
      </c>
      <c r="AX87">
        <v>24</v>
      </c>
      <c r="AY87">
        <v>23</v>
      </c>
      <c r="AZ87">
        <v>16</v>
      </c>
      <c r="BA87">
        <v>25</v>
      </c>
      <c r="BB87">
        <v>27</v>
      </c>
      <c r="BC87">
        <v>24</v>
      </c>
      <c r="BD87">
        <v>27</v>
      </c>
      <c r="BE87">
        <v>21</v>
      </c>
      <c r="BF87">
        <v>21</v>
      </c>
      <c r="BG87">
        <v>29</v>
      </c>
      <c r="BH87">
        <v>20</v>
      </c>
      <c r="BI87">
        <v>17</v>
      </c>
      <c r="BJ87">
        <v>1076310144</v>
      </c>
      <c r="BK87">
        <v>1183112576</v>
      </c>
      <c r="BL87">
        <v>8893456</v>
      </c>
      <c r="BM87">
        <v>926584448</v>
      </c>
      <c r="BN87">
        <v>1194273920</v>
      </c>
      <c r="BO87">
        <v>360353056</v>
      </c>
      <c r="BP87">
        <v>1114592896</v>
      </c>
      <c r="BQ87">
        <v>1615179136</v>
      </c>
      <c r="BR87">
        <v>956393152</v>
      </c>
      <c r="BS87">
        <v>333894592</v>
      </c>
      <c r="BT87">
        <v>422113600</v>
      </c>
      <c r="BU87">
        <v>845204032</v>
      </c>
      <c r="BV87">
        <v>1182925696</v>
      </c>
      <c r="BW87">
        <v>1324359040</v>
      </c>
      <c r="BX87">
        <v>1623979648</v>
      </c>
      <c r="BY87">
        <v>315760960</v>
      </c>
      <c r="BZ87">
        <v>1368562688</v>
      </c>
      <c r="CA87">
        <v>1968612864</v>
      </c>
      <c r="CB87">
        <v>917547200</v>
      </c>
      <c r="CC87">
        <v>358899136</v>
      </c>
      <c r="CD87">
        <v>546238272</v>
      </c>
      <c r="CE87">
        <v>1578262144</v>
      </c>
      <c r="CF87">
        <v>1676870784</v>
      </c>
      <c r="CG87">
        <v>1140990336</v>
      </c>
      <c r="CH87">
        <v>2384539648</v>
      </c>
      <c r="CI87">
        <v>605694848</v>
      </c>
      <c r="CJ87">
        <v>2209065472</v>
      </c>
      <c r="CK87">
        <v>263826384</v>
      </c>
      <c r="CL87">
        <v>791948224</v>
      </c>
      <c r="CM87">
        <v>1120056448</v>
      </c>
      <c r="CN87">
        <v>927780544</v>
      </c>
      <c r="CO87">
        <v>1638259328</v>
      </c>
      <c r="CP87">
        <v>1292272000</v>
      </c>
      <c r="CQ87">
        <v>140804032</v>
      </c>
      <c r="CR87">
        <v>179949984</v>
      </c>
      <c r="CS87">
        <v>827862592</v>
      </c>
      <c r="CT87">
        <v>90820792</v>
      </c>
      <c r="CU87">
        <v>1082737152</v>
      </c>
      <c r="CV87">
        <v>820200384</v>
      </c>
      <c r="CW87">
        <v>1336540800</v>
      </c>
    </row>
    <row r="88" spans="1:101">
      <c r="A88">
        <v>30953</v>
      </c>
      <c r="B88" t="s">
        <v>387</v>
      </c>
      <c r="D88" t="s">
        <v>388</v>
      </c>
      <c r="F88" t="s">
        <v>389</v>
      </c>
      <c r="G88">
        <v>408.31</v>
      </c>
      <c r="H88" t="s">
        <v>104</v>
      </c>
      <c r="I88">
        <v>2</v>
      </c>
      <c r="J88">
        <v>21</v>
      </c>
      <c r="K88">
        <v>0</v>
      </c>
      <c r="L88">
        <v>0</v>
      </c>
      <c r="M88">
        <v>0</v>
      </c>
      <c r="N88">
        <v>-1</v>
      </c>
      <c r="O88">
        <v>7</v>
      </c>
      <c r="P88">
        <v>7</v>
      </c>
      <c r="Q88">
        <v>9</v>
      </c>
      <c r="R88">
        <v>9</v>
      </c>
      <c r="S88">
        <v>9</v>
      </c>
      <c r="T88">
        <v>9</v>
      </c>
      <c r="U88">
        <v>9</v>
      </c>
      <c r="V88">
        <v>9</v>
      </c>
      <c r="W88">
        <v>9</v>
      </c>
      <c r="X88">
        <v>8</v>
      </c>
      <c r="Y88">
        <v>9</v>
      </c>
      <c r="Z88">
        <v>9</v>
      </c>
      <c r="AA88">
        <v>9</v>
      </c>
      <c r="AB88">
        <v>9</v>
      </c>
      <c r="AC88">
        <v>9</v>
      </c>
      <c r="AD88">
        <v>9</v>
      </c>
      <c r="AE88">
        <v>9</v>
      </c>
      <c r="AF88">
        <v>9</v>
      </c>
      <c r="AG88">
        <v>9</v>
      </c>
      <c r="AH88">
        <v>9</v>
      </c>
      <c r="AI88">
        <v>9</v>
      </c>
      <c r="AJ88">
        <v>9</v>
      </c>
      <c r="AK88">
        <v>9</v>
      </c>
      <c r="AL88">
        <v>9</v>
      </c>
      <c r="AM88">
        <v>9</v>
      </c>
      <c r="AN88">
        <v>9</v>
      </c>
      <c r="AO88">
        <v>9</v>
      </c>
      <c r="AP88">
        <v>37</v>
      </c>
      <c r="AQ88">
        <v>40</v>
      </c>
      <c r="AR88">
        <v>4</v>
      </c>
      <c r="AS88">
        <v>22</v>
      </c>
      <c r="AT88">
        <v>21</v>
      </c>
      <c r="AU88">
        <v>37</v>
      </c>
      <c r="AV88">
        <v>23</v>
      </c>
      <c r="AW88">
        <v>35</v>
      </c>
      <c r="AX88">
        <v>16</v>
      </c>
      <c r="AY88">
        <v>32</v>
      </c>
      <c r="AZ88">
        <v>14</v>
      </c>
      <c r="BA88">
        <v>35</v>
      </c>
      <c r="BB88">
        <v>29</v>
      </c>
      <c r="BC88">
        <v>28</v>
      </c>
      <c r="BD88">
        <v>21</v>
      </c>
      <c r="BE88">
        <v>26</v>
      </c>
      <c r="BF88">
        <v>21</v>
      </c>
      <c r="BG88">
        <v>34</v>
      </c>
      <c r="BH88">
        <v>14</v>
      </c>
      <c r="BI88">
        <v>28</v>
      </c>
      <c r="BJ88">
        <v>384062560</v>
      </c>
      <c r="BK88">
        <v>824519168</v>
      </c>
      <c r="BL88">
        <v>2909982.5</v>
      </c>
      <c r="BM88">
        <v>217960704</v>
      </c>
      <c r="BN88">
        <v>234057520</v>
      </c>
      <c r="BO88">
        <v>582373568</v>
      </c>
      <c r="BP88">
        <v>250283168</v>
      </c>
      <c r="BQ88">
        <v>590348224</v>
      </c>
      <c r="BR88">
        <v>102052784</v>
      </c>
      <c r="BS88">
        <v>462846688</v>
      </c>
      <c r="BT88">
        <v>80983656</v>
      </c>
      <c r="BU88">
        <v>651926080</v>
      </c>
      <c r="BV88">
        <v>429338112</v>
      </c>
      <c r="BW88">
        <v>407349568</v>
      </c>
      <c r="BX88">
        <v>211426496</v>
      </c>
      <c r="BY88">
        <v>463129152</v>
      </c>
      <c r="BZ88">
        <v>176224816</v>
      </c>
      <c r="CA88">
        <v>657804544</v>
      </c>
      <c r="CB88">
        <v>90966560</v>
      </c>
      <c r="CC88">
        <v>302076000</v>
      </c>
      <c r="CD88">
        <v>385888096</v>
      </c>
      <c r="CE88">
        <v>468586464</v>
      </c>
      <c r="CF88">
        <v>400775904</v>
      </c>
      <c r="CG88">
        <v>248152944</v>
      </c>
      <c r="CH88">
        <v>176241872</v>
      </c>
      <c r="CI88">
        <v>431063392</v>
      </c>
      <c r="CJ88">
        <v>201445600</v>
      </c>
      <c r="CK88">
        <v>526747296</v>
      </c>
      <c r="CL88">
        <v>116341576</v>
      </c>
      <c r="CM88">
        <v>410813856</v>
      </c>
      <c r="CN88">
        <v>299934720</v>
      </c>
      <c r="CO88">
        <v>500786560</v>
      </c>
      <c r="CP88">
        <v>524561728</v>
      </c>
      <c r="CQ88">
        <v>268632480</v>
      </c>
      <c r="CR88">
        <v>213964960</v>
      </c>
      <c r="CS88">
        <v>404231488</v>
      </c>
      <c r="CT88">
        <v>191501488</v>
      </c>
      <c r="CU88">
        <v>543572800</v>
      </c>
      <c r="CV88">
        <v>126588400</v>
      </c>
      <c r="CW88">
        <v>521410176</v>
      </c>
    </row>
    <row r="89" spans="1:101">
      <c r="A89">
        <v>31055</v>
      </c>
      <c r="B89" t="s">
        <v>390</v>
      </c>
      <c r="D89" t="s">
        <v>391</v>
      </c>
      <c r="E89" t="s">
        <v>392</v>
      </c>
      <c r="F89" t="s">
        <v>393</v>
      </c>
      <c r="G89">
        <v>403.59199999999998</v>
      </c>
      <c r="H89" t="s">
        <v>104</v>
      </c>
      <c r="I89">
        <v>2</v>
      </c>
      <c r="J89">
        <v>19</v>
      </c>
      <c r="K89">
        <v>1</v>
      </c>
      <c r="L89">
        <v>0</v>
      </c>
      <c r="M89">
        <v>0</v>
      </c>
      <c r="N89">
        <v>-1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10</v>
      </c>
      <c r="U89">
        <v>10</v>
      </c>
      <c r="V89">
        <v>10</v>
      </c>
      <c r="W89">
        <v>10</v>
      </c>
      <c r="X89">
        <v>10</v>
      </c>
      <c r="Y89">
        <v>9</v>
      </c>
      <c r="Z89">
        <v>10</v>
      </c>
      <c r="AA89">
        <v>9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10</v>
      </c>
      <c r="AI89">
        <v>9</v>
      </c>
      <c r="AJ89">
        <v>9</v>
      </c>
      <c r="AK89">
        <v>9</v>
      </c>
      <c r="AL89">
        <v>9</v>
      </c>
      <c r="AM89">
        <v>10</v>
      </c>
      <c r="AN89">
        <v>9</v>
      </c>
      <c r="AO89">
        <v>9</v>
      </c>
      <c r="AP89">
        <v>41</v>
      </c>
      <c r="AQ89">
        <v>14</v>
      </c>
      <c r="AR89">
        <v>0</v>
      </c>
      <c r="AS89">
        <v>14</v>
      </c>
      <c r="AT89">
        <v>19</v>
      </c>
      <c r="AU89">
        <v>18</v>
      </c>
      <c r="AV89">
        <v>16</v>
      </c>
      <c r="AW89">
        <v>20</v>
      </c>
      <c r="AX89">
        <v>18</v>
      </c>
      <c r="AY89">
        <v>19</v>
      </c>
      <c r="AZ89">
        <v>16</v>
      </c>
      <c r="BA89">
        <v>12</v>
      </c>
      <c r="BB89">
        <v>25</v>
      </c>
      <c r="BC89">
        <v>17</v>
      </c>
      <c r="BD89">
        <v>16</v>
      </c>
      <c r="BE89">
        <v>18</v>
      </c>
      <c r="BF89">
        <v>12</v>
      </c>
      <c r="BG89">
        <v>21</v>
      </c>
      <c r="BH89">
        <v>18</v>
      </c>
      <c r="BI89">
        <v>15</v>
      </c>
      <c r="BJ89">
        <v>360379712</v>
      </c>
      <c r="BK89">
        <v>73117040</v>
      </c>
      <c r="BL89">
        <v>961390.56</v>
      </c>
      <c r="BM89">
        <v>55236680</v>
      </c>
      <c r="BN89">
        <v>137634000</v>
      </c>
      <c r="BO89">
        <v>141178640</v>
      </c>
      <c r="BP89">
        <v>120745848</v>
      </c>
      <c r="BQ89">
        <v>246861664</v>
      </c>
      <c r="BR89">
        <v>118142648</v>
      </c>
      <c r="BS89">
        <v>112016224</v>
      </c>
      <c r="BT89">
        <v>85607648</v>
      </c>
      <c r="BU89">
        <v>61740436</v>
      </c>
      <c r="BV89">
        <v>223735072</v>
      </c>
      <c r="BW89">
        <v>114757328</v>
      </c>
      <c r="BX89">
        <v>100732648</v>
      </c>
      <c r="BY89">
        <v>120218792</v>
      </c>
      <c r="BZ89">
        <v>79966264</v>
      </c>
      <c r="CA89">
        <v>260130208</v>
      </c>
      <c r="CB89">
        <v>80651784</v>
      </c>
      <c r="CC89">
        <v>89799416</v>
      </c>
      <c r="CD89">
        <v>363950272</v>
      </c>
      <c r="CE89">
        <v>40070504</v>
      </c>
      <c r="CF89">
        <v>98686760</v>
      </c>
      <c r="CG89">
        <v>58537008</v>
      </c>
      <c r="CH89">
        <v>105749624</v>
      </c>
      <c r="CI89">
        <v>84908136</v>
      </c>
      <c r="CJ89">
        <v>92369112</v>
      </c>
      <c r="CK89">
        <v>216331504</v>
      </c>
      <c r="CL89">
        <v>115816864</v>
      </c>
      <c r="CM89">
        <v>98830064</v>
      </c>
      <c r="CN89">
        <v>261664688</v>
      </c>
      <c r="CO89">
        <v>43585408</v>
      </c>
      <c r="CP89">
        <v>236602720</v>
      </c>
      <c r="CQ89">
        <v>69024384</v>
      </c>
      <c r="CR89">
        <v>106133184</v>
      </c>
      <c r="CS89">
        <v>95341568</v>
      </c>
      <c r="CT89">
        <v>80730584</v>
      </c>
      <c r="CU89">
        <v>208628800</v>
      </c>
      <c r="CV89">
        <v>94683048</v>
      </c>
      <c r="CW89">
        <v>135090976</v>
      </c>
    </row>
    <row r="90" spans="1:101">
      <c r="A90">
        <v>30976</v>
      </c>
      <c r="B90" t="s">
        <v>394</v>
      </c>
      <c r="D90" t="s">
        <v>395</v>
      </c>
      <c r="F90" t="s">
        <v>396</v>
      </c>
      <c r="G90">
        <v>402.65600000000001</v>
      </c>
      <c r="H90" t="s">
        <v>104</v>
      </c>
      <c r="I90">
        <v>2</v>
      </c>
      <c r="J90">
        <v>3</v>
      </c>
      <c r="K90">
        <v>0</v>
      </c>
      <c r="L90">
        <v>0</v>
      </c>
      <c r="M90">
        <v>0</v>
      </c>
      <c r="N90">
        <v>-1</v>
      </c>
      <c r="O90">
        <v>7</v>
      </c>
      <c r="P90">
        <v>7</v>
      </c>
      <c r="Q90">
        <v>9</v>
      </c>
      <c r="R90">
        <v>9</v>
      </c>
      <c r="S90">
        <v>9</v>
      </c>
      <c r="T90">
        <v>9</v>
      </c>
      <c r="U90">
        <v>9</v>
      </c>
      <c r="V90">
        <v>8</v>
      </c>
      <c r="W90">
        <v>8</v>
      </c>
      <c r="X90">
        <v>5</v>
      </c>
      <c r="Y90">
        <v>9</v>
      </c>
      <c r="Z90">
        <v>8</v>
      </c>
      <c r="AA90">
        <v>9</v>
      </c>
      <c r="AB90">
        <v>8</v>
      </c>
      <c r="AC90">
        <v>7</v>
      </c>
      <c r="AD90">
        <v>9</v>
      </c>
      <c r="AE90">
        <v>9</v>
      </c>
      <c r="AF90">
        <v>9</v>
      </c>
      <c r="AG90">
        <v>9</v>
      </c>
      <c r="AH90">
        <v>9</v>
      </c>
      <c r="AI90">
        <v>9</v>
      </c>
      <c r="AJ90">
        <v>8</v>
      </c>
      <c r="AK90">
        <v>9</v>
      </c>
      <c r="AL90">
        <v>9</v>
      </c>
      <c r="AM90">
        <v>9</v>
      </c>
      <c r="AN90">
        <v>9</v>
      </c>
      <c r="AO90">
        <v>9</v>
      </c>
      <c r="AP90">
        <v>15</v>
      </c>
      <c r="AQ90">
        <v>14</v>
      </c>
      <c r="AR90">
        <v>10</v>
      </c>
      <c r="AS90">
        <v>19</v>
      </c>
      <c r="AT90">
        <v>7</v>
      </c>
      <c r="AU90">
        <v>19</v>
      </c>
      <c r="AV90">
        <v>10</v>
      </c>
      <c r="AW90">
        <v>7</v>
      </c>
      <c r="AX90">
        <v>15</v>
      </c>
      <c r="AY90">
        <v>15</v>
      </c>
      <c r="AZ90">
        <v>5</v>
      </c>
      <c r="BA90">
        <v>13</v>
      </c>
      <c r="BB90">
        <v>6</v>
      </c>
      <c r="BC90">
        <v>16</v>
      </c>
      <c r="BD90">
        <v>7</v>
      </c>
      <c r="BE90">
        <v>14</v>
      </c>
      <c r="BF90">
        <v>10</v>
      </c>
      <c r="BG90">
        <v>7</v>
      </c>
      <c r="BH90">
        <v>16</v>
      </c>
      <c r="BI90">
        <v>15</v>
      </c>
      <c r="BJ90">
        <v>36364548</v>
      </c>
      <c r="BK90">
        <v>80660856</v>
      </c>
      <c r="BL90">
        <v>4966251</v>
      </c>
      <c r="BM90">
        <v>90241656</v>
      </c>
      <c r="BN90">
        <v>55920480</v>
      </c>
      <c r="BO90">
        <v>104154792</v>
      </c>
      <c r="BP90">
        <v>90478656</v>
      </c>
      <c r="BQ90">
        <v>53102988</v>
      </c>
      <c r="BR90">
        <v>119734160</v>
      </c>
      <c r="BS90">
        <v>95804744</v>
      </c>
      <c r="BT90">
        <v>18276902</v>
      </c>
      <c r="BU90">
        <v>95657336</v>
      </c>
      <c r="BV90">
        <v>44672812</v>
      </c>
      <c r="BW90">
        <v>164186160</v>
      </c>
      <c r="BX90">
        <v>49754016</v>
      </c>
      <c r="BY90">
        <v>95755344</v>
      </c>
      <c r="BZ90">
        <v>76123784</v>
      </c>
      <c r="CA90">
        <v>59727524</v>
      </c>
      <c r="CB90">
        <v>89606928</v>
      </c>
      <c r="CC90">
        <v>85742184</v>
      </c>
      <c r="CD90">
        <v>59353584</v>
      </c>
      <c r="CE90">
        <v>62808124</v>
      </c>
      <c r="CF90">
        <v>120823800</v>
      </c>
      <c r="CG90">
        <v>108690160</v>
      </c>
      <c r="CH90">
        <v>55203832</v>
      </c>
      <c r="CI90">
        <v>86533592</v>
      </c>
      <c r="CJ90">
        <v>83555984</v>
      </c>
      <c r="CK90">
        <v>63210060</v>
      </c>
      <c r="CL90">
        <v>122455424</v>
      </c>
      <c r="CM90">
        <v>111380248</v>
      </c>
      <c r="CN90">
        <v>93536608</v>
      </c>
      <c r="CO90">
        <v>89431368</v>
      </c>
      <c r="CP90">
        <v>65767184</v>
      </c>
      <c r="CQ90">
        <v>129756600</v>
      </c>
      <c r="CR90">
        <v>67298544</v>
      </c>
      <c r="CS90">
        <v>89611640</v>
      </c>
      <c r="CT90">
        <v>97429328</v>
      </c>
      <c r="CU90">
        <v>63536684</v>
      </c>
      <c r="CV90">
        <v>132275272</v>
      </c>
      <c r="CW90">
        <v>161174784</v>
      </c>
    </row>
    <row r="91" spans="1:101">
      <c r="A91">
        <v>30944</v>
      </c>
      <c r="B91" t="s">
        <v>397</v>
      </c>
      <c r="D91" t="s">
        <v>398</v>
      </c>
      <c r="F91" t="s">
        <v>399</v>
      </c>
      <c r="G91">
        <v>400.83499999999998</v>
      </c>
      <c r="H91" t="s">
        <v>104</v>
      </c>
      <c r="I91">
        <v>2</v>
      </c>
      <c r="J91">
        <v>19</v>
      </c>
      <c r="K91">
        <v>0</v>
      </c>
      <c r="L91">
        <v>0</v>
      </c>
      <c r="M91">
        <v>0</v>
      </c>
      <c r="N91">
        <v>-1</v>
      </c>
      <c r="O91">
        <v>10</v>
      </c>
      <c r="P91">
        <v>10</v>
      </c>
      <c r="Q91">
        <v>12</v>
      </c>
      <c r="R91">
        <v>12</v>
      </c>
      <c r="S91">
        <v>12</v>
      </c>
      <c r="T91">
        <v>12</v>
      </c>
      <c r="U91">
        <v>12</v>
      </c>
      <c r="V91">
        <v>7</v>
      </c>
      <c r="W91">
        <v>9</v>
      </c>
      <c r="X91">
        <v>10</v>
      </c>
      <c r="Y91">
        <v>12</v>
      </c>
      <c r="Z91">
        <v>12</v>
      </c>
      <c r="AA91">
        <v>12</v>
      </c>
      <c r="AB91">
        <v>12</v>
      </c>
      <c r="AC91">
        <v>12</v>
      </c>
      <c r="AD91">
        <v>12</v>
      </c>
      <c r="AE91">
        <v>12</v>
      </c>
      <c r="AF91">
        <v>11</v>
      </c>
      <c r="AG91">
        <v>11</v>
      </c>
      <c r="AH91">
        <v>12</v>
      </c>
      <c r="AI91">
        <v>12</v>
      </c>
      <c r="AJ91">
        <v>12</v>
      </c>
      <c r="AK91">
        <v>11</v>
      </c>
      <c r="AL91">
        <v>12</v>
      </c>
      <c r="AM91">
        <v>12</v>
      </c>
      <c r="AN91">
        <v>12</v>
      </c>
      <c r="AO91">
        <v>11</v>
      </c>
      <c r="AP91">
        <v>15</v>
      </c>
      <c r="AQ91">
        <v>11</v>
      </c>
      <c r="AR91">
        <v>5</v>
      </c>
      <c r="AS91">
        <v>13</v>
      </c>
      <c r="AT91">
        <v>17</v>
      </c>
      <c r="AU91">
        <v>12</v>
      </c>
      <c r="AV91">
        <v>19</v>
      </c>
      <c r="AW91">
        <v>38</v>
      </c>
      <c r="AX91">
        <v>20</v>
      </c>
      <c r="AY91">
        <v>12</v>
      </c>
      <c r="AZ91">
        <v>10</v>
      </c>
      <c r="BA91">
        <v>12</v>
      </c>
      <c r="BB91">
        <v>13</v>
      </c>
      <c r="BC91">
        <v>25</v>
      </c>
      <c r="BD91">
        <v>44</v>
      </c>
      <c r="BE91">
        <v>9</v>
      </c>
      <c r="BF91">
        <v>40</v>
      </c>
      <c r="BG91">
        <v>35</v>
      </c>
      <c r="BH91">
        <v>23</v>
      </c>
      <c r="BI91">
        <v>9</v>
      </c>
      <c r="BJ91">
        <v>141895504</v>
      </c>
      <c r="BK91">
        <v>120445664</v>
      </c>
      <c r="BL91">
        <v>8590189</v>
      </c>
      <c r="BM91">
        <v>88368928</v>
      </c>
      <c r="BN91">
        <v>165394256</v>
      </c>
      <c r="BO91">
        <v>117418424</v>
      </c>
      <c r="BP91">
        <v>207133616</v>
      </c>
      <c r="BQ91">
        <v>818747776</v>
      </c>
      <c r="BR91">
        <v>234579904</v>
      </c>
      <c r="BS91">
        <v>101102184</v>
      </c>
      <c r="BT91">
        <v>34579220</v>
      </c>
      <c r="BU91">
        <v>80751352</v>
      </c>
      <c r="BV91">
        <v>218421216</v>
      </c>
      <c r="BW91">
        <v>416644288</v>
      </c>
      <c r="BX91">
        <v>946448384</v>
      </c>
      <c r="BY91">
        <v>59961944</v>
      </c>
      <c r="BZ91">
        <v>932241600</v>
      </c>
      <c r="CA91">
        <v>782470912</v>
      </c>
      <c r="CB91">
        <v>220255952</v>
      </c>
      <c r="CC91">
        <v>58808612</v>
      </c>
      <c r="CD91">
        <v>32680940</v>
      </c>
      <c r="CE91">
        <v>51805260</v>
      </c>
      <c r="CF91">
        <v>1854355840</v>
      </c>
      <c r="CG91">
        <v>147273344</v>
      </c>
      <c r="CH91">
        <v>156006496</v>
      </c>
      <c r="CI91">
        <v>83850176</v>
      </c>
      <c r="CJ91">
        <v>252304480</v>
      </c>
      <c r="CK91">
        <v>439173984</v>
      </c>
      <c r="CL91">
        <v>225607536</v>
      </c>
      <c r="CM91">
        <v>117740200</v>
      </c>
      <c r="CN91">
        <v>243331328</v>
      </c>
      <c r="CO91">
        <v>75863224</v>
      </c>
      <c r="CP91">
        <v>207937776</v>
      </c>
      <c r="CQ91">
        <v>220607648</v>
      </c>
      <c r="CR91">
        <v>681856320</v>
      </c>
      <c r="CS91">
        <v>106777424</v>
      </c>
      <c r="CT91">
        <v>554688576</v>
      </c>
      <c r="CU91">
        <v>483518144</v>
      </c>
      <c r="CV91">
        <v>221907856</v>
      </c>
      <c r="CW91">
        <v>99235080</v>
      </c>
    </row>
    <row r="92" spans="1:101">
      <c r="A92">
        <v>30970</v>
      </c>
      <c r="B92" t="s">
        <v>400</v>
      </c>
      <c r="D92" t="s">
        <v>401</v>
      </c>
      <c r="F92" t="s">
        <v>402</v>
      </c>
      <c r="G92">
        <v>394.62099999999998</v>
      </c>
      <c r="H92" t="s">
        <v>104</v>
      </c>
      <c r="I92">
        <v>2</v>
      </c>
      <c r="J92">
        <v>20</v>
      </c>
      <c r="K92">
        <v>0</v>
      </c>
      <c r="L92">
        <v>0</v>
      </c>
      <c r="M92">
        <v>0</v>
      </c>
      <c r="N92">
        <v>-1</v>
      </c>
      <c r="O92">
        <v>8</v>
      </c>
      <c r="P92">
        <v>8</v>
      </c>
      <c r="Q92">
        <v>9</v>
      </c>
      <c r="R92">
        <v>9</v>
      </c>
      <c r="S92">
        <v>9</v>
      </c>
      <c r="T92">
        <v>9</v>
      </c>
      <c r="U92">
        <v>9</v>
      </c>
      <c r="V92">
        <v>8</v>
      </c>
      <c r="W92">
        <v>9</v>
      </c>
      <c r="X92">
        <v>7</v>
      </c>
      <c r="Y92">
        <v>9</v>
      </c>
      <c r="Z92">
        <v>9</v>
      </c>
      <c r="AA92">
        <v>8</v>
      </c>
      <c r="AB92">
        <v>9</v>
      </c>
      <c r="AC92">
        <v>9</v>
      </c>
      <c r="AD92">
        <v>9</v>
      </c>
      <c r="AE92">
        <v>9</v>
      </c>
      <c r="AF92">
        <v>9</v>
      </c>
      <c r="AG92">
        <v>9</v>
      </c>
      <c r="AH92">
        <v>9</v>
      </c>
      <c r="AI92">
        <v>9</v>
      </c>
      <c r="AJ92">
        <v>9</v>
      </c>
      <c r="AK92">
        <v>9</v>
      </c>
      <c r="AL92">
        <v>9</v>
      </c>
      <c r="AM92">
        <v>9</v>
      </c>
      <c r="AN92">
        <v>9</v>
      </c>
      <c r="AO92">
        <v>9</v>
      </c>
      <c r="AP92">
        <v>11</v>
      </c>
      <c r="AQ92">
        <v>14</v>
      </c>
      <c r="AR92">
        <v>1</v>
      </c>
      <c r="AS92">
        <v>16</v>
      </c>
      <c r="AT92">
        <v>23</v>
      </c>
      <c r="AU92">
        <v>14</v>
      </c>
      <c r="AV92">
        <v>31</v>
      </c>
      <c r="AW92">
        <v>20</v>
      </c>
      <c r="AX92">
        <v>18</v>
      </c>
      <c r="AY92">
        <v>15</v>
      </c>
      <c r="AZ92">
        <v>8</v>
      </c>
      <c r="BA92">
        <v>11</v>
      </c>
      <c r="BB92">
        <v>17</v>
      </c>
      <c r="BC92">
        <v>21</v>
      </c>
      <c r="BD92">
        <v>33</v>
      </c>
      <c r="BE92">
        <v>8</v>
      </c>
      <c r="BF92">
        <v>38</v>
      </c>
      <c r="BG92">
        <v>24</v>
      </c>
      <c r="BH92">
        <v>16</v>
      </c>
      <c r="BI92">
        <v>5</v>
      </c>
      <c r="BJ92">
        <v>83006464</v>
      </c>
      <c r="BK92">
        <v>124147064</v>
      </c>
      <c r="BL92">
        <v>1143861.3799999999</v>
      </c>
      <c r="BM92">
        <v>80833528</v>
      </c>
      <c r="BN92">
        <v>347309408</v>
      </c>
      <c r="BO92">
        <v>101530248</v>
      </c>
      <c r="BP92">
        <v>434877664</v>
      </c>
      <c r="BQ92">
        <v>457051328</v>
      </c>
      <c r="BR92">
        <v>163360320</v>
      </c>
      <c r="BS92">
        <v>90511672</v>
      </c>
      <c r="BT92">
        <v>25490976</v>
      </c>
      <c r="BU92">
        <v>65599356</v>
      </c>
      <c r="BV92">
        <v>149157440</v>
      </c>
      <c r="BW92">
        <v>237351616</v>
      </c>
      <c r="BX92">
        <v>773588416</v>
      </c>
      <c r="BY92">
        <v>75812616</v>
      </c>
      <c r="BZ92">
        <v>666228352</v>
      </c>
      <c r="CA92">
        <v>387765824</v>
      </c>
      <c r="CB92">
        <v>140307776</v>
      </c>
      <c r="CC92">
        <v>20081648</v>
      </c>
      <c r="CD92">
        <v>45848416</v>
      </c>
      <c r="CE92">
        <v>108675096</v>
      </c>
      <c r="CF92">
        <v>146571568</v>
      </c>
      <c r="CG92">
        <v>130717368</v>
      </c>
      <c r="CH92">
        <v>336710880</v>
      </c>
      <c r="CI92">
        <v>63095328</v>
      </c>
      <c r="CJ92">
        <v>438016704</v>
      </c>
      <c r="CK92">
        <v>358692000</v>
      </c>
      <c r="CL92">
        <v>178806128</v>
      </c>
      <c r="CM92">
        <v>108822944</v>
      </c>
      <c r="CN92">
        <v>139226560</v>
      </c>
      <c r="CO92">
        <v>64639176</v>
      </c>
      <c r="CP92">
        <v>217496944</v>
      </c>
      <c r="CQ92">
        <v>166781616</v>
      </c>
      <c r="CR92">
        <v>714871552</v>
      </c>
      <c r="CS92">
        <v>82525480</v>
      </c>
      <c r="CT92">
        <v>611980544</v>
      </c>
      <c r="CU92">
        <v>294830720</v>
      </c>
      <c r="CV92">
        <v>146631376</v>
      </c>
      <c r="CW92">
        <v>40735848</v>
      </c>
    </row>
    <row r="93" spans="1:101">
      <c r="A93">
        <v>30983</v>
      </c>
      <c r="B93" t="s">
        <v>403</v>
      </c>
      <c r="D93" t="s">
        <v>404</v>
      </c>
      <c r="F93" t="s">
        <v>405</v>
      </c>
      <c r="G93">
        <v>383.30099999999999</v>
      </c>
      <c r="H93" t="s">
        <v>104</v>
      </c>
      <c r="I93">
        <v>2</v>
      </c>
      <c r="J93">
        <v>21</v>
      </c>
      <c r="K93">
        <v>0</v>
      </c>
      <c r="L93">
        <v>0</v>
      </c>
      <c r="M93">
        <v>0</v>
      </c>
      <c r="N93">
        <v>-1</v>
      </c>
      <c r="O93">
        <v>18</v>
      </c>
      <c r="P93">
        <v>18</v>
      </c>
      <c r="Q93">
        <v>19</v>
      </c>
      <c r="R93">
        <v>19</v>
      </c>
      <c r="S93">
        <v>19</v>
      </c>
      <c r="T93">
        <v>19</v>
      </c>
      <c r="U93">
        <v>19</v>
      </c>
      <c r="V93">
        <v>10</v>
      </c>
      <c r="W93">
        <v>16</v>
      </c>
      <c r="X93">
        <v>13</v>
      </c>
      <c r="Y93">
        <v>19</v>
      </c>
      <c r="Z93">
        <v>19</v>
      </c>
      <c r="AA93">
        <v>18</v>
      </c>
      <c r="AB93">
        <v>19</v>
      </c>
      <c r="AC93">
        <v>19</v>
      </c>
      <c r="AD93">
        <v>19</v>
      </c>
      <c r="AE93">
        <v>19</v>
      </c>
      <c r="AF93">
        <v>19</v>
      </c>
      <c r="AG93">
        <v>19</v>
      </c>
      <c r="AH93">
        <v>19</v>
      </c>
      <c r="AI93">
        <v>19</v>
      </c>
      <c r="AJ93">
        <v>19</v>
      </c>
      <c r="AK93">
        <v>19</v>
      </c>
      <c r="AL93">
        <v>19</v>
      </c>
      <c r="AM93">
        <v>19</v>
      </c>
      <c r="AN93">
        <v>18</v>
      </c>
      <c r="AO93">
        <v>19</v>
      </c>
      <c r="AP93">
        <v>22</v>
      </c>
      <c r="AQ93">
        <v>27</v>
      </c>
      <c r="AR93">
        <v>1</v>
      </c>
      <c r="AS93">
        <v>21</v>
      </c>
      <c r="AT93">
        <v>22</v>
      </c>
      <c r="AU93">
        <v>20</v>
      </c>
      <c r="AV93">
        <v>29</v>
      </c>
      <c r="AW93">
        <v>47</v>
      </c>
      <c r="AX93">
        <v>26</v>
      </c>
      <c r="AY93">
        <v>23</v>
      </c>
      <c r="AZ93">
        <v>12</v>
      </c>
      <c r="BA93">
        <v>18</v>
      </c>
      <c r="BB93">
        <v>28</v>
      </c>
      <c r="BC93">
        <v>29</v>
      </c>
      <c r="BD93">
        <v>53</v>
      </c>
      <c r="BE93">
        <v>13</v>
      </c>
      <c r="BF93">
        <v>59</v>
      </c>
      <c r="BG93">
        <v>45</v>
      </c>
      <c r="BH93">
        <v>24</v>
      </c>
      <c r="BI93">
        <v>11</v>
      </c>
      <c r="BJ93">
        <v>170958608</v>
      </c>
      <c r="BK93">
        <v>204401632</v>
      </c>
      <c r="BL93">
        <v>1645310.62</v>
      </c>
      <c r="BM93">
        <v>139136512</v>
      </c>
      <c r="BN93">
        <v>316057856</v>
      </c>
      <c r="BO93">
        <v>167573616</v>
      </c>
      <c r="BP93">
        <v>387694208</v>
      </c>
      <c r="BQ93">
        <v>1004420480</v>
      </c>
      <c r="BR93">
        <v>352904128</v>
      </c>
      <c r="BS93">
        <v>141195328</v>
      </c>
      <c r="BT93">
        <v>43592472</v>
      </c>
      <c r="BU93">
        <v>118045984</v>
      </c>
      <c r="BV93">
        <v>331438112</v>
      </c>
      <c r="BW93">
        <v>526624448</v>
      </c>
      <c r="BX93">
        <v>1176521344</v>
      </c>
      <c r="BY93">
        <v>73806504</v>
      </c>
      <c r="BZ93">
        <v>1201903360</v>
      </c>
      <c r="CA93">
        <v>1044327232</v>
      </c>
      <c r="CB93">
        <v>249956896</v>
      </c>
      <c r="CC93">
        <v>51277980</v>
      </c>
      <c r="CD93">
        <v>61238976</v>
      </c>
      <c r="CE93">
        <v>116777240</v>
      </c>
      <c r="CF93">
        <v>300026048</v>
      </c>
      <c r="CG93">
        <v>200257168</v>
      </c>
      <c r="CH93">
        <v>262988112</v>
      </c>
      <c r="CI93">
        <v>84801720</v>
      </c>
      <c r="CJ93">
        <v>378145664</v>
      </c>
      <c r="CK93">
        <v>886251008</v>
      </c>
      <c r="CL93">
        <v>324136384</v>
      </c>
      <c r="CM93">
        <v>138831760</v>
      </c>
      <c r="CN93">
        <v>204160592</v>
      </c>
      <c r="CO93">
        <v>101135144</v>
      </c>
      <c r="CP93">
        <v>311085248</v>
      </c>
      <c r="CQ93">
        <v>355188992</v>
      </c>
      <c r="CR93">
        <v>1152014976</v>
      </c>
      <c r="CS93">
        <v>89875992</v>
      </c>
      <c r="CT93">
        <v>1115641216</v>
      </c>
      <c r="CU93">
        <v>747796992</v>
      </c>
      <c r="CV93">
        <v>273854528</v>
      </c>
      <c r="CW93">
        <v>79833392</v>
      </c>
    </row>
    <row r="94" spans="1:101">
      <c r="A94">
        <v>30954</v>
      </c>
      <c r="B94" t="s">
        <v>406</v>
      </c>
      <c r="D94" t="s">
        <v>407</v>
      </c>
      <c r="F94" t="s">
        <v>408</v>
      </c>
      <c r="G94">
        <v>381.97399999999999</v>
      </c>
      <c r="H94" t="s">
        <v>104</v>
      </c>
      <c r="I94">
        <v>2</v>
      </c>
      <c r="J94">
        <v>19</v>
      </c>
      <c r="K94">
        <v>0</v>
      </c>
      <c r="L94">
        <v>0</v>
      </c>
      <c r="M94">
        <v>0</v>
      </c>
      <c r="N94">
        <v>-1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8</v>
      </c>
      <c r="W94">
        <v>9</v>
      </c>
      <c r="X94">
        <v>9</v>
      </c>
      <c r="Y94">
        <v>9</v>
      </c>
      <c r="Z94">
        <v>9</v>
      </c>
      <c r="AA94">
        <v>9</v>
      </c>
      <c r="AB94">
        <v>9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9</v>
      </c>
      <c r="AL94">
        <v>8</v>
      </c>
      <c r="AM94">
        <v>8</v>
      </c>
      <c r="AN94">
        <v>9</v>
      </c>
      <c r="AO94">
        <v>9</v>
      </c>
      <c r="AP94">
        <v>63</v>
      </c>
      <c r="AQ94">
        <v>50</v>
      </c>
      <c r="AR94">
        <v>4</v>
      </c>
      <c r="AS94">
        <v>36</v>
      </c>
      <c r="AT94">
        <v>51</v>
      </c>
      <c r="AU94">
        <v>24</v>
      </c>
      <c r="AV94">
        <v>42</v>
      </c>
      <c r="AW94">
        <v>45</v>
      </c>
      <c r="AX94">
        <v>38</v>
      </c>
      <c r="AY94">
        <v>25</v>
      </c>
      <c r="AZ94">
        <v>21</v>
      </c>
      <c r="BA94">
        <v>45</v>
      </c>
      <c r="BB94">
        <v>47</v>
      </c>
      <c r="BC94">
        <v>41</v>
      </c>
      <c r="BD94">
        <v>41</v>
      </c>
      <c r="BE94">
        <v>24</v>
      </c>
      <c r="BF94">
        <v>32</v>
      </c>
      <c r="BG94">
        <v>45</v>
      </c>
      <c r="BH94">
        <v>37</v>
      </c>
      <c r="BI94">
        <v>16</v>
      </c>
      <c r="BJ94">
        <v>818292608</v>
      </c>
      <c r="BK94">
        <v>1133766912</v>
      </c>
      <c r="BL94">
        <v>4769497</v>
      </c>
      <c r="BM94">
        <v>595501632</v>
      </c>
      <c r="BN94">
        <v>1388650112</v>
      </c>
      <c r="BO94">
        <v>286612512</v>
      </c>
      <c r="BP94">
        <v>1415498496</v>
      </c>
      <c r="BQ94">
        <v>1503597568</v>
      </c>
      <c r="BR94">
        <v>731727872</v>
      </c>
      <c r="BS94">
        <v>269768768</v>
      </c>
      <c r="BT94">
        <v>227051728</v>
      </c>
      <c r="BU94">
        <v>988839424</v>
      </c>
      <c r="BV94">
        <v>1429395712</v>
      </c>
      <c r="BW94">
        <v>1221044480</v>
      </c>
      <c r="BX94">
        <v>1458755328</v>
      </c>
      <c r="BY94">
        <v>338614080</v>
      </c>
      <c r="BZ94">
        <v>1168807168</v>
      </c>
      <c r="CA94">
        <v>1606462976</v>
      </c>
      <c r="CB94">
        <v>863801216</v>
      </c>
      <c r="CC94">
        <v>190763328</v>
      </c>
      <c r="CD94">
        <v>1246807296</v>
      </c>
      <c r="CE94">
        <v>1416036352</v>
      </c>
      <c r="CF94">
        <v>1017944384</v>
      </c>
      <c r="CG94">
        <v>1446349056</v>
      </c>
      <c r="CH94">
        <v>2207280640</v>
      </c>
      <c r="CI94">
        <v>349627232</v>
      </c>
      <c r="CJ94">
        <v>1937435264</v>
      </c>
      <c r="CK94">
        <v>2642239488</v>
      </c>
      <c r="CL94">
        <v>1262664960</v>
      </c>
      <c r="CM94">
        <v>499279360</v>
      </c>
      <c r="CN94">
        <v>1453476736</v>
      </c>
      <c r="CO94">
        <v>1654722304</v>
      </c>
      <c r="CP94">
        <v>2810232320</v>
      </c>
      <c r="CQ94">
        <v>1480960000</v>
      </c>
      <c r="CR94">
        <v>2605455616</v>
      </c>
      <c r="CS94">
        <v>528058688</v>
      </c>
      <c r="CT94">
        <v>1818444160</v>
      </c>
      <c r="CU94">
        <v>2382473728</v>
      </c>
      <c r="CV94">
        <v>1508666240</v>
      </c>
      <c r="CW94">
        <v>473628288</v>
      </c>
    </row>
    <row r="95" spans="1:101">
      <c r="A95">
        <v>31094</v>
      </c>
      <c r="B95" t="s">
        <v>409</v>
      </c>
      <c r="D95" t="s">
        <v>410</v>
      </c>
      <c r="F95" t="s">
        <v>411</v>
      </c>
      <c r="G95">
        <v>369.827</v>
      </c>
      <c r="H95" t="s">
        <v>104</v>
      </c>
      <c r="I95">
        <v>2</v>
      </c>
      <c r="J95">
        <v>2</v>
      </c>
      <c r="K95">
        <v>0</v>
      </c>
      <c r="L95">
        <v>0</v>
      </c>
      <c r="M95">
        <v>0</v>
      </c>
      <c r="N95">
        <v>-1</v>
      </c>
      <c r="O95">
        <v>13</v>
      </c>
      <c r="P95">
        <v>13</v>
      </c>
      <c r="Q95">
        <v>13</v>
      </c>
      <c r="R95">
        <v>13</v>
      </c>
      <c r="S95">
        <v>13</v>
      </c>
      <c r="T95">
        <v>13</v>
      </c>
      <c r="U95">
        <v>13</v>
      </c>
      <c r="V95">
        <v>12</v>
      </c>
      <c r="W95">
        <v>12</v>
      </c>
      <c r="X95">
        <v>6</v>
      </c>
      <c r="Y95">
        <v>13</v>
      </c>
      <c r="Z95">
        <v>13</v>
      </c>
      <c r="AA95">
        <v>13</v>
      </c>
      <c r="AB95">
        <v>13</v>
      </c>
      <c r="AC95">
        <v>13</v>
      </c>
      <c r="AD95">
        <v>13</v>
      </c>
      <c r="AE95">
        <v>13</v>
      </c>
      <c r="AF95">
        <v>13</v>
      </c>
      <c r="AG95">
        <v>13</v>
      </c>
      <c r="AH95">
        <v>13</v>
      </c>
      <c r="AI95">
        <v>13</v>
      </c>
      <c r="AJ95">
        <v>13</v>
      </c>
      <c r="AK95">
        <v>13</v>
      </c>
      <c r="AL95">
        <v>13</v>
      </c>
      <c r="AM95">
        <v>13</v>
      </c>
      <c r="AN95">
        <v>13</v>
      </c>
      <c r="AO95">
        <v>13</v>
      </c>
      <c r="AP95">
        <v>12</v>
      </c>
      <c r="AQ95">
        <v>10</v>
      </c>
      <c r="AR95">
        <v>1</v>
      </c>
      <c r="AS95">
        <v>8</v>
      </c>
      <c r="AT95">
        <v>10</v>
      </c>
      <c r="AU95">
        <v>12</v>
      </c>
      <c r="AV95">
        <v>11</v>
      </c>
      <c r="AW95">
        <v>9</v>
      </c>
      <c r="AX95">
        <v>12</v>
      </c>
      <c r="AY95">
        <v>10</v>
      </c>
      <c r="AZ95">
        <v>5</v>
      </c>
      <c r="BA95">
        <v>10</v>
      </c>
      <c r="BB95">
        <v>9</v>
      </c>
      <c r="BC95">
        <v>15</v>
      </c>
      <c r="BD95">
        <v>10</v>
      </c>
      <c r="BE95">
        <v>10</v>
      </c>
      <c r="BF95">
        <v>9</v>
      </c>
      <c r="BG95">
        <v>8</v>
      </c>
      <c r="BH95">
        <v>11</v>
      </c>
      <c r="BI95">
        <v>9</v>
      </c>
      <c r="BJ95">
        <v>19662924</v>
      </c>
      <c r="BK95">
        <v>36124548</v>
      </c>
      <c r="BL95">
        <v>396669.19</v>
      </c>
      <c r="BM95">
        <v>30297386</v>
      </c>
      <c r="BN95">
        <v>23222954</v>
      </c>
      <c r="BO95">
        <v>39901556</v>
      </c>
      <c r="BP95">
        <v>28660364</v>
      </c>
      <c r="BQ95">
        <v>17719952</v>
      </c>
      <c r="BR95">
        <v>29954944</v>
      </c>
      <c r="BS95">
        <v>29975616</v>
      </c>
      <c r="BT95">
        <v>5084263</v>
      </c>
      <c r="BU95">
        <v>26924372</v>
      </c>
      <c r="BV95">
        <v>14830831</v>
      </c>
      <c r="BW95">
        <v>52232368</v>
      </c>
      <c r="BX95">
        <v>19415012</v>
      </c>
      <c r="BY95">
        <v>31301988</v>
      </c>
      <c r="BZ95">
        <v>23900252</v>
      </c>
      <c r="CA95">
        <v>19094984</v>
      </c>
      <c r="CB95">
        <v>25844868</v>
      </c>
      <c r="CC95">
        <v>25890420</v>
      </c>
      <c r="CD95">
        <v>21622742</v>
      </c>
      <c r="CE95">
        <v>21564202</v>
      </c>
      <c r="CF95">
        <v>13933894</v>
      </c>
      <c r="CG95">
        <v>29801794</v>
      </c>
      <c r="CH95">
        <v>19204298</v>
      </c>
      <c r="CI95">
        <v>26164020</v>
      </c>
      <c r="CJ95">
        <v>25071064</v>
      </c>
      <c r="CK95">
        <v>17319370</v>
      </c>
      <c r="CL95">
        <v>26562322</v>
      </c>
      <c r="CM95">
        <v>24124852</v>
      </c>
      <c r="CN95">
        <v>19520276</v>
      </c>
      <c r="CO95">
        <v>19433340</v>
      </c>
      <c r="CP95">
        <v>15147871</v>
      </c>
      <c r="CQ95">
        <v>32577046</v>
      </c>
      <c r="CR95">
        <v>21069376</v>
      </c>
      <c r="CS95">
        <v>27404928</v>
      </c>
      <c r="CT95">
        <v>27164766</v>
      </c>
      <c r="CU95">
        <v>16311067</v>
      </c>
      <c r="CV95">
        <v>26473610</v>
      </c>
      <c r="CW95">
        <v>32697376</v>
      </c>
    </row>
    <row r="96" spans="1:101">
      <c r="A96">
        <v>31019</v>
      </c>
      <c r="B96" t="s">
        <v>412</v>
      </c>
      <c r="D96" t="s">
        <v>413</v>
      </c>
      <c r="F96" t="s">
        <v>414</v>
      </c>
      <c r="G96">
        <v>362.85300000000001</v>
      </c>
      <c r="H96" t="s">
        <v>104</v>
      </c>
      <c r="I96">
        <v>2</v>
      </c>
      <c r="J96">
        <v>18</v>
      </c>
      <c r="K96">
        <v>0</v>
      </c>
      <c r="L96">
        <v>0</v>
      </c>
      <c r="M96">
        <v>0</v>
      </c>
      <c r="N96">
        <v>-1</v>
      </c>
      <c r="O96">
        <v>7</v>
      </c>
      <c r="P96">
        <v>7</v>
      </c>
      <c r="Q96">
        <v>7</v>
      </c>
      <c r="R96">
        <v>7</v>
      </c>
      <c r="S96">
        <v>7</v>
      </c>
      <c r="T96">
        <v>7</v>
      </c>
      <c r="U96">
        <v>7</v>
      </c>
      <c r="V96">
        <v>4</v>
      </c>
      <c r="W96">
        <v>5</v>
      </c>
      <c r="X96">
        <v>6</v>
      </c>
      <c r="Y96">
        <v>7</v>
      </c>
      <c r="Z96">
        <v>6</v>
      </c>
      <c r="AA96">
        <v>7</v>
      </c>
      <c r="AB96">
        <v>7</v>
      </c>
      <c r="AC96">
        <v>7</v>
      </c>
      <c r="AD96">
        <v>7</v>
      </c>
      <c r="AE96">
        <v>7</v>
      </c>
      <c r="AF96">
        <v>7</v>
      </c>
      <c r="AG96">
        <v>7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7</v>
      </c>
      <c r="AO96">
        <v>7</v>
      </c>
      <c r="AP96">
        <v>12</v>
      </c>
      <c r="AQ96">
        <v>32</v>
      </c>
      <c r="AR96">
        <v>2</v>
      </c>
      <c r="AS96">
        <v>28</v>
      </c>
      <c r="AT96">
        <v>41</v>
      </c>
      <c r="AU96">
        <v>10</v>
      </c>
      <c r="AV96">
        <v>43</v>
      </c>
      <c r="AW96">
        <v>30</v>
      </c>
      <c r="AX96">
        <v>26</v>
      </c>
      <c r="AY96">
        <v>23</v>
      </c>
      <c r="AZ96">
        <v>8</v>
      </c>
      <c r="BA96">
        <v>17</v>
      </c>
      <c r="BB96">
        <v>23</v>
      </c>
      <c r="BC96">
        <v>21</v>
      </c>
      <c r="BD96">
        <v>36</v>
      </c>
      <c r="BE96">
        <v>19</v>
      </c>
      <c r="BF96">
        <v>36</v>
      </c>
      <c r="BG96">
        <v>26</v>
      </c>
      <c r="BH96">
        <v>11</v>
      </c>
      <c r="BI96">
        <v>3</v>
      </c>
      <c r="BJ96">
        <v>18998660</v>
      </c>
      <c r="BK96">
        <v>65999768</v>
      </c>
      <c r="BL96">
        <v>1766128.25</v>
      </c>
      <c r="BM96">
        <v>66516356</v>
      </c>
      <c r="BN96">
        <v>263649088</v>
      </c>
      <c r="BO96">
        <v>53559284</v>
      </c>
      <c r="BP96">
        <v>326748096</v>
      </c>
      <c r="BQ96">
        <v>272431264</v>
      </c>
      <c r="BR96">
        <v>111237272</v>
      </c>
      <c r="BS96">
        <v>53524180</v>
      </c>
      <c r="BT96">
        <v>25751020</v>
      </c>
      <c r="BU96">
        <v>63458568</v>
      </c>
      <c r="BV96">
        <v>140153664</v>
      </c>
      <c r="BW96">
        <v>158324464</v>
      </c>
      <c r="BX96">
        <v>502928448</v>
      </c>
      <c r="BY96">
        <v>52186568</v>
      </c>
      <c r="BZ96">
        <v>526069216</v>
      </c>
      <c r="CA96">
        <v>263247584</v>
      </c>
      <c r="CB96">
        <v>60647656</v>
      </c>
      <c r="CC96">
        <v>8641104</v>
      </c>
      <c r="CD96">
        <v>2349358</v>
      </c>
      <c r="CE96">
        <v>24234220</v>
      </c>
      <c r="CF96">
        <v>131671912</v>
      </c>
      <c r="CG96">
        <v>80584024</v>
      </c>
      <c r="CH96">
        <v>145325280</v>
      </c>
      <c r="CI96">
        <v>23766600</v>
      </c>
      <c r="CJ96">
        <v>268172848</v>
      </c>
      <c r="CK96">
        <v>260995088</v>
      </c>
      <c r="CL96">
        <v>102649304</v>
      </c>
      <c r="CM96">
        <v>59956668</v>
      </c>
      <c r="CN96">
        <v>121259888</v>
      </c>
      <c r="CO96">
        <v>77536312</v>
      </c>
      <c r="CP96">
        <v>230140992</v>
      </c>
      <c r="CQ96">
        <v>134660352</v>
      </c>
      <c r="CR96">
        <v>645226560</v>
      </c>
      <c r="CS96">
        <v>64493920</v>
      </c>
      <c r="CT96">
        <v>717208640</v>
      </c>
      <c r="CU96">
        <v>277444800</v>
      </c>
      <c r="CV96">
        <v>77027488</v>
      </c>
      <c r="CW96">
        <v>18212424</v>
      </c>
    </row>
    <row r="97" spans="1:101">
      <c r="A97">
        <v>31002</v>
      </c>
      <c r="B97" t="s">
        <v>415</v>
      </c>
      <c r="D97" t="s">
        <v>416</v>
      </c>
      <c r="F97" t="s">
        <v>417</v>
      </c>
      <c r="G97">
        <v>343.14</v>
      </c>
      <c r="H97" t="s">
        <v>104</v>
      </c>
      <c r="I97">
        <v>2</v>
      </c>
      <c r="J97">
        <v>20</v>
      </c>
      <c r="K97">
        <v>0</v>
      </c>
      <c r="L97">
        <v>0</v>
      </c>
      <c r="M97">
        <v>0</v>
      </c>
      <c r="N97">
        <v>-1</v>
      </c>
      <c r="O97">
        <v>12</v>
      </c>
      <c r="P97">
        <v>12</v>
      </c>
      <c r="Q97">
        <v>14</v>
      </c>
      <c r="R97">
        <v>14</v>
      </c>
      <c r="S97">
        <v>14</v>
      </c>
      <c r="T97">
        <v>14</v>
      </c>
      <c r="U97">
        <v>14</v>
      </c>
      <c r="V97">
        <v>12</v>
      </c>
      <c r="W97">
        <v>13</v>
      </c>
      <c r="X97">
        <v>13</v>
      </c>
      <c r="Y97">
        <v>13</v>
      </c>
      <c r="Z97">
        <v>13</v>
      </c>
      <c r="AA97">
        <v>13</v>
      </c>
      <c r="AB97">
        <v>14</v>
      </c>
      <c r="AC97">
        <v>14</v>
      </c>
      <c r="AD97">
        <v>14</v>
      </c>
      <c r="AE97">
        <v>14</v>
      </c>
      <c r="AF97">
        <v>14</v>
      </c>
      <c r="AG97">
        <v>14</v>
      </c>
      <c r="AH97">
        <v>14</v>
      </c>
      <c r="AI97">
        <v>14</v>
      </c>
      <c r="AJ97">
        <v>14</v>
      </c>
      <c r="AK97">
        <v>14</v>
      </c>
      <c r="AL97">
        <v>14</v>
      </c>
      <c r="AM97">
        <v>14</v>
      </c>
      <c r="AN97">
        <v>14</v>
      </c>
      <c r="AO97">
        <v>14</v>
      </c>
      <c r="AP97">
        <v>19</v>
      </c>
      <c r="AQ97">
        <v>41</v>
      </c>
      <c r="AR97">
        <v>1</v>
      </c>
      <c r="AS97">
        <v>39</v>
      </c>
      <c r="AT97">
        <v>54</v>
      </c>
      <c r="AU97">
        <v>21</v>
      </c>
      <c r="AV97">
        <v>63</v>
      </c>
      <c r="AW97">
        <v>44</v>
      </c>
      <c r="AX97">
        <v>32</v>
      </c>
      <c r="AY97">
        <v>25</v>
      </c>
      <c r="AZ97">
        <v>23</v>
      </c>
      <c r="BA97">
        <v>27</v>
      </c>
      <c r="BB97">
        <v>35</v>
      </c>
      <c r="BC97">
        <v>35</v>
      </c>
      <c r="BD97">
        <v>60</v>
      </c>
      <c r="BE97">
        <v>22</v>
      </c>
      <c r="BF97">
        <v>67</v>
      </c>
      <c r="BG97">
        <v>36</v>
      </c>
      <c r="BH97">
        <v>20</v>
      </c>
      <c r="BI97">
        <v>12</v>
      </c>
      <c r="BJ97">
        <v>205220832</v>
      </c>
      <c r="BK97">
        <v>382263360</v>
      </c>
      <c r="BL97">
        <v>2224981.25</v>
      </c>
      <c r="BM97">
        <v>334725984</v>
      </c>
      <c r="BN97">
        <v>840731328</v>
      </c>
      <c r="BO97">
        <v>209015264</v>
      </c>
      <c r="BP97">
        <v>1058601216</v>
      </c>
      <c r="BQ97">
        <v>1255549440</v>
      </c>
      <c r="BR97">
        <v>317016576</v>
      </c>
      <c r="BS97">
        <v>157397552</v>
      </c>
      <c r="BT97">
        <v>99123016</v>
      </c>
      <c r="BU97">
        <v>255430048</v>
      </c>
      <c r="BV97">
        <v>416963264</v>
      </c>
      <c r="BW97">
        <v>907693376</v>
      </c>
      <c r="BX97">
        <v>2038633856</v>
      </c>
      <c r="BY97">
        <v>162330464</v>
      </c>
      <c r="BZ97">
        <v>2079564032</v>
      </c>
      <c r="CA97">
        <v>1407931392</v>
      </c>
      <c r="CB97">
        <v>270195776</v>
      </c>
      <c r="CC97">
        <v>84374856</v>
      </c>
      <c r="CD97">
        <v>69246736</v>
      </c>
      <c r="CE97">
        <v>257456496</v>
      </c>
      <c r="CF97">
        <v>533354624</v>
      </c>
      <c r="CG97">
        <v>454585824</v>
      </c>
      <c r="CH97">
        <v>849981056</v>
      </c>
      <c r="CI97">
        <v>116813952</v>
      </c>
      <c r="CJ97">
        <v>1126067584</v>
      </c>
      <c r="CK97">
        <v>669898944</v>
      </c>
      <c r="CL97">
        <v>347233376</v>
      </c>
      <c r="CM97">
        <v>207658032</v>
      </c>
      <c r="CN97">
        <v>552843200</v>
      </c>
      <c r="CO97">
        <v>321157632</v>
      </c>
      <c r="CP97">
        <v>599041088</v>
      </c>
      <c r="CQ97">
        <v>543820992</v>
      </c>
      <c r="CR97">
        <v>2064525312</v>
      </c>
      <c r="CS97">
        <v>196519200</v>
      </c>
      <c r="CT97">
        <v>2334947840</v>
      </c>
      <c r="CU97">
        <v>880040000</v>
      </c>
      <c r="CV97">
        <v>237405232</v>
      </c>
      <c r="CW97">
        <v>157198528</v>
      </c>
    </row>
    <row r="98" spans="1:101">
      <c r="A98">
        <v>30986</v>
      </c>
      <c r="B98" t="s">
        <v>418</v>
      </c>
      <c r="D98" t="s">
        <v>419</v>
      </c>
      <c r="F98" t="s">
        <v>420</v>
      </c>
      <c r="G98">
        <v>340.59100000000001</v>
      </c>
      <c r="H98" t="s">
        <v>104</v>
      </c>
      <c r="I98">
        <v>2</v>
      </c>
      <c r="J98">
        <v>16</v>
      </c>
      <c r="K98">
        <v>0</v>
      </c>
      <c r="L98">
        <v>0</v>
      </c>
      <c r="M98">
        <v>0</v>
      </c>
      <c r="N98">
        <v>-1</v>
      </c>
      <c r="O98">
        <v>13</v>
      </c>
      <c r="P98">
        <v>4</v>
      </c>
      <c r="Q98">
        <v>13</v>
      </c>
      <c r="R98">
        <v>4</v>
      </c>
      <c r="S98">
        <v>13</v>
      </c>
      <c r="T98">
        <v>4</v>
      </c>
      <c r="U98">
        <v>4</v>
      </c>
      <c r="V98">
        <v>2</v>
      </c>
      <c r="W98">
        <v>4</v>
      </c>
      <c r="X98">
        <v>4</v>
      </c>
      <c r="Y98">
        <v>3</v>
      </c>
      <c r="Z98">
        <v>4</v>
      </c>
      <c r="AA98">
        <v>4</v>
      </c>
      <c r="AB98">
        <v>3</v>
      </c>
      <c r="AC98">
        <v>3</v>
      </c>
      <c r="AD98">
        <v>2</v>
      </c>
      <c r="AE98">
        <v>4</v>
      </c>
      <c r="AF98">
        <v>3</v>
      </c>
      <c r="AG98">
        <v>4</v>
      </c>
      <c r="AH98">
        <v>3</v>
      </c>
      <c r="AI98">
        <v>3</v>
      </c>
      <c r="AJ98">
        <v>2</v>
      </c>
      <c r="AK98">
        <v>4</v>
      </c>
      <c r="AL98">
        <v>3</v>
      </c>
      <c r="AM98">
        <v>3</v>
      </c>
      <c r="AN98">
        <v>2</v>
      </c>
      <c r="AO98">
        <v>4</v>
      </c>
      <c r="AP98">
        <v>24</v>
      </c>
      <c r="AQ98">
        <v>11</v>
      </c>
      <c r="AR98">
        <v>2</v>
      </c>
      <c r="AS98">
        <v>8</v>
      </c>
      <c r="AT98">
        <v>9</v>
      </c>
      <c r="AU98">
        <v>9</v>
      </c>
      <c r="AV98">
        <v>9</v>
      </c>
      <c r="AW98">
        <v>9</v>
      </c>
      <c r="AX98">
        <v>7</v>
      </c>
      <c r="AY98">
        <v>9</v>
      </c>
      <c r="AZ98">
        <v>4</v>
      </c>
      <c r="BA98">
        <v>8</v>
      </c>
      <c r="BB98">
        <v>9</v>
      </c>
      <c r="BC98">
        <v>7</v>
      </c>
      <c r="BD98">
        <v>8</v>
      </c>
      <c r="BE98">
        <v>9</v>
      </c>
      <c r="BF98">
        <v>9</v>
      </c>
      <c r="BG98">
        <v>8</v>
      </c>
      <c r="BH98">
        <v>7</v>
      </c>
      <c r="BI98">
        <v>7</v>
      </c>
      <c r="BJ98">
        <v>441370752</v>
      </c>
      <c r="BK98">
        <v>1024356416</v>
      </c>
      <c r="BL98">
        <v>13803927</v>
      </c>
      <c r="BM98">
        <v>455266880</v>
      </c>
      <c r="BN98">
        <v>1037598080</v>
      </c>
      <c r="BO98">
        <v>660239936</v>
      </c>
      <c r="BP98">
        <v>973382656</v>
      </c>
      <c r="BQ98">
        <v>961903552</v>
      </c>
      <c r="BR98">
        <v>403108512</v>
      </c>
      <c r="BS98">
        <v>450812928</v>
      </c>
      <c r="BT98">
        <v>127939616</v>
      </c>
      <c r="BU98">
        <v>1016849792</v>
      </c>
      <c r="BV98">
        <v>992106624</v>
      </c>
      <c r="BW98">
        <v>889621952</v>
      </c>
      <c r="BX98">
        <v>913752064</v>
      </c>
      <c r="BY98">
        <v>744107072</v>
      </c>
      <c r="BZ98">
        <v>732629056</v>
      </c>
      <c r="CA98">
        <v>1000176192</v>
      </c>
      <c r="CB98">
        <v>353119200</v>
      </c>
      <c r="CC98">
        <v>471705280</v>
      </c>
      <c r="CD98">
        <v>98984584</v>
      </c>
      <c r="CE98">
        <v>311460064</v>
      </c>
      <c r="CF98">
        <v>944608896</v>
      </c>
      <c r="CG98">
        <v>343382240</v>
      </c>
      <c r="CH98">
        <v>773447744</v>
      </c>
      <c r="CI98">
        <v>430474816</v>
      </c>
      <c r="CJ98">
        <v>733124352</v>
      </c>
      <c r="CK98">
        <v>693425472</v>
      </c>
      <c r="CL98">
        <v>159997040</v>
      </c>
      <c r="CM98">
        <v>312690592</v>
      </c>
      <c r="CN98">
        <v>236242528</v>
      </c>
      <c r="CO98">
        <v>807842048</v>
      </c>
      <c r="CP98">
        <v>1020976704</v>
      </c>
      <c r="CQ98">
        <v>446039808</v>
      </c>
      <c r="CR98">
        <v>725817152</v>
      </c>
      <c r="CS98">
        <v>704069056</v>
      </c>
      <c r="CT98">
        <v>428789632</v>
      </c>
      <c r="CU98">
        <v>530011680</v>
      </c>
      <c r="CV98">
        <v>154715248</v>
      </c>
      <c r="CW98">
        <v>1038631936</v>
      </c>
    </row>
    <row r="99" spans="1:101">
      <c r="A99">
        <v>30961</v>
      </c>
      <c r="B99" t="s">
        <v>421</v>
      </c>
      <c r="D99" t="s">
        <v>422</v>
      </c>
      <c r="E99" t="s">
        <v>423</v>
      </c>
      <c r="F99" t="s">
        <v>424</v>
      </c>
      <c r="G99">
        <v>327.54000000000002</v>
      </c>
      <c r="H99" t="s">
        <v>104</v>
      </c>
      <c r="I99">
        <v>2</v>
      </c>
      <c r="J99">
        <v>12</v>
      </c>
      <c r="K99">
        <v>9</v>
      </c>
      <c r="L99">
        <v>0</v>
      </c>
      <c r="M99">
        <v>0</v>
      </c>
      <c r="N99">
        <v>-1</v>
      </c>
      <c r="O99">
        <v>7</v>
      </c>
      <c r="P99">
        <v>7</v>
      </c>
      <c r="Q99">
        <v>8</v>
      </c>
      <c r="R99">
        <v>8</v>
      </c>
      <c r="S99">
        <v>8</v>
      </c>
      <c r="T99">
        <v>8</v>
      </c>
      <c r="U99">
        <v>8</v>
      </c>
      <c r="V99">
        <v>7</v>
      </c>
      <c r="W99">
        <v>8</v>
      </c>
      <c r="X99">
        <v>6</v>
      </c>
      <c r="Y99">
        <v>8</v>
      </c>
      <c r="Z99">
        <v>8</v>
      </c>
      <c r="AA99">
        <v>8</v>
      </c>
      <c r="AB99">
        <v>7</v>
      </c>
      <c r="AC99">
        <v>8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7</v>
      </c>
      <c r="AJ99">
        <v>7</v>
      </c>
      <c r="AK99">
        <v>8</v>
      </c>
      <c r="AL99">
        <v>7</v>
      </c>
      <c r="AM99">
        <v>8</v>
      </c>
      <c r="AN99">
        <v>8</v>
      </c>
      <c r="AO99">
        <v>8</v>
      </c>
      <c r="AP99">
        <v>17</v>
      </c>
      <c r="AQ99">
        <v>25</v>
      </c>
      <c r="AR99">
        <v>3</v>
      </c>
      <c r="AS99">
        <v>9</v>
      </c>
      <c r="AT99">
        <v>11</v>
      </c>
      <c r="AU99">
        <v>20</v>
      </c>
      <c r="AV99">
        <v>11</v>
      </c>
      <c r="AW99">
        <v>15</v>
      </c>
      <c r="AX99">
        <v>14</v>
      </c>
      <c r="AY99">
        <v>14</v>
      </c>
      <c r="AZ99">
        <v>10</v>
      </c>
      <c r="BA99">
        <v>18</v>
      </c>
      <c r="BB99">
        <v>9</v>
      </c>
      <c r="BC99">
        <v>10</v>
      </c>
      <c r="BD99">
        <v>7</v>
      </c>
      <c r="BE99">
        <v>18</v>
      </c>
      <c r="BF99">
        <v>10</v>
      </c>
      <c r="BG99">
        <v>16</v>
      </c>
      <c r="BH99">
        <v>14</v>
      </c>
      <c r="BI99">
        <v>9</v>
      </c>
      <c r="BJ99">
        <v>146332608</v>
      </c>
      <c r="BK99">
        <v>134044960</v>
      </c>
      <c r="BL99">
        <v>11619028</v>
      </c>
      <c r="BM99">
        <v>24935672</v>
      </c>
      <c r="BN99">
        <v>31388836</v>
      </c>
      <c r="BO99">
        <v>103008312</v>
      </c>
      <c r="BP99">
        <v>40851964</v>
      </c>
      <c r="BQ99">
        <v>97260136</v>
      </c>
      <c r="BR99">
        <v>57559944</v>
      </c>
      <c r="BS99">
        <v>47805776</v>
      </c>
      <c r="BT99">
        <v>28126560</v>
      </c>
      <c r="BU99">
        <v>98229312</v>
      </c>
      <c r="BV99">
        <v>27321068</v>
      </c>
      <c r="BW99">
        <v>38102560</v>
      </c>
      <c r="BX99">
        <v>25817778</v>
      </c>
      <c r="BY99">
        <v>85664968</v>
      </c>
      <c r="BZ99">
        <v>40112996</v>
      </c>
      <c r="CA99">
        <v>116027824</v>
      </c>
      <c r="CB99">
        <v>44104776</v>
      </c>
      <c r="CC99">
        <v>34588764</v>
      </c>
      <c r="CD99">
        <v>316718432</v>
      </c>
      <c r="CE99">
        <v>156647360</v>
      </c>
      <c r="CF99">
        <v>37989036</v>
      </c>
      <c r="CG99">
        <v>54109276</v>
      </c>
      <c r="CH99">
        <v>50554668</v>
      </c>
      <c r="CI99">
        <v>139670608</v>
      </c>
      <c r="CJ99">
        <v>62631008</v>
      </c>
      <c r="CK99">
        <v>168159952</v>
      </c>
      <c r="CL99">
        <v>118624328</v>
      </c>
      <c r="CM99">
        <v>89971800</v>
      </c>
      <c r="CN99">
        <v>220337696</v>
      </c>
      <c r="CO99">
        <v>145773488</v>
      </c>
      <c r="CP99">
        <v>58169620</v>
      </c>
      <c r="CQ99">
        <v>42859552</v>
      </c>
      <c r="CR99">
        <v>53824776</v>
      </c>
      <c r="CS99">
        <v>135589840</v>
      </c>
      <c r="CT99">
        <v>77504736</v>
      </c>
      <c r="CU99">
        <v>177806208</v>
      </c>
      <c r="CV99">
        <v>103056968</v>
      </c>
      <c r="CW99">
        <v>89474160</v>
      </c>
    </row>
    <row r="100" spans="1:101">
      <c r="A100">
        <v>31038</v>
      </c>
      <c r="B100" t="s">
        <v>425</v>
      </c>
      <c r="D100" t="s">
        <v>426</v>
      </c>
      <c r="F100" t="s">
        <v>427</v>
      </c>
      <c r="G100">
        <v>312.01100000000002</v>
      </c>
      <c r="H100" t="s">
        <v>104</v>
      </c>
      <c r="I100">
        <v>2</v>
      </c>
      <c r="J100">
        <v>21</v>
      </c>
      <c r="K100">
        <v>0</v>
      </c>
      <c r="L100">
        <v>0</v>
      </c>
      <c r="M100">
        <v>0</v>
      </c>
      <c r="N100">
        <v>-1</v>
      </c>
      <c r="O100">
        <v>6</v>
      </c>
      <c r="P100">
        <v>6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8</v>
      </c>
      <c r="W100">
        <v>8</v>
      </c>
      <c r="X100">
        <v>5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8</v>
      </c>
      <c r="AP100">
        <v>10</v>
      </c>
      <c r="AQ100">
        <v>13</v>
      </c>
      <c r="AR100">
        <v>0</v>
      </c>
      <c r="AS100">
        <v>8</v>
      </c>
      <c r="AT100">
        <v>11</v>
      </c>
      <c r="AU100">
        <v>13</v>
      </c>
      <c r="AV100">
        <v>10</v>
      </c>
      <c r="AW100">
        <v>11</v>
      </c>
      <c r="AX100">
        <v>9</v>
      </c>
      <c r="AY100">
        <v>9</v>
      </c>
      <c r="AZ100">
        <v>5</v>
      </c>
      <c r="BA100">
        <v>12</v>
      </c>
      <c r="BB100">
        <v>12</v>
      </c>
      <c r="BC100">
        <v>8</v>
      </c>
      <c r="BD100">
        <v>11</v>
      </c>
      <c r="BE100">
        <v>11</v>
      </c>
      <c r="BF100">
        <v>9</v>
      </c>
      <c r="BG100">
        <v>11</v>
      </c>
      <c r="BH100">
        <v>6</v>
      </c>
      <c r="BI100">
        <v>8</v>
      </c>
      <c r="BJ100">
        <v>45201660</v>
      </c>
      <c r="BK100">
        <v>92131416</v>
      </c>
      <c r="BL100">
        <v>195001.88</v>
      </c>
      <c r="BM100">
        <v>28191798</v>
      </c>
      <c r="BN100">
        <v>79287072</v>
      </c>
      <c r="BO100">
        <v>76576872</v>
      </c>
      <c r="BP100">
        <v>61592844</v>
      </c>
      <c r="BQ100">
        <v>66505676</v>
      </c>
      <c r="BR100">
        <v>31127740</v>
      </c>
      <c r="BS100">
        <v>42128212</v>
      </c>
      <c r="BT100">
        <v>9839313</v>
      </c>
      <c r="BU100">
        <v>71801200</v>
      </c>
      <c r="BV100">
        <v>62103092</v>
      </c>
      <c r="BW100">
        <v>50682376</v>
      </c>
      <c r="BX100">
        <v>61510604</v>
      </c>
      <c r="BY100">
        <v>52383268</v>
      </c>
      <c r="BZ100">
        <v>60526288</v>
      </c>
      <c r="CA100">
        <v>69445200</v>
      </c>
      <c r="CB100">
        <v>23604158</v>
      </c>
      <c r="CC100">
        <v>22630942</v>
      </c>
      <c r="CD100">
        <v>62488088</v>
      </c>
      <c r="CE100">
        <v>70005976</v>
      </c>
      <c r="CF100">
        <v>61807612</v>
      </c>
      <c r="CG100">
        <v>39917456</v>
      </c>
      <c r="CH100">
        <v>78196152</v>
      </c>
      <c r="CI100">
        <v>62938524</v>
      </c>
      <c r="CJ100">
        <v>62945012</v>
      </c>
      <c r="CK100">
        <v>71643824</v>
      </c>
      <c r="CL100">
        <v>42291416</v>
      </c>
      <c r="CM100">
        <v>36894672</v>
      </c>
      <c r="CN100">
        <v>53044584</v>
      </c>
      <c r="CO100">
        <v>65286924</v>
      </c>
      <c r="CP100">
        <v>80615400</v>
      </c>
      <c r="CQ100">
        <v>40299964</v>
      </c>
      <c r="CR100">
        <v>78196088</v>
      </c>
      <c r="CS100">
        <v>54246220</v>
      </c>
      <c r="CT100">
        <v>62319588</v>
      </c>
      <c r="CU100">
        <v>64162900</v>
      </c>
      <c r="CV100">
        <v>36930396</v>
      </c>
      <c r="CW100">
        <v>24498058</v>
      </c>
    </row>
    <row r="101" spans="1:101">
      <c r="A101">
        <v>31025</v>
      </c>
      <c r="B101" t="s">
        <v>428</v>
      </c>
      <c r="D101" t="s">
        <v>429</v>
      </c>
      <c r="F101" t="s">
        <v>430</v>
      </c>
      <c r="G101">
        <v>295.76</v>
      </c>
      <c r="H101" t="s">
        <v>104</v>
      </c>
      <c r="I101">
        <v>2</v>
      </c>
      <c r="J101">
        <v>20</v>
      </c>
      <c r="K101">
        <v>0</v>
      </c>
      <c r="L101">
        <v>0</v>
      </c>
      <c r="M101">
        <v>0</v>
      </c>
      <c r="N101">
        <v>-1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4</v>
      </c>
      <c r="W101">
        <v>6</v>
      </c>
      <c r="X101">
        <v>3</v>
      </c>
      <c r="Y101">
        <v>7</v>
      </c>
      <c r="Z101">
        <v>7</v>
      </c>
      <c r="AA101">
        <v>8</v>
      </c>
      <c r="AB101">
        <v>8</v>
      </c>
      <c r="AC101">
        <v>8</v>
      </c>
      <c r="AD101">
        <v>8</v>
      </c>
      <c r="AE101">
        <v>7</v>
      </c>
      <c r="AF101">
        <v>7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7</v>
      </c>
      <c r="AM101">
        <v>8</v>
      </c>
      <c r="AN101">
        <v>8</v>
      </c>
      <c r="AO101">
        <v>8</v>
      </c>
      <c r="AP101">
        <v>19</v>
      </c>
      <c r="AQ101">
        <v>30</v>
      </c>
      <c r="AR101">
        <v>0</v>
      </c>
      <c r="AS101">
        <v>22</v>
      </c>
      <c r="AT101">
        <v>31</v>
      </c>
      <c r="AU101">
        <v>15</v>
      </c>
      <c r="AV101">
        <v>33</v>
      </c>
      <c r="AW101">
        <v>24</v>
      </c>
      <c r="AX101">
        <v>20</v>
      </c>
      <c r="AY101">
        <v>20</v>
      </c>
      <c r="AZ101">
        <v>13</v>
      </c>
      <c r="BA101">
        <v>19</v>
      </c>
      <c r="BB101">
        <v>21</v>
      </c>
      <c r="BC101">
        <v>24</v>
      </c>
      <c r="BD101">
        <v>38</v>
      </c>
      <c r="BE101">
        <v>19</v>
      </c>
      <c r="BF101">
        <v>40</v>
      </c>
      <c r="BG101">
        <v>33</v>
      </c>
      <c r="BH101">
        <v>15</v>
      </c>
      <c r="BI101">
        <v>10</v>
      </c>
      <c r="BJ101">
        <v>140429680</v>
      </c>
      <c r="BK101">
        <v>265625232</v>
      </c>
      <c r="BL101">
        <v>1089978</v>
      </c>
      <c r="BM101">
        <v>149102640</v>
      </c>
      <c r="BN101">
        <v>490936768</v>
      </c>
      <c r="BO101">
        <v>224872608</v>
      </c>
      <c r="BP101">
        <v>522511552</v>
      </c>
      <c r="BQ101">
        <v>404354272</v>
      </c>
      <c r="BR101">
        <v>207370016</v>
      </c>
      <c r="BS101">
        <v>187365200</v>
      </c>
      <c r="BT101">
        <v>51501228</v>
      </c>
      <c r="BU101">
        <v>161017808</v>
      </c>
      <c r="BV101">
        <v>240542960</v>
      </c>
      <c r="BW101">
        <v>357058208</v>
      </c>
      <c r="BX101">
        <v>812866368</v>
      </c>
      <c r="BY101">
        <v>242855840</v>
      </c>
      <c r="BZ101">
        <v>902833152</v>
      </c>
      <c r="CA101">
        <v>634275072</v>
      </c>
      <c r="CB101">
        <v>111498568</v>
      </c>
      <c r="CC101">
        <v>118332776</v>
      </c>
      <c r="CD101">
        <v>9466325</v>
      </c>
      <c r="CE101">
        <v>112342712</v>
      </c>
      <c r="CF101">
        <v>121915672</v>
      </c>
      <c r="CG101">
        <v>218897632</v>
      </c>
      <c r="CH101">
        <v>408203744</v>
      </c>
      <c r="CI101">
        <v>69719232</v>
      </c>
      <c r="CJ101">
        <v>534144928</v>
      </c>
      <c r="CK101">
        <v>346579360</v>
      </c>
      <c r="CL101">
        <v>224979792</v>
      </c>
      <c r="CM101">
        <v>183380224</v>
      </c>
      <c r="CN101">
        <v>198664160</v>
      </c>
      <c r="CO101">
        <v>130935040</v>
      </c>
      <c r="CP101">
        <v>320299392</v>
      </c>
      <c r="CQ101">
        <v>228521584</v>
      </c>
      <c r="CR101">
        <v>972711360</v>
      </c>
      <c r="CS101">
        <v>196674784</v>
      </c>
      <c r="CT101">
        <v>985589568</v>
      </c>
      <c r="CU101">
        <v>581061376</v>
      </c>
      <c r="CV101">
        <v>103990040</v>
      </c>
      <c r="CW101">
        <v>125985320</v>
      </c>
    </row>
    <row r="102" spans="1:101">
      <c r="A102">
        <v>31139</v>
      </c>
      <c r="B102" t="s">
        <v>431</v>
      </c>
      <c r="D102" t="s">
        <v>432</v>
      </c>
      <c r="E102" t="s">
        <v>433</v>
      </c>
      <c r="F102" t="s">
        <v>434</v>
      </c>
      <c r="G102">
        <v>295.55399999999997</v>
      </c>
      <c r="H102" t="s">
        <v>104</v>
      </c>
      <c r="I102">
        <v>2</v>
      </c>
      <c r="J102">
        <v>2</v>
      </c>
      <c r="K102">
        <v>1</v>
      </c>
      <c r="L102">
        <v>0</v>
      </c>
      <c r="M102">
        <v>0</v>
      </c>
      <c r="N102">
        <v>-1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7</v>
      </c>
      <c r="W102">
        <v>8</v>
      </c>
      <c r="X102">
        <v>4</v>
      </c>
      <c r="Y102">
        <v>8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8</v>
      </c>
      <c r="AF102">
        <v>8</v>
      </c>
      <c r="AG102">
        <v>8</v>
      </c>
      <c r="AH102">
        <v>8</v>
      </c>
      <c r="AI102">
        <v>8</v>
      </c>
      <c r="AJ102">
        <v>8</v>
      </c>
      <c r="AK102">
        <v>8</v>
      </c>
      <c r="AL102">
        <v>8</v>
      </c>
      <c r="AM102">
        <v>8</v>
      </c>
      <c r="AN102">
        <v>8</v>
      </c>
      <c r="AO102">
        <v>8</v>
      </c>
      <c r="AP102">
        <v>7</v>
      </c>
      <c r="AQ102">
        <v>9</v>
      </c>
      <c r="AR102">
        <v>0</v>
      </c>
      <c r="AS102">
        <v>9</v>
      </c>
      <c r="AT102">
        <v>6</v>
      </c>
      <c r="AU102">
        <v>8</v>
      </c>
      <c r="AV102">
        <v>10</v>
      </c>
      <c r="AW102">
        <v>5</v>
      </c>
      <c r="AX102">
        <v>10</v>
      </c>
      <c r="AY102">
        <v>10</v>
      </c>
      <c r="AZ102">
        <v>2</v>
      </c>
      <c r="BA102">
        <v>7</v>
      </c>
      <c r="BB102">
        <v>4</v>
      </c>
      <c r="BC102">
        <v>9</v>
      </c>
      <c r="BD102">
        <v>4</v>
      </c>
      <c r="BE102">
        <v>9</v>
      </c>
      <c r="BF102">
        <v>7</v>
      </c>
      <c r="BG102">
        <v>5</v>
      </c>
      <c r="BH102">
        <v>9</v>
      </c>
      <c r="BI102">
        <v>8</v>
      </c>
      <c r="BJ102">
        <v>26302064</v>
      </c>
      <c r="BK102">
        <v>46614924</v>
      </c>
      <c r="BL102">
        <v>745263.69</v>
      </c>
      <c r="BM102">
        <v>37806156</v>
      </c>
      <c r="BN102">
        <v>25986248</v>
      </c>
      <c r="BO102">
        <v>46843712</v>
      </c>
      <c r="BP102">
        <v>36419208</v>
      </c>
      <c r="BQ102">
        <v>21732616</v>
      </c>
      <c r="BR102">
        <v>43287048</v>
      </c>
      <c r="BS102">
        <v>37640488</v>
      </c>
      <c r="BT102">
        <v>6887453</v>
      </c>
      <c r="BU102">
        <v>37259136</v>
      </c>
      <c r="BV102">
        <v>21356432</v>
      </c>
      <c r="BW102">
        <v>56838764</v>
      </c>
      <c r="BX102">
        <v>18918954</v>
      </c>
      <c r="BY102">
        <v>32576654</v>
      </c>
      <c r="BZ102">
        <v>30221996</v>
      </c>
      <c r="CA102">
        <v>24377284</v>
      </c>
      <c r="CB102">
        <v>31563990</v>
      </c>
      <c r="CC102">
        <v>32585384</v>
      </c>
      <c r="CD102">
        <v>26295846</v>
      </c>
      <c r="CE102">
        <v>27418986</v>
      </c>
      <c r="CF102">
        <v>34582524</v>
      </c>
      <c r="CG102">
        <v>39680100</v>
      </c>
      <c r="CH102">
        <v>19861678</v>
      </c>
      <c r="CI102">
        <v>29527956</v>
      </c>
      <c r="CJ102">
        <v>29242572</v>
      </c>
      <c r="CK102">
        <v>22409490</v>
      </c>
      <c r="CL102">
        <v>43014160</v>
      </c>
      <c r="CM102">
        <v>38283856</v>
      </c>
      <c r="CN102">
        <v>24642748</v>
      </c>
      <c r="CO102">
        <v>30045172</v>
      </c>
      <c r="CP102">
        <v>22383558</v>
      </c>
      <c r="CQ102">
        <v>37732492</v>
      </c>
      <c r="CR102">
        <v>21479236</v>
      </c>
      <c r="CS102">
        <v>28205242</v>
      </c>
      <c r="CT102">
        <v>33066678</v>
      </c>
      <c r="CU102">
        <v>20135222</v>
      </c>
      <c r="CV102">
        <v>40476580</v>
      </c>
      <c r="CW102">
        <v>50015392</v>
      </c>
    </row>
    <row r="103" spans="1:101">
      <c r="A103">
        <v>31070</v>
      </c>
      <c r="B103" t="s">
        <v>435</v>
      </c>
      <c r="D103" t="s">
        <v>435</v>
      </c>
      <c r="F103" t="s">
        <v>436</v>
      </c>
      <c r="G103">
        <v>262.65600000000001</v>
      </c>
      <c r="H103" t="s">
        <v>104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-1</v>
      </c>
      <c r="O103">
        <v>4</v>
      </c>
      <c r="P103">
        <v>4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5</v>
      </c>
      <c r="AH103">
        <v>5</v>
      </c>
      <c r="AI103">
        <v>5</v>
      </c>
      <c r="AJ103">
        <v>5</v>
      </c>
      <c r="AK103">
        <v>5</v>
      </c>
      <c r="AL103">
        <v>5</v>
      </c>
      <c r="AM103">
        <v>5</v>
      </c>
      <c r="AN103">
        <v>5</v>
      </c>
      <c r="AO103">
        <v>5</v>
      </c>
      <c r="AP103">
        <v>17</v>
      </c>
      <c r="AQ103">
        <v>11</v>
      </c>
      <c r="AR103">
        <v>2</v>
      </c>
      <c r="AS103">
        <v>11</v>
      </c>
      <c r="AT103">
        <v>12</v>
      </c>
      <c r="AU103">
        <v>14</v>
      </c>
      <c r="AV103">
        <v>13</v>
      </c>
      <c r="AW103">
        <v>13</v>
      </c>
      <c r="AX103">
        <v>17</v>
      </c>
      <c r="AY103">
        <v>18</v>
      </c>
      <c r="AZ103">
        <v>13</v>
      </c>
      <c r="BA103">
        <v>13</v>
      </c>
      <c r="BB103">
        <v>15</v>
      </c>
      <c r="BC103">
        <v>14</v>
      </c>
      <c r="BD103">
        <v>11</v>
      </c>
      <c r="BE103">
        <v>14</v>
      </c>
      <c r="BF103">
        <v>12</v>
      </c>
      <c r="BG103">
        <v>12</v>
      </c>
      <c r="BH103">
        <v>14</v>
      </c>
      <c r="BI103">
        <v>15</v>
      </c>
      <c r="BJ103">
        <v>394565088</v>
      </c>
      <c r="BK103">
        <v>398069376</v>
      </c>
      <c r="BL103">
        <v>966289.44</v>
      </c>
      <c r="BM103">
        <v>127196408</v>
      </c>
      <c r="BN103">
        <v>287020992</v>
      </c>
      <c r="BO103">
        <v>271563968</v>
      </c>
      <c r="BP103">
        <v>370906688</v>
      </c>
      <c r="BQ103">
        <v>345432032</v>
      </c>
      <c r="BR103">
        <v>291771136</v>
      </c>
      <c r="BS103">
        <v>290871904</v>
      </c>
      <c r="BT103">
        <v>82188360</v>
      </c>
      <c r="BU103">
        <v>279654688</v>
      </c>
      <c r="BV103">
        <v>287080864</v>
      </c>
      <c r="BW103">
        <v>289836800</v>
      </c>
      <c r="BX103">
        <v>286059904</v>
      </c>
      <c r="BY103">
        <v>293605952</v>
      </c>
      <c r="BZ103">
        <v>249815840</v>
      </c>
      <c r="CA103">
        <v>371690240</v>
      </c>
      <c r="CB103">
        <v>227267360</v>
      </c>
      <c r="CC103">
        <v>222699184</v>
      </c>
      <c r="CD103">
        <v>347348128</v>
      </c>
      <c r="CE103">
        <v>227160528</v>
      </c>
      <c r="CF103">
        <v>95785672</v>
      </c>
      <c r="CG103">
        <v>137098800</v>
      </c>
      <c r="CH103">
        <v>227975584</v>
      </c>
      <c r="CI103">
        <v>177553840</v>
      </c>
      <c r="CJ103">
        <v>282813504</v>
      </c>
      <c r="CK103">
        <v>302532480</v>
      </c>
      <c r="CL103">
        <v>284554304</v>
      </c>
      <c r="CM103">
        <v>249686256</v>
      </c>
      <c r="CN103">
        <v>260014016</v>
      </c>
      <c r="CO103">
        <v>206402368</v>
      </c>
      <c r="CP103">
        <v>303861408</v>
      </c>
      <c r="CQ103">
        <v>179518704</v>
      </c>
      <c r="CR103">
        <v>266390256</v>
      </c>
      <c r="CS103">
        <v>202759312</v>
      </c>
      <c r="CT103">
        <v>224082528</v>
      </c>
      <c r="CU103">
        <v>283204288</v>
      </c>
      <c r="CV103">
        <v>239996912</v>
      </c>
      <c r="CW103">
        <v>383336704</v>
      </c>
    </row>
    <row r="104" spans="1:101">
      <c r="A104">
        <v>30968</v>
      </c>
      <c r="B104" t="s">
        <v>437</v>
      </c>
      <c r="D104" t="s">
        <v>438</v>
      </c>
      <c r="F104" t="s">
        <v>439</v>
      </c>
      <c r="G104">
        <v>257.82299999999998</v>
      </c>
      <c r="H104" t="s">
        <v>104</v>
      </c>
      <c r="I104">
        <v>2</v>
      </c>
      <c r="J104">
        <v>3</v>
      </c>
      <c r="K104">
        <v>0</v>
      </c>
      <c r="L104">
        <v>0</v>
      </c>
      <c r="M104">
        <v>0</v>
      </c>
      <c r="N104">
        <v>-1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11</v>
      </c>
      <c r="W104">
        <v>11</v>
      </c>
      <c r="Y104">
        <v>12</v>
      </c>
      <c r="Z104">
        <v>11</v>
      </c>
      <c r="AA104">
        <v>12</v>
      </c>
      <c r="AB104">
        <v>11</v>
      </c>
      <c r="AC104">
        <v>11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12</v>
      </c>
      <c r="AK104">
        <v>12</v>
      </c>
      <c r="AL104">
        <v>11</v>
      </c>
      <c r="AM104">
        <v>12</v>
      </c>
      <c r="AN104">
        <v>12</v>
      </c>
      <c r="AO104">
        <v>12</v>
      </c>
      <c r="AP104">
        <v>2</v>
      </c>
      <c r="AQ104">
        <v>6</v>
      </c>
      <c r="AR104">
        <v>0</v>
      </c>
      <c r="AS104">
        <v>7</v>
      </c>
      <c r="AT104">
        <v>2</v>
      </c>
      <c r="AU104">
        <v>6</v>
      </c>
      <c r="AV104">
        <v>7</v>
      </c>
      <c r="AW104">
        <v>0</v>
      </c>
      <c r="AX104">
        <v>9</v>
      </c>
      <c r="AY104">
        <v>6</v>
      </c>
      <c r="AZ104">
        <v>0</v>
      </c>
      <c r="BA104">
        <v>7</v>
      </c>
      <c r="BB104">
        <v>1</v>
      </c>
      <c r="BC104">
        <v>9</v>
      </c>
      <c r="BD104">
        <v>3</v>
      </c>
      <c r="BE104">
        <v>3</v>
      </c>
      <c r="BF104">
        <v>4</v>
      </c>
      <c r="BG104">
        <v>3</v>
      </c>
      <c r="BH104">
        <v>8</v>
      </c>
      <c r="BI104">
        <v>6</v>
      </c>
      <c r="BJ104">
        <v>6220085.5</v>
      </c>
      <c r="BK104">
        <v>11668828</v>
      </c>
      <c r="BM104">
        <v>9455648</v>
      </c>
      <c r="BN104">
        <v>6726299.5</v>
      </c>
      <c r="BO104">
        <v>10904906</v>
      </c>
      <c r="BP104">
        <v>9189918</v>
      </c>
      <c r="BQ104">
        <v>5727604</v>
      </c>
      <c r="BR104">
        <v>11377667</v>
      </c>
      <c r="BS104">
        <v>9444745</v>
      </c>
      <c r="BT104">
        <v>2262907.5</v>
      </c>
      <c r="BU104">
        <v>9426082</v>
      </c>
      <c r="BV104">
        <v>6085969</v>
      </c>
      <c r="BW104">
        <v>17646132</v>
      </c>
      <c r="BX104">
        <v>6029528</v>
      </c>
      <c r="BY104">
        <v>9215492</v>
      </c>
      <c r="BZ104">
        <v>8732727</v>
      </c>
      <c r="CA104">
        <v>6784880</v>
      </c>
      <c r="CB104">
        <v>9099838</v>
      </c>
      <c r="CC104">
        <v>9420392</v>
      </c>
      <c r="CD104">
        <v>6243944.5</v>
      </c>
      <c r="CE104">
        <v>6693938</v>
      </c>
      <c r="CF104">
        <v>1861110.38</v>
      </c>
      <c r="CG104">
        <v>9819662</v>
      </c>
      <c r="CH104">
        <v>5215838</v>
      </c>
      <c r="CI104">
        <v>7083715.5</v>
      </c>
      <c r="CJ104">
        <v>7146561.5</v>
      </c>
      <c r="CK104">
        <v>4905123.5</v>
      </c>
      <c r="CL104">
        <v>10622605</v>
      </c>
      <c r="CM104">
        <v>8104858</v>
      </c>
      <c r="CN104">
        <v>6424229</v>
      </c>
      <c r="CO104">
        <v>6641531</v>
      </c>
      <c r="CP104">
        <v>6243944.5</v>
      </c>
      <c r="CQ104">
        <v>9789920</v>
      </c>
      <c r="CR104">
        <v>5550055</v>
      </c>
      <c r="CS104">
        <v>6971801</v>
      </c>
      <c r="CT104">
        <v>8342071</v>
      </c>
      <c r="CU104">
        <v>5168762.5</v>
      </c>
      <c r="CV104">
        <v>9544855</v>
      </c>
      <c r="CW104">
        <v>11801559</v>
      </c>
    </row>
    <row r="105" spans="1:101">
      <c r="A105">
        <v>31001</v>
      </c>
      <c r="B105" t="s">
        <v>440</v>
      </c>
      <c r="D105" t="s">
        <v>441</v>
      </c>
      <c r="E105" t="s">
        <v>442</v>
      </c>
      <c r="F105" t="s">
        <v>443</v>
      </c>
      <c r="G105">
        <v>256.21699999999998</v>
      </c>
      <c r="H105" t="s">
        <v>104</v>
      </c>
      <c r="I105">
        <v>2</v>
      </c>
      <c r="J105">
        <v>19</v>
      </c>
      <c r="K105">
        <v>1</v>
      </c>
      <c r="L105">
        <v>0</v>
      </c>
      <c r="M105">
        <v>0</v>
      </c>
      <c r="N105">
        <v>-1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5</v>
      </c>
      <c r="W105">
        <v>9</v>
      </c>
      <c r="X105">
        <v>9</v>
      </c>
      <c r="Y105">
        <v>10</v>
      </c>
      <c r="Z105">
        <v>10</v>
      </c>
      <c r="AA105">
        <v>9</v>
      </c>
      <c r="AB105">
        <v>10</v>
      </c>
      <c r="AC105">
        <v>10</v>
      </c>
      <c r="AD105">
        <v>10</v>
      </c>
      <c r="AE105">
        <v>10</v>
      </c>
      <c r="AF105">
        <v>10</v>
      </c>
      <c r="AG105">
        <v>10</v>
      </c>
      <c r="AH105">
        <v>10</v>
      </c>
      <c r="AI105">
        <v>10</v>
      </c>
      <c r="AJ105">
        <v>10</v>
      </c>
      <c r="AK105">
        <v>10</v>
      </c>
      <c r="AL105">
        <v>10</v>
      </c>
      <c r="AM105">
        <v>10</v>
      </c>
      <c r="AN105">
        <v>10</v>
      </c>
      <c r="AO105">
        <v>10</v>
      </c>
      <c r="AP105">
        <v>14</v>
      </c>
      <c r="AQ105">
        <v>16</v>
      </c>
      <c r="AR105">
        <v>7</v>
      </c>
      <c r="AS105">
        <v>18</v>
      </c>
      <c r="AT105">
        <v>58</v>
      </c>
      <c r="AU105">
        <v>12</v>
      </c>
      <c r="AV105">
        <v>62</v>
      </c>
      <c r="AW105">
        <v>50</v>
      </c>
      <c r="AX105">
        <v>25</v>
      </c>
      <c r="AY105">
        <v>15</v>
      </c>
      <c r="AZ105">
        <v>14</v>
      </c>
      <c r="BA105">
        <v>14</v>
      </c>
      <c r="BB105">
        <v>23</v>
      </c>
      <c r="BC105">
        <v>32</v>
      </c>
      <c r="BD105">
        <v>82</v>
      </c>
      <c r="BE105">
        <v>16</v>
      </c>
      <c r="BF105">
        <v>83</v>
      </c>
      <c r="BG105">
        <v>58</v>
      </c>
      <c r="BH105">
        <v>16</v>
      </c>
      <c r="BI105">
        <v>9</v>
      </c>
      <c r="BJ105">
        <v>64303636</v>
      </c>
      <c r="BK105">
        <v>157152768</v>
      </c>
      <c r="BL105">
        <v>11698107</v>
      </c>
      <c r="BM105">
        <v>149743248</v>
      </c>
      <c r="BN105">
        <v>411051200</v>
      </c>
      <c r="BO105">
        <v>93012296</v>
      </c>
      <c r="BP105">
        <v>428718176</v>
      </c>
      <c r="BQ105">
        <v>402362976</v>
      </c>
      <c r="BR105">
        <v>160583392</v>
      </c>
      <c r="BS105">
        <v>89362952</v>
      </c>
      <c r="BT105">
        <v>66680152</v>
      </c>
      <c r="BU105">
        <v>108679184</v>
      </c>
      <c r="BV105">
        <v>194070048</v>
      </c>
      <c r="BW105">
        <v>252943408</v>
      </c>
      <c r="BX105">
        <v>724152128</v>
      </c>
      <c r="BY105">
        <v>108398288</v>
      </c>
      <c r="BZ105">
        <v>700093824</v>
      </c>
      <c r="CA105">
        <v>561110080</v>
      </c>
      <c r="CB105">
        <v>109791928</v>
      </c>
      <c r="CC105">
        <v>37358404</v>
      </c>
      <c r="CD105">
        <v>11154298</v>
      </c>
      <c r="CE105">
        <v>54456544</v>
      </c>
      <c r="CF105">
        <v>732268544</v>
      </c>
      <c r="CG105">
        <v>216508304</v>
      </c>
      <c r="CH105">
        <v>422152800</v>
      </c>
      <c r="CI105">
        <v>58735428</v>
      </c>
      <c r="CJ105">
        <v>470191456</v>
      </c>
      <c r="CK105">
        <v>242213504</v>
      </c>
      <c r="CL105">
        <v>168665328</v>
      </c>
      <c r="CM105">
        <v>143089904</v>
      </c>
      <c r="CN105">
        <v>258940208</v>
      </c>
      <c r="CO105">
        <v>153158016</v>
      </c>
      <c r="CP105">
        <v>349083264</v>
      </c>
      <c r="CQ105">
        <v>164178128</v>
      </c>
      <c r="CR105">
        <v>853118016</v>
      </c>
      <c r="CS105">
        <v>151381488</v>
      </c>
      <c r="CT105">
        <v>810752320</v>
      </c>
      <c r="CU105">
        <v>401233120</v>
      </c>
      <c r="CV105">
        <v>113613224</v>
      </c>
      <c r="CW105">
        <v>67253472</v>
      </c>
    </row>
    <row r="106" spans="1:101">
      <c r="A106">
        <v>31009</v>
      </c>
      <c r="B106" t="s">
        <v>444</v>
      </c>
      <c r="D106" t="s">
        <v>445</v>
      </c>
      <c r="E106" t="s">
        <v>446</v>
      </c>
      <c r="F106" t="s">
        <v>447</v>
      </c>
      <c r="G106">
        <v>255.70500000000001</v>
      </c>
      <c r="H106" t="s">
        <v>104</v>
      </c>
      <c r="I106">
        <v>2</v>
      </c>
      <c r="J106">
        <v>19</v>
      </c>
      <c r="K106">
        <v>2</v>
      </c>
      <c r="L106">
        <v>0</v>
      </c>
      <c r="M106">
        <v>0</v>
      </c>
      <c r="N106">
        <v>-1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9</v>
      </c>
      <c r="V106">
        <v>7</v>
      </c>
      <c r="W106">
        <v>8</v>
      </c>
      <c r="X106">
        <v>7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9</v>
      </c>
      <c r="AJ106">
        <v>9</v>
      </c>
      <c r="AK106">
        <v>9</v>
      </c>
      <c r="AL106">
        <v>9</v>
      </c>
      <c r="AM106">
        <v>9</v>
      </c>
      <c r="AN106">
        <v>9</v>
      </c>
      <c r="AO106">
        <v>9</v>
      </c>
      <c r="AP106">
        <v>56</v>
      </c>
      <c r="AQ106">
        <v>56</v>
      </c>
      <c r="AR106">
        <v>10</v>
      </c>
      <c r="AS106">
        <v>15</v>
      </c>
      <c r="AT106">
        <v>17</v>
      </c>
      <c r="AU106">
        <v>10</v>
      </c>
      <c r="AV106">
        <v>19</v>
      </c>
      <c r="AW106">
        <v>26</v>
      </c>
      <c r="AX106">
        <v>18</v>
      </c>
      <c r="AY106">
        <v>10</v>
      </c>
      <c r="AZ106">
        <v>8</v>
      </c>
      <c r="BA106">
        <v>20</v>
      </c>
      <c r="BB106">
        <v>19</v>
      </c>
      <c r="BC106">
        <v>28</v>
      </c>
      <c r="BD106">
        <v>21</v>
      </c>
      <c r="BE106">
        <v>10</v>
      </c>
      <c r="BF106">
        <v>17</v>
      </c>
      <c r="BG106">
        <v>23</v>
      </c>
      <c r="BH106">
        <v>18</v>
      </c>
      <c r="BI106">
        <v>8</v>
      </c>
      <c r="BJ106">
        <v>541651776</v>
      </c>
      <c r="BK106">
        <v>566936128</v>
      </c>
      <c r="BL106">
        <v>5288938</v>
      </c>
      <c r="BM106">
        <v>361170176</v>
      </c>
      <c r="BN106">
        <v>640353088</v>
      </c>
      <c r="BO106">
        <v>188318560</v>
      </c>
      <c r="BP106">
        <v>695609856</v>
      </c>
      <c r="BQ106">
        <v>1362685696</v>
      </c>
      <c r="BR106">
        <v>461737696</v>
      </c>
      <c r="BS106">
        <v>149479088</v>
      </c>
      <c r="BT106">
        <v>127997872</v>
      </c>
      <c r="BU106">
        <v>483199648</v>
      </c>
      <c r="BV106">
        <v>701270784</v>
      </c>
      <c r="BW106">
        <v>1333334528</v>
      </c>
      <c r="BX106">
        <v>1175503744</v>
      </c>
      <c r="BY106">
        <v>195427712</v>
      </c>
      <c r="BZ106">
        <v>1038759296</v>
      </c>
      <c r="CA106">
        <v>1423828608</v>
      </c>
      <c r="CB106">
        <v>419221408</v>
      </c>
      <c r="CC106">
        <v>132471520</v>
      </c>
      <c r="CD106">
        <v>242995088</v>
      </c>
      <c r="CE106">
        <v>181233856</v>
      </c>
      <c r="CF106">
        <v>1525139200</v>
      </c>
      <c r="CG106">
        <v>535356800</v>
      </c>
      <c r="CH106">
        <v>398254944</v>
      </c>
      <c r="CI106">
        <v>157843424</v>
      </c>
      <c r="CJ106">
        <v>621500544</v>
      </c>
      <c r="CK106">
        <v>1747601152</v>
      </c>
      <c r="CL106">
        <v>607329280</v>
      </c>
      <c r="CM106">
        <v>206264768</v>
      </c>
      <c r="CN106">
        <v>570013248</v>
      </c>
      <c r="CO106">
        <v>469156768</v>
      </c>
      <c r="CP106">
        <v>898290048</v>
      </c>
      <c r="CQ106">
        <v>1076665472</v>
      </c>
      <c r="CR106">
        <v>1543495296</v>
      </c>
      <c r="CS106">
        <v>227979104</v>
      </c>
      <c r="CT106">
        <v>874351296</v>
      </c>
      <c r="CU106">
        <v>1455569920</v>
      </c>
      <c r="CV106">
        <v>734835264</v>
      </c>
      <c r="CW106">
        <v>260545360</v>
      </c>
    </row>
    <row r="107" spans="1:101">
      <c r="A107">
        <v>30993</v>
      </c>
      <c r="B107" t="s">
        <v>448</v>
      </c>
      <c r="D107" t="s">
        <v>449</v>
      </c>
      <c r="E107" t="s">
        <v>450</v>
      </c>
      <c r="F107" t="s">
        <v>451</v>
      </c>
      <c r="G107">
        <v>235.92500000000001</v>
      </c>
      <c r="H107" t="s">
        <v>104</v>
      </c>
      <c r="I107">
        <v>2</v>
      </c>
      <c r="J107">
        <v>16</v>
      </c>
      <c r="K107">
        <v>5</v>
      </c>
      <c r="L107">
        <v>0</v>
      </c>
      <c r="M107">
        <v>0</v>
      </c>
      <c r="N107">
        <v>-1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10</v>
      </c>
      <c r="V107">
        <v>10</v>
      </c>
      <c r="W107">
        <v>10</v>
      </c>
      <c r="X107">
        <v>2</v>
      </c>
      <c r="Y107">
        <v>10</v>
      </c>
      <c r="Z107">
        <v>9</v>
      </c>
      <c r="AA107">
        <v>10</v>
      </c>
      <c r="AB107">
        <v>10</v>
      </c>
      <c r="AC107">
        <v>10</v>
      </c>
      <c r="AD107">
        <v>10</v>
      </c>
      <c r="AE107">
        <v>10</v>
      </c>
      <c r="AF107">
        <v>10</v>
      </c>
      <c r="AG107">
        <v>10</v>
      </c>
      <c r="AH107">
        <v>10</v>
      </c>
      <c r="AI107">
        <v>10</v>
      </c>
      <c r="AJ107">
        <v>9</v>
      </c>
      <c r="AK107">
        <v>10</v>
      </c>
      <c r="AL107">
        <v>10</v>
      </c>
      <c r="AM107">
        <v>9</v>
      </c>
      <c r="AN107">
        <v>10</v>
      </c>
      <c r="AO107">
        <v>10</v>
      </c>
      <c r="AP107">
        <v>4</v>
      </c>
      <c r="AQ107">
        <v>7</v>
      </c>
      <c r="AR107">
        <v>0</v>
      </c>
      <c r="AS107">
        <v>8</v>
      </c>
      <c r="AT107">
        <v>3</v>
      </c>
      <c r="AU107">
        <v>11</v>
      </c>
      <c r="AV107">
        <v>5</v>
      </c>
      <c r="AW107">
        <v>3</v>
      </c>
      <c r="AX107">
        <v>8</v>
      </c>
      <c r="AY107">
        <v>10</v>
      </c>
      <c r="AZ107">
        <v>1</v>
      </c>
      <c r="BA107">
        <v>5</v>
      </c>
      <c r="BB107">
        <v>2</v>
      </c>
      <c r="BC107">
        <v>9</v>
      </c>
      <c r="BD107">
        <v>3</v>
      </c>
      <c r="BE107">
        <v>10</v>
      </c>
      <c r="BF107">
        <v>7</v>
      </c>
      <c r="BG107">
        <v>3</v>
      </c>
      <c r="BH107">
        <v>9</v>
      </c>
      <c r="BI107">
        <v>9</v>
      </c>
      <c r="BJ107">
        <v>7672934</v>
      </c>
      <c r="BK107">
        <v>16257698</v>
      </c>
      <c r="BL107">
        <v>35791.879999999997</v>
      </c>
      <c r="BM107">
        <v>12677985</v>
      </c>
      <c r="BN107">
        <v>7630290</v>
      </c>
      <c r="BO107">
        <v>16184248</v>
      </c>
      <c r="BP107">
        <v>12997889</v>
      </c>
      <c r="BQ107">
        <v>7224263</v>
      </c>
      <c r="BR107">
        <v>15560399</v>
      </c>
      <c r="BS107">
        <v>13581194</v>
      </c>
      <c r="BT107">
        <v>2163054.25</v>
      </c>
      <c r="BU107">
        <v>14858416</v>
      </c>
      <c r="BV107">
        <v>6447125.5</v>
      </c>
      <c r="BW107">
        <v>23139696</v>
      </c>
      <c r="BX107">
        <v>6202941.5</v>
      </c>
      <c r="BY107">
        <v>11917937</v>
      </c>
      <c r="BZ107">
        <v>10962773</v>
      </c>
      <c r="CA107">
        <v>7063875</v>
      </c>
      <c r="CB107">
        <v>12691544</v>
      </c>
      <c r="CC107">
        <v>12257241</v>
      </c>
      <c r="CD107">
        <v>9696333</v>
      </c>
      <c r="CE107">
        <v>9430605</v>
      </c>
      <c r="CF107">
        <v>7201239</v>
      </c>
      <c r="CG107">
        <v>12912858</v>
      </c>
      <c r="CH107">
        <v>6490418</v>
      </c>
      <c r="CI107">
        <v>9737663</v>
      </c>
      <c r="CJ107">
        <v>9696333</v>
      </c>
      <c r="CK107">
        <v>6071717</v>
      </c>
      <c r="CL107">
        <v>14444587</v>
      </c>
      <c r="CM107">
        <v>11310003</v>
      </c>
      <c r="CN107">
        <v>6700149</v>
      </c>
      <c r="CO107">
        <v>10324976</v>
      </c>
      <c r="CP107">
        <v>6728421</v>
      </c>
      <c r="CQ107">
        <v>12751837</v>
      </c>
      <c r="CR107">
        <v>6838301</v>
      </c>
      <c r="CS107">
        <v>9391265</v>
      </c>
      <c r="CT107">
        <v>10798486</v>
      </c>
      <c r="CU107">
        <v>5968726.5</v>
      </c>
      <c r="CV107">
        <v>12664408</v>
      </c>
      <c r="CW107">
        <v>13718304</v>
      </c>
    </row>
    <row r="108" spans="1:101">
      <c r="A108">
        <v>31095</v>
      </c>
      <c r="B108" t="s">
        <v>452</v>
      </c>
      <c r="D108" t="s">
        <v>453</v>
      </c>
      <c r="F108" t="s">
        <v>454</v>
      </c>
      <c r="G108">
        <v>235.66200000000001</v>
      </c>
      <c r="H108" t="s">
        <v>104</v>
      </c>
      <c r="I108">
        <v>2</v>
      </c>
      <c r="J108">
        <v>3</v>
      </c>
      <c r="K108">
        <v>0</v>
      </c>
      <c r="L108">
        <v>0</v>
      </c>
      <c r="M108">
        <v>0</v>
      </c>
      <c r="N108">
        <v>-1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2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8</v>
      </c>
      <c r="AQ108">
        <v>8</v>
      </c>
      <c r="AR108">
        <v>1</v>
      </c>
      <c r="AS108">
        <v>8</v>
      </c>
      <c r="AT108">
        <v>7</v>
      </c>
      <c r="AU108">
        <v>8</v>
      </c>
      <c r="AV108">
        <v>6</v>
      </c>
      <c r="AW108">
        <v>5</v>
      </c>
      <c r="AX108">
        <v>8</v>
      </c>
      <c r="AY108">
        <v>7</v>
      </c>
      <c r="AZ108">
        <v>3</v>
      </c>
      <c r="BA108">
        <v>7</v>
      </c>
      <c r="BB108">
        <v>7</v>
      </c>
      <c r="BC108">
        <v>8</v>
      </c>
      <c r="BD108">
        <v>6</v>
      </c>
      <c r="BE108">
        <v>6</v>
      </c>
      <c r="BF108">
        <v>7</v>
      </c>
      <c r="BG108">
        <v>5</v>
      </c>
      <c r="BH108">
        <v>8</v>
      </c>
      <c r="BI108">
        <v>6</v>
      </c>
      <c r="BJ108">
        <v>15737708</v>
      </c>
      <c r="BK108">
        <v>28730720</v>
      </c>
      <c r="BL108">
        <v>225815.11</v>
      </c>
      <c r="BM108">
        <v>21534800</v>
      </c>
      <c r="BN108">
        <v>14995084</v>
      </c>
      <c r="BO108">
        <v>28166570</v>
      </c>
      <c r="BP108">
        <v>20828250</v>
      </c>
      <c r="BQ108">
        <v>14476517</v>
      </c>
      <c r="BR108">
        <v>28977116</v>
      </c>
      <c r="BS108">
        <v>23781758</v>
      </c>
      <c r="BT108">
        <v>4551986.5</v>
      </c>
      <c r="BU108">
        <v>23433084</v>
      </c>
      <c r="BV108">
        <v>10865386</v>
      </c>
      <c r="BW108">
        <v>37052160</v>
      </c>
      <c r="BX108">
        <v>12340590</v>
      </c>
      <c r="BY108">
        <v>25496080</v>
      </c>
      <c r="BZ108">
        <v>18079542</v>
      </c>
      <c r="CA108">
        <v>14398491</v>
      </c>
      <c r="CB108">
        <v>20688314</v>
      </c>
      <c r="CC108">
        <v>14073678</v>
      </c>
      <c r="CD108">
        <v>23067296</v>
      </c>
      <c r="CE108">
        <v>22960270</v>
      </c>
      <c r="CF108">
        <v>10368037</v>
      </c>
      <c r="CG108">
        <v>37821488</v>
      </c>
      <c r="CH108">
        <v>19210454</v>
      </c>
      <c r="CI108">
        <v>28713628</v>
      </c>
      <c r="CJ108">
        <v>26607318</v>
      </c>
      <c r="CK108">
        <v>20067786</v>
      </c>
      <c r="CL108">
        <v>44750920</v>
      </c>
      <c r="CM108">
        <v>36554604</v>
      </c>
      <c r="CN108">
        <v>28806654</v>
      </c>
      <c r="CO108">
        <v>27105276</v>
      </c>
      <c r="CP108">
        <v>17278646</v>
      </c>
      <c r="CQ108">
        <v>34146744</v>
      </c>
      <c r="CR108">
        <v>18042534</v>
      </c>
      <c r="CS108">
        <v>30593916</v>
      </c>
      <c r="CT108">
        <v>27687370</v>
      </c>
      <c r="CU108">
        <v>16061268</v>
      </c>
      <c r="CV108">
        <v>38440720</v>
      </c>
      <c r="CW108">
        <v>27406398</v>
      </c>
    </row>
    <row r="109" spans="1:101">
      <c r="A109">
        <v>30924</v>
      </c>
      <c r="B109" t="s">
        <v>455</v>
      </c>
      <c r="D109" t="s">
        <v>456</v>
      </c>
      <c r="E109" t="s">
        <v>457</v>
      </c>
      <c r="F109" t="s">
        <v>458</v>
      </c>
      <c r="G109">
        <v>231.60300000000001</v>
      </c>
      <c r="H109" t="s">
        <v>104</v>
      </c>
      <c r="I109">
        <v>2</v>
      </c>
      <c r="J109">
        <v>20</v>
      </c>
      <c r="K109">
        <v>1</v>
      </c>
      <c r="L109">
        <v>0</v>
      </c>
      <c r="M109">
        <v>0</v>
      </c>
      <c r="N109">
        <v>-1</v>
      </c>
      <c r="O109">
        <v>13</v>
      </c>
      <c r="P109">
        <v>13</v>
      </c>
      <c r="Q109">
        <v>13</v>
      </c>
      <c r="R109">
        <v>13</v>
      </c>
      <c r="S109">
        <v>13</v>
      </c>
      <c r="T109">
        <v>13</v>
      </c>
      <c r="U109">
        <v>13</v>
      </c>
      <c r="V109">
        <v>11</v>
      </c>
      <c r="W109">
        <v>12</v>
      </c>
      <c r="X109">
        <v>1</v>
      </c>
      <c r="Y109">
        <v>9</v>
      </c>
      <c r="Z109">
        <v>13</v>
      </c>
      <c r="AA109">
        <v>13</v>
      </c>
      <c r="AB109">
        <v>13</v>
      </c>
      <c r="AC109">
        <v>13</v>
      </c>
      <c r="AD109">
        <v>13</v>
      </c>
      <c r="AE109">
        <v>13</v>
      </c>
      <c r="AF109">
        <v>13</v>
      </c>
      <c r="AG109">
        <v>13</v>
      </c>
      <c r="AH109">
        <v>13</v>
      </c>
      <c r="AI109">
        <v>10</v>
      </c>
      <c r="AJ109">
        <v>13</v>
      </c>
      <c r="AK109">
        <v>12</v>
      </c>
      <c r="AL109">
        <v>13</v>
      </c>
      <c r="AM109">
        <v>11</v>
      </c>
      <c r="AN109">
        <v>13</v>
      </c>
      <c r="AO109">
        <v>12</v>
      </c>
      <c r="AP109">
        <v>11</v>
      </c>
      <c r="AQ109">
        <v>2</v>
      </c>
      <c r="AR109">
        <v>0</v>
      </c>
      <c r="AS109">
        <v>0</v>
      </c>
      <c r="AT109">
        <v>10</v>
      </c>
      <c r="AU109">
        <v>3</v>
      </c>
      <c r="AV109">
        <v>6</v>
      </c>
      <c r="AW109">
        <v>3</v>
      </c>
      <c r="AX109">
        <v>7</v>
      </c>
      <c r="AY109">
        <v>4</v>
      </c>
      <c r="AZ109">
        <v>4</v>
      </c>
      <c r="BA109">
        <v>1</v>
      </c>
      <c r="BB109">
        <v>2</v>
      </c>
      <c r="BC109">
        <v>0</v>
      </c>
      <c r="BD109">
        <v>8</v>
      </c>
      <c r="BE109">
        <v>5</v>
      </c>
      <c r="BF109">
        <v>6</v>
      </c>
      <c r="BG109">
        <v>2</v>
      </c>
      <c r="BH109">
        <v>5</v>
      </c>
      <c r="BI109">
        <v>3</v>
      </c>
      <c r="BJ109">
        <v>16884706</v>
      </c>
      <c r="BK109">
        <v>5859882</v>
      </c>
      <c r="BL109">
        <v>93213.52</v>
      </c>
      <c r="BM109">
        <v>1007679.06</v>
      </c>
      <c r="BN109">
        <v>16457051</v>
      </c>
      <c r="BO109">
        <v>7577399</v>
      </c>
      <c r="BP109">
        <v>11714208</v>
      </c>
      <c r="BQ109">
        <v>7418118</v>
      </c>
      <c r="BR109">
        <v>10356115</v>
      </c>
      <c r="BS109">
        <v>5735676</v>
      </c>
      <c r="BT109">
        <v>3718301</v>
      </c>
      <c r="BU109">
        <v>5000309</v>
      </c>
      <c r="BV109">
        <v>5729825</v>
      </c>
      <c r="BW109">
        <v>3168335</v>
      </c>
      <c r="BX109">
        <v>12788677</v>
      </c>
      <c r="BY109">
        <v>6971538.5</v>
      </c>
      <c r="BZ109">
        <v>7717647.5</v>
      </c>
      <c r="CA109">
        <v>6152684</v>
      </c>
      <c r="CB109">
        <v>7911997.5</v>
      </c>
      <c r="CC109">
        <v>4405676.5</v>
      </c>
      <c r="CD109">
        <v>19583230</v>
      </c>
      <c r="CE109">
        <v>3880764.25</v>
      </c>
      <c r="CF109">
        <v>7309987.5</v>
      </c>
      <c r="CG109">
        <v>1268882.75</v>
      </c>
      <c r="CH109">
        <v>13038562</v>
      </c>
      <c r="CI109">
        <v>4657810.5</v>
      </c>
      <c r="CJ109">
        <v>8148841</v>
      </c>
      <c r="CK109">
        <v>6263269.5</v>
      </c>
      <c r="CL109">
        <v>10541106</v>
      </c>
      <c r="CM109">
        <v>4972559.5</v>
      </c>
      <c r="CN109">
        <v>13444296</v>
      </c>
      <c r="CO109">
        <v>3561338.75</v>
      </c>
      <c r="CP109">
        <v>5870998.5</v>
      </c>
      <c r="CQ109">
        <v>1846937.62</v>
      </c>
      <c r="CR109">
        <v>12565393</v>
      </c>
      <c r="CS109">
        <v>5460834</v>
      </c>
      <c r="CT109">
        <v>6975060</v>
      </c>
      <c r="CU109">
        <v>4598259.5</v>
      </c>
      <c r="CV109">
        <v>8647477</v>
      </c>
      <c r="CW109">
        <v>4888983</v>
      </c>
    </row>
    <row r="110" spans="1:101">
      <c r="A110">
        <v>31037</v>
      </c>
      <c r="B110" t="s">
        <v>459</v>
      </c>
      <c r="D110" t="s">
        <v>460</v>
      </c>
      <c r="E110" t="s">
        <v>461</v>
      </c>
      <c r="F110" t="s">
        <v>462</v>
      </c>
      <c r="G110">
        <v>230.28700000000001</v>
      </c>
      <c r="H110" t="s">
        <v>104</v>
      </c>
      <c r="I110">
        <v>2</v>
      </c>
      <c r="J110">
        <v>6</v>
      </c>
      <c r="K110">
        <v>15</v>
      </c>
      <c r="L110">
        <v>0</v>
      </c>
      <c r="M110">
        <v>0</v>
      </c>
      <c r="N110">
        <v>-1</v>
      </c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5</v>
      </c>
      <c r="W110">
        <v>6</v>
      </c>
      <c r="X110">
        <v>2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5</v>
      </c>
      <c r="AK110">
        <v>6</v>
      </c>
      <c r="AL110">
        <v>6</v>
      </c>
      <c r="AM110">
        <v>5</v>
      </c>
      <c r="AN110">
        <v>6</v>
      </c>
      <c r="AO110">
        <v>6</v>
      </c>
      <c r="AP110">
        <v>4</v>
      </c>
      <c r="AQ110">
        <v>4</v>
      </c>
      <c r="AR110">
        <v>1</v>
      </c>
      <c r="AS110">
        <v>7</v>
      </c>
      <c r="AT110">
        <v>5</v>
      </c>
      <c r="AU110">
        <v>7</v>
      </c>
      <c r="AV110">
        <v>5</v>
      </c>
      <c r="AW110">
        <v>3</v>
      </c>
      <c r="AX110">
        <v>7</v>
      </c>
      <c r="AY110">
        <v>6</v>
      </c>
      <c r="AZ110">
        <v>3</v>
      </c>
      <c r="BA110">
        <v>5</v>
      </c>
      <c r="BB110">
        <v>3</v>
      </c>
      <c r="BC110">
        <v>9</v>
      </c>
      <c r="BD110">
        <v>4</v>
      </c>
      <c r="BE110">
        <v>7</v>
      </c>
      <c r="BF110">
        <v>6</v>
      </c>
      <c r="BG110">
        <v>4</v>
      </c>
      <c r="BH110">
        <v>4</v>
      </c>
      <c r="BI110">
        <v>4</v>
      </c>
      <c r="BJ110">
        <v>9997207</v>
      </c>
      <c r="BK110">
        <v>19520458</v>
      </c>
      <c r="BL110">
        <v>487505.03</v>
      </c>
      <c r="BM110">
        <v>13731477</v>
      </c>
      <c r="BN110">
        <v>10810252</v>
      </c>
      <c r="BO110">
        <v>17151932</v>
      </c>
      <c r="BP110">
        <v>12857455</v>
      </c>
      <c r="BQ110">
        <v>8768204</v>
      </c>
      <c r="BR110">
        <v>13449592</v>
      </c>
      <c r="BS110">
        <v>14121006</v>
      </c>
      <c r="BT110">
        <v>2745581.5</v>
      </c>
      <c r="BU110">
        <v>14495264</v>
      </c>
      <c r="BV110">
        <v>6612671</v>
      </c>
      <c r="BW110">
        <v>22509184</v>
      </c>
      <c r="BX110">
        <v>6539530</v>
      </c>
      <c r="BY110">
        <v>13021536</v>
      </c>
      <c r="BZ110">
        <v>10201359</v>
      </c>
      <c r="CA110">
        <v>8069538.5</v>
      </c>
      <c r="CB110">
        <v>12482956</v>
      </c>
      <c r="CC110">
        <v>9963492</v>
      </c>
      <c r="CD110">
        <v>14552147</v>
      </c>
      <c r="CE110">
        <v>15168921</v>
      </c>
      <c r="CF110">
        <v>6323067</v>
      </c>
      <c r="CG110">
        <v>19805168</v>
      </c>
      <c r="CH110">
        <v>10003372</v>
      </c>
      <c r="CI110">
        <v>15442549</v>
      </c>
      <c r="CJ110">
        <v>14987330</v>
      </c>
      <c r="CK110">
        <v>9424470</v>
      </c>
      <c r="CL110">
        <v>18766736</v>
      </c>
      <c r="CM110">
        <v>17057412</v>
      </c>
      <c r="CN110">
        <v>13064467</v>
      </c>
      <c r="CO110">
        <v>12848679</v>
      </c>
      <c r="CP110">
        <v>10538148</v>
      </c>
      <c r="CQ110">
        <v>18642940</v>
      </c>
      <c r="CR110">
        <v>10352358</v>
      </c>
      <c r="CS110">
        <v>13226610</v>
      </c>
      <c r="CT110">
        <v>13310473</v>
      </c>
      <c r="CU110">
        <v>8412215</v>
      </c>
      <c r="CV110">
        <v>20841540</v>
      </c>
      <c r="CW110">
        <v>24818890</v>
      </c>
    </row>
    <row r="111" spans="1:101">
      <c r="A111">
        <v>31114</v>
      </c>
      <c r="B111" t="s">
        <v>463</v>
      </c>
      <c r="D111" t="s">
        <v>464</v>
      </c>
      <c r="F111" t="s">
        <v>465</v>
      </c>
      <c r="G111">
        <v>227.84</v>
      </c>
      <c r="H111" t="s">
        <v>104</v>
      </c>
      <c r="I111">
        <v>2</v>
      </c>
      <c r="J111">
        <v>3</v>
      </c>
      <c r="K111">
        <v>0</v>
      </c>
      <c r="L111">
        <v>0</v>
      </c>
      <c r="M111">
        <v>0</v>
      </c>
      <c r="N111">
        <v>-1</v>
      </c>
      <c r="O111">
        <v>6</v>
      </c>
      <c r="P111">
        <v>6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6</v>
      </c>
      <c r="X111">
        <v>3</v>
      </c>
      <c r="Y111">
        <v>6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8</v>
      </c>
      <c r="AQ111">
        <v>10</v>
      </c>
      <c r="AR111">
        <v>0</v>
      </c>
      <c r="AS111">
        <v>6</v>
      </c>
      <c r="AT111">
        <v>7</v>
      </c>
      <c r="AU111">
        <v>9</v>
      </c>
      <c r="AV111">
        <v>6</v>
      </c>
      <c r="AW111">
        <v>8</v>
      </c>
      <c r="AX111">
        <v>6</v>
      </c>
      <c r="AY111">
        <v>7</v>
      </c>
      <c r="AZ111">
        <v>6</v>
      </c>
      <c r="BA111">
        <v>8</v>
      </c>
      <c r="BB111">
        <v>5</v>
      </c>
      <c r="BC111">
        <v>7</v>
      </c>
      <c r="BD111">
        <v>6</v>
      </c>
      <c r="BE111">
        <v>8</v>
      </c>
      <c r="BF111">
        <v>5</v>
      </c>
      <c r="BG111">
        <v>7</v>
      </c>
      <c r="BH111">
        <v>5</v>
      </c>
      <c r="BI111">
        <v>5</v>
      </c>
      <c r="BJ111">
        <v>31204294</v>
      </c>
      <c r="BK111">
        <v>61554120</v>
      </c>
      <c r="BL111">
        <v>85526.81</v>
      </c>
      <c r="BM111">
        <v>22623316</v>
      </c>
      <c r="BN111">
        <v>36101328</v>
      </c>
      <c r="BO111">
        <v>48594748</v>
      </c>
      <c r="BP111">
        <v>20228308</v>
      </c>
      <c r="BQ111">
        <v>53844388</v>
      </c>
      <c r="BR111">
        <v>14885460</v>
      </c>
      <c r="BS111">
        <v>14670100</v>
      </c>
      <c r="BT111">
        <v>10031898</v>
      </c>
      <c r="BU111">
        <v>42708140</v>
      </c>
      <c r="BV111">
        <v>14249455</v>
      </c>
      <c r="BW111">
        <v>46109696</v>
      </c>
      <c r="BX111">
        <v>27608956</v>
      </c>
      <c r="BY111">
        <v>37599832</v>
      </c>
      <c r="BZ111">
        <v>15715910</v>
      </c>
      <c r="CA111">
        <v>44167768</v>
      </c>
      <c r="CB111">
        <v>13228032</v>
      </c>
      <c r="CC111">
        <v>18217786</v>
      </c>
      <c r="CD111">
        <v>47622480</v>
      </c>
      <c r="CE111">
        <v>46270412</v>
      </c>
      <c r="CF111">
        <v>14037911</v>
      </c>
      <c r="CG111">
        <v>32461340</v>
      </c>
      <c r="CH111">
        <v>37844484</v>
      </c>
      <c r="CI111">
        <v>38562912</v>
      </c>
      <c r="CJ111">
        <v>20916748</v>
      </c>
      <c r="CK111">
        <v>57146908</v>
      </c>
      <c r="CL111">
        <v>19414034</v>
      </c>
      <c r="CM111">
        <v>16512160</v>
      </c>
      <c r="CN111">
        <v>46124116</v>
      </c>
      <c r="CO111">
        <v>40082908</v>
      </c>
      <c r="CP111">
        <v>19755582</v>
      </c>
      <c r="CQ111">
        <v>36130188</v>
      </c>
      <c r="CR111">
        <v>33601056</v>
      </c>
      <c r="CS111">
        <v>38431036</v>
      </c>
      <c r="CT111">
        <v>18679984</v>
      </c>
      <c r="CU111">
        <v>41713100</v>
      </c>
      <c r="CV111">
        <v>18656116</v>
      </c>
      <c r="CW111">
        <v>27490564</v>
      </c>
    </row>
    <row r="112" spans="1:101">
      <c r="A112">
        <v>31116</v>
      </c>
      <c r="B112" t="s">
        <v>466</v>
      </c>
      <c r="D112" t="s">
        <v>466</v>
      </c>
      <c r="F112" t="s">
        <v>467</v>
      </c>
      <c r="G112">
        <v>227.09899999999999</v>
      </c>
      <c r="H112" t="s">
        <v>104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-1</v>
      </c>
      <c r="O112">
        <v>12</v>
      </c>
      <c r="P112">
        <v>12</v>
      </c>
      <c r="Q112">
        <v>12</v>
      </c>
      <c r="R112">
        <v>12</v>
      </c>
      <c r="S112">
        <v>12</v>
      </c>
      <c r="T112">
        <v>12</v>
      </c>
      <c r="U112">
        <v>12</v>
      </c>
      <c r="V112">
        <v>12</v>
      </c>
      <c r="W112">
        <v>11</v>
      </c>
      <c r="X112">
        <v>2</v>
      </c>
      <c r="Y112">
        <v>11</v>
      </c>
      <c r="Z112">
        <v>10</v>
      </c>
      <c r="AA112">
        <v>12</v>
      </c>
      <c r="AB112">
        <v>11</v>
      </c>
      <c r="AC112">
        <v>12</v>
      </c>
      <c r="AD112">
        <v>12</v>
      </c>
      <c r="AE112">
        <v>12</v>
      </c>
      <c r="AF112">
        <v>11</v>
      </c>
      <c r="AG112">
        <v>12</v>
      </c>
      <c r="AH112">
        <v>12</v>
      </c>
      <c r="AI112">
        <v>12</v>
      </c>
      <c r="AJ112">
        <v>11</v>
      </c>
      <c r="AK112">
        <v>12</v>
      </c>
      <c r="AL112">
        <v>11</v>
      </c>
      <c r="AM112">
        <v>12</v>
      </c>
      <c r="AN112">
        <v>12</v>
      </c>
      <c r="AO112">
        <v>12</v>
      </c>
      <c r="AP112">
        <v>5</v>
      </c>
      <c r="AQ112">
        <v>4</v>
      </c>
      <c r="AR112">
        <v>0</v>
      </c>
      <c r="AS112">
        <v>2</v>
      </c>
      <c r="AT112">
        <v>3</v>
      </c>
      <c r="AU112">
        <v>9</v>
      </c>
      <c r="AV112">
        <v>4</v>
      </c>
      <c r="AW112">
        <v>1</v>
      </c>
      <c r="AX112">
        <v>5</v>
      </c>
      <c r="AY112">
        <v>5</v>
      </c>
      <c r="AZ112">
        <v>0</v>
      </c>
      <c r="BA112">
        <v>5</v>
      </c>
      <c r="BB112">
        <v>1</v>
      </c>
      <c r="BC112">
        <v>11</v>
      </c>
      <c r="BD112">
        <v>1</v>
      </c>
      <c r="BE112">
        <v>8</v>
      </c>
      <c r="BF112">
        <v>2</v>
      </c>
      <c r="BG112">
        <v>5</v>
      </c>
      <c r="BH112">
        <v>8</v>
      </c>
      <c r="BI112">
        <v>5</v>
      </c>
      <c r="BJ112">
        <v>14220565</v>
      </c>
      <c r="BK112">
        <v>9797035</v>
      </c>
      <c r="BL112">
        <v>22752.13</v>
      </c>
      <c r="BM112">
        <v>5584617.5</v>
      </c>
      <c r="BN112">
        <v>6246639</v>
      </c>
      <c r="BO112">
        <v>15497163</v>
      </c>
      <c r="BP112">
        <v>9633947</v>
      </c>
      <c r="BQ112">
        <v>7048430</v>
      </c>
      <c r="BR112">
        <v>9298311</v>
      </c>
      <c r="BS112">
        <v>9715669</v>
      </c>
      <c r="BT112">
        <v>1358830.88</v>
      </c>
      <c r="BU112">
        <v>6719708.5</v>
      </c>
      <c r="BV112">
        <v>4854118</v>
      </c>
      <c r="BW112">
        <v>19904378</v>
      </c>
      <c r="BX112">
        <v>5044610</v>
      </c>
      <c r="BY112">
        <v>9875715</v>
      </c>
      <c r="BZ112">
        <v>5821824.5</v>
      </c>
      <c r="CA112">
        <v>11013640</v>
      </c>
      <c r="CB112">
        <v>15194423</v>
      </c>
      <c r="CC112">
        <v>13099121</v>
      </c>
      <c r="CD112">
        <v>14023724</v>
      </c>
      <c r="CE112">
        <v>5155437.5</v>
      </c>
      <c r="CF112">
        <v>7465911</v>
      </c>
      <c r="CG112">
        <v>5385297.5</v>
      </c>
      <c r="CH112">
        <v>4612978</v>
      </c>
      <c r="CI112">
        <v>9447001</v>
      </c>
      <c r="CJ112">
        <v>7090659</v>
      </c>
      <c r="CK112">
        <v>5848302</v>
      </c>
      <c r="CL112">
        <v>8766917</v>
      </c>
      <c r="CM112">
        <v>7783442.5</v>
      </c>
      <c r="CN112">
        <v>5097968.5</v>
      </c>
      <c r="CO112">
        <v>4561508</v>
      </c>
      <c r="CP112">
        <v>5090177.5</v>
      </c>
      <c r="CQ112">
        <v>11144685</v>
      </c>
      <c r="CR112">
        <v>5359476.5</v>
      </c>
      <c r="CS112">
        <v>6647581.5</v>
      </c>
      <c r="CT112">
        <v>5865982</v>
      </c>
      <c r="CU112">
        <v>7244744</v>
      </c>
      <c r="CV112">
        <v>16865982</v>
      </c>
      <c r="CW112">
        <v>13544122</v>
      </c>
    </row>
    <row r="113" spans="1:101">
      <c r="A113">
        <v>31122</v>
      </c>
      <c r="B113" t="s">
        <v>468</v>
      </c>
      <c r="D113" t="s">
        <v>469</v>
      </c>
      <c r="F113" t="s">
        <v>470</v>
      </c>
      <c r="G113">
        <v>222.34100000000001</v>
      </c>
      <c r="H113" t="s">
        <v>104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-1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7</v>
      </c>
      <c r="X113">
        <v>4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8</v>
      </c>
      <c r="AP113">
        <v>10</v>
      </c>
      <c r="AQ113">
        <v>4</v>
      </c>
      <c r="AR113">
        <v>0</v>
      </c>
      <c r="AS113">
        <v>3</v>
      </c>
      <c r="AT113">
        <v>6</v>
      </c>
      <c r="AU113">
        <v>7</v>
      </c>
      <c r="AV113">
        <v>9</v>
      </c>
      <c r="AW113">
        <v>10</v>
      </c>
      <c r="AX113">
        <v>6</v>
      </c>
      <c r="AY113">
        <v>5</v>
      </c>
      <c r="AZ113">
        <v>3</v>
      </c>
      <c r="BA113">
        <v>5</v>
      </c>
      <c r="BB113">
        <v>6</v>
      </c>
      <c r="BC113">
        <v>10</v>
      </c>
      <c r="BD113">
        <v>6</v>
      </c>
      <c r="BE113">
        <v>7</v>
      </c>
      <c r="BF113">
        <v>5</v>
      </c>
      <c r="BG113">
        <v>10</v>
      </c>
      <c r="BH113">
        <v>7</v>
      </c>
      <c r="BI113">
        <v>8</v>
      </c>
      <c r="BJ113">
        <v>11759824</v>
      </c>
      <c r="BK113">
        <v>11385617</v>
      </c>
      <c r="BL113">
        <v>202036.19</v>
      </c>
      <c r="BM113">
        <v>7067611.5</v>
      </c>
      <c r="BN113">
        <v>11800558</v>
      </c>
      <c r="BO113">
        <v>10941667</v>
      </c>
      <c r="BP113">
        <v>21339052</v>
      </c>
      <c r="BQ113">
        <v>31580186</v>
      </c>
      <c r="BR113">
        <v>8875840</v>
      </c>
      <c r="BS113">
        <v>10355284</v>
      </c>
      <c r="BT113">
        <v>3082331.25</v>
      </c>
      <c r="BU113">
        <v>11058296</v>
      </c>
      <c r="BV113">
        <v>9493504</v>
      </c>
      <c r="BW113">
        <v>25679288</v>
      </c>
      <c r="BX113">
        <v>20091860</v>
      </c>
      <c r="BY113">
        <v>15949164</v>
      </c>
      <c r="BZ113">
        <v>23424294</v>
      </c>
      <c r="CA113">
        <v>36235640</v>
      </c>
      <c r="CB113">
        <v>9891099</v>
      </c>
      <c r="CC113">
        <v>12725271</v>
      </c>
      <c r="CD113">
        <v>15022224</v>
      </c>
      <c r="CE113">
        <v>6376701.5</v>
      </c>
      <c r="CF113">
        <v>15845167</v>
      </c>
      <c r="CG113">
        <v>8165869</v>
      </c>
      <c r="CH113">
        <v>9645066</v>
      </c>
      <c r="CI113">
        <v>7427884.5</v>
      </c>
      <c r="CJ113">
        <v>16953382</v>
      </c>
      <c r="CK113">
        <v>30047716</v>
      </c>
      <c r="CL113">
        <v>9740111</v>
      </c>
      <c r="CM113">
        <v>9170292</v>
      </c>
      <c r="CN113">
        <v>12825762</v>
      </c>
      <c r="CO113">
        <v>8374820.5</v>
      </c>
      <c r="CP113">
        <v>10443802</v>
      </c>
      <c r="CQ113">
        <v>18471636</v>
      </c>
      <c r="CR113">
        <v>23499404</v>
      </c>
      <c r="CS113">
        <v>12488683</v>
      </c>
      <c r="CT113">
        <v>22280278</v>
      </c>
      <c r="CU113">
        <v>31535916</v>
      </c>
      <c r="CV113">
        <v>14953651</v>
      </c>
      <c r="CW113">
        <v>18776230</v>
      </c>
    </row>
    <row r="114" spans="1:101">
      <c r="A114">
        <v>31113</v>
      </c>
      <c r="B114" t="s">
        <v>471</v>
      </c>
      <c r="D114" t="s">
        <v>472</v>
      </c>
      <c r="F114" t="s">
        <v>473</v>
      </c>
      <c r="G114">
        <v>219.756</v>
      </c>
      <c r="H114" t="s">
        <v>104</v>
      </c>
      <c r="I114">
        <v>2</v>
      </c>
      <c r="J114">
        <v>7</v>
      </c>
      <c r="K114">
        <v>0</v>
      </c>
      <c r="L114">
        <v>0</v>
      </c>
      <c r="M114">
        <v>0</v>
      </c>
      <c r="N114">
        <v>-1</v>
      </c>
      <c r="O114">
        <v>4</v>
      </c>
      <c r="P114">
        <v>4</v>
      </c>
      <c r="Q114">
        <v>6</v>
      </c>
      <c r="R114">
        <v>6</v>
      </c>
      <c r="S114">
        <v>6</v>
      </c>
      <c r="T114">
        <v>6</v>
      </c>
      <c r="U114">
        <v>6</v>
      </c>
      <c r="V114">
        <v>6</v>
      </c>
      <c r="W114">
        <v>6</v>
      </c>
      <c r="X114">
        <v>3</v>
      </c>
      <c r="Y114">
        <v>5</v>
      </c>
      <c r="Z114">
        <v>6</v>
      </c>
      <c r="AA114">
        <v>6</v>
      </c>
      <c r="AB114">
        <v>3</v>
      </c>
      <c r="AC114">
        <v>5</v>
      </c>
      <c r="AD114">
        <v>3</v>
      </c>
      <c r="AE114">
        <v>4</v>
      </c>
      <c r="AF114">
        <v>6</v>
      </c>
      <c r="AG114">
        <v>6</v>
      </c>
      <c r="AH114">
        <v>4</v>
      </c>
      <c r="AI114">
        <v>6</v>
      </c>
      <c r="AJ114">
        <v>4</v>
      </c>
      <c r="AK114">
        <v>6</v>
      </c>
      <c r="AL114">
        <v>3</v>
      </c>
      <c r="AM114">
        <v>5</v>
      </c>
      <c r="AN114">
        <v>4</v>
      </c>
      <c r="AO114">
        <v>4</v>
      </c>
      <c r="AP114">
        <v>12</v>
      </c>
      <c r="AQ114">
        <v>11</v>
      </c>
      <c r="AR114">
        <v>0</v>
      </c>
      <c r="AS114">
        <v>7</v>
      </c>
      <c r="AT114">
        <v>8</v>
      </c>
      <c r="AU114">
        <v>13</v>
      </c>
      <c r="AV114">
        <v>7</v>
      </c>
      <c r="AW114">
        <v>7</v>
      </c>
      <c r="AX114">
        <v>6</v>
      </c>
      <c r="AY114">
        <v>6</v>
      </c>
      <c r="AZ114">
        <v>6</v>
      </c>
      <c r="BA114">
        <v>12</v>
      </c>
      <c r="BB114">
        <v>7</v>
      </c>
      <c r="BC114">
        <v>10</v>
      </c>
      <c r="BD114">
        <v>5</v>
      </c>
      <c r="BE114">
        <v>11</v>
      </c>
      <c r="BF114">
        <v>6</v>
      </c>
      <c r="BG114">
        <v>6</v>
      </c>
      <c r="BH114">
        <v>4</v>
      </c>
      <c r="BI114">
        <v>5</v>
      </c>
      <c r="BJ114">
        <v>56854832</v>
      </c>
      <c r="BK114">
        <v>116325680</v>
      </c>
      <c r="BL114">
        <v>191600.78</v>
      </c>
      <c r="BM114">
        <v>43081228</v>
      </c>
      <c r="BN114">
        <v>72457856</v>
      </c>
      <c r="BO114">
        <v>107739920</v>
      </c>
      <c r="BP114">
        <v>45400984</v>
      </c>
      <c r="BQ114">
        <v>45022772</v>
      </c>
      <c r="BR114">
        <v>26714430</v>
      </c>
      <c r="BS114">
        <v>21655262</v>
      </c>
      <c r="BT114">
        <v>13481028</v>
      </c>
      <c r="BU114">
        <v>116898488</v>
      </c>
      <c r="BV114">
        <v>56369328</v>
      </c>
      <c r="BW114">
        <v>83292160</v>
      </c>
      <c r="BX114">
        <v>41066472</v>
      </c>
      <c r="BY114">
        <v>84595272</v>
      </c>
      <c r="BZ114">
        <v>31122542</v>
      </c>
      <c r="CA114">
        <v>55612960</v>
      </c>
      <c r="CB114">
        <v>21627908</v>
      </c>
      <c r="CC114">
        <v>22730730</v>
      </c>
      <c r="CD114">
        <v>60215260</v>
      </c>
      <c r="CE114">
        <v>92845000</v>
      </c>
      <c r="CF114">
        <v>62623860</v>
      </c>
      <c r="CG114">
        <v>70263216</v>
      </c>
      <c r="CH114">
        <v>64444904</v>
      </c>
      <c r="CI114">
        <v>98148552</v>
      </c>
      <c r="CJ114">
        <v>39766392</v>
      </c>
      <c r="CK114">
        <v>63880468</v>
      </c>
      <c r="CL114">
        <v>33336184</v>
      </c>
      <c r="CM114">
        <v>27364112</v>
      </c>
      <c r="CN114">
        <v>73306760</v>
      </c>
      <c r="CO114">
        <v>131926336</v>
      </c>
      <c r="CP114">
        <v>64847496</v>
      </c>
      <c r="CQ114">
        <v>71665352</v>
      </c>
      <c r="CR114">
        <v>63649460</v>
      </c>
      <c r="CS114">
        <v>92940624</v>
      </c>
      <c r="CT114">
        <v>43592364</v>
      </c>
      <c r="CU114">
        <v>70722336</v>
      </c>
      <c r="CV114">
        <v>32840888</v>
      </c>
      <c r="CW114">
        <v>39520576</v>
      </c>
    </row>
    <row r="115" spans="1:101">
      <c r="A115">
        <v>30979</v>
      </c>
      <c r="B115" t="s">
        <v>474</v>
      </c>
      <c r="D115" t="s">
        <v>475</v>
      </c>
      <c r="F115" t="s">
        <v>476</v>
      </c>
      <c r="G115">
        <v>209.22800000000001</v>
      </c>
      <c r="H115" t="s">
        <v>104</v>
      </c>
      <c r="I115">
        <v>2</v>
      </c>
      <c r="J115">
        <v>20</v>
      </c>
      <c r="K115">
        <v>0</v>
      </c>
      <c r="L115">
        <v>0</v>
      </c>
      <c r="M115">
        <v>0</v>
      </c>
      <c r="N115">
        <v>-1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6</v>
      </c>
      <c r="W115">
        <v>6</v>
      </c>
      <c r="X115">
        <v>6</v>
      </c>
      <c r="Y115">
        <v>7</v>
      </c>
      <c r="Z115">
        <v>7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7</v>
      </c>
      <c r="AI115">
        <v>7</v>
      </c>
      <c r="AJ115">
        <v>7</v>
      </c>
      <c r="AK115">
        <v>7</v>
      </c>
      <c r="AL115">
        <v>7</v>
      </c>
      <c r="AM115">
        <v>7</v>
      </c>
      <c r="AN115">
        <v>7</v>
      </c>
      <c r="AO115">
        <v>7</v>
      </c>
      <c r="AP115">
        <v>30</v>
      </c>
      <c r="AQ115">
        <v>30</v>
      </c>
      <c r="AR115">
        <v>2</v>
      </c>
      <c r="AS115">
        <v>26</v>
      </c>
      <c r="AT115">
        <v>31</v>
      </c>
      <c r="AU115">
        <v>34</v>
      </c>
      <c r="AV115">
        <v>27</v>
      </c>
      <c r="AW115">
        <v>30</v>
      </c>
      <c r="AX115">
        <v>25</v>
      </c>
      <c r="AY115">
        <v>25</v>
      </c>
      <c r="AZ115">
        <v>16</v>
      </c>
      <c r="BA115">
        <v>28</v>
      </c>
      <c r="BB115">
        <v>24</v>
      </c>
      <c r="BC115">
        <v>25</v>
      </c>
      <c r="BD115">
        <v>27</v>
      </c>
      <c r="BE115">
        <v>26</v>
      </c>
      <c r="BF115">
        <v>27</v>
      </c>
      <c r="BG115">
        <v>34</v>
      </c>
      <c r="BH115">
        <v>26</v>
      </c>
      <c r="BI115">
        <v>16</v>
      </c>
      <c r="BJ115">
        <v>1211461376</v>
      </c>
      <c r="BK115">
        <v>2293570560</v>
      </c>
      <c r="BL115">
        <v>5444335.5</v>
      </c>
      <c r="BM115">
        <v>950573568</v>
      </c>
      <c r="BN115">
        <v>2602565376</v>
      </c>
      <c r="BO115">
        <v>2440269568</v>
      </c>
      <c r="BP115">
        <v>1846242304</v>
      </c>
      <c r="BQ115">
        <v>1947888512</v>
      </c>
      <c r="BR115">
        <v>1498492928</v>
      </c>
      <c r="BS115">
        <v>1002504640</v>
      </c>
      <c r="BT115">
        <v>333691072</v>
      </c>
      <c r="BU115">
        <v>1808755200</v>
      </c>
      <c r="BV115">
        <v>2323523328</v>
      </c>
      <c r="BW115">
        <v>1435412224</v>
      </c>
      <c r="BX115">
        <v>1715199744</v>
      </c>
      <c r="BY115">
        <v>1721921920</v>
      </c>
      <c r="BZ115">
        <v>1468779008</v>
      </c>
      <c r="CA115">
        <v>1975053184</v>
      </c>
      <c r="CB115">
        <v>810727360</v>
      </c>
      <c r="CC115">
        <v>418681696</v>
      </c>
      <c r="CD115">
        <v>946694464</v>
      </c>
      <c r="CE115">
        <v>1380962816</v>
      </c>
      <c r="CF115">
        <v>775445120</v>
      </c>
      <c r="CG115">
        <v>1191142144</v>
      </c>
      <c r="CH115">
        <v>1779738240</v>
      </c>
      <c r="CI115">
        <v>1438543104</v>
      </c>
      <c r="CJ115">
        <v>1332931584</v>
      </c>
      <c r="CK115">
        <v>2029337856</v>
      </c>
      <c r="CL115">
        <v>1045517888</v>
      </c>
      <c r="CM115">
        <v>1007203008</v>
      </c>
      <c r="CN115">
        <v>948483648</v>
      </c>
      <c r="CO115">
        <v>1585324288</v>
      </c>
      <c r="CP115">
        <v>1815802624</v>
      </c>
      <c r="CQ115">
        <v>851327488</v>
      </c>
      <c r="CR115">
        <v>1873720192</v>
      </c>
      <c r="CS115">
        <v>1429703424</v>
      </c>
      <c r="CT115">
        <v>1513322752</v>
      </c>
      <c r="CU115">
        <v>1697396480</v>
      </c>
      <c r="CV115">
        <v>1134372480</v>
      </c>
      <c r="CW115">
        <v>698988096</v>
      </c>
    </row>
    <row r="116" spans="1:101">
      <c r="A116">
        <v>30947</v>
      </c>
      <c r="B116" t="s">
        <v>477</v>
      </c>
      <c r="D116" t="s">
        <v>477</v>
      </c>
      <c r="F116" t="s">
        <v>478</v>
      </c>
      <c r="G116">
        <v>208.77799999999999</v>
      </c>
      <c r="H116" t="s">
        <v>104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-1</v>
      </c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6</v>
      </c>
      <c r="W116">
        <v>6</v>
      </c>
      <c r="X116">
        <v>1</v>
      </c>
      <c r="Y116">
        <v>6</v>
      </c>
      <c r="Z116">
        <v>6</v>
      </c>
      <c r="AA116">
        <v>6</v>
      </c>
      <c r="AB116">
        <v>6</v>
      </c>
      <c r="AC116">
        <v>6</v>
      </c>
      <c r="AD116">
        <v>6</v>
      </c>
      <c r="AE116">
        <v>6</v>
      </c>
      <c r="AF116">
        <v>6</v>
      </c>
      <c r="AG116">
        <v>6</v>
      </c>
      <c r="AH116">
        <v>6</v>
      </c>
      <c r="AI116">
        <v>6</v>
      </c>
      <c r="AJ116">
        <v>6</v>
      </c>
      <c r="AK116">
        <v>6</v>
      </c>
      <c r="AL116">
        <v>6</v>
      </c>
      <c r="AM116">
        <v>5</v>
      </c>
      <c r="AN116">
        <v>6</v>
      </c>
      <c r="AO116">
        <v>6</v>
      </c>
      <c r="AP116">
        <v>4</v>
      </c>
      <c r="AQ116">
        <v>4</v>
      </c>
      <c r="AR116">
        <v>0</v>
      </c>
      <c r="AS116">
        <v>5</v>
      </c>
      <c r="AT116">
        <v>3</v>
      </c>
      <c r="AU116">
        <v>4</v>
      </c>
      <c r="AV116">
        <v>5</v>
      </c>
      <c r="AW116">
        <v>2</v>
      </c>
      <c r="AX116">
        <v>6</v>
      </c>
      <c r="AY116">
        <v>3</v>
      </c>
      <c r="AZ116">
        <v>0</v>
      </c>
      <c r="BA116">
        <v>5</v>
      </c>
      <c r="BB116">
        <v>0</v>
      </c>
      <c r="BC116">
        <v>4</v>
      </c>
      <c r="BD116">
        <v>3</v>
      </c>
      <c r="BE116">
        <v>2</v>
      </c>
      <c r="BF116">
        <v>3</v>
      </c>
      <c r="BG116">
        <v>2</v>
      </c>
      <c r="BH116">
        <v>4</v>
      </c>
      <c r="BI116">
        <v>5</v>
      </c>
      <c r="BJ116">
        <v>3864246.75</v>
      </c>
      <c r="BK116">
        <v>7462239</v>
      </c>
      <c r="BL116">
        <v>10716.3</v>
      </c>
      <c r="BM116">
        <v>5211084.5</v>
      </c>
      <c r="BN116">
        <v>3386814.5</v>
      </c>
      <c r="BO116">
        <v>6947323</v>
      </c>
      <c r="BP116">
        <v>5724993.5</v>
      </c>
      <c r="BQ116">
        <v>2899420.5</v>
      </c>
      <c r="BR116">
        <v>6407278.5</v>
      </c>
      <c r="BS116">
        <v>5525321</v>
      </c>
      <c r="BT116">
        <v>822263.69</v>
      </c>
      <c r="BU116">
        <v>5093033.5</v>
      </c>
      <c r="BV116">
        <v>2761012</v>
      </c>
      <c r="BW116">
        <v>10677235</v>
      </c>
      <c r="BX116">
        <v>2055209.75</v>
      </c>
      <c r="BY116">
        <v>5160140</v>
      </c>
      <c r="BZ116">
        <v>4752770.5</v>
      </c>
      <c r="CA116">
        <v>1927256.25</v>
      </c>
      <c r="CB116">
        <v>5377927</v>
      </c>
      <c r="CC116">
        <v>4433961</v>
      </c>
      <c r="CD116">
        <v>4205312</v>
      </c>
      <c r="CE116">
        <v>4266369.5</v>
      </c>
      <c r="CF116">
        <v>4076393.25</v>
      </c>
      <c r="CG116">
        <v>5717516.5</v>
      </c>
      <c r="CH116">
        <v>2419385.5</v>
      </c>
      <c r="CI116">
        <v>4074475.25</v>
      </c>
      <c r="CJ116">
        <v>4150936</v>
      </c>
      <c r="CK116">
        <v>2508679.5</v>
      </c>
      <c r="CL116">
        <v>6110259</v>
      </c>
      <c r="CM116">
        <v>4421756</v>
      </c>
      <c r="CN116">
        <v>3034505.5</v>
      </c>
      <c r="CO116">
        <v>3515412.75</v>
      </c>
      <c r="CP116">
        <v>2946558.75</v>
      </c>
      <c r="CQ116">
        <v>6459703</v>
      </c>
      <c r="CR116">
        <v>2128168</v>
      </c>
      <c r="CS116">
        <v>3892308.75</v>
      </c>
      <c r="CT116">
        <v>4494115</v>
      </c>
      <c r="CU116">
        <v>2138145</v>
      </c>
      <c r="CV116">
        <v>6505052.5</v>
      </c>
      <c r="CW116">
        <v>7949813.5</v>
      </c>
    </row>
    <row r="117" spans="1:101">
      <c r="A117">
        <v>31112</v>
      </c>
      <c r="B117" t="s">
        <v>479</v>
      </c>
      <c r="D117" t="s">
        <v>479</v>
      </c>
      <c r="F117" t="s">
        <v>480</v>
      </c>
      <c r="G117">
        <v>207.44300000000001</v>
      </c>
      <c r="H117" t="s">
        <v>104</v>
      </c>
      <c r="I117">
        <v>2</v>
      </c>
      <c r="J117">
        <v>1</v>
      </c>
      <c r="K117">
        <v>0</v>
      </c>
      <c r="L117">
        <v>0</v>
      </c>
      <c r="M117">
        <v>0</v>
      </c>
      <c r="N117">
        <v>-1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4</v>
      </c>
      <c r="W117">
        <v>5</v>
      </c>
      <c r="X117">
        <v>1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5</v>
      </c>
      <c r="AF117">
        <v>5</v>
      </c>
      <c r="AG117">
        <v>5</v>
      </c>
      <c r="AH117">
        <v>5</v>
      </c>
      <c r="AI117">
        <v>5</v>
      </c>
      <c r="AJ117">
        <v>5</v>
      </c>
      <c r="AK117">
        <v>5</v>
      </c>
      <c r="AL117">
        <v>5</v>
      </c>
      <c r="AM117">
        <v>5</v>
      </c>
      <c r="AN117">
        <v>5</v>
      </c>
      <c r="AO117">
        <v>5</v>
      </c>
      <c r="AP117">
        <v>2</v>
      </c>
      <c r="AQ117">
        <v>6</v>
      </c>
      <c r="AR117">
        <v>0</v>
      </c>
      <c r="AS117">
        <v>4</v>
      </c>
      <c r="AT117">
        <v>4</v>
      </c>
      <c r="AU117">
        <v>5</v>
      </c>
      <c r="AV117">
        <v>5</v>
      </c>
      <c r="AW117">
        <v>4</v>
      </c>
      <c r="AX117">
        <v>6</v>
      </c>
      <c r="AY117">
        <v>6</v>
      </c>
      <c r="AZ117">
        <v>2</v>
      </c>
      <c r="BA117">
        <v>5</v>
      </c>
      <c r="BB117">
        <v>4</v>
      </c>
      <c r="BC117">
        <v>6</v>
      </c>
      <c r="BD117">
        <v>2</v>
      </c>
      <c r="BE117">
        <v>5</v>
      </c>
      <c r="BF117">
        <v>3</v>
      </c>
      <c r="BG117">
        <v>4</v>
      </c>
      <c r="BH117">
        <v>5</v>
      </c>
      <c r="BI117">
        <v>6</v>
      </c>
      <c r="BJ117">
        <v>5893968</v>
      </c>
      <c r="BK117">
        <v>10825896</v>
      </c>
      <c r="BL117">
        <v>24805.34</v>
      </c>
      <c r="BM117">
        <v>6220684</v>
      </c>
      <c r="BN117">
        <v>5115753.5</v>
      </c>
      <c r="BO117">
        <v>10215925</v>
      </c>
      <c r="BP117">
        <v>10824727</v>
      </c>
      <c r="BQ117">
        <v>4688881.5</v>
      </c>
      <c r="BR117">
        <v>7959669</v>
      </c>
      <c r="BS117">
        <v>7557272</v>
      </c>
      <c r="BT117">
        <v>1271977.5</v>
      </c>
      <c r="BU117">
        <v>10027019</v>
      </c>
      <c r="BV117">
        <v>3564600</v>
      </c>
      <c r="BW117">
        <v>14327670</v>
      </c>
      <c r="BX117">
        <v>3837501.25</v>
      </c>
      <c r="BY117">
        <v>9213662</v>
      </c>
      <c r="BZ117">
        <v>4480598</v>
      </c>
      <c r="CA117">
        <v>4736037</v>
      </c>
      <c r="CB117">
        <v>6074112</v>
      </c>
      <c r="CC117">
        <v>8091363</v>
      </c>
      <c r="CD117">
        <v>7764349.5</v>
      </c>
      <c r="CE117">
        <v>9227480</v>
      </c>
      <c r="CF117">
        <v>4887725.5</v>
      </c>
      <c r="CG117">
        <v>10916848</v>
      </c>
      <c r="CH117">
        <v>5815372.5</v>
      </c>
      <c r="CI117">
        <v>10041419</v>
      </c>
      <c r="CJ117">
        <v>12177388</v>
      </c>
      <c r="CK117">
        <v>6244524.5</v>
      </c>
      <c r="CL117">
        <v>12413460</v>
      </c>
      <c r="CM117">
        <v>11169829</v>
      </c>
      <c r="CN117">
        <v>7749730.5</v>
      </c>
      <c r="CO117">
        <v>7747363</v>
      </c>
      <c r="CP117">
        <v>5456341</v>
      </c>
      <c r="CQ117">
        <v>12892504</v>
      </c>
      <c r="CR117">
        <v>5579348</v>
      </c>
      <c r="CS117">
        <v>9678739</v>
      </c>
      <c r="CT117">
        <v>6911382.5</v>
      </c>
      <c r="CU117">
        <v>6176405</v>
      </c>
      <c r="CV117">
        <v>12036049</v>
      </c>
      <c r="CW117">
        <v>14839845</v>
      </c>
    </row>
    <row r="118" spans="1:101">
      <c r="A118">
        <v>31007</v>
      </c>
      <c r="B118" t="s">
        <v>481</v>
      </c>
      <c r="D118" t="s">
        <v>482</v>
      </c>
      <c r="F118" t="s">
        <v>483</v>
      </c>
      <c r="G118">
        <v>202.46899999999999</v>
      </c>
      <c r="H118" t="s">
        <v>104</v>
      </c>
      <c r="I118">
        <v>2</v>
      </c>
      <c r="J118">
        <v>21</v>
      </c>
      <c r="K118">
        <v>0</v>
      </c>
      <c r="L118">
        <v>0</v>
      </c>
      <c r="M118">
        <v>0</v>
      </c>
      <c r="N118">
        <v>-1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3</v>
      </c>
      <c r="W118">
        <v>4</v>
      </c>
      <c r="X118">
        <v>1</v>
      </c>
      <c r="Y118">
        <v>5</v>
      </c>
      <c r="Z118">
        <v>5</v>
      </c>
      <c r="AA118">
        <v>5</v>
      </c>
      <c r="AB118">
        <v>5</v>
      </c>
      <c r="AC118">
        <v>4</v>
      </c>
      <c r="AD118">
        <v>5</v>
      </c>
      <c r="AE118">
        <v>5</v>
      </c>
      <c r="AF118">
        <v>4</v>
      </c>
      <c r="AG118">
        <v>5</v>
      </c>
      <c r="AH118">
        <v>5</v>
      </c>
      <c r="AI118">
        <v>5</v>
      </c>
      <c r="AJ118">
        <v>4</v>
      </c>
      <c r="AK118">
        <v>5</v>
      </c>
      <c r="AL118">
        <v>5</v>
      </c>
      <c r="AM118">
        <v>3</v>
      </c>
      <c r="AN118">
        <v>5</v>
      </c>
      <c r="AO118">
        <v>5</v>
      </c>
      <c r="AP118">
        <v>0</v>
      </c>
      <c r="AQ118">
        <v>1</v>
      </c>
      <c r="AR118">
        <v>0</v>
      </c>
      <c r="AS118">
        <v>5</v>
      </c>
      <c r="AT118">
        <v>1</v>
      </c>
      <c r="AU118">
        <v>2</v>
      </c>
      <c r="AV118">
        <v>0</v>
      </c>
      <c r="AW118">
        <v>0</v>
      </c>
      <c r="AX118">
        <v>5</v>
      </c>
      <c r="AY118">
        <v>5</v>
      </c>
      <c r="AZ118">
        <v>0</v>
      </c>
      <c r="BA118">
        <v>2</v>
      </c>
      <c r="BB118">
        <v>1</v>
      </c>
      <c r="BC118">
        <v>5</v>
      </c>
      <c r="BD118">
        <v>0</v>
      </c>
      <c r="BE118">
        <v>3</v>
      </c>
      <c r="BF118">
        <v>1</v>
      </c>
      <c r="BG118">
        <v>0</v>
      </c>
      <c r="BH118">
        <v>3</v>
      </c>
      <c r="BI118">
        <v>5</v>
      </c>
      <c r="BJ118">
        <v>878276.12</v>
      </c>
      <c r="BK118">
        <v>2190453.25</v>
      </c>
      <c r="BL118">
        <v>93982.04</v>
      </c>
      <c r="BM118">
        <v>2822928.5</v>
      </c>
      <c r="BN118">
        <v>1573752</v>
      </c>
      <c r="BO118">
        <v>3027483</v>
      </c>
      <c r="BP118">
        <v>3001338.5</v>
      </c>
      <c r="BQ118">
        <v>1369476.88</v>
      </c>
      <c r="BR118">
        <v>2749596.25</v>
      </c>
      <c r="BS118">
        <v>2717165.5</v>
      </c>
      <c r="BT118">
        <v>498912.5</v>
      </c>
      <c r="BU118">
        <v>2600430.25</v>
      </c>
      <c r="BV118">
        <v>1367699.75</v>
      </c>
      <c r="BW118">
        <v>5356609</v>
      </c>
      <c r="BX118">
        <v>1339510.8799999999</v>
      </c>
      <c r="BY118">
        <v>2802108.5</v>
      </c>
      <c r="BZ118">
        <v>1756021.38</v>
      </c>
      <c r="CA118">
        <v>1192005.1200000001</v>
      </c>
      <c r="CB118">
        <v>2638898.5</v>
      </c>
      <c r="CC118">
        <v>2427062.75</v>
      </c>
      <c r="CD118">
        <v>934081</v>
      </c>
      <c r="CE118">
        <v>1447059.12</v>
      </c>
      <c r="CF118">
        <v>3365949.25</v>
      </c>
      <c r="CG118">
        <v>3380575.75</v>
      </c>
      <c r="CH118">
        <v>1333182.1200000001</v>
      </c>
      <c r="CI118">
        <v>2213573</v>
      </c>
      <c r="CJ118">
        <v>2559533.75</v>
      </c>
      <c r="CK118">
        <v>1330227</v>
      </c>
      <c r="CL118">
        <v>3112017.5</v>
      </c>
      <c r="CM118">
        <v>2703941</v>
      </c>
      <c r="CN118">
        <v>2451556.75</v>
      </c>
      <c r="CO118">
        <v>2012558</v>
      </c>
      <c r="CP118">
        <v>1577550.38</v>
      </c>
      <c r="CQ118">
        <v>3527467.25</v>
      </c>
      <c r="CR118">
        <v>1627965.88</v>
      </c>
      <c r="CS118">
        <v>2309039.25</v>
      </c>
      <c r="CT118">
        <v>1828441</v>
      </c>
      <c r="CU118">
        <v>1205379.8799999999</v>
      </c>
      <c r="CV118">
        <v>3292007.75</v>
      </c>
      <c r="CW118">
        <v>3709949.5</v>
      </c>
    </row>
    <row r="119" spans="1:101">
      <c r="A119">
        <v>31084</v>
      </c>
      <c r="B119" t="s">
        <v>484</v>
      </c>
      <c r="D119" t="s">
        <v>485</v>
      </c>
      <c r="F119" t="s">
        <v>486</v>
      </c>
      <c r="G119">
        <v>200.102</v>
      </c>
      <c r="H119" t="s">
        <v>104</v>
      </c>
      <c r="I119">
        <v>2</v>
      </c>
      <c r="J119">
        <v>2</v>
      </c>
      <c r="K119">
        <v>0</v>
      </c>
      <c r="L119">
        <v>0</v>
      </c>
      <c r="M119">
        <v>0</v>
      </c>
      <c r="N119">
        <v>-1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9</v>
      </c>
      <c r="U119">
        <v>9</v>
      </c>
      <c r="V119">
        <v>8</v>
      </c>
      <c r="W119">
        <v>8</v>
      </c>
      <c r="X119">
        <v>2</v>
      </c>
      <c r="Y119">
        <v>9</v>
      </c>
      <c r="Z119">
        <v>9</v>
      </c>
      <c r="AA119">
        <v>9</v>
      </c>
      <c r="AB119">
        <v>8</v>
      </c>
      <c r="AC119">
        <v>9</v>
      </c>
      <c r="AD119">
        <v>2</v>
      </c>
      <c r="AE119">
        <v>2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8</v>
      </c>
      <c r="AM119">
        <v>9</v>
      </c>
      <c r="AN119">
        <v>3</v>
      </c>
      <c r="AO119">
        <v>4</v>
      </c>
      <c r="AP119">
        <v>2</v>
      </c>
      <c r="AQ119">
        <v>5</v>
      </c>
      <c r="AR119">
        <v>0</v>
      </c>
      <c r="AS119">
        <v>4</v>
      </c>
      <c r="AT119">
        <v>4</v>
      </c>
      <c r="AU119">
        <v>10</v>
      </c>
      <c r="AV119">
        <v>1</v>
      </c>
      <c r="AW119">
        <v>4</v>
      </c>
      <c r="AX119">
        <v>0</v>
      </c>
      <c r="AY119">
        <v>0</v>
      </c>
      <c r="AZ119">
        <v>2</v>
      </c>
      <c r="BA119">
        <v>7</v>
      </c>
      <c r="BB119">
        <v>2</v>
      </c>
      <c r="BC119">
        <v>4</v>
      </c>
      <c r="BD119">
        <v>3</v>
      </c>
      <c r="BE119">
        <v>6</v>
      </c>
      <c r="BF119">
        <v>1</v>
      </c>
      <c r="BG119">
        <v>5</v>
      </c>
      <c r="BH119">
        <v>0</v>
      </c>
      <c r="BI119">
        <v>0</v>
      </c>
      <c r="BJ119">
        <v>3521886</v>
      </c>
      <c r="BK119">
        <v>8543521</v>
      </c>
      <c r="BL119">
        <v>82464.039999999994</v>
      </c>
      <c r="BM119">
        <v>3445324.5</v>
      </c>
      <c r="BN119">
        <v>4840901.5</v>
      </c>
      <c r="BO119">
        <v>15003824</v>
      </c>
      <c r="BP119">
        <v>2144596</v>
      </c>
      <c r="BQ119">
        <v>7322108</v>
      </c>
      <c r="BR119">
        <v>162857.39000000001</v>
      </c>
      <c r="BS119">
        <v>169986.03</v>
      </c>
      <c r="BT119">
        <v>901834.5</v>
      </c>
      <c r="BU119">
        <v>9010353</v>
      </c>
      <c r="BV119">
        <v>2380089</v>
      </c>
      <c r="BW119">
        <v>7072620</v>
      </c>
      <c r="BX119">
        <v>4135721</v>
      </c>
      <c r="BY119">
        <v>9200004</v>
      </c>
      <c r="BZ119">
        <v>1522940.38</v>
      </c>
      <c r="CA119">
        <v>8623205</v>
      </c>
      <c r="CB119">
        <v>215113.8</v>
      </c>
      <c r="CC119">
        <v>103363.42</v>
      </c>
      <c r="CD119">
        <v>3647078.25</v>
      </c>
      <c r="CE119">
        <v>5782727</v>
      </c>
      <c r="CF119">
        <v>5994785</v>
      </c>
      <c r="CG119">
        <v>4202789.5</v>
      </c>
      <c r="CH119">
        <v>4338805</v>
      </c>
      <c r="CI119">
        <v>10358025</v>
      </c>
      <c r="CJ119">
        <v>1991117</v>
      </c>
      <c r="CK119">
        <v>7350495</v>
      </c>
      <c r="CL119">
        <v>215287.69</v>
      </c>
      <c r="CM119">
        <v>477887.88</v>
      </c>
      <c r="CN119">
        <v>3451953.5</v>
      </c>
      <c r="CO119">
        <v>7429642.5</v>
      </c>
      <c r="CP119">
        <v>2917422.75</v>
      </c>
      <c r="CQ119">
        <v>4536669</v>
      </c>
      <c r="CR119">
        <v>4616777.5</v>
      </c>
      <c r="CS119">
        <v>8084882.5</v>
      </c>
      <c r="CT119">
        <v>1831372.88</v>
      </c>
      <c r="CU119">
        <v>7059853.5</v>
      </c>
      <c r="CV119">
        <v>439003.28</v>
      </c>
      <c r="CW119">
        <v>243577.08</v>
      </c>
    </row>
    <row r="120" spans="1:101">
      <c r="A120">
        <v>30987</v>
      </c>
      <c r="B120" t="s">
        <v>487</v>
      </c>
      <c r="D120" t="s">
        <v>487</v>
      </c>
      <c r="F120" t="s">
        <v>488</v>
      </c>
      <c r="G120">
        <v>196.226</v>
      </c>
      <c r="H120" t="s">
        <v>104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-1</v>
      </c>
      <c r="O120">
        <v>10</v>
      </c>
      <c r="P120">
        <v>1</v>
      </c>
      <c r="Q120">
        <v>10</v>
      </c>
      <c r="R120">
        <v>1</v>
      </c>
      <c r="S120">
        <v>10</v>
      </c>
      <c r="T120">
        <v>1</v>
      </c>
      <c r="U120">
        <v>1</v>
      </c>
      <c r="V120">
        <v>1</v>
      </c>
      <c r="W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2</v>
      </c>
      <c r="AQ120">
        <v>1</v>
      </c>
      <c r="AR120">
        <v>0</v>
      </c>
      <c r="AS120">
        <v>1</v>
      </c>
      <c r="AT120">
        <v>1</v>
      </c>
      <c r="AU120">
        <v>0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0</v>
      </c>
      <c r="BJ120">
        <v>131468008</v>
      </c>
      <c r="BK120">
        <v>410056000</v>
      </c>
      <c r="BL120">
        <v>416738.78</v>
      </c>
      <c r="BM120">
        <v>136999616</v>
      </c>
      <c r="BN120">
        <v>330933600</v>
      </c>
      <c r="BO120">
        <v>252955264</v>
      </c>
      <c r="BP120">
        <v>225131440</v>
      </c>
      <c r="BQ120">
        <v>284255200</v>
      </c>
      <c r="BR120">
        <v>116228392</v>
      </c>
      <c r="BS120">
        <v>152880160</v>
      </c>
      <c r="BT120">
        <v>31600036</v>
      </c>
      <c r="BU120">
        <v>348085376</v>
      </c>
      <c r="BV120">
        <v>213918544</v>
      </c>
      <c r="BW120">
        <v>205221744</v>
      </c>
      <c r="BX120">
        <v>223987424</v>
      </c>
      <c r="BY120">
        <v>296649280</v>
      </c>
      <c r="BZ120">
        <v>197657552</v>
      </c>
      <c r="CA120">
        <v>316760320</v>
      </c>
      <c r="CB120">
        <v>133393200</v>
      </c>
      <c r="CC120">
        <v>107486064</v>
      </c>
      <c r="CD120">
        <v>623696.5</v>
      </c>
      <c r="CE120">
        <v>627497.12</v>
      </c>
      <c r="CF120">
        <v>1861110.38</v>
      </c>
      <c r="CG120">
        <v>354993.28</v>
      </c>
      <c r="CH120">
        <v>623696.5</v>
      </c>
      <c r="CI120">
        <v>262481.12</v>
      </c>
      <c r="CJ120">
        <v>474213.28</v>
      </c>
      <c r="CK120">
        <v>550491.88</v>
      </c>
      <c r="CL120">
        <v>345636.94</v>
      </c>
      <c r="CM120">
        <v>276089.88</v>
      </c>
      <c r="CN120">
        <v>493009.16</v>
      </c>
      <c r="CO120">
        <v>466065.5</v>
      </c>
      <c r="CP120">
        <v>663593.93999999994</v>
      </c>
      <c r="CQ120">
        <v>237334.48</v>
      </c>
      <c r="CR120">
        <v>561841.25</v>
      </c>
      <c r="CS120">
        <v>151790.39000000001</v>
      </c>
      <c r="CT120">
        <v>551691.88</v>
      </c>
      <c r="CU120">
        <v>601977.68999999994</v>
      </c>
      <c r="CV120">
        <v>395464.09</v>
      </c>
      <c r="CW120">
        <v>159368.31</v>
      </c>
    </row>
    <row r="121" spans="1:101">
      <c r="A121">
        <v>31124</v>
      </c>
      <c r="B121" t="s">
        <v>489</v>
      </c>
      <c r="D121" t="s">
        <v>490</v>
      </c>
      <c r="F121" t="s">
        <v>491</v>
      </c>
      <c r="G121">
        <v>181.48400000000001</v>
      </c>
      <c r="H121" t="s">
        <v>104</v>
      </c>
      <c r="I121">
        <v>2</v>
      </c>
      <c r="J121">
        <v>2</v>
      </c>
      <c r="K121">
        <v>0</v>
      </c>
      <c r="L121">
        <v>0</v>
      </c>
      <c r="M121">
        <v>0</v>
      </c>
      <c r="N121">
        <v>-1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5</v>
      </c>
      <c r="W121">
        <v>7</v>
      </c>
      <c r="X121">
        <v>3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2</v>
      </c>
      <c r="AQ121">
        <v>4</v>
      </c>
      <c r="AR121">
        <v>0</v>
      </c>
      <c r="AS121">
        <v>6</v>
      </c>
      <c r="AT121">
        <v>4</v>
      </c>
      <c r="AU121">
        <v>8</v>
      </c>
      <c r="AV121">
        <v>5</v>
      </c>
      <c r="AW121">
        <v>4</v>
      </c>
      <c r="AX121">
        <v>6</v>
      </c>
      <c r="AY121">
        <v>4</v>
      </c>
      <c r="AZ121">
        <v>2</v>
      </c>
      <c r="BA121">
        <v>5</v>
      </c>
      <c r="BB121">
        <v>4</v>
      </c>
      <c r="BC121">
        <v>6</v>
      </c>
      <c r="BD121">
        <v>0</v>
      </c>
      <c r="BE121">
        <v>5</v>
      </c>
      <c r="BF121">
        <v>3</v>
      </c>
      <c r="BG121">
        <v>3</v>
      </c>
      <c r="BH121">
        <v>5</v>
      </c>
      <c r="BI121">
        <v>3</v>
      </c>
      <c r="BJ121">
        <v>3275683.5</v>
      </c>
      <c r="BK121">
        <v>11558444</v>
      </c>
      <c r="BL121">
        <v>70451.89</v>
      </c>
      <c r="BM121">
        <v>10761928</v>
      </c>
      <c r="BN121">
        <v>6990763</v>
      </c>
      <c r="BO121">
        <v>12633728</v>
      </c>
      <c r="BP121">
        <v>9686183</v>
      </c>
      <c r="BQ121">
        <v>6631769</v>
      </c>
      <c r="BR121">
        <v>11881384</v>
      </c>
      <c r="BS121">
        <v>11795142</v>
      </c>
      <c r="BT121">
        <v>1708651.25</v>
      </c>
      <c r="BU121">
        <v>11735001</v>
      </c>
      <c r="BV121">
        <v>5255163</v>
      </c>
      <c r="BW121">
        <v>18707688</v>
      </c>
      <c r="BX121">
        <v>5050158</v>
      </c>
      <c r="BY121">
        <v>11927517</v>
      </c>
      <c r="BZ121">
        <v>6567492.5</v>
      </c>
      <c r="CA121">
        <v>5757743</v>
      </c>
      <c r="CB121">
        <v>9035097</v>
      </c>
      <c r="CC121">
        <v>10765072</v>
      </c>
      <c r="CD121">
        <v>1666243.38</v>
      </c>
      <c r="CE121">
        <v>7404165</v>
      </c>
      <c r="CF121">
        <v>7349021.5</v>
      </c>
      <c r="CG121">
        <v>11599294</v>
      </c>
      <c r="CH121">
        <v>5705589.5</v>
      </c>
      <c r="CI121">
        <v>8270420.5</v>
      </c>
      <c r="CJ121">
        <v>7731566</v>
      </c>
      <c r="CK121">
        <v>5934398</v>
      </c>
      <c r="CL121">
        <v>12395351</v>
      </c>
      <c r="CM121">
        <v>10038536</v>
      </c>
      <c r="CN121">
        <v>6544032.5</v>
      </c>
      <c r="CO121">
        <v>8586825</v>
      </c>
      <c r="CP121">
        <v>5438479.5</v>
      </c>
      <c r="CQ121">
        <v>10823293</v>
      </c>
      <c r="CR121">
        <v>5638004.5</v>
      </c>
      <c r="CS121">
        <v>8779600</v>
      </c>
      <c r="CT121">
        <v>6961447.5</v>
      </c>
      <c r="CU121">
        <v>4607412</v>
      </c>
      <c r="CV121">
        <v>10189769</v>
      </c>
      <c r="CW121">
        <v>11702186</v>
      </c>
    </row>
    <row r="122" spans="1:101">
      <c r="A122">
        <v>31103</v>
      </c>
      <c r="B122" t="s">
        <v>492</v>
      </c>
      <c r="D122" t="s">
        <v>492</v>
      </c>
      <c r="F122" t="s">
        <v>493</v>
      </c>
      <c r="G122">
        <v>181.43899999999999</v>
      </c>
      <c r="H122" t="s">
        <v>104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-1</v>
      </c>
      <c r="O122">
        <v>9</v>
      </c>
      <c r="P122">
        <v>9</v>
      </c>
      <c r="Q122">
        <v>9</v>
      </c>
      <c r="R122">
        <v>9</v>
      </c>
      <c r="S122">
        <v>9</v>
      </c>
      <c r="T122">
        <v>9</v>
      </c>
      <c r="U122">
        <v>9</v>
      </c>
      <c r="V122">
        <v>8</v>
      </c>
      <c r="W122">
        <v>9</v>
      </c>
      <c r="X122">
        <v>1</v>
      </c>
      <c r="Y122">
        <v>9</v>
      </c>
      <c r="Z122">
        <v>9</v>
      </c>
      <c r="AA122">
        <v>9</v>
      </c>
      <c r="AB122">
        <v>8</v>
      </c>
      <c r="AC122">
        <v>9</v>
      </c>
      <c r="AD122">
        <v>9</v>
      </c>
      <c r="AE122">
        <v>9</v>
      </c>
      <c r="AF122">
        <v>8</v>
      </c>
      <c r="AG122">
        <v>9</v>
      </c>
      <c r="AH122">
        <v>8</v>
      </c>
      <c r="AI122">
        <v>9</v>
      </c>
      <c r="AJ122">
        <v>8</v>
      </c>
      <c r="AK122">
        <v>9</v>
      </c>
      <c r="AL122">
        <v>8</v>
      </c>
      <c r="AM122">
        <v>8</v>
      </c>
      <c r="AN122">
        <v>9</v>
      </c>
      <c r="AO122">
        <v>9</v>
      </c>
      <c r="AP122">
        <v>3</v>
      </c>
      <c r="AQ122">
        <v>4</v>
      </c>
      <c r="AR122">
        <v>0</v>
      </c>
      <c r="AS122">
        <v>4</v>
      </c>
      <c r="AT122">
        <v>5</v>
      </c>
      <c r="AU122">
        <v>7</v>
      </c>
      <c r="AV122">
        <v>4</v>
      </c>
      <c r="AW122">
        <v>1</v>
      </c>
      <c r="AX122">
        <v>6</v>
      </c>
      <c r="AY122">
        <v>7</v>
      </c>
      <c r="AZ122">
        <v>0</v>
      </c>
      <c r="BA122">
        <v>7</v>
      </c>
      <c r="BB122">
        <v>2</v>
      </c>
      <c r="BC122">
        <v>7</v>
      </c>
      <c r="BD122">
        <v>4</v>
      </c>
      <c r="BE122">
        <v>4</v>
      </c>
      <c r="BF122">
        <v>6</v>
      </c>
      <c r="BG122">
        <v>2</v>
      </c>
      <c r="BH122">
        <v>7</v>
      </c>
      <c r="BI122">
        <v>4</v>
      </c>
      <c r="BJ122">
        <v>5759651.5</v>
      </c>
      <c r="BK122">
        <v>10171917</v>
      </c>
      <c r="BL122">
        <v>34464.339999999997</v>
      </c>
      <c r="BM122">
        <v>6869730.5</v>
      </c>
      <c r="BN122">
        <v>4643523</v>
      </c>
      <c r="BO122">
        <v>9711847</v>
      </c>
      <c r="BP122">
        <v>6596815</v>
      </c>
      <c r="BQ122">
        <v>4653423</v>
      </c>
      <c r="BR122">
        <v>7857452.5</v>
      </c>
      <c r="BS122">
        <v>7519055</v>
      </c>
      <c r="BT122">
        <v>1092481.3799999999</v>
      </c>
      <c r="BU122">
        <v>8461265</v>
      </c>
      <c r="BV122">
        <v>4123625.5</v>
      </c>
      <c r="BW122">
        <v>13136799</v>
      </c>
      <c r="BX122">
        <v>4294980.5</v>
      </c>
      <c r="BY122">
        <v>7214151.5</v>
      </c>
      <c r="BZ122">
        <v>6178634.5</v>
      </c>
      <c r="CA122">
        <v>5578793</v>
      </c>
      <c r="CB122">
        <v>6286085.5</v>
      </c>
      <c r="CC122">
        <v>5424258</v>
      </c>
      <c r="CD122">
        <v>7085569.5</v>
      </c>
      <c r="CE122">
        <v>5830031.5</v>
      </c>
      <c r="CF122">
        <v>4825006</v>
      </c>
      <c r="CG122">
        <v>7313663</v>
      </c>
      <c r="CH122">
        <v>3743625.75</v>
      </c>
      <c r="CI122">
        <v>5830176.5</v>
      </c>
      <c r="CJ122">
        <v>5488601</v>
      </c>
      <c r="CK122">
        <v>3860763.75</v>
      </c>
      <c r="CL122">
        <v>7718814.5</v>
      </c>
      <c r="CM122">
        <v>6698223.5</v>
      </c>
      <c r="CN122">
        <v>4393168</v>
      </c>
      <c r="CO122">
        <v>5966258</v>
      </c>
      <c r="CP122">
        <v>4532145</v>
      </c>
      <c r="CQ122">
        <v>7744702</v>
      </c>
      <c r="CR122">
        <v>4331931.5</v>
      </c>
      <c r="CS122">
        <v>5278773.5</v>
      </c>
      <c r="CT122">
        <v>6187175.5</v>
      </c>
      <c r="CU122">
        <v>4169513.5</v>
      </c>
      <c r="CV122">
        <v>7399092.5</v>
      </c>
      <c r="CW122">
        <v>8046468</v>
      </c>
    </row>
    <row r="123" spans="1:101">
      <c r="A123">
        <v>31092</v>
      </c>
      <c r="B123" t="s">
        <v>494</v>
      </c>
      <c r="D123" t="s">
        <v>495</v>
      </c>
      <c r="F123" t="s">
        <v>496</v>
      </c>
      <c r="G123">
        <v>179.364</v>
      </c>
      <c r="H123" t="s">
        <v>104</v>
      </c>
      <c r="I123">
        <v>2</v>
      </c>
      <c r="J123">
        <v>3</v>
      </c>
      <c r="K123">
        <v>0</v>
      </c>
      <c r="L123">
        <v>0</v>
      </c>
      <c r="M123">
        <v>0</v>
      </c>
      <c r="N123">
        <v>-1</v>
      </c>
      <c r="O123">
        <v>5</v>
      </c>
      <c r="P123">
        <v>5</v>
      </c>
      <c r="Q123">
        <v>5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4</v>
      </c>
      <c r="X123">
        <v>3</v>
      </c>
      <c r="Y123">
        <v>5</v>
      </c>
      <c r="Z123">
        <v>5</v>
      </c>
      <c r="AA123">
        <v>5</v>
      </c>
      <c r="AB123">
        <v>5</v>
      </c>
      <c r="AC123">
        <v>5</v>
      </c>
      <c r="AD123">
        <v>5</v>
      </c>
      <c r="AE123">
        <v>5</v>
      </c>
      <c r="AF123">
        <v>5</v>
      </c>
      <c r="AG123">
        <v>5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8</v>
      </c>
      <c r="AQ123">
        <v>6</v>
      </c>
      <c r="AR123">
        <v>0</v>
      </c>
      <c r="AS123">
        <v>6</v>
      </c>
      <c r="AT123">
        <v>8</v>
      </c>
      <c r="AU123">
        <v>8</v>
      </c>
      <c r="AV123">
        <v>7</v>
      </c>
      <c r="AW123">
        <v>7</v>
      </c>
      <c r="AX123">
        <v>5</v>
      </c>
      <c r="AY123">
        <v>6</v>
      </c>
      <c r="AZ123">
        <v>4</v>
      </c>
      <c r="BA123">
        <v>7</v>
      </c>
      <c r="BB123">
        <v>8</v>
      </c>
      <c r="BC123">
        <v>7</v>
      </c>
      <c r="BD123">
        <v>7</v>
      </c>
      <c r="BE123">
        <v>9</v>
      </c>
      <c r="BF123">
        <v>7</v>
      </c>
      <c r="BG123">
        <v>6</v>
      </c>
      <c r="BH123">
        <v>6</v>
      </c>
      <c r="BI123">
        <v>5</v>
      </c>
      <c r="BJ123">
        <v>12226333</v>
      </c>
      <c r="BK123">
        <v>31865986</v>
      </c>
      <c r="BL123">
        <v>148312.76999999999</v>
      </c>
      <c r="BM123">
        <v>15090761</v>
      </c>
      <c r="BN123">
        <v>29677780</v>
      </c>
      <c r="BO123">
        <v>35360940</v>
      </c>
      <c r="BP123">
        <v>27173324</v>
      </c>
      <c r="BQ123">
        <v>32923432</v>
      </c>
      <c r="BR123">
        <v>14087568</v>
      </c>
      <c r="BS123">
        <v>16303522</v>
      </c>
      <c r="BT123">
        <v>3870349.5</v>
      </c>
      <c r="BU123">
        <v>31379136</v>
      </c>
      <c r="BV123">
        <v>29851200</v>
      </c>
      <c r="BW123">
        <v>28308272</v>
      </c>
      <c r="BX123">
        <v>28603542</v>
      </c>
      <c r="BY123">
        <v>30218010</v>
      </c>
      <c r="BZ123">
        <v>21064072</v>
      </c>
      <c r="CA123">
        <v>33745816</v>
      </c>
      <c r="CB123">
        <v>13107540</v>
      </c>
      <c r="CC123">
        <v>11874041</v>
      </c>
      <c r="CD123">
        <v>15283112</v>
      </c>
      <c r="CE123">
        <v>24423090</v>
      </c>
      <c r="CF123">
        <v>24368438</v>
      </c>
      <c r="CG123">
        <v>19830884</v>
      </c>
      <c r="CH123">
        <v>27104810</v>
      </c>
      <c r="CI123">
        <v>27137686</v>
      </c>
      <c r="CJ123">
        <v>23781342</v>
      </c>
      <c r="CK123">
        <v>35364372</v>
      </c>
      <c r="CL123">
        <v>14826831</v>
      </c>
      <c r="CM123">
        <v>16983316</v>
      </c>
      <c r="CN123">
        <v>17416114</v>
      </c>
      <c r="CO123">
        <v>25829632</v>
      </c>
      <c r="CP123">
        <v>34347508</v>
      </c>
      <c r="CQ123">
        <v>18636254</v>
      </c>
      <c r="CR123">
        <v>32823210</v>
      </c>
      <c r="CS123">
        <v>26303500</v>
      </c>
      <c r="CT123">
        <v>24430122</v>
      </c>
      <c r="CU123">
        <v>30652972</v>
      </c>
      <c r="CV123">
        <v>17487856</v>
      </c>
      <c r="CW123">
        <v>17723832</v>
      </c>
    </row>
    <row r="124" spans="1:101">
      <c r="A124">
        <v>31081</v>
      </c>
      <c r="B124" t="s">
        <v>497</v>
      </c>
      <c r="D124" t="s">
        <v>498</v>
      </c>
      <c r="F124" t="s">
        <v>499</v>
      </c>
      <c r="G124">
        <v>178.93</v>
      </c>
      <c r="H124" t="s">
        <v>104</v>
      </c>
      <c r="I124">
        <v>2</v>
      </c>
      <c r="J124">
        <v>3</v>
      </c>
      <c r="K124">
        <v>0</v>
      </c>
      <c r="L124">
        <v>0</v>
      </c>
      <c r="M124">
        <v>0</v>
      </c>
      <c r="N124">
        <v>-1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6</v>
      </c>
      <c r="W124">
        <v>6</v>
      </c>
      <c r="X124">
        <v>3</v>
      </c>
      <c r="Y124">
        <v>6</v>
      </c>
      <c r="Z124">
        <v>6</v>
      </c>
      <c r="AA124">
        <v>6</v>
      </c>
      <c r="AB124">
        <v>6</v>
      </c>
      <c r="AC124">
        <v>6</v>
      </c>
      <c r="AD124">
        <v>6</v>
      </c>
      <c r="AE124">
        <v>6</v>
      </c>
      <c r="AF124">
        <v>6</v>
      </c>
      <c r="AG124">
        <v>6</v>
      </c>
      <c r="AH124">
        <v>6</v>
      </c>
      <c r="AI124">
        <v>6</v>
      </c>
      <c r="AJ124">
        <v>6</v>
      </c>
      <c r="AK124">
        <v>6</v>
      </c>
      <c r="AL124">
        <v>6</v>
      </c>
      <c r="AM124">
        <v>6</v>
      </c>
      <c r="AN124">
        <v>6</v>
      </c>
      <c r="AO124">
        <v>6</v>
      </c>
      <c r="AP124">
        <v>3</v>
      </c>
      <c r="AQ124">
        <v>5</v>
      </c>
      <c r="AR124">
        <v>0</v>
      </c>
      <c r="AS124">
        <v>0</v>
      </c>
      <c r="AT124">
        <v>8</v>
      </c>
      <c r="AU124">
        <v>6</v>
      </c>
      <c r="AV124">
        <v>6</v>
      </c>
      <c r="AW124">
        <v>6</v>
      </c>
      <c r="AX124">
        <v>4</v>
      </c>
      <c r="AY124">
        <v>2</v>
      </c>
      <c r="AZ124">
        <v>3</v>
      </c>
      <c r="BA124">
        <v>8</v>
      </c>
      <c r="BB124">
        <v>8</v>
      </c>
      <c r="BC124">
        <v>2</v>
      </c>
      <c r="BD124">
        <v>5</v>
      </c>
      <c r="BE124">
        <v>7</v>
      </c>
      <c r="BF124">
        <v>6</v>
      </c>
      <c r="BG124">
        <v>6</v>
      </c>
      <c r="BH124">
        <v>4</v>
      </c>
      <c r="BI124">
        <v>1</v>
      </c>
      <c r="BJ124">
        <v>14453046</v>
      </c>
      <c r="BK124">
        <v>15134369</v>
      </c>
      <c r="BL124">
        <v>144464.04999999999</v>
      </c>
      <c r="BM124">
        <v>3515556.25</v>
      </c>
      <c r="BN124">
        <v>16917772</v>
      </c>
      <c r="BO124">
        <v>14645520</v>
      </c>
      <c r="BP124">
        <v>11787194</v>
      </c>
      <c r="BQ124">
        <v>9147267</v>
      </c>
      <c r="BR124">
        <v>6079527.5</v>
      </c>
      <c r="BS124">
        <v>3180824.25</v>
      </c>
      <c r="BT124">
        <v>3244706.25</v>
      </c>
      <c r="BU124">
        <v>9576814</v>
      </c>
      <c r="BV124">
        <v>12463748</v>
      </c>
      <c r="BW124">
        <v>6064958.5</v>
      </c>
      <c r="BX124">
        <v>12657194</v>
      </c>
      <c r="BY124">
        <v>10821903</v>
      </c>
      <c r="BZ124">
        <v>10268772</v>
      </c>
      <c r="CA124">
        <v>11682915</v>
      </c>
      <c r="CB124">
        <v>5767005.5</v>
      </c>
      <c r="CC124">
        <v>2199005.75</v>
      </c>
      <c r="CD124">
        <v>16143799</v>
      </c>
      <c r="CE124">
        <v>8174322.5</v>
      </c>
      <c r="CF124">
        <v>7374145</v>
      </c>
      <c r="CG124">
        <v>3973586.75</v>
      </c>
      <c r="CH124">
        <v>13457137</v>
      </c>
      <c r="CI124">
        <v>9878661</v>
      </c>
      <c r="CJ124">
        <v>9660069</v>
      </c>
      <c r="CK124">
        <v>8275332</v>
      </c>
      <c r="CL124">
        <v>6403888.5</v>
      </c>
      <c r="CM124">
        <v>2987022.75</v>
      </c>
      <c r="CN124">
        <v>10258501</v>
      </c>
      <c r="CO124">
        <v>7428762.5</v>
      </c>
      <c r="CP124">
        <v>14296208</v>
      </c>
      <c r="CQ124">
        <v>3905656.75</v>
      </c>
      <c r="CR124">
        <v>13686799</v>
      </c>
      <c r="CS124">
        <v>8715169</v>
      </c>
      <c r="CT124">
        <v>10899205</v>
      </c>
      <c r="CU124">
        <v>9766845</v>
      </c>
      <c r="CV124">
        <v>7263682</v>
      </c>
      <c r="CW124">
        <v>3617118.25</v>
      </c>
    </row>
    <row r="125" spans="1:101">
      <c r="A125">
        <v>31056</v>
      </c>
      <c r="B125" t="s">
        <v>500</v>
      </c>
      <c r="D125" t="s">
        <v>501</v>
      </c>
      <c r="F125" t="s">
        <v>502</v>
      </c>
      <c r="G125">
        <v>175.315</v>
      </c>
      <c r="H125" t="s">
        <v>104</v>
      </c>
      <c r="I125">
        <v>2</v>
      </c>
      <c r="J125">
        <v>3</v>
      </c>
      <c r="K125">
        <v>0</v>
      </c>
      <c r="L125">
        <v>0</v>
      </c>
      <c r="M125">
        <v>0</v>
      </c>
      <c r="N125">
        <v>-1</v>
      </c>
      <c r="O125">
        <v>5</v>
      </c>
      <c r="P125">
        <v>5</v>
      </c>
      <c r="Q125">
        <v>5</v>
      </c>
      <c r="R125">
        <v>5</v>
      </c>
      <c r="S125">
        <v>5</v>
      </c>
      <c r="T125">
        <v>5</v>
      </c>
      <c r="U125">
        <v>5</v>
      </c>
      <c r="V125">
        <v>4</v>
      </c>
      <c r="W125">
        <v>5</v>
      </c>
      <c r="X125">
        <v>5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7</v>
      </c>
      <c r="AQ125">
        <v>6</v>
      </c>
      <c r="AR125">
        <v>2</v>
      </c>
      <c r="AS125">
        <v>6</v>
      </c>
      <c r="AT125">
        <v>7</v>
      </c>
      <c r="AU125">
        <v>9</v>
      </c>
      <c r="AV125">
        <v>8</v>
      </c>
      <c r="AW125">
        <v>7</v>
      </c>
      <c r="AX125">
        <v>7</v>
      </c>
      <c r="AY125">
        <v>5</v>
      </c>
      <c r="AZ125">
        <v>4</v>
      </c>
      <c r="BA125">
        <v>9</v>
      </c>
      <c r="BB125">
        <v>7</v>
      </c>
      <c r="BC125">
        <v>7</v>
      </c>
      <c r="BD125">
        <v>7</v>
      </c>
      <c r="BE125">
        <v>8</v>
      </c>
      <c r="BF125">
        <v>8</v>
      </c>
      <c r="BG125">
        <v>8</v>
      </c>
      <c r="BH125">
        <v>5</v>
      </c>
      <c r="BI125">
        <v>3</v>
      </c>
      <c r="BJ125">
        <v>14868271</v>
      </c>
      <c r="BK125">
        <v>18449002</v>
      </c>
      <c r="BL125">
        <v>1629975.12</v>
      </c>
      <c r="BM125">
        <v>5313006</v>
      </c>
      <c r="BN125">
        <v>25264604</v>
      </c>
      <c r="BO125">
        <v>24157804</v>
      </c>
      <c r="BP125">
        <v>19297530</v>
      </c>
      <c r="BQ125">
        <v>13494332</v>
      </c>
      <c r="BR125">
        <v>9334123</v>
      </c>
      <c r="BS125">
        <v>4600284</v>
      </c>
      <c r="BT125">
        <v>4607207.5</v>
      </c>
      <c r="BU125">
        <v>17597704</v>
      </c>
      <c r="BV125">
        <v>25761348</v>
      </c>
      <c r="BW125">
        <v>13409760</v>
      </c>
      <c r="BX125">
        <v>22667582</v>
      </c>
      <c r="BY125">
        <v>21388096</v>
      </c>
      <c r="BZ125">
        <v>15219599</v>
      </c>
      <c r="CA125">
        <v>17370602</v>
      </c>
      <c r="CB125">
        <v>7368337</v>
      </c>
      <c r="CC125">
        <v>3317976.75</v>
      </c>
      <c r="CD125">
        <v>24106520</v>
      </c>
      <c r="CE125">
        <v>16200322</v>
      </c>
      <c r="CF125">
        <v>59860648</v>
      </c>
      <c r="CG125">
        <v>9334911</v>
      </c>
      <c r="CH125">
        <v>29145540</v>
      </c>
      <c r="CI125">
        <v>25250458</v>
      </c>
      <c r="CJ125">
        <v>24225708</v>
      </c>
      <c r="CK125">
        <v>18478766</v>
      </c>
      <c r="CL125">
        <v>14522498</v>
      </c>
      <c r="CM125">
        <v>7280757</v>
      </c>
      <c r="CN125">
        <v>31087200</v>
      </c>
      <c r="CO125">
        <v>20519224</v>
      </c>
      <c r="CP125">
        <v>37411060</v>
      </c>
      <c r="CQ125">
        <v>12409054</v>
      </c>
      <c r="CR125">
        <v>36227732</v>
      </c>
      <c r="CS125">
        <v>27376930</v>
      </c>
      <c r="CT125">
        <v>21563796</v>
      </c>
      <c r="CU125">
        <v>18977808</v>
      </c>
      <c r="CV125">
        <v>12015888</v>
      </c>
      <c r="CW125">
        <v>6409733</v>
      </c>
    </row>
    <row r="126" spans="1:101">
      <c r="A126">
        <v>31006</v>
      </c>
      <c r="B126" t="s">
        <v>503</v>
      </c>
      <c r="D126" t="s">
        <v>504</v>
      </c>
      <c r="F126" t="s">
        <v>505</v>
      </c>
      <c r="G126">
        <v>175.15600000000001</v>
      </c>
      <c r="H126" t="s">
        <v>104</v>
      </c>
      <c r="I126">
        <v>2</v>
      </c>
      <c r="J126">
        <v>21</v>
      </c>
      <c r="K126">
        <v>0</v>
      </c>
      <c r="L126">
        <v>0</v>
      </c>
      <c r="M126">
        <v>0</v>
      </c>
      <c r="N126">
        <v>-1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4</v>
      </c>
      <c r="AE126">
        <v>4</v>
      </c>
      <c r="AF126">
        <v>4</v>
      </c>
      <c r="AG126">
        <v>4</v>
      </c>
      <c r="AH126">
        <v>4</v>
      </c>
      <c r="AI126">
        <v>4</v>
      </c>
      <c r="AJ126">
        <v>4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8</v>
      </c>
      <c r="AQ126">
        <v>6</v>
      </c>
      <c r="AR126">
        <v>1</v>
      </c>
      <c r="AS126">
        <v>5</v>
      </c>
      <c r="AT126">
        <v>5</v>
      </c>
      <c r="AU126">
        <v>6</v>
      </c>
      <c r="AV126">
        <v>6</v>
      </c>
      <c r="AW126">
        <v>4</v>
      </c>
      <c r="AX126">
        <v>6</v>
      </c>
      <c r="AY126">
        <v>6</v>
      </c>
      <c r="AZ126">
        <v>2</v>
      </c>
      <c r="BA126">
        <v>5</v>
      </c>
      <c r="BB126">
        <v>2</v>
      </c>
      <c r="BC126">
        <v>5</v>
      </c>
      <c r="BD126">
        <v>4</v>
      </c>
      <c r="BE126">
        <v>5</v>
      </c>
      <c r="BF126">
        <v>3</v>
      </c>
      <c r="BG126">
        <v>4</v>
      </c>
      <c r="BH126">
        <v>6</v>
      </c>
      <c r="BI126">
        <v>6</v>
      </c>
      <c r="BJ126">
        <v>8209859</v>
      </c>
      <c r="BK126">
        <v>15821481</v>
      </c>
      <c r="BL126">
        <v>1789062.12</v>
      </c>
      <c r="BM126">
        <v>11385406</v>
      </c>
      <c r="BN126">
        <v>10877390</v>
      </c>
      <c r="BO126">
        <v>19994678</v>
      </c>
      <c r="BP126">
        <v>14378062</v>
      </c>
      <c r="BQ126">
        <v>10911038</v>
      </c>
      <c r="BR126">
        <v>16541318</v>
      </c>
      <c r="BS126">
        <v>17403080</v>
      </c>
      <c r="BT126">
        <v>3404298.5</v>
      </c>
      <c r="BU126">
        <v>15013074</v>
      </c>
      <c r="BV126">
        <v>9066652</v>
      </c>
      <c r="BW126">
        <v>19317716</v>
      </c>
      <c r="BX126">
        <v>10171242</v>
      </c>
      <c r="BY126">
        <v>15782468</v>
      </c>
      <c r="BZ126">
        <v>11320814</v>
      </c>
      <c r="CA126">
        <v>10894481</v>
      </c>
      <c r="CB126">
        <v>11038932</v>
      </c>
      <c r="CC126">
        <v>12283019</v>
      </c>
      <c r="CD126">
        <v>12922634</v>
      </c>
      <c r="CE126">
        <v>10383193</v>
      </c>
      <c r="CF126">
        <v>210437616</v>
      </c>
      <c r="CG126">
        <v>12039838</v>
      </c>
      <c r="CH126">
        <v>9399853</v>
      </c>
      <c r="CI126">
        <v>12951631</v>
      </c>
      <c r="CJ126">
        <v>11504884</v>
      </c>
      <c r="CK126">
        <v>9211613</v>
      </c>
      <c r="CL126">
        <v>17545516</v>
      </c>
      <c r="CM126">
        <v>16629320</v>
      </c>
      <c r="CN126">
        <v>14328092</v>
      </c>
      <c r="CO126">
        <v>10750740</v>
      </c>
      <c r="CP126">
        <v>9612743</v>
      </c>
      <c r="CQ126">
        <v>11638049</v>
      </c>
      <c r="CR126">
        <v>9707531</v>
      </c>
      <c r="CS126">
        <v>13892112</v>
      </c>
      <c r="CT126">
        <v>10706234</v>
      </c>
      <c r="CU126">
        <v>7558220.5</v>
      </c>
      <c r="CV126">
        <v>13495586</v>
      </c>
      <c r="CW126">
        <v>19084612</v>
      </c>
    </row>
    <row r="127" spans="1:101">
      <c r="A127">
        <v>30996</v>
      </c>
      <c r="B127" t="s">
        <v>506</v>
      </c>
      <c r="D127" t="s">
        <v>507</v>
      </c>
      <c r="E127" t="s">
        <v>508</v>
      </c>
      <c r="F127" t="s">
        <v>509</v>
      </c>
      <c r="G127">
        <v>174.74100000000001</v>
      </c>
      <c r="H127" t="s">
        <v>104</v>
      </c>
      <c r="I127">
        <v>2</v>
      </c>
      <c r="J127">
        <v>18</v>
      </c>
      <c r="K127">
        <v>2</v>
      </c>
      <c r="L127">
        <v>0</v>
      </c>
      <c r="M127">
        <v>0</v>
      </c>
      <c r="N127">
        <v>-1</v>
      </c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4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5</v>
      </c>
      <c r="AE127">
        <v>5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5</v>
      </c>
      <c r="AO127">
        <v>5</v>
      </c>
      <c r="AP127">
        <v>48</v>
      </c>
      <c r="AQ127">
        <v>81</v>
      </c>
      <c r="AR127">
        <v>58</v>
      </c>
      <c r="AS127">
        <v>51</v>
      </c>
      <c r="AT127">
        <v>52</v>
      </c>
      <c r="AU127">
        <v>45</v>
      </c>
      <c r="AV127">
        <v>45</v>
      </c>
      <c r="AW127">
        <v>53</v>
      </c>
      <c r="AX127">
        <v>47</v>
      </c>
      <c r="AY127">
        <v>45</v>
      </c>
      <c r="AZ127">
        <v>35</v>
      </c>
      <c r="BA127">
        <v>47</v>
      </c>
      <c r="BB127">
        <v>47</v>
      </c>
      <c r="BC127">
        <v>44</v>
      </c>
      <c r="BD127">
        <v>48</v>
      </c>
      <c r="BE127">
        <v>44</v>
      </c>
      <c r="BF127">
        <v>32</v>
      </c>
      <c r="BG127">
        <v>46</v>
      </c>
      <c r="BH127">
        <v>36</v>
      </c>
      <c r="BI127">
        <v>29</v>
      </c>
      <c r="BJ127">
        <v>514093792</v>
      </c>
      <c r="BK127">
        <v>827159744</v>
      </c>
      <c r="BL127">
        <v>13892329</v>
      </c>
      <c r="BM127">
        <v>338464224</v>
      </c>
      <c r="BN127">
        <v>748117184</v>
      </c>
      <c r="BO127">
        <v>330532544</v>
      </c>
      <c r="BP127">
        <v>618289088</v>
      </c>
      <c r="BQ127">
        <v>574984960</v>
      </c>
      <c r="BR127">
        <v>329129792</v>
      </c>
      <c r="BS127">
        <v>221930128</v>
      </c>
      <c r="BT127">
        <v>106354024</v>
      </c>
      <c r="BU127">
        <v>654345984</v>
      </c>
      <c r="BV127">
        <v>620102464</v>
      </c>
      <c r="BW127">
        <v>605845056</v>
      </c>
      <c r="BX127">
        <v>604106624</v>
      </c>
      <c r="BY127">
        <v>344984256</v>
      </c>
      <c r="BZ127">
        <v>559872448</v>
      </c>
      <c r="CA127">
        <v>745456064</v>
      </c>
      <c r="CB127">
        <v>314883712</v>
      </c>
      <c r="CC127">
        <v>209107472</v>
      </c>
      <c r="CD127">
        <v>542889984</v>
      </c>
      <c r="CE127">
        <v>425968736</v>
      </c>
      <c r="CF127">
        <v>420337888</v>
      </c>
      <c r="CG127">
        <v>380070688</v>
      </c>
      <c r="CH127">
        <v>639108864</v>
      </c>
      <c r="CI127">
        <v>230277744</v>
      </c>
      <c r="CJ127">
        <v>457638656</v>
      </c>
      <c r="CK127">
        <v>594867008</v>
      </c>
      <c r="CL127">
        <v>309545568</v>
      </c>
      <c r="CM127">
        <v>303837408</v>
      </c>
      <c r="CN127">
        <v>467821952</v>
      </c>
      <c r="CO127">
        <v>614087872</v>
      </c>
      <c r="CP127">
        <v>645052288</v>
      </c>
      <c r="CQ127">
        <v>415945728</v>
      </c>
      <c r="CR127">
        <v>692963392</v>
      </c>
      <c r="CS127">
        <v>495121408</v>
      </c>
      <c r="CT127">
        <v>407981472</v>
      </c>
      <c r="CU127">
        <v>675851968</v>
      </c>
      <c r="CV127">
        <v>387801856</v>
      </c>
      <c r="CW127">
        <v>461340768</v>
      </c>
    </row>
    <row r="128" spans="1:101">
      <c r="A128">
        <v>30998</v>
      </c>
      <c r="B128" t="s">
        <v>510</v>
      </c>
      <c r="D128" t="s">
        <v>511</v>
      </c>
      <c r="F128" t="s">
        <v>512</v>
      </c>
      <c r="G128">
        <v>174.30500000000001</v>
      </c>
      <c r="H128" t="s">
        <v>104</v>
      </c>
      <c r="I128">
        <v>2</v>
      </c>
      <c r="J128">
        <v>21</v>
      </c>
      <c r="K128">
        <v>0</v>
      </c>
      <c r="L128">
        <v>0</v>
      </c>
      <c r="M128">
        <v>0</v>
      </c>
      <c r="N128">
        <v>-1</v>
      </c>
      <c r="O128">
        <v>11</v>
      </c>
      <c r="P128">
        <v>11</v>
      </c>
      <c r="Q128">
        <v>11</v>
      </c>
      <c r="R128">
        <v>11</v>
      </c>
      <c r="S128">
        <v>11</v>
      </c>
      <c r="T128">
        <v>11</v>
      </c>
      <c r="U128">
        <v>11</v>
      </c>
      <c r="V128">
        <v>9</v>
      </c>
      <c r="W128">
        <v>9</v>
      </c>
      <c r="X128">
        <v>7</v>
      </c>
      <c r="Y128">
        <v>11</v>
      </c>
      <c r="Z128">
        <v>11</v>
      </c>
      <c r="AA128">
        <v>11</v>
      </c>
      <c r="AB128">
        <v>11</v>
      </c>
      <c r="AC128">
        <v>11</v>
      </c>
      <c r="AD128">
        <v>11</v>
      </c>
      <c r="AE128">
        <v>11</v>
      </c>
      <c r="AF128">
        <v>11</v>
      </c>
      <c r="AG128">
        <v>11</v>
      </c>
      <c r="AH128">
        <v>11</v>
      </c>
      <c r="AI128">
        <v>11</v>
      </c>
      <c r="AJ128">
        <v>11</v>
      </c>
      <c r="AK128">
        <v>11</v>
      </c>
      <c r="AL128">
        <v>10</v>
      </c>
      <c r="AM128">
        <v>11</v>
      </c>
      <c r="AN128">
        <v>11</v>
      </c>
      <c r="AO128">
        <v>11</v>
      </c>
      <c r="AP128">
        <v>6</v>
      </c>
      <c r="AQ128">
        <v>7</v>
      </c>
      <c r="AR128">
        <v>2</v>
      </c>
      <c r="AS128">
        <v>8</v>
      </c>
      <c r="AT128">
        <v>16</v>
      </c>
      <c r="AU128">
        <v>7</v>
      </c>
      <c r="AV128">
        <v>16</v>
      </c>
      <c r="AW128">
        <v>15</v>
      </c>
      <c r="AX128">
        <v>12</v>
      </c>
      <c r="AY128">
        <v>7</v>
      </c>
      <c r="AZ128">
        <v>4</v>
      </c>
      <c r="BA128">
        <v>7</v>
      </c>
      <c r="BB128">
        <v>10</v>
      </c>
      <c r="BC128">
        <v>15</v>
      </c>
      <c r="BD128">
        <v>17</v>
      </c>
      <c r="BE128">
        <v>6</v>
      </c>
      <c r="BF128">
        <v>18</v>
      </c>
      <c r="BG128">
        <v>11</v>
      </c>
      <c r="BH128">
        <v>10</v>
      </c>
      <c r="BI128">
        <v>3</v>
      </c>
      <c r="BJ128">
        <v>91218880</v>
      </c>
      <c r="BK128">
        <v>160527152</v>
      </c>
      <c r="BL128">
        <v>1793598.25</v>
      </c>
      <c r="BM128">
        <v>119781416</v>
      </c>
      <c r="BN128">
        <v>335449024</v>
      </c>
      <c r="BO128">
        <v>123678992</v>
      </c>
      <c r="BP128">
        <v>407302176</v>
      </c>
      <c r="BQ128">
        <v>331034592</v>
      </c>
      <c r="BR128">
        <v>179929744</v>
      </c>
      <c r="BS128">
        <v>115107944</v>
      </c>
      <c r="BT128">
        <v>40556016</v>
      </c>
      <c r="BU128">
        <v>88508616</v>
      </c>
      <c r="BV128">
        <v>169223232</v>
      </c>
      <c r="BW128">
        <v>221942352</v>
      </c>
      <c r="BX128">
        <v>470452256</v>
      </c>
      <c r="BY128">
        <v>59058680</v>
      </c>
      <c r="BZ128">
        <v>495380384</v>
      </c>
      <c r="CA128">
        <v>260199856</v>
      </c>
      <c r="CB128">
        <v>107445296</v>
      </c>
      <c r="CC128">
        <v>24027192</v>
      </c>
      <c r="CD128">
        <v>99778856</v>
      </c>
      <c r="CE128">
        <v>66183848</v>
      </c>
      <c r="CF128">
        <v>200280880</v>
      </c>
      <c r="CG128">
        <v>127222544</v>
      </c>
      <c r="CH128">
        <v>187776368</v>
      </c>
      <c r="CI128">
        <v>116251240</v>
      </c>
      <c r="CJ128">
        <v>200686208</v>
      </c>
      <c r="CK128">
        <v>291736416</v>
      </c>
      <c r="CL128">
        <v>261144752</v>
      </c>
      <c r="CM128">
        <v>147803360</v>
      </c>
      <c r="CN128">
        <v>149495760</v>
      </c>
      <c r="CO128">
        <v>74015792</v>
      </c>
      <c r="CP128">
        <v>236967792</v>
      </c>
      <c r="CQ128">
        <v>151510368</v>
      </c>
      <c r="CR128">
        <v>319575968</v>
      </c>
      <c r="CS128">
        <v>71293208</v>
      </c>
      <c r="CT128">
        <v>285134720</v>
      </c>
      <c r="CU128">
        <v>201827152</v>
      </c>
      <c r="CV128">
        <v>198800720</v>
      </c>
      <c r="CW128">
        <v>90774288</v>
      </c>
    </row>
    <row r="129" spans="1:101">
      <c r="A129">
        <v>31061</v>
      </c>
      <c r="B129" t="s">
        <v>513</v>
      </c>
      <c r="D129" t="s">
        <v>514</v>
      </c>
      <c r="F129" t="s">
        <v>515</v>
      </c>
      <c r="G129">
        <v>171.922</v>
      </c>
      <c r="H129" t="s">
        <v>104</v>
      </c>
      <c r="I129">
        <v>2</v>
      </c>
      <c r="J129">
        <v>9</v>
      </c>
      <c r="K129">
        <v>0</v>
      </c>
      <c r="L129">
        <v>0</v>
      </c>
      <c r="M129">
        <v>0</v>
      </c>
      <c r="N129">
        <v>-1</v>
      </c>
      <c r="O129">
        <v>10</v>
      </c>
      <c r="P129">
        <v>10</v>
      </c>
      <c r="Q129">
        <v>10</v>
      </c>
      <c r="R129">
        <v>10</v>
      </c>
      <c r="S129">
        <v>10</v>
      </c>
      <c r="T129">
        <v>10</v>
      </c>
      <c r="U129">
        <v>10</v>
      </c>
      <c r="V129">
        <v>6</v>
      </c>
      <c r="W129">
        <v>8</v>
      </c>
      <c r="X129">
        <v>3</v>
      </c>
      <c r="Y129">
        <v>9</v>
      </c>
      <c r="Z129">
        <v>9</v>
      </c>
      <c r="AA129">
        <v>9</v>
      </c>
      <c r="AB129">
        <v>10</v>
      </c>
      <c r="AC129">
        <v>10</v>
      </c>
      <c r="AD129">
        <v>10</v>
      </c>
      <c r="AE129">
        <v>9</v>
      </c>
      <c r="AF129">
        <v>9</v>
      </c>
      <c r="AG129">
        <v>10</v>
      </c>
      <c r="AH129">
        <v>9</v>
      </c>
      <c r="AI129">
        <v>10</v>
      </c>
      <c r="AJ129">
        <v>9</v>
      </c>
      <c r="AK129">
        <v>9</v>
      </c>
      <c r="AL129">
        <v>9</v>
      </c>
      <c r="AM129">
        <v>8</v>
      </c>
      <c r="AN129">
        <v>10</v>
      </c>
      <c r="AO129">
        <v>9</v>
      </c>
      <c r="AP129">
        <v>1</v>
      </c>
      <c r="AQ129">
        <v>2</v>
      </c>
      <c r="AR129">
        <v>0</v>
      </c>
      <c r="AS129">
        <v>5</v>
      </c>
      <c r="AT129">
        <v>3</v>
      </c>
      <c r="AU129">
        <v>7</v>
      </c>
      <c r="AV129">
        <v>5</v>
      </c>
      <c r="AW129">
        <v>2</v>
      </c>
      <c r="AX129">
        <v>8</v>
      </c>
      <c r="AY129">
        <v>6</v>
      </c>
      <c r="AZ129">
        <v>1</v>
      </c>
      <c r="BA129">
        <v>2</v>
      </c>
      <c r="BB129">
        <v>2</v>
      </c>
      <c r="BC129">
        <v>8</v>
      </c>
      <c r="BD129">
        <v>2</v>
      </c>
      <c r="BE129">
        <v>7</v>
      </c>
      <c r="BF129">
        <v>2</v>
      </c>
      <c r="BG129">
        <v>1</v>
      </c>
      <c r="BH129">
        <v>3</v>
      </c>
      <c r="BI129">
        <v>4</v>
      </c>
      <c r="BJ129">
        <v>5086491</v>
      </c>
      <c r="BK129">
        <v>11209330</v>
      </c>
      <c r="BL129">
        <v>294868.69</v>
      </c>
      <c r="BM129">
        <v>7067556</v>
      </c>
      <c r="BN129">
        <v>6806156.5</v>
      </c>
      <c r="BO129">
        <v>11655054</v>
      </c>
      <c r="BP129">
        <v>13228882</v>
      </c>
      <c r="BQ129">
        <v>6306745.5</v>
      </c>
      <c r="BR129">
        <v>10650553</v>
      </c>
      <c r="BS129">
        <v>12973243</v>
      </c>
      <c r="BT129">
        <v>1485574.88</v>
      </c>
      <c r="BU129">
        <v>8416502</v>
      </c>
      <c r="BV129">
        <v>4978951</v>
      </c>
      <c r="BW129">
        <v>18382088</v>
      </c>
      <c r="BX129">
        <v>5639520.5</v>
      </c>
      <c r="BY129">
        <v>9926526</v>
      </c>
      <c r="BZ129">
        <v>5764097</v>
      </c>
      <c r="CA129">
        <v>5525323.5</v>
      </c>
      <c r="CB129">
        <v>7398905</v>
      </c>
      <c r="CC129">
        <v>8809103</v>
      </c>
      <c r="CD129">
        <v>5258219</v>
      </c>
      <c r="CE129">
        <v>6905412</v>
      </c>
      <c r="CF129">
        <v>31202760</v>
      </c>
      <c r="CG129">
        <v>10198681</v>
      </c>
      <c r="CH129">
        <v>7271311</v>
      </c>
      <c r="CI129">
        <v>9805592</v>
      </c>
      <c r="CJ129">
        <v>13905252</v>
      </c>
      <c r="CK129">
        <v>8279015.5</v>
      </c>
      <c r="CL129">
        <v>15200696</v>
      </c>
      <c r="CM129">
        <v>14107752</v>
      </c>
      <c r="CN129">
        <v>8262993</v>
      </c>
      <c r="CO129">
        <v>9162821</v>
      </c>
      <c r="CP129">
        <v>7522056.5</v>
      </c>
      <c r="CQ129">
        <v>15508967</v>
      </c>
      <c r="CR129">
        <v>7332270</v>
      </c>
      <c r="CS129">
        <v>10375120</v>
      </c>
      <c r="CT129">
        <v>7724504</v>
      </c>
      <c r="CU129">
        <v>5459566.5</v>
      </c>
      <c r="CV129">
        <v>13785181</v>
      </c>
      <c r="CW129">
        <v>16403793</v>
      </c>
    </row>
    <row r="130" spans="1:101">
      <c r="A130">
        <v>30965</v>
      </c>
      <c r="B130" t="s">
        <v>516</v>
      </c>
      <c r="D130" t="s">
        <v>517</v>
      </c>
      <c r="E130" t="s">
        <v>518</v>
      </c>
      <c r="F130" t="s">
        <v>519</v>
      </c>
      <c r="G130">
        <v>167.62100000000001</v>
      </c>
      <c r="H130" t="s">
        <v>104</v>
      </c>
      <c r="I130">
        <v>2</v>
      </c>
      <c r="J130">
        <v>19</v>
      </c>
      <c r="K130">
        <v>1</v>
      </c>
      <c r="L130">
        <v>0</v>
      </c>
      <c r="M130">
        <v>0</v>
      </c>
      <c r="N130">
        <v>-1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6</v>
      </c>
      <c r="W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0</v>
      </c>
      <c r="AQ130">
        <v>5</v>
      </c>
      <c r="AR130">
        <v>0</v>
      </c>
      <c r="AS130">
        <v>5</v>
      </c>
      <c r="AT130">
        <v>2</v>
      </c>
      <c r="AU130">
        <v>7</v>
      </c>
      <c r="AV130">
        <v>3</v>
      </c>
      <c r="AW130">
        <v>2</v>
      </c>
      <c r="AX130">
        <v>6</v>
      </c>
      <c r="AY130">
        <v>7</v>
      </c>
      <c r="AZ130">
        <v>1</v>
      </c>
      <c r="BA130">
        <v>6</v>
      </c>
      <c r="BB130">
        <v>3</v>
      </c>
      <c r="BC130">
        <v>7</v>
      </c>
      <c r="BD130">
        <v>3</v>
      </c>
      <c r="BE130">
        <v>5</v>
      </c>
      <c r="BF130">
        <v>4</v>
      </c>
      <c r="BG130">
        <v>3</v>
      </c>
      <c r="BH130">
        <v>4</v>
      </c>
      <c r="BI130">
        <v>6</v>
      </c>
      <c r="BJ130">
        <v>5080725.5</v>
      </c>
      <c r="BK130">
        <v>9121815</v>
      </c>
      <c r="BM130">
        <v>6140802.5</v>
      </c>
      <c r="BN130">
        <v>4916043.5</v>
      </c>
      <c r="BO130">
        <v>8138648</v>
      </c>
      <c r="BP130">
        <v>6054454</v>
      </c>
      <c r="BQ130">
        <v>4198304.5</v>
      </c>
      <c r="BR130">
        <v>7600150</v>
      </c>
      <c r="BS130">
        <v>6425011</v>
      </c>
      <c r="BT130">
        <v>1216085.5</v>
      </c>
      <c r="BU130">
        <v>6937073</v>
      </c>
      <c r="BV130">
        <v>3950889.5</v>
      </c>
      <c r="BW130">
        <v>12420133</v>
      </c>
      <c r="BX130">
        <v>3622489</v>
      </c>
      <c r="BY130">
        <v>6097363</v>
      </c>
      <c r="BZ130">
        <v>6202334.5</v>
      </c>
      <c r="CA130">
        <v>5113230.5</v>
      </c>
      <c r="CB130">
        <v>6900837</v>
      </c>
      <c r="CC130">
        <v>5312762</v>
      </c>
      <c r="CD130">
        <v>5051062</v>
      </c>
      <c r="CE130">
        <v>5123160</v>
      </c>
      <c r="CF130">
        <v>1861110.38</v>
      </c>
      <c r="CG130">
        <v>6158085.5</v>
      </c>
      <c r="CH130">
        <v>3641183</v>
      </c>
      <c r="CI130">
        <v>4820511.5</v>
      </c>
      <c r="CJ130">
        <v>4403662</v>
      </c>
      <c r="CK130">
        <v>3400248</v>
      </c>
      <c r="CL130">
        <v>6903003.5</v>
      </c>
      <c r="CM130">
        <v>5295721</v>
      </c>
      <c r="CN130">
        <v>4055382.5</v>
      </c>
      <c r="CO130">
        <v>5068610</v>
      </c>
      <c r="CP130">
        <v>4003535.75</v>
      </c>
      <c r="CQ130">
        <v>7144824</v>
      </c>
      <c r="CR130">
        <v>3554889.75</v>
      </c>
      <c r="CS130">
        <v>4417158.5</v>
      </c>
      <c r="CT130">
        <v>5777265</v>
      </c>
      <c r="CU130">
        <v>3987753</v>
      </c>
      <c r="CV130">
        <v>7505652.5</v>
      </c>
      <c r="CW130">
        <v>7166928.5</v>
      </c>
    </row>
    <row r="131" spans="1:101">
      <c r="A131">
        <v>30982</v>
      </c>
      <c r="B131" t="s">
        <v>520</v>
      </c>
      <c r="D131" t="s">
        <v>520</v>
      </c>
      <c r="E131" t="s">
        <v>521</v>
      </c>
      <c r="F131" t="s">
        <v>522</v>
      </c>
      <c r="G131">
        <v>163.744</v>
      </c>
      <c r="H131" t="s">
        <v>104</v>
      </c>
      <c r="I131">
        <v>2</v>
      </c>
      <c r="J131">
        <v>1</v>
      </c>
      <c r="K131">
        <v>6</v>
      </c>
      <c r="L131">
        <v>0</v>
      </c>
      <c r="M131">
        <v>0</v>
      </c>
      <c r="N131">
        <v>-1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7</v>
      </c>
      <c r="V131">
        <v>6</v>
      </c>
      <c r="W131">
        <v>7</v>
      </c>
      <c r="X131">
        <v>5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6</v>
      </c>
      <c r="AF131">
        <v>6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7</v>
      </c>
      <c r="AN131">
        <v>7</v>
      </c>
      <c r="AO131">
        <v>6</v>
      </c>
      <c r="AP131">
        <v>6</v>
      </c>
      <c r="AQ131">
        <v>7</v>
      </c>
      <c r="AR131">
        <v>1</v>
      </c>
      <c r="AS131">
        <v>2</v>
      </c>
      <c r="AT131">
        <v>10</v>
      </c>
      <c r="AU131">
        <v>10</v>
      </c>
      <c r="AV131">
        <v>7</v>
      </c>
      <c r="AW131">
        <v>4</v>
      </c>
      <c r="AX131">
        <v>2</v>
      </c>
      <c r="AY131">
        <v>2</v>
      </c>
      <c r="AZ131">
        <v>2</v>
      </c>
      <c r="BA131">
        <v>6</v>
      </c>
      <c r="BB131">
        <v>10</v>
      </c>
      <c r="BC131">
        <v>5</v>
      </c>
      <c r="BD131">
        <v>8</v>
      </c>
      <c r="BE131">
        <v>7</v>
      </c>
      <c r="BF131">
        <v>6</v>
      </c>
      <c r="BG131">
        <v>7</v>
      </c>
      <c r="BH131">
        <v>1</v>
      </c>
      <c r="BI131">
        <v>1</v>
      </c>
      <c r="BJ131">
        <v>16081500</v>
      </c>
      <c r="BK131">
        <v>18314290</v>
      </c>
      <c r="BL131">
        <v>226064.95</v>
      </c>
      <c r="BM131">
        <v>5153441.5</v>
      </c>
      <c r="BN131">
        <v>34671276</v>
      </c>
      <c r="BO131">
        <v>28169210</v>
      </c>
      <c r="BP131">
        <v>22770402</v>
      </c>
      <c r="BQ131">
        <v>13508018</v>
      </c>
      <c r="BR131">
        <v>6053903.5</v>
      </c>
      <c r="BS131">
        <v>2106306.5</v>
      </c>
      <c r="BT131">
        <v>4692216</v>
      </c>
      <c r="BU131">
        <v>17640288</v>
      </c>
      <c r="BV131">
        <v>33399424</v>
      </c>
      <c r="BW131">
        <v>12320627</v>
      </c>
      <c r="BX131">
        <v>30001242</v>
      </c>
      <c r="BY131">
        <v>22724112</v>
      </c>
      <c r="BZ131">
        <v>15487195</v>
      </c>
      <c r="CA131">
        <v>13429053</v>
      </c>
      <c r="CB131">
        <v>4846386</v>
      </c>
      <c r="CC131">
        <v>1173831.25</v>
      </c>
      <c r="CD131">
        <v>22692560</v>
      </c>
      <c r="CE131">
        <v>14027813</v>
      </c>
      <c r="CF131">
        <v>26806316</v>
      </c>
      <c r="CG131">
        <v>7746718</v>
      </c>
      <c r="CH131">
        <v>35606472</v>
      </c>
      <c r="CI131">
        <v>23023850</v>
      </c>
      <c r="CJ131">
        <v>20794192</v>
      </c>
      <c r="CK131">
        <v>15616731</v>
      </c>
      <c r="CL131">
        <v>7823941.5</v>
      </c>
      <c r="CM131">
        <v>1985205.38</v>
      </c>
      <c r="CN131">
        <v>19634606</v>
      </c>
      <c r="CO131">
        <v>17217232</v>
      </c>
      <c r="CP131">
        <v>42921744</v>
      </c>
      <c r="CQ131">
        <v>9486513</v>
      </c>
      <c r="CR131">
        <v>39521956</v>
      </c>
      <c r="CS131">
        <v>24555978</v>
      </c>
      <c r="CT131">
        <v>20117396</v>
      </c>
      <c r="CU131">
        <v>15543599</v>
      </c>
      <c r="CV131">
        <v>7847546</v>
      </c>
      <c r="CW131">
        <v>1767429.38</v>
      </c>
    </row>
    <row r="132" spans="1:101">
      <c r="A132">
        <v>30948</v>
      </c>
      <c r="B132" t="s">
        <v>523</v>
      </c>
      <c r="D132" t="s">
        <v>524</v>
      </c>
      <c r="E132" t="s">
        <v>525</v>
      </c>
      <c r="F132" t="s">
        <v>526</v>
      </c>
      <c r="G132">
        <v>160.50800000000001</v>
      </c>
      <c r="H132" t="s">
        <v>104</v>
      </c>
      <c r="I132">
        <v>2</v>
      </c>
      <c r="J132">
        <v>3</v>
      </c>
      <c r="K132">
        <v>17</v>
      </c>
      <c r="L132">
        <v>0</v>
      </c>
      <c r="M132">
        <v>0</v>
      </c>
      <c r="N132">
        <v>-1</v>
      </c>
      <c r="O132">
        <v>5</v>
      </c>
      <c r="P132">
        <v>5</v>
      </c>
      <c r="Q132">
        <v>5</v>
      </c>
      <c r="R132">
        <v>5</v>
      </c>
      <c r="S132">
        <v>5</v>
      </c>
      <c r="T132">
        <v>5</v>
      </c>
      <c r="U132">
        <v>5</v>
      </c>
      <c r="V132">
        <v>5</v>
      </c>
      <c r="W132">
        <v>5</v>
      </c>
      <c r="X132">
        <v>3</v>
      </c>
      <c r="Y132">
        <v>4</v>
      </c>
      <c r="Z132">
        <v>5</v>
      </c>
      <c r="AA132">
        <v>5</v>
      </c>
      <c r="AB132">
        <v>5</v>
      </c>
      <c r="AC132">
        <v>4</v>
      </c>
      <c r="AD132">
        <v>5</v>
      </c>
      <c r="AE132">
        <v>4</v>
      </c>
      <c r="AF132">
        <v>4</v>
      </c>
      <c r="AG132">
        <v>4</v>
      </c>
      <c r="AH132">
        <v>5</v>
      </c>
      <c r="AI132">
        <v>4</v>
      </c>
      <c r="AJ132">
        <v>5</v>
      </c>
      <c r="AK132">
        <v>4</v>
      </c>
      <c r="AL132">
        <v>5</v>
      </c>
      <c r="AM132">
        <v>4</v>
      </c>
      <c r="AN132">
        <v>5</v>
      </c>
      <c r="AO132">
        <v>4</v>
      </c>
      <c r="AP132">
        <v>5</v>
      </c>
      <c r="AQ132">
        <v>5</v>
      </c>
      <c r="AR132">
        <v>0</v>
      </c>
      <c r="AS132">
        <v>1</v>
      </c>
      <c r="AT132">
        <v>6</v>
      </c>
      <c r="AU132">
        <v>6</v>
      </c>
      <c r="AV132">
        <v>4</v>
      </c>
      <c r="AW132">
        <v>4</v>
      </c>
      <c r="AX132">
        <v>4</v>
      </c>
      <c r="AY132">
        <v>3</v>
      </c>
      <c r="AZ132">
        <v>2</v>
      </c>
      <c r="BA132">
        <v>5</v>
      </c>
      <c r="BB132">
        <v>5</v>
      </c>
      <c r="BC132">
        <v>3</v>
      </c>
      <c r="BD132">
        <v>6</v>
      </c>
      <c r="BE132">
        <v>5</v>
      </c>
      <c r="BF132">
        <v>2</v>
      </c>
      <c r="BG132">
        <v>3</v>
      </c>
      <c r="BH132">
        <v>2</v>
      </c>
      <c r="BI132">
        <v>1</v>
      </c>
      <c r="BJ132">
        <v>23080574</v>
      </c>
      <c r="BK132">
        <v>18168974</v>
      </c>
      <c r="BL132">
        <v>72086.52</v>
      </c>
      <c r="BM132">
        <v>4913291.5</v>
      </c>
      <c r="BN132">
        <v>20593236</v>
      </c>
      <c r="BO132">
        <v>24756498</v>
      </c>
      <c r="BP132">
        <v>14083978</v>
      </c>
      <c r="BQ132">
        <v>9059081</v>
      </c>
      <c r="BR132">
        <v>10180226</v>
      </c>
      <c r="BS132">
        <v>4663748</v>
      </c>
      <c r="BT132">
        <v>3470091</v>
      </c>
      <c r="BU132">
        <v>11237550</v>
      </c>
      <c r="BV132">
        <v>22307062</v>
      </c>
      <c r="BW132">
        <v>7114439.5</v>
      </c>
      <c r="BX132">
        <v>13565909</v>
      </c>
      <c r="BY132">
        <v>11916631</v>
      </c>
      <c r="BZ132">
        <v>8466244</v>
      </c>
      <c r="CA132">
        <v>8649368</v>
      </c>
      <c r="CB132">
        <v>6614368</v>
      </c>
      <c r="CC132">
        <v>3454295</v>
      </c>
      <c r="CD132">
        <v>22817244</v>
      </c>
      <c r="CE132">
        <v>10780170</v>
      </c>
      <c r="CF132">
        <v>9601544</v>
      </c>
      <c r="CG132">
        <v>4267684.5</v>
      </c>
      <c r="CH132">
        <v>15299678</v>
      </c>
      <c r="CI132">
        <v>13306951</v>
      </c>
      <c r="CJ132">
        <v>11122621</v>
      </c>
      <c r="CK132">
        <v>7923821.5</v>
      </c>
      <c r="CL132">
        <v>9566949</v>
      </c>
      <c r="CM132">
        <v>4069336.5</v>
      </c>
      <c r="CN132">
        <v>10003981</v>
      </c>
      <c r="CO132">
        <v>8288801.5</v>
      </c>
      <c r="CP132">
        <v>21893924</v>
      </c>
      <c r="CQ132">
        <v>4308302</v>
      </c>
      <c r="CR132">
        <v>12980021</v>
      </c>
      <c r="CS132">
        <v>8999798</v>
      </c>
      <c r="CT132">
        <v>10074087</v>
      </c>
      <c r="CU132">
        <v>7129459.5</v>
      </c>
      <c r="CV132">
        <v>7987601</v>
      </c>
      <c r="CW132">
        <v>4287620.5</v>
      </c>
    </row>
    <row r="133" spans="1:101">
      <c r="A133">
        <v>31026</v>
      </c>
      <c r="B133" t="s">
        <v>527</v>
      </c>
      <c r="D133" t="s">
        <v>528</v>
      </c>
      <c r="F133" t="s">
        <v>529</v>
      </c>
      <c r="G133">
        <v>160.13499999999999</v>
      </c>
      <c r="H133" t="s">
        <v>104</v>
      </c>
      <c r="I133">
        <v>2</v>
      </c>
      <c r="J133">
        <v>2</v>
      </c>
      <c r="K133">
        <v>0</v>
      </c>
      <c r="L133">
        <v>0</v>
      </c>
      <c r="M133">
        <v>0</v>
      </c>
      <c r="N133">
        <v>-1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2</v>
      </c>
      <c r="W133">
        <v>6</v>
      </c>
      <c r="X133">
        <v>2</v>
      </c>
      <c r="Y133">
        <v>6</v>
      </c>
      <c r="Z133">
        <v>5</v>
      </c>
      <c r="AA133">
        <v>6</v>
      </c>
      <c r="AB133">
        <v>1</v>
      </c>
      <c r="AC133">
        <v>6</v>
      </c>
      <c r="AD133">
        <v>1</v>
      </c>
      <c r="AE133">
        <v>2</v>
      </c>
      <c r="AF133">
        <v>6</v>
      </c>
      <c r="AG133">
        <v>6</v>
      </c>
      <c r="AH133">
        <v>3</v>
      </c>
      <c r="AI133">
        <v>6</v>
      </c>
      <c r="AJ133">
        <v>5</v>
      </c>
      <c r="AK133">
        <v>6</v>
      </c>
      <c r="AL133">
        <v>4</v>
      </c>
      <c r="AM133">
        <v>6</v>
      </c>
      <c r="AN133">
        <v>2</v>
      </c>
      <c r="AO133">
        <v>3</v>
      </c>
      <c r="AP133">
        <v>0</v>
      </c>
      <c r="AQ133">
        <v>2</v>
      </c>
      <c r="AR133">
        <v>0</v>
      </c>
      <c r="AS133">
        <v>1</v>
      </c>
      <c r="AT133">
        <v>0</v>
      </c>
      <c r="AU133">
        <v>5</v>
      </c>
      <c r="AV133">
        <v>0</v>
      </c>
      <c r="AW133">
        <v>3</v>
      </c>
      <c r="AX133">
        <v>0</v>
      </c>
      <c r="AY133">
        <v>0</v>
      </c>
      <c r="AZ133">
        <v>0</v>
      </c>
      <c r="BA133">
        <v>4</v>
      </c>
      <c r="BB133">
        <v>0</v>
      </c>
      <c r="BC133">
        <v>4</v>
      </c>
      <c r="BD133">
        <v>0</v>
      </c>
      <c r="BE133">
        <v>4</v>
      </c>
      <c r="BF133">
        <v>0</v>
      </c>
      <c r="BG133">
        <v>3</v>
      </c>
      <c r="BH133">
        <v>0</v>
      </c>
      <c r="BI133">
        <v>0</v>
      </c>
      <c r="BJ133">
        <v>357256.19</v>
      </c>
      <c r="BK133">
        <v>6873202</v>
      </c>
      <c r="BL133">
        <v>62761.72</v>
      </c>
      <c r="BM133">
        <v>14606689</v>
      </c>
      <c r="BN133">
        <v>35367520</v>
      </c>
      <c r="BO133">
        <v>10921965</v>
      </c>
      <c r="BP133">
        <v>16277153</v>
      </c>
      <c r="BQ133">
        <v>34192108</v>
      </c>
      <c r="BR133">
        <v>6664118.5</v>
      </c>
      <c r="BS133">
        <v>6215084.5</v>
      </c>
      <c r="BT133">
        <v>424820.75</v>
      </c>
      <c r="BU133">
        <v>6211980</v>
      </c>
      <c r="BV133">
        <v>1718551.88</v>
      </c>
      <c r="BW133">
        <v>49757744</v>
      </c>
      <c r="BX133">
        <v>54913500</v>
      </c>
      <c r="BY133">
        <v>6983428</v>
      </c>
      <c r="BZ133">
        <v>795075.12</v>
      </c>
      <c r="CA133">
        <v>43621888</v>
      </c>
      <c r="CB133">
        <v>5344482</v>
      </c>
      <c r="CC133">
        <v>465804.88</v>
      </c>
      <c r="CD133">
        <v>281118.09000000003</v>
      </c>
      <c r="CE133">
        <v>20226396</v>
      </c>
      <c r="CF133">
        <v>12133091</v>
      </c>
      <c r="CG133">
        <v>16565311</v>
      </c>
      <c r="CH133">
        <v>6828156.5</v>
      </c>
      <c r="CI133">
        <v>30329392</v>
      </c>
      <c r="CJ133">
        <v>1014783.62</v>
      </c>
      <c r="CK133">
        <v>28406748</v>
      </c>
      <c r="CL133">
        <v>636170.43999999994</v>
      </c>
      <c r="CM133">
        <v>1899578.5</v>
      </c>
      <c r="CN133">
        <v>4217759</v>
      </c>
      <c r="CO133">
        <v>21919378</v>
      </c>
      <c r="CP133">
        <v>1893579.25</v>
      </c>
      <c r="CQ133">
        <v>17496268</v>
      </c>
      <c r="CR133">
        <v>8826038</v>
      </c>
      <c r="CS133">
        <v>25491040</v>
      </c>
      <c r="CT133">
        <v>2570730.25</v>
      </c>
      <c r="CU133">
        <v>32004854</v>
      </c>
      <c r="CV133">
        <v>1224526.5</v>
      </c>
      <c r="CW133">
        <v>1064382</v>
      </c>
    </row>
    <row r="134" spans="1:101">
      <c r="A134">
        <v>31053</v>
      </c>
      <c r="B134" t="s">
        <v>530</v>
      </c>
      <c r="D134" t="s">
        <v>531</v>
      </c>
      <c r="F134" t="s">
        <v>532</v>
      </c>
      <c r="G134">
        <v>155.77600000000001</v>
      </c>
      <c r="H134" t="s">
        <v>104</v>
      </c>
      <c r="I134">
        <v>2</v>
      </c>
      <c r="J134">
        <v>3</v>
      </c>
      <c r="K134">
        <v>0</v>
      </c>
      <c r="L134">
        <v>0</v>
      </c>
      <c r="M134">
        <v>0</v>
      </c>
      <c r="N134">
        <v>-1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  <c r="AN134">
        <v>2</v>
      </c>
      <c r="AO134">
        <v>2</v>
      </c>
      <c r="AP134">
        <v>5</v>
      </c>
      <c r="AQ134">
        <v>5</v>
      </c>
      <c r="AR134">
        <v>0</v>
      </c>
      <c r="AS134">
        <v>4</v>
      </c>
      <c r="AT134">
        <v>4</v>
      </c>
      <c r="AU134">
        <v>6</v>
      </c>
      <c r="AV134">
        <v>5</v>
      </c>
      <c r="AW134">
        <v>5</v>
      </c>
      <c r="AX134">
        <v>5</v>
      </c>
      <c r="AY134">
        <v>5</v>
      </c>
      <c r="AZ134">
        <v>2</v>
      </c>
      <c r="BA134">
        <v>6</v>
      </c>
      <c r="BB134">
        <v>6</v>
      </c>
      <c r="BC134">
        <v>5</v>
      </c>
      <c r="BD134">
        <v>5</v>
      </c>
      <c r="BE134">
        <v>5</v>
      </c>
      <c r="BF134">
        <v>5</v>
      </c>
      <c r="BG134">
        <v>5</v>
      </c>
      <c r="BH134">
        <v>5</v>
      </c>
      <c r="BI134">
        <v>3</v>
      </c>
      <c r="BJ134">
        <v>26218658</v>
      </c>
      <c r="BK134">
        <v>31984870</v>
      </c>
      <c r="BL134">
        <v>60417.38</v>
      </c>
      <c r="BM134">
        <v>7756150</v>
      </c>
      <c r="BN134">
        <v>20348314</v>
      </c>
      <c r="BO134">
        <v>22578576</v>
      </c>
      <c r="BP134">
        <v>13945668</v>
      </c>
      <c r="BQ134">
        <v>18607832</v>
      </c>
      <c r="BR134">
        <v>9476612</v>
      </c>
      <c r="BS134">
        <v>7060164</v>
      </c>
      <c r="BT134">
        <v>3987116.5</v>
      </c>
      <c r="BU134">
        <v>19993108</v>
      </c>
      <c r="BV134">
        <v>21853692</v>
      </c>
      <c r="BW134">
        <v>13355854</v>
      </c>
      <c r="BX134">
        <v>18623844</v>
      </c>
      <c r="BY134">
        <v>17019460</v>
      </c>
      <c r="BZ134">
        <v>11847760</v>
      </c>
      <c r="CA134">
        <v>22344996</v>
      </c>
      <c r="CB134">
        <v>9866549</v>
      </c>
      <c r="CC134">
        <v>4580993</v>
      </c>
      <c r="CD134">
        <v>26615152</v>
      </c>
      <c r="CE134">
        <v>14411353</v>
      </c>
      <c r="CF134">
        <v>6256594</v>
      </c>
      <c r="CG134">
        <v>8216683.5</v>
      </c>
      <c r="CH134">
        <v>15990371</v>
      </c>
      <c r="CI134">
        <v>15073796</v>
      </c>
      <c r="CJ134">
        <v>12861795</v>
      </c>
      <c r="CK134">
        <v>16404009</v>
      </c>
      <c r="CL134">
        <v>10510297</v>
      </c>
      <c r="CM134">
        <v>6581313.5</v>
      </c>
      <c r="CN134">
        <v>18254462</v>
      </c>
      <c r="CO134">
        <v>13636914</v>
      </c>
      <c r="CP134">
        <v>27338452</v>
      </c>
      <c r="CQ134">
        <v>8759427</v>
      </c>
      <c r="CR134">
        <v>22266664</v>
      </c>
      <c r="CS134">
        <v>12425693</v>
      </c>
      <c r="CT134">
        <v>12744872</v>
      </c>
      <c r="CU134">
        <v>14779952</v>
      </c>
      <c r="CV134">
        <v>11149821</v>
      </c>
      <c r="CW134">
        <v>6486477</v>
      </c>
    </row>
    <row r="135" spans="1:101">
      <c r="A135">
        <v>30978</v>
      </c>
      <c r="B135" t="s">
        <v>533</v>
      </c>
      <c r="D135" t="s">
        <v>534</v>
      </c>
      <c r="E135" t="s">
        <v>535</v>
      </c>
      <c r="F135" t="s">
        <v>536</v>
      </c>
      <c r="G135">
        <v>153.238</v>
      </c>
      <c r="H135" t="s">
        <v>104</v>
      </c>
      <c r="I135">
        <v>2</v>
      </c>
      <c r="J135">
        <v>13</v>
      </c>
      <c r="K135">
        <v>8</v>
      </c>
      <c r="L135">
        <v>0</v>
      </c>
      <c r="M135">
        <v>0</v>
      </c>
      <c r="N135">
        <v>-1</v>
      </c>
      <c r="O135">
        <v>8</v>
      </c>
      <c r="P135">
        <v>8</v>
      </c>
      <c r="Q135">
        <v>8</v>
      </c>
      <c r="R135">
        <v>8</v>
      </c>
      <c r="S135">
        <v>8</v>
      </c>
      <c r="T135">
        <v>8</v>
      </c>
      <c r="U135">
        <v>8</v>
      </c>
      <c r="V135">
        <v>6</v>
      </c>
      <c r="W135">
        <v>7</v>
      </c>
      <c r="X135">
        <v>2</v>
      </c>
      <c r="Y135">
        <v>8</v>
      </c>
      <c r="Z135">
        <v>8</v>
      </c>
      <c r="AA135">
        <v>8</v>
      </c>
      <c r="AB135">
        <v>8</v>
      </c>
      <c r="AC135">
        <v>7</v>
      </c>
      <c r="AD135">
        <v>8</v>
      </c>
      <c r="AE135">
        <v>8</v>
      </c>
      <c r="AF135">
        <v>7</v>
      </c>
      <c r="AG135">
        <v>8</v>
      </c>
      <c r="AH135">
        <v>8</v>
      </c>
      <c r="AI135">
        <v>8</v>
      </c>
      <c r="AJ135">
        <v>7</v>
      </c>
      <c r="AK135">
        <v>8</v>
      </c>
      <c r="AL135">
        <v>8</v>
      </c>
      <c r="AM135">
        <v>8</v>
      </c>
      <c r="AN135">
        <v>8</v>
      </c>
      <c r="AO135">
        <v>8</v>
      </c>
      <c r="AP135">
        <v>2</v>
      </c>
      <c r="AQ135">
        <v>6</v>
      </c>
      <c r="AR135">
        <v>0</v>
      </c>
      <c r="AS135">
        <v>5</v>
      </c>
      <c r="AT135">
        <v>3</v>
      </c>
      <c r="AU135">
        <v>8</v>
      </c>
      <c r="AV135">
        <v>3</v>
      </c>
      <c r="AW135">
        <v>1</v>
      </c>
      <c r="AX135">
        <v>6</v>
      </c>
      <c r="AY135">
        <v>5</v>
      </c>
      <c r="AZ135">
        <v>2</v>
      </c>
      <c r="BA135">
        <v>6</v>
      </c>
      <c r="BB135">
        <v>2</v>
      </c>
      <c r="BC135">
        <v>8</v>
      </c>
      <c r="BD135">
        <v>2</v>
      </c>
      <c r="BE135">
        <v>6</v>
      </c>
      <c r="BF135">
        <v>3</v>
      </c>
      <c r="BG135">
        <v>1</v>
      </c>
      <c r="BH135">
        <v>6</v>
      </c>
      <c r="BI135">
        <v>4</v>
      </c>
      <c r="BJ135">
        <v>2825429.25</v>
      </c>
      <c r="BK135">
        <v>6109543.5</v>
      </c>
      <c r="BL135">
        <v>104507.8</v>
      </c>
      <c r="BM135">
        <v>5167242.5</v>
      </c>
      <c r="BN135">
        <v>3411818.75</v>
      </c>
      <c r="BO135">
        <v>6749294.5</v>
      </c>
      <c r="BP135">
        <v>5614483</v>
      </c>
      <c r="BQ135">
        <v>3001368.75</v>
      </c>
      <c r="BR135">
        <v>5711399</v>
      </c>
      <c r="BS135">
        <v>5194881</v>
      </c>
      <c r="BT135">
        <v>779685.94</v>
      </c>
      <c r="BU135">
        <v>5894899</v>
      </c>
      <c r="BV135">
        <v>2704074</v>
      </c>
      <c r="BW135">
        <v>9486189</v>
      </c>
      <c r="BX135">
        <v>2695807.25</v>
      </c>
      <c r="BY135">
        <v>4963279.5</v>
      </c>
      <c r="BZ135">
        <v>3813376.25</v>
      </c>
      <c r="CA135">
        <v>3358152.5</v>
      </c>
      <c r="CB135">
        <v>4870701</v>
      </c>
      <c r="CC135">
        <v>5073880.5</v>
      </c>
      <c r="CD135">
        <v>3664720.5</v>
      </c>
      <c r="CE135">
        <v>4546591</v>
      </c>
      <c r="CF135">
        <v>7169175.5</v>
      </c>
      <c r="CG135">
        <v>6216515</v>
      </c>
      <c r="CH135">
        <v>2926225</v>
      </c>
      <c r="CI135">
        <v>4807556</v>
      </c>
      <c r="CJ135">
        <v>4786234</v>
      </c>
      <c r="CK135">
        <v>2959358.25</v>
      </c>
      <c r="CL135">
        <v>6298289</v>
      </c>
      <c r="CM135">
        <v>5181438.5</v>
      </c>
      <c r="CN135">
        <v>2981476.75</v>
      </c>
      <c r="CO135">
        <v>4782955</v>
      </c>
      <c r="CP135">
        <v>2565710.5</v>
      </c>
      <c r="CQ135">
        <v>6392831.5</v>
      </c>
      <c r="CR135">
        <v>2890497.25</v>
      </c>
      <c r="CS135">
        <v>4048532.5</v>
      </c>
      <c r="CT135">
        <v>4108845.25</v>
      </c>
      <c r="CU135">
        <v>2585888.25</v>
      </c>
      <c r="CV135">
        <v>6115622</v>
      </c>
      <c r="CW135">
        <v>7164250.5</v>
      </c>
    </row>
    <row r="136" spans="1:101">
      <c r="A136">
        <v>31102</v>
      </c>
      <c r="B136" t="s">
        <v>537</v>
      </c>
      <c r="D136" t="s">
        <v>538</v>
      </c>
      <c r="F136" t="s">
        <v>539</v>
      </c>
      <c r="G136">
        <v>146.33699999999999</v>
      </c>
      <c r="H136" t="s">
        <v>104</v>
      </c>
      <c r="I136">
        <v>2</v>
      </c>
      <c r="J136">
        <v>2</v>
      </c>
      <c r="K136">
        <v>0</v>
      </c>
      <c r="L136">
        <v>0</v>
      </c>
      <c r="M136">
        <v>0</v>
      </c>
      <c r="N136">
        <v>-1</v>
      </c>
      <c r="O136">
        <v>4</v>
      </c>
      <c r="P136">
        <v>4</v>
      </c>
      <c r="Q136">
        <v>4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3</v>
      </c>
      <c r="X136">
        <v>3</v>
      </c>
      <c r="Y136">
        <v>3</v>
      </c>
      <c r="Z136">
        <v>3</v>
      </c>
      <c r="AA136">
        <v>4</v>
      </c>
      <c r="AB136">
        <v>4</v>
      </c>
      <c r="AC136">
        <v>4</v>
      </c>
      <c r="AD136">
        <v>4</v>
      </c>
      <c r="AE136">
        <v>4</v>
      </c>
      <c r="AF136">
        <v>4</v>
      </c>
      <c r="AG136">
        <v>4</v>
      </c>
      <c r="AH136">
        <v>4</v>
      </c>
      <c r="AI136">
        <v>4</v>
      </c>
      <c r="AJ136">
        <v>4</v>
      </c>
      <c r="AK136">
        <v>4</v>
      </c>
      <c r="AL136">
        <v>4</v>
      </c>
      <c r="AM136">
        <v>4</v>
      </c>
      <c r="AN136">
        <v>4</v>
      </c>
      <c r="AO136">
        <v>4</v>
      </c>
      <c r="AP136">
        <v>4</v>
      </c>
      <c r="AQ136">
        <v>3</v>
      </c>
      <c r="AR136">
        <v>2</v>
      </c>
      <c r="AS136">
        <v>3</v>
      </c>
      <c r="AT136">
        <v>2</v>
      </c>
      <c r="AU136">
        <v>5</v>
      </c>
      <c r="AV136">
        <v>4</v>
      </c>
      <c r="AW136">
        <v>4</v>
      </c>
      <c r="AX136">
        <v>5</v>
      </c>
      <c r="AY136">
        <v>3</v>
      </c>
      <c r="AZ136">
        <v>4</v>
      </c>
      <c r="BA136">
        <v>4</v>
      </c>
      <c r="BB136">
        <v>5</v>
      </c>
      <c r="BC136">
        <v>4</v>
      </c>
      <c r="BD136">
        <v>3</v>
      </c>
      <c r="BE136">
        <v>4</v>
      </c>
      <c r="BF136">
        <v>4</v>
      </c>
      <c r="BG136">
        <v>4</v>
      </c>
      <c r="BH136">
        <v>5</v>
      </c>
      <c r="BI136">
        <v>3</v>
      </c>
      <c r="BJ136">
        <v>9220991</v>
      </c>
      <c r="BK136">
        <v>10738527</v>
      </c>
      <c r="BL136">
        <v>3599606</v>
      </c>
      <c r="BM136">
        <v>2676725.5</v>
      </c>
      <c r="BN136">
        <v>15068158</v>
      </c>
      <c r="BO136">
        <v>11919792</v>
      </c>
      <c r="BP136">
        <v>12735384</v>
      </c>
      <c r="BQ136">
        <v>7913336</v>
      </c>
      <c r="BR136">
        <v>8719964</v>
      </c>
      <c r="BS136">
        <v>4711203.5</v>
      </c>
      <c r="BT136">
        <v>3566273.75</v>
      </c>
      <c r="BU136">
        <v>9135163</v>
      </c>
      <c r="BV136">
        <v>18207164</v>
      </c>
      <c r="BW136">
        <v>5657460.5</v>
      </c>
      <c r="BX136">
        <v>14070188</v>
      </c>
      <c r="BY136">
        <v>10710985</v>
      </c>
      <c r="BZ136">
        <v>11336228</v>
      </c>
      <c r="CA136">
        <v>9496246</v>
      </c>
      <c r="CB136">
        <v>6194348</v>
      </c>
      <c r="CC136">
        <v>3100059.25</v>
      </c>
      <c r="CD136">
        <v>38311264</v>
      </c>
      <c r="CE136">
        <v>19573420</v>
      </c>
      <c r="CF136">
        <v>55490436</v>
      </c>
      <c r="CG136">
        <v>10052878</v>
      </c>
      <c r="CH136">
        <v>33992284</v>
      </c>
      <c r="CI136">
        <v>27751688</v>
      </c>
      <c r="CJ136">
        <v>35015304</v>
      </c>
      <c r="CK136">
        <v>26036890</v>
      </c>
      <c r="CL136">
        <v>28804512</v>
      </c>
      <c r="CM136">
        <v>14516450</v>
      </c>
      <c r="CN136">
        <v>41189392</v>
      </c>
      <c r="CO136">
        <v>24974660</v>
      </c>
      <c r="CP136">
        <v>69082088</v>
      </c>
      <c r="CQ136">
        <v>12919110</v>
      </c>
      <c r="CR136">
        <v>50263596</v>
      </c>
      <c r="CS136">
        <v>29755374</v>
      </c>
      <c r="CT136">
        <v>39867068</v>
      </c>
      <c r="CU136">
        <v>25972070</v>
      </c>
      <c r="CV136">
        <v>27355292</v>
      </c>
      <c r="CW136">
        <v>15376324</v>
      </c>
    </row>
    <row r="137" spans="1:101">
      <c r="A137">
        <v>31058</v>
      </c>
      <c r="B137" t="s">
        <v>540</v>
      </c>
      <c r="D137" t="s">
        <v>541</v>
      </c>
      <c r="F137" t="s">
        <v>542</v>
      </c>
      <c r="G137">
        <v>141.78100000000001</v>
      </c>
      <c r="H137" t="s">
        <v>104</v>
      </c>
      <c r="I137">
        <v>2</v>
      </c>
      <c r="J137">
        <v>3</v>
      </c>
      <c r="K137">
        <v>0</v>
      </c>
      <c r="L137">
        <v>0</v>
      </c>
      <c r="M137">
        <v>0</v>
      </c>
      <c r="N137">
        <v>-1</v>
      </c>
      <c r="O137">
        <v>6</v>
      </c>
      <c r="P137">
        <v>6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5</v>
      </c>
      <c r="W137">
        <v>5</v>
      </c>
      <c r="Y137">
        <v>6</v>
      </c>
      <c r="Z137">
        <v>6</v>
      </c>
      <c r="AA137">
        <v>6</v>
      </c>
      <c r="AB137">
        <v>6</v>
      </c>
      <c r="AC137">
        <v>6</v>
      </c>
      <c r="AD137">
        <v>6</v>
      </c>
      <c r="AE137">
        <v>6</v>
      </c>
      <c r="AF137">
        <v>6</v>
      </c>
      <c r="AG137">
        <v>6</v>
      </c>
      <c r="AH137">
        <v>6</v>
      </c>
      <c r="AI137">
        <v>6</v>
      </c>
      <c r="AJ137">
        <v>6</v>
      </c>
      <c r="AK137">
        <v>6</v>
      </c>
      <c r="AL137">
        <v>6</v>
      </c>
      <c r="AM137">
        <v>5</v>
      </c>
      <c r="AN137">
        <v>6</v>
      </c>
      <c r="AO137">
        <v>6</v>
      </c>
      <c r="AP137">
        <v>2</v>
      </c>
      <c r="AQ137">
        <v>3</v>
      </c>
      <c r="AR137">
        <v>0</v>
      </c>
      <c r="AS137">
        <v>5</v>
      </c>
      <c r="AT137">
        <v>3</v>
      </c>
      <c r="AU137">
        <v>2</v>
      </c>
      <c r="AV137">
        <v>3</v>
      </c>
      <c r="AW137">
        <v>2</v>
      </c>
      <c r="AX137">
        <v>5</v>
      </c>
      <c r="AY137">
        <v>4</v>
      </c>
      <c r="AZ137">
        <v>1</v>
      </c>
      <c r="BA137">
        <v>3</v>
      </c>
      <c r="BB137">
        <v>3</v>
      </c>
      <c r="BC137">
        <v>3</v>
      </c>
      <c r="BD137">
        <v>3</v>
      </c>
      <c r="BE137">
        <v>3</v>
      </c>
      <c r="BF137">
        <v>3</v>
      </c>
      <c r="BG137">
        <v>2</v>
      </c>
      <c r="BH137">
        <v>3</v>
      </c>
      <c r="BI137">
        <v>3</v>
      </c>
      <c r="BJ137">
        <v>3323597</v>
      </c>
      <c r="BK137">
        <v>6198103</v>
      </c>
      <c r="BM137">
        <v>3976648.5</v>
      </c>
      <c r="BN137">
        <v>3376706</v>
      </c>
      <c r="BO137">
        <v>4937486</v>
      </c>
      <c r="BP137">
        <v>3945608</v>
      </c>
      <c r="BQ137">
        <v>2886739.75</v>
      </c>
      <c r="BR137">
        <v>5035464</v>
      </c>
      <c r="BS137">
        <v>5131972</v>
      </c>
      <c r="BT137">
        <v>755867.69</v>
      </c>
      <c r="BU137">
        <v>4656287</v>
      </c>
      <c r="BV137">
        <v>2537595</v>
      </c>
      <c r="BW137">
        <v>7957421</v>
      </c>
      <c r="BX137">
        <v>2805502.5</v>
      </c>
      <c r="BY137">
        <v>4156116</v>
      </c>
      <c r="BZ137">
        <v>4167241.25</v>
      </c>
      <c r="CA137">
        <v>2616194.5</v>
      </c>
      <c r="CB137">
        <v>4501826.5</v>
      </c>
      <c r="CC137">
        <v>4217963</v>
      </c>
      <c r="CD137">
        <v>3369805.75</v>
      </c>
      <c r="CE137">
        <v>3445549.75</v>
      </c>
      <c r="CF137">
        <v>1861110.38</v>
      </c>
      <c r="CG137">
        <v>4148056.5</v>
      </c>
      <c r="CH137">
        <v>2387851.75</v>
      </c>
      <c r="CI137">
        <v>2948083</v>
      </c>
      <c r="CJ137">
        <v>2945608.25</v>
      </c>
      <c r="CK137">
        <v>2412578.25</v>
      </c>
      <c r="CL137">
        <v>4584127</v>
      </c>
      <c r="CM137">
        <v>4069193.5</v>
      </c>
      <c r="CN137">
        <v>2559984.25</v>
      </c>
      <c r="CO137">
        <v>3142440.5</v>
      </c>
      <c r="CP137">
        <v>2461513.25</v>
      </c>
      <c r="CQ137">
        <v>4509160</v>
      </c>
      <c r="CR137">
        <v>2614725.75</v>
      </c>
      <c r="CS137">
        <v>3144665.25</v>
      </c>
      <c r="CT137">
        <v>3780793.25</v>
      </c>
      <c r="CU137">
        <v>2021225.12</v>
      </c>
      <c r="CV137">
        <v>5087790.5</v>
      </c>
      <c r="CW137">
        <v>5886878.5</v>
      </c>
    </row>
    <row r="138" spans="1:101">
      <c r="A138">
        <v>30988</v>
      </c>
      <c r="B138" t="s">
        <v>543</v>
      </c>
      <c r="D138" t="s">
        <v>544</v>
      </c>
      <c r="F138" t="s">
        <v>545</v>
      </c>
      <c r="G138">
        <v>141.23599999999999</v>
      </c>
      <c r="H138" t="s">
        <v>104</v>
      </c>
      <c r="I138">
        <v>2</v>
      </c>
      <c r="J138">
        <v>20</v>
      </c>
      <c r="K138">
        <v>0</v>
      </c>
      <c r="L138">
        <v>0</v>
      </c>
      <c r="M138">
        <v>0</v>
      </c>
      <c r="N138">
        <v>-1</v>
      </c>
      <c r="O138">
        <v>8</v>
      </c>
      <c r="P138">
        <v>8</v>
      </c>
      <c r="Q138">
        <v>8</v>
      </c>
      <c r="R138">
        <v>8</v>
      </c>
      <c r="S138">
        <v>8</v>
      </c>
      <c r="T138">
        <v>8</v>
      </c>
      <c r="U138">
        <v>8</v>
      </c>
      <c r="V138">
        <v>5</v>
      </c>
      <c r="W138">
        <v>6</v>
      </c>
      <c r="X138">
        <v>7</v>
      </c>
      <c r="Y138">
        <v>8</v>
      </c>
      <c r="Z138">
        <v>8</v>
      </c>
      <c r="AA138">
        <v>7</v>
      </c>
      <c r="AB138">
        <v>8</v>
      </c>
      <c r="AC138">
        <v>8</v>
      </c>
      <c r="AD138">
        <v>8</v>
      </c>
      <c r="AE138">
        <v>8</v>
      </c>
      <c r="AF138">
        <v>8</v>
      </c>
      <c r="AG138">
        <v>8</v>
      </c>
      <c r="AH138">
        <v>8</v>
      </c>
      <c r="AI138">
        <v>8</v>
      </c>
      <c r="AJ138">
        <v>8</v>
      </c>
      <c r="AK138">
        <v>8</v>
      </c>
      <c r="AL138">
        <v>8</v>
      </c>
      <c r="AM138">
        <v>8</v>
      </c>
      <c r="AN138">
        <v>8</v>
      </c>
      <c r="AO138">
        <v>8</v>
      </c>
      <c r="AP138">
        <v>20</v>
      </c>
      <c r="AQ138">
        <v>13</v>
      </c>
      <c r="AR138">
        <v>1</v>
      </c>
      <c r="AS138">
        <v>12</v>
      </c>
      <c r="AT138">
        <v>23</v>
      </c>
      <c r="AU138">
        <v>8</v>
      </c>
      <c r="AV138">
        <v>26</v>
      </c>
      <c r="AW138">
        <v>25</v>
      </c>
      <c r="AX138">
        <v>22</v>
      </c>
      <c r="AY138">
        <v>15</v>
      </c>
      <c r="AZ138">
        <v>9</v>
      </c>
      <c r="BA138">
        <v>11</v>
      </c>
      <c r="BB138">
        <v>16</v>
      </c>
      <c r="BC138">
        <v>18</v>
      </c>
      <c r="BD138">
        <v>31</v>
      </c>
      <c r="BE138">
        <v>10</v>
      </c>
      <c r="BF138">
        <v>25</v>
      </c>
      <c r="BG138">
        <v>21</v>
      </c>
      <c r="BH138">
        <v>11</v>
      </c>
      <c r="BI138">
        <v>8</v>
      </c>
      <c r="BJ138">
        <v>215941296</v>
      </c>
      <c r="BK138">
        <v>245322576</v>
      </c>
      <c r="BL138">
        <v>1881544.12</v>
      </c>
      <c r="BM138">
        <v>151701152</v>
      </c>
      <c r="BN138">
        <v>677537088</v>
      </c>
      <c r="BO138">
        <v>193182880</v>
      </c>
      <c r="BP138">
        <v>798653888</v>
      </c>
      <c r="BQ138">
        <v>860209728</v>
      </c>
      <c r="BR138">
        <v>314996800</v>
      </c>
      <c r="BS138">
        <v>143339984</v>
      </c>
      <c r="BT138">
        <v>85956856</v>
      </c>
      <c r="BU138">
        <v>145045712</v>
      </c>
      <c r="BV138">
        <v>374121664</v>
      </c>
      <c r="BW138">
        <v>659342400</v>
      </c>
      <c r="BX138">
        <v>1497997184</v>
      </c>
      <c r="BY138">
        <v>150287776</v>
      </c>
      <c r="BZ138">
        <v>1557723264</v>
      </c>
      <c r="CA138">
        <v>1209350400</v>
      </c>
      <c r="CB138">
        <v>214044528</v>
      </c>
      <c r="CC138">
        <v>102498032</v>
      </c>
      <c r="CD138">
        <v>69068816</v>
      </c>
      <c r="CE138">
        <v>110876880</v>
      </c>
      <c r="CF138">
        <v>473810272</v>
      </c>
      <c r="CG138">
        <v>280866016</v>
      </c>
      <c r="CH138">
        <v>582946624</v>
      </c>
      <c r="CI138">
        <v>101579240</v>
      </c>
      <c r="CJ138">
        <v>663383296</v>
      </c>
      <c r="CK138">
        <v>742121280</v>
      </c>
      <c r="CL138">
        <v>397440832</v>
      </c>
      <c r="CM138">
        <v>209189936</v>
      </c>
      <c r="CN138">
        <v>293467648</v>
      </c>
      <c r="CO138">
        <v>122917232</v>
      </c>
      <c r="CP138">
        <v>448206848</v>
      </c>
      <c r="CQ138">
        <v>374322016</v>
      </c>
      <c r="CR138">
        <v>1243383296</v>
      </c>
      <c r="CS138">
        <v>170681920</v>
      </c>
      <c r="CT138">
        <v>1104528128</v>
      </c>
      <c r="CU138">
        <v>755956672</v>
      </c>
      <c r="CV138">
        <v>256892224</v>
      </c>
      <c r="CW138">
        <v>171828720</v>
      </c>
    </row>
    <row r="139" spans="1:101">
      <c r="A139">
        <v>31128</v>
      </c>
      <c r="B139" t="s">
        <v>546</v>
      </c>
      <c r="D139" t="s">
        <v>547</v>
      </c>
      <c r="F139" t="s">
        <v>548</v>
      </c>
      <c r="G139">
        <v>129.26900000000001</v>
      </c>
      <c r="H139" t="s">
        <v>104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-1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Y139">
        <v>4</v>
      </c>
      <c r="Z139">
        <v>5</v>
      </c>
      <c r="AA139">
        <v>5</v>
      </c>
      <c r="AB139">
        <v>5</v>
      </c>
      <c r="AC139">
        <v>5</v>
      </c>
      <c r="AD139">
        <v>5</v>
      </c>
      <c r="AE139">
        <v>5</v>
      </c>
      <c r="AF139">
        <v>5</v>
      </c>
      <c r="AG139">
        <v>5</v>
      </c>
      <c r="AH139">
        <v>5</v>
      </c>
      <c r="AI139">
        <v>5</v>
      </c>
      <c r="AJ139">
        <v>5</v>
      </c>
      <c r="AK139">
        <v>5</v>
      </c>
      <c r="AL139">
        <v>5</v>
      </c>
      <c r="AM139">
        <v>5</v>
      </c>
      <c r="AN139">
        <v>5</v>
      </c>
      <c r="AO139">
        <v>5</v>
      </c>
      <c r="AP139">
        <v>1</v>
      </c>
      <c r="AQ139">
        <v>2</v>
      </c>
      <c r="AR139">
        <v>0</v>
      </c>
      <c r="AS139">
        <v>3</v>
      </c>
      <c r="AT139">
        <v>3</v>
      </c>
      <c r="AU139">
        <v>3</v>
      </c>
      <c r="AV139">
        <v>3</v>
      </c>
      <c r="AW139">
        <v>3</v>
      </c>
      <c r="AX139">
        <v>2</v>
      </c>
      <c r="AY139">
        <v>2</v>
      </c>
      <c r="AZ139">
        <v>0</v>
      </c>
      <c r="BA139">
        <v>4</v>
      </c>
      <c r="BB139">
        <v>3</v>
      </c>
      <c r="BC139">
        <v>2</v>
      </c>
      <c r="BD139">
        <v>1</v>
      </c>
      <c r="BE139">
        <v>4</v>
      </c>
      <c r="BF139">
        <v>3</v>
      </c>
      <c r="BG139">
        <v>3</v>
      </c>
      <c r="BH139">
        <v>2</v>
      </c>
      <c r="BI139">
        <v>0</v>
      </c>
      <c r="BJ139">
        <v>2508263.75</v>
      </c>
      <c r="BK139">
        <v>5696427.5</v>
      </c>
      <c r="BM139">
        <v>1524192.5</v>
      </c>
      <c r="BN139">
        <v>4821687</v>
      </c>
      <c r="BO139">
        <v>4803086.5</v>
      </c>
      <c r="BP139">
        <v>3618603.75</v>
      </c>
      <c r="BQ139">
        <v>4187031.5</v>
      </c>
      <c r="BR139">
        <v>1886535.75</v>
      </c>
      <c r="BS139">
        <v>1977551</v>
      </c>
      <c r="BT139">
        <v>504730.72</v>
      </c>
      <c r="BU139">
        <v>4147660</v>
      </c>
      <c r="BV139">
        <v>4430156.5</v>
      </c>
      <c r="BW139">
        <v>3006548</v>
      </c>
      <c r="BX139">
        <v>2986532.5</v>
      </c>
      <c r="BY139">
        <v>3211977</v>
      </c>
      <c r="BZ139">
        <v>2472714.75</v>
      </c>
      <c r="CA139">
        <v>3179407.25</v>
      </c>
      <c r="CB139">
        <v>1117830</v>
      </c>
      <c r="CC139">
        <v>749086.31</v>
      </c>
      <c r="CD139">
        <v>2548717.25</v>
      </c>
      <c r="CE139">
        <v>3117465.25</v>
      </c>
      <c r="CF139">
        <v>1861110.38</v>
      </c>
      <c r="CG139">
        <v>1861257.25</v>
      </c>
      <c r="CH139">
        <v>3478495.25</v>
      </c>
      <c r="CI139">
        <v>2906774.25</v>
      </c>
      <c r="CJ139">
        <v>2634359.5</v>
      </c>
      <c r="CK139">
        <v>3559783.75</v>
      </c>
      <c r="CL139">
        <v>1777051.12</v>
      </c>
      <c r="CM139">
        <v>1553036.38</v>
      </c>
      <c r="CN139">
        <v>1734496.62</v>
      </c>
      <c r="CO139">
        <v>2872128.25</v>
      </c>
      <c r="CP139">
        <v>3986836</v>
      </c>
      <c r="CQ139">
        <v>1707735.5</v>
      </c>
      <c r="CR139">
        <v>2921158.5</v>
      </c>
      <c r="CS139">
        <v>2244556.75</v>
      </c>
      <c r="CT139">
        <v>2363078</v>
      </c>
      <c r="CU139">
        <v>2485142.75</v>
      </c>
      <c r="CV139">
        <v>1210491.8799999999</v>
      </c>
      <c r="CW139">
        <v>950933.81</v>
      </c>
    </row>
    <row r="140" spans="1:101">
      <c r="A140">
        <v>31140</v>
      </c>
      <c r="B140" t="s">
        <v>549</v>
      </c>
      <c r="D140" t="s">
        <v>549</v>
      </c>
      <c r="E140" t="s">
        <v>550</v>
      </c>
      <c r="F140" t="s">
        <v>551</v>
      </c>
      <c r="G140">
        <v>126.72799999999999</v>
      </c>
      <c r="H140" t="s">
        <v>104</v>
      </c>
      <c r="I140">
        <v>2</v>
      </c>
      <c r="J140">
        <v>1</v>
      </c>
      <c r="K140">
        <v>7</v>
      </c>
      <c r="L140">
        <v>0</v>
      </c>
      <c r="M140">
        <v>0</v>
      </c>
      <c r="N140">
        <v>-1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3</v>
      </c>
      <c r="W140">
        <v>2</v>
      </c>
      <c r="X140">
        <v>3</v>
      </c>
      <c r="Y140">
        <v>4</v>
      </c>
      <c r="Z140">
        <v>1</v>
      </c>
      <c r="AA140">
        <v>2</v>
      </c>
      <c r="AB140">
        <v>3</v>
      </c>
      <c r="AC140">
        <v>2</v>
      </c>
      <c r="AD140">
        <v>2</v>
      </c>
      <c r="AE140">
        <v>5</v>
      </c>
      <c r="AF140">
        <v>5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3</v>
      </c>
      <c r="AM140">
        <v>2</v>
      </c>
      <c r="AN140">
        <v>5</v>
      </c>
      <c r="AO140">
        <v>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4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7</v>
      </c>
      <c r="BI140">
        <v>0</v>
      </c>
      <c r="BJ140">
        <v>595742.93999999994</v>
      </c>
      <c r="BK140">
        <v>1159301.1200000001</v>
      </c>
      <c r="BL140">
        <v>52890.91</v>
      </c>
      <c r="BM140">
        <v>729529.75</v>
      </c>
      <c r="BN140">
        <v>125928.43</v>
      </c>
      <c r="BO140">
        <v>475055.56</v>
      </c>
      <c r="BP140">
        <v>1135423.1200000001</v>
      </c>
      <c r="BQ140">
        <v>613006</v>
      </c>
      <c r="BR140">
        <v>252332.34</v>
      </c>
      <c r="BS140">
        <v>3659291</v>
      </c>
      <c r="BT140">
        <v>873780.69</v>
      </c>
      <c r="BU140">
        <v>327367.62</v>
      </c>
      <c r="BV140">
        <v>444736.19</v>
      </c>
      <c r="BW140">
        <v>612564.88</v>
      </c>
      <c r="BX140">
        <v>415211.91</v>
      </c>
      <c r="BY140">
        <v>521299.38</v>
      </c>
      <c r="BZ140">
        <v>725323.69</v>
      </c>
      <c r="CA140">
        <v>305526.19</v>
      </c>
      <c r="CB140">
        <v>8254129.5</v>
      </c>
      <c r="CC140">
        <v>312122.06</v>
      </c>
      <c r="CD140">
        <v>498610.91</v>
      </c>
      <c r="CE140">
        <v>187685.89</v>
      </c>
      <c r="CF140">
        <v>3673973.5</v>
      </c>
      <c r="CG140">
        <v>533397.18999999994</v>
      </c>
      <c r="CH140">
        <v>47061.46</v>
      </c>
      <c r="CI140">
        <v>157072.60999999999</v>
      </c>
      <c r="CJ140">
        <v>607805.62</v>
      </c>
      <c r="CK140">
        <v>257998.44</v>
      </c>
      <c r="CL140">
        <v>147368.25</v>
      </c>
      <c r="CM140">
        <v>3985657.5</v>
      </c>
      <c r="CN140">
        <v>4120498.75</v>
      </c>
      <c r="CO140">
        <v>131142.09</v>
      </c>
      <c r="CP140">
        <v>283019.62</v>
      </c>
      <c r="CQ140">
        <v>145570.64000000001</v>
      </c>
      <c r="CR140">
        <v>232700.44</v>
      </c>
      <c r="CS140">
        <v>173834.66</v>
      </c>
      <c r="CT140">
        <v>550485.18999999994</v>
      </c>
      <c r="CU140">
        <v>140551.64000000001</v>
      </c>
      <c r="CV140">
        <v>11912040</v>
      </c>
      <c r="CW140">
        <v>356760.19</v>
      </c>
    </row>
    <row r="141" spans="1:101">
      <c r="A141">
        <v>31068</v>
      </c>
      <c r="B141" t="s">
        <v>552</v>
      </c>
      <c r="D141" t="s">
        <v>552</v>
      </c>
      <c r="F141" t="s">
        <v>553</v>
      </c>
      <c r="G141">
        <v>121.77200000000001</v>
      </c>
      <c r="H141" t="s">
        <v>104</v>
      </c>
      <c r="I141">
        <v>2</v>
      </c>
      <c r="J141">
        <v>1</v>
      </c>
      <c r="K141">
        <v>0</v>
      </c>
      <c r="L141">
        <v>0</v>
      </c>
      <c r="M141">
        <v>0</v>
      </c>
      <c r="N141">
        <v>-1</v>
      </c>
      <c r="O141">
        <v>3</v>
      </c>
      <c r="P141">
        <v>3</v>
      </c>
      <c r="Q141">
        <v>3</v>
      </c>
      <c r="R141">
        <v>3</v>
      </c>
      <c r="S141">
        <v>3</v>
      </c>
      <c r="T141">
        <v>3</v>
      </c>
      <c r="U141">
        <v>3</v>
      </c>
      <c r="V141">
        <v>3</v>
      </c>
      <c r="W141">
        <v>3</v>
      </c>
      <c r="Y141">
        <v>3</v>
      </c>
      <c r="Z141">
        <v>3</v>
      </c>
      <c r="AA141">
        <v>3</v>
      </c>
      <c r="AB141">
        <v>3</v>
      </c>
      <c r="AC141">
        <v>3</v>
      </c>
      <c r="AD141">
        <v>3</v>
      </c>
      <c r="AE141">
        <v>3</v>
      </c>
      <c r="AF141">
        <v>3</v>
      </c>
      <c r="AG141">
        <v>3</v>
      </c>
      <c r="AH141">
        <v>3</v>
      </c>
      <c r="AI141">
        <v>3</v>
      </c>
      <c r="AJ141">
        <v>3</v>
      </c>
      <c r="AK141">
        <v>3</v>
      </c>
      <c r="AL141">
        <v>3</v>
      </c>
      <c r="AM141">
        <v>3</v>
      </c>
      <c r="AN141">
        <v>3</v>
      </c>
      <c r="AO141">
        <v>3</v>
      </c>
      <c r="AP141">
        <v>4</v>
      </c>
      <c r="AQ141">
        <v>3</v>
      </c>
      <c r="AR141">
        <v>0</v>
      </c>
      <c r="AS141">
        <v>2</v>
      </c>
      <c r="AT141">
        <v>4</v>
      </c>
      <c r="AU141">
        <v>2</v>
      </c>
      <c r="AV141">
        <v>1</v>
      </c>
      <c r="AW141">
        <v>3</v>
      </c>
      <c r="AX141">
        <v>1</v>
      </c>
      <c r="AY141">
        <v>2</v>
      </c>
      <c r="AZ141">
        <v>1</v>
      </c>
      <c r="BA141">
        <v>1</v>
      </c>
      <c r="BB141">
        <v>0</v>
      </c>
      <c r="BC141">
        <v>2</v>
      </c>
      <c r="BD141">
        <v>2</v>
      </c>
      <c r="BE141">
        <v>3</v>
      </c>
      <c r="BF141">
        <v>1</v>
      </c>
      <c r="BG141">
        <v>3</v>
      </c>
      <c r="BH141">
        <v>1</v>
      </c>
      <c r="BI141">
        <v>1</v>
      </c>
      <c r="BJ141">
        <v>2459524</v>
      </c>
      <c r="BK141">
        <v>3110924</v>
      </c>
      <c r="BM141">
        <v>1127594</v>
      </c>
      <c r="BN141">
        <v>2411216.75</v>
      </c>
      <c r="BO141">
        <v>2400415.25</v>
      </c>
      <c r="BP141">
        <v>1681253.75</v>
      </c>
      <c r="BQ141">
        <v>3600788</v>
      </c>
      <c r="BR141">
        <v>1039206.88</v>
      </c>
      <c r="BS141">
        <v>1266120.75</v>
      </c>
      <c r="BT141">
        <v>492167.22</v>
      </c>
      <c r="BU141">
        <v>2021897.12</v>
      </c>
      <c r="BV141">
        <v>890897.12</v>
      </c>
      <c r="BW141">
        <v>3192239</v>
      </c>
      <c r="BX141">
        <v>2560199</v>
      </c>
      <c r="BY141">
        <v>2437730.5</v>
      </c>
      <c r="BZ141">
        <v>1686503.62</v>
      </c>
      <c r="CA141">
        <v>3723833.5</v>
      </c>
      <c r="CB141">
        <v>952448.75</v>
      </c>
      <c r="CC141">
        <v>881553.75</v>
      </c>
      <c r="CD141">
        <v>2454665.5</v>
      </c>
      <c r="CE141">
        <v>1769887</v>
      </c>
      <c r="CF141">
        <v>1861110.38</v>
      </c>
      <c r="CG141">
        <v>1204669.1200000001</v>
      </c>
      <c r="CH141">
        <v>1790601.5</v>
      </c>
      <c r="CI141">
        <v>1454192.25</v>
      </c>
      <c r="CJ141">
        <v>1070477.25</v>
      </c>
      <c r="CK141">
        <v>2914733.25</v>
      </c>
      <c r="CL141">
        <v>1038172.81</v>
      </c>
      <c r="CM141">
        <v>1048931</v>
      </c>
      <c r="CN141">
        <v>1847434.12</v>
      </c>
      <c r="CO141">
        <v>1436279.25</v>
      </c>
      <c r="CP141">
        <v>899110.44</v>
      </c>
      <c r="CQ141">
        <v>1899496.88</v>
      </c>
      <c r="CR141">
        <v>2373150.5</v>
      </c>
      <c r="CS141">
        <v>1849781</v>
      </c>
      <c r="CT141">
        <v>1080430</v>
      </c>
      <c r="CU141">
        <v>2817045.75</v>
      </c>
      <c r="CV141">
        <v>1032589.69</v>
      </c>
      <c r="CW141">
        <v>1320053.5</v>
      </c>
    </row>
    <row r="142" spans="1:101">
      <c r="A142">
        <v>31004</v>
      </c>
      <c r="B142" t="s">
        <v>554</v>
      </c>
      <c r="D142" t="s">
        <v>555</v>
      </c>
      <c r="F142" t="s">
        <v>556</v>
      </c>
      <c r="G142">
        <v>117.684</v>
      </c>
      <c r="H142" t="s">
        <v>104</v>
      </c>
      <c r="I142">
        <v>2</v>
      </c>
      <c r="J142">
        <v>3</v>
      </c>
      <c r="K142">
        <v>0</v>
      </c>
      <c r="L142">
        <v>0</v>
      </c>
      <c r="M142">
        <v>0</v>
      </c>
      <c r="N142">
        <v>-1</v>
      </c>
      <c r="O142">
        <v>7</v>
      </c>
      <c r="P142">
        <v>1</v>
      </c>
      <c r="Q142">
        <v>7</v>
      </c>
      <c r="R142">
        <v>1</v>
      </c>
      <c r="S142">
        <v>7</v>
      </c>
      <c r="T142">
        <v>1</v>
      </c>
      <c r="U142">
        <v>1</v>
      </c>
      <c r="V142">
        <v>1</v>
      </c>
      <c r="W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0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1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24574188</v>
      </c>
      <c r="BK142">
        <v>26624296</v>
      </c>
      <c r="BL142">
        <v>100159.43</v>
      </c>
      <c r="BM142">
        <v>5267175.5</v>
      </c>
      <c r="BN142">
        <v>30253076</v>
      </c>
      <c r="BO142">
        <v>15822820</v>
      </c>
      <c r="BP142">
        <v>14612435</v>
      </c>
      <c r="BQ142">
        <v>22700120</v>
      </c>
      <c r="BR142">
        <v>22804944</v>
      </c>
      <c r="BS142">
        <v>21963084</v>
      </c>
      <c r="BT142">
        <v>5389874</v>
      </c>
      <c r="BU142">
        <v>18403938</v>
      </c>
      <c r="BV142">
        <v>10795721</v>
      </c>
      <c r="BW142">
        <v>10766088</v>
      </c>
      <c r="BX142">
        <v>21256152</v>
      </c>
      <c r="BY142">
        <v>16973036</v>
      </c>
      <c r="BZ142">
        <v>10207022</v>
      </c>
      <c r="CA142">
        <v>22536746</v>
      </c>
      <c r="CB142">
        <v>18479174</v>
      </c>
      <c r="CC142">
        <v>12644776</v>
      </c>
      <c r="CD142">
        <v>1209531.5</v>
      </c>
      <c r="CE142">
        <v>806913.12</v>
      </c>
      <c r="CF142">
        <v>1861110.38</v>
      </c>
      <c r="CG142">
        <v>286141.65999999997</v>
      </c>
      <c r="CH142">
        <v>1458451.75</v>
      </c>
      <c r="CI142">
        <v>660879.25</v>
      </c>
      <c r="CJ142">
        <v>1021217.75</v>
      </c>
      <c r="CK142">
        <v>993238.94</v>
      </c>
      <c r="CL142">
        <v>1260545</v>
      </c>
      <c r="CM142">
        <v>896599.25</v>
      </c>
      <c r="CN142">
        <v>878754.31</v>
      </c>
      <c r="CO142">
        <v>759526.5</v>
      </c>
      <c r="CP142">
        <v>179725.17</v>
      </c>
      <c r="CQ142">
        <v>262462.88</v>
      </c>
      <c r="CR142">
        <v>999270.44</v>
      </c>
      <c r="CS142">
        <v>852860.31</v>
      </c>
      <c r="CT142">
        <v>556826.06000000006</v>
      </c>
      <c r="CU142">
        <v>786090.56</v>
      </c>
      <c r="CV142">
        <v>817768.88</v>
      </c>
      <c r="CW142">
        <v>518941.16</v>
      </c>
    </row>
    <row r="143" spans="1:101">
      <c r="A143">
        <v>31014</v>
      </c>
      <c r="B143" t="s">
        <v>557</v>
      </c>
      <c r="D143" t="s">
        <v>558</v>
      </c>
      <c r="F143" t="s">
        <v>559</v>
      </c>
      <c r="G143">
        <v>117.15300000000001</v>
      </c>
      <c r="H143" t="s">
        <v>104</v>
      </c>
      <c r="I143">
        <v>2</v>
      </c>
      <c r="J143">
        <v>21</v>
      </c>
      <c r="K143">
        <v>0</v>
      </c>
      <c r="L143">
        <v>0</v>
      </c>
      <c r="M143">
        <v>0</v>
      </c>
      <c r="N143">
        <v>-1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4</v>
      </c>
      <c r="W143">
        <v>4</v>
      </c>
      <c r="X143">
        <v>3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5</v>
      </c>
      <c r="AO143">
        <v>5</v>
      </c>
      <c r="AP143">
        <v>5</v>
      </c>
      <c r="AQ143">
        <v>6</v>
      </c>
      <c r="AR143">
        <v>0</v>
      </c>
      <c r="AS143">
        <v>3</v>
      </c>
      <c r="AT143">
        <v>6</v>
      </c>
      <c r="AU143">
        <v>9</v>
      </c>
      <c r="AV143">
        <v>3</v>
      </c>
      <c r="AW143">
        <v>3</v>
      </c>
      <c r="AX143">
        <v>2</v>
      </c>
      <c r="AY143">
        <v>4</v>
      </c>
      <c r="AZ143">
        <v>1</v>
      </c>
      <c r="BA143">
        <v>5</v>
      </c>
      <c r="BB143">
        <v>5</v>
      </c>
      <c r="BC143">
        <v>4</v>
      </c>
      <c r="BD143">
        <v>3</v>
      </c>
      <c r="BE143">
        <v>4</v>
      </c>
      <c r="BF143">
        <v>2</v>
      </c>
      <c r="BG143">
        <v>3</v>
      </c>
      <c r="BH143">
        <v>3</v>
      </c>
      <c r="BI143">
        <v>3</v>
      </c>
      <c r="BJ143">
        <v>16157625</v>
      </c>
      <c r="BK143">
        <v>38801684</v>
      </c>
      <c r="BL143">
        <v>33741.300000000003</v>
      </c>
      <c r="BM143">
        <v>16661074</v>
      </c>
      <c r="BN143">
        <v>48549428</v>
      </c>
      <c r="BO143">
        <v>41493452</v>
      </c>
      <c r="BP143">
        <v>41224112</v>
      </c>
      <c r="BQ143">
        <v>45425596</v>
      </c>
      <c r="BR143">
        <v>19127184</v>
      </c>
      <c r="BS143">
        <v>19009512</v>
      </c>
      <c r="BT143">
        <v>4992162.5</v>
      </c>
      <c r="BU143">
        <v>34816168</v>
      </c>
      <c r="BV143">
        <v>35563828</v>
      </c>
      <c r="BW143">
        <v>36408952</v>
      </c>
      <c r="BX143">
        <v>38858744</v>
      </c>
      <c r="BY143">
        <v>37661460</v>
      </c>
      <c r="BZ143">
        <v>32273386</v>
      </c>
      <c r="CA143">
        <v>47840248</v>
      </c>
      <c r="CB143">
        <v>16031229</v>
      </c>
      <c r="CC143">
        <v>10805646</v>
      </c>
      <c r="CD143">
        <v>1975100.5</v>
      </c>
      <c r="CE143">
        <v>13665520</v>
      </c>
      <c r="CF143">
        <v>8609030</v>
      </c>
      <c r="CG143">
        <v>16649616</v>
      </c>
      <c r="CH143">
        <v>32394712</v>
      </c>
      <c r="CI143">
        <v>24046542</v>
      </c>
      <c r="CJ143">
        <v>28839962</v>
      </c>
      <c r="CK143">
        <v>40576416</v>
      </c>
      <c r="CL143">
        <v>17006660</v>
      </c>
      <c r="CM143">
        <v>15198295</v>
      </c>
      <c r="CN143">
        <v>17269196</v>
      </c>
      <c r="CO143">
        <v>27171478</v>
      </c>
      <c r="CP143">
        <v>36621844</v>
      </c>
      <c r="CQ143">
        <v>22895512</v>
      </c>
      <c r="CR143">
        <v>40902180</v>
      </c>
      <c r="CS143">
        <v>28778260</v>
      </c>
      <c r="CT143">
        <v>35629168</v>
      </c>
      <c r="CU143">
        <v>38595140</v>
      </c>
      <c r="CV143">
        <v>19807438</v>
      </c>
      <c r="CW143">
        <v>17984514</v>
      </c>
    </row>
    <row r="144" spans="1:101">
      <c r="A144">
        <v>30939</v>
      </c>
      <c r="B144" t="s">
        <v>560</v>
      </c>
      <c r="D144" t="s">
        <v>561</v>
      </c>
      <c r="E144" t="s">
        <v>562</v>
      </c>
      <c r="F144" t="s">
        <v>563</v>
      </c>
      <c r="G144">
        <v>116.276</v>
      </c>
      <c r="H144" t="s">
        <v>104</v>
      </c>
      <c r="I144">
        <v>2</v>
      </c>
      <c r="J144">
        <v>9</v>
      </c>
      <c r="K144">
        <v>11</v>
      </c>
      <c r="L144">
        <v>0</v>
      </c>
      <c r="M144">
        <v>0</v>
      </c>
      <c r="N144">
        <v>-1</v>
      </c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  <c r="U144">
        <v>6</v>
      </c>
      <c r="V144">
        <v>6</v>
      </c>
      <c r="W144">
        <v>6</v>
      </c>
      <c r="Y144">
        <v>5</v>
      </c>
      <c r="Z144">
        <v>6</v>
      </c>
      <c r="AA144">
        <v>5</v>
      </c>
      <c r="AB144">
        <v>5</v>
      </c>
      <c r="AC144">
        <v>6</v>
      </c>
      <c r="AD144">
        <v>5</v>
      </c>
      <c r="AE144">
        <v>5</v>
      </c>
      <c r="AF144">
        <v>5</v>
      </c>
      <c r="AG144">
        <v>6</v>
      </c>
      <c r="AH144">
        <v>5</v>
      </c>
      <c r="AI144">
        <v>6</v>
      </c>
      <c r="AJ144">
        <v>5</v>
      </c>
      <c r="AK144">
        <v>5</v>
      </c>
      <c r="AL144">
        <v>5</v>
      </c>
      <c r="AM144">
        <v>5</v>
      </c>
      <c r="AN144">
        <v>5</v>
      </c>
      <c r="AO144">
        <v>6</v>
      </c>
      <c r="AP144">
        <v>1</v>
      </c>
      <c r="AQ144">
        <v>3</v>
      </c>
      <c r="AR144">
        <v>0</v>
      </c>
      <c r="AS144">
        <v>1</v>
      </c>
      <c r="AT144">
        <v>3</v>
      </c>
      <c r="AU144">
        <v>3</v>
      </c>
      <c r="AV144">
        <v>2</v>
      </c>
      <c r="AW144">
        <v>0</v>
      </c>
      <c r="AX144">
        <v>0</v>
      </c>
      <c r="AY144">
        <v>1</v>
      </c>
      <c r="AZ144">
        <v>0</v>
      </c>
      <c r="BA144">
        <v>1</v>
      </c>
      <c r="BB144">
        <v>3</v>
      </c>
      <c r="BC144">
        <v>1</v>
      </c>
      <c r="BD144">
        <v>4</v>
      </c>
      <c r="BE144">
        <v>0</v>
      </c>
      <c r="BF144">
        <v>3</v>
      </c>
      <c r="BG144">
        <v>3</v>
      </c>
      <c r="BH144">
        <v>0</v>
      </c>
      <c r="BI144">
        <v>0</v>
      </c>
      <c r="BJ144">
        <v>1958332.88</v>
      </c>
      <c r="BK144">
        <v>4394161.5</v>
      </c>
      <c r="BM144">
        <v>1853604.25</v>
      </c>
      <c r="BN144">
        <v>4697780</v>
      </c>
      <c r="BO144">
        <v>3909311</v>
      </c>
      <c r="BP144">
        <v>3137635</v>
      </c>
      <c r="BQ144">
        <v>3750423.25</v>
      </c>
      <c r="BR144">
        <v>1786325</v>
      </c>
      <c r="BS144">
        <v>1765127.5</v>
      </c>
      <c r="BT144">
        <v>484346.12</v>
      </c>
      <c r="BU144">
        <v>3209763.5</v>
      </c>
      <c r="BV144">
        <v>2711526.5</v>
      </c>
      <c r="BW144">
        <v>3177811.5</v>
      </c>
      <c r="BX144">
        <v>2826822.5</v>
      </c>
      <c r="BY144">
        <v>2538967</v>
      </c>
      <c r="BZ144">
        <v>2072960.25</v>
      </c>
      <c r="CA144">
        <v>3822103.5</v>
      </c>
      <c r="CB144">
        <v>1424990.5</v>
      </c>
      <c r="CC144">
        <v>1417229</v>
      </c>
      <c r="CD144">
        <v>2222943.5</v>
      </c>
      <c r="CE144">
        <v>2672579.75</v>
      </c>
      <c r="CF144">
        <v>1861110.38</v>
      </c>
      <c r="CG144">
        <v>2132867</v>
      </c>
      <c r="CH144">
        <v>4001140.25</v>
      </c>
      <c r="CI144">
        <v>2666200.75</v>
      </c>
      <c r="CJ144">
        <v>2846889</v>
      </c>
      <c r="CK144">
        <v>3309741.25</v>
      </c>
      <c r="CL144">
        <v>1935600.88</v>
      </c>
      <c r="CM144">
        <v>1661163</v>
      </c>
      <c r="CN144">
        <v>1994252</v>
      </c>
      <c r="CO144">
        <v>2518179</v>
      </c>
      <c r="CP144">
        <v>3339706.5</v>
      </c>
      <c r="CQ144">
        <v>1995560.5</v>
      </c>
      <c r="CR144">
        <v>3409788</v>
      </c>
      <c r="CS144">
        <v>2087273.25</v>
      </c>
      <c r="CT144">
        <v>2511441.5</v>
      </c>
      <c r="CU144">
        <v>2947197</v>
      </c>
      <c r="CV144">
        <v>1739082.5</v>
      </c>
      <c r="CW144">
        <v>1666624.75</v>
      </c>
    </row>
    <row r="145" spans="1:101">
      <c r="A145">
        <v>31064</v>
      </c>
      <c r="B145" t="s">
        <v>564</v>
      </c>
      <c r="D145" t="s">
        <v>564</v>
      </c>
      <c r="E145" t="s">
        <v>565</v>
      </c>
      <c r="F145" t="s">
        <v>566</v>
      </c>
      <c r="G145">
        <v>115.89</v>
      </c>
      <c r="H145" t="s">
        <v>104</v>
      </c>
      <c r="I145">
        <v>2</v>
      </c>
      <c r="J145">
        <v>1</v>
      </c>
      <c r="K145">
        <v>1</v>
      </c>
      <c r="L145">
        <v>0</v>
      </c>
      <c r="M145">
        <v>0</v>
      </c>
      <c r="N145">
        <v>-1</v>
      </c>
      <c r="O145">
        <v>5</v>
      </c>
      <c r="P145">
        <v>3</v>
      </c>
      <c r="Q145">
        <v>5</v>
      </c>
      <c r="R145">
        <v>3</v>
      </c>
      <c r="S145">
        <v>5</v>
      </c>
      <c r="T145">
        <v>3</v>
      </c>
      <c r="U145">
        <v>3</v>
      </c>
      <c r="V145">
        <v>3</v>
      </c>
      <c r="W145">
        <v>3</v>
      </c>
      <c r="X145">
        <v>2</v>
      </c>
      <c r="Y145">
        <v>3</v>
      </c>
      <c r="Z145">
        <v>3</v>
      </c>
      <c r="AA145">
        <v>3</v>
      </c>
      <c r="AB145">
        <v>3</v>
      </c>
      <c r="AC145">
        <v>3</v>
      </c>
      <c r="AD145">
        <v>3</v>
      </c>
      <c r="AE145">
        <v>2</v>
      </c>
      <c r="AF145">
        <v>3</v>
      </c>
      <c r="AG145">
        <v>3</v>
      </c>
      <c r="AH145">
        <v>3</v>
      </c>
      <c r="AI145">
        <v>3</v>
      </c>
      <c r="AJ145">
        <v>3</v>
      </c>
      <c r="AK145">
        <v>3</v>
      </c>
      <c r="AL145">
        <v>3</v>
      </c>
      <c r="AM145">
        <v>3</v>
      </c>
      <c r="AN145">
        <v>3</v>
      </c>
      <c r="AO145">
        <v>2</v>
      </c>
      <c r="AP145">
        <v>3</v>
      </c>
      <c r="AQ145">
        <v>3</v>
      </c>
      <c r="AR145">
        <v>0</v>
      </c>
      <c r="AS145">
        <v>2</v>
      </c>
      <c r="AT145">
        <v>4</v>
      </c>
      <c r="AU145">
        <v>5</v>
      </c>
      <c r="AV145">
        <v>3</v>
      </c>
      <c r="AW145">
        <v>2</v>
      </c>
      <c r="AX145">
        <v>2</v>
      </c>
      <c r="AY145">
        <v>2</v>
      </c>
      <c r="AZ145">
        <v>1</v>
      </c>
      <c r="BA145">
        <v>2</v>
      </c>
      <c r="BB145">
        <v>3</v>
      </c>
      <c r="BC145">
        <v>2</v>
      </c>
      <c r="BD145">
        <v>4</v>
      </c>
      <c r="BE145">
        <v>3</v>
      </c>
      <c r="BF145">
        <v>3</v>
      </c>
      <c r="BG145">
        <v>2</v>
      </c>
      <c r="BH145">
        <v>2</v>
      </c>
      <c r="BI145">
        <v>1</v>
      </c>
      <c r="BJ145">
        <v>21525172</v>
      </c>
      <c r="BK145">
        <v>27764768</v>
      </c>
      <c r="BL145">
        <v>60911.15</v>
      </c>
      <c r="BM145">
        <v>7615689.5</v>
      </c>
      <c r="BN145">
        <v>34469748</v>
      </c>
      <c r="BO145">
        <v>33780128</v>
      </c>
      <c r="BP145">
        <v>20807080</v>
      </c>
      <c r="BQ145">
        <v>17382000</v>
      </c>
      <c r="BR145">
        <v>11403344</v>
      </c>
      <c r="BS145">
        <v>5859670.5</v>
      </c>
      <c r="BT145">
        <v>5241871</v>
      </c>
      <c r="BU145">
        <v>23500294</v>
      </c>
      <c r="BV145">
        <v>25443132</v>
      </c>
      <c r="BW145">
        <v>15755118</v>
      </c>
      <c r="BX145">
        <v>26848340</v>
      </c>
      <c r="BY145">
        <v>25648966</v>
      </c>
      <c r="BZ145">
        <v>16515924</v>
      </c>
      <c r="CA145">
        <v>19630700</v>
      </c>
      <c r="CB145">
        <v>10672031</v>
      </c>
      <c r="CC145">
        <v>2792115.75</v>
      </c>
      <c r="CD145">
        <v>14209124</v>
      </c>
      <c r="CE145">
        <v>7461513.5</v>
      </c>
      <c r="CF145">
        <v>5713574</v>
      </c>
      <c r="CG145">
        <v>4106357</v>
      </c>
      <c r="CH145">
        <v>10694356</v>
      </c>
      <c r="CI145">
        <v>10246316</v>
      </c>
      <c r="CJ145">
        <v>8905302</v>
      </c>
      <c r="CK145">
        <v>6083856</v>
      </c>
      <c r="CL145">
        <v>7551041.5</v>
      </c>
      <c r="CM145">
        <v>3300876</v>
      </c>
      <c r="CN145">
        <v>10563080</v>
      </c>
      <c r="CO145">
        <v>7937997</v>
      </c>
      <c r="CP145">
        <v>12336331</v>
      </c>
      <c r="CQ145">
        <v>4278335</v>
      </c>
      <c r="CR145">
        <v>11824234</v>
      </c>
      <c r="CS145">
        <v>9188275</v>
      </c>
      <c r="CT145">
        <v>8671044</v>
      </c>
      <c r="CU145">
        <v>6408353</v>
      </c>
      <c r="CV145">
        <v>8106503.5</v>
      </c>
      <c r="CW145">
        <v>1875840.75</v>
      </c>
    </row>
    <row r="146" spans="1:101">
      <c r="A146">
        <v>30971</v>
      </c>
      <c r="B146" t="s">
        <v>567</v>
      </c>
      <c r="D146" t="s">
        <v>568</v>
      </c>
      <c r="E146" t="s">
        <v>569</v>
      </c>
      <c r="F146" t="s">
        <v>570</v>
      </c>
      <c r="G146">
        <v>113.40900000000001</v>
      </c>
      <c r="H146" t="s">
        <v>104</v>
      </c>
      <c r="I146">
        <v>2</v>
      </c>
      <c r="J146">
        <v>16</v>
      </c>
      <c r="K146">
        <v>5</v>
      </c>
      <c r="L146">
        <v>0</v>
      </c>
      <c r="M146">
        <v>0</v>
      </c>
      <c r="N146">
        <v>-1</v>
      </c>
      <c r="O146">
        <v>3</v>
      </c>
      <c r="P146">
        <v>3</v>
      </c>
      <c r="Q146">
        <v>3</v>
      </c>
      <c r="R146">
        <v>3</v>
      </c>
      <c r="S146">
        <v>3</v>
      </c>
      <c r="T146">
        <v>3</v>
      </c>
      <c r="U146">
        <v>3</v>
      </c>
      <c r="V146">
        <v>2</v>
      </c>
      <c r="W146">
        <v>3</v>
      </c>
      <c r="Y146">
        <v>2</v>
      </c>
      <c r="Z146">
        <v>3</v>
      </c>
      <c r="AA146">
        <v>3</v>
      </c>
      <c r="AB146">
        <v>2</v>
      </c>
      <c r="AC146">
        <v>2</v>
      </c>
      <c r="AD146">
        <v>2</v>
      </c>
      <c r="AE146">
        <v>2</v>
      </c>
      <c r="AF146">
        <v>3</v>
      </c>
      <c r="AG146">
        <v>3</v>
      </c>
      <c r="AH146">
        <v>3</v>
      </c>
      <c r="AI146">
        <v>3</v>
      </c>
      <c r="AJ146">
        <v>3</v>
      </c>
      <c r="AK146">
        <v>3</v>
      </c>
      <c r="AL146">
        <v>3</v>
      </c>
      <c r="AM146">
        <v>3</v>
      </c>
      <c r="AN146">
        <v>3</v>
      </c>
      <c r="AO146">
        <v>2</v>
      </c>
      <c r="AP146">
        <v>2</v>
      </c>
      <c r="AQ146">
        <v>3</v>
      </c>
      <c r="AR146">
        <v>0</v>
      </c>
      <c r="AS146">
        <v>2</v>
      </c>
      <c r="AT146">
        <v>4</v>
      </c>
      <c r="AU146">
        <v>3</v>
      </c>
      <c r="AV146">
        <v>3</v>
      </c>
      <c r="AW146">
        <v>2</v>
      </c>
      <c r="AX146">
        <v>2</v>
      </c>
      <c r="AY146">
        <v>0</v>
      </c>
      <c r="AZ146">
        <v>2</v>
      </c>
      <c r="BA146">
        <v>3</v>
      </c>
      <c r="BB146">
        <v>3</v>
      </c>
      <c r="BC146">
        <v>2</v>
      </c>
      <c r="BD146">
        <v>4</v>
      </c>
      <c r="BE146">
        <v>2</v>
      </c>
      <c r="BF146">
        <v>1</v>
      </c>
      <c r="BG146">
        <v>2</v>
      </c>
      <c r="BH146">
        <v>2</v>
      </c>
      <c r="BI146">
        <v>0</v>
      </c>
      <c r="BJ146">
        <v>3084144.25</v>
      </c>
      <c r="BK146">
        <v>4303508</v>
      </c>
      <c r="BM146">
        <v>896920.88</v>
      </c>
      <c r="BN146">
        <v>6979972</v>
      </c>
      <c r="BO146">
        <v>6212158</v>
      </c>
      <c r="BP146">
        <v>2648511</v>
      </c>
      <c r="BQ146">
        <v>2497820.5</v>
      </c>
      <c r="BR146">
        <v>1339455</v>
      </c>
      <c r="BS146">
        <v>484579.91</v>
      </c>
      <c r="BT146">
        <v>1040017.88</v>
      </c>
      <c r="BU146">
        <v>3645022.75</v>
      </c>
      <c r="BV146">
        <v>3404053.5</v>
      </c>
      <c r="BW146">
        <v>2500244.5</v>
      </c>
      <c r="BX146">
        <v>5017755.5</v>
      </c>
      <c r="BY146">
        <v>3815098.75</v>
      </c>
      <c r="BZ146">
        <v>3113441.75</v>
      </c>
      <c r="CA146">
        <v>2962171.5</v>
      </c>
      <c r="CB146">
        <v>1272173.75</v>
      </c>
      <c r="CC146">
        <v>691890.81</v>
      </c>
      <c r="CD146">
        <v>3631809.25</v>
      </c>
      <c r="CE146">
        <v>2760526.25</v>
      </c>
      <c r="CF146">
        <v>1861110.38</v>
      </c>
      <c r="CG146">
        <v>1314042.5</v>
      </c>
      <c r="CH146">
        <v>6456501</v>
      </c>
      <c r="CI146">
        <v>4600258</v>
      </c>
      <c r="CJ146">
        <v>2597062.75</v>
      </c>
      <c r="CK146">
        <v>2682342.5</v>
      </c>
      <c r="CL146">
        <v>1760563.5</v>
      </c>
      <c r="CM146">
        <v>576932.43999999994</v>
      </c>
      <c r="CN146">
        <v>5157964.5</v>
      </c>
      <c r="CO146">
        <v>3015196.75</v>
      </c>
      <c r="CP146">
        <v>4517102</v>
      </c>
      <c r="CQ146">
        <v>1802448.38</v>
      </c>
      <c r="CR146">
        <v>5561096</v>
      </c>
      <c r="CS146">
        <v>3749630.25</v>
      </c>
      <c r="CT146">
        <v>3511181.5</v>
      </c>
      <c r="CU146">
        <v>2664022.75</v>
      </c>
      <c r="CV146">
        <v>1488196.62</v>
      </c>
      <c r="CW146">
        <v>404044.16</v>
      </c>
    </row>
    <row r="147" spans="1:101">
      <c r="A147">
        <v>31145</v>
      </c>
      <c r="B147" t="s">
        <v>571</v>
      </c>
      <c r="D147" t="s">
        <v>572</v>
      </c>
      <c r="F147" t="s">
        <v>573</v>
      </c>
      <c r="G147">
        <v>111.39100000000001</v>
      </c>
      <c r="H147" t="s">
        <v>104</v>
      </c>
      <c r="I147">
        <v>2</v>
      </c>
      <c r="J147">
        <v>3</v>
      </c>
      <c r="K147">
        <v>0</v>
      </c>
      <c r="L147">
        <v>0</v>
      </c>
      <c r="M147">
        <v>0</v>
      </c>
      <c r="N147">
        <v>-1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4</v>
      </c>
      <c r="W147">
        <v>5</v>
      </c>
      <c r="X147">
        <v>1</v>
      </c>
      <c r="Y147">
        <v>5</v>
      </c>
      <c r="Z147">
        <v>5</v>
      </c>
      <c r="AA147">
        <v>5</v>
      </c>
      <c r="AB147">
        <v>5</v>
      </c>
      <c r="AC147">
        <v>5</v>
      </c>
      <c r="AD147">
        <v>5</v>
      </c>
      <c r="AE147">
        <v>5</v>
      </c>
      <c r="AF147">
        <v>5</v>
      </c>
      <c r="AG147">
        <v>5</v>
      </c>
      <c r="AH147">
        <v>5</v>
      </c>
      <c r="AI147">
        <v>5</v>
      </c>
      <c r="AJ147">
        <v>5</v>
      </c>
      <c r="AK147">
        <v>5</v>
      </c>
      <c r="AL147">
        <v>5</v>
      </c>
      <c r="AM147">
        <v>5</v>
      </c>
      <c r="AN147">
        <v>5</v>
      </c>
      <c r="AO147">
        <v>5</v>
      </c>
      <c r="AP147">
        <v>2</v>
      </c>
      <c r="AQ147">
        <v>4</v>
      </c>
      <c r="AR147">
        <v>0</v>
      </c>
      <c r="AS147">
        <v>2</v>
      </c>
      <c r="AT147">
        <v>1</v>
      </c>
      <c r="AU147">
        <v>3</v>
      </c>
      <c r="AV147">
        <v>2</v>
      </c>
      <c r="AW147">
        <v>1</v>
      </c>
      <c r="AX147">
        <v>5</v>
      </c>
      <c r="AY147">
        <v>4</v>
      </c>
      <c r="AZ147">
        <v>0</v>
      </c>
      <c r="BA147">
        <v>3</v>
      </c>
      <c r="BB147">
        <v>2</v>
      </c>
      <c r="BC147">
        <v>6</v>
      </c>
      <c r="BD147">
        <v>1</v>
      </c>
      <c r="BE147">
        <v>4</v>
      </c>
      <c r="BF147">
        <v>2</v>
      </c>
      <c r="BG147">
        <v>0</v>
      </c>
      <c r="BH147">
        <v>4</v>
      </c>
      <c r="BI147">
        <v>3</v>
      </c>
      <c r="BJ147">
        <v>2375938</v>
      </c>
      <c r="BK147">
        <v>5363252</v>
      </c>
      <c r="BL147">
        <v>31390.69</v>
      </c>
      <c r="BM147">
        <v>4132185.25</v>
      </c>
      <c r="BN147">
        <v>3057759</v>
      </c>
      <c r="BO147">
        <v>5485788</v>
      </c>
      <c r="BP147">
        <v>3907813.5</v>
      </c>
      <c r="BQ147">
        <v>2954295.5</v>
      </c>
      <c r="BR147">
        <v>5962993.5</v>
      </c>
      <c r="BS147">
        <v>5100983</v>
      </c>
      <c r="BT147">
        <v>1006265.5</v>
      </c>
      <c r="BU147">
        <v>3837465.5</v>
      </c>
      <c r="BV147">
        <v>2220406.75</v>
      </c>
      <c r="BW147">
        <v>7634452</v>
      </c>
      <c r="BX147">
        <v>2430714.5</v>
      </c>
      <c r="BY147">
        <v>4572735</v>
      </c>
      <c r="BZ147">
        <v>3322993.5</v>
      </c>
      <c r="CA147">
        <v>2937168.5</v>
      </c>
      <c r="CB147">
        <v>4951988.5</v>
      </c>
      <c r="CC147">
        <v>6324671</v>
      </c>
      <c r="CD147">
        <v>3909535.25</v>
      </c>
      <c r="CE147">
        <v>4347235</v>
      </c>
      <c r="CF147">
        <v>4544789.5</v>
      </c>
      <c r="CG147">
        <v>5121099.5</v>
      </c>
      <c r="CH147">
        <v>2506511.25</v>
      </c>
      <c r="CI147">
        <v>3952949.5</v>
      </c>
      <c r="CJ147">
        <v>3558660</v>
      </c>
      <c r="CK147">
        <v>2470075.75</v>
      </c>
      <c r="CL147">
        <v>6135921.5</v>
      </c>
      <c r="CM147">
        <v>5086177</v>
      </c>
      <c r="CN147">
        <v>3501041.75</v>
      </c>
      <c r="CO147">
        <v>3570837.75</v>
      </c>
      <c r="CP147">
        <v>2624208.25</v>
      </c>
      <c r="CQ147">
        <v>5426108</v>
      </c>
      <c r="CR147">
        <v>2590008</v>
      </c>
      <c r="CS147">
        <v>4029314.25</v>
      </c>
      <c r="CT147">
        <v>3421401</v>
      </c>
      <c r="CU147">
        <v>2470793.25</v>
      </c>
      <c r="CV147">
        <v>6311529.5</v>
      </c>
      <c r="CW147">
        <v>8555005</v>
      </c>
    </row>
    <row r="148" spans="1:101">
      <c r="A148">
        <v>31125</v>
      </c>
      <c r="B148" t="s">
        <v>574</v>
      </c>
      <c r="D148" t="s">
        <v>574</v>
      </c>
      <c r="F148" t="s">
        <v>575</v>
      </c>
      <c r="G148">
        <v>111.066</v>
      </c>
      <c r="H148" t="s">
        <v>104</v>
      </c>
      <c r="I148">
        <v>2</v>
      </c>
      <c r="J148">
        <v>1</v>
      </c>
      <c r="K148">
        <v>0</v>
      </c>
      <c r="L148">
        <v>0</v>
      </c>
      <c r="M148">
        <v>0</v>
      </c>
      <c r="N148">
        <v>-1</v>
      </c>
      <c r="O148">
        <v>9</v>
      </c>
      <c r="P148">
        <v>9</v>
      </c>
      <c r="Q148">
        <v>9</v>
      </c>
      <c r="R148">
        <v>9</v>
      </c>
      <c r="S148">
        <v>9</v>
      </c>
      <c r="T148">
        <v>9</v>
      </c>
      <c r="U148">
        <v>9</v>
      </c>
      <c r="V148">
        <v>7</v>
      </c>
      <c r="W148">
        <v>9</v>
      </c>
      <c r="Y148">
        <v>9</v>
      </c>
      <c r="Z148">
        <v>8</v>
      </c>
      <c r="AA148">
        <v>8</v>
      </c>
      <c r="AB148">
        <v>8</v>
      </c>
      <c r="AC148">
        <v>8</v>
      </c>
      <c r="AD148">
        <v>9</v>
      </c>
      <c r="AE148">
        <v>9</v>
      </c>
      <c r="AF148">
        <v>7</v>
      </c>
      <c r="AG148">
        <v>9</v>
      </c>
      <c r="AH148">
        <v>8</v>
      </c>
      <c r="AI148">
        <v>9</v>
      </c>
      <c r="AJ148">
        <v>8</v>
      </c>
      <c r="AK148">
        <v>9</v>
      </c>
      <c r="AL148">
        <v>9</v>
      </c>
      <c r="AM148">
        <v>8</v>
      </c>
      <c r="AN148">
        <v>9</v>
      </c>
      <c r="AO148">
        <v>9</v>
      </c>
      <c r="AP148">
        <v>2</v>
      </c>
      <c r="AQ148">
        <v>5</v>
      </c>
      <c r="AR148">
        <v>0</v>
      </c>
      <c r="AS148">
        <v>5</v>
      </c>
      <c r="AT148">
        <v>4</v>
      </c>
      <c r="AU148">
        <v>5</v>
      </c>
      <c r="AV148">
        <v>5</v>
      </c>
      <c r="AW148">
        <v>2</v>
      </c>
      <c r="AX148">
        <v>9</v>
      </c>
      <c r="AY148">
        <v>5</v>
      </c>
      <c r="AZ148">
        <v>0</v>
      </c>
      <c r="BA148">
        <v>4</v>
      </c>
      <c r="BB148">
        <v>0</v>
      </c>
      <c r="BC148">
        <v>6</v>
      </c>
      <c r="BD148">
        <v>2</v>
      </c>
      <c r="BE148">
        <v>4</v>
      </c>
      <c r="BF148">
        <v>5</v>
      </c>
      <c r="BG148">
        <v>2</v>
      </c>
      <c r="BH148">
        <v>7</v>
      </c>
      <c r="BI148">
        <v>3</v>
      </c>
      <c r="BJ148">
        <v>3026299.5</v>
      </c>
      <c r="BK148">
        <v>6714801</v>
      </c>
      <c r="BM148">
        <v>5116690</v>
      </c>
      <c r="BN148">
        <v>4443069</v>
      </c>
      <c r="BO148">
        <v>6229781</v>
      </c>
      <c r="BP148">
        <v>6371900</v>
      </c>
      <c r="BQ148">
        <v>3281296.5</v>
      </c>
      <c r="BR148">
        <v>6892988</v>
      </c>
      <c r="BS148">
        <v>4742680.5</v>
      </c>
      <c r="BT148">
        <v>750987.12</v>
      </c>
      <c r="BU148">
        <v>4667553.5</v>
      </c>
      <c r="BV148">
        <v>2614932.5</v>
      </c>
      <c r="BW148">
        <v>7693163</v>
      </c>
      <c r="BX148">
        <v>3048080</v>
      </c>
      <c r="BY148">
        <v>4410962</v>
      </c>
      <c r="BZ148">
        <v>4567312.5</v>
      </c>
      <c r="CA148">
        <v>2359668.25</v>
      </c>
      <c r="CB148">
        <v>3949473.25</v>
      </c>
      <c r="CC148">
        <v>2258661.25</v>
      </c>
      <c r="CD148">
        <v>3435759.25</v>
      </c>
      <c r="CE148">
        <v>3690243.75</v>
      </c>
      <c r="CF148">
        <v>1861110.38</v>
      </c>
      <c r="CG148">
        <v>5442150.5</v>
      </c>
      <c r="CH148">
        <v>3231720.25</v>
      </c>
      <c r="CI148">
        <v>3753097.75</v>
      </c>
      <c r="CJ148">
        <v>4610226.5</v>
      </c>
      <c r="CK148">
        <v>2518795.75</v>
      </c>
      <c r="CL148">
        <v>6133181</v>
      </c>
      <c r="CM148">
        <v>4140607.75</v>
      </c>
      <c r="CN148">
        <v>2483200.5</v>
      </c>
      <c r="CO148">
        <v>3215054.25</v>
      </c>
      <c r="CP148">
        <v>2614859</v>
      </c>
      <c r="CQ148">
        <v>4428548</v>
      </c>
      <c r="CR148">
        <v>2844464.5</v>
      </c>
      <c r="CS148">
        <v>3410819.5</v>
      </c>
      <c r="CT148">
        <v>4180550.75</v>
      </c>
      <c r="CU148">
        <v>1595426.12</v>
      </c>
      <c r="CV148">
        <v>4410048</v>
      </c>
      <c r="CW148">
        <v>2887672.25</v>
      </c>
    </row>
    <row r="149" spans="1:101">
      <c r="A149">
        <v>31079</v>
      </c>
      <c r="B149" t="s">
        <v>576</v>
      </c>
      <c r="D149" t="s">
        <v>577</v>
      </c>
      <c r="F149" t="s">
        <v>578</v>
      </c>
      <c r="G149">
        <v>109.71299999999999</v>
      </c>
      <c r="H149" t="s">
        <v>104</v>
      </c>
      <c r="I149">
        <v>2</v>
      </c>
      <c r="J149">
        <v>3</v>
      </c>
      <c r="K149">
        <v>0</v>
      </c>
      <c r="L149">
        <v>0</v>
      </c>
      <c r="M149">
        <v>0</v>
      </c>
      <c r="N149">
        <v>-1</v>
      </c>
      <c r="O149">
        <v>3</v>
      </c>
      <c r="P149">
        <v>3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2</v>
      </c>
      <c r="AQ149">
        <v>3</v>
      </c>
      <c r="AR149">
        <v>0</v>
      </c>
      <c r="AS149">
        <v>2</v>
      </c>
      <c r="AT149">
        <v>2</v>
      </c>
      <c r="AU149">
        <v>3</v>
      </c>
      <c r="AV149">
        <v>3</v>
      </c>
      <c r="AW149">
        <v>2</v>
      </c>
      <c r="AX149">
        <v>2</v>
      </c>
      <c r="AY149">
        <v>0</v>
      </c>
      <c r="AZ149">
        <v>2</v>
      </c>
      <c r="BA149">
        <v>2</v>
      </c>
      <c r="BB149">
        <v>3</v>
      </c>
      <c r="BC149">
        <v>2</v>
      </c>
      <c r="BD149">
        <v>2</v>
      </c>
      <c r="BE149">
        <v>3</v>
      </c>
      <c r="BF149">
        <v>2</v>
      </c>
      <c r="BG149">
        <v>2</v>
      </c>
      <c r="BH149">
        <v>2</v>
      </c>
      <c r="BI149">
        <v>0</v>
      </c>
      <c r="BJ149">
        <v>5284683</v>
      </c>
      <c r="BK149">
        <v>8334641.5</v>
      </c>
      <c r="BM149">
        <v>2268165.5</v>
      </c>
      <c r="BN149">
        <v>11062524</v>
      </c>
      <c r="BO149">
        <v>10770879</v>
      </c>
      <c r="BP149">
        <v>5613055.5</v>
      </c>
      <c r="BQ149">
        <v>3581443.75</v>
      </c>
      <c r="BR149">
        <v>2005468.12</v>
      </c>
      <c r="BS149">
        <v>811749.94</v>
      </c>
      <c r="BT149">
        <v>1085968.25</v>
      </c>
      <c r="BU149">
        <v>5630543</v>
      </c>
      <c r="BV149">
        <v>6953900</v>
      </c>
      <c r="BW149">
        <v>5027789</v>
      </c>
      <c r="BX149">
        <v>7877900</v>
      </c>
      <c r="BY149">
        <v>6913459</v>
      </c>
      <c r="BZ149">
        <v>4884701</v>
      </c>
      <c r="CA149">
        <v>4317744.5</v>
      </c>
      <c r="CB149">
        <v>1921526</v>
      </c>
      <c r="CC149">
        <v>1026504.88</v>
      </c>
      <c r="CD149">
        <v>6894727</v>
      </c>
      <c r="CE149">
        <v>4274185.5</v>
      </c>
      <c r="CF149">
        <v>1861110.38</v>
      </c>
      <c r="CG149">
        <v>2363738</v>
      </c>
      <c r="CH149">
        <v>8408384</v>
      </c>
      <c r="CI149">
        <v>6889010.5</v>
      </c>
      <c r="CJ149">
        <v>4903697.5</v>
      </c>
      <c r="CK149">
        <v>2885163</v>
      </c>
      <c r="CL149">
        <v>2105243</v>
      </c>
      <c r="CM149">
        <v>673237.62</v>
      </c>
      <c r="CN149">
        <v>4231399.5</v>
      </c>
      <c r="CO149">
        <v>4117715.25</v>
      </c>
      <c r="CP149">
        <v>7523936.5</v>
      </c>
      <c r="CQ149">
        <v>2850121.75</v>
      </c>
      <c r="CR149">
        <v>7632729</v>
      </c>
      <c r="CS149">
        <v>5292828</v>
      </c>
      <c r="CT149">
        <v>4655496</v>
      </c>
      <c r="CU149">
        <v>3105565.75</v>
      </c>
      <c r="CV149">
        <v>2583309.75</v>
      </c>
      <c r="CW149">
        <v>1054026.5</v>
      </c>
    </row>
    <row r="150" spans="1:101">
      <c r="A150">
        <v>31087</v>
      </c>
      <c r="B150" t="s">
        <v>579</v>
      </c>
      <c r="D150" t="s">
        <v>579</v>
      </c>
      <c r="F150" t="s">
        <v>580</v>
      </c>
      <c r="G150">
        <v>105.136</v>
      </c>
      <c r="H150" t="s">
        <v>104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-1</v>
      </c>
      <c r="O150">
        <v>4</v>
      </c>
      <c r="P150">
        <v>4</v>
      </c>
      <c r="Q150">
        <v>4</v>
      </c>
      <c r="R150">
        <v>4</v>
      </c>
      <c r="S150">
        <v>4</v>
      </c>
      <c r="T150">
        <v>4</v>
      </c>
      <c r="U150">
        <v>4</v>
      </c>
      <c r="V150">
        <v>4</v>
      </c>
      <c r="W150">
        <v>4</v>
      </c>
      <c r="X150">
        <v>1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3</v>
      </c>
      <c r="AH150">
        <v>4</v>
      </c>
      <c r="AI150">
        <v>4</v>
      </c>
      <c r="AJ150">
        <v>3</v>
      </c>
      <c r="AK150">
        <v>4</v>
      </c>
      <c r="AL150">
        <v>4</v>
      </c>
      <c r="AM150">
        <v>4</v>
      </c>
      <c r="AN150">
        <v>4</v>
      </c>
      <c r="AO150">
        <v>4</v>
      </c>
      <c r="AP150">
        <v>1</v>
      </c>
      <c r="AQ150">
        <v>3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2</v>
      </c>
      <c r="AY150">
        <v>3</v>
      </c>
      <c r="AZ150">
        <v>0</v>
      </c>
      <c r="BA150">
        <v>2</v>
      </c>
      <c r="BB150">
        <v>1</v>
      </c>
      <c r="BC150">
        <v>3</v>
      </c>
      <c r="BD150">
        <v>0</v>
      </c>
      <c r="BE150">
        <v>1</v>
      </c>
      <c r="BF150">
        <v>1</v>
      </c>
      <c r="BG150">
        <v>1</v>
      </c>
      <c r="BH150">
        <v>2</v>
      </c>
      <c r="BI150">
        <v>2</v>
      </c>
      <c r="BJ150">
        <v>68151264</v>
      </c>
      <c r="BK150">
        <v>207047296</v>
      </c>
      <c r="BL150">
        <v>437220.28</v>
      </c>
      <c r="BM150">
        <v>2166736</v>
      </c>
      <c r="BN150">
        <v>60381012</v>
      </c>
      <c r="BO150">
        <v>3316778.5</v>
      </c>
      <c r="BP150">
        <v>2276807.25</v>
      </c>
      <c r="BQ150">
        <v>137814656</v>
      </c>
      <c r="BR150">
        <v>2128778.25</v>
      </c>
      <c r="BS150">
        <v>2309841.5</v>
      </c>
      <c r="BT150">
        <v>16650879</v>
      </c>
      <c r="BU150">
        <v>2774577.5</v>
      </c>
      <c r="BV150">
        <v>1847114</v>
      </c>
      <c r="BW150">
        <v>6126842</v>
      </c>
      <c r="BX150">
        <v>49234872</v>
      </c>
      <c r="BY150">
        <v>105055976</v>
      </c>
      <c r="BZ150">
        <v>2370933.75</v>
      </c>
      <c r="CA150">
        <v>157466464</v>
      </c>
      <c r="CB150">
        <v>2217746.5</v>
      </c>
      <c r="CC150">
        <v>3238513</v>
      </c>
      <c r="CD150">
        <v>45104120</v>
      </c>
      <c r="CE150">
        <v>44548076</v>
      </c>
      <c r="CF150">
        <v>29569120</v>
      </c>
      <c r="CG150">
        <v>24679812</v>
      </c>
      <c r="CH150">
        <v>18961588</v>
      </c>
      <c r="CI150">
        <v>18846390</v>
      </c>
      <c r="CJ150">
        <v>17461208</v>
      </c>
      <c r="CK150">
        <v>22751378</v>
      </c>
      <c r="CL150">
        <v>22401270</v>
      </c>
      <c r="CM150">
        <v>22430028</v>
      </c>
      <c r="CN150">
        <v>20539622</v>
      </c>
      <c r="CO150">
        <v>21064140</v>
      </c>
      <c r="CP150">
        <v>23978620</v>
      </c>
      <c r="CQ150">
        <v>51061460</v>
      </c>
      <c r="CR150">
        <v>27645194</v>
      </c>
      <c r="CS150">
        <v>63550264</v>
      </c>
      <c r="CT150">
        <v>34612524</v>
      </c>
      <c r="CU150">
        <v>51457348</v>
      </c>
      <c r="CV150">
        <v>41043348</v>
      </c>
      <c r="CW150">
        <v>66129316</v>
      </c>
    </row>
    <row r="151" spans="1:101">
      <c r="A151">
        <v>31119</v>
      </c>
      <c r="B151" t="s">
        <v>581</v>
      </c>
      <c r="D151" t="s">
        <v>582</v>
      </c>
      <c r="F151" t="s">
        <v>583</v>
      </c>
      <c r="G151">
        <v>97.358999999999995</v>
      </c>
      <c r="H151" t="s">
        <v>104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-1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1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1</v>
      </c>
      <c r="AD151">
        <v>2</v>
      </c>
      <c r="AE151">
        <v>1</v>
      </c>
      <c r="AF151">
        <v>3</v>
      </c>
      <c r="AG151">
        <v>2</v>
      </c>
      <c r="AH151">
        <v>2</v>
      </c>
      <c r="AI151">
        <v>1</v>
      </c>
      <c r="AJ151">
        <v>2</v>
      </c>
      <c r="AK151">
        <v>2</v>
      </c>
      <c r="AL151">
        <v>2</v>
      </c>
      <c r="AM151">
        <v>1</v>
      </c>
      <c r="AN151">
        <v>2</v>
      </c>
      <c r="AO151">
        <v>1</v>
      </c>
      <c r="AP151">
        <v>2</v>
      </c>
      <c r="AQ151">
        <v>2</v>
      </c>
      <c r="AR151">
        <v>3</v>
      </c>
      <c r="AS151">
        <v>2</v>
      </c>
      <c r="AT151">
        <v>3</v>
      </c>
      <c r="AU151">
        <v>2</v>
      </c>
      <c r="AV151">
        <v>2</v>
      </c>
      <c r="AW151">
        <v>2</v>
      </c>
      <c r="AX151">
        <v>2</v>
      </c>
      <c r="AY151">
        <v>2</v>
      </c>
      <c r="AZ151">
        <v>2</v>
      </c>
      <c r="BA151">
        <v>2</v>
      </c>
      <c r="BB151">
        <v>4</v>
      </c>
      <c r="BC151">
        <v>2</v>
      </c>
      <c r="BD151">
        <v>3</v>
      </c>
      <c r="BE151">
        <v>2</v>
      </c>
      <c r="BF151">
        <v>2</v>
      </c>
      <c r="BG151">
        <v>2</v>
      </c>
      <c r="BH151">
        <v>2</v>
      </c>
      <c r="BI151">
        <v>1</v>
      </c>
      <c r="BJ151">
        <v>3847942</v>
      </c>
      <c r="BK151">
        <v>5391521</v>
      </c>
      <c r="BL151">
        <v>1226060.3799999999</v>
      </c>
      <c r="BM151">
        <v>1836831</v>
      </c>
      <c r="BN151">
        <v>9026884</v>
      </c>
      <c r="BO151">
        <v>6978825.5</v>
      </c>
      <c r="BP151">
        <v>5927941.5</v>
      </c>
      <c r="BQ151">
        <v>3699123</v>
      </c>
      <c r="BR151">
        <v>1757298.38</v>
      </c>
      <c r="BS151">
        <v>608493.06000000006</v>
      </c>
      <c r="BT151">
        <v>1712617.12</v>
      </c>
      <c r="BU151">
        <v>4637731</v>
      </c>
      <c r="BV151">
        <v>11488324</v>
      </c>
      <c r="BW151">
        <v>2982564.75</v>
      </c>
      <c r="BX151">
        <v>7666698</v>
      </c>
      <c r="BY151">
        <v>5409650.5</v>
      </c>
      <c r="BZ151">
        <v>5336204.5</v>
      </c>
      <c r="CA151">
        <v>3778128</v>
      </c>
      <c r="CB151">
        <v>2018879</v>
      </c>
      <c r="CC151">
        <v>373988.34</v>
      </c>
      <c r="CD151">
        <v>7775051.5</v>
      </c>
      <c r="CE151">
        <v>11211874</v>
      </c>
      <c r="CF151">
        <v>94137024</v>
      </c>
      <c r="CG151">
        <v>8309137</v>
      </c>
      <c r="CH151">
        <v>24051970</v>
      </c>
      <c r="CI151">
        <v>14212050</v>
      </c>
      <c r="CJ151">
        <v>14744498</v>
      </c>
      <c r="CK151">
        <v>9504318</v>
      </c>
      <c r="CL151">
        <v>5039323</v>
      </c>
      <c r="CM151">
        <v>1815053.75</v>
      </c>
      <c r="CN151">
        <v>28313122</v>
      </c>
      <c r="CO151">
        <v>11057717</v>
      </c>
      <c r="CP151">
        <v>36081416</v>
      </c>
      <c r="CQ151">
        <v>5679039</v>
      </c>
      <c r="CR151">
        <v>27331272</v>
      </c>
      <c r="CS151">
        <v>13371218</v>
      </c>
      <c r="CT151">
        <v>17134780</v>
      </c>
      <c r="CU151">
        <v>9484677</v>
      </c>
      <c r="CV151">
        <v>5795311.5</v>
      </c>
      <c r="CW151">
        <v>1330416.25</v>
      </c>
    </row>
    <row r="152" spans="1:101">
      <c r="A152">
        <v>31080</v>
      </c>
      <c r="B152" t="s">
        <v>584</v>
      </c>
      <c r="D152" t="s">
        <v>585</v>
      </c>
      <c r="F152" t="s">
        <v>586</v>
      </c>
      <c r="G152">
        <v>94.546999999999997</v>
      </c>
      <c r="H152" t="s">
        <v>104</v>
      </c>
      <c r="I152">
        <v>2</v>
      </c>
      <c r="J152">
        <v>12</v>
      </c>
      <c r="K152">
        <v>0</v>
      </c>
      <c r="L152">
        <v>0</v>
      </c>
      <c r="M152">
        <v>0</v>
      </c>
      <c r="N152">
        <v>-1</v>
      </c>
      <c r="O152">
        <v>3</v>
      </c>
      <c r="P152">
        <v>3</v>
      </c>
      <c r="Q152">
        <v>3</v>
      </c>
      <c r="R152">
        <v>3</v>
      </c>
      <c r="S152">
        <v>3</v>
      </c>
      <c r="T152">
        <v>3</v>
      </c>
      <c r="U152">
        <v>3</v>
      </c>
      <c r="V152">
        <v>3</v>
      </c>
      <c r="W152">
        <v>3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3</v>
      </c>
      <c r="AE152">
        <v>3</v>
      </c>
      <c r="AF152">
        <v>3</v>
      </c>
      <c r="AG152">
        <v>2</v>
      </c>
      <c r="AH152">
        <v>3</v>
      </c>
      <c r="AI152">
        <v>3</v>
      </c>
      <c r="AJ152">
        <v>3</v>
      </c>
      <c r="AK152">
        <v>3</v>
      </c>
      <c r="AL152">
        <v>3</v>
      </c>
      <c r="AM152">
        <v>3</v>
      </c>
      <c r="AN152">
        <v>3</v>
      </c>
      <c r="AO152">
        <v>3</v>
      </c>
      <c r="AP152">
        <v>1</v>
      </c>
      <c r="AQ152">
        <v>1</v>
      </c>
      <c r="AR152">
        <v>0</v>
      </c>
      <c r="AS152">
        <v>3</v>
      </c>
      <c r="AT152">
        <v>0</v>
      </c>
      <c r="AU152">
        <v>1</v>
      </c>
      <c r="AV152">
        <v>0</v>
      </c>
      <c r="AW152">
        <v>0</v>
      </c>
      <c r="AX152">
        <v>2</v>
      </c>
      <c r="AY152">
        <v>2</v>
      </c>
      <c r="AZ152">
        <v>0</v>
      </c>
      <c r="BA152">
        <v>0</v>
      </c>
      <c r="BB152">
        <v>0</v>
      </c>
      <c r="BC152">
        <v>3</v>
      </c>
      <c r="BD152">
        <v>0</v>
      </c>
      <c r="BE152">
        <v>2</v>
      </c>
      <c r="BF152">
        <v>0</v>
      </c>
      <c r="BG152">
        <v>0</v>
      </c>
      <c r="BH152">
        <v>2</v>
      </c>
      <c r="BI152">
        <v>2</v>
      </c>
      <c r="BJ152">
        <v>1833953.75</v>
      </c>
      <c r="BK152">
        <v>2956060</v>
      </c>
      <c r="BM152">
        <v>1761907</v>
      </c>
      <c r="BN152">
        <v>1827321</v>
      </c>
      <c r="BO152">
        <v>3015121.75</v>
      </c>
      <c r="BP152">
        <v>2358258</v>
      </c>
      <c r="BQ152">
        <v>1353497.5</v>
      </c>
      <c r="BR152">
        <v>2548998.5</v>
      </c>
      <c r="BS152">
        <v>3830444.75</v>
      </c>
      <c r="BT152">
        <v>542198</v>
      </c>
      <c r="BU152">
        <v>2313236</v>
      </c>
      <c r="BV152">
        <v>1229304.75</v>
      </c>
      <c r="BW152">
        <v>3604098</v>
      </c>
      <c r="BX152">
        <v>1333120</v>
      </c>
      <c r="BY152">
        <v>2274513</v>
      </c>
      <c r="BZ152">
        <v>1916919.5</v>
      </c>
      <c r="CA152">
        <v>1690462.25</v>
      </c>
      <c r="CB152">
        <v>1784286.25</v>
      </c>
      <c r="CC152">
        <v>2455188.75</v>
      </c>
      <c r="CD152">
        <v>1933593.12</v>
      </c>
      <c r="CE152">
        <v>1469889.75</v>
      </c>
      <c r="CF152">
        <v>1861110.38</v>
      </c>
      <c r="CG152">
        <v>1931715.75</v>
      </c>
      <c r="CH152">
        <v>1332533.25</v>
      </c>
      <c r="CI152">
        <v>1935198.88</v>
      </c>
      <c r="CJ152">
        <v>1736585.88</v>
      </c>
      <c r="CK152">
        <v>1046584.62</v>
      </c>
      <c r="CL152">
        <v>2603360.75</v>
      </c>
      <c r="CM152">
        <v>3054528.5</v>
      </c>
      <c r="CN152">
        <v>1777768.62</v>
      </c>
      <c r="CO152">
        <v>1699987.38</v>
      </c>
      <c r="CP152">
        <v>1283283</v>
      </c>
      <c r="CQ152">
        <v>2110816.25</v>
      </c>
      <c r="CR152">
        <v>1217353.1200000001</v>
      </c>
      <c r="CS152">
        <v>1649681.25</v>
      </c>
      <c r="CT152">
        <v>1774703.25</v>
      </c>
      <c r="CU152">
        <v>1188993.25</v>
      </c>
      <c r="CV152">
        <v>2006211</v>
      </c>
      <c r="CW152">
        <v>2999605.5</v>
      </c>
    </row>
    <row r="153" spans="1:101">
      <c r="A153">
        <v>31078</v>
      </c>
      <c r="B153" t="s">
        <v>587</v>
      </c>
      <c r="D153" t="s">
        <v>588</v>
      </c>
      <c r="E153" t="s">
        <v>589</v>
      </c>
      <c r="F153" t="s">
        <v>590</v>
      </c>
      <c r="G153">
        <v>91.721000000000004</v>
      </c>
      <c r="H153" t="s">
        <v>104</v>
      </c>
      <c r="I153">
        <v>2</v>
      </c>
      <c r="J153">
        <v>3</v>
      </c>
      <c r="K153">
        <v>3</v>
      </c>
      <c r="L153">
        <v>0</v>
      </c>
      <c r="M153">
        <v>0</v>
      </c>
      <c r="N153">
        <v>-1</v>
      </c>
      <c r="O153">
        <v>3</v>
      </c>
      <c r="P153">
        <v>3</v>
      </c>
      <c r="Q153">
        <v>3</v>
      </c>
      <c r="R153">
        <v>3</v>
      </c>
      <c r="S153">
        <v>3</v>
      </c>
      <c r="T153">
        <v>3</v>
      </c>
      <c r="U153">
        <v>3</v>
      </c>
      <c r="V153">
        <v>3</v>
      </c>
      <c r="W153">
        <v>3</v>
      </c>
      <c r="X153">
        <v>2</v>
      </c>
      <c r="Y153">
        <v>3</v>
      </c>
      <c r="Z153">
        <v>3</v>
      </c>
      <c r="AA153">
        <v>3</v>
      </c>
      <c r="AB153">
        <v>3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3</v>
      </c>
      <c r="AK153">
        <v>3</v>
      </c>
      <c r="AL153">
        <v>3</v>
      </c>
      <c r="AM153">
        <v>3</v>
      </c>
      <c r="AN153">
        <v>3</v>
      </c>
      <c r="AO153">
        <v>3</v>
      </c>
      <c r="AP153">
        <v>0</v>
      </c>
      <c r="AQ153">
        <v>3</v>
      </c>
      <c r="AR153">
        <v>0</v>
      </c>
      <c r="AS153">
        <v>1</v>
      </c>
      <c r="AT153">
        <v>3</v>
      </c>
      <c r="AU153">
        <v>4</v>
      </c>
      <c r="AV153">
        <v>2</v>
      </c>
      <c r="AW153">
        <v>2</v>
      </c>
      <c r="AX153">
        <v>0</v>
      </c>
      <c r="AY153">
        <v>1</v>
      </c>
      <c r="AZ153">
        <v>0</v>
      </c>
      <c r="BA153">
        <v>3</v>
      </c>
      <c r="BB153">
        <v>1</v>
      </c>
      <c r="BC153">
        <v>2</v>
      </c>
      <c r="BD153">
        <v>2</v>
      </c>
      <c r="BE153">
        <v>4</v>
      </c>
      <c r="BF153">
        <v>1</v>
      </c>
      <c r="BG153">
        <v>3</v>
      </c>
      <c r="BH153">
        <v>0</v>
      </c>
      <c r="BI153">
        <v>0</v>
      </c>
      <c r="BJ153">
        <v>7582077.5</v>
      </c>
      <c r="BK153">
        <v>14736958</v>
      </c>
      <c r="BL153">
        <v>102350.98</v>
      </c>
      <c r="BM153">
        <v>4672408</v>
      </c>
      <c r="BN153">
        <v>14936306</v>
      </c>
      <c r="BO153">
        <v>17523354</v>
      </c>
      <c r="BP153">
        <v>9385621</v>
      </c>
      <c r="BQ153">
        <v>9952983</v>
      </c>
      <c r="BR153">
        <v>4244398</v>
      </c>
      <c r="BS153">
        <v>3595186</v>
      </c>
      <c r="BT153">
        <v>2428279.75</v>
      </c>
      <c r="BU153">
        <v>13226020</v>
      </c>
      <c r="BV153">
        <v>5260360.5</v>
      </c>
      <c r="BW153">
        <v>7761303</v>
      </c>
      <c r="BX153">
        <v>9256843</v>
      </c>
      <c r="BY153">
        <v>11854830</v>
      </c>
      <c r="BZ153">
        <v>6086983.5</v>
      </c>
      <c r="CA153">
        <v>15833076</v>
      </c>
      <c r="CB153">
        <v>2161400.25</v>
      </c>
      <c r="CC153">
        <v>1430479</v>
      </c>
      <c r="CD153">
        <v>7358630</v>
      </c>
      <c r="CE153">
        <v>8454968</v>
      </c>
      <c r="CF153">
        <v>6111187</v>
      </c>
      <c r="CG153">
        <v>5494386</v>
      </c>
      <c r="CH153">
        <v>12937687</v>
      </c>
      <c r="CI153">
        <v>11336103</v>
      </c>
      <c r="CJ153">
        <v>8016625.5</v>
      </c>
      <c r="CK153">
        <v>10191239</v>
      </c>
      <c r="CL153">
        <v>3968499</v>
      </c>
      <c r="CM153">
        <v>3113549.5</v>
      </c>
      <c r="CN153">
        <v>6583276.5</v>
      </c>
      <c r="CO153">
        <v>12013254</v>
      </c>
      <c r="CP153">
        <v>8358943.5</v>
      </c>
      <c r="CQ153">
        <v>5085562</v>
      </c>
      <c r="CR153">
        <v>9263285</v>
      </c>
      <c r="CS153">
        <v>9407757</v>
      </c>
      <c r="CT153">
        <v>5572573.5</v>
      </c>
      <c r="CU153">
        <v>8911208</v>
      </c>
      <c r="CV153">
        <v>2474784.75</v>
      </c>
      <c r="CW153">
        <v>2998815.75</v>
      </c>
    </row>
    <row r="154" spans="1:101">
      <c r="A154">
        <v>31115</v>
      </c>
      <c r="B154" t="s">
        <v>591</v>
      </c>
      <c r="D154" t="s">
        <v>591</v>
      </c>
      <c r="F154" t="s">
        <v>592</v>
      </c>
      <c r="G154">
        <v>81.900000000000006</v>
      </c>
      <c r="H154" t="s">
        <v>104</v>
      </c>
      <c r="I154">
        <v>2</v>
      </c>
      <c r="J154">
        <v>1</v>
      </c>
      <c r="K154">
        <v>0</v>
      </c>
      <c r="L154">
        <v>0</v>
      </c>
      <c r="M154">
        <v>0</v>
      </c>
      <c r="N154">
        <v>-1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5</v>
      </c>
      <c r="W154">
        <v>6</v>
      </c>
      <c r="Y154">
        <v>7</v>
      </c>
      <c r="Z154">
        <v>6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6</v>
      </c>
      <c r="AG154">
        <v>7</v>
      </c>
      <c r="AH154">
        <v>7</v>
      </c>
      <c r="AI154">
        <v>7</v>
      </c>
      <c r="AJ154">
        <v>6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2</v>
      </c>
      <c r="AQ154">
        <v>2</v>
      </c>
      <c r="AR154">
        <v>0</v>
      </c>
      <c r="AS154">
        <v>4</v>
      </c>
      <c r="AT154">
        <v>2</v>
      </c>
      <c r="AU154">
        <v>4</v>
      </c>
      <c r="AV154">
        <v>3</v>
      </c>
      <c r="AW154">
        <v>1</v>
      </c>
      <c r="AX154">
        <v>4</v>
      </c>
      <c r="AY154">
        <v>4</v>
      </c>
      <c r="AZ154">
        <v>0</v>
      </c>
      <c r="BA154">
        <v>3</v>
      </c>
      <c r="BB154">
        <v>2</v>
      </c>
      <c r="BC154">
        <v>5</v>
      </c>
      <c r="BD154">
        <v>2</v>
      </c>
      <c r="BE154">
        <v>4</v>
      </c>
      <c r="BF154">
        <v>3</v>
      </c>
      <c r="BG154">
        <v>0</v>
      </c>
      <c r="BH154">
        <v>3</v>
      </c>
      <c r="BI154">
        <v>3</v>
      </c>
      <c r="BJ154">
        <v>2549854.75</v>
      </c>
      <c r="BK154">
        <v>5187860</v>
      </c>
      <c r="BM154">
        <v>4478326.5</v>
      </c>
      <c r="BN154">
        <v>2852159</v>
      </c>
      <c r="BO154">
        <v>5430113.5</v>
      </c>
      <c r="BP154">
        <v>5099132</v>
      </c>
      <c r="BQ154">
        <v>2023010.88</v>
      </c>
      <c r="BR154">
        <v>4209695</v>
      </c>
      <c r="BS154">
        <v>4937783.5</v>
      </c>
      <c r="BT154">
        <v>512099.94</v>
      </c>
      <c r="BU154">
        <v>3610514.75</v>
      </c>
      <c r="BV154">
        <v>2517361.75</v>
      </c>
      <c r="BW154">
        <v>7151378</v>
      </c>
      <c r="BX154">
        <v>2069392.62</v>
      </c>
      <c r="BY154">
        <v>4025339.25</v>
      </c>
      <c r="BZ154">
        <v>3609207.5</v>
      </c>
      <c r="CA154">
        <v>2556227.25</v>
      </c>
      <c r="CB154">
        <v>3421419.5</v>
      </c>
      <c r="CC154">
        <v>3125787.5</v>
      </c>
      <c r="CD154">
        <v>2715346.75</v>
      </c>
      <c r="CE154">
        <v>2734790.25</v>
      </c>
      <c r="CF154">
        <v>1861110.38</v>
      </c>
      <c r="CG154">
        <v>4192240</v>
      </c>
      <c r="CH154">
        <v>1883148.88</v>
      </c>
      <c r="CI154">
        <v>3241473</v>
      </c>
      <c r="CJ154">
        <v>3516522.75</v>
      </c>
      <c r="CK154">
        <v>1811141.88</v>
      </c>
      <c r="CL154">
        <v>4452727.5</v>
      </c>
      <c r="CM154">
        <v>3826100.75</v>
      </c>
      <c r="CN154">
        <v>1928634.75</v>
      </c>
      <c r="CO154">
        <v>2729098.75</v>
      </c>
      <c r="CP154">
        <v>2436106.75</v>
      </c>
      <c r="CQ154">
        <v>4171076.25</v>
      </c>
      <c r="CR154">
        <v>1972990</v>
      </c>
      <c r="CS154">
        <v>2836392</v>
      </c>
      <c r="CT154">
        <v>3481344.25</v>
      </c>
      <c r="CU154">
        <v>1903717</v>
      </c>
      <c r="CV154">
        <v>3865760</v>
      </c>
      <c r="CW154">
        <v>4242118</v>
      </c>
    </row>
    <row r="155" spans="1:101">
      <c r="A155">
        <v>31024</v>
      </c>
      <c r="B155" t="s">
        <v>593</v>
      </c>
      <c r="D155" t="s">
        <v>594</v>
      </c>
      <c r="E155" t="s">
        <v>595</v>
      </c>
      <c r="F155" t="s">
        <v>596</v>
      </c>
      <c r="G155">
        <v>80.962999999999994</v>
      </c>
      <c r="H155" t="s">
        <v>104</v>
      </c>
      <c r="I155">
        <v>2</v>
      </c>
      <c r="J155">
        <v>6</v>
      </c>
      <c r="K155">
        <v>13</v>
      </c>
      <c r="L155">
        <v>0</v>
      </c>
      <c r="M155">
        <v>0</v>
      </c>
      <c r="N155">
        <v>-1</v>
      </c>
      <c r="O155">
        <v>5</v>
      </c>
      <c r="P155">
        <v>5</v>
      </c>
      <c r="Q155">
        <v>5</v>
      </c>
      <c r="R155">
        <v>5</v>
      </c>
      <c r="S155">
        <v>5</v>
      </c>
      <c r="T155">
        <v>5</v>
      </c>
      <c r="U155">
        <v>5</v>
      </c>
      <c r="V155">
        <v>5</v>
      </c>
      <c r="W155">
        <v>4</v>
      </c>
      <c r="X155">
        <v>1</v>
      </c>
      <c r="Y155">
        <v>5</v>
      </c>
      <c r="Z155">
        <v>4</v>
      </c>
      <c r="AA155">
        <v>5</v>
      </c>
      <c r="AB155">
        <v>5</v>
      </c>
      <c r="AC155">
        <v>4</v>
      </c>
      <c r="AD155">
        <v>5</v>
      </c>
      <c r="AE155">
        <v>5</v>
      </c>
      <c r="AF155">
        <v>5</v>
      </c>
      <c r="AG155">
        <v>5</v>
      </c>
      <c r="AH155">
        <v>4</v>
      </c>
      <c r="AI155">
        <v>5</v>
      </c>
      <c r="AJ155">
        <v>4</v>
      </c>
      <c r="AK155">
        <v>5</v>
      </c>
      <c r="AL155">
        <v>4</v>
      </c>
      <c r="AM155">
        <v>5</v>
      </c>
      <c r="AN155">
        <v>5</v>
      </c>
      <c r="AO155">
        <v>5</v>
      </c>
      <c r="AP155">
        <v>0</v>
      </c>
      <c r="AQ155">
        <v>2</v>
      </c>
      <c r="AR155">
        <v>0</v>
      </c>
      <c r="AS155">
        <v>1</v>
      </c>
      <c r="AT155">
        <v>2</v>
      </c>
      <c r="AU155">
        <v>2</v>
      </c>
      <c r="AV155">
        <v>2</v>
      </c>
      <c r="AW155">
        <v>0</v>
      </c>
      <c r="AX155">
        <v>1</v>
      </c>
      <c r="AY155">
        <v>1</v>
      </c>
      <c r="AZ155">
        <v>0</v>
      </c>
      <c r="BA155">
        <v>2</v>
      </c>
      <c r="BB155">
        <v>0</v>
      </c>
      <c r="BC155">
        <v>3</v>
      </c>
      <c r="BD155">
        <v>0</v>
      </c>
      <c r="BE155">
        <v>3</v>
      </c>
      <c r="BF155">
        <v>0</v>
      </c>
      <c r="BG155">
        <v>1</v>
      </c>
      <c r="BH155">
        <v>2</v>
      </c>
      <c r="BI155">
        <v>1</v>
      </c>
      <c r="BJ155">
        <v>1322073.6200000001</v>
      </c>
      <c r="BK155">
        <v>3783686.5</v>
      </c>
      <c r="BL155">
        <v>97626.98</v>
      </c>
      <c r="BM155">
        <v>2826712.75</v>
      </c>
      <c r="BN155">
        <v>2626142</v>
      </c>
      <c r="BO155">
        <v>3285451</v>
      </c>
      <c r="BP155">
        <v>4104836.25</v>
      </c>
      <c r="BQ155">
        <v>1484408.88</v>
      </c>
      <c r="BR155">
        <v>2893459.75</v>
      </c>
      <c r="BS155">
        <v>2881660</v>
      </c>
      <c r="BT155">
        <v>564887</v>
      </c>
      <c r="BU155">
        <v>2486269.5</v>
      </c>
      <c r="BV155">
        <v>1427978</v>
      </c>
      <c r="BW155">
        <v>5330910.5</v>
      </c>
      <c r="BX155">
        <v>1718257.75</v>
      </c>
      <c r="BY155">
        <v>2731179</v>
      </c>
      <c r="BZ155">
        <v>2497540.5</v>
      </c>
      <c r="CA155">
        <v>2325623.5</v>
      </c>
      <c r="CB155">
        <v>2616460.75</v>
      </c>
      <c r="CC155">
        <v>2264057.5</v>
      </c>
      <c r="CD155">
        <v>1658128.25</v>
      </c>
      <c r="CE155">
        <v>2492984.5</v>
      </c>
      <c r="CF155">
        <v>3203179.5</v>
      </c>
      <c r="CG155">
        <v>3376664.5</v>
      </c>
      <c r="CH155">
        <v>2334120</v>
      </c>
      <c r="CI155">
        <v>2465433.5</v>
      </c>
      <c r="CJ155">
        <v>3401372</v>
      </c>
      <c r="CK155">
        <v>1719839.25</v>
      </c>
      <c r="CL155">
        <v>3275008</v>
      </c>
      <c r="CM155">
        <v>2809017</v>
      </c>
      <c r="CN155">
        <v>1606782.62</v>
      </c>
      <c r="CO155">
        <v>1934788.38</v>
      </c>
      <c r="CP155">
        <v>1685392</v>
      </c>
      <c r="CQ155">
        <v>3180487.75</v>
      </c>
      <c r="CR155">
        <v>1997141.88</v>
      </c>
      <c r="CS155">
        <v>2229173.75</v>
      </c>
      <c r="CT155">
        <v>2914176.5</v>
      </c>
      <c r="CU155">
        <v>1898710</v>
      </c>
      <c r="CV155">
        <v>3310633</v>
      </c>
      <c r="CW155">
        <v>3996117.25</v>
      </c>
    </row>
    <row r="156" spans="1:101">
      <c r="A156">
        <v>31023</v>
      </c>
      <c r="B156" t="s">
        <v>597</v>
      </c>
      <c r="D156" t="s">
        <v>598</v>
      </c>
      <c r="F156" t="s">
        <v>599</v>
      </c>
      <c r="G156">
        <v>80.534000000000006</v>
      </c>
      <c r="H156" t="s">
        <v>104</v>
      </c>
      <c r="I156">
        <v>2</v>
      </c>
      <c r="J156">
        <v>21</v>
      </c>
      <c r="K156">
        <v>0</v>
      </c>
      <c r="L156">
        <v>0</v>
      </c>
      <c r="M156">
        <v>0</v>
      </c>
      <c r="N156">
        <v>-1</v>
      </c>
      <c r="O156">
        <v>4</v>
      </c>
      <c r="P156">
        <v>4</v>
      </c>
      <c r="Q156">
        <v>4</v>
      </c>
      <c r="R156">
        <v>4</v>
      </c>
      <c r="S156">
        <v>4</v>
      </c>
      <c r="T156">
        <v>4</v>
      </c>
      <c r="U156">
        <v>4</v>
      </c>
      <c r="V156">
        <v>4</v>
      </c>
      <c r="W156">
        <v>3</v>
      </c>
      <c r="Y156">
        <v>4</v>
      </c>
      <c r="Z156">
        <v>4</v>
      </c>
      <c r="AA156">
        <v>4</v>
      </c>
      <c r="AB156">
        <v>4</v>
      </c>
      <c r="AC156">
        <v>4</v>
      </c>
      <c r="AD156">
        <v>4</v>
      </c>
      <c r="AE156">
        <v>4</v>
      </c>
      <c r="AF156">
        <v>3</v>
      </c>
      <c r="AG156">
        <v>4</v>
      </c>
      <c r="AH156">
        <v>4</v>
      </c>
      <c r="AI156">
        <v>4</v>
      </c>
      <c r="AJ156">
        <v>4</v>
      </c>
      <c r="AK156">
        <v>4</v>
      </c>
      <c r="AL156">
        <v>4</v>
      </c>
      <c r="AM156">
        <v>4</v>
      </c>
      <c r="AN156">
        <v>4</v>
      </c>
      <c r="AO156">
        <v>4</v>
      </c>
      <c r="AP156">
        <v>2</v>
      </c>
      <c r="AQ156">
        <v>2</v>
      </c>
      <c r="AR156">
        <v>0</v>
      </c>
      <c r="AS156">
        <v>1</v>
      </c>
      <c r="AT156">
        <v>1</v>
      </c>
      <c r="AU156">
        <v>1</v>
      </c>
      <c r="AV156">
        <v>0</v>
      </c>
      <c r="AW156">
        <v>3</v>
      </c>
      <c r="AX156">
        <v>2</v>
      </c>
      <c r="AY156">
        <v>2</v>
      </c>
      <c r="AZ156">
        <v>1</v>
      </c>
      <c r="BA156">
        <v>3</v>
      </c>
      <c r="BB156">
        <v>3</v>
      </c>
      <c r="BC156">
        <v>3</v>
      </c>
      <c r="BD156">
        <v>3</v>
      </c>
      <c r="BE156">
        <v>3</v>
      </c>
      <c r="BF156">
        <v>3</v>
      </c>
      <c r="BG156">
        <v>4</v>
      </c>
      <c r="BH156">
        <v>2</v>
      </c>
      <c r="BI156">
        <v>1</v>
      </c>
      <c r="BJ156">
        <v>2443198</v>
      </c>
      <c r="BK156">
        <v>3432270.5</v>
      </c>
      <c r="BM156">
        <v>1725310.12</v>
      </c>
      <c r="BN156">
        <v>3935962.5</v>
      </c>
      <c r="BO156">
        <v>3779368.5</v>
      </c>
      <c r="BP156">
        <v>3181955.25</v>
      </c>
      <c r="BQ156">
        <v>3124461.25</v>
      </c>
      <c r="BR156">
        <v>1940191.75</v>
      </c>
      <c r="BS156">
        <v>2066669</v>
      </c>
      <c r="BT156">
        <v>420069.03</v>
      </c>
      <c r="BU156">
        <v>3451780</v>
      </c>
      <c r="BV156">
        <v>3200288.5</v>
      </c>
      <c r="BW156">
        <v>3717830.5</v>
      </c>
      <c r="BX156">
        <v>3030300.5</v>
      </c>
      <c r="BY156">
        <v>2711545</v>
      </c>
      <c r="BZ156">
        <v>2701695.5</v>
      </c>
      <c r="CA156">
        <v>3808228.75</v>
      </c>
      <c r="CB156">
        <v>2114194</v>
      </c>
      <c r="CC156">
        <v>1978753.75</v>
      </c>
      <c r="CD156">
        <v>2533232.75</v>
      </c>
      <c r="CE156">
        <v>2564595.75</v>
      </c>
      <c r="CF156">
        <v>1861110.38</v>
      </c>
      <c r="CG156">
        <v>1794823.25</v>
      </c>
      <c r="CH156">
        <v>2692307.75</v>
      </c>
      <c r="CI156">
        <v>2265408</v>
      </c>
      <c r="CJ156">
        <v>2330875.75</v>
      </c>
      <c r="CK156">
        <v>2739680.25</v>
      </c>
      <c r="CL156">
        <v>1840093.75</v>
      </c>
      <c r="CM156">
        <v>1773054.75</v>
      </c>
      <c r="CN156">
        <v>1311547.25</v>
      </c>
      <c r="CO156">
        <v>2466806.5</v>
      </c>
      <c r="CP156">
        <v>3177700.5</v>
      </c>
      <c r="CQ156">
        <v>2164775</v>
      </c>
      <c r="CR156">
        <v>2858793.25</v>
      </c>
      <c r="CS156">
        <v>1980674.12</v>
      </c>
      <c r="CT156">
        <v>2414646.25</v>
      </c>
      <c r="CU156">
        <v>2897536.75</v>
      </c>
      <c r="CV156">
        <v>2068826.88</v>
      </c>
      <c r="CW156">
        <v>2080374.62</v>
      </c>
    </row>
    <row r="157" spans="1:101">
      <c r="A157">
        <v>31157</v>
      </c>
      <c r="B157" t="s">
        <v>600</v>
      </c>
      <c r="D157" t="s">
        <v>600</v>
      </c>
      <c r="F157" t="s">
        <v>601</v>
      </c>
      <c r="G157">
        <v>79.462999999999994</v>
      </c>
      <c r="H157" t="s">
        <v>104</v>
      </c>
      <c r="I157">
        <v>2</v>
      </c>
      <c r="J157">
        <v>1</v>
      </c>
      <c r="K157">
        <v>0</v>
      </c>
      <c r="L157">
        <v>0</v>
      </c>
      <c r="M157">
        <v>0</v>
      </c>
      <c r="N157">
        <v>-1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6</v>
      </c>
      <c r="W157">
        <v>6</v>
      </c>
      <c r="X157">
        <v>2</v>
      </c>
      <c r="Y157">
        <v>7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6</v>
      </c>
      <c r="AN157">
        <v>7</v>
      </c>
      <c r="AO157">
        <v>7</v>
      </c>
      <c r="AP157">
        <v>3</v>
      </c>
      <c r="AQ157">
        <v>3</v>
      </c>
      <c r="AR157">
        <v>0</v>
      </c>
      <c r="AS157">
        <v>5</v>
      </c>
      <c r="AT157">
        <v>3</v>
      </c>
      <c r="AU157">
        <v>5</v>
      </c>
      <c r="AV157">
        <v>2</v>
      </c>
      <c r="AW157">
        <v>2</v>
      </c>
      <c r="AX157">
        <v>6</v>
      </c>
      <c r="AY157">
        <v>4</v>
      </c>
      <c r="AZ157">
        <v>0</v>
      </c>
      <c r="BA157">
        <v>5</v>
      </c>
      <c r="BB157">
        <v>1</v>
      </c>
      <c r="BC157">
        <v>7</v>
      </c>
      <c r="BD157">
        <v>2</v>
      </c>
      <c r="BE157">
        <v>4</v>
      </c>
      <c r="BF157">
        <v>2</v>
      </c>
      <c r="BG157">
        <v>2</v>
      </c>
      <c r="BH157">
        <v>2</v>
      </c>
      <c r="BI157">
        <v>3</v>
      </c>
      <c r="BJ157">
        <v>4087799.25</v>
      </c>
      <c r="BK157">
        <v>13239641</v>
      </c>
      <c r="BL157">
        <v>46452.6</v>
      </c>
      <c r="BM157">
        <v>5912221</v>
      </c>
      <c r="BN157">
        <v>5870713.5</v>
      </c>
      <c r="BO157">
        <v>8506986</v>
      </c>
      <c r="BP157">
        <v>7534497.5</v>
      </c>
      <c r="BQ157">
        <v>8199730</v>
      </c>
      <c r="BR157">
        <v>7294786</v>
      </c>
      <c r="BS157">
        <v>6269533.5</v>
      </c>
      <c r="BT157">
        <v>1504328.62</v>
      </c>
      <c r="BU157">
        <v>10503706</v>
      </c>
      <c r="BV157">
        <v>4057220</v>
      </c>
      <c r="BW157">
        <v>11463795</v>
      </c>
      <c r="BX157">
        <v>4768735.5</v>
      </c>
      <c r="BY157">
        <v>6714021</v>
      </c>
      <c r="BZ157">
        <v>6295708</v>
      </c>
      <c r="CA157">
        <v>8272608.5</v>
      </c>
      <c r="CB157">
        <v>5257583.5</v>
      </c>
      <c r="CC157">
        <v>5662682</v>
      </c>
      <c r="CD157">
        <v>3967770.75</v>
      </c>
      <c r="CE157">
        <v>4625703</v>
      </c>
      <c r="CF157">
        <v>3884961.5</v>
      </c>
      <c r="CG157">
        <v>7019070</v>
      </c>
      <c r="CH157">
        <v>4347803.5</v>
      </c>
      <c r="CI157">
        <v>5670498</v>
      </c>
      <c r="CJ157">
        <v>5638771</v>
      </c>
      <c r="CK157">
        <v>4289088.5</v>
      </c>
      <c r="CL157">
        <v>7912514.5</v>
      </c>
      <c r="CM157">
        <v>6456904.5</v>
      </c>
      <c r="CN157">
        <v>4997727.5</v>
      </c>
      <c r="CO157">
        <v>5897414</v>
      </c>
      <c r="CP157">
        <v>3624761.5</v>
      </c>
      <c r="CQ157">
        <v>8055147</v>
      </c>
      <c r="CR157">
        <v>4476002</v>
      </c>
      <c r="CS157">
        <v>5491069</v>
      </c>
      <c r="CT157">
        <v>6450712.5</v>
      </c>
      <c r="CU157">
        <v>4043303</v>
      </c>
      <c r="CV157">
        <v>7345207</v>
      </c>
      <c r="CW157">
        <v>8739252</v>
      </c>
    </row>
    <row r="158" spans="1:101">
      <c r="A158">
        <v>31043</v>
      </c>
      <c r="B158" t="s">
        <v>602</v>
      </c>
      <c r="D158" t="s">
        <v>603</v>
      </c>
      <c r="F158" t="s">
        <v>604</v>
      </c>
      <c r="G158">
        <v>79.239999999999995</v>
      </c>
      <c r="H158" t="s">
        <v>104</v>
      </c>
      <c r="I158">
        <v>2</v>
      </c>
      <c r="J158">
        <v>3</v>
      </c>
      <c r="K158">
        <v>0</v>
      </c>
      <c r="L158">
        <v>0</v>
      </c>
      <c r="M158">
        <v>0</v>
      </c>
      <c r="N158">
        <v>-1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3</v>
      </c>
      <c r="W158">
        <v>3</v>
      </c>
      <c r="Y158">
        <v>4</v>
      </c>
      <c r="Z158">
        <v>3</v>
      </c>
      <c r="AA158">
        <v>4</v>
      </c>
      <c r="AB158">
        <v>3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3</v>
      </c>
      <c r="AI158">
        <v>4</v>
      </c>
      <c r="AJ158">
        <v>4</v>
      </c>
      <c r="AK158">
        <v>4</v>
      </c>
      <c r="AL158">
        <v>3</v>
      </c>
      <c r="AM158">
        <v>4</v>
      </c>
      <c r="AN158">
        <v>4</v>
      </c>
      <c r="AO158">
        <v>4</v>
      </c>
      <c r="AP158">
        <v>1</v>
      </c>
      <c r="AQ158">
        <v>2</v>
      </c>
      <c r="AR158">
        <v>0</v>
      </c>
      <c r="AS158">
        <v>3</v>
      </c>
      <c r="AT158">
        <v>0</v>
      </c>
      <c r="AU158">
        <v>2</v>
      </c>
      <c r="AV158">
        <v>3</v>
      </c>
      <c r="AW158">
        <v>0</v>
      </c>
      <c r="AX158">
        <v>3</v>
      </c>
      <c r="AY158">
        <v>2</v>
      </c>
      <c r="AZ158">
        <v>0</v>
      </c>
      <c r="BA158">
        <v>3</v>
      </c>
      <c r="BB158">
        <v>0</v>
      </c>
      <c r="BC158">
        <v>3</v>
      </c>
      <c r="BD158">
        <v>0</v>
      </c>
      <c r="BE158">
        <v>2</v>
      </c>
      <c r="BF158">
        <v>1</v>
      </c>
      <c r="BG158">
        <v>0</v>
      </c>
      <c r="BH158">
        <v>2</v>
      </c>
      <c r="BI158">
        <v>1</v>
      </c>
      <c r="BJ158">
        <v>991115</v>
      </c>
      <c r="BK158">
        <v>2274504</v>
      </c>
      <c r="BM158">
        <v>1965725.5</v>
      </c>
      <c r="BN158">
        <v>927275.5</v>
      </c>
      <c r="BO158">
        <v>2734986.5</v>
      </c>
      <c r="BP158">
        <v>1549742.62</v>
      </c>
      <c r="BQ158">
        <v>1483077.25</v>
      </c>
      <c r="BR158">
        <v>1758213</v>
      </c>
      <c r="BS158">
        <v>1470886.25</v>
      </c>
      <c r="BT158">
        <v>319629.06</v>
      </c>
      <c r="BU158">
        <v>2313226.75</v>
      </c>
      <c r="BV158">
        <v>743922.31</v>
      </c>
      <c r="BW158">
        <v>3583100.5</v>
      </c>
      <c r="BX158">
        <v>1357572.12</v>
      </c>
      <c r="BY158">
        <v>1951642.12</v>
      </c>
      <c r="BZ158">
        <v>1469311.12</v>
      </c>
      <c r="CA158">
        <v>1681389</v>
      </c>
      <c r="CB158">
        <v>1548604.75</v>
      </c>
      <c r="CC158">
        <v>1147785.5</v>
      </c>
      <c r="CD158">
        <v>1038569.81</v>
      </c>
      <c r="CE158">
        <v>1332786.5</v>
      </c>
      <c r="CF158">
        <v>1861110.38</v>
      </c>
      <c r="CG158">
        <v>1986598</v>
      </c>
      <c r="CH158">
        <v>797221.12</v>
      </c>
      <c r="CI158">
        <v>1595895.75</v>
      </c>
      <c r="CJ158">
        <v>1330869.5</v>
      </c>
      <c r="CK158">
        <v>1120671.3799999999</v>
      </c>
      <c r="CL158">
        <v>1648441.12</v>
      </c>
      <c r="CM158">
        <v>1183058.25</v>
      </c>
      <c r="CN158">
        <v>1078059.8799999999</v>
      </c>
      <c r="CO158">
        <v>1532758</v>
      </c>
      <c r="CP158">
        <v>846386.69</v>
      </c>
      <c r="CQ158">
        <v>2002912.75</v>
      </c>
      <c r="CR158">
        <v>1246256.1200000001</v>
      </c>
      <c r="CS158">
        <v>1363709.38</v>
      </c>
      <c r="CT158">
        <v>1613925.75</v>
      </c>
      <c r="CU158">
        <v>1154878.5</v>
      </c>
      <c r="CV158">
        <v>1583229</v>
      </c>
      <c r="CW158">
        <v>1365396.25</v>
      </c>
    </row>
    <row r="159" spans="1:101">
      <c r="A159">
        <v>31159</v>
      </c>
      <c r="B159" t="s">
        <v>605</v>
      </c>
      <c r="D159" t="s">
        <v>605</v>
      </c>
      <c r="F159" t="s">
        <v>606</v>
      </c>
      <c r="G159">
        <v>78.585999999999999</v>
      </c>
      <c r="H159" t="s">
        <v>104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-1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4</v>
      </c>
      <c r="W159">
        <v>1</v>
      </c>
      <c r="Y159">
        <v>2</v>
      </c>
      <c r="Z159">
        <v>1</v>
      </c>
      <c r="AA159">
        <v>1</v>
      </c>
      <c r="AB159">
        <v>3</v>
      </c>
      <c r="AD159">
        <v>1</v>
      </c>
      <c r="AE159">
        <v>7</v>
      </c>
      <c r="AF159">
        <v>7</v>
      </c>
      <c r="AG159">
        <v>1</v>
      </c>
      <c r="AH159">
        <v>3</v>
      </c>
      <c r="AI159">
        <v>1</v>
      </c>
      <c r="AJ159">
        <v>1</v>
      </c>
      <c r="AK159">
        <v>1</v>
      </c>
      <c r="AL159">
        <v>3</v>
      </c>
      <c r="AM159">
        <v>1</v>
      </c>
      <c r="AN159">
        <v>7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7</v>
      </c>
      <c r="BI159">
        <v>0</v>
      </c>
      <c r="BJ159">
        <v>516368.31</v>
      </c>
      <c r="BK159">
        <v>216736</v>
      </c>
      <c r="BM159">
        <v>320948.62</v>
      </c>
      <c r="BN159">
        <v>166504.01999999999</v>
      </c>
      <c r="BO159">
        <v>244650.83</v>
      </c>
      <c r="BP159">
        <v>464417.31</v>
      </c>
      <c r="BR159">
        <v>122433.59</v>
      </c>
      <c r="BS159">
        <v>2052630.62</v>
      </c>
      <c r="BT159">
        <v>588838.5</v>
      </c>
      <c r="BU159">
        <v>188479.92</v>
      </c>
      <c r="BV159">
        <v>422478.5</v>
      </c>
      <c r="BW159">
        <v>183673.66</v>
      </c>
      <c r="BX159">
        <v>119237.03</v>
      </c>
      <c r="BY159">
        <v>202283</v>
      </c>
      <c r="BZ159">
        <v>1049399.25</v>
      </c>
      <c r="CA159">
        <v>91861.34</v>
      </c>
      <c r="CB159">
        <v>8140040</v>
      </c>
      <c r="CC159">
        <v>31928.799999999999</v>
      </c>
      <c r="CD159">
        <v>316115.28000000003</v>
      </c>
      <c r="CE159">
        <v>70338.89</v>
      </c>
      <c r="CF159">
        <v>1861110.38</v>
      </c>
      <c r="CG159">
        <v>220233.52</v>
      </c>
      <c r="CH159">
        <v>79651.5</v>
      </c>
      <c r="CI159">
        <v>76920.289999999994</v>
      </c>
      <c r="CJ159">
        <v>364419.09</v>
      </c>
      <c r="CK159">
        <v>281040.15999999997</v>
      </c>
      <c r="CL159">
        <v>77119.98</v>
      </c>
      <c r="CM159">
        <v>1588428.75</v>
      </c>
      <c r="CN159">
        <v>2311912</v>
      </c>
      <c r="CO159">
        <v>70609.33</v>
      </c>
      <c r="CP159">
        <v>456222.81</v>
      </c>
      <c r="CQ159">
        <v>56571.95</v>
      </c>
      <c r="CR159">
        <v>111206.5</v>
      </c>
      <c r="CS159">
        <v>79848.69</v>
      </c>
      <c r="CT159">
        <v>1259856</v>
      </c>
      <c r="CU159">
        <v>51589.94</v>
      </c>
      <c r="CV159">
        <v>9230889</v>
      </c>
      <c r="CW159">
        <v>41649.18</v>
      </c>
    </row>
    <row r="160" spans="1:101">
      <c r="A160">
        <v>31107</v>
      </c>
      <c r="B160" t="s">
        <v>607</v>
      </c>
      <c r="D160" t="s">
        <v>607</v>
      </c>
      <c r="F160" t="s">
        <v>608</v>
      </c>
      <c r="G160">
        <v>78.52</v>
      </c>
      <c r="H160" t="s">
        <v>104</v>
      </c>
      <c r="I160">
        <v>2</v>
      </c>
      <c r="J160">
        <v>1</v>
      </c>
      <c r="K160">
        <v>0</v>
      </c>
      <c r="L160">
        <v>0</v>
      </c>
      <c r="M160">
        <v>0</v>
      </c>
      <c r="N160">
        <v>-1</v>
      </c>
      <c r="O160">
        <v>5</v>
      </c>
      <c r="P160">
        <v>5</v>
      </c>
      <c r="Q160">
        <v>5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5</v>
      </c>
      <c r="Y160">
        <v>5</v>
      </c>
      <c r="Z160">
        <v>5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5</v>
      </c>
      <c r="AG160">
        <v>5</v>
      </c>
      <c r="AH160">
        <v>5</v>
      </c>
      <c r="AI160">
        <v>5</v>
      </c>
      <c r="AJ160">
        <v>5</v>
      </c>
      <c r="AK160">
        <v>5</v>
      </c>
      <c r="AL160">
        <v>5</v>
      </c>
      <c r="AM160">
        <v>5</v>
      </c>
      <c r="AN160">
        <v>5</v>
      </c>
      <c r="AO160">
        <v>5</v>
      </c>
      <c r="AP160">
        <v>1</v>
      </c>
      <c r="AQ160">
        <v>1</v>
      </c>
      <c r="AR160">
        <v>0</v>
      </c>
      <c r="AS160">
        <v>5</v>
      </c>
      <c r="AT160">
        <v>0</v>
      </c>
      <c r="AU160">
        <v>1</v>
      </c>
      <c r="AV160">
        <v>1</v>
      </c>
      <c r="AW160">
        <v>0</v>
      </c>
      <c r="AX160">
        <v>2</v>
      </c>
      <c r="AY160">
        <v>2</v>
      </c>
      <c r="AZ160">
        <v>0</v>
      </c>
      <c r="BA160">
        <v>2</v>
      </c>
      <c r="BB160">
        <v>0</v>
      </c>
      <c r="BC160">
        <v>3</v>
      </c>
      <c r="BD160">
        <v>0</v>
      </c>
      <c r="BE160">
        <v>2</v>
      </c>
      <c r="BF160">
        <v>1</v>
      </c>
      <c r="BG160">
        <v>0</v>
      </c>
      <c r="BH160">
        <v>2</v>
      </c>
      <c r="BI160">
        <v>3</v>
      </c>
      <c r="BJ160">
        <v>1895173.62</v>
      </c>
      <c r="BK160">
        <v>3638006.25</v>
      </c>
      <c r="BM160">
        <v>3064843.25</v>
      </c>
      <c r="BN160">
        <v>1801290</v>
      </c>
      <c r="BO160">
        <v>3299825</v>
      </c>
      <c r="BP160">
        <v>2847119</v>
      </c>
      <c r="BQ160">
        <v>1401990.38</v>
      </c>
      <c r="BR160">
        <v>3022243.5</v>
      </c>
      <c r="BS160">
        <v>2782653.75</v>
      </c>
      <c r="BT160">
        <v>497896.22</v>
      </c>
      <c r="BU160">
        <v>2508973.5</v>
      </c>
      <c r="BV160">
        <v>1391480</v>
      </c>
      <c r="BW160">
        <v>3901804.5</v>
      </c>
      <c r="BX160">
        <v>1372431.12</v>
      </c>
      <c r="BY160">
        <v>2444673.5</v>
      </c>
      <c r="BZ160">
        <v>2193553.25</v>
      </c>
      <c r="CA160">
        <v>1875335.25</v>
      </c>
      <c r="CB160">
        <v>2499816</v>
      </c>
      <c r="CC160">
        <v>1889060.75</v>
      </c>
      <c r="CD160">
        <v>1943565</v>
      </c>
      <c r="CE160">
        <v>1930249.88</v>
      </c>
      <c r="CF160">
        <v>1861110.38</v>
      </c>
      <c r="CG160">
        <v>2574304</v>
      </c>
      <c r="CH160">
        <v>1346346.88</v>
      </c>
      <c r="CI160">
        <v>2070672.75</v>
      </c>
      <c r="CJ160">
        <v>2039325.88</v>
      </c>
      <c r="CK160">
        <v>1177631.6200000001</v>
      </c>
      <c r="CL160">
        <v>2976387</v>
      </c>
      <c r="CM160">
        <v>2149456.5</v>
      </c>
      <c r="CN160">
        <v>1711935</v>
      </c>
      <c r="CO160">
        <v>1733019.88</v>
      </c>
      <c r="CP160">
        <v>1422327.12</v>
      </c>
      <c r="CQ160">
        <v>2208542.75</v>
      </c>
      <c r="CR160">
        <v>1369267.5</v>
      </c>
      <c r="CS160">
        <v>1815852</v>
      </c>
      <c r="CT160">
        <v>2211918.75</v>
      </c>
      <c r="CU160">
        <v>1466890.25</v>
      </c>
      <c r="CV160">
        <v>2873358</v>
      </c>
      <c r="CW160">
        <v>2714124</v>
      </c>
    </row>
    <row r="161" spans="1:101">
      <c r="A161">
        <v>31101</v>
      </c>
      <c r="B161" t="s">
        <v>609</v>
      </c>
      <c r="D161" t="s">
        <v>609</v>
      </c>
      <c r="F161" t="s">
        <v>610</v>
      </c>
      <c r="G161">
        <v>75.013000000000005</v>
      </c>
      <c r="H161" t="s">
        <v>104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-1</v>
      </c>
      <c r="O161">
        <v>5</v>
      </c>
      <c r="P161">
        <v>5</v>
      </c>
      <c r="Q161">
        <v>5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5</v>
      </c>
      <c r="AG161">
        <v>5</v>
      </c>
      <c r="AH161">
        <v>5</v>
      </c>
      <c r="AI161">
        <v>5</v>
      </c>
      <c r="AJ161">
        <v>5</v>
      </c>
      <c r="AK161">
        <v>5</v>
      </c>
      <c r="AL161">
        <v>5</v>
      </c>
      <c r="AM161">
        <v>5</v>
      </c>
      <c r="AN161">
        <v>5</v>
      </c>
      <c r="AO161">
        <v>5</v>
      </c>
      <c r="AP161">
        <v>3</v>
      </c>
      <c r="AQ161">
        <v>2</v>
      </c>
      <c r="AR161">
        <v>0</v>
      </c>
      <c r="AS161">
        <v>4</v>
      </c>
      <c r="AT161">
        <v>0</v>
      </c>
      <c r="AU161">
        <v>3</v>
      </c>
      <c r="AV161">
        <v>2</v>
      </c>
      <c r="AW161">
        <v>0</v>
      </c>
      <c r="AX161">
        <v>4</v>
      </c>
      <c r="AY161">
        <v>4</v>
      </c>
      <c r="AZ161">
        <v>1</v>
      </c>
      <c r="BA161">
        <v>3</v>
      </c>
      <c r="BB161">
        <v>0</v>
      </c>
      <c r="BC161">
        <v>4</v>
      </c>
      <c r="BD161">
        <v>3</v>
      </c>
      <c r="BE161">
        <v>4</v>
      </c>
      <c r="BF161">
        <v>3</v>
      </c>
      <c r="BG161">
        <v>2</v>
      </c>
      <c r="BH161">
        <v>3</v>
      </c>
      <c r="BI161">
        <v>3</v>
      </c>
      <c r="BJ161">
        <v>2666410.25</v>
      </c>
      <c r="BK161">
        <v>4246767</v>
      </c>
      <c r="BM161">
        <v>3317188.25</v>
      </c>
      <c r="BN161">
        <v>2105503.75</v>
      </c>
      <c r="BO161">
        <v>3612008.5</v>
      </c>
      <c r="BP161">
        <v>2939234</v>
      </c>
      <c r="BQ161">
        <v>2212798</v>
      </c>
      <c r="BR161">
        <v>3009600.75</v>
      </c>
      <c r="BS161">
        <v>3301084.5</v>
      </c>
      <c r="BT161">
        <v>566987.18999999994</v>
      </c>
      <c r="BU161">
        <v>3325860.5</v>
      </c>
      <c r="BV161">
        <v>1614966</v>
      </c>
      <c r="BW161">
        <v>5226117</v>
      </c>
      <c r="BX161">
        <v>1646775.75</v>
      </c>
      <c r="BY161">
        <v>2452285.25</v>
      </c>
      <c r="BZ161">
        <v>2314946.25</v>
      </c>
      <c r="CA161">
        <v>1972687.75</v>
      </c>
      <c r="CB161">
        <v>2125432.5</v>
      </c>
      <c r="CC161">
        <v>1678233</v>
      </c>
      <c r="CD161">
        <v>2672154</v>
      </c>
      <c r="CE161">
        <v>2349323.5</v>
      </c>
      <c r="CF161">
        <v>1861110.38</v>
      </c>
      <c r="CG161">
        <v>3108253</v>
      </c>
      <c r="CH161">
        <v>1565598.75</v>
      </c>
      <c r="CI161">
        <v>2145188.25</v>
      </c>
      <c r="CJ161">
        <v>2050637.75</v>
      </c>
      <c r="CK161">
        <v>1799709.5</v>
      </c>
      <c r="CL161">
        <v>2947928</v>
      </c>
      <c r="CM161">
        <v>2385185.5</v>
      </c>
      <c r="CN161">
        <v>1889087.25</v>
      </c>
      <c r="CO161">
        <v>2306242.5</v>
      </c>
      <c r="CP161">
        <v>1690978.75</v>
      </c>
      <c r="CQ161">
        <v>2853557.5</v>
      </c>
      <c r="CR161">
        <v>1677569.62</v>
      </c>
      <c r="CS161">
        <v>1979928.25</v>
      </c>
      <c r="CT161">
        <v>2457505.25</v>
      </c>
      <c r="CU161">
        <v>1541530.25</v>
      </c>
      <c r="CV161">
        <v>2387960.75</v>
      </c>
      <c r="CW161">
        <v>2344623</v>
      </c>
    </row>
    <row r="162" spans="1:101">
      <c r="A162">
        <v>30963</v>
      </c>
      <c r="B162" t="s">
        <v>611</v>
      </c>
      <c r="D162" t="s">
        <v>612</v>
      </c>
      <c r="F162" t="s">
        <v>613</v>
      </c>
      <c r="G162">
        <v>67.947000000000003</v>
      </c>
      <c r="H162" t="s">
        <v>104</v>
      </c>
      <c r="I162">
        <v>2</v>
      </c>
      <c r="J162">
        <v>3</v>
      </c>
      <c r="K162">
        <v>0</v>
      </c>
      <c r="L162">
        <v>0</v>
      </c>
      <c r="M162">
        <v>0</v>
      </c>
      <c r="N162">
        <v>-1</v>
      </c>
      <c r="O162">
        <v>2</v>
      </c>
      <c r="P162">
        <v>2</v>
      </c>
      <c r="Q162">
        <v>2</v>
      </c>
      <c r="R162">
        <v>2</v>
      </c>
      <c r="S162">
        <v>2</v>
      </c>
      <c r="T162">
        <v>2</v>
      </c>
      <c r="U162">
        <v>2</v>
      </c>
      <c r="V162">
        <v>2</v>
      </c>
      <c r="W162">
        <v>2</v>
      </c>
      <c r="Y162">
        <v>2</v>
      </c>
      <c r="Z162">
        <v>2</v>
      </c>
      <c r="AA162">
        <v>2</v>
      </c>
      <c r="AB162">
        <v>2</v>
      </c>
      <c r="AC162">
        <v>2</v>
      </c>
      <c r="AD162">
        <v>2</v>
      </c>
      <c r="AE162">
        <v>1</v>
      </c>
      <c r="AF162">
        <v>2</v>
      </c>
      <c r="AG162">
        <v>2</v>
      </c>
      <c r="AH162">
        <v>2</v>
      </c>
      <c r="AI162">
        <v>2</v>
      </c>
      <c r="AJ162">
        <v>2</v>
      </c>
      <c r="AK162">
        <v>2</v>
      </c>
      <c r="AL162">
        <v>2</v>
      </c>
      <c r="AM162">
        <v>2</v>
      </c>
      <c r="AN162">
        <v>2</v>
      </c>
      <c r="AO162">
        <v>1</v>
      </c>
      <c r="AP162">
        <v>2</v>
      </c>
      <c r="AQ162">
        <v>3</v>
      </c>
      <c r="AR162">
        <v>0</v>
      </c>
      <c r="AS162">
        <v>1</v>
      </c>
      <c r="AT162">
        <v>2</v>
      </c>
      <c r="AU162">
        <v>3</v>
      </c>
      <c r="AV162">
        <v>2</v>
      </c>
      <c r="AW162">
        <v>0</v>
      </c>
      <c r="AX162">
        <v>1</v>
      </c>
      <c r="AY162">
        <v>0</v>
      </c>
      <c r="AZ162">
        <v>0</v>
      </c>
      <c r="BA162">
        <v>2</v>
      </c>
      <c r="BB162">
        <v>3</v>
      </c>
      <c r="BC162">
        <v>1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2139593</v>
      </c>
      <c r="BK162">
        <v>2283091</v>
      </c>
      <c r="BM162">
        <v>550126.88</v>
      </c>
      <c r="BN162">
        <v>2691134.5</v>
      </c>
      <c r="BO162">
        <v>2401600.5</v>
      </c>
      <c r="BP162">
        <v>2416751.5</v>
      </c>
      <c r="BQ162">
        <v>1398522.75</v>
      </c>
      <c r="BR162">
        <v>834715.88</v>
      </c>
      <c r="BS162">
        <v>217356.17</v>
      </c>
      <c r="BT162">
        <v>436025.81</v>
      </c>
      <c r="BU162">
        <v>1758992</v>
      </c>
      <c r="BV162">
        <v>2595551</v>
      </c>
      <c r="BW162">
        <v>1089102</v>
      </c>
      <c r="BX162">
        <v>2701005.25</v>
      </c>
      <c r="BY162">
        <v>2123176</v>
      </c>
      <c r="BZ162">
        <v>1271847.5</v>
      </c>
      <c r="CA162">
        <v>931275.75</v>
      </c>
      <c r="CB162">
        <v>521725.16</v>
      </c>
      <c r="CC162">
        <v>86027.95</v>
      </c>
      <c r="CD162">
        <v>3384388.25</v>
      </c>
      <c r="CE162">
        <v>1944292.12</v>
      </c>
      <c r="CF162">
        <v>1861110.38</v>
      </c>
      <c r="CG162">
        <v>966208.75</v>
      </c>
      <c r="CH162">
        <v>2839325.25</v>
      </c>
      <c r="CI162">
        <v>2568018.5</v>
      </c>
      <c r="CJ162">
        <v>3009288</v>
      </c>
      <c r="CK162">
        <v>1632428.12</v>
      </c>
      <c r="CL162">
        <v>1295926.25</v>
      </c>
      <c r="CM162">
        <v>479020.47</v>
      </c>
      <c r="CN162">
        <v>2805679.75</v>
      </c>
      <c r="CO162">
        <v>1993999.75</v>
      </c>
      <c r="CP162">
        <v>4358583</v>
      </c>
      <c r="CQ162">
        <v>993432.81</v>
      </c>
      <c r="CR162">
        <v>4404130.5</v>
      </c>
      <c r="CS162">
        <v>2555894</v>
      </c>
      <c r="CT162">
        <v>2020099.88</v>
      </c>
      <c r="CU162">
        <v>870967.62</v>
      </c>
      <c r="CV162">
        <v>1080197.25</v>
      </c>
      <c r="CW162">
        <v>333334.19</v>
      </c>
    </row>
    <row r="163" spans="1:101">
      <c r="A163">
        <v>30945</v>
      </c>
      <c r="B163" t="s">
        <v>614</v>
      </c>
      <c r="D163" t="s">
        <v>615</v>
      </c>
      <c r="F163" t="s">
        <v>616</v>
      </c>
      <c r="G163">
        <v>65.546999999999997</v>
      </c>
      <c r="H163" t="s">
        <v>104</v>
      </c>
      <c r="I163">
        <v>2</v>
      </c>
      <c r="J163">
        <v>13</v>
      </c>
      <c r="K163">
        <v>0</v>
      </c>
      <c r="L163">
        <v>0</v>
      </c>
      <c r="M163">
        <v>0</v>
      </c>
      <c r="N163">
        <v>-1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5</v>
      </c>
      <c r="X163">
        <v>1</v>
      </c>
      <c r="Y163">
        <v>5</v>
      </c>
      <c r="Z163">
        <v>5</v>
      </c>
      <c r="AA163">
        <v>5</v>
      </c>
      <c r="AB163">
        <v>5</v>
      </c>
      <c r="AC163">
        <v>5</v>
      </c>
      <c r="AD163">
        <v>5</v>
      </c>
      <c r="AE163">
        <v>5</v>
      </c>
      <c r="AF163">
        <v>5</v>
      </c>
      <c r="AG163">
        <v>5</v>
      </c>
      <c r="AH163">
        <v>4</v>
      </c>
      <c r="AI163">
        <v>5</v>
      </c>
      <c r="AJ163">
        <v>4</v>
      </c>
      <c r="AK163">
        <v>5</v>
      </c>
      <c r="AL163">
        <v>5</v>
      </c>
      <c r="AM163">
        <v>4</v>
      </c>
      <c r="AN163">
        <v>5</v>
      </c>
      <c r="AO163">
        <v>5</v>
      </c>
      <c r="AP163">
        <v>2</v>
      </c>
      <c r="AQ163">
        <v>1</v>
      </c>
      <c r="AR163">
        <v>0</v>
      </c>
      <c r="AS163">
        <v>3</v>
      </c>
      <c r="AT163">
        <v>1</v>
      </c>
      <c r="AU163">
        <v>3</v>
      </c>
      <c r="AV163">
        <v>3</v>
      </c>
      <c r="AW163">
        <v>1</v>
      </c>
      <c r="AX163">
        <v>4</v>
      </c>
      <c r="AY163">
        <v>3</v>
      </c>
      <c r="AZ163">
        <v>0</v>
      </c>
      <c r="BA163">
        <v>0</v>
      </c>
      <c r="BB163">
        <v>1</v>
      </c>
      <c r="BC163">
        <v>3</v>
      </c>
      <c r="BD163">
        <v>0</v>
      </c>
      <c r="BE163">
        <v>4</v>
      </c>
      <c r="BF163">
        <v>1</v>
      </c>
      <c r="BG163">
        <v>1</v>
      </c>
      <c r="BH163">
        <v>3</v>
      </c>
      <c r="BI163">
        <v>3</v>
      </c>
      <c r="BJ163">
        <v>2635825</v>
      </c>
      <c r="BK163">
        <v>2718029.5</v>
      </c>
      <c r="BL163">
        <v>22032.7</v>
      </c>
      <c r="BM163">
        <v>2514017.25</v>
      </c>
      <c r="BN163">
        <v>3704123.25</v>
      </c>
      <c r="BO163">
        <v>5524396</v>
      </c>
      <c r="BP163">
        <v>6185895</v>
      </c>
      <c r="BQ163">
        <v>3007548.25</v>
      </c>
      <c r="BR163">
        <v>5191000.5</v>
      </c>
      <c r="BS163">
        <v>3178198.75</v>
      </c>
      <c r="BT163">
        <v>520320.72</v>
      </c>
      <c r="BU163">
        <v>2213054.25</v>
      </c>
      <c r="BV163">
        <v>1374703.5</v>
      </c>
      <c r="BW163">
        <v>7675176</v>
      </c>
      <c r="BX163">
        <v>1861221.88</v>
      </c>
      <c r="BY163">
        <v>5889088</v>
      </c>
      <c r="BZ163">
        <v>3689721</v>
      </c>
      <c r="CA163">
        <v>1656998</v>
      </c>
      <c r="CB163">
        <v>3782613.75</v>
      </c>
      <c r="CC163">
        <v>4068418</v>
      </c>
      <c r="CD163">
        <v>2085683.75</v>
      </c>
      <c r="CE163">
        <v>1684804.88</v>
      </c>
      <c r="CF163">
        <v>4566743</v>
      </c>
      <c r="CG163">
        <v>2914517.5</v>
      </c>
      <c r="CH163">
        <v>2701463.25</v>
      </c>
      <c r="CI163">
        <v>3108486</v>
      </c>
      <c r="CJ163">
        <v>4940748.5</v>
      </c>
      <c r="CK163">
        <v>2509669</v>
      </c>
      <c r="CL163">
        <v>4961056.5</v>
      </c>
      <c r="CM163">
        <v>3333442</v>
      </c>
      <c r="CN163">
        <v>2382221</v>
      </c>
      <c r="CO163">
        <v>1414841</v>
      </c>
      <c r="CP163">
        <v>1781220.25</v>
      </c>
      <c r="CQ163">
        <v>4285871.5</v>
      </c>
      <c r="CR163">
        <v>2517217.25</v>
      </c>
      <c r="CS163">
        <v>4166465.75</v>
      </c>
      <c r="CT163">
        <v>3428581</v>
      </c>
      <c r="CU163">
        <v>1796456.5</v>
      </c>
      <c r="CV163">
        <v>4086437.25</v>
      </c>
      <c r="CW163">
        <v>6422312</v>
      </c>
    </row>
    <row r="164" spans="1:101">
      <c r="A164">
        <v>31153</v>
      </c>
      <c r="B164" t="s">
        <v>617</v>
      </c>
      <c r="D164" t="s">
        <v>617</v>
      </c>
      <c r="E164" t="s">
        <v>618</v>
      </c>
      <c r="F164" t="s">
        <v>619</v>
      </c>
      <c r="G164">
        <v>60.6</v>
      </c>
      <c r="H164" t="s">
        <v>104</v>
      </c>
      <c r="I164">
        <v>2</v>
      </c>
      <c r="J164">
        <v>1</v>
      </c>
      <c r="K164">
        <v>1</v>
      </c>
      <c r="L164">
        <v>0</v>
      </c>
      <c r="M164">
        <v>0</v>
      </c>
      <c r="N164">
        <v>-1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2</v>
      </c>
      <c r="W164">
        <v>3</v>
      </c>
      <c r="X164">
        <v>1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3</v>
      </c>
      <c r="AE164">
        <v>1</v>
      </c>
      <c r="AF164">
        <v>3</v>
      </c>
      <c r="AG164">
        <v>3</v>
      </c>
      <c r="AH164">
        <v>3</v>
      </c>
      <c r="AI164">
        <v>3</v>
      </c>
      <c r="AJ164">
        <v>3</v>
      </c>
      <c r="AK164">
        <v>3</v>
      </c>
      <c r="AL164">
        <v>3</v>
      </c>
      <c r="AM164">
        <v>3</v>
      </c>
      <c r="AN164">
        <v>3</v>
      </c>
      <c r="AO164">
        <v>1</v>
      </c>
      <c r="AP164">
        <v>0</v>
      </c>
      <c r="AQ164">
        <v>2</v>
      </c>
      <c r="AR164">
        <v>0</v>
      </c>
      <c r="AS164">
        <v>0</v>
      </c>
      <c r="AT164">
        <v>3</v>
      </c>
      <c r="AU164">
        <v>3</v>
      </c>
      <c r="AV164">
        <v>2</v>
      </c>
      <c r="AW164">
        <v>2</v>
      </c>
      <c r="AX164">
        <v>0</v>
      </c>
      <c r="AY164">
        <v>0</v>
      </c>
      <c r="AZ164">
        <v>1</v>
      </c>
      <c r="BA164">
        <v>2</v>
      </c>
      <c r="BB164">
        <v>2</v>
      </c>
      <c r="BC164">
        <v>2</v>
      </c>
      <c r="BD164">
        <v>2</v>
      </c>
      <c r="BE164">
        <v>2</v>
      </c>
      <c r="BF164">
        <v>0</v>
      </c>
      <c r="BG164">
        <v>2</v>
      </c>
      <c r="BH164">
        <v>0</v>
      </c>
      <c r="BI164">
        <v>0</v>
      </c>
      <c r="BJ164">
        <v>3004375.5</v>
      </c>
      <c r="BK164">
        <v>5463182</v>
      </c>
      <c r="BL164">
        <v>63366.98</v>
      </c>
      <c r="BM164">
        <v>1489994.38</v>
      </c>
      <c r="BN164">
        <v>5640591</v>
      </c>
      <c r="BO164">
        <v>6688683</v>
      </c>
      <c r="BP164">
        <v>3566387.5</v>
      </c>
      <c r="BQ164">
        <v>3451399.5</v>
      </c>
      <c r="BR164">
        <v>817877.62</v>
      </c>
      <c r="BS164">
        <v>206910.67</v>
      </c>
      <c r="BT164">
        <v>662125.06000000006</v>
      </c>
      <c r="BU164">
        <v>4999278.5</v>
      </c>
      <c r="BV164">
        <v>2750448</v>
      </c>
      <c r="BW164">
        <v>3688269.25</v>
      </c>
      <c r="BX164">
        <v>4194663</v>
      </c>
      <c r="BY164">
        <v>5080613.5</v>
      </c>
      <c r="BZ164">
        <v>2509458.5</v>
      </c>
      <c r="CA164">
        <v>2919423.25</v>
      </c>
      <c r="CB164">
        <v>501579.81</v>
      </c>
      <c r="CC164">
        <v>94540.56</v>
      </c>
      <c r="CD164">
        <v>2698582</v>
      </c>
      <c r="CE164">
        <v>3129210.5</v>
      </c>
      <c r="CF164">
        <v>1512407.75</v>
      </c>
      <c r="CG164">
        <v>1786369.5</v>
      </c>
      <c r="CH164">
        <v>4738174.5</v>
      </c>
      <c r="CI164">
        <v>4578072.5</v>
      </c>
      <c r="CJ164">
        <v>2778457</v>
      </c>
      <c r="CK164">
        <v>3306907.75</v>
      </c>
      <c r="CL164">
        <v>861341.38</v>
      </c>
      <c r="CM164">
        <v>174796.28</v>
      </c>
      <c r="CN164">
        <v>2319439</v>
      </c>
      <c r="CO164">
        <v>4071281.5</v>
      </c>
      <c r="CP164">
        <v>3091044</v>
      </c>
      <c r="CQ164">
        <v>2468860.75</v>
      </c>
      <c r="CR164">
        <v>4499960</v>
      </c>
      <c r="CS164">
        <v>4302207.5</v>
      </c>
      <c r="CT164">
        <v>2600164.75</v>
      </c>
      <c r="CU164">
        <v>2476517</v>
      </c>
      <c r="CV164">
        <v>481331.88</v>
      </c>
      <c r="CW164">
        <v>90935.91</v>
      </c>
    </row>
    <row r="165" spans="1:101">
      <c r="A165">
        <v>31012</v>
      </c>
      <c r="B165" t="s">
        <v>620</v>
      </c>
      <c r="D165" t="s">
        <v>621</v>
      </c>
      <c r="F165" t="s">
        <v>622</v>
      </c>
      <c r="G165">
        <v>60.564999999999998</v>
      </c>
      <c r="H165" t="s">
        <v>104</v>
      </c>
      <c r="I165">
        <v>2</v>
      </c>
      <c r="J165">
        <v>20</v>
      </c>
      <c r="K165">
        <v>0</v>
      </c>
      <c r="L165">
        <v>0</v>
      </c>
      <c r="M165">
        <v>0</v>
      </c>
      <c r="N165">
        <v>-1</v>
      </c>
      <c r="O165">
        <v>5</v>
      </c>
      <c r="P165">
        <v>5</v>
      </c>
      <c r="Q165">
        <v>5</v>
      </c>
      <c r="R165">
        <v>5</v>
      </c>
      <c r="S165">
        <v>5</v>
      </c>
      <c r="T165">
        <v>5</v>
      </c>
      <c r="U165">
        <v>5</v>
      </c>
      <c r="V165">
        <v>5</v>
      </c>
      <c r="W165">
        <v>5</v>
      </c>
      <c r="Y165">
        <v>4</v>
      </c>
      <c r="Z165">
        <v>5</v>
      </c>
      <c r="AA165">
        <v>5</v>
      </c>
      <c r="AB165">
        <v>5</v>
      </c>
      <c r="AC165">
        <v>5</v>
      </c>
      <c r="AD165">
        <v>5</v>
      </c>
      <c r="AE165">
        <v>5</v>
      </c>
      <c r="AF165">
        <v>4</v>
      </c>
      <c r="AG165">
        <v>5</v>
      </c>
      <c r="AH165">
        <v>5</v>
      </c>
      <c r="AI165">
        <v>5</v>
      </c>
      <c r="AJ165">
        <v>5</v>
      </c>
      <c r="AK165">
        <v>5</v>
      </c>
      <c r="AL165">
        <v>5</v>
      </c>
      <c r="AM165">
        <v>4</v>
      </c>
      <c r="AN165">
        <v>5</v>
      </c>
      <c r="AO165">
        <v>5</v>
      </c>
      <c r="AP165">
        <v>4</v>
      </c>
      <c r="AQ165">
        <v>4</v>
      </c>
      <c r="AR165">
        <v>0</v>
      </c>
      <c r="AS165">
        <v>1</v>
      </c>
      <c r="AT165">
        <v>1</v>
      </c>
      <c r="AU165">
        <v>4</v>
      </c>
      <c r="AV165">
        <v>2</v>
      </c>
      <c r="AW165">
        <v>2</v>
      </c>
      <c r="AX165">
        <v>2</v>
      </c>
      <c r="AY165">
        <v>1</v>
      </c>
      <c r="AZ165">
        <v>1</v>
      </c>
      <c r="BA165">
        <v>4</v>
      </c>
      <c r="BB165">
        <v>4</v>
      </c>
      <c r="BC165">
        <v>1</v>
      </c>
      <c r="BD165">
        <v>2</v>
      </c>
      <c r="BE165">
        <v>5</v>
      </c>
      <c r="BF165">
        <v>1</v>
      </c>
      <c r="BG165">
        <v>2</v>
      </c>
      <c r="BH165">
        <v>3</v>
      </c>
      <c r="BI165">
        <v>1</v>
      </c>
      <c r="BJ165">
        <v>4401038</v>
      </c>
      <c r="BK165">
        <v>3930452.75</v>
      </c>
      <c r="BM165">
        <v>886871.81</v>
      </c>
      <c r="BN165">
        <v>4386820</v>
      </c>
      <c r="BO165">
        <v>4008947</v>
      </c>
      <c r="BP165">
        <v>3525736.5</v>
      </c>
      <c r="BQ165">
        <v>2899053.25</v>
      </c>
      <c r="BR165">
        <v>2718200.75</v>
      </c>
      <c r="BS165">
        <v>1532973.38</v>
      </c>
      <c r="BT165">
        <v>691175.56</v>
      </c>
      <c r="BU165">
        <v>3447689.25</v>
      </c>
      <c r="BV165">
        <v>5106287</v>
      </c>
      <c r="BW165">
        <v>1994474</v>
      </c>
      <c r="BX165">
        <v>3562347.75</v>
      </c>
      <c r="BY165">
        <v>3055831.75</v>
      </c>
      <c r="BZ165">
        <v>2687421</v>
      </c>
      <c r="CA165">
        <v>2453238</v>
      </c>
      <c r="CB165">
        <v>2152754</v>
      </c>
      <c r="CC165">
        <v>846421.75</v>
      </c>
      <c r="CD165">
        <v>4347941.5</v>
      </c>
      <c r="CE165">
        <v>2177472.25</v>
      </c>
      <c r="CF165">
        <v>1861110.38</v>
      </c>
      <c r="CG165">
        <v>926129.12</v>
      </c>
      <c r="CH165">
        <v>3156484.25</v>
      </c>
      <c r="CI165">
        <v>2463917.75</v>
      </c>
      <c r="CJ165">
        <v>2556799.5</v>
      </c>
      <c r="CK165">
        <v>2452538</v>
      </c>
      <c r="CL165">
        <v>2733727.5</v>
      </c>
      <c r="CM165">
        <v>1379560.25</v>
      </c>
      <c r="CN165">
        <v>2506543</v>
      </c>
      <c r="CO165">
        <v>2391667.5</v>
      </c>
      <c r="CP165">
        <v>5029931.5</v>
      </c>
      <c r="CQ165">
        <v>1243621.25</v>
      </c>
      <c r="CR165">
        <v>3202970.25</v>
      </c>
      <c r="CS165">
        <v>2318903.75</v>
      </c>
      <c r="CT165">
        <v>2231469.75</v>
      </c>
      <c r="CU165">
        <v>1918438</v>
      </c>
      <c r="CV165">
        <v>2221458</v>
      </c>
      <c r="CW165">
        <v>1066691</v>
      </c>
    </row>
    <row r="166" spans="1:101">
      <c r="A166">
        <v>31093</v>
      </c>
      <c r="B166" t="s">
        <v>623</v>
      </c>
      <c r="D166" t="s">
        <v>623</v>
      </c>
      <c r="E166" t="s">
        <v>624</v>
      </c>
      <c r="F166" t="s">
        <v>625</v>
      </c>
      <c r="G166">
        <v>55.158999999999999</v>
      </c>
      <c r="H166" t="s">
        <v>104</v>
      </c>
      <c r="I166">
        <v>2</v>
      </c>
      <c r="J166">
        <v>1</v>
      </c>
      <c r="K166">
        <v>1</v>
      </c>
      <c r="L166">
        <v>0</v>
      </c>
      <c r="M166">
        <v>0</v>
      </c>
      <c r="N166">
        <v>-1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1</v>
      </c>
      <c r="Y166">
        <v>4</v>
      </c>
      <c r="Z166">
        <v>4</v>
      </c>
      <c r="AA166">
        <v>4</v>
      </c>
      <c r="AB166">
        <v>4</v>
      </c>
      <c r="AC166">
        <v>4</v>
      </c>
      <c r="AD166">
        <v>4</v>
      </c>
      <c r="AE166">
        <v>4</v>
      </c>
      <c r="AF166">
        <v>4</v>
      </c>
      <c r="AG166">
        <v>4</v>
      </c>
      <c r="AH166">
        <v>4</v>
      </c>
      <c r="AI166">
        <v>4</v>
      </c>
      <c r="AJ166">
        <v>4</v>
      </c>
      <c r="AK166">
        <v>4</v>
      </c>
      <c r="AL166">
        <v>4</v>
      </c>
      <c r="AM166">
        <v>4</v>
      </c>
      <c r="AN166">
        <v>4</v>
      </c>
      <c r="AO166">
        <v>4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3</v>
      </c>
      <c r="AV166">
        <v>3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4</v>
      </c>
      <c r="BF166">
        <v>1</v>
      </c>
      <c r="BG166">
        <v>0</v>
      </c>
      <c r="BH166">
        <v>0</v>
      </c>
      <c r="BI166">
        <v>0</v>
      </c>
      <c r="BJ166">
        <v>1519881.12</v>
      </c>
      <c r="BK166">
        <v>1171558.6200000001</v>
      </c>
      <c r="BL166">
        <v>10297.6</v>
      </c>
      <c r="BM166">
        <v>508819.81</v>
      </c>
      <c r="BN166">
        <v>1428476.38</v>
      </c>
      <c r="BO166">
        <v>3152049.25</v>
      </c>
      <c r="BP166">
        <v>2674474</v>
      </c>
      <c r="BQ166">
        <v>692529.62</v>
      </c>
      <c r="BR166">
        <v>927960.44</v>
      </c>
      <c r="BS166">
        <v>877344.94</v>
      </c>
      <c r="BT166">
        <v>225715.20000000001</v>
      </c>
      <c r="BU166">
        <v>456826.44</v>
      </c>
      <c r="BV166">
        <v>454790.62</v>
      </c>
      <c r="BW166">
        <v>1098194.6200000001</v>
      </c>
      <c r="BX166">
        <v>785391</v>
      </c>
      <c r="BY166">
        <v>3926969</v>
      </c>
      <c r="BZ166">
        <v>1164172.75</v>
      </c>
      <c r="CA166">
        <v>588461.5</v>
      </c>
      <c r="CB166">
        <v>524172.81</v>
      </c>
      <c r="CC166">
        <v>644461.31000000006</v>
      </c>
      <c r="CD166">
        <v>1242179.6200000001</v>
      </c>
      <c r="CE166">
        <v>592402.12</v>
      </c>
      <c r="CF166">
        <v>2424821.5</v>
      </c>
      <c r="CG166">
        <v>601941.25</v>
      </c>
      <c r="CH166">
        <v>1059021</v>
      </c>
      <c r="CI166">
        <v>1702470.75</v>
      </c>
      <c r="CJ166">
        <v>1820099.88</v>
      </c>
      <c r="CK166">
        <v>527522.75</v>
      </c>
      <c r="CL166">
        <v>807522.38</v>
      </c>
      <c r="CM166">
        <v>648154.81000000006</v>
      </c>
      <c r="CN166">
        <v>769199.31</v>
      </c>
      <c r="CO166">
        <v>363803.94</v>
      </c>
      <c r="CP166">
        <v>441501.5</v>
      </c>
      <c r="CQ166">
        <v>751796.62</v>
      </c>
      <c r="CR166">
        <v>683834.5</v>
      </c>
      <c r="CS166">
        <v>2521608.75</v>
      </c>
      <c r="CT166">
        <v>1046165.06</v>
      </c>
      <c r="CU166">
        <v>458125.69</v>
      </c>
      <c r="CV166">
        <v>546047.31000000006</v>
      </c>
      <c r="CW166">
        <v>845381.56</v>
      </c>
    </row>
    <row r="167" spans="1:101">
      <c r="A167">
        <v>30920</v>
      </c>
      <c r="B167" t="s">
        <v>626</v>
      </c>
      <c r="D167" t="s">
        <v>627</v>
      </c>
      <c r="F167" t="s">
        <v>628</v>
      </c>
      <c r="G167">
        <v>55.128</v>
      </c>
      <c r="H167" t="s">
        <v>104</v>
      </c>
      <c r="I167">
        <v>2</v>
      </c>
      <c r="J167">
        <v>19</v>
      </c>
      <c r="K167">
        <v>0</v>
      </c>
      <c r="L167">
        <v>0</v>
      </c>
      <c r="M167">
        <v>0</v>
      </c>
      <c r="N167">
        <v>-1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3</v>
      </c>
      <c r="W167">
        <v>5</v>
      </c>
      <c r="X167">
        <v>4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5</v>
      </c>
      <c r="AF167">
        <v>5</v>
      </c>
      <c r="AG167">
        <v>5</v>
      </c>
      <c r="AH167">
        <v>5</v>
      </c>
      <c r="AI167">
        <v>5</v>
      </c>
      <c r="AJ167">
        <v>5</v>
      </c>
      <c r="AK167">
        <v>5</v>
      </c>
      <c r="AL167">
        <v>5</v>
      </c>
      <c r="AM167">
        <v>5</v>
      </c>
      <c r="AN167">
        <v>5</v>
      </c>
      <c r="AO167">
        <v>5</v>
      </c>
      <c r="AP167">
        <v>7</v>
      </c>
      <c r="AQ167">
        <v>9</v>
      </c>
      <c r="AR167">
        <v>1</v>
      </c>
      <c r="AS167">
        <v>8</v>
      </c>
      <c r="AT167">
        <v>13</v>
      </c>
      <c r="AU167">
        <v>7</v>
      </c>
      <c r="AV167">
        <v>13</v>
      </c>
      <c r="AW167">
        <v>10</v>
      </c>
      <c r="AX167">
        <v>9</v>
      </c>
      <c r="AY167">
        <v>6</v>
      </c>
      <c r="AZ167">
        <v>6</v>
      </c>
      <c r="BA167">
        <v>9</v>
      </c>
      <c r="BB167">
        <v>9</v>
      </c>
      <c r="BC167">
        <v>11</v>
      </c>
      <c r="BD167">
        <v>15</v>
      </c>
      <c r="BE167">
        <v>8</v>
      </c>
      <c r="BF167">
        <v>16</v>
      </c>
      <c r="BG167">
        <v>10</v>
      </c>
      <c r="BH167">
        <v>6</v>
      </c>
      <c r="BI167">
        <v>3</v>
      </c>
      <c r="BJ167">
        <v>66273412</v>
      </c>
      <c r="BK167">
        <v>212349792</v>
      </c>
      <c r="BL167">
        <v>582068.62</v>
      </c>
      <c r="BM167">
        <v>104379944</v>
      </c>
      <c r="BN167">
        <v>258043584</v>
      </c>
      <c r="BO167">
        <v>92112392</v>
      </c>
      <c r="BP167">
        <v>264320096</v>
      </c>
      <c r="BQ167">
        <v>314311648</v>
      </c>
      <c r="BR167">
        <v>115819888</v>
      </c>
      <c r="BS167">
        <v>74450440</v>
      </c>
      <c r="BT167">
        <v>25611348</v>
      </c>
      <c r="BU167">
        <v>124268320</v>
      </c>
      <c r="BV167">
        <v>162158528</v>
      </c>
      <c r="BW167">
        <v>242984128</v>
      </c>
      <c r="BX167">
        <v>447116928</v>
      </c>
      <c r="BY167">
        <v>89807152</v>
      </c>
      <c r="BZ167">
        <v>468916608</v>
      </c>
      <c r="CA167">
        <v>337911232</v>
      </c>
      <c r="CB167">
        <v>83027328</v>
      </c>
      <c r="CC167">
        <v>20696616</v>
      </c>
      <c r="CD167">
        <v>39162772</v>
      </c>
      <c r="CE167">
        <v>170972176</v>
      </c>
      <c r="CF167">
        <v>117576480</v>
      </c>
      <c r="CG167">
        <v>193001584</v>
      </c>
      <c r="CH167">
        <v>280671264</v>
      </c>
      <c r="CI167">
        <v>65398988</v>
      </c>
      <c r="CJ167">
        <v>273647776</v>
      </c>
      <c r="CK167">
        <v>171788752</v>
      </c>
      <c r="CL167">
        <v>143537104</v>
      </c>
      <c r="CM167">
        <v>98288488</v>
      </c>
      <c r="CN167">
        <v>125220712</v>
      </c>
      <c r="CO167">
        <v>129784600</v>
      </c>
      <c r="CP167">
        <v>200301936</v>
      </c>
      <c r="CQ167">
        <v>178122464</v>
      </c>
      <c r="CR167">
        <v>367904096</v>
      </c>
      <c r="CS167">
        <v>93520560</v>
      </c>
      <c r="CT167">
        <v>425808096</v>
      </c>
      <c r="CU167">
        <v>200022384</v>
      </c>
      <c r="CV167">
        <v>90679000</v>
      </c>
      <c r="CW167">
        <v>44944412</v>
      </c>
    </row>
    <row r="168" spans="1:101">
      <c r="A168">
        <v>30975</v>
      </c>
      <c r="B168" t="s">
        <v>629</v>
      </c>
      <c r="D168" t="s">
        <v>630</v>
      </c>
      <c r="F168" t="s">
        <v>631</v>
      </c>
      <c r="G168">
        <v>54.075000000000003</v>
      </c>
      <c r="H168" t="s">
        <v>104</v>
      </c>
      <c r="I168">
        <v>2</v>
      </c>
      <c r="J168">
        <v>18</v>
      </c>
      <c r="K168">
        <v>0</v>
      </c>
      <c r="L168">
        <v>0</v>
      </c>
      <c r="M168">
        <v>0</v>
      </c>
      <c r="N168">
        <v>-1</v>
      </c>
      <c r="O168">
        <v>3</v>
      </c>
      <c r="P168">
        <v>3</v>
      </c>
      <c r="Q168">
        <v>3</v>
      </c>
      <c r="R168">
        <v>3</v>
      </c>
      <c r="S168">
        <v>3</v>
      </c>
      <c r="T168">
        <v>3</v>
      </c>
      <c r="U168">
        <v>3</v>
      </c>
      <c r="V168">
        <v>3</v>
      </c>
      <c r="W168">
        <v>3</v>
      </c>
      <c r="X168">
        <v>1</v>
      </c>
      <c r="Y168">
        <v>3</v>
      </c>
      <c r="Z168">
        <v>3</v>
      </c>
      <c r="AA168">
        <v>3</v>
      </c>
      <c r="AB168">
        <v>3</v>
      </c>
      <c r="AC168">
        <v>3</v>
      </c>
      <c r="AD168">
        <v>3</v>
      </c>
      <c r="AE168">
        <v>3</v>
      </c>
      <c r="AF168">
        <v>3</v>
      </c>
      <c r="AG168">
        <v>3</v>
      </c>
      <c r="AH168">
        <v>3</v>
      </c>
      <c r="AI168">
        <v>3</v>
      </c>
      <c r="AJ168">
        <v>3</v>
      </c>
      <c r="AK168">
        <v>3</v>
      </c>
      <c r="AL168">
        <v>3</v>
      </c>
      <c r="AM168">
        <v>3</v>
      </c>
      <c r="AN168">
        <v>3</v>
      </c>
      <c r="AO168">
        <v>3</v>
      </c>
      <c r="AP168">
        <v>3</v>
      </c>
      <c r="AQ168">
        <v>3</v>
      </c>
      <c r="AR168">
        <v>0</v>
      </c>
      <c r="AS168">
        <v>2</v>
      </c>
      <c r="AT168">
        <v>5</v>
      </c>
      <c r="AU168">
        <v>2</v>
      </c>
      <c r="AV168">
        <v>3</v>
      </c>
      <c r="AW168">
        <v>3</v>
      </c>
      <c r="AX168">
        <v>2</v>
      </c>
      <c r="AY168">
        <v>3</v>
      </c>
      <c r="AZ168">
        <v>1</v>
      </c>
      <c r="BA168">
        <v>4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4</v>
      </c>
      <c r="BH168">
        <v>3</v>
      </c>
      <c r="BI168">
        <v>3</v>
      </c>
      <c r="BJ168">
        <v>12065839</v>
      </c>
      <c r="BK168">
        <v>14337828</v>
      </c>
      <c r="BL168">
        <v>14980.07</v>
      </c>
      <c r="BM168">
        <v>5140856</v>
      </c>
      <c r="BN168">
        <v>12273248</v>
      </c>
      <c r="BO168">
        <v>12383470</v>
      </c>
      <c r="BP168">
        <v>5339318</v>
      </c>
      <c r="BQ168">
        <v>10355996</v>
      </c>
      <c r="BR168">
        <v>5312195</v>
      </c>
      <c r="BS168">
        <v>4732412</v>
      </c>
      <c r="BT168">
        <v>3225920</v>
      </c>
      <c r="BU168">
        <v>11177364</v>
      </c>
      <c r="BV168">
        <v>6414917</v>
      </c>
      <c r="BW168">
        <v>9034415</v>
      </c>
      <c r="BX168">
        <v>11154902</v>
      </c>
      <c r="BY168">
        <v>10608960</v>
      </c>
      <c r="BZ168">
        <v>5115465</v>
      </c>
      <c r="CA168">
        <v>14362564</v>
      </c>
      <c r="CB168">
        <v>4865192.5</v>
      </c>
      <c r="CC168">
        <v>3636311.5</v>
      </c>
      <c r="CD168">
        <v>15531646</v>
      </c>
      <c r="CE168">
        <v>11655860</v>
      </c>
      <c r="CF168">
        <v>2801857.25</v>
      </c>
      <c r="CG168">
        <v>8565673</v>
      </c>
      <c r="CH168">
        <v>13969531</v>
      </c>
      <c r="CI168">
        <v>11746900</v>
      </c>
      <c r="CJ168">
        <v>6466538.5</v>
      </c>
      <c r="CK168">
        <v>12452079</v>
      </c>
      <c r="CL168">
        <v>8478054</v>
      </c>
      <c r="CM168">
        <v>6054389.5</v>
      </c>
      <c r="CN168">
        <v>20081062</v>
      </c>
      <c r="CO168">
        <v>12043745</v>
      </c>
      <c r="CP168">
        <v>9309058</v>
      </c>
      <c r="CQ168">
        <v>7945485.5</v>
      </c>
      <c r="CR168">
        <v>16516457</v>
      </c>
      <c r="CS168">
        <v>12365570</v>
      </c>
      <c r="CT168">
        <v>7038559.5</v>
      </c>
      <c r="CU168">
        <v>15617580</v>
      </c>
      <c r="CV168">
        <v>7866416.5</v>
      </c>
      <c r="CW168">
        <v>9168321</v>
      </c>
    </row>
    <row r="169" spans="1:101">
      <c r="A169">
        <v>30931</v>
      </c>
      <c r="B169" t="s">
        <v>632</v>
      </c>
      <c r="D169" t="s">
        <v>633</v>
      </c>
      <c r="F169" t="s">
        <v>634</v>
      </c>
      <c r="G169">
        <v>53.585000000000001</v>
      </c>
      <c r="H169" t="s">
        <v>104</v>
      </c>
      <c r="I169">
        <v>2</v>
      </c>
      <c r="J169">
        <v>21</v>
      </c>
      <c r="K169">
        <v>0</v>
      </c>
      <c r="L169">
        <v>0</v>
      </c>
      <c r="M169">
        <v>0</v>
      </c>
      <c r="N169">
        <v>-1</v>
      </c>
      <c r="O169">
        <v>3</v>
      </c>
      <c r="P169">
        <v>3</v>
      </c>
      <c r="Q169">
        <v>3</v>
      </c>
      <c r="R169">
        <v>3</v>
      </c>
      <c r="S169">
        <v>3</v>
      </c>
      <c r="T169">
        <v>3</v>
      </c>
      <c r="U169">
        <v>3</v>
      </c>
      <c r="V169">
        <v>2</v>
      </c>
      <c r="W169">
        <v>3</v>
      </c>
      <c r="X169">
        <v>2</v>
      </c>
      <c r="Y169">
        <v>3</v>
      </c>
      <c r="Z169">
        <v>3</v>
      </c>
      <c r="AA169">
        <v>3</v>
      </c>
      <c r="AB169">
        <v>3</v>
      </c>
      <c r="AC169">
        <v>3</v>
      </c>
      <c r="AD169">
        <v>3</v>
      </c>
      <c r="AE169">
        <v>3</v>
      </c>
      <c r="AF169">
        <v>3</v>
      </c>
      <c r="AG169">
        <v>3</v>
      </c>
      <c r="AH169">
        <v>3</v>
      </c>
      <c r="AI169">
        <v>3</v>
      </c>
      <c r="AJ169">
        <v>3</v>
      </c>
      <c r="AK169">
        <v>3</v>
      </c>
      <c r="AL169">
        <v>3</v>
      </c>
      <c r="AM169">
        <v>3</v>
      </c>
      <c r="AN169">
        <v>3</v>
      </c>
      <c r="AO169">
        <v>3</v>
      </c>
      <c r="AP169">
        <v>6</v>
      </c>
      <c r="AQ169">
        <v>8</v>
      </c>
      <c r="AR169">
        <v>0</v>
      </c>
      <c r="AS169">
        <v>7</v>
      </c>
      <c r="AT169">
        <v>6</v>
      </c>
      <c r="AU169">
        <v>4</v>
      </c>
      <c r="AV169">
        <v>5</v>
      </c>
      <c r="AW169">
        <v>5</v>
      </c>
      <c r="AX169">
        <v>5</v>
      </c>
      <c r="AY169">
        <v>5</v>
      </c>
      <c r="AZ169">
        <v>3</v>
      </c>
      <c r="BA169">
        <v>9</v>
      </c>
      <c r="BB169">
        <v>6</v>
      </c>
      <c r="BC169">
        <v>6</v>
      </c>
      <c r="BD169">
        <v>5</v>
      </c>
      <c r="BE169">
        <v>4</v>
      </c>
      <c r="BF169">
        <v>4</v>
      </c>
      <c r="BG169">
        <v>5</v>
      </c>
      <c r="BH169">
        <v>5</v>
      </c>
      <c r="BI169">
        <v>4</v>
      </c>
      <c r="BJ169">
        <v>350960480</v>
      </c>
      <c r="BK169">
        <v>417420992</v>
      </c>
      <c r="BL169">
        <v>1192701.75</v>
      </c>
      <c r="BM169">
        <v>263137648</v>
      </c>
      <c r="BN169">
        <v>673830976</v>
      </c>
      <c r="BO169">
        <v>121897016</v>
      </c>
      <c r="BP169">
        <v>552021632</v>
      </c>
      <c r="BQ169">
        <v>614422592</v>
      </c>
      <c r="BR169">
        <v>317974400</v>
      </c>
      <c r="BS169">
        <v>93806280</v>
      </c>
      <c r="BT169">
        <v>89279944</v>
      </c>
      <c r="BU169">
        <v>363760928</v>
      </c>
      <c r="BV169">
        <v>428408832</v>
      </c>
      <c r="BW169">
        <v>418466976</v>
      </c>
      <c r="BX169">
        <v>609370048</v>
      </c>
      <c r="BY169">
        <v>124966552</v>
      </c>
      <c r="BZ169">
        <v>454460512</v>
      </c>
      <c r="CA169">
        <v>755701632</v>
      </c>
      <c r="CB169">
        <v>252463536</v>
      </c>
      <c r="CC169">
        <v>34951044</v>
      </c>
      <c r="CD169">
        <v>44102004</v>
      </c>
      <c r="CE169">
        <v>211172144</v>
      </c>
      <c r="CF169">
        <v>172063312</v>
      </c>
      <c r="CG169">
        <v>564041792</v>
      </c>
      <c r="CH169">
        <v>448842880</v>
      </c>
      <c r="CI169">
        <v>122445384</v>
      </c>
      <c r="CJ169">
        <v>279035232</v>
      </c>
      <c r="CK169">
        <v>278121056</v>
      </c>
      <c r="CL169">
        <v>161248432</v>
      </c>
      <c r="CM169">
        <v>243896976</v>
      </c>
      <c r="CN169">
        <v>214130576</v>
      </c>
      <c r="CO169">
        <v>668023168</v>
      </c>
      <c r="CP169">
        <v>484864064</v>
      </c>
      <c r="CQ169">
        <v>224928496</v>
      </c>
      <c r="CR169">
        <v>271512192</v>
      </c>
      <c r="CS169">
        <v>225450848</v>
      </c>
      <c r="CT169">
        <v>157592272</v>
      </c>
      <c r="CU169">
        <v>366791040</v>
      </c>
      <c r="CV169">
        <v>510944320</v>
      </c>
      <c r="CW169">
        <v>225582096</v>
      </c>
    </row>
    <row r="170" spans="1:101">
      <c r="A170">
        <v>30969</v>
      </c>
      <c r="B170" t="s">
        <v>635</v>
      </c>
      <c r="D170" t="s">
        <v>636</v>
      </c>
      <c r="F170" t="s">
        <v>637</v>
      </c>
      <c r="G170">
        <v>52.341000000000001</v>
      </c>
      <c r="H170" t="s">
        <v>104</v>
      </c>
      <c r="I170">
        <v>2</v>
      </c>
      <c r="J170">
        <v>20</v>
      </c>
      <c r="K170">
        <v>0</v>
      </c>
      <c r="L170">
        <v>0</v>
      </c>
      <c r="M170">
        <v>0</v>
      </c>
      <c r="N170">
        <v>-1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Y170">
        <v>3</v>
      </c>
      <c r="Z170">
        <v>3</v>
      </c>
      <c r="AA170">
        <v>3</v>
      </c>
      <c r="AB170">
        <v>2</v>
      </c>
      <c r="AC170">
        <v>3</v>
      </c>
      <c r="AD170">
        <v>2</v>
      </c>
      <c r="AE170">
        <v>2</v>
      </c>
      <c r="AF170">
        <v>3</v>
      </c>
      <c r="AG170">
        <v>3</v>
      </c>
      <c r="AH170">
        <v>3</v>
      </c>
      <c r="AI170">
        <v>3</v>
      </c>
      <c r="AJ170">
        <v>3</v>
      </c>
      <c r="AK170">
        <v>3</v>
      </c>
      <c r="AL170">
        <v>3</v>
      </c>
      <c r="AM170">
        <v>3</v>
      </c>
      <c r="AN170">
        <v>3</v>
      </c>
      <c r="AO170">
        <v>2</v>
      </c>
      <c r="AP170">
        <v>0</v>
      </c>
      <c r="AQ170">
        <v>2</v>
      </c>
      <c r="AR170">
        <v>0</v>
      </c>
      <c r="AS170">
        <v>1</v>
      </c>
      <c r="AT170">
        <v>3</v>
      </c>
      <c r="AU170">
        <v>4</v>
      </c>
      <c r="AV170">
        <v>1</v>
      </c>
      <c r="AW170">
        <v>2</v>
      </c>
      <c r="AX170">
        <v>1</v>
      </c>
      <c r="AY170">
        <v>0</v>
      </c>
      <c r="AZ170">
        <v>1</v>
      </c>
      <c r="BA170">
        <v>4</v>
      </c>
      <c r="BB170">
        <v>2</v>
      </c>
      <c r="BC170">
        <v>3</v>
      </c>
      <c r="BD170">
        <v>3</v>
      </c>
      <c r="BE170">
        <v>3</v>
      </c>
      <c r="BF170">
        <v>2</v>
      </c>
      <c r="BG170">
        <v>2</v>
      </c>
      <c r="BH170">
        <v>0</v>
      </c>
      <c r="BI170">
        <v>0</v>
      </c>
      <c r="BJ170">
        <v>981387.06</v>
      </c>
      <c r="BK170">
        <v>2775129</v>
      </c>
      <c r="BM170">
        <v>914981.5</v>
      </c>
      <c r="BN170">
        <v>2425710.25</v>
      </c>
      <c r="BO170">
        <v>2425277.25</v>
      </c>
      <c r="BP170">
        <v>646229.56000000006</v>
      </c>
      <c r="BQ170">
        <v>2013554.12</v>
      </c>
      <c r="BR170">
        <v>532018.43999999994</v>
      </c>
      <c r="BS170">
        <v>336195.06</v>
      </c>
      <c r="BT170">
        <v>360182.44</v>
      </c>
      <c r="BU170">
        <v>2330921</v>
      </c>
      <c r="BV170">
        <v>1169231.75</v>
      </c>
      <c r="BW170">
        <v>1858034</v>
      </c>
      <c r="BX170">
        <v>1785653.25</v>
      </c>
      <c r="BY170">
        <v>1913743.75</v>
      </c>
      <c r="BZ170">
        <v>1216221.5</v>
      </c>
      <c r="CA170">
        <v>1745685.75</v>
      </c>
      <c r="CB170">
        <v>524203.06</v>
      </c>
      <c r="CC170">
        <v>440279.31</v>
      </c>
      <c r="CD170">
        <v>1822440</v>
      </c>
      <c r="CE170">
        <v>2192910.5</v>
      </c>
      <c r="CF170">
        <v>1861110.38</v>
      </c>
      <c r="CG170">
        <v>1544375.38</v>
      </c>
      <c r="CH170">
        <v>2922480</v>
      </c>
      <c r="CI170">
        <v>2579375.25</v>
      </c>
      <c r="CJ170">
        <v>952104.44</v>
      </c>
      <c r="CK170">
        <v>2506212.75</v>
      </c>
      <c r="CL170">
        <v>1078758.6200000001</v>
      </c>
      <c r="CM170">
        <v>669296.88</v>
      </c>
      <c r="CN170">
        <v>1977428.25</v>
      </c>
      <c r="CO170">
        <v>2557430.75</v>
      </c>
      <c r="CP170">
        <v>1782407.88</v>
      </c>
      <c r="CQ170">
        <v>1841628.25</v>
      </c>
      <c r="CR170">
        <v>2627622.25</v>
      </c>
      <c r="CS170">
        <v>2227463.25</v>
      </c>
      <c r="CT170">
        <v>1911078.62</v>
      </c>
      <c r="CU170">
        <v>2243432.25</v>
      </c>
      <c r="CV170">
        <v>1120300</v>
      </c>
      <c r="CW170">
        <v>944144.44</v>
      </c>
    </row>
    <row r="171" spans="1:101">
      <c r="A171">
        <v>31040</v>
      </c>
      <c r="B171" t="s">
        <v>638</v>
      </c>
      <c r="D171" t="s">
        <v>639</v>
      </c>
      <c r="F171" t="s">
        <v>640</v>
      </c>
      <c r="G171">
        <v>49.862000000000002</v>
      </c>
      <c r="H171" t="s">
        <v>104</v>
      </c>
      <c r="I171">
        <v>2</v>
      </c>
      <c r="J171">
        <v>19</v>
      </c>
      <c r="K171">
        <v>0</v>
      </c>
      <c r="L171">
        <v>0</v>
      </c>
      <c r="M171">
        <v>0</v>
      </c>
      <c r="N171">
        <v>-1</v>
      </c>
      <c r="O171">
        <v>2</v>
      </c>
      <c r="P171">
        <v>2</v>
      </c>
      <c r="Q171">
        <v>2</v>
      </c>
      <c r="R171">
        <v>2</v>
      </c>
      <c r="S171">
        <v>2</v>
      </c>
      <c r="T171">
        <v>2</v>
      </c>
      <c r="U171">
        <v>2</v>
      </c>
      <c r="V171">
        <v>2</v>
      </c>
      <c r="W171">
        <v>2</v>
      </c>
      <c r="Y171">
        <v>2</v>
      </c>
      <c r="Z171">
        <v>2</v>
      </c>
      <c r="AA171">
        <v>2</v>
      </c>
      <c r="AB171">
        <v>2</v>
      </c>
      <c r="AC171">
        <v>2</v>
      </c>
      <c r="AD171">
        <v>2</v>
      </c>
      <c r="AE171">
        <v>2</v>
      </c>
      <c r="AF171">
        <v>2</v>
      </c>
      <c r="AG171">
        <v>2</v>
      </c>
      <c r="AH171">
        <v>2</v>
      </c>
      <c r="AI171">
        <v>2</v>
      </c>
      <c r="AJ171">
        <v>2</v>
      </c>
      <c r="AK171">
        <v>2</v>
      </c>
      <c r="AL171">
        <v>2</v>
      </c>
      <c r="AM171">
        <v>2</v>
      </c>
      <c r="AN171">
        <v>2</v>
      </c>
      <c r="AO171">
        <v>2</v>
      </c>
      <c r="AP171">
        <v>1</v>
      </c>
      <c r="AQ171">
        <v>2</v>
      </c>
      <c r="AR171">
        <v>0</v>
      </c>
      <c r="AS171">
        <v>1</v>
      </c>
      <c r="AT171">
        <v>0</v>
      </c>
      <c r="AU171">
        <v>2</v>
      </c>
      <c r="AV171">
        <v>0</v>
      </c>
      <c r="AW171">
        <v>1</v>
      </c>
      <c r="AX171">
        <v>1</v>
      </c>
      <c r="AY171">
        <v>2</v>
      </c>
      <c r="AZ171">
        <v>0</v>
      </c>
      <c r="BA171">
        <v>2</v>
      </c>
      <c r="BB171">
        <v>1</v>
      </c>
      <c r="BC171">
        <v>2</v>
      </c>
      <c r="BD171">
        <v>1</v>
      </c>
      <c r="BE171">
        <v>2</v>
      </c>
      <c r="BF171">
        <v>1</v>
      </c>
      <c r="BG171">
        <v>1</v>
      </c>
      <c r="BH171">
        <v>1</v>
      </c>
      <c r="BI171">
        <v>2</v>
      </c>
      <c r="BJ171">
        <v>2968562</v>
      </c>
      <c r="BK171">
        <v>4226104</v>
      </c>
      <c r="BM171">
        <v>1470380.5</v>
      </c>
      <c r="BN171">
        <v>2455220.25</v>
      </c>
      <c r="BO171">
        <v>4562234</v>
      </c>
      <c r="BP171">
        <v>3292032.5</v>
      </c>
      <c r="BQ171">
        <v>1425208.5</v>
      </c>
      <c r="BR171">
        <v>3523024.75</v>
      </c>
      <c r="BS171">
        <v>3249514</v>
      </c>
      <c r="BT171">
        <v>553293</v>
      </c>
      <c r="BU171">
        <v>3384061</v>
      </c>
      <c r="BV171">
        <v>1711207</v>
      </c>
      <c r="BW171">
        <v>3623224</v>
      </c>
      <c r="BX171">
        <v>1749849.25</v>
      </c>
      <c r="BY171">
        <v>2890018.5</v>
      </c>
      <c r="BZ171">
        <v>2363195.75</v>
      </c>
      <c r="CA171">
        <v>1476122.38</v>
      </c>
      <c r="CB171">
        <v>2983808.5</v>
      </c>
      <c r="CC171">
        <v>3677376</v>
      </c>
      <c r="CD171">
        <v>2938032.75</v>
      </c>
      <c r="CE171">
        <v>2275970.5</v>
      </c>
      <c r="CF171">
        <v>1861110.38</v>
      </c>
      <c r="CG171">
        <v>1515239.12</v>
      </c>
      <c r="CH171">
        <v>1777868.75</v>
      </c>
      <c r="CI171">
        <v>2704545.25</v>
      </c>
      <c r="CJ171">
        <v>2388377.75</v>
      </c>
      <c r="CK171">
        <v>1175912.8799999999</v>
      </c>
      <c r="CL171">
        <v>3437371.75</v>
      </c>
      <c r="CM171">
        <v>2764643</v>
      </c>
      <c r="CN171">
        <v>1941295.12</v>
      </c>
      <c r="CO171">
        <v>2375691.75</v>
      </c>
      <c r="CP171">
        <v>1698173.25</v>
      </c>
      <c r="CQ171">
        <v>2108272.75</v>
      </c>
      <c r="CR171">
        <v>1658334.25</v>
      </c>
      <c r="CS171">
        <v>2190818</v>
      </c>
      <c r="CT171">
        <v>2241561.5</v>
      </c>
      <c r="CU171">
        <v>1085014</v>
      </c>
      <c r="CV171">
        <v>3125996.25</v>
      </c>
      <c r="CW171">
        <v>4788212.5</v>
      </c>
    </row>
    <row r="172" spans="1:101">
      <c r="A172">
        <v>31050</v>
      </c>
      <c r="B172" t="s">
        <v>641</v>
      </c>
      <c r="D172" t="s">
        <v>642</v>
      </c>
      <c r="F172" t="s">
        <v>643</v>
      </c>
      <c r="G172">
        <v>46.984999999999999</v>
      </c>
      <c r="H172" t="s">
        <v>104</v>
      </c>
      <c r="I172">
        <v>2</v>
      </c>
      <c r="J172">
        <v>8</v>
      </c>
      <c r="K172">
        <v>0</v>
      </c>
      <c r="L172">
        <v>0</v>
      </c>
      <c r="M172">
        <v>0</v>
      </c>
      <c r="N172">
        <v>-1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3</v>
      </c>
      <c r="W172">
        <v>3</v>
      </c>
      <c r="X172">
        <v>1</v>
      </c>
      <c r="Y172">
        <v>3</v>
      </c>
      <c r="Z172">
        <v>3</v>
      </c>
      <c r="AA172">
        <v>3</v>
      </c>
      <c r="AB172">
        <v>3</v>
      </c>
      <c r="AC172">
        <v>3</v>
      </c>
      <c r="AD172">
        <v>2</v>
      </c>
      <c r="AE172">
        <v>2</v>
      </c>
      <c r="AF172">
        <v>3</v>
      </c>
      <c r="AG172">
        <v>3</v>
      </c>
      <c r="AH172">
        <v>3</v>
      </c>
      <c r="AI172">
        <v>3</v>
      </c>
      <c r="AJ172">
        <v>3</v>
      </c>
      <c r="AK172">
        <v>3</v>
      </c>
      <c r="AL172">
        <v>3</v>
      </c>
      <c r="AM172">
        <v>3</v>
      </c>
      <c r="AN172">
        <v>3</v>
      </c>
      <c r="AO172">
        <v>3</v>
      </c>
      <c r="AP172">
        <v>3</v>
      </c>
      <c r="AQ172">
        <v>3</v>
      </c>
      <c r="AR172">
        <v>0</v>
      </c>
      <c r="AS172">
        <v>1</v>
      </c>
      <c r="AT172">
        <v>2</v>
      </c>
      <c r="AU172">
        <v>4</v>
      </c>
      <c r="AV172">
        <v>3</v>
      </c>
      <c r="AW172">
        <v>2</v>
      </c>
      <c r="AX172">
        <v>2</v>
      </c>
      <c r="AY172">
        <v>2</v>
      </c>
      <c r="AZ172">
        <v>1</v>
      </c>
      <c r="BA172">
        <v>3</v>
      </c>
      <c r="BB172">
        <v>4</v>
      </c>
      <c r="BC172">
        <v>4</v>
      </c>
      <c r="BD172">
        <v>4</v>
      </c>
      <c r="BE172">
        <v>4</v>
      </c>
      <c r="BF172">
        <v>3</v>
      </c>
      <c r="BG172">
        <v>2</v>
      </c>
      <c r="BH172">
        <v>3</v>
      </c>
      <c r="BI172">
        <v>0</v>
      </c>
      <c r="BJ172">
        <v>4106894</v>
      </c>
      <c r="BK172">
        <v>3912103.75</v>
      </c>
      <c r="BL172">
        <v>19524.240000000002</v>
      </c>
      <c r="BM172">
        <v>996928.19</v>
      </c>
      <c r="BN172">
        <v>3513021.5</v>
      </c>
      <c r="BO172">
        <v>4198625.5</v>
      </c>
      <c r="BP172">
        <v>3199616.5</v>
      </c>
      <c r="BQ172">
        <v>3259007</v>
      </c>
      <c r="BR172">
        <v>1381562.5</v>
      </c>
      <c r="BS172">
        <v>1104842.6200000001</v>
      </c>
      <c r="BT172">
        <v>543503.06000000006</v>
      </c>
      <c r="BU172">
        <v>3462054.5</v>
      </c>
      <c r="BV172">
        <v>5764875.5</v>
      </c>
      <c r="BW172">
        <v>2337146.5</v>
      </c>
      <c r="BX172">
        <v>3376776</v>
      </c>
      <c r="BY172">
        <v>3252921.5</v>
      </c>
      <c r="BZ172">
        <v>2833096</v>
      </c>
      <c r="CA172">
        <v>3892284.5</v>
      </c>
      <c r="CB172">
        <v>1496261.62</v>
      </c>
      <c r="CC172">
        <v>559511.62</v>
      </c>
      <c r="CD172">
        <v>4205382</v>
      </c>
      <c r="CE172">
        <v>2042664.88</v>
      </c>
      <c r="CF172">
        <v>2414843.75</v>
      </c>
      <c r="CG172">
        <v>970557.94</v>
      </c>
      <c r="CH172">
        <v>2568183.75</v>
      </c>
      <c r="CI172">
        <v>2469362</v>
      </c>
      <c r="CJ172">
        <v>2256972.25</v>
      </c>
      <c r="CK172">
        <v>2544497</v>
      </c>
      <c r="CL172">
        <v>1522024.62</v>
      </c>
      <c r="CM172">
        <v>1076587</v>
      </c>
      <c r="CN172">
        <v>2009782.12</v>
      </c>
      <c r="CO172">
        <v>2287133.5</v>
      </c>
      <c r="CP172">
        <v>5729338.5</v>
      </c>
      <c r="CQ172">
        <v>1226490.75</v>
      </c>
      <c r="CR172">
        <v>3194897.75</v>
      </c>
      <c r="CS172">
        <v>2368346</v>
      </c>
      <c r="CT172">
        <v>2632994</v>
      </c>
      <c r="CU172">
        <v>2757758.5</v>
      </c>
      <c r="CV172">
        <v>1654583.25</v>
      </c>
      <c r="CW172">
        <v>786321.06</v>
      </c>
    </row>
    <row r="173" spans="1:101">
      <c r="A173">
        <v>30927</v>
      </c>
      <c r="B173" t="s">
        <v>644</v>
      </c>
      <c r="D173" t="s">
        <v>645</v>
      </c>
      <c r="E173" t="s">
        <v>646</v>
      </c>
      <c r="F173" t="s">
        <v>647</v>
      </c>
      <c r="G173">
        <v>46.597000000000001</v>
      </c>
      <c r="H173" t="s">
        <v>104</v>
      </c>
      <c r="I173">
        <v>2</v>
      </c>
      <c r="J173">
        <v>16</v>
      </c>
      <c r="K173">
        <v>3</v>
      </c>
      <c r="L173">
        <v>0</v>
      </c>
      <c r="M173">
        <v>0</v>
      </c>
      <c r="N173">
        <v>-1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3</v>
      </c>
      <c r="W173">
        <v>4</v>
      </c>
      <c r="X173">
        <v>1</v>
      </c>
      <c r="Y173">
        <v>4</v>
      </c>
      <c r="Z173">
        <v>4</v>
      </c>
      <c r="AA173">
        <v>4</v>
      </c>
      <c r="AB173">
        <v>4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4</v>
      </c>
      <c r="AK173">
        <v>4</v>
      </c>
      <c r="AL173">
        <v>4</v>
      </c>
      <c r="AM173">
        <v>4</v>
      </c>
      <c r="AN173">
        <v>4</v>
      </c>
      <c r="AO173">
        <v>4</v>
      </c>
      <c r="AP173">
        <v>0</v>
      </c>
      <c r="AQ173">
        <v>4</v>
      </c>
      <c r="AR173">
        <v>0</v>
      </c>
      <c r="AS173">
        <v>2</v>
      </c>
      <c r="AT173">
        <v>3</v>
      </c>
      <c r="AU173">
        <v>4</v>
      </c>
      <c r="AV173">
        <v>3</v>
      </c>
      <c r="AW173">
        <v>2</v>
      </c>
      <c r="AX173">
        <v>3</v>
      </c>
      <c r="AY173">
        <v>4</v>
      </c>
      <c r="AZ173">
        <v>0</v>
      </c>
      <c r="BA173">
        <v>3</v>
      </c>
      <c r="BB173">
        <v>3</v>
      </c>
      <c r="BC173">
        <v>5</v>
      </c>
      <c r="BD173">
        <v>1</v>
      </c>
      <c r="BE173">
        <v>3</v>
      </c>
      <c r="BF173">
        <v>3</v>
      </c>
      <c r="BG173">
        <v>2</v>
      </c>
      <c r="BH173">
        <v>2</v>
      </c>
      <c r="BI173">
        <v>1</v>
      </c>
      <c r="BJ173">
        <v>1397646.25</v>
      </c>
      <c r="BK173">
        <v>4083895.5</v>
      </c>
      <c r="BL173">
        <v>9344.1299999999992</v>
      </c>
      <c r="BM173">
        <v>2252820.5</v>
      </c>
      <c r="BN173">
        <v>3300340.75</v>
      </c>
      <c r="BO173">
        <v>2924546</v>
      </c>
      <c r="BP173">
        <v>2481698.5</v>
      </c>
      <c r="BQ173">
        <v>3322359.75</v>
      </c>
      <c r="BR173">
        <v>2259498.5</v>
      </c>
      <c r="BS173">
        <v>2465132.75</v>
      </c>
      <c r="BT173">
        <v>594292</v>
      </c>
      <c r="BU173">
        <v>3728682.5</v>
      </c>
      <c r="BV173">
        <v>2662979</v>
      </c>
      <c r="BW173">
        <v>3566482</v>
      </c>
      <c r="BX173">
        <v>3007345</v>
      </c>
      <c r="BY173">
        <v>4050389.75</v>
      </c>
      <c r="BZ173">
        <v>2041882</v>
      </c>
      <c r="CA173">
        <v>2994457.75</v>
      </c>
      <c r="CB173">
        <v>1171871.5</v>
      </c>
      <c r="CC173">
        <v>1077454.5</v>
      </c>
      <c r="CD173">
        <v>1178296.5</v>
      </c>
      <c r="CE173">
        <v>2372878.75</v>
      </c>
      <c r="CF173">
        <v>2119680.25</v>
      </c>
      <c r="CG173">
        <v>2712283.5</v>
      </c>
      <c r="CH173">
        <v>1826438.38</v>
      </c>
      <c r="CI173">
        <v>2046634.12</v>
      </c>
      <c r="CJ173">
        <v>1997862.25</v>
      </c>
      <c r="CK173">
        <v>2301277.25</v>
      </c>
      <c r="CL173">
        <v>2537898.25</v>
      </c>
      <c r="CM173">
        <v>2416785</v>
      </c>
      <c r="CN173">
        <v>1894843.25</v>
      </c>
      <c r="CO173">
        <v>2250645.75</v>
      </c>
      <c r="CP173">
        <v>2096198.12</v>
      </c>
      <c r="CQ173">
        <v>2406117.5</v>
      </c>
      <c r="CR173">
        <v>2268490.5</v>
      </c>
      <c r="CS173">
        <v>2466413</v>
      </c>
      <c r="CT173">
        <v>2152104</v>
      </c>
      <c r="CU173">
        <v>1644896.62</v>
      </c>
      <c r="CV173">
        <v>1506730.5</v>
      </c>
      <c r="CW173">
        <v>1523018</v>
      </c>
    </row>
    <row r="174" spans="1:101">
      <c r="A174">
        <v>31110</v>
      </c>
      <c r="B174" t="s">
        <v>648</v>
      </c>
      <c r="D174" t="s">
        <v>649</v>
      </c>
      <c r="F174" t="s">
        <v>650</v>
      </c>
      <c r="G174">
        <v>45.55</v>
      </c>
      <c r="H174" t="s">
        <v>104</v>
      </c>
      <c r="I174">
        <v>2</v>
      </c>
      <c r="J174">
        <v>4</v>
      </c>
      <c r="K174">
        <v>0</v>
      </c>
      <c r="L174">
        <v>0</v>
      </c>
      <c r="M174">
        <v>0</v>
      </c>
      <c r="N174">
        <v>-1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2</v>
      </c>
      <c r="AD174">
        <v>2</v>
      </c>
      <c r="AE174">
        <v>2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2</v>
      </c>
      <c r="AL174">
        <v>2</v>
      </c>
      <c r="AM174">
        <v>2</v>
      </c>
      <c r="AN174">
        <v>2</v>
      </c>
      <c r="AO174">
        <v>2</v>
      </c>
      <c r="AP174">
        <v>1</v>
      </c>
      <c r="AQ174">
        <v>3</v>
      </c>
      <c r="AR174">
        <v>0</v>
      </c>
      <c r="AS174">
        <v>3</v>
      </c>
      <c r="AT174">
        <v>3</v>
      </c>
      <c r="AU174">
        <v>4</v>
      </c>
      <c r="AV174">
        <v>2</v>
      </c>
      <c r="AW174">
        <v>3</v>
      </c>
      <c r="AX174">
        <v>1</v>
      </c>
      <c r="AY174">
        <v>2</v>
      </c>
      <c r="AZ174">
        <v>1</v>
      </c>
      <c r="BA174">
        <v>3</v>
      </c>
      <c r="BB174">
        <v>2</v>
      </c>
      <c r="BC174">
        <v>3</v>
      </c>
      <c r="BD174">
        <v>2</v>
      </c>
      <c r="BE174">
        <v>3</v>
      </c>
      <c r="BF174">
        <v>2</v>
      </c>
      <c r="BG174">
        <v>3</v>
      </c>
      <c r="BH174">
        <v>0</v>
      </c>
      <c r="BI174">
        <v>0</v>
      </c>
      <c r="BJ174">
        <v>6273358</v>
      </c>
      <c r="BK174">
        <v>13541458</v>
      </c>
      <c r="BL174">
        <v>25243.18</v>
      </c>
      <c r="BM174">
        <v>3866436.5</v>
      </c>
      <c r="BN174">
        <v>7507208.5</v>
      </c>
      <c r="BO174">
        <v>14935220</v>
      </c>
      <c r="BP174">
        <v>4026411.75</v>
      </c>
      <c r="BQ174">
        <v>6688245</v>
      </c>
      <c r="BR174">
        <v>1748309.62</v>
      </c>
      <c r="BS174">
        <v>1392115.75</v>
      </c>
      <c r="BT174">
        <v>1799021</v>
      </c>
      <c r="BU174">
        <v>10492031</v>
      </c>
      <c r="BV174">
        <v>4522897</v>
      </c>
      <c r="BW174">
        <v>7133892</v>
      </c>
      <c r="BX174">
        <v>4530858</v>
      </c>
      <c r="BY174">
        <v>10645435</v>
      </c>
      <c r="BZ174">
        <v>2414109.5</v>
      </c>
      <c r="CA174">
        <v>10758432</v>
      </c>
      <c r="CB174">
        <v>811314.75</v>
      </c>
      <c r="CC174">
        <v>371658.5</v>
      </c>
      <c r="CD174">
        <v>6443686</v>
      </c>
      <c r="CE174">
        <v>7527416</v>
      </c>
      <c r="CF174">
        <v>2862130</v>
      </c>
      <c r="CG174">
        <v>4116240</v>
      </c>
      <c r="CH174">
        <v>5471803</v>
      </c>
      <c r="CI174">
        <v>8872808</v>
      </c>
      <c r="CJ174">
        <v>2839950.5</v>
      </c>
      <c r="CK174">
        <v>5563563</v>
      </c>
      <c r="CL174">
        <v>1572325.38</v>
      </c>
      <c r="CM174">
        <v>1120792.1200000001</v>
      </c>
      <c r="CN174">
        <v>5399859</v>
      </c>
      <c r="CO174">
        <v>7570517</v>
      </c>
      <c r="CP174">
        <v>4687954</v>
      </c>
      <c r="CQ174">
        <v>4008309</v>
      </c>
      <c r="CR174">
        <v>4553173.5</v>
      </c>
      <c r="CS174">
        <v>7801163.5</v>
      </c>
      <c r="CT174">
        <v>2417203.75</v>
      </c>
      <c r="CU174">
        <v>7554820.5</v>
      </c>
      <c r="CV174">
        <v>951871.69</v>
      </c>
      <c r="CW174">
        <v>539213.18999999994</v>
      </c>
    </row>
    <row r="175" spans="1:101">
      <c r="A175">
        <v>31138</v>
      </c>
      <c r="B175" t="s">
        <v>651</v>
      </c>
      <c r="D175" t="s">
        <v>652</v>
      </c>
      <c r="F175" t="s">
        <v>653</v>
      </c>
      <c r="G175">
        <v>43.905999999999999</v>
      </c>
      <c r="H175" t="s">
        <v>104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-1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5</v>
      </c>
      <c r="AQ175">
        <v>5</v>
      </c>
      <c r="AR175">
        <v>0</v>
      </c>
      <c r="AS175">
        <v>4</v>
      </c>
      <c r="AT175">
        <v>3</v>
      </c>
      <c r="AU175">
        <v>4</v>
      </c>
      <c r="AV175">
        <v>2</v>
      </c>
      <c r="AW175">
        <v>4</v>
      </c>
      <c r="AX175">
        <v>1</v>
      </c>
      <c r="AY175">
        <v>3</v>
      </c>
      <c r="AZ175">
        <v>2</v>
      </c>
      <c r="BA175">
        <v>5</v>
      </c>
      <c r="BB175">
        <v>3</v>
      </c>
      <c r="BC175">
        <v>4</v>
      </c>
      <c r="BD175">
        <v>3</v>
      </c>
      <c r="BE175">
        <v>5</v>
      </c>
      <c r="BF175">
        <v>2</v>
      </c>
      <c r="BG175">
        <v>3</v>
      </c>
      <c r="BH175">
        <v>1</v>
      </c>
      <c r="BI175">
        <v>2</v>
      </c>
      <c r="BJ175">
        <v>2316672.75</v>
      </c>
      <c r="BK175">
        <v>14524971</v>
      </c>
      <c r="BL175">
        <v>7780.08</v>
      </c>
      <c r="BM175">
        <v>6263374.5</v>
      </c>
      <c r="BN175">
        <v>4416400</v>
      </c>
      <c r="BO175">
        <v>15123855</v>
      </c>
      <c r="BP175">
        <v>3837438.5</v>
      </c>
      <c r="BQ175">
        <v>18150386</v>
      </c>
      <c r="BR175">
        <v>1476759.88</v>
      </c>
      <c r="BS175">
        <v>4142640.75</v>
      </c>
      <c r="BT175">
        <v>1100788.1200000001</v>
      </c>
      <c r="BU175">
        <v>14436614</v>
      </c>
      <c r="BV175">
        <v>4242196</v>
      </c>
      <c r="BW175">
        <v>13312091</v>
      </c>
      <c r="BX175">
        <v>4056161.5</v>
      </c>
      <c r="BY175">
        <v>15046311</v>
      </c>
      <c r="BZ175">
        <v>2648300.25</v>
      </c>
      <c r="CA175">
        <v>19914038</v>
      </c>
      <c r="CB175">
        <v>1210304.1200000001</v>
      </c>
      <c r="CC175">
        <v>1441752.38</v>
      </c>
      <c r="CD175">
        <v>3113961.5</v>
      </c>
      <c r="CE175">
        <v>9779949</v>
      </c>
      <c r="CF175">
        <v>1759498.38</v>
      </c>
      <c r="CG175">
        <v>9034396</v>
      </c>
      <c r="CH175">
        <v>4651981.5</v>
      </c>
      <c r="CI175">
        <v>13780399</v>
      </c>
      <c r="CJ175">
        <v>4272342</v>
      </c>
      <c r="CK175">
        <v>20268476</v>
      </c>
      <c r="CL175">
        <v>2042832.75</v>
      </c>
      <c r="CM175">
        <v>5288774.5</v>
      </c>
      <c r="CN175">
        <v>5987649</v>
      </c>
      <c r="CO175">
        <v>14255055</v>
      </c>
      <c r="CP175">
        <v>6581123</v>
      </c>
      <c r="CQ175">
        <v>12095876</v>
      </c>
      <c r="CR175">
        <v>6060621.5</v>
      </c>
      <c r="CS175">
        <v>16152725</v>
      </c>
      <c r="CT175">
        <v>3776700.25</v>
      </c>
      <c r="CU175">
        <v>22170312</v>
      </c>
      <c r="CV175">
        <v>2016193.62</v>
      </c>
      <c r="CW175">
        <v>2982251</v>
      </c>
    </row>
    <row r="176" spans="1:101">
      <c r="A176">
        <v>31120</v>
      </c>
      <c r="B176" t="s">
        <v>654</v>
      </c>
      <c r="D176" t="s">
        <v>654</v>
      </c>
      <c r="E176" t="s">
        <v>655</v>
      </c>
      <c r="F176" t="s">
        <v>656</v>
      </c>
      <c r="G176">
        <v>43.445999999999998</v>
      </c>
      <c r="H176" t="s">
        <v>104</v>
      </c>
      <c r="I176">
        <v>2</v>
      </c>
      <c r="J176">
        <v>1</v>
      </c>
      <c r="K176">
        <v>2</v>
      </c>
      <c r="L176">
        <v>0</v>
      </c>
      <c r="M176">
        <v>0</v>
      </c>
      <c r="N176">
        <v>-1</v>
      </c>
      <c r="O176">
        <v>4</v>
      </c>
      <c r="P176">
        <v>4</v>
      </c>
      <c r="Q176">
        <v>4</v>
      </c>
      <c r="R176">
        <v>4</v>
      </c>
      <c r="S176">
        <v>4</v>
      </c>
      <c r="T176">
        <v>4</v>
      </c>
      <c r="U176">
        <v>4</v>
      </c>
      <c r="V176">
        <v>3</v>
      </c>
      <c r="W176">
        <v>4</v>
      </c>
      <c r="X176">
        <v>1</v>
      </c>
      <c r="Y176">
        <v>4</v>
      </c>
      <c r="Z176">
        <v>4</v>
      </c>
      <c r="AA176">
        <v>4</v>
      </c>
      <c r="AB176">
        <v>4</v>
      </c>
      <c r="AC176">
        <v>4</v>
      </c>
      <c r="AD176">
        <v>4</v>
      </c>
      <c r="AE176">
        <v>4</v>
      </c>
      <c r="AF176">
        <v>4</v>
      </c>
      <c r="AG176">
        <v>4</v>
      </c>
      <c r="AH176">
        <v>4</v>
      </c>
      <c r="AI176">
        <v>4</v>
      </c>
      <c r="AJ176">
        <v>4</v>
      </c>
      <c r="AK176">
        <v>4</v>
      </c>
      <c r="AL176">
        <v>4</v>
      </c>
      <c r="AM176">
        <v>4</v>
      </c>
      <c r="AN176">
        <v>4</v>
      </c>
      <c r="AO176">
        <v>4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2</v>
      </c>
      <c r="BE176">
        <v>1</v>
      </c>
      <c r="BF176">
        <v>0</v>
      </c>
      <c r="BG176">
        <v>0</v>
      </c>
      <c r="BH176">
        <v>0</v>
      </c>
      <c r="BI176">
        <v>0</v>
      </c>
      <c r="BJ176">
        <v>2002499.5</v>
      </c>
      <c r="BK176">
        <v>3225772</v>
      </c>
      <c r="BL176">
        <v>12784.11</v>
      </c>
      <c r="BM176">
        <v>995023.62</v>
      </c>
      <c r="BN176">
        <v>2971019.5</v>
      </c>
      <c r="BO176">
        <v>3517751.25</v>
      </c>
      <c r="BP176">
        <v>2589967</v>
      </c>
      <c r="BQ176">
        <v>2333908</v>
      </c>
      <c r="BR176">
        <v>1660150.5</v>
      </c>
      <c r="BS176">
        <v>1509249.5</v>
      </c>
      <c r="BT176">
        <v>551368.68999999994</v>
      </c>
      <c r="BU176">
        <v>2654299.5</v>
      </c>
      <c r="BV176">
        <v>1813071.25</v>
      </c>
      <c r="BW176">
        <v>1708543.75</v>
      </c>
      <c r="BX176">
        <v>2366631.75</v>
      </c>
      <c r="BY176">
        <v>3127889.75</v>
      </c>
      <c r="BZ176">
        <v>1609232</v>
      </c>
      <c r="CA176">
        <v>2254050</v>
      </c>
      <c r="CB176">
        <v>1147996.75</v>
      </c>
      <c r="CC176">
        <v>564834.18999999994</v>
      </c>
      <c r="CD176">
        <v>1696297.12</v>
      </c>
      <c r="CE176">
        <v>1813070.38</v>
      </c>
      <c r="CF176">
        <v>1830907</v>
      </c>
      <c r="CG176">
        <v>1028278.12</v>
      </c>
      <c r="CH176">
        <v>2165781.5</v>
      </c>
      <c r="CI176">
        <v>2455799.25</v>
      </c>
      <c r="CJ176">
        <v>1714718.5</v>
      </c>
      <c r="CK176">
        <v>1883398.38</v>
      </c>
      <c r="CL176">
        <v>1593163</v>
      </c>
      <c r="CM176">
        <v>1274932.6200000001</v>
      </c>
      <c r="CN176">
        <v>1972246.12</v>
      </c>
      <c r="CO176">
        <v>1826596.25</v>
      </c>
      <c r="CP176">
        <v>1729898.75</v>
      </c>
      <c r="CQ176">
        <v>944114.62</v>
      </c>
      <c r="CR176">
        <v>2230880.5</v>
      </c>
      <c r="CS176">
        <v>2208645.75</v>
      </c>
      <c r="CT176">
        <v>1460739.12</v>
      </c>
      <c r="CU176">
        <v>1551297.5</v>
      </c>
      <c r="CV176">
        <v>1286989.5</v>
      </c>
      <c r="CW176">
        <v>744823.88</v>
      </c>
    </row>
    <row r="177" spans="1:101">
      <c r="A177">
        <v>30923</v>
      </c>
      <c r="B177" t="s">
        <v>657</v>
      </c>
      <c r="D177" t="s">
        <v>658</v>
      </c>
      <c r="F177" t="s">
        <v>659</v>
      </c>
      <c r="G177">
        <v>42.414999999999999</v>
      </c>
      <c r="H177" t="s">
        <v>104</v>
      </c>
      <c r="I177">
        <v>2</v>
      </c>
      <c r="J177">
        <v>19</v>
      </c>
      <c r="K177">
        <v>0</v>
      </c>
      <c r="L177">
        <v>0</v>
      </c>
      <c r="M177">
        <v>0</v>
      </c>
      <c r="N177">
        <v>-1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0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1294927.75</v>
      </c>
      <c r="BK177">
        <v>1542281.62</v>
      </c>
      <c r="BM177">
        <v>428831</v>
      </c>
      <c r="BN177">
        <v>2254192.75</v>
      </c>
      <c r="BO177">
        <v>1994341.62</v>
      </c>
      <c r="BP177">
        <v>1238692.5</v>
      </c>
      <c r="BQ177">
        <v>1163163.6200000001</v>
      </c>
      <c r="BR177">
        <v>822166.81</v>
      </c>
      <c r="BS177">
        <v>323579.5</v>
      </c>
      <c r="BT177">
        <v>394197.22</v>
      </c>
      <c r="BU177">
        <v>1521363.62</v>
      </c>
      <c r="BV177">
        <v>1039763.62</v>
      </c>
      <c r="BW177">
        <v>818766.31</v>
      </c>
      <c r="BX177">
        <v>1991769.75</v>
      </c>
      <c r="BY177">
        <v>1374770.5</v>
      </c>
      <c r="BZ177">
        <v>1121571.25</v>
      </c>
      <c r="CA177">
        <v>1057264.6200000001</v>
      </c>
      <c r="CB177">
        <v>384793.94</v>
      </c>
      <c r="CC177">
        <v>125587.71</v>
      </c>
      <c r="CD177">
        <v>1294927.75</v>
      </c>
      <c r="CE177">
        <v>833247.12</v>
      </c>
      <c r="CF177">
        <v>1861110.38</v>
      </c>
      <c r="CG177">
        <v>444479.78</v>
      </c>
      <c r="CH177">
        <v>1643626.75</v>
      </c>
      <c r="CI177">
        <v>1204265.6200000001</v>
      </c>
      <c r="CJ177">
        <v>899082.06</v>
      </c>
      <c r="CK177">
        <v>946090.75</v>
      </c>
      <c r="CL177">
        <v>788677.56</v>
      </c>
      <c r="CM177">
        <v>273650.5</v>
      </c>
      <c r="CN177">
        <v>1396425.75</v>
      </c>
      <c r="CO177">
        <v>1050539.25</v>
      </c>
      <c r="CP177">
        <v>1036521.5</v>
      </c>
      <c r="CQ177">
        <v>462997.88</v>
      </c>
      <c r="CR177">
        <v>1883357.38</v>
      </c>
      <c r="CS177">
        <v>1004079.25</v>
      </c>
      <c r="CT177">
        <v>1054670.1200000001</v>
      </c>
      <c r="CU177">
        <v>771357.75</v>
      </c>
      <c r="CV177">
        <v>422091.25</v>
      </c>
      <c r="CW177">
        <v>164258.32999999999</v>
      </c>
    </row>
    <row r="178" spans="1:101">
      <c r="A178">
        <v>31057</v>
      </c>
      <c r="B178" t="s">
        <v>660</v>
      </c>
      <c r="D178" t="s">
        <v>661</v>
      </c>
      <c r="F178" t="s">
        <v>662</v>
      </c>
      <c r="G178">
        <v>42.173000000000002</v>
      </c>
      <c r="H178" t="s">
        <v>104</v>
      </c>
      <c r="I178">
        <v>2</v>
      </c>
      <c r="J178">
        <v>20</v>
      </c>
      <c r="K178">
        <v>0</v>
      </c>
      <c r="L178">
        <v>0</v>
      </c>
      <c r="M178">
        <v>0</v>
      </c>
      <c r="N178">
        <v>-1</v>
      </c>
      <c r="O178">
        <v>2</v>
      </c>
      <c r="P178">
        <v>2</v>
      </c>
      <c r="Q178">
        <v>2</v>
      </c>
      <c r="R178">
        <v>2</v>
      </c>
      <c r="S178">
        <v>2</v>
      </c>
      <c r="T178">
        <v>2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2</v>
      </c>
      <c r="AL178">
        <v>2</v>
      </c>
      <c r="AM178">
        <v>2</v>
      </c>
      <c r="AN178">
        <v>2</v>
      </c>
      <c r="AO178">
        <v>2</v>
      </c>
      <c r="AP178">
        <v>2</v>
      </c>
      <c r="AQ178">
        <v>3</v>
      </c>
      <c r="AR178">
        <v>0</v>
      </c>
      <c r="AS178">
        <v>3</v>
      </c>
      <c r="AT178">
        <v>4</v>
      </c>
      <c r="AU178">
        <v>5</v>
      </c>
      <c r="AV178">
        <v>4</v>
      </c>
      <c r="AW178">
        <v>4</v>
      </c>
      <c r="AX178">
        <v>3</v>
      </c>
      <c r="AY178">
        <v>4</v>
      </c>
      <c r="AZ178">
        <v>2</v>
      </c>
      <c r="BA178">
        <v>5</v>
      </c>
      <c r="BB178">
        <v>4</v>
      </c>
      <c r="BC178">
        <v>4</v>
      </c>
      <c r="BD178">
        <v>4</v>
      </c>
      <c r="BE178">
        <v>3</v>
      </c>
      <c r="BF178">
        <v>4</v>
      </c>
      <c r="BG178">
        <v>4</v>
      </c>
      <c r="BH178">
        <v>3</v>
      </c>
      <c r="BI178">
        <v>3</v>
      </c>
      <c r="BJ178">
        <v>40184744</v>
      </c>
      <c r="BK178">
        <v>81029976</v>
      </c>
      <c r="BL178">
        <v>99286.62</v>
      </c>
      <c r="BM178">
        <v>27844452</v>
      </c>
      <c r="BN178">
        <v>74186168</v>
      </c>
      <c r="BO178">
        <v>77660560</v>
      </c>
      <c r="BP178">
        <v>52740216</v>
      </c>
      <c r="BQ178">
        <v>59874752</v>
      </c>
      <c r="BR178">
        <v>29572488</v>
      </c>
      <c r="BS178">
        <v>31750456</v>
      </c>
      <c r="BT178">
        <v>8248762.5</v>
      </c>
      <c r="BU178">
        <v>64420380</v>
      </c>
      <c r="BV178">
        <v>51720100</v>
      </c>
      <c r="BW178">
        <v>47969740</v>
      </c>
      <c r="BX178">
        <v>56621540</v>
      </c>
      <c r="BY178">
        <v>61649136</v>
      </c>
      <c r="BZ178">
        <v>50089152</v>
      </c>
      <c r="CA178">
        <v>67389464</v>
      </c>
      <c r="CB178">
        <v>28245616</v>
      </c>
      <c r="CC178">
        <v>16517013</v>
      </c>
      <c r="CD178">
        <v>2156310.25</v>
      </c>
      <c r="CE178">
        <v>8531271</v>
      </c>
      <c r="CF178">
        <v>15767919</v>
      </c>
      <c r="CG178">
        <v>32310110</v>
      </c>
      <c r="CH178">
        <v>56667036</v>
      </c>
      <c r="CI178">
        <v>52090176</v>
      </c>
      <c r="CJ178">
        <v>42351332</v>
      </c>
      <c r="CK178">
        <v>56929588</v>
      </c>
      <c r="CL178">
        <v>27523210</v>
      </c>
      <c r="CM178">
        <v>27019688</v>
      </c>
      <c r="CN178">
        <v>27144142</v>
      </c>
      <c r="CO178">
        <v>46846836</v>
      </c>
      <c r="CP178">
        <v>53219416</v>
      </c>
      <c r="CQ178">
        <v>34235108</v>
      </c>
      <c r="CR178">
        <v>61644572</v>
      </c>
      <c r="CS178">
        <v>50404672</v>
      </c>
      <c r="CT178">
        <v>52971748</v>
      </c>
      <c r="CU178">
        <v>59660408</v>
      </c>
      <c r="CV178">
        <v>30584890</v>
      </c>
      <c r="CW178">
        <v>26638240</v>
      </c>
    </row>
    <row r="179" spans="1:101">
      <c r="A179">
        <v>30941</v>
      </c>
      <c r="B179" t="s">
        <v>663</v>
      </c>
      <c r="D179" t="s">
        <v>664</v>
      </c>
      <c r="F179" t="s">
        <v>665</v>
      </c>
      <c r="G179">
        <v>41.262</v>
      </c>
      <c r="H179" t="s">
        <v>104</v>
      </c>
      <c r="I179">
        <v>2</v>
      </c>
      <c r="J179">
        <v>21</v>
      </c>
      <c r="K179">
        <v>0</v>
      </c>
      <c r="L179">
        <v>0</v>
      </c>
      <c r="M179">
        <v>0</v>
      </c>
      <c r="N179">
        <v>-1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520668.38</v>
      </c>
      <c r="BK179">
        <v>955632.44</v>
      </c>
      <c r="BL179">
        <v>16484.13</v>
      </c>
      <c r="BN179">
        <v>572777.12</v>
      </c>
      <c r="BO179">
        <v>628306.56000000006</v>
      </c>
      <c r="BP179">
        <v>625138.93999999994</v>
      </c>
      <c r="BQ179">
        <v>422338.59</v>
      </c>
      <c r="BR179">
        <v>395678.91</v>
      </c>
      <c r="BT179">
        <v>96505.03</v>
      </c>
      <c r="BU179">
        <v>471613.94</v>
      </c>
      <c r="BV179">
        <v>390585.84</v>
      </c>
      <c r="BW179">
        <v>615661.88</v>
      </c>
      <c r="BX179">
        <v>293324.53000000003</v>
      </c>
      <c r="BY179">
        <v>336817.53</v>
      </c>
      <c r="BZ179">
        <v>364014.78</v>
      </c>
      <c r="CA179">
        <v>332027.71999999997</v>
      </c>
      <c r="CB179">
        <v>242755.55</v>
      </c>
      <c r="CC179">
        <v>138798.29999999999</v>
      </c>
      <c r="CD179">
        <v>520668.38</v>
      </c>
      <c r="CE179">
        <v>516298.69</v>
      </c>
      <c r="CF179">
        <v>1898025.62</v>
      </c>
      <c r="CG179">
        <v>191651.27</v>
      </c>
      <c r="CH179">
        <v>417635.88</v>
      </c>
      <c r="CI179">
        <v>379397.38</v>
      </c>
      <c r="CJ179">
        <v>453745.53</v>
      </c>
      <c r="CK179">
        <v>343520.56</v>
      </c>
      <c r="CL179">
        <v>379561.72</v>
      </c>
      <c r="CM179">
        <v>200247.95</v>
      </c>
      <c r="CN179">
        <v>341864.69</v>
      </c>
      <c r="CO179">
        <v>325661.09000000003</v>
      </c>
      <c r="CP179">
        <v>389367.91</v>
      </c>
      <c r="CQ179">
        <v>348145.91</v>
      </c>
      <c r="CR179">
        <v>277358.84000000003</v>
      </c>
      <c r="CS179">
        <v>245998.53</v>
      </c>
      <c r="CT179">
        <v>342301.5</v>
      </c>
      <c r="CU179">
        <v>242240.38</v>
      </c>
      <c r="CV179">
        <v>266285.34000000003</v>
      </c>
      <c r="CW179">
        <v>181536.69</v>
      </c>
    </row>
    <row r="180" spans="1:101">
      <c r="A180">
        <v>31082</v>
      </c>
      <c r="B180" t="s">
        <v>666</v>
      </c>
      <c r="D180" t="s">
        <v>667</v>
      </c>
      <c r="F180" t="s">
        <v>668</v>
      </c>
      <c r="G180">
        <v>40.087000000000003</v>
      </c>
      <c r="H180" t="s">
        <v>104</v>
      </c>
      <c r="I180">
        <v>2</v>
      </c>
      <c r="J180">
        <v>3</v>
      </c>
      <c r="K180">
        <v>0</v>
      </c>
      <c r="L180">
        <v>0</v>
      </c>
      <c r="M180">
        <v>0</v>
      </c>
      <c r="N180">
        <v>-1</v>
      </c>
      <c r="O180">
        <v>3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Y180">
        <v>3</v>
      </c>
      <c r="Z180">
        <v>3</v>
      </c>
      <c r="AA180">
        <v>3</v>
      </c>
      <c r="AB180">
        <v>3</v>
      </c>
      <c r="AC180">
        <v>3</v>
      </c>
      <c r="AD180">
        <v>3</v>
      </c>
      <c r="AE180">
        <v>3</v>
      </c>
      <c r="AF180">
        <v>2</v>
      </c>
      <c r="AG180">
        <v>3</v>
      </c>
      <c r="AH180">
        <v>3</v>
      </c>
      <c r="AI180">
        <v>3</v>
      </c>
      <c r="AJ180">
        <v>3</v>
      </c>
      <c r="AK180">
        <v>3</v>
      </c>
      <c r="AL180">
        <v>3</v>
      </c>
      <c r="AM180">
        <v>3</v>
      </c>
      <c r="AN180">
        <v>3</v>
      </c>
      <c r="AO180">
        <v>3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</v>
      </c>
      <c r="AV180">
        <v>1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1</v>
      </c>
      <c r="BC180">
        <v>0</v>
      </c>
      <c r="BD180">
        <v>0</v>
      </c>
      <c r="BE180">
        <v>2</v>
      </c>
      <c r="BF180">
        <v>0</v>
      </c>
      <c r="BG180">
        <v>2</v>
      </c>
      <c r="BH180">
        <v>0</v>
      </c>
      <c r="BI180">
        <v>0</v>
      </c>
      <c r="BJ180">
        <v>1264829.75</v>
      </c>
      <c r="BK180">
        <v>1986521.25</v>
      </c>
      <c r="BM180">
        <v>843636.75</v>
      </c>
      <c r="BN180">
        <v>1835964.88</v>
      </c>
      <c r="BO180">
        <v>2024247.75</v>
      </c>
      <c r="BP180">
        <v>2206685</v>
      </c>
      <c r="BQ180">
        <v>2280905.75</v>
      </c>
      <c r="BR180">
        <v>723746.06</v>
      </c>
      <c r="BS180">
        <v>760044.56</v>
      </c>
      <c r="BT180">
        <v>163838.97</v>
      </c>
      <c r="BU180">
        <v>1276451.75</v>
      </c>
      <c r="BV180">
        <v>1185176.5</v>
      </c>
      <c r="BW180">
        <v>1645408.75</v>
      </c>
      <c r="BX180">
        <v>1186893.25</v>
      </c>
      <c r="BY180">
        <v>1763849</v>
      </c>
      <c r="BZ180">
        <v>967282</v>
      </c>
      <c r="CA180">
        <v>1513223.5</v>
      </c>
      <c r="CB180">
        <v>523622.44</v>
      </c>
      <c r="CC180">
        <v>461023.56</v>
      </c>
      <c r="CD180">
        <v>1117074.25</v>
      </c>
      <c r="CE180">
        <v>1062699.75</v>
      </c>
      <c r="CF180">
        <v>1861110.38</v>
      </c>
      <c r="CG180">
        <v>821849.31</v>
      </c>
      <c r="CH180">
        <v>1339719.25</v>
      </c>
      <c r="CI180">
        <v>1182773.1200000001</v>
      </c>
      <c r="CJ180">
        <v>1641829.25</v>
      </c>
      <c r="CK180">
        <v>1854892.88</v>
      </c>
      <c r="CL180">
        <v>665913.43999999994</v>
      </c>
      <c r="CM180">
        <v>707254.81</v>
      </c>
      <c r="CN180">
        <v>671913.94</v>
      </c>
      <c r="CO180">
        <v>894433.75</v>
      </c>
      <c r="CP180">
        <v>1152440.1200000001</v>
      </c>
      <c r="CQ180">
        <v>843040.88</v>
      </c>
      <c r="CR180">
        <v>1114173</v>
      </c>
      <c r="CS180">
        <v>1327280.75</v>
      </c>
      <c r="CT180">
        <v>896146.19</v>
      </c>
      <c r="CU180">
        <v>1227748.75</v>
      </c>
      <c r="CV180">
        <v>682942.56</v>
      </c>
      <c r="CW180">
        <v>560814.25</v>
      </c>
    </row>
    <row r="181" spans="1:101">
      <c r="A181">
        <v>30956</v>
      </c>
      <c r="B181" t="s">
        <v>669</v>
      </c>
      <c r="D181" t="s">
        <v>670</v>
      </c>
      <c r="F181" t="s">
        <v>671</v>
      </c>
      <c r="G181">
        <v>39.774999999999999</v>
      </c>
      <c r="H181" t="s">
        <v>104</v>
      </c>
      <c r="I181">
        <v>2</v>
      </c>
      <c r="J181">
        <v>16</v>
      </c>
      <c r="K181">
        <v>0</v>
      </c>
      <c r="L181">
        <v>0</v>
      </c>
      <c r="M181">
        <v>0</v>
      </c>
      <c r="N181">
        <v>-1</v>
      </c>
      <c r="O181">
        <v>2</v>
      </c>
      <c r="P181">
        <v>1</v>
      </c>
      <c r="Q181">
        <v>2</v>
      </c>
      <c r="R181">
        <v>1</v>
      </c>
      <c r="S181">
        <v>2</v>
      </c>
      <c r="T181">
        <v>1</v>
      </c>
      <c r="U181">
        <v>1</v>
      </c>
      <c r="V181">
        <v>1</v>
      </c>
      <c r="W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0</v>
      </c>
      <c r="AS181">
        <v>0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0</v>
      </c>
      <c r="AZ181">
        <v>1</v>
      </c>
      <c r="BA181">
        <v>1</v>
      </c>
      <c r="BB181">
        <v>1</v>
      </c>
      <c r="BC181">
        <v>0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2330091</v>
      </c>
      <c r="BK181">
        <v>1695468.25</v>
      </c>
      <c r="BM181">
        <v>578673.31000000006</v>
      </c>
      <c r="BN181">
        <v>4008251.75</v>
      </c>
      <c r="BO181">
        <v>2725897</v>
      </c>
      <c r="BP181">
        <v>1849125.75</v>
      </c>
      <c r="BQ181">
        <v>1599189.5</v>
      </c>
      <c r="BR181">
        <v>871067.88</v>
      </c>
      <c r="BS181">
        <v>484495.69</v>
      </c>
      <c r="BT181">
        <v>716145.94</v>
      </c>
      <c r="BU181">
        <v>1823135.38</v>
      </c>
      <c r="BV181">
        <v>2323059.25</v>
      </c>
      <c r="BW181">
        <v>971116</v>
      </c>
      <c r="BX181">
        <v>3579157.5</v>
      </c>
      <c r="BY181">
        <v>2061851.75</v>
      </c>
      <c r="BZ181">
        <v>1515943.25</v>
      </c>
      <c r="CA181">
        <v>1827982.25</v>
      </c>
      <c r="CB181">
        <v>631100.06000000006</v>
      </c>
      <c r="CC181">
        <v>405053.53</v>
      </c>
      <c r="CD181">
        <v>1892480.5</v>
      </c>
      <c r="CE181">
        <v>727382.69</v>
      </c>
      <c r="CF181">
        <v>1861110.38</v>
      </c>
      <c r="CG181">
        <v>509689.44</v>
      </c>
      <c r="CH181">
        <v>2571564.5</v>
      </c>
      <c r="CI181">
        <v>1371419.5</v>
      </c>
      <c r="CJ181">
        <v>1099281.25</v>
      </c>
      <c r="CK181">
        <v>1100151.8799999999</v>
      </c>
      <c r="CL181">
        <v>571430.12</v>
      </c>
      <c r="CM181">
        <v>328905.34000000003</v>
      </c>
      <c r="CN181">
        <v>2266933.5</v>
      </c>
      <c r="CO181">
        <v>1178783.75</v>
      </c>
      <c r="CP181">
        <v>1957057.62</v>
      </c>
      <c r="CQ181">
        <v>407642.09</v>
      </c>
      <c r="CR181">
        <v>3036288.75</v>
      </c>
      <c r="CS181">
        <v>1277963</v>
      </c>
      <c r="CT181">
        <v>1223223.3799999999</v>
      </c>
      <c r="CU181">
        <v>1165752</v>
      </c>
      <c r="CV181">
        <v>487906.41</v>
      </c>
      <c r="CW181">
        <v>479800.44</v>
      </c>
    </row>
    <row r="182" spans="1:101">
      <c r="A182">
        <v>30957</v>
      </c>
      <c r="B182" t="s">
        <v>672</v>
      </c>
      <c r="D182" t="s">
        <v>672</v>
      </c>
      <c r="F182" t="s">
        <v>673</v>
      </c>
      <c r="G182">
        <v>39.774999999999999</v>
      </c>
      <c r="H182" t="s">
        <v>104</v>
      </c>
      <c r="I182">
        <v>2</v>
      </c>
      <c r="J182">
        <v>1</v>
      </c>
      <c r="K182">
        <v>0</v>
      </c>
      <c r="L182">
        <v>0</v>
      </c>
      <c r="M182">
        <v>0</v>
      </c>
      <c r="N182">
        <v>-1</v>
      </c>
      <c r="O182">
        <v>2</v>
      </c>
      <c r="P182">
        <v>1</v>
      </c>
      <c r="Q182">
        <v>2</v>
      </c>
      <c r="R182">
        <v>1</v>
      </c>
      <c r="S182">
        <v>2</v>
      </c>
      <c r="T182">
        <v>1</v>
      </c>
      <c r="U182">
        <v>1</v>
      </c>
      <c r="V182">
        <v>1</v>
      </c>
      <c r="W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0</v>
      </c>
      <c r="AS182">
        <v>0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0</v>
      </c>
      <c r="AZ182">
        <v>1</v>
      </c>
      <c r="BA182">
        <v>1</v>
      </c>
      <c r="BB182">
        <v>1</v>
      </c>
      <c r="BC182">
        <v>0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0</v>
      </c>
      <c r="BJ182">
        <v>2330091</v>
      </c>
      <c r="BK182">
        <v>1695468.25</v>
      </c>
      <c r="BM182">
        <v>578673.31000000006</v>
      </c>
      <c r="BN182">
        <v>4008251.75</v>
      </c>
      <c r="BO182">
        <v>2725897</v>
      </c>
      <c r="BP182">
        <v>1849125.75</v>
      </c>
      <c r="BQ182">
        <v>1599189.5</v>
      </c>
      <c r="BR182">
        <v>871067.88</v>
      </c>
      <c r="BS182">
        <v>484495.69</v>
      </c>
      <c r="BT182">
        <v>716145.94</v>
      </c>
      <c r="BU182">
        <v>1823135.38</v>
      </c>
      <c r="BV182">
        <v>2323059.25</v>
      </c>
      <c r="BW182">
        <v>971116</v>
      </c>
      <c r="BX182">
        <v>3579157.5</v>
      </c>
      <c r="BY182">
        <v>2061851.75</v>
      </c>
      <c r="BZ182">
        <v>1515943.25</v>
      </c>
      <c r="CA182">
        <v>1827982.25</v>
      </c>
      <c r="CB182">
        <v>631100.06000000006</v>
      </c>
      <c r="CC182">
        <v>405053.53</v>
      </c>
      <c r="CD182">
        <v>1892480.5</v>
      </c>
      <c r="CE182">
        <v>727382.69</v>
      </c>
      <c r="CF182">
        <v>1861110.38</v>
      </c>
      <c r="CG182">
        <v>509689.44</v>
      </c>
      <c r="CH182">
        <v>2571564.5</v>
      </c>
      <c r="CI182">
        <v>1371419.5</v>
      </c>
      <c r="CJ182">
        <v>1099281.25</v>
      </c>
      <c r="CK182">
        <v>1100151.8799999999</v>
      </c>
      <c r="CL182">
        <v>571430.12</v>
      </c>
      <c r="CM182">
        <v>328905.34000000003</v>
      </c>
      <c r="CN182">
        <v>2266933.5</v>
      </c>
      <c r="CO182">
        <v>1178783.75</v>
      </c>
      <c r="CP182">
        <v>1957057.62</v>
      </c>
      <c r="CQ182">
        <v>407642.09</v>
      </c>
      <c r="CR182">
        <v>3036288.75</v>
      </c>
      <c r="CS182">
        <v>1277963</v>
      </c>
      <c r="CT182">
        <v>1223223.3799999999</v>
      </c>
      <c r="CU182">
        <v>1165752</v>
      </c>
      <c r="CV182">
        <v>487906.41</v>
      </c>
      <c r="CW182">
        <v>479800.44</v>
      </c>
    </row>
    <row r="183" spans="1:101">
      <c r="A183">
        <v>31147</v>
      </c>
      <c r="B183" t="s">
        <v>674</v>
      </c>
      <c r="D183" t="s">
        <v>674</v>
      </c>
      <c r="F183" t="s">
        <v>675</v>
      </c>
      <c r="G183">
        <v>38.762</v>
      </c>
      <c r="H183" t="s">
        <v>104</v>
      </c>
      <c r="I183">
        <v>2</v>
      </c>
      <c r="J183">
        <v>1</v>
      </c>
      <c r="K183">
        <v>0</v>
      </c>
      <c r="L183">
        <v>0</v>
      </c>
      <c r="M183">
        <v>0</v>
      </c>
      <c r="N183">
        <v>-1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  <c r="AM183">
        <v>2</v>
      </c>
      <c r="AN183">
        <v>2</v>
      </c>
      <c r="AO183">
        <v>2</v>
      </c>
      <c r="AP183">
        <v>1</v>
      </c>
      <c r="AQ183">
        <v>1</v>
      </c>
      <c r="AR183">
        <v>2</v>
      </c>
      <c r="AS183">
        <v>3</v>
      </c>
      <c r="AT183">
        <v>2</v>
      </c>
      <c r="AU183">
        <v>2</v>
      </c>
      <c r="AV183">
        <v>3</v>
      </c>
      <c r="AW183">
        <v>2</v>
      </c>
      <c r="AX183">
        <v>3</v>
      </c>
      <c r="AY183">
        <v>2</v>
      </c>
      <c r="AZ183">
        <v>2</v>
      </c>
      <c r="BA183">
        <v>2</v>
      </c>
      <c r="BB183">
        <v>3</v>
      </c>
      <c r="BC183">
        <v>2</v>
      </c>
      <c r="BD183">
        <v>2</v>
      </c>
      <c r="BE183">
        <v>1</v>
      </c>
      <c r="BF183">
        <v>2</v>
      </c>
      <c r="BG183">
        <v>2</v>
      </c>
      <c r="BH183">
        <v>2</v>
      </c>
      <c r="BI183">
        <v>0</v>
      </c>
      <c r="BJ183">
        <v>8064786</v>
      </c>
      <c r="BK183">
        <v>7010608.5</v>
      </c>
      <c r="BL183">
        <v>976974.5</v>
      </c>
      <c r="BM183">
        <v>8320434.5</v>
      </c>
      <c r="BN183">
        <v>7466837</v>
      </c>
      <c r="BO183">
        <v>8293466</v>
      </c>
      <c r="BP183">
        <v>7427825</v>
      </c>
      <c r="BQ183">
        <v>7304463</v>
      </c>
      <c r="BR183">
        <v>6745878.5</v>
      </c>
      <c r="BS183">
        <v>6726199</v>
      </c>
      <c r="BT183">
        <v>10090132</v>
      </c>
      <c r="BU183">
        <v>5509040.5</v>
      </c>
      <c r="BV183">
        <v>5822660</v>
      </c>
      <c r="BW183">
        <v>5110435</v>
      </c>
      <c r="BX183">
        <v>7995070</v>
      </c>
      <c r="BY183">
        <v>5113973.5</v>
      </c>
      <c r="BZ183">
        <v>5021299.5</v>
      </c>
      <c r="CA183">
        <v>5486226.5</v>
      </c>
      <c r="CB183">
        <v>7573217</v>
      </c>
      <c r="CC183">
        <v>3032911.5</v>
      </c>
      <c r="CD183">
        <v>8141487.5</v>
      </c>
      <c r="CE183">
        <v>5094405.5</v>
      </c>
      <c r="CF183">
        <v>119336496</v>
      </c>
      <c r="CG183">
        <v>9981053</v>
      </c>
      <c r="CH183">
        <v>6590984.5</v>
      </c>
      <c r="CI183">
        <v>5645171.5</v>
      </c>
      <c r="CJ183">
        <v>6393933.5</v>
      </c>
      <c r="CK183">
        <v>6743073.5</v>
      </c>
      <c r="CL183">
        <v>6820724</v>
      </c>
      <c r="CM183">
        <v>6576222</v>
      </c>
      <c r="CN183">
        <v>46876452</v>
      </c>
      <c r="CO183">
        <v>4599923</v>
      </c>
      <c r="CP183">
        <v>6790700</v>
      </c>
      <c r="CQ183">
        <v>3716670.5</v>
      </c>
      <c r="CR183">
        <v>11066371</v>
      </c>
      <c r="CS183">
        <v>4696809</v>
      </c>
      <c r="CT183">
        <v>5744809</v>
      </c>
      <c r="CU183">
        <v>3779368.25</v>
      </c>
      <c r="CV183">
        <v>11780682</v>
      </c>
      <c r="CW183">
        <v>3592224.5</v>
      </c>
    </row>
    <row r="184" spans="1:101">
      <c r="A184">
        <v>31008</v>
      </c>
      <c r="B184" t="s">
        <v>676</v>
      </c>
      <c r="D184" t="s">
        <v>677</v>
      </c>
      <c r="F184" t="s">
        <v>678</v>
      </c>
      <c r="G184">
        <v>37.155999999999999</v>
      </c>
      <c r="H184" t="s">
        <v>104</v>
      </c>
      <c r="I184">
        <v>2</v>
      </c>
      <c r="J184">
        <v>21</v>
      </c>
      <c r="K184">
        <v>0</v>
      </c>
      <c r="L184">
        <v>0</v>
      </c>
      <c r="M184">
        <v>0</v>
      </c>
      <c r="N184">
        <v>-1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0</v>
      </c>
      <c r="AQ184">
        <v>1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1</v>
      </c>
      <c r="AY184">
        <v>1</v>
      </c>
      <c r="AZ184">
        <v>0</v>
      </c>
      <c r="BA184">
        <v>1</v>
      </c>
      <c r="BB184">
        <v>0</v>
      </c>
      <c r="BC184">
        <v>1</v>
      </c>
      <c r="BD184">
        <v>0</v>
      </c>
      <c r="BE184">
        <v>1</v>
      </c>
      <c r="BF184">
        <v>1</v>
      </c>
      <c r="BG184">
        <v>0</v>
      </c>
      <c r="BH184">
        <v>1</v>
      </c>
      <c r="BI184">
        <v>1</v>
      </c>
      <c r="BJ184">
        <v>235433.98</v>
      </c>
      <c r="BK184">
        <v>472276.34</v>
      </c>
      <c r="BM184">
        <v>317227.09000000003</v>
      </c>
      <c r="BN184">
        <v>174759.34</v>
      </c>
      <c r="BO184">
        <v>360697.88</v>
      </c>
      <c r="BP184">
        <v>253639.58</v>
      </c>
      <c r="BQ184">
        <v>206522.47</v>
      </c>
      <c r="BR184">
        <v>272316.59000000003</v>
      </c>
      <c r="BS184">
        <v>235689.27</v>
      </c>
      <c r="BT184">
        <v>42721.7</v>
      </c>
      <c r="BU184">
        <v>403353.5</v>
      </c>
      <c r="BV184">
        <v>151809.12</v>
      </c>
      <c r="BW184">
        <v>646883.81000000006</v>
      </c>
      <c r="BX184">
        <v>121631.55</v>
      </c>
      <c r="BY184">
        <v>350500.69</v>
      </c>
      <c r="BZ184">
        <v>177497.89</v>
      </c>
      <c r="CA184">
        <v>236874.72</v>
      </c>
      <c r="CB184">
        <v>211044.83</v>
      </c>
      <c r="CC184">
        <v>221560.78</v>
      </c>
      <c r="CD184">
        <v>235433.98</v>
      </c>
      <c r="CE184">
        <v>255156.33</v>
      </c>
      <c r="CF184">
        <v>1861110.38</v>
      </c>
      <c r="CG184">
        <v>328803.25</v>
      </c>
      <c r="CH184">
        <v>127424.38</v>
      </c>
      <c r="CI184">
        <v>217804.23</v>
      </c>
      <c r="CJ184">
        <v>184099.59</v>
      </c>
      <c r="CK184">
        <v>167980.66</v>
      </c>
      <c r="CL184">
        <v>261224.33</v>
      </c>
      <c r="CM184">
        <v>199321.91</v>
      </c>
      <c r="CN184">
        <v>151339.66</v>
      </c>
      <c r="CO184">
        <v>278525.56</v>
      </c>
      <c r="CP184">
        <v>151335.75</v>
      </c>
      <c r="CQ184">
        <v>365801.38</v>
      </c>
      <c r="CR184">
        <v>115011.13</v>
      </c>
      <c r="CS184">
        <v>255992.16</v>
      </c>
      <c r="CT184">
        <v>166910.23000000001</v>
      </c>
      <c r="CU184">
        <v>172818.77</v>
      </c>
      <c r="CV184">
        <v>231500.97</v>
      </c>
      <c r="CW184">
        <v>289783.15999999997</v>
      </c>
    </row>
    <row r="185" spans="1:101">
      <c r="A185">
        <v>31048</v>
      </c>
      <c r="B185" t="s">
        <v>679</v>
      </c>
      <c r="D185" t="s">
        <v>680</v>
      </c>
      <c r="F185" t="s">
        <v>681</v>
      </c>
      <c r="G185">
        <v>36.924999999999997</v>
      </c>
      <c r="H185" t="s">
        <v>104</v>
      </c>
      <c r="I185">
        <v>2</v>
      </c>
      <c r="J185">
        <v>3</v>
      </c>
      <c r="K185">
        <v>0</v>
      </c>
      <c r="L185">
        <v>0</v>
      </c>
      <c r="M185">
        <v>0</v>
      </c>
      <c r="N185">
        <v>-1</v>
      </c>
      <c r="O185">
        <v>2</v>
      </c>
      <c r="P185">
        <v>2</v>
      </c>
      <c r="Q185">
        <v>2</v>
      </c>
      <c r="R185">
        <v>2</v>
      </c>
      <c r="S185">
        <v>2</v>
      </c>
      <c r="T185">
        <v>2</v>
      </c>
      <c r="U185">
        <v>2</v>
      </c>
      <c r="V185">
        <v>2</v>
      </c>
      <c r="W185">
        <v>2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2</v>
      </c>
      <c r="AE185">
        <v>2</v>
      </c>
      <c r="AF185">
        <v>2</v>
      </c>
      <c r="AG185">
        <v>2</v>
      </c>
      <c r="AH185">
        <v>2</v>
      </c>
      <c r="AI185">
        <v>2</v>
      </c>
      <c r="AJ185">
        <v>2</v>
      </c>
      <c r="AK185">
        <v>2</v>
      </c>
      <c r="AL185">
        <v>2</v>
      </c>
      <c r="AM185">
        <v>2</v>
      </c>
      <c r="AN185">
        <v>2</v>
      </c>
      <c r="AO185">
        <v>2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2</v>
      </c>
      <c r="BD185">
        <v>0</v>
      </c>
      <c r="BE185">
        <v>1</v>
      </c>
      <c r="BF185">
        <v>1</v>
      </c>
      <c r="BG185">
        <v>0</v>
      </c>
      <c r="BH185">
        <v>1</v>
      </c>
      <c r="BI185">
        <v>1</v>
      </c>
      <c r="BJ185">
        <v>973270.12</v>
      </c>
      <c r="BK185">
        <v>1594818.5</v>
      </c>
      <c r="BM185">
        <v>2254954.5</v>
      </c>
      <c r="BN185">
        <v>1346930</v>
      </c>
      <c r="BO185">
        <v>1583482.75</v>
      </c>
      <c r="BP185">
        <v>1388095.5</v>
      </c>
      <c r="BQ185">
        <v>731717.94</v>
      </c>
      <c r="BR185">
        <v>1226048.1200000001</v>
      </c>
      <c r="BS185">
        <v>1274121</v>
      </c>
      <c r="BT185">
        <v>337518.25</v>
      </c>
      <c r="BU185">
        <v>1348556.12</v>
      </c>
      <c r="BV185">
        <v>685913.25</v>
      </c>
      <c r="BW185">
        <v>1732686.25</v>
      </c>
      <c r="BX185">
        <v>820958.25</v>
      </c>
      <c r="BY185">
        <v>1101645.6200000001</v>
      </c>
      <c r="BZ185">
        <v>994364.5</v>
      </c>
      <c r="CA185">
        <v>649319.12</v>
      </c>
      <c r="CB185">
        <v>1064088</v>
      </c>
      <c r="CC185">
        <v>713455.75</v>
      </c>
      <c r="CD185">
        <v>1002115.12</v>
      </c>
      <c r="CE185">
        <v>896501.88</v>
      </c>
      <c r="CF185">
        <v>1861110.38</v>
      </c>
      <c r="CG185">
        <v>1806682.12</v>
      </c>
      <c r="CH185">
        <v>767418.25</v>
      </c>
      <c r="CI185">
        <v>998626.44</v>
      </c>
      <c r="CJ185">
        <v>1037818.44</v>
      </c>
      <c r="CK185">
        <v>628243.56000000006</v>
      </c>
      <c r="CL185">
        <v>1236115.75</v>
      </c>
      <c r="CM185">
        <v>1082903.1200000001</v>
      </c>
      <c r="CN185">
        <v>1073425.3799999999</v>
      </c>
      <c r="CO185">
        <v>931885.31</v>
      </c>
      <c r="CP185">
        <v>707363</v>
      </c>
      <c r="CQ185">
        <v>1043980.06</v>
      </c>
      <c r="CR185">
        <v>860372.12</v>
      </c>
      <c r="CS185">
        <v>859068.38</v>
      </c>
      <c r="CT185">
        <v>991804.31</v>
      </c>
      <c r="CU185">
        <v>494034.25</v>
      </c>
      <c r="CV185">
        <v>1312826.25</v>
      </c>
      <c r="CW185">
        <v>1198703.75</v>
      </c>
    </row>
    <row r="186" spans="1:101">
      <c r="A186">
        <v>31137</v>
      </c>
      <c r="B186" t="s">
        <v>682</v>
      </c>
      <c r="D186" t="s">
        <v>683</v>
      </c>
      <c r="F186" t="s">
        <v>684</v>
      </c>
      <c r="G186">
        <v>36.058999999999997</v>
      </c>
      <c r="H186" t="s">
        <v>104</v>
      </c>
      <c r="I186">
        <v>2</v>
      </c>
      <c r="J186">
        <v>3</v>
      </c>
      <c r="K186">
        <v>0</v>
      </c>
      <c r="L186">
        <v>0</v>
      </c>
      <c r="M186">
        <v>0</v>
      </c>
      <c r="N186">
        <v>-1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W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1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0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1</v>
      </c>
      <c r="BI186">
        <v>0</v>
      </c>
      <c r="BK186">
        <v>211783.16</v>
      </c>
      <c r="BM186">
        <v>182440.83</v>
      </c>
      <c r="BN186">
        <v>613404.43999999994</v>
      </c>
      <c r="BO186">
        <v>532532.75</v>
      </c>
      <c r="BP186">
        <v>610933.38</v>
      </c>
      <c r="BQ186">
        <v>427214.12</v>
      </c>
      <c r="BR186">
        <v>332241.15999999997</v>
      </c>
      <c r="BS186">
        <v>222298.53</v>
      </c>
      <c r="BT186">
        <v>128010.77</v>
      </c>
      <c r="BU186">
        <v>373290.62</v>
      </c>
      <c r="BV186">
        <v>923184.81</v>
      </c>
      <c r="BW186">
        <v>319425.12</v>
      </c>
      <c r="BX186">
        <v>840631.06</v>
      </c>
      <c r="BY186">
        <v>431480.69</v>
      </c>
      <c r="BZ186">
        <v>388286.34</v>
      </c>
      <c r="CA186">
        <v>350198.38</v>
      </c>
      <c r="CB186">
        <v>257046.97</v>
      </c>
      <c r="CC186">
        <v>55248.45</v>
      </c>
      <c r="CD186">
        <v>311941.62</v>
      </c>
      <c r="CE186">
        <v>114419.9</v>
      </c>
      <c r="CF186">
        <v>1861110.38</v>
      </c>
      <c r="CG186">
        <v>189098.41</v>
      </c>
      <c r="CH186">
        <v>447258.97</v>
      </c>
      <c r="CI186">
        <v>321565.21999999997</v>
      </c>
      <c r="CJ186">
        <v>443434.72</v>
      </c>
      <c r="CK186">
        <v>347486.22</v>
      </c>
      <c r="CL186">
        <v>318708</v>
      </c>
      <c r="CM186">
        <v>187997.39</v>
      </c>
      <c r="CN186">
        <v>453472.34</v>
      </c>
      <c r="CO186">
        <v>257766.41</v>
      </c>
      <c r="CP186">
        <v>920306.19</v>
      </c>
      <c r="CQ186">
        <v>180629.28</v>
      </c>
      <c r="CR186">
        <v>794875.38</v>
      </c>
      <c r="CS186">
        <v>315136.81</v>
      </c>
      <c r="CT186">
        <v>365125.28</v>
      </c>
      <c r="CU186">
        <v>255497.28</v>
      </c>
      <c r="CV186">
        <v>281962</v>
      </c>
      <c r="CW186">
        <v>72260.41</v>
      </c>
    </row>
    <row r="187" spans="1:101">
      <c r="A187">
        <v>31063</v>
      </c>
      <c r="B187" t="s">
        <v>685</v>
      </c>
      <c r="D187" t="s">
        <v>686</v>
      </c>
      <c r="F187" t="s">
        <v>687</v>
      </c>
      <c r="G187">
        <v>34.494</v>
      </c>
      <c r="H187" t="s">
        <v>104</v>
      </c>
      <c r="I187">
        <v>2</v>
      </c>
      <c r="J187">
        <v>4</v>
      </c>
      <c r="K187">
        <v>0</v>
      </c>
      <c r="L187">
        <v>0</v>
      </c>
      <c r="M187">
        <v>0</v>
      </c>
      <c r="N187">
        <v>-1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0</v>
      </c>
      <c r="AX187">
        <v>1</v>
      </c>
      <c r="AY187">
        <v>0</v>
      </c>
      <c r="AZ187">
        <v>0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0</v>
      </c>
      <c r="BG187">
        <v>1</v>
      </c>
      <c r="BH187">
        <v>1</v>
      </c>
      <c r="BI187">
        <v>0</v>
      </c>
      <c r="BJ187">
        <v>1089669.25</v>
      </c>
      <c r="BK187">
        <v>1019624.44</v>
      </c>
      <c r="BM187">
        <v>239900.25</v>
      </c>
      <c r="BN187">
        <v>1339424.8799999999</v>
      </c>
      <c r="BO187">
        <v>836666.69</v>
      </c>
      <c r="BP187">
        <v>762893.12</v>
      </c>
      <c r="BQ187">
        <v>587230.25</v>
      </c>
      <c r="BR187">
        <v>461512.84</v>
      </c>
      <c r="BS187">
        <v>329355.28000000003</v>
      </c>
      <c r="BT187">
        <v>177546.03</v>
      </c>
      <c r="BU187">
        <v>686605.31</v>
      </c>
      <c r="BV187">
        <v>975206.12</v>
      </c>
      <c r="BW187">
        <v>527264</v>
      </c>
      <c r="BX187">
        <v>1009079.44</v>
      </c>
      <c r="BY187">
        <v>832260</v>
      </c>
      <c r="BZ187">
        <v>619401.5</v>
      </c>
      <c r="CA187">
        <v>785061.12</v>
      </c>
      <c r="CB187">
        <v>583671.06000000006</v>
      </c>
      <c r="CC187">
        <v>359580.15999999997</v>
      </c>
      <c r="CD187">
        <v>1089669.25</v>
      </c>
      <c r="CE187">
        <v>550871.62</v>
      </c>
      <c r="CF187">
        <v>1861110.38</v>
      </c>
      <c r="CG187">
        <v>248654.64</v>
      </c>
      <c r="CH187">
        <v>976630.94</v>
      </c>
      <c r="CI187">
        <v>505213.81</v>
      </c>
      <c r="CJ187">
        <v>553731.88</v>
      </c>
      <c r="CK187">
        <v>477639.69</v>
      </c>
      <c r="CL187">
        <v>442714.06</v>
      </c>
      <c r="CM187">
        <v>278535.06</v>
      </c>
      <c r="CN187">
        <v>628948.75</v>
      </c>
      <c r="CO187">
        <v>474117.97</v>
      </c>
      <c r="CP187">
        <v>972165.25</v>
      </c>
      <c r="CQ187">
        <v>298158.46999999997</v>
      </c>
      <c r="CR187">
        <v>954155.12</v>
      </c>
      <c r="CS187">
        <v>607850.5</v>
      </c>
      <c r="CT187">
        <v>582454.56000000006</v>
      </c>
      <c r="CU187">
        <v>572763.93999999994</v>
      </c>
      <c r="CV187">
        <v>640245.12</v>
      </c>
      <c r="CW187">
        <v>470301.06</v>
      </c>
    </row>
    <row r="188" spans="1:101">
      <c r="A188">
        <v>31074</v>
      </c>
      <c r="B188" t="s">
        <v>688</v>
      </c>
      <c r="D188" t="s">
        <v>689</v>
      </c>
      <c r="F188" t="s">
        <v>690</v>
      </c>
      <c r="G188">
        <v>33.042999999999999</v>
      </c>
      <c r="H188" t="s">
        <v>104</v>
      </c>
      <c r="I188">
        <v>2</v>
      </c>
      <c r="J188">
        <v>3</v>
      </c>
      <c r="K188">
        <v>0</v>
      </c>
      <c r="L188">
        <v>0</v>
      </c>
      <c r="M188">
        <v>0</v>
      </c>
      <c r="N188">
        <v>-1</v>
      </c>
      <c r="O188">
        <v>2</v>
      </c>
      <c r="P188">
        <v>2</v>
      </c>
      <c r="Q188">
        <v>2</v>
      </c>
      <c r="R188">
        <v>2</v>
      </c>
      <c r="S188">
        <v>2</v>
      </c>
      <c r="T188">
        <v>2</v>
      </c>
      <c r="U188">
        <v>2</v>
      </c>
      <c r="V188">
        <v>1</v>
      </c>
      <c r="W188">
        <v>2</v>
      </c>
      <c r="Y188">
        <v>2</v>
      </c>
      <c r="Z188">
        <v>2</v>
      </c>
      <c r="AA188">
        <v>2</v>
      </c>
      <c r="AB188">
        <v>2</v>
      </c>
      <c r="AC188">
        <v>2</v>
      </c>
      <c r="AD188">
        <v>2</v>
      </c>
      <c r="AE188">
        <v>2</v>
      </c>
      <c r="AF188">
        <v>2</v>
      </c>
      <c r="AG188">
        <v>2</v>
      </c>
      <c r="AH188">
        <v>2</v>
      </c>
      <c r="AI188">
        <v>2</v>
      </c>
      <c r="AJ188">
        <v>2</v>
      </c>
      <c r="AK188">
        <v>2</v>
      </c>
      <c r="AL188">
        <v>2</v>
      </c>
      <c r="AM188">
        <v>2</v>
      </c>
      <c r="AN188">
        <v>2</v>
      </c>
      <c r="AO188">
        <v>2</v>
      </c>
      <c r="AP188">
        <v>0</v>
      </c>
      <c r="AQ188">
        <v>1</v>
      </c>
      <c r="AR188">
        <v>0</v>
      </c>
      <c r="AS188">
        <v>2</v>
      </c>
      <c r="AT188">
        <v>1</v>
      </c>
      <c r="AU188">
        <v>2</v>
      </c>
      <c r="AV188">
        <v>1</v>
      </c>
      <c r="AW188">
        <v>0</v>
      </c>
      <c r="AX188">
        <v>2</v>
      </c>
      <c r="AY188">
        <v>2</v>
      </c>
      <c r="AZ188">
        <v>0</v>
      </c>
      <c r="BA188">
        <v>2</v>
      </c>
      <c r="BB188">
        <v>0</v>
      </c>
      <c r="BC188">
        <v>2</v>
      </c>
      <c r="BD188">
        <v>0</v>
      </c>
      <c r="BE188">
        <v>2</v>
      </c>
      <c r="BF188">
        <v>0</v>
      </c>
      <c r="BG188">
        <v>0</v>
      </c>
      <c r="BH188">
        <v>1</v>
      </c>
      <c r="BI188">
        <v>1</v>
      </c>
      <c r="BJ188">
        <v>683261.62</v>
      </c>
      <c r="BK188">
        <v>1154074.25</v>
      </c>
      <c r="BM188">
        <v>948046.69</v>
      </c>
      <c r="BN188">
        <v>808737.88</v>
      </c>
      <c r="BO188">
        <v>1354675.38</v>
      </c>
      <c r="BP188">
        <v>1092609.25</v>
      </c>
      <c r="BQ188">
        <v>707143.06</v>
      </c>
      <c r="BR188">
        <v>1593189.25</v>
      </c>
      <c r="BS188">
        <v>1283953.3799999999</v>
      </c>
      <c r="BT188">
        <v>297715.25</v>
      </c>
      <c r="BU188">
        <v>1166549.6200000001</v>
      </c>
      <c r="BV188">
        <v>702672.62</v>
      </c>
      <c r="BW188">
        <v>1776995.12</v>
      </c>
      <c r="BX188">
        <v>638677.31000000006</v>
      </c>
      <c r="BY188">
        <v>1087016.75</v>
      </c>
      <c r="BZ188">
        <v>888063.69</v>
      </c>
      <c r="CA188">
        <v>702630.62</v>
      </c>
      <c r="CB188">
        <v>1000430.75</v>
      </c>
      <c r="CC188">
        <v>549747.88</v>
      </c>
      <c r="CD188">
        <v>70309.11</v>
      </c>
      <c r="CE188">
        <v>581290.38</v>
      </c>
      <c r="CF188">
        <v>1861110.38</v>
      </c>
      <c r="CG188">
        <v>982748.06</v>
      </c>
      <c r="CH188">
        <v>563515</v>
      </c>
      <c r="CI188">
        <v>793760.69</v>
      </c>
      <c r="CJ188">
        <v>804923.06</v>
      </c>
      <c r="CK188">
        <v>617384.81000000006</v>
      </c>
      <c r="CL188">
        <v>1552136</v>
      </c>
      <c r="CM188">
        <v>1052606.3799999999</v>
      </c>
      <c r="CN188">
        <v>1185077.25</v>
      </c>
      <c r="CO188">
        <v>785201.69</v>
      </c>
      <c r="CP188">
        <v>629039.68999999994</v>
      </c>
      <c r="CQ188">
        <v>1098448.3799999999</v>
      </c>
      <c r="CR188">
        <v>621012.93999999994</v>
      </c>
      <c r="CS188">
        <v>753455.31</v>
      </c>
      <c r="CT188">
        <v>881667.38</v>
      </c>
      <c r="CU188">
        <v>561260.81000000006</v>
      </c>
      <c r="CV188">
        <v>1315661.25</v>
      </c>
      <c r="CW188">
        <v>929793.94</v>
      </c>
    </row>
    <row r="189" spans="1:101">
      <c r="A189">
        <v>31108</v>
      </c>
      <c r="B189" t="s">
        <v>691</v>
      </c>
      <c r="D189" t="s">
        <v>691</v>
      </c>
      <c r="F189" t="s">
        <v>692</v>
      </c>
      <c r="G189">
        <v>31.193999999999999</v>
      </c>
      <c r="H189" t="s">
        <v>104</v>
      </c>
      <c r="I189">
        <v>2</v>
      </c>
      <c r="J189">
        <v>1</v>
      </c>
      <c r="K189">
        <v>0</v>
      </c>
      <c r="L189">
        <v>0</v>
      </c>
      <c r="M189">
        <v>0</v>
      </c>
      <c r="N189">
        <v>-1</v>
      </c>
      <c r="O189">
        <v>2</v>
      </c>
      <c r="P189">
        <v>2</v>
      </c>
      <c r="Q189">
        <v>2</v>
      </c>
      <c r="R189">
        <v>2</v>
      </c>
      <c r="S189">
        <v>2</v>
      </c>
      <c r="T189">
        <v>2</v>
      </c>
      <c r="U189">
        <v>2</v>
      </c>
      <c r="V189">
        <v>1</v>
      </c>
      <c r="W189">
        <v>2</v>
      </c>
      <c r="Y189">
        <v>2</v>
      </c>
      <c r="Z189">
        <v>2</v>
      </c>
      <c r="AA189">
        <v>2</v>
      </c>
      <c r="AB189">
        <v>2</v>
      </c>
      <c r="AC189">
        <v>2</v>
      </c>
      <c r="AD189">
        <v>2</v>
      </c>
      <c r="AE189">
        <v>2</v>
      </c>
      <c r="AF189">
        <v>2</v>
      </c>
      <c r="AG189">
        <v>2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1</v>
      </c>
      <c r="AQ189">
        <v>2</v>
      </c>
      <c r="AR189">
        <v>0</v>
      </c>
      <c r="AS189">
        <v>2</v>
      </c>
      <c r="AT189">
        <v>1</v>
      </c>
      <c r="AU189">
        <v>2</v>
      </c>
      <c r="AV189">
        <v>1</v>
      </c>
      <c r="AW189">
        <v>0</v>
      </c>
      <c r="AX189">
        <v>2</v>
      </c>
      <c r="AY189">
        <v>2</v>
      </c>
      <c r="AZ189">
        <v>0</v>
      </c>
      <c r="BA189">
        <v>1</v>
      </c>
      <c r="BB189">
        <v>0</v>
      </c>
      <c r="BC189">
        <v>2</v>
      </c>
      <c r="BD189">
        <v>0</v>
      </c>
      <c r="BE189">
        <v>2</v>
      </c>
      <c r="BF189">
        <v>1</v>
      </c>
      <c r="BG189">
        <v>1</v>
      </c>
      <c r="BH189">
        <v>2</v>
      </c>
      <c r="BI189">
        <v>0</v>
      </c>
      <c r="BJ189">
        <v>249683.94</v>
      </c>
      <c r="BK189">
        <v>976937.88</v>
      </c>
      <c r="BM189">
        <v>896657.38</v>
      </c>
      <c r="BN189">
        <v>617526.25</v>
      </c>
      <c r="BO189">
        <v>1044621.5</v>
      </c>
      <c r="BP189">
        <v>1027276.69</v>
      </c>
      <c r="BQ189">
        <v>682881.06</v>
      </c>
      <c r="BR189">
        <v>860629.94</v>
      </c>
      <c r="BS189">
        <v>961083</v>
      </c>
      <c r="BT189">
        <v>132958.81</v>
      </c>
      <c r="BU189">
        <v>893307.75</v>
      </c>
      <c r="BV189">
        <v>512624.56</v>
      </c>
      <c r="BW189">
        <v>1777638</v>
      </c>
      <c r="BX189">
        <v>670115.81000000006</v>
      </c>
      <c r="BY189">
        <v>963153.31</v>
      </c>
      <c r="BZ189">
        <v>905755.12</v>
      </c>
      <c r="CA189">
        <v>900148.56</v>
      </c>
      <c r="CB189">
        <v>796050.69</v>
      </c>
      <c r="CC189">
        <v>940156.75</v>
      </c>
      <c r="CD189">
        <v>27987.33</v>
      </c>
      <c r="CE189">
        <v>534476.93999999994</v>
      </c>
      <c r="CF189">
        <v>1861110.38</v>
      </c>
      <c r="CG189">
        <v>924836.81</v>
      </c>
      <c r="CH189">
        <v>467971.25</v>
      </c>
      <c r="CI189">
        <v>662152</v>
      </c>
      <c r="CJ189">
        <v>779020.25</v>
      </c>
      <c r="CK189">
        <v>552878.43999999994</v>
      </c>
      <c r="CL189">
        <v>862838.5</v>
      </c>
      <c r="CM189">
        <v>856464.81</v>
      </c>
      <c r="CN189">
        <v>488592.94</v>
      </c>
      <c r="CO189">
        <v>639595.43999999994</v>
      </c>
      <c r="CP189">
        <v>533184.18999999994</v>
      </c>
      <c r="CQ189">
        <v>1033798.38</v>
      </c>
      <c r="CR189">
        <v>625796.18999999994</v>
      </c>
      <c r="CS189">
        <v>730563.19</v>
      </c>
      <c r="CT189">
        <v>876981.25</v>
      </c>
      <c r="CU189">
        <v>632579.12</v>
      </c>
      <c r="CV189">
        <v>887319.69</v>
      </c>
      <c r="CW189">
        <v>1122299.1200000001</v>
      </c>
    </row>
    <row r="190" spans="1:101">
      <c r="A190">
        <v>30995</v>
      </c>
      <c r="B190" t="s">
        <v>693</v>
      </c>
      <c r="D190" t="s">
        <v>694</v>
      </c>
      <c r="F190" t="s">
        <v>695</v>
      </c>
      <c r="G190">
        <v>30.5</v>
      </c>
      <c r="H190" t="s">
        <v>104</v>
      </c>
      <c r="I190">
        <v>2</v>
      </c>
      <c r="J190">
        <v>21</v>
      </c>
      <c r="K190">
        <v>0</v>
      </c>
      <c r="L190">
        <v>0</v>
      </c>
      <c r="M190">
        <v>0</v>
      </c>
      <c r="N190">
        <v>-1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G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0</v>
      </c>
      <c r="AQ190">
        <v>1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1</v>
      </c>
      <c r="BJ190">
        <v>557554.18999999994</v>
      </c>
      <c r="BK190">
        <v>1020841.69</v>
      </c>
      <c r="BM190">
        <v>591340.25</v>
      </c>
      <c r="BN190">
        <v>242071.41</v>
      </c>
      <c r="BO190">
        <v>398308.56</v>
      </c>
      <c r="BP190">
        <v>444275.56</v>
      </c>
      <c r="BQ190">
        <v>448843.75</v>
      </c>
      <c r="BR190">
        <v>237675.41</v>
      </c>
      <c r="BS190">
        <v>236561.61</v>
      </c>
      <c r="BU190">
        <v>578909.75</v>
      </c>
      <c r="BW190">
        <v>1670203</v>
      </c>
      <c r="BX190">
        <v>236474.14</v>
      </c>
      <c r="BY190">
        <v>443634.78</v>
      </c>
      <c r="BZ190">
        <v>220964.7</v>
      </c>
      <c r="CA190">
        <v>680107.5</v>
      </c>
      <c r="CB190">
        <v>550954.56000000006</v>
      </c>
      <c r="CC190">
        <v>927987.88</v>
      </c>
      <c r="CD190">
        <v>557554.18999999994</v>
      </c>
      <c r="CE190">
        <v>551529.25</v>
      </c>
      <c r="CF190">
        <v>1861110.38</v>
      </c>
      <c r="CG190">
        <v>612919.25</v>
      </c>
      <c r="CH190">
        <v>176504.44</v>
      </c>
      <c r="CI190">
        <v>240515.09</v>
      </c>
      <c r="CJ190">
        <v>322469.21999999997</v>
      </c>
      <c r="CK190">
        <v>365079.28</v>
      </c>
      <c r="CL190">
        <v>227994.19</v>
      </c>
      <c r="CM190">
        <v>200059.64</v>
      </c>
      <c r="CN190">
        <v>342208.75</v>
      </c>
      <c r="CO190">
        <v>399751.5</v>
      </c>
      <c r="CP190">
        <v>384147.09</v>
      </c>
      <c r="CQ190">
        <v>944470.31</v>
      </c>
      <c r="CR190">
        <v>223602.81</v>
      </c>
      <c r="CS190">
        <v>324013.71999999997</v>
      </c>
      <c r="CT190">
        <v>207784.28</v>
      </c>
      <c r="CU190">
        <v>496191.97</v>
      </c>
      <c r="CV190">
        <v>604357.43999999994</v>
      </c>
      <c r="CW190">
        <v>1213731.3799999999</v>
      </c>
    </row>
    <row r="191" spans="1:101">
      <c r="A191">
        <v>31085</v>
      </c>
      <c r="B191" t="s">
        <v>696</v>
      </c>
      <c r="D191" t="s">
        <v>697</v>
      </c>
      <c r="F191" t="s">
        <v>698</v>
      </c>
      <c r="G191">
        <v>29.196999999999999</v>
      </c>
      <c r="H191" t="s">
        <v>104</v>
      </c>
      <c r="I191">
        <v>2</v>
      </c>
      <c r="J191">
        <v>5</v>
      </c>
      <c r="K191">
        <v>0</v>
      </c>
      <c r="L191">
        <v>0</v>
      </c>
      <c r="M191">
        <v>0</v>
      </c>
      <c r="N191">
        <v>-1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2</v>
      </c>
      <c r="AQ191">
        <v>2</v>
      </c>
      <c r="AR191">
        <v>0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1</v>
      </c>
      <c r="BA191">
        <v>2</v>
      </c>
      <c r="BB191">
        <v>1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2</v>
      </c>
      <c r="BJ191">
        <v>2034930.38</v>
      </c>
      <c r="BK191">
        <v>3731247.5</v>
      </c>
      <c r="BM191">
        <v>1025635.75</v>
      </c>
      <c r="BN191">
        <v>3911425.25</v>
      </c>
      <c r="BO191">
        <v>3579026.75</v>
      </c>
      <c r="BP191">
        <v>2506832.5</v>
      </c>
      <c r="BQ191">
        <v>2330749.5</v>
      </c>
      <c r="BR191">
        <v>1172952.5</v>
      </c>
      <c r="BS191">
        <v>1048965.5</v>
      </c>
      <c r="BT191">
        <v>418369.06</v>
      </c>
      <c r="BU191">
        <v>3180531.5</v>
      </c>
      <c r="BV191">
        <v>2750689.5</v>
      </c>
      <c r="BW191">
        <v>2267464</v>
      </c>
      <c r="BX191">
        <v>2988263</v>
      </c>
      <c r="BY191">
        <v>2921794.75</v>
      </c>
      <c r="BZ191">
        <v>2351518</v>
      </c>
      <c r="CA191">
        <v>3281915</v>
      </c>
      <c r="CB191">
        <v>1432332.88</v>
      </c>
      <c r="CC191">
        <v>1080009.8799999999</v>
      </c>
      <c r="CD191">
        <v>2034930.38</v>
      </c>
      <c r="CE191">
        <v>2015877.75</v>
      </c>
      <c r="CF191">
        <v>1861110.38</v>
      </c>
      <c r="CG191">
        <v>1063063</v>
      </c>
      <c r="CH191">
        <v>2851984.75</v>
      </c>
      <c r="CI191">
        <v>2161163.75</v>
      </c>
      <c r="CJ191">
        <v>1819538.12</v>
      </c>
      <c r="CK191">
        <v>1895778.38</v>
      </c>
      <c r="CL191">
        <v>1125174.6200000001</v>
      </c>
      <c r="CM191">
        <v>887107.88</v>
      </c>
      <c r="CN191">
        <v>1482053.38</v>
      </c>
      <c r="CO191">
        <v>2196235.75</v>
      </c>
      <c r="CP191">
        <v>2742112.25</v>
      </c>
      <c r="CQ191">
        <v>1282210.8799999999</v>
      </c>
      <c r="CR191">
        <v>2825611.5</v>
      </c>
      <c r="CS191">
        <v>2133966</v>
      </c>
      <c r="CT191">
        <v>2211251.25</v>
      </c>
      <c r="CU191">
        <v>2394415.5</v>
      </c>
      <c r="CV191">
        <v>1571166</v>
      </c>
      <c r="CW191">
        <v>1412563.5</v>
      </c>
    </row>
    <row r="192" spans="1:101">
      <c r="A192">
        <v>31106</v>
      </c>
      <c r="B192" t="s">
        <v>699</v>
      </c>
      <c r="D192" t="s">
        <v>700</v>
      </c>
      <c r="F192" t="s">
        <v>701</v>
      </c>
      <c r="G192">
        <v>29.111999999999998</v>
      </c>
      <c r="H192" t="s">
        <v>104</v>
      </c>
      <c r="I192">
        <v>2</v>
      </c>
      <c r="J192">
        <v>3</v>
      </c>
      <c r="K192">
        <v>0</v>
      </c>
      <c r="L192">
        <v>0</v>
      </c>
      <c r="M192">
        <v>0</v>
      </c>
      <c r="N192">
        <v>-1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5</v>
      </c>
      <c r="U192">
        <v>5</v>
      </c>
      <c r="V192">
        <v>4</v>
      </c>
      <c r="W192">
        <v>5</v>
      </c>
      <c r="X192">
        <v>2</v>
      </c>
      <c r="Y192">
        <v>5</v>
      </c>
      <c r="Z192">
        <v>3</v>
      </c>
      <c r="AA192">
        <v>5</v>
      </c>
      <c r="AB192">
        <v>5</v>
      </c>
      <c r="AC192">
        <v>5</v>
      </c>
      <c r="AD192">
        <v>5</v>
      </c>
      <c r="AE192">
        <v>5</v>
      </c>
      <c r="AF192">
        <v>5</v>
      </c>
      <c r="AG192">
        <v>5</v>
      </c>
      <c r="AH192">
        <v>3</v>
      </c>
      <c r="AI192">
        <v>5</v>
      </c>
      <c r="AJ192">
        <v>3</v>
      </c>
      <c r="AK192">
        <v>5</v>
      </c>
      <c r="AL192">
        <v>5</v>
      </c>
      <c r="AM192">
        <v>5</v>
      </c>
      <c r="AN192">
        <v>5</v>
      </c>
      <c r="AO192">
        <v>5</v>
      </c>
      <c r="AP192">
        <v>1</v>
      </c>
      <c r="AQ192">
        <v>0</v>
      </c>
      <c r="AR192">
        <v>0</v>
      </c>
      <c r="AS192">
        <v>1</v>
      </c>
      <c r="AT192">
        <v>0</v>
      </c>
      <c r="AU192">
        <v>5</v>
      </c>
      <c r="AV192">
        <v>1</v>
      </c>
      <c r="AW192">
        <v>1</v>
      </c>
      <c r="AX192">
        <v>3</v>
      </c>
      <c r="AY192">
        <v>3</v>
      </c>
      <c r="AZ192">
        <v>0</v>
      </c>
      <c r="BA192">
        <v>1</v>
      </c>
      <c r="BB192">
        <v>0</v>
      </c>
      <c r="BC192">
        <v>2</v>
      </c>
      <c r="BD192">
        <v>0</v>
      </c>
      <c r="BE192">
        <v>0</v>
      </c>
      <c r="BF192">
        <v>1</v>
      </c>
      <c r="BG192">
        <v>0</v>
      </c>
      <c r="BH192">
        <v>2</v>
      </c>
      <c r="BI192">
        <v>2</v>
      </c>
      <c r="BJ192">
        <v>1790806.62</v>
      </c>
      <c r="BK192">
        <v>3087241</v>
      </c>
      <c r="BL192">
        <v>68152.92</v>
      </c>
      <c r="BM192">
        <v>2514453.25</v>
      </c>
      <c r="BN192">
        <v>1143662.1200000001</v>
      </c>
      <c r="BO192">
        <v>3457047.5</v>
      </c>
      <c r="BP192">
        <v>2902807.25</v>
      </c>
      <c r="BQ192">
        <v>1788162.25</v>
      </c>
      <c r="BR192">
        <v>3357203.5</v>
      </c>
      <c r="BS192">
        <v>2925041.5</v>
      </c>
      <c r="BT192">
        <v>565034.75</v>
      </c>
      <c r="BU192">
        <v>3049278.25</v>
      </c>
      <c r="BV192">
        <v>723410.12</v>
      </c>
      <c r="BW192">
        <v>5164838</v>
      </c>
      <c r="BX192">
        <v>938254.5</v>
      </c>
      <c r="BY192">
        <v>2839908</v>
      </c>
      <c r="BZ192">
        <v>1893664.75</v>
      </c>
      <c r="CA192">
        <v>1766254.75</v>
      </c>
      <c r="CB192">
        <v>2924825</v>
      </c>
      <c r="CC192">
        <v>2317452.25</v>
      </c>
      <c r="CD192">
        <v>2105325.25</v>
      </c>
      <c r="CE192">
        <v>1733258.38</v>
      </c>
      <c r="CF192">
        <v>3617683</v>
      </c>
      <c r="CG192">
        <v>2687862.5</v>
      </c>
      <c r="CH192">
        <v>1176460.6200000001</v>
      </c>
      <c r="CI192">
        <v>2125099.75</v>
      </c>
      <c r="CJ192">
        <v>2196618.25</v>
      </c>
      <c r="CK192">
        <v>1741478.5</v>
      </c>
      <c r="CL192">
        <v>3316442.5</v>
      </c>
      <c r="CM192">
        <v>2610163.25</v>
      </c>
      <c r="CN192">
        <v>2387021.25</v>
      </c>
      <c r="CO192">
        <v>2161059.5</v>
      </c>
      <c r="CP192">
        <v>990477.56</v>
      </c>
      <c r="CQ192">
        <v>3225241</v>
      </c>
      <c r="CR192">
        <v>1242489.6200000001</v>
      </c>
      <c r="CS192">
        <v>2209269</v>
      </c>
      <c r="CT192">
        <v>1874613.88</v>
      </c>
      <c r="CU192">
        <v>1523112.62</v>
      </c>
      <c r="CV192">
        <v>3496818</v>
      </c>
      <c r="CW192">
        <v>3263551.75</v>
      </c>
    </row>
    <row r="193" spans="1:101">
      <c r="A193">
        <v>31111</v>
      </c>
      <c r="B193" t="s">
        <v>702</v>
      </c>
      <c r="D193" t="s">
        <v>703</v>
      </c>
      <c r="F193" t="s">
        <v>704</v>
      </c>
      <c r="G193">
        <v>28.759</v>
      </c>
      <c r="H193" t="s">
        <v>104</v>
      </c>
      <c r="I193">
        <v>2</v>
      </c>
      <c r="J193">
        <v>2</v>
      </c>
      <c r="K193">
        <v>0</v>
      </c>
      <c r="L193">
        <v>0</v>
      </c>
      <c r="M193">
        <v>0</v>
      </c>
      <c r="N193">
        <v>-1</v>
      </c>
      <c r="O193">
        <v>3</v>
      </c>
      <c r="P193">
        <v>3</v>
      </c>
      <c r="Q193">
        <v>3</v>
      </c>
      <c r="R193">
        <v>3</v>
      </c>
      <c r="S193">
        <v>3</v>
      </c>
      <c r="T193">
        <v>3</v>
      </c>
      <c r="U193">
        <v>3</v>
      </c>
      <c r="V193">
        <v>3</v>
      </c>
      <c r="W193">
        <v>3</v>
      </c>
      <c r="Y193">
        <v>2</v>
      </c>
      <c r="Z193">
        <v>3</v>
      </c>
      <c r="AA193">
        <v>3</v>
      </c>
      <c r="AB193">
        <v>3</v>
      </c>
      <c r="AC193">
        <v>3</v>
      </c>
      <c r="AD193">
        <v>2</v>
      </c>
      <c r="AE193">
        <v>2</v>
      </c>
      <c r="AF193">
        <v>3</v>
      </c>
      <c r="AG193">
        <v>3</v>
      </c>
      <c r="AH193">
        <v>3</v>
      </c>
      <c r="AI193">
        <v>3</v>
      </c>
      <c r="AJ193">
        <v>3</v>
      </c>
      <c r="AK193">
        <v>3</v>
      </c>
      <c r="AL193">
        <v>3</v>
      </c>
      <c r="AM193">
        <v>3</v>
      </c>
      <c r="AN193">
        <v>3</v>
      </c>
      <c r="AO193">
        <v>2</v>
      </c>
      <c r="AP193">
        <v>3</v>
      </c>
      <c r="AQ193">
        <v>2</v>
      </c>
      <c r="AR193">
        <v>0</v>
      </c>
      <c r="AS193">
        <v>0</v>
      </c>
      <c r="AT193">
        <v>2</v>
      </c>
      <c r="AU193">
        <v>4</v>
      </c>
      <c r="AV193">
        <v>2</v>
      </c>
      <c r="AW193">
        <v>2</v>
      </c>
      <c r="AX193">
        <v>1</v>
      </c>
      <c r="AY193">
        <v>0</v>
      </c>
      <c r="AZ193">
        <v>0</v>
      </c>
      <c r="BA193">
        <v>1</v>
      </c>
      <c r="BB193">
        <v>2</v>
      </c>
      <c r="BC193">
        <v>1</v>
      </c>
      <c r="BD193">
        <v>3</v>
      </c>
      <c r="BE193">
        <v>2</v>
      </c>
      <c r="BF193">
        <v>0</v>
      </c>
      <c r="BG193">
        <v>2</v>
      </c>
      <c r="BH193">
        <v>0</v>
      </c>
      <c r="BI193">
        <v>0</v>
      </c>
      <c r="BJ193">
        <v>1154378.5</v>
      </c>
      <c r="BK193">
        <v>1971175.75</v>
      </c>
      <c r="BM193">
        <v>472043.53</v>
      </c>
      <c r="BN193">
        <v>2451429.25</v>
      </c>
      <c r="BO193">
        <v>1976462.75</v>
      </c>
      <c r="BP193">
        <v>1535108.75</v>
      </c>
      <c r="BQ193">
        <v>1634595</v>
      </c>
      <c r="BR193">
        <v>365250.22</v>
      </c>
      <c r="BS193">
        <v>250124.5</v>
      </c>
      <c r="BT193">
        <v>231210.53</v>
      </c>
      <c r="BU193">
        <v>1554822.88</v>
      </c>
      <c r="BV193">
        <v>1935489.38</v>
      </c>
      <c r="BW193">
        <v>1384031</v>
      </c>
      <c r="BX193">
        <v>2053211.88</v>
      </c>
      <c r="BY193">
        <v>1425909.75</v>
      </c>
      <c r="BZ193">
        <v>1356514.62</v>
      </c>
      <c r="CA193">
        <v>2035946.75</v>
      </c>
      <c r="CB193">
        <v>428495.19</v>
      </c>
      <c r="CC193">
        <v>192257.56</v>
      </c>
      <c r="CD193">
        <v>1193065.5</v>
      </c>
      <c r="CE193">
        <v>1049069</v>
      </c>
      <c r="CF193">
        <v>1861110.38</v>
      </c>
      <c r="CG193">
        <v>540562.06000000006</v>
      </c>
      <c r="CH193">
        <v>1826210.62</v>
      </c>
      <c r="CI193">
        <v>1213902.3799999999</v>
      </c>
      <c r="CJ193">
        <v>1091023.3799999999</v>
      </c>
      <c r="CK193">
        <v>1283802.8799999999</v>
      </c>
      <c r="CL193">
        <v>387392.69</v>
      </c>
      <c r="CM193">
        <v>225945.48</v>
      </c>
      <c r="CN193">
        <v>837428.94</v>
      </c>
      <c r="CO193">
        <v>1067644.1200000001</v>
      </c>
      <c r="CP193">
        <v>1896769.62</v>
      </c>
      <c r="CQ193">
        <v>734472.31</v>
      </c>
      <c r="CR193">
        <v>1969408.5</v>
      </c>
      <c r="CS193">
        <v>1065947</v>
      </c>
      <c r="CT193">
        <v>1284794.5</v>
      </c>
      <c r="CU193">
        <v>1427705.38</v>
      </c>
      <c r="CV193">
        <v>476194</v>
      </c>
      <c r="CW193">
        <v>178716.33</v>
      </c>
    </row>
    <row r="194" spans="1:101">
      <c r="A194">
        <v>31100</v>
      </c>
      <c r="B194" t="s">
        <v>705</v>
      </c>
      <c r="D194" t="s">
        <v>706</v>
      </c>
      <c r="F194" t="s">
        <v>707</v>
      </c>
      <c r="G194">
        <v>28.41</v>
      </c>
      <c r="H194" t="s">
        <v>104</v>
      </c>
      <c r="I194">
        <v>2</v>
      </c>
      <c r="J194">
        <v>2</v>
      </c>
      <c r="K194">
        <v>0</v>
      </c>
      <c r="L194">
        <v>0</v>
      </c>
      <c r="M194">
        <v>0</v>
      </c>
      <c r="N194">
        <v>-1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1</v>
      </c>
      <c r="BC194">
        <v>0</v>
      </c>
      <c r="BD194">
        <v>1</v>
      </c>
      <c r="BE194">
        <v>1</v>
      </c>
      <c r="BF194">
        <v>0</v>
      </c>
      <c r="BG194">
        <v>1</v>
      </c>
      <c r="BH194">
        <v>0</v>
      </c>
      <c r="BI194">
        <v>0</v>
      </c>
      <c r="BJ194">
        <v>341715.38</v>
      </c>
      <c r="BK194">
        <v>368874.88</v>
      </c>
      <c r="BL194">
        <v>61275.14</v>
      </c>
      <c r="BM194">
        <v>108236.34</v>
      </c>
      <c r="BN194">
        <v>653994.93999999994</v>
      </c>
      <c r="BO194">
        <v>570300.81000000006</v>
      </c>
      <c r="BP194">
        <v>356114.25</v>
      </c>
      <c r="BQ194">
        <v>201687.78</v>
      </c>
      <c r="BT194">
        <v>70107.05</v>
      </c>
      <c r="BU194">
        <v>468527.72</v>
      </c>
      <c r="BV194">
        <v>384766.78</v>
      </c>
      <c r="BW194">
        <v>400598.88</v>
      </c>
      <c r="BX194">
        <v>576935.31000000006</v>
      </c>
      <c r="BY194">
        <v>668031.62</v>
      </c>
      <c r="BZ194">
        <v>318625.59000000003</v>
      </c>
      <c r="CA194">
        <v>441578.88</v>
      </c>
      <c r="CB194">
        <v>57564.47</v>
      </c>
      <c r="CD194">
        <v>341715.38</v>
      </c>
      <c r="CE194">
        <v>199291.7</v>
      </c>
      <c r="CF194">
        <v>7055379</v>
      </c>
      <c r="CG194">
        <v>112186.08</v>
      </c>
      <c r="CH194">
        <v>476855.22</v>
      </c>
      <c r="CI194">
        <v>344371.12</v>
      </c>
      <c r="CJ194">
        <v>258478.95</v>
      </c>
      <c r="CK194">
        <v>164048.25</v>
      </c>
      <c r="CL194">
        <v>189813.17</v>
      </c>
      <c r="CM194">
        <v>200247.95</v>
      </c>
      <c r="CN194">
        <v>248351.03</v>
      </c>
      <c r="CO194">
        <v>323530</v>
      </c>
      <c r="CP194">
        <v>383567</v>
      </c>
      <c r="CQ194">
        <v>226531.61</v>
      </c>
      <c r="CR194">
        <v>545532.62</v>
      </c>
      <c r="CS194">
        <v>487904.47</v>
      </c>
      <c r="CT194">
        <v>299619.75</v>
      </c>
      <c r="CU194">
        <v>322166.56</v>
      </c>
      <c r="CV194">
        <v>63144.07</v>
      </c>
      <c r="CW194">
        <v>113166.88</v>
      </c>
    </row>
    <row r="195" spans="1:101">
      <c r="A195">
        <v>30984</v>
      </c>
      <c r="B195" t="s">
        <v>708</v>
      </c>
      <c r="D195" t="s">
        <v>709</v>
      </c>
      <c r="F195" t="s">
        <v>710</v>
      </c>
      <c r="G195">
        <v>28.087</v>
      </c>
      <c r="H195" t="s">
        <v>104</v>
      </c>
      <c r="I195">
        <v>2</v>
      </c>
      <c r="J195">
        <v>20</v>
      </c>
      <c r="K195">
        <v>0</v>
      </c>
      <c r="L195">
        <v>0</v>
      </c>
      <c r="M195">
        <v>0</v>
      </c>
      <c r="N195">
        <v>-1</v>
      </c>
      <c r="O195">
        <v>3</v>
      </c>
      <c r="P195">
        <v>3</v>
      </c>
      <c r="Q195">
        <v>3</v>
      </c>
      <c r="R195">
        <v>3</v>
      </c>
      <c r="S195">
        <v>3</v>
      </c>
      <c r="T195">
        <v>3</v>
      </c>
      <c r="U195">
        <v>3</v>
      </c>
      <c r="V195">
        <v>3</v>
      </c>
      <c r="W195">
        <v>3</v>
      </c>
      <c r="X195">
        <v>1</v>
      </c>
      <c r="Y195">
        <v>3</v>
      </c>
      <c r="Z195">
        <v>3</v>
      </c>
      <c r="AA195">
        <v>3</v>
      </c>
      <c r="AB195">
        <v>3</v>
      </c>
      <c r="AC195">
        <v>3</v>
      </c>
      <c r="AD195">
        <v>2</v>
      </c>
      <c r="AE195">
        <v>3</v>
      </c>
      <c r="AF195">
        <v>3</v>
      </c>
      <c r="AG195">
        <v>3</v>
      </c>
      <c r="AH195">
        <v>3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3</v>
      </c>
      <c r="AO195">
        <v>2</v>
      </c>
      <c r="AP195">
        <v>1</v>
      </c>
      <c r="AQ195">
        <v>2</v>
      </c>
      <c r="AR195">
        <v>0</v>
      </c>
      <c r="AS195">
        <v>1</v>
      </c>
      <c r="AT195">
        <v>3</v>
      </c>
      <c r="AU195">
        <v>3</v>
      </c>
      <c r="AV195">
        <v>1</v>
      </c>
      <c r="AW195">
        <v>2</v>
      </c>
      <c r="AX195">
        <v>1</v>
      </c>
      <c r="AY195">
        <v>0</v>
      </c>
      <c r="AZ195">
        <v>0</v>
      </c>
      <c r="BA195">
        <v>3</v>
      </c>
      <c r="BB195">
        <v>2</v>
      </c>
      <c r="BC195">
        <v>3</v>
      </c>
      <c r="BD195">
        <v>2</v>
      </c>
      <c r="BE195">
        <v>2</v>
      </c>
      <c r="BF195">
        <v>2</v>
      </c>
      <c r="BG195">
        <v>1</v>
      </c>
      <c r="BH195">
        <v>0</v>
      </c>
      <c r="BI195">
        <v>0</v>
      </c>
      <c r="BJ195">
        <v>1348067.5</v>
      </c>
      <c r="BK195">
        <v>2534543</v>
      </c>
      <c r="BL195">
        <v>13268.7</v>
      </c>
      <c r="BM195">
        <v>1002272.12</v>
      </c>
      <c r="BN195">
        <v>2119537.25</v>
      </c>
      <c r="BO195">
        <v>1868716.38</v>
      </c>
      <c r="BP195">
        <v>1685501</v>
      </c>
      <c r="BQ195">
        <v>1909238</v>
      </c>
      <c r="BR195">
        <v>606236.62</v>
      </c>
      <c r="BS195">
        <v>606706.81000000006</v>
      </c>
      <c r="BT195">
        <v>235123.59</v>
      </c>
      <c r="BU195">
        <v>1547700</v>
      </c>
      <c r="BV195">
        <v>1641661</v>
      </c>
      <c r="BW195">
        <v>1625517</v>
      </c>
      <c r="BX195">
        <v>2253626.5</v>
      </c>
      <c r="BY195">
        <v>1165457.5</v>
      </c>
      <c r="BZ195">
        <v>1665288.62</v>
      </c>
      <c r="CA195">
        <v>2294975.75</v>
      </c>
      <c r="CB195">
        <v>653836.68999999994</v>
      </c>
      <c r="CC195">
        <v>182418.81</v>
      </c>
      <c r="CD195">
        <v>1232980.25</v>
      </c>
      <c r="CE195">
        <v>1346238.88</v>
      </c>
      <c r="CF195">
        <v>1819508.12</v>
      </c>
      <c r="CG195">
        <v>1029935.75</v>
      </c>
      <c r="CH195">
        <v>1548360.38</v>
      </c>
      <c r="CI195">
        <v>1112689.75</v>
      </c>
      <c r="CJ195">
        <v>1197641.8799999999</v>
      </c>
      <c r="CK195">
        <v>1524562</v>
      </c>
      <c r="CL195">
        <v>622942.75</v>
      </c>
      <c r="CM195">
        <v>521750.5</v>
      </c>
      <c r="CN195">
        <v>812981.25</v>
      </c>
      <c r="CO195">
        <v>1040780.12</v>
      </c>
      <c r="CP195">
        <v>1577996.25</v>
      </c>
      <c r="CQ195">
        <v>937326.75</v>
      </c>
      <c r="CR195">
        <v>1992391.25</v>
      </c>
      <c r="CS195">
        <v>865102.75</v>
      </c>
      <c r="CT195">
        <v>1527141</v>
      </c>
      <c r="CU195">
        <v>1761377.25</v>
      </c>
      <c r="CV195">
        <v>708911.44</v>
      </c>
      <c r="CW195">
        <v>313518.40999999997</v>
      </c>
    </row>
    <row r="196" spans="1:101">
      <c r="A196">
        <v>31136</v>
      </c>
      <c r="B196" t="s">
        <v>711</v>
      </c>
      <c r="D196" t="s">
        <v>712</v>
      </c>
      <c r="F196" t="s">
        <v>713</v>
      </c>
      <c r="G196">
        <v>28.053000000000001</v>
      </c>
      <c r="H196" t="s">
        <v>104</v>
      </c>
      <c r="I196">
        <v>2</v>
      </c>
      <c r="J196">
        <v>2</v>
      </c>
      <c r="K196">
        <v>0</v>
      </c>
      <c r="L196">
        <v>0</v>
      </c>
      <c r="M196">
        <v>0</v>
      </c>
      <c r="N196">
        <v>-1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0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2258705.5</v>
      </c>
      <c r="BK196">
        <v>4202755.5</v>
      </c>
      <c r="BL196">
        <v>15158.74</v>
      </c>
      <c r="BM196">
        <v>1211861.1200000001</v>
      </c>
      <c r="BN196">
        <v>3617461.25</v>
      </c>
      <c r="BO196">
        <v>4591670.5</v>
      </c>
      <c r="BP196">
        <v>2629135.5</v>
      </c>
      <c r="BQ196">
        <v>3659081.5</v>
      </c>
      <c r="BR196">
        <v>1494614.5</v>
      </c>
      <c r="BS196">
        <v>939399.75</v>
      </c>
      <c r="BT196">
        <v>455805.03</v>
      </c>
      <c r="BU196">
        <v>3722954</v>
      </c>
      <c r="BV196">
        <v>1986746.38</v>
      </c>
      <c r="BW196">
        <v>3255923</v>
      </c>
      <c r="BX196">
        <v>2752053.25</v>
      </c>
      <c r="BY196">
        <v>4165032.25</v>
      </c>
      <c r="BZ196">
        <v>2886868.25</v>
      </c>
      <c r="CA196">
        <v>3148564.5</v>
      </c>
      <c r="CB196">
        <v>1213638.5</v>
      </c>
      <c r="CC196">
        <v>801816.19</v>
      </c>
      <c r="CD196">
        <v>2258705.5</v>
      </c>
      <c r="CE196">
        <v>2270619</v>
      </c>
      <c r="CF196">
        <v>1745416.5</v>
      </c>
      <c r="CG196">
        <v>1256084.1200000001</v>
      </c>
      <c r="CH196">
        <v>2637643.25</v>
      </c>
      <c r="CI196">
        <v>2772639.75</v>
      </c>
      <c r="CJ196">
        <v>1908309.38</v>
      </c>
      <c r="CK196">
        <v>2976213.25</v>
      </c>
      <c r="CL196">
        <v>1433734.38</v>
      </c>
      <c r="CM196">
        <v>794448.38</v>
      </c>
      <c r="CN196">
        <v>1614668.62</v>
      </c>
      <c r="CO196">
        <v>2570792</v>
      </c>
      <c r="CP196">
        <v>1980551.25</v>
      </c>
      <c r="CQ196">
        <v>1841167</v>
      </c>
      <c r="CR196">
        <v>2602258.5</v>
      </c>
      <c r="CS196">
        <v>3041978.5</v>
      </c>
      <c r="CT196">
        <v>2714668.25</v>
      </c>
      <c r="CU196">
        <v>2297125.75</v>
      </c>
      <c r="CV196">
        <v>1331274</v>
      </c>
      <c r="CW196">
        <v>1048709.1200000001</v>
      </c>
    </row>
    <row r="197" spans="1:101">
      <c r="A197">
        <v>31131</v>
      </c>
      <c r="B197" t="s">
        <v>714</v>
      </c>
      <c r="D197" t="s">
        <v>715</v>
      </c>
      <c r="F197" t="s">
        <v>716</v>
      </c>
      <c r="G197">
        <v>27.163</v>
      </c>
      <c r="H197" t="s">
        <v>104</v>
      </c>
      <c r="I197">
        <v>2</v>
      </c>
      <c r="J197">
        <v>2</v>
      </c>
      <c r="K197">
        <v>0</v>
      </c>
      <c r="L197">
        <v>0</v>
      </c>
      <c r="M197">
        <v>0</v>
      </c>
      <c r="N197">
        <v>-1</v>
      </c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5</v>
      </c>
      <c r="W197">
        <v>5</v>
      </c>
      <c r="X197">
        <v>1</v>
      </c>
      <c r="Y197">
        <v>6</v>
      </c>
      <c r="Z197">
        <v>6</v>
      </c>
      <c r="AA197">
        <v>6</v>
      </c>
      <c r="AB197">
        <v>6</v>
      </c>
      <c r="AC197">
        <v>6</v>
      </c>
      <c r="AD197">
        <v>6</v>
      </c>
      <c r="AE197">
        <v>6</v>
      </c>
      <c r="AF197">
        <v>6</v>
      </c>
      <c r="AG197">
        <v>6</v>
      </c>
      <c r="AH197">
        <v>5</v>
      </c>
      <c r="AI197">
        <v>6</v>
      </c>
      <c r="AJ197">
        <v>6</v>
      </c>
      <c r="AK197">
        <v>6</v>
      </c>
      <c r="AL197">
        <v>6</v>
      </c>
      <c r="AM197">
        <v>6</v>
      </c>
      <c r="AN197">
        <v>6</v>
      </c>
      <c r="AO197">
        <v>6</v>
      </c>
      <c r="AP197">
        <v>2</v>
      </c>
      <c r="AQ197">
        <v>2</v>
      </c>
      <c r="AR197">
        <v>0</v>
      </c>
      <c r="AS197">
        <v>5</v>
      </c>
      <c r="AT197">
        <v>1</v>
      </c>
      <c r="AU197">
        <v>4</v>
      </c>
      <c r="AV197">
        <v>2</v>
      </c>
      <c r="AW197">
        <v>1</v>
      </c>
      <c r="AX197">
        <v>4</v>
      </c>
      <c r="AY197">
        <v>5</v>
      </c>
      <c r="AZ197">
        <v>0</v>
      </c>
      <c r="BA197">
        <v>2</v>
      </c>
      <c r="BB197">
        <v>0</v>
      </c>
      <c r="BC197">
        <v>5</v>
      </c>
      <c r="BD197">
        <v>1</v>
      </c>
      <c r="BE197">
        <v>4</v>
      </c>
      <c r="BF197">
        <v>1</v>
      </c>
      <c r="BG197">
        <v>0</v>
      </c>
      <c r="BH197">
        <v>4</v>
      </c>
      <c r="BI197">
        <v>1</v>
      </c>
      <c r="BJ197">
        <v>1499663</v>
      </c>
      <c r="BK197">
        <v>3025152.75</v>
      </c>
      <c r="BL197">
        <v>26990.43</v>
      </c>
      <c r="BM197">
        <v>2213759.5</v>
      </c>
      <c r="BN197">
        <v>1906963.5</v>
      </c>
      <c r="BO197">
        <v>3060595.75</v>
      </c>
      <c r="BP197">
        <v>2244238.5</v>
      </c>
      <c r="BQ197">
        <v>1471764.25</v>
      </c>
      <c r="BR197">
        <v>2331573</v>
      </c>
      <c r="BS197">
        <v>2382574</v>
      </c>
      <c r="BT197">
        <v>484354.25</v>
      </c>
      <c r="BU197">
        <v>2617769.5</v>
      </c>
      <c r="BV197">
        <v>1139578</v>
      </c>
      <c r="BW197">
        <v>4214237</v>
      </c>
      <c r="BX197">
        <v>1559173.5</v>
      </c>
      <c r="BY197">
        <v>2325351.25</v>
      </c>
      <c r="BZ197">
        <v>2281157.5</v>
      </c>
      <c r="CA197">
        <v>1917936.25</v>
      </c>
      <c r="CB197">
        <v>2450770</v>
      </c>
      <c r="CC197">
        <v>1594032.5</v>
      </c>
      <c r="CD197">
        <v>1745336</v>
      </c>
      <c r="CE197">
        <v>1856471.12</v>
      </c>
      <c r="CF197">
        <v>3428500.75</v>
      </c>
      <c r="CG197">
        <v>2254805.25</v>
      </c>
      <c r="CH197">
        <v>1392809.38</v>
      </c>
      <c r="CI197">
        <v>1805509.62</v>
      </c>
      <c r="CJ197">
        <v>1637793.5</v>
      </c>
      <c r="CK197">
        <v>1200420.1200000001</v>
      </c>
      <c r="CL197">
        <v>2319066.25</v>
      </c>
      <c r="CM197">
        <v>1857323.62</v>
      </c>
      <c r="CN197">
        <v>1612051.12</v>
      </c>
      <c r="CO197">
        <v>1779514.38</v>
      </c>
      <c r="CP197">
        <v>1241578</v>
      </c>
      <c r="CQ197">
        <v>2282668.5</v>
      </c>
      <c r="CR197">
        <v>1417573.38</v>
      </c>
      <c r="CS197">
        <v>1758191.75</v>
      </c>
      <c r="CT197">
        <v>2068442.12</v>
      </c>
      <c r="CU197">
        <v>1360446.88</v>
      </c>
      <c r="CV197">
        <v>2477418.5</v>
      </c>
      <c r="CW197">
        <v>1950325.75</v>
      </c>
    </row>
    <row r="198" spans="1:101">
      <c r="A198">
        <v>31010</v>
      </c>
      <c r="B198" t="s">
        <v>717</v>
      </c>
      <c r="D198" t="s">
        <v>718</v>
      </c>
      <c r="E198" t="s">
        <v>719</v>
      </c>
      <c r="F198" t="s">
        <v>720</v>
      </c>
      <c r="G198">
        <v>26.959</v>
      </c>
      <c r="H198" t="s">
        <v>104</v>
      </c>
      <c r="I198">
        <v>2</v>
      </c>
      <c r="J198">
        <v>3</v>
      </c>
      <c r="K198">
        <v>1</v>
      </c>
      <c r="L198">
        <v>0</v>
      </c>
      <c r="M198">
        <v>0</v>
      </c>
      <c r="N198">
        <v>-1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3</v>
      </c>
      <c r="X198">
        <v>1</v>
      </c>
      <c r="Y198">
        <v>3</v>
      </c>
      <c r="Z198">
        <v>3</v>
      </c>
      <c r="AA198">
        <v>3</v>
      </c>
      <c r="AB198">
        <v>3</v>
      </c>
      <c r="AC198">
        <v>3</v>
      </c>
      <c r="AD198">
        <v>3</v>
      </c>
      <c r="AE198">
        <v>3</v>
      </c>
      <c r="AF198">
        <v>3</v>
      </c>
      <c r="AG198">
        <v>3</v>
      </c>
      <c r="AH198">
        <v>3</v>
      </c>
      <c r="AI198">
        <v>3</v>
      </c>
      <c r="AJ198">
        <v>3</v>
      </c>
      <c r="AK198">
        <v>3</v>
      </c>
      <c r="AL198">
        <v>3</v>
      </c>
      <c r="AM198">
        <v>3</v>
      </c>
      <c r="AN198">
        <v>3</v>
      </c>
      <c r="AO198">
        <v>3</v>
      </c>
      <c r="AP198">
        <v>1</v>
      </c>
      <c r="AQ198">
        <v>2</v>
      </c>
      <c r="AR198">
        <v>0</v>
      </c>
      <c r="AS198">
        <v>1</v>
      </c>
      <c r="AT198">
        <v>1</v>
      </c>
      <c r="AU198">
        <v>2</v>
      </c>
      <c r="AV198">
        <v>0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2</v>
      </c>
      <c r="BF198">
        <v>1</v>
      </c>
      <c r="BG198">
        <v>1</v>
      </c>
      <c r="BH198">
        <v>1</v>
      </c>
      <c r="BI198">
        <v>0</v>
      </c>
      <c r="BJ198">
        <v>3034580.5</v>
      </c>
      <c r="BK198">
        <v>3810641</v>
      </c>
      <c r="BL198">
        <v>10916.27</v>
      </c>
      <c r="BM198">
        <v>1067198.75</v>
      </c>
      <c r="BN198">
        <v>3216547</v>
      </c>
      <c r="BO198">
        <v>3828518</v>
      </c>
      <c r="BP198">
        <v>2623357</v>
      </c>
      <c r="BQ198">
        <v>2738078.75</v>
      </c>
      <c r="BR198">
        <v>984356.12</v>
      </c>
      <c r="BS198">
        <v>734183.06</v>
      </c>
      <c r="BT198">
        <v>671716.44</v>
      </c>
      <c r="BU198">
        <v>3381528.25</v>
      </c>
      <c r="BV198">
        <v>4394273.5</v>
      </c>
      <c r="BW198">
        <v>2460811.5</v>
      </c>
      <c r="BX198">
        <v>3227765.5</v>
      </c>
      <c r="BY198">
        <v>3261599.5</v>
      </c>
      <c r="BZ198">
        <v>2363337.5</v>
      </c>
      <c r="CA198">
        <v>2980396</v>
      </c>
      <c r="CB198">
        <v>1117470.1200000001</v>
      </c>
      <c r="CC198">
        <v>587901.88</v>
      </c>
      <c r="CD198">
        <v>2765732.75</v>
      </c>
      <c r="CE198">
        <v>2095177.5</v>
      </c>
      <c r="CF198">
        <v>2083534.5</v>
      </c>
      <c r="CG198">
        <v>1206263.8799999999</v>
      </c>
      <c r="CH198">
        <v>2456245.25</v>
      </c>
      <c r="CI198">
        <v>2485547.25</v>
      </c>
      <c r="CJ198">
        <v>2148697.25</v>
      </c>
      <c r="CK198">
        <v>2331615.25</v>
      </c>
      <c r="CL198">
        <v>914884.88</v>
      </c>
      <c r="CM198">
        <v>621793.68999999994</v>
      </c>
      <c r="CN198">
        <v>1850299.25</v>
      </c>
      <c r="CO198">
        <v>2217701.75</v>
      </c>
      <c r="CP198">
        <v>4057885.5</v>
      </c>
      <c r="CQ198">
        <v>1468165.38</v>
      </c>
      <c r="CR198">
        <v>2479920.5</v>
      </c>
      <c r="CS198">
        <v>2344980</v>
      </c>
      <c r="CT198">
        <v>2289565.5</v>
      </c>
      <c r="CU198">
        <v>2110590.25</v>
      </c>
      <c r="CV198">
        <v>1232895.8799999999</v>
      </c>
      <c r="CW198">
        <v>904517.19</v>
      </c>
    </row>
    <row r="199" spans="1:101">
      <c r="A199">
        <v>31028</v>
      </c>
      <c r="B199" t="s">
        <v>721</v>
      </c>
      <c r="D199" t="s">
        <v>721</v>
      </c>
      <c r="F199" t="s">
        <v>722</v>
      </c>
      <c r="G199">
        <v>26.501000000000001</v>
      </c>
      <c r="H199" t="s">
        <v>104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-1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2</v>
      </c>
      <c r="AQ199">
        <v>1</v>
      </c>
      <c r="AR199">
        <v>0</v>
      </c>
      <c r="AS199">
        <v>2</v>
      </c>
      <c r="AT199">
        <v>2</v>
      </c>
      <c r="AU199">
        <v>2</v>
      </c>
      <c r="AV199">
        <v>2</v>
      </c>
      <c r="AW199">
        <v>2</v>
      </c>
      <c r="AX199">
        <v>2</v>
      </c>
      <c r="AY199">
        <v>2</v>
      </c>
      <c r="AZ199">
        <v>1</v>
      </c>
      <c r="BA199">
        <v>2</v>
      </c>
      <c r="BB199">
        <v>2</v>
      </c>
      <c r="BC199">
        <v>2</v>
      </c>
      <c r="BD199">
        <v>2</v>
      </c>
      <c r="BE199">
        <v>2</v>
      </c>
      <c r="BF199">
        <v>1</v>
      </c>
      <c r="BG199">
        <v>2</v>
      </c>
      <c r="BH199">
        <v>2</v>
      </c>
      <c r="BI199">
        <v>1</v>
      </c>
      <c r="BJ199">
        <v>18855212</v>
      </c>
      <c r="BK199">
        <v>21154524</v>
      </c>
      <c r="BL199">
        <v>70365.919999999998</v>
      </c>
      <c r="BM199">
        <v>11834954</v>
      </c>
      <c r="BN199">
        <v>33397510</v>
      </c>
      <c r="BO199">
        <v>15681024</v>
      </c>
      <c r="BP199">
        <v>31362524</v>
      </c>
      <c r="BQ199">
        <v>57599088</v>
      </c>
      <c r="BR199">
        <v>20621104</v>
      </c>
      <c r="BS199">
        <v>8427691</v>
      </c>
      <c r="BT199">
        <v>4528330.5</v>
      </c>
      <c r="BU199">
        <v>14024442</v>
      </c>
      <c r="BV199">
        <v>22202182</v>
      </c>
      <c r="BW199">
        <v>43507176</v>
      </c>
      <c r="BX199">
        <v>72142504</v>
      </c>
      <c r="BY199">
        <v>11006710</v>
      </c>
      <c r="BZ199">
        <v>74253768</v>
      </c>
      <c r="CA199">
        <v>67402184</v>
      </c>
      <c r="CB199">
        <v>11526803</v>
      </c>
      <c r="CC199">
        <v>4794888</v>
      </c>
      <c r="CD199">
        <v>18855212</v>
      </c>
      <c r="CE199">
        <v>11429136</v>
      </c>
      <c r="CF199">
        <v>8102115</v>
      </c>
      <c r="CG199">
        <v>12266832</v>
      </c>
      <c r="CH199">
        <v>24351530</v>
      </c>
      <c r="CI199">
        <v>9468848</v>
      </c>
      <c r="CJ199">
        <v>22763908</v>
      </c>
      <c r="CK199">
        <v>46849784</v>
      </c>
      <c r="CL199">
        <v>19781146</v>
      </c>
      <c r="CM199">
        <v>7127280</v>
      </c>
      <c r="CN199">
        <v>16041405</v>
      </c>
      <c r="CO199">
        <v>9684225</v>
      </c>
      <c r="CP199">
        <v>22132950</v>
      </c>
      <c r="CQ199">
        <v>24602540</v>
      </c>
      <c r="CR199">
        <v>68215784</v>
      </c>
      <c r="CS199">
        <v>8038876</v>
      </c>
      <c r="CT199">
        <v>69824568</v>
      </c>
      <c r="CU199">
        <v>49175200</v>
      </c>
      <c r="CV199">
        <v>12644072</v>
      </c>
      <c r="CW199">
        <v>6271316.5</v>
      </c>
    </row>
    <row r="200" spans="1:101">
      <c r="A200">
        <v>31141</v>
      </c>
      <c r="B200" t="s">
        <v>723</v>
      </c>
      <c r="D200" t="s">
        <v>723</v>
      </c>
      <c r="F200" t="s">
        <v>724</v>
      </c>
      <c r="G200">
        <v>25.018999999999998</v>
      </c>
      <c r="H200" t="s">
        <v>104</v>
      </c>
      <c r="I200">
        <v>2</v>
      </c>
      <c r="J200">
        <v>1</v>
      </c>
      <c r="K200">
        <v>0</v>
      </c>
      <c r="L200">
        <v>0</v>
      </c>
      <c r="M200">
        <v>0</v>
      </c>
      <c r="N200">
        <v>-1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1</v>
      </c>
      <c r="AG200">
        <v>1</v>
      </c>
      <c r="AH200">
        <v>1</v>
      </c>
      <c r="AI200">
        <v>2</v>
      </c>
      <c r="AJ200">
        <v>1</v>
      </c>
      <c r="AK200">
        <v>2</v>
      </c>
      <c r="AL200">
        <v>2</v>
      </c>
      <c r="AM200">
        <v>2</v>
      </c>
      <c r="AN200">
        <v>2</v>
      </c>
      <c r="AO200">
        <v>2</v>
      </c>
      <c r="AP200">
        <v>0</v>
      </c>
      <c r="AQ200">
        <v>0</v>
      </c>
      <c r="AR200">
        <v>0</v>
      </c>
      <c r="AS200">
        <v>2</v>
      </c>
      <c r="AT200">
        <v>0</v>
      </c>
      <c r="AU200">
        <v>1</v>
      </c>
      <c r="AV200">
        <v>0</v>
      </c>
      <c r="AW200">
        <v>0</v>
      </c>
      <c r="AX200">
        <v>2</v>
      </c>
      <c r="AY200">
        <v>0</v>
      </c>
      <c r="AZ200">
        <v>0</v>
      </c>
      <c r="BA200">
        <v>0</v>
      </c>
      <c r="BB200">
        <v>0</v>
      </c>
      <c r="BC200">
        <v>2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383831.81</v>
      </c>
      <c r="BK200">
        <v>741465.56</v>
      </c>
      <c r="BM200">
        <v>746916.25</v>
      </c>
      <c r="BN200">
        <v>473878.81</v>
      </c>
      <c r="BO200">
        <v>653164.25</v>
      </c>
      <c r="BP200">
        <v>520465.12</v>
      </c>
      <c r="BQ200">
        <v>359827.72</v>
      </c>
      <c r="BR200">
        <v>587157.38</v>
      </c>
      <c r="BS200">
        <v>689830.75</v>
      </c>
      <c r="BT200">
        <v>51952.18</v>
      </c>
      <c r="BU200">
        <v>250001.97</v>
      </c>
      <c r="BV200">
        <v>253626.97</v>
      </c>
      <c r="BW200">
        <v>1376402.88</v>
      </c>
      <c r="BX200">
        <v>211327.67</v>
      </c>
      <c r="BY200">
        <v>326001.75</v>
      </c>
      <c r="BZ200">
        <v>345324.94</v>
      </c>
      <c r="CA200">
        <v>384819.5</v>
      </c>
      <c r="CB200">
        <v>595874.25</v>
      </c>
      <c r="CC200">
        <v>233387.06</v>
      </c>
      <c r="CD200">
        <v>311721.96999999997</v>
      </c>
      <c r="CE200">
        <v>379828.38</v>
      </c>
      <c r="CF200">
        <v>1861110.38</v>
      </c>
      <c r="CG200">
        <v>707526.25</v>
      </c>
      <c r="CH200">
        <v>333917.25</v>
      </c>
      <c r="CI200">
        <v>379395.06</v>
      </c>
      <c r="CJ200">
        <v>365253.47</v>
      </c>
      <c r="CK200">
        <v>280408.06</v>
      </c>
      <c r="CL200">
        <v>545482.93999999994</v>
      </c>
      <c r="CM200">
        <v>532986.38</v>
      </c>
      <c r="CN200">
        <v>177451.27</v>
      </c>
      <c r="CO200">
        <v>101098.92</v>
      </c>
      <c r="CP200">
        <v>196383.08</v>
      </c>
      <c r="CQ200">
        <v>851572</v>
      </c>
      <c r="CR200">
        <v>151053.41</v>
      </c>
      <c r="CS200">
        <v>296194.46999999997</v>
      </c>
      <c r="CT200">
        <v>397429.47</v>
      </c>
      <c r="CU200">
        <v>351245.88</v>
      </c>
      <c r="CV200">
        <v>770475.88</v>
      </c>
      <c r="CW200">
        <v>368418.62</v>
      </c>
    </row>
    <row r="201" spans="1:101">
      <c r="A201">
        <v>31123</v>
      </c>
      <c r="B201" t="s">
        <v>725</v>
      </c>
      <c r="D201" t="s">
        <v>725</v>
      </c>
      <c r="F201" t="s">
        <v>726</v>
      </c>
      <c r="G201">
        <v>24.809000000000001</v>
      </c>
      <c r="H201" t="s">
        <v>104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-1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1</v>
      </c>
      <c r="BF201">
        <v>0</v>
      </c>
      <c r="BG201">
        <v>0</v>
      </c>
      <c r="BH201">
        <v>0</v>
      </c>
      <c r="BI201">
        <v>1</v>
      </c>
      <c r="BJ201">
        <v>601871.88</v>
      </c>
      <c r="BK201">
        <v>1194147.75</v>
      </c>
      <c r="BM201">
        <v>315859.28000000003</v>
      </c>
      <c r="BN201">
        <v>980173.19</v>
      </c>
      <c r="BO201">
        <v>943649.25</v>
      </c>
      <c r="BP201">
        <v>859637.88</v>
      </c>
      <c r="BQ201">
        <v>683035.38</v>
      </c>
      <c r="BR201">
        <v>418679.25</v>
      </c>
      <c r="BS201">
        <v>399355.28</v>
      </c>
      <c r="BT201">
        <v>110657.05</v>
      </c>
      <c r="BU201">
        <v>754679.12</v>
      </c>
      <c r="BV201">
        <v>750936.75</v>
      </c>
      <c r="BW201">
        <v>650213.12</v>
      </c>
      <c r="BX201">
        <v>711862.44</v>
      </c>
      <c r="BY201">
        <v>697963.69</v>
      </c>
      <c r="BZ201">
        <v>642784.88</v>
      </c>
      <c r="CA201">
        <v>898969.75</v>
      </c>
      <c r="CB201">
        <v>365177.88</v>
      </c>
      <c r="CC201">
        <v>386979.59</v>
      </c>
      <c r="CD201">
        <v>601871.88</v>
      </c>
      <c r="CE201">
        <v>645161.18999999994</v>
      </c>
      <c r="CF201">
        <v>1861110.38</v>
      </c>
      <c r="CG201">
        <v>327385.53000000003</v>
      </c>
      <c r="CH201">
        <v>714685.43999999994</v>
      </c>
      <c r="CI201">
        <v>569814.25</v>
      </c>
      <c r="CJ201">
        <v>623952.25</v>
      </c>
      <c r="CK201">
        <v>555565.38</v>
      </c>
      <c r="CL201">
        <v>401625.22</v>
      </c>
      <c r="CM201">
        <v>337733.91</v>
      </c>
      <c r="CN201">
        <v>391997.59</v>
      </c>
      <c r="CO201">
        <v>521124.62</v>
      </c>
      <c r="CP201">
        <v>748595.19</v>
      </c>
      <c r="CQ201">
        <v>367684.03</v>
      </c>
      <c r="CR201">
        <v>673115.62</v>
      </c>
      <c r="CS201">
        <v>509765.69</v>
      </c>
      <c r="CT201">
        <v>604443.12</v>
      </c>
      <c r="CU201">
        <v>655869.25</v>
      </c>
      <c r="CV201">
        <v>400573.81</v>
      </c>
      <c r="CW201">
        <v>506137.28</v>
      </c>
    </row>
    <row r="202" spans="1:101">
      <c r="A202">
        <v>30999</v>
      </c>
      <c r="B202" t="s">
        <v>727</v>
      </c>
      <c r="D202" t="s">
        <v>728</v>
      </c>
      <c r="F202" t="s">
        <v>729</v>
      </c>
      <c r="G202">
        <v>23.917999999999999</v>
      </c>
      <c r="H202" t="s">
        <v>104</v>
      </c>
      <c r="I202">
        <v>2</v>
      </c>
      <c r="J202">
        <v>3</v>
      </c>
      <c r="K202">
        <v>0</v>
      </c>
      <c r="L202">
        <v>0</v>
      </c>
      <c r="M202">
        <v>0</v>
      </c>
      <c r="N202">
        <v>-1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0</v>
      </c>
      <c r="AS202">
        <v>0</v>
      </c>
      <c r="AT202">
        <v>1</v>
      </c>
      <c r="AU202">
        <v>1</v>
      </c>
      <c r="AV202">
        <v>1</v>
      </c>
      <c r="AW202">
        <v>1</v>
      </c>
      <c r="AX202">
        <v>0</v>
      </c>
      <c r="AY202">
        <v>0</v>
      </c>
      <c r="AZ202">
        <v>0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809148.25</v>
      </c>
      <c r="BK202">
        <v>1057689.25</v>
      </c>
      <c r="BM202">
        <v>259171.14</v>
      </c>
      <c r="BN202">
        <v>953833.19</v>
      </c>
      <c r="BO202">
        <v>1069380.6200000001</v>
      </c>
      <c r="BP202">
        <v>626225.18999999994</v>
      </c>
      <c r="BQ202">
        <v>594453.93999999994</v>
      </c>
      <c r="BR202">
        <v>342916.88</v>
      </c>
      <c r="BS202">
        <v>154611.59</v>
      </c>
      <c r="BT202">
        <v>198765.48</v>
      </c>
      <c r="BU202">
        <v>858428.56</v>
      </c>
      <c r="BV202">
        <v>557910</v>
      </c>
      <c r="BW202">
        <v>517586.62</v>
      </c>
      <c r="BX202">
        <v>695914.19</v>
      </c>
      <c r="BY202">
        <v>848602</v>
      </c>
      <c r="BZ202">
        <v>446704.25</v>
      </c>
      <c r="CA202">
        <v>663928.38</v>
      </c>
      <c r="CB202">
        <v>302148.65999999997</v>
      </c>
      <c r="CC202">
        <v>83145.19</v>
      </c>
      <c r="CD202">
        <v>809148.25</v>
      </c>
      <c r="CE202">
        <v>571436.81000000006</v>
      </c>
      <c r="CF202">
        <v>1861110.38</v>
      </c>
      <c r="CG202">
        <v>268628.75</v>
      </c>
      <c r="CH202">
        <v>695479.88</v>
      </c>
      <c r="CI202">
        <v>645736.06000000006</v>
      </c>
      <c r="CJ202">
        <v>454534</v>
      </c>
      <c r="CK202">
        <v>483515.28</v>
      </c>
      <c r="CL202">
        <v>328948.84000000003</v>
      </c>
      <c r="CM202">
        <v>130754.7</v>
      </c>
      <c r="CN202">
        <v>704117.69</v>
      </c>
      <c r="CO202">
        <v>592766.18999999994</v>
      </c>
      <c r="CP202">
        <v>556170.31000000006</v>
      </c>
      <c r="CQ202">
        <v>292686.12</v>
      </c>
      <c r="CR202">
        <v>658035.5</v>
      </c>
      <c r="CS202">
        <v>619786.12</v>
      </c>
      <c r="CT202">
        <v>420058.59</v>
      </c>
      <c r="CU202">
        <v>484388.03</v>
      </c>
      <c r="CV202">
        <v>331435.31</v>
      </c>
      <c r="CW202">
        <v>108747.02</v>
      </c>
    </row>
    <row r="203" spans="1:101">
      <c r="A203">
        <v>31096</v>
      </c>
      <c r="B203" t="s">
        <v>730</v>
      </c>
      <c r="D203" t="s">
        <v>731</v>
      </c>
      <c r="F203" t="s">
        <v>732</v>
      </c>
      <c r="G203">
        <v>22.803000000000001</v>
      </c>
      <c r="H203" t="s">
        <v>104</v>
      </c>
      <c r="I203">
        <v>2</v>
      </c>
      <c r="J203">
        <v>4</v>
      </c>
      <c r="K203">
        <v>0</v>
      </c>
      <c r="L203">
        <v>0</v>
      </c>
      <c r="M203">
        <v>0</v>
      </c>
      <c r="N203">
        <v>-1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1</v>
      </c>
      <c r="AY203">
        <v>0</v>
      </c>
      <c r="AZ203">
        <v>1</v>
      </c>
      <c r="BA203">
        <v>0</v>
      </c>
      <c r="BB203">
        <v>1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4188004</v>
      </c>
      <c r="BK203">
        <v>2641310.25</v>
      </c>
      <c r="BL203">
        <v>31942.39</v>
      </c>
      <c r="BM203">
        <v>567765.43999999994</v>
      </c>
      <c r="BN203">
        <v>3679285.25</v>
      </c>
      <c r="BO203">
        <v>2380594</v>
      </c>
      <c r="BP203">
        <v>2271710.5</v>
      </c>
      <c r="BQ203">
        <v>1426302.88</v>
      </c>
      <c r="BR203">
        <v>1861778.25</v>
      </c>
      <c r="BS203">
        <v>1008892.12</v>
      </c>
      <c r="BT203">
        <v>1141496.25</v>
      </c>
      <c r="BU203">
        <v>1869598.25</v>
      </c>
      <c r="BV203">
        <v>3910978</v>
      </c>
      <c r="BW203">
        <v>1175539.1200000001</v>
      </c>
      <c r="BX203">
        <v>2256441.25</v>
      </c>
      <c r="BY203">
        <v>1687686.5</v>
      </c>
      <c r="BZ203">
        <v>1400491.5</v>
      </c>
      <c r="CA203">
        <v>1552584</v>
      </c>
      <c r="CB203">
        <v>1341172.1200000001</v>
      </c>
      <c r="CC203">
        <v>335616.66</v>
      </c>
      <c r="CD203">
        <v>4188004</v>
      </c>
      <c r="CE203">
        <v>1427018.25</v>
      </c>
      <c r="CF203">
        <v>3677929.5</v>
      </c>
      <c r="CG203">
        <v>588484.18999999994</v>
      </c>
      <c r="CH203">
        <v>2682721.5</v>
      </c>
      <c r="CI203">
        <v>1437500.75</v>
      </c>
      <c r="CJ203">
        <v>1648879.12</v>
      </c>
      <c r="CK203">
        <v>1160122.1200000001</v>
      </c>
      <c r="CL203">
        <v>1785942.5</v>
      </c>
      <c r="CM203">
        <v>853217.94</v>
      </c>
      <c r="CN203">
        <v>4043698.75</v>
      </c>
      <c r="CO203">
        <v>1291003.8799999999</v>
      </c>
      <c r="CP203">
        <v>3898782.75</v>
      </c>
      <c r="CQ203">
        <v>664746.62</v>
      </c>
      <c r="CR203">
        <v>2133622.75</v>
      </c>
      <c r="CS203">
        <v>1232621</v>
      </c>
      <c r="CT203">
        <v>1316953</v>
      </c>
      <c r="CU203">
        <v>1132732.25</v>
      </c>
      <c r="CV203">
        <v>1471169.25</v>
      </c>
      <c r="CW203">
        <v>438958.81</v>
      </c>
    </row>
    <row r="204" spans="1:101">
      <c r="A204">
        <v>31039</v>
      </c>
      <c r="B204" t="s">
        <v>733</v>
      </c>
      <c r="D204" t="s">
        <v>734</v>
      </c>
      <c r="E204" t="s">
        <v>735</v>
      </c>
      <c r="F204" t="s">
        <v>736</v>
      </c>
      <c r="G204">
        <v>22.443999999999999</v>
      </c>
      <c r="H204" t="s">
        <v>104</v>
      </c>
      <c r="I204">
        <v>2</v>
      </c>
      <c r="J204">
        <v>20</v>
      </c>
      <c r="K204">
        <v>1</v>
      </c>
      <c r="L204">
        <v>0</v>
      </c>
      <c r="M204">
        <v>0</v>
      </c>
      <c r="N204">
        <v>-1</v>
      </c>
      <c r="O204">
        <v>3</v>
      </c>
      <c r="P204">
        <v>3</v>
      </c>
      <c r="Q204">
        <v>3</v>
      </c>
      <c r="R204">
        <v>3</v>
      </c>
      <c r="S204">
        <v>3</v>
      </c>
      <c r="T204">
        <v>3</v>
      </c>
      <c r="U204">
        <v>3</v>
      </c>
      <c r="V204">
        <v>3</v>
      </c>
      <c r="W204">
        <v>3</v>
      </c>
      <c r="Y204">
        <v>3</v>
      </c>
      <c r="Z204">
        <v>3</v>
      </c>
      <c r="AA204">
        <v>3</v>
      </c>
      <c r="AB204">
        <v>3</v>
      </c>
      <c r="AC204">
        <v>3</v>
      </c>
      <c r="AD204">
        <v>3</v>
      </c>
      <c r="AE204">
        <v>2</v>
      </c>
      <c r="AF204">
        <v>3</v>
      </c>
      <c r="AG204">
        <v>2</v>
      </c>
      <c r="AH204">
        <v>3</v>
      </c>
      <c r="AI204">
        <v>3</v>
      </c>
      <c r="AJ204">
        <v>3</v>
      </c>
      <c r="AK204">
        <v>3</v>
      </c>
      <c r="AL204">
        <v>3</v>
      </c>
      <c r="AM204">
        <v>3</v>
      </c>
      <c r="AN204">
        <v>3</v>
      </c>
      <c r="AO204">
        <v>3</v>
      </c>
      <c r="AP204">
        <v>2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1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2</v>
      </c>
      <c r="BI204">
        <v>0</v>
      </c>
      <c r="BJ204">
        <v>2121838</v>
      </c>
      <c r="BK204">
        <v>914035.5</v>
      </c>
      <c r="BM204">
        <v>471094.69</v>
      </c>
      <c r="BN204">
        <v>1066625.8799999999</v>
      </c>
      <c r="BO204">
        <v>1421419.25</v>
      </c>
      <c r="BP204">
        <v>934080.5</v>
      </c>
      <c r="BQ204">
        <v>1558205.62</v>
      </c>
      <c r="BR204">
        <v>1610410.75</v>
      </c>
      <c r="BS204">
        <v>396203.56</v>
      </c>
      <c r="BT204">
        <v>410322.62</v>
      </c>
      <c r="BU204">
        <v>523892.88</v>
      </c>
      <c r="BV204">
        <v>586645.25</v>
      </c>
      <c r="BW204">
        <v>1164673</v>
      </c>
      <c r="BX204">
        <v>1498388.88</v>
      </c>
      <c r="BY204">
        <v>767342.94</v>
      </c>
      <c r="BZ204">
        <v>1611831.75</v>
      </c>
      <c r="CA204">
        <v>1546103.12</v>
      </c>
      <c r="CB204">
        <v>1350794.12</v>
      </c>
      <c r="CC204">
        <v>967235</v>
      </c>
      <c r="CD204">
        <v>2436853.75</v>
      </c>
      <c r="CE204">
        <v>587528.5</v>
      </c>
      <c r="CF204">
        <v>1861110.38</v>
      </c>
      <c r="CG204">
        <v>538798.93999999994</v>
      </c>
      <c r="CH204">
        <v>819894.06</v>
      </c>
      <c r="CI204">
        <v>982694.69</v>
      </c>
      <c r="CJ204">
        <v>794128.69</v>
      </c>
      <c r="CK204">
        <v>1219551.25</v>
      </c>
      <c r="CL204">
        <v>1838055.75</v>
      </c>
      <c r="CM204">
        <v>364186.69</v>
      </c>
      <c r="CN204">
        <v>1765545</v>
      </c>
      <c r="CO204">
        <v>345923.25</v>
      </c>
      <c r="CP204">
        <v>482068.12</v>
      </c>
      <c r="CQ204">
        <v>762441.12</v>
      </c>
      <c r="CR204">
        <v>1047868.81</v>
      </c>
      <c r="CS204">
        <v>600679.43999999994</v>
      </c>
      <c r="CT204">
        <v>642650.88</v>
      </c>
      <c r="CU204">
        <v>1205734.1200000001</v>
      </c>
      <c r="CV204">
        <v>1729663</v>
      </c>
      <c r="CW204">
        <v>828183.94</v>
      </c>
    </row>
    <row r="205" spans="1:101">
      <c r="A205">
        <v>31088</v>
      </c>
      <c r="B205" t="s">
        <v>737</v>
      </c>
      <c r="D205" t="s">
        <v>737</v>
      </c>
      <c r="F205" t="s">
        <v>738</v>
      </c>
      <c r="G205">
        <v>22.216000000000001</v>
      </c>
      <c r="H205" t="s">
        <v>104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-1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1</v>
      </c>
      <c r="Y205">
        <v>2</v>
      </c>
      <c r="Z205">
        <v>2</v>
      </c>
      <c r="AA205">
        <v>2</v>
      </c>
      <c r="AB205">
        <v>2</v>
      </c>
      <c r="AC205">
        <v>2</v>
      </c>
      <c r="AD205">
        <v>2</v>
      </c>
      <c r="AE205">
        <v>2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2</v>
      </c>
      <c r="AL205">
        <v>2</v>
      </c>
      <c r="AM205">
        <v>2</v>
      </c>
      <c r="AN205">
        <v>2</v>
      </c>
      <c r="AO205">
        <v>2</v>
      </c>
      <c r="AP205">
        <v>0</v>
      </c>
      <c r="AQ205">
        <v>1</v>
      </c>
      <c r="AR205">
        <v>0</v>
      </c>
      <c r="AS205">
        <v>1</v>
      </c>
      <c r="AT205">
        <v>0</v>
      </c>
      <c r="AU205">
        <v>1</v>
      </c>
      <c r="AV205">
        <v>0</v>
      </c>
      <c r="AW205">
        <v>0</v>
      </c>
      <c r="AX205">
        <v>2</v>
      </c>
      <c r="AY205">
        <v>2</v>
      </c>
      <c r="AZ205">
        <v>0</v>
      </c>
      <c r="BA205">
        <v>0</v>
      </c>
      <c r="BB205">
        <v>0</v>
      </c>
      <c r="BC205">
        <v>2</v>
      </c>
      <c r="BD205">
        <v>0</v>
      </c>
      <c r="BE205">
        <v>2</v>
      </c>
      <c r="BF205">
        <v>0</v>
      </c>
      <c r="BG205">
        <v>0</v>
      </c>
      <c r="BH205">
        <v>1</v>
      </c>
      <c r="BI205">
        <v>0</v>
      </c>
      <c r="BJ205">
        <v>456721.31</v>
      </c>
      <c r="BK205">
        <v>649348.06000000006</v>
      </c>
      <c r="BL205">
        <v>115205.77</v>
      </c>
      <c r="BM205">
        <v>601090.38</v>
      </c>
      <c r="BN205">
        <v>700776.38</v>
      </c>
      <c r="BO205">
        <v>1078399.5</v>
      </c>
      <c r="BP205">
        <v>846582.75</v>
      </c>
      <c r="BQ205">
        <v>640925.62</v>
      </c>
      <c r="BR205">
        <v>996174</v>
      </c>
      <c r="BS205">
        <v>757126.62</v>
      </c>
      <c r="BT205">
        <v>166549.29999999999</v>
      </c>
      <c r="BU205">
        <v>771290.88</v>
      </c>
      <c r="BV205">
        <v>487574</v>
      </c>
      <c r="BW205">
        <v>1214342.6200000001</v>
      </c>
      <c r="BX205">
        <v>644890.88</v>
      </c>
      <c r="BY205">
        <v>748191.88</v>
      </c>
      <c r="BZ205">
        <v>437612.47</v>
      </c>
      <c r="CA205">
        <v>1028378.88</v>
      </c>
      <c r="CB205">
        <v>557041.31000000006</v>
      </c>
      <c r="CC205">
        <v>348305.44</v>
      </c>
      <c r="CD205">
        <v>492750.91</v>
      </c>
      <c r="CE205">
        <v>382635.66</v>
      </c>
      <c r="CF205">
        <v>4414729</v>
      </c>
      <c r="CG205">
        <v>1093090.25</v>
      </c>
      <c r="CH205">
        <v>898603.81</v>
      </c>
      <c r="CI205">
        <v>1124754.75</v>
      </c>
      <c r="CJ205">
        <v>1071014.8799999999</v>
      </c>
      <c r="CK205">
        <v>909425.75</v>
      </c>
      <c r="CL205">
        <v>1657210.62</v>
      </c>
      <c r="CM205">
        <v>1112689.5</v>
      </c>
      <c r="CN205">
        <v>900263.5</v>
      </c>
      <c r="CO205">
        <v>935712.25</v>
      </c>
      <c r="CP205">
        <v>839317.31</v>
      </c>
      <c r="CQ205">
        <v>1212237.25</v>
      </c>
      <c r="CR205">
        <v>1096773.6200000001</v>
      </c>
      <c r="CS205">
        <v>986418.12</v>
      </c>
      <c r="CT205">
        <v>712412.31</v>
      </c>
      <c r="CU205">
        <v>1338096.25</v>
      </c>
      <c r="CV205">
        <v>1126070.25</v>
      </c>
      <c r="CW205">
        <v>848888.56</v>
      </c>
    </row>
    <row r="206" spans="1:101">
      <c r="A206">
        <v>30911</v>
      </c>
      <c r="B206" t="s">
        <v>739</v>
      </c>
      <c r="D206" t="s">
        <v>740</v>
      </c>
      <c r="F206" t="s">
        <v>741</v>
      </c>
      <c r="G206">
        <v>22.027999999999999</v>
      </c>
      <c r="H206" t="s">
        <v>104</v>
      </c>
      <c r="I206">
        <v>2</v>
      </c>
      <c r="J206">
        <v>21</v>
      </c>
      <c r="K206">
        <v>0</v>
      </c>
      <c r="L206">
        <v>0</v>
      </c>
      <c r="M206">
        <v>0</v>
      </c>
      <c r="N206">
        <v>-1</v>
      </c>
      <c r="O206">
        <v>2</v>
      </c>
      <c r="P206">
        <v>2</v>
      </c>
      <c r="Q206">
        <v>2</v>
      </c>
      <c r="R206">
        <v>2</v>
      </c>
      <c r="S206">
        <v>2</v>
      </c>
      <c r="T206">
        <v>2</v>
      </c>
      <c r="U206">
        <v>1</v>
      </c>
      <c r="X206">
        <v>1</v>
      </c>
      <c r="Y206">
        <v>1</v>
      </c>
      <c r="AA206">
        <v>1</v>
      </c>
      <c r="AB206">
        <v>1</v>
      </c>
      <c r="AD206">
        <v>1</v>
      </c>
      <c r="AE206">
        <v>1</v>
      </c>
      <c r="AF206">
        <v>1</v>
      </c>
      <c r="AG206">
        <v>1</v>
      </c>
      <c r="AI206">
        <v>1</v>
      </c>
      <c r="AK206">
        <v>1</v>
      </c>
      <c r="AL206">
        <v>1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L206">
        <v>25890.09</v>
      </c>
      <c r="BM206">
        <v>164596.81</v>
      </c>
      <c r="BO206">
        <v>121364.48</v>
      </c>
      <c r="BP206">
        <v>225333.39</v>
      </c>
      <c r="BR206">
        <v>219611.88</v>
      </c>
      <c r="BS206">
        <v>238046.09</v>
      </c>
      <c r="BT206">
        <v>46819.98</v>
      </c>
      <c r="BU206">
        <v>353287.84</v>
      </c>
      <c r="BW206">
        <v>448268.66</v>
      </c>
      <c r="BY206">
        <v>234262.89</v>
      </c>
      <c r="BZ206">
        <v>134343.34</v>
      </c>
      <c r="CB206">
        <v>258798.3</v>
      </c>
      <c r="CC206">
        <v>260106.23</v>
      </c>
      <c r="CD206">
        <v>311941.62</v>
      </c>
      <c r="CE206">
        <v>204071.56</v>
      </c>
      <c r="CF206">
        <v>2981052.25</v>
      </c>
      <c r="CG206">
        <v>170603.23</v>
      </c>
      <c r="CH206">
        <v>268122.19</v>
      </c>
      <c r="CI206">
        <v>73284.88</v>
      </c>
      <c r="CJ206">
        <v>163554.07999999999</v>
      </c>
      <c r="CK206">
        <v>281040.15999999997</v>
      </c>
      <c r="CL206">
        <v>210666.44</v>
      </c>
      <c r="CM206">
        <v>201315.08</v>
      </c>
      <c r="CN206">
        <v>165857.66</v>
      </c>
      <c r="CO206">
        <v>243954.02</v>
      </c>
      <c r="CP206">
        <v>384147.09</v>
      </c>
      <c r="CQ206">
        <v>253488.02</v>
      </c>
      <c r="CR206">
        <v>225422.34</v>
      </c>
      <c r="CS206">
        <v>171096.56</v>
      </c>
      <c r="CT206">
        <v>126329.84</v>
      </c>
      <c r="CU206">
        <v>245732.98</v>
      </c>
      <c r="CV206">
        <v>283883.09000000003</v>
      </c>
      <c r="CW206">
        <v>340197.44</v>
      </c>
    </row>
    <row r="207" spans="1:101">
      <c r="A207">
        <v>31105</v>
      </c>
      <c r="B207" t="s">
        <v>742</v>
      </c>
      <c r="D207" t="s">
        <v>743</v>
      </c>
      <c r="F207" t="s">
        <v>744</v>
      </c>
      <c r="G207">
        <v>21.1</v>
      </c>
      <c r="H207" t="s">
        <v>104</v>
      </c>
      <c r="I207">
        <v>2</v>
      </c>
      <c r="J207">
        <v>2</v>
      </c>
      <c r="K207">
        <v>0</v>
      </c>
      <c r="L207">
        <v>0</v>
      </c>
      <c r="M207">
        <v>0</v>
      </c>
      <c r="N207">
        <v>-1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1</v>
      </c>
      <c r="W207">
        <v>2</v>
      </c>
      <c r="Y207">
        <v>2</v>
      </c>
      <c r="Z207">
        <v>1</v>
      </c>
      <c r="AA207">
        <v>2</v>
      </c>
      <c r="AB207">
        <v>2</v>
      </c>
      <c r="AC207">
        <v>1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1</v>
      </c>
      <c r="AK207">
        <v>2</v>
      </c>
      <c r="AL207">
        <v>2</v>
      </c>
      <c r="AM207">
        <v>1</v>
      </c>
      <c r="AN207">
        <v>2</v>
      </c>
      <c r="AO207">
        <v>2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2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193678.05</v>
      </c>
      <c r="BK207">
        <v>1088903.1200000001</v>
      </c>
      <c r="BM207">
        <v>918875.75</v>
      </c>
      <c r="BN207">
        <v>541496.5</v>
      </c>
      <c r="BO207">
        <v>993802.69</v>
      </c>
      <c r="BP207">
        <v>1117635</v>
      </c>
      <c r="BQ207">
        <v>402509.69</v>
      </c>
      <c r="BR207">
        <v>1010559.12</v>
      </c>
      <c r="BS207">
        <v>676094.75</v>
      </c>
      <c r="BT207">
        <v>180532.97</v>
      </c>
      <c r="BU207">
        <v>796958.12</v>
      </c>
      <c r="BV207">
        <v>444352.06</v>
      </c>
      <c r="BW207">
        <v>1756478.25</v>
      </c>
      <c r="BX207">
        <v>425107.78</v>
      </c>
      <c r="BY207">
        <v>719150.94</v>
      </c>
      <c r="BZ207">
        <v>508912.38</v>
      </c>
      <c r="CA207">
        <v>410752.88</v>
      </c>
      <c r="CB207">
        <v>672166.5</v>
      </c>
      <c r="CC207">
        <v>903066.62</v>
      </c>
      <c r="CD207">
        <v>25606.71</v>
      </c>
      <c r="CE207">
        <v>590005.81000000006</v>
      </c>
      <c r="CF207">
        <v>1861110.38</v>
      </c>
      <c r="CG207">
        <v>911705.81</v>
      </c>
      <c r="CH207">
        <v>145528.64000000001</v>
      </c>
      <c r="CI207">
        <v>630706.12</v>
      </c>
      <c r="CJ207">
        <v>837465.94</v>
      </c>
      <c r="CK207">
        <v>142758.39000000001</v>
      </c>
      <c r="CL207">
        <v>1158682.8799999999</v>
      </c>
      <c r="CM207">
        <v>620161.68999999994</v>
      </c>
      <c r="CN207">
        <v>684405.62</v>
      </c>
      <c r="CO207">
        <v>531621.68999999994</v>
      </c>
      <c r="CP207">
        <v>529656.38</v>
      </c>
      <c r="CQ207">
        <v>1082037.75</v>
      </c>
      <c r="CR207">
        <v>260593.72</v>
      </c>
      <c r="CS207">
        <v>589482.5</v>
      </c>
      <c r="CT207">
        <v>434376.06</v>
      </c>
      <c r="CU207">
        <v>196073.84</v>
      </c>
      <c r="CV207">
        <v>734128.94</v>
      </c>
      <c r="CW207">
        <v>1491277.88</v>
      </c>
    </row>
    <row r="208" spans="1:101">
      <c r="A208">
        <v>30994</v>
      </c>
      <c r="B208" t="s">
        <v>745</v>
      </c>
      <c r="D208" t="s">
        <v>746</v>
      </c>
      <c r="F208" t="s">
        <v>747</v>
      </c>
      <c r="G208">
        <v>21.097000000000001</v>
      </c>
      <c r="H208" t="s">
        <v>104</v>
      </c>
      <c r="I208">
        <v>2</v>
      </c>
      <c r="J208">
        <v>21</v>
      </c>
      <c r="K208">
        <v>0</v>
      </c>
      <c r="L208">
        <v>0</v>
      </c>
      <c r="M208">
        <v>0</v>
      </c>
      <c r="N208">
        <v>-1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0</v>
      </c>
      <c r="AS208">
        <v>0</v>
      </c>
      <c r="AT208">
        <v>1</v>
      </c>
      <c r="AU208">
        <v>1</v>
      </c>
      <c r="AV208">
        <v>1</v>
      </c>
      <c r="AW208">
        <v>1</v>
      </c>
      <c r="AX208">
        <v>0</v>
      </c>
      <c r="AY208">
        <v>0</v>
      </c>
      <c r="AZ208">
        <v>0</v>
      </c>
      <c r="BA208">
        <v>1</v>
      </c>
      <c r="BB208">
        <v>2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635851.62</v>
      </c>
      <c r="BK208">
        <v>657195.38</v>
      </c>
      <c r="BM208">
        <v>175129.09</v>
      </c>
      <c r="BN208">
        <v>901005.38</v>
      </c>
      <c r="BO208">
        <v>724252.19</v>
      </c>
      <c r="BP208">
        <v>722459.44</v>
      </c>
      <c r="BQ208">
        <v>546462.68999999994</v>
      </c>
      <c r="BR208">
        <v>387184.41</v>
      </c>
      <c r="BS208">
        <v>107087.41</v>
      </c>
      <c r="BT208">
        <v>63791.199999999997</v>
      </c>
      <c r="BU208">
        <v>603161.5</v>
      </c>
      <c r="BV208">
        <v>988505.38</v>
      </c>
      <c r="BW208">
        <v>296676.25</v>
      </c>
      <c r="BX208">
        <v>614835.93999999994</v>
      </c>
      <c r="BY208">
        <v>493373.31</v>
      </c>
      <c r="BZ208">
        <v>428252.31</v>
      </c>
      <c r="CA208">
        <v>255088.73</v>
      </c>
      <c r="CB208">
        <v>275052.06</v>
      </c>
      <c r="CC208">
        <v>50793.58</v>
      </c>
      <c r="CD208">
        <v>807801.88</v>
      </c>
      <c r="CE208">
        <v>92137.26</v>
      </c>
      <c r="CF208">
        <v>1861110.38</v>
      </c>
      <c r="CG208">
        <v>292259.53000000003</v>
      </c>
      <c r="CH208">
        <v>1070867</v>
      </c>
      <c r="CI208">
        <v>636290.62</v>
      </c>
      <c r="CJ208">
        <v>724772.25</v>
      </c>
      <c r="CK208">
        <v>139030.20000000001</v>
      </c>
      <c r="CL208">
        <v>691537.88</v>
      </c>
      <c r="CM208">
        <v>88736.38</v>
      </c>
      <c r="CN208">
        <v>524910.12</v>
      </c>
      <c r="CO208">
        <v>633901.81000000006</v>
      </c>
      <c r="CP208">
        <v>1808236</v>
      </c>
      <c r="CQ208">
        <v>277691.12</v>
      </c>
      <c r="CR208">
        <v>732117.19</v>
      </c>
      <c r="CS208">
        <v>797506.25</v>
      </c>
      <c r="CT208">
        <v>523747.75</v>
      </c>
      <c r="CU208">
        <v>262828</v>
      </c>
      <c r="CV208">
        <v>713928.38</v>
      </c>
      <c r="CW208">
        <v>63255.12</v>
      </c>
    </row>
    <row r="209" spans="1:101">
      <c r="A209">
        <v>31117</v>
      </c>
      <c r="B209" t="s">
        <v>748</v>
      </c>
      <c r="D209" t="s">
        <v>748</v>
      </c>
      <c r="F209" t="s">
        <v>749</v>
      </c>
      <c r="G209">
        <v>20.937999999999999</v>
      </c>
      <c r="H209" t="s">
        <v>104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-1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X209">
        <v>1</v>
      </c>
      <c r="Y209">
        <v>1</v>
      </c>
      <c r="AB209">
        <v>1</v>
      </c>
      <c r="AD209">
        <v>1</v>
      </c>
      <c r="AF209">
        <v>1</v>
      </c>
      <c r="AJ209">
        <v>1</v>
      </c>
      <c r="AP209">
        <v>0</v>
      </c>
      <c r="AQ209">
        <v>0</v>
      </c>
      <c r="AR209">
        <v>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L209">
        <v>359432.56</v>
      </c>
      <c r="BM209">
        <v>178790.91</v>
      </c>
      <c r="BP209">
        <v>266502.44</v>
      </c>
      <c r="BR209">
        <v>88832.95</v>
      </c>
      <c r="BT209">
        <v>44042.65</v>
      </c>
      <c r="BX209">
        <v>40238.559999999998</v>
      </c>
      <c r="CD209">
        <v>311941.62</v>
      </c>
      <c r="CE209">
        <v>204071.56</v>
      </c>
      <c r="CF209">
        <v>41386000</v>
      </c>
      <c r="CG209">
        <v>185315.3</v>
      </c>
      <c r="CH209">
        <v>268122.19</v>
      </c>
      <c r="CI209">
        <v>223854.05</v>
      </c>
      <c r="CJ209">
        <v>193435.88</v>
      </c>
      <c r="CK209">
        <v>281040.15999999997</v>
      </c>
      <c r="CL209">
        <v>85214.52</v>
      </c>
      <c r="CM209">
        <v>200247.95</v>
      </c>
      <c r="CN209">
        <v>156019.07999999999</v>
      </c>
      <c r="CO209">
        <v>248097.73</v>
      </c>
      <c r="CP209">
        <v>384147.09</v>
      </c>
      <c r="CQ209">
        <v>228183.14</v>
      </c>
      <c r="CR209">
        <v>38048.370000000003</v>
      </c>
      <c r="CS209">
        <v>238455.16</v>
      </c>
      <c r="CT209">
        <v>317038.59000000003</v>
      </c>
      <c r="CU209">
        <v>245732.98</v>
      </c>
      <c r="CV209">
        <v>240879.59</v>
      </c>
      <c r="CW209">
        <v>113166.88</v>
      </c>
    </row>
    <row r="210" spans="1:101">
      <c r="A210">
        <v>31130</v>
      </c>
      <c r="B210" t="s">
        <v>750</v>
      </c>
      <c r="D210" t="s">
        <v>750</v>
      </c>
      <c r="E210" t="s">
        <v>751</v>
      </c>
      <c r="F210" t="s">
        <v>752</v>
      </c>
      <c r="G210">
        <v>17.544</v>
      </c>
      <c r="H210" t="s">
        <v>104</v>
      </c>
      <c r="I210">
        <v>2</v>
      </c>
      <c r="J210">
        <v>1</v>
      </c>
      <c r="K210">
        <v>3</v>
      </c>
      <c r="L210">
        <v>0</v>
      </c>
      <c r="M210">
        <v>0</v>
      </c>
      <c r="N210">
        <v>-1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X210">
        <v>1</v>
      </c>
      <c r="Y210">
        <v>1</v>
      </c>
      <c r="AA210">
        <v>1</v>
      </c>
      <c r="AB210">
        <v>2</v>
      </c>
      <c r="AC210">
        <v>1</v>
      </c>
      <c r="AE210">
        <v>2</v>
      </c>
      <c r="AF210">
        <v>2</v>
      </c>
      <c r="AJ210">
        <v>1</v>
      </c>
      <c r="AK210">
        <v>1</v>
      </c>
      <c r="AL210">
        <v>1</v>
      </c>
      <c r="AN210">
        <v>2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1</v>
      </c>
      <c r="BG210">
        <v>0</v>
      </c>
      <c r="BH210">
        <v>2</v>
      </c>
      <c r="BI210">
        <v>0</v>
      </c>
      <c r="BL210">
        <v>16557.14</v>
      </c>
      <c r="BM210">
        <v>54970.49</v>
      </c>
      <c r="BO210">
        <v>64518.02</v>
      </c>
      <c r="BP210">
        <v>281977.28000000003</v>
      </c>
      <c r="BQ210">
        <v>115717.65</v>
      </c>
      <c r="BS210">
        <v>701063.25</v>
      </c>
      <c r="BT210">
        <v>145339.48000000001</v>
      </c>
      <c r="BX210">
        <v>188448.19</v>
      </c>
      <c r="BY210">
        <v>58465.48</v>
      </c>
      <c r="BZ210">
        <v>570051.56000000006</v>
      </c>
      <c r="CB210">
        <v>859606.69</v>
      </c>
      <c r="CD210">
        <v>311941.62</v>
      </c>
      <c r="CE210">
        <v>204071.56</v>
      </c>
      <c r="CF210">
        <v>1630018.12</v>
      </c>
      <c r="CG210">
        <v>69386.86</v>
      </c>
      <c r="CH210">
        <v>268122.19</v>
      </c>
      <c r="CI210">
        <v>34291.74</v>
      </c>
      <c r="CJ210">
        <v>183132.75</v>
      </c>
      <c r="CK210">
        <v>76610.34</v>
      </c>
      <c r="CL210">
        <v>189813.17</v>
      </c>
      <c r="CM210">
        <v>612357.75</v>
      </c>
      <c r="CN210">
        <v>524163.12</v>
      </c>
      <c r="CO210">
        <v>248097.73</v>
      </c>
      <c r="CP210">
        <v>384147.09</v>
      </c>
      <c r="CQ210">
        <v>228183.14</v>
      </c>
      <c r="CR210">
        <v>144551.79999999999</v>
      </c>
      <c r="CS210">
        <v>50224.19</v>
      </c>
      <c r="CT210">
        <v>332182.56</v>
      </c>
      <c r="CU210">
        <v>245732.98</v>
      </c>
      <c r="CV210">
        <v>1415775.88</v>
      </c>
      <c r="CW210">
        <v>113166.88</v>
      </c>
    </row>
    <row r="211" spans="1:101">
      <c r="A211">
        <v>30950</v>
      </c>
      <c r="B211" t="s">
        <v>753</v>
      </c>
      <c r="D211" t="s">
        <v>754</v>
      </c>
      <c r="F211" t="s">
        <v>755</v>
      </c>
      <c r="G211">
        <v>14.647</v>
      </c>
      <c r="H211" t="s">
        <v>104</v>
      </c>
      <c r="I211">
        <v>2</v>
      </c>
      <c r="J211">
        <v>18</v>
      </c>
      <c r="K211">
        <v>0</v>
      </c>
      <c r="L211">
        <v>0</v>
      </c>
      <c r="M211">
        <v>0</v>
      </c>
      <c r="N211">
        <v>-1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0</v>
      </c>
      <c r="AQ211">
        <v>1</v>
      </c>
      <c r="AR211">
        <v>0</v>
      </c>
      <c r="AS211">
        <v>0</v>
      </c>
      <c r="AT211">
        <v>1</v>
      </c>
      <c r="AU211">
        <v>1</v>
      </c>
      <c r="AV211">
        <v>1</v>
      </c>
      <c r="AW211">
        <v>1</v>
      </c>
      <c r="AX211">
        <v>0</v>
      </c>
      <c r="AY211">
        <v>0</v>
      </c>
      <c r="AZ211">
        <v>0</v>
      </c>
      <c r="BA211">
        <v>1</v>
      </c>
      <c r="BB211">
        <v>1</v>
      </c>
      <c r="BC211">
        <v>0</v>
      </c>
      <c r="BD211">
        <v>1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620301.56000000006</v>
      </c>
      <c r="BK211">
        <v>591462.38</v>
      </c>
      <c r="BM211">
        <v>178981.41</v>
      </c>
      <c r="BN211">
        <v>858549.19</v>
      </c>
      <c r="BO211">
        <v>825191.94</v>
      </c>
      <c r="BP211">
        <v>563372.68999999994</v>
      </c>
      <c r="BQ211">
        <v>349926.28</v>
      </c>
      <c r="BR211">
        <v>187452.44</v>
      </c>
      <c r="BS211">
        <v>183291.39</v>
      </c>
      <c r="BT211">
        <v>141786.09</v>
      </c>
      <c r="BU211">
        <v>470413.16</v>
      </c>
      <c r="BV211">
        <v>611888.31000000006</v>
      </c>
      <c r="BW211">
        <v>305795.59000000003</v>
      </c>
      <c r="BX211">
        <v>544771.56000000006</v>
      </c>
      <c r="BY211">
        <v>1070253.75</v>
      </c>
      <c r="BZ211">
        <v>342343.56</v>
      </c>
      <c r="CA211">
        <v>327748.62</v>
      </c>
      <c r="CB211">
        <v>190419</v>
      </c>
      <c r="CC211">
        <v>24596.42</v>
      </c>
      <c r="CD211">
        <v>620301.56000000006</v>
      </c>
      <c r="CE211">
        <v>319548.84000000003</v>
      </c>
      <c r="CF211">
        <v>1861110.38</v>
      </c>
      <c r="CG211">
        <v>185512.75</v>
      </c>
      <c r="CH211">
        <v>626004.25</v>
      </c>
      <c r="CI211">
        <v>498284.88</v>
      </c>
      <c r="CJ211">
        <v>408913.66</v>
      </c>
      <c r="CK211">
        <v>284622.06</v>
      </c>
      <c r="CL211">
        <v>179816.94</v>
      </c>
      <c r="CM211">
        <v>155009.14000000001</v>
      </c>
      <c r="CN211">
        <v>502270.81</v>
      </c>
      <c r="CO211">
        <v>324831.90999999997</v>
      </c>
      <c r="CP211">
        <v>609980.31000000006</v>
      </c>
      <c r="CQ211">
        <v>172922.02</v>
      </c>
      <c r="CR211">
        <v>515119.59</v>
      </c>
      <c r="CS211">
        <v>781671.94</v>
      </c>
      <c r="CT211">
        <v>321922.96999999997</v>
      </c>
      <c r="CU211">
        <v>239118.42</v>
      </c>
      <c r="CV211">
        <v>208875.92</v>
      </c>
      <c r="CW211">
        <v>32170.080000000002</v>
      </c>
    </row>
    <row r="212" spans="1:101">
      <c r="A212">
        <v>30914</v>
      </c>
      <c r="B212" t="s">
        <v>756</v>
      </c>
      <c r="D212" t="s">
        <v>757</v>
      </c>
      <c r="F212" t="s">
        <v>758</v>
      </c>
      <c r="G212">
        <v>14.025</v>
      </c>
      <c r="H212" t="s">
        <v>104</v>
      </c>
      <c r="I212">
        <v>2</v>
      </c>
      <c r="J212">
        <v>21</v>
      </c>
      <c r="K212">
        <v>0</v>
      </c>
      <c r="L212">
        <v>0</v>
      </c>
      <c r="M212">
        <v>0</v>
      </c>
      <c r="N212">
        <v>-1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1</v>
      </c>
      <c r="W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2</v>
      </c>
      <c r="AE212">
        <v>3</v>
      </c>
      <c r="AF212">
        <v>2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0</v>
      </c>
      <c r="AQ212">
        <v>2</v>
      </c>
      <c r="AR212">
        <v>0</v>
      </c>
      <c r="AS212">
        <v>1</v>
      </c>
      <c r="AT212">
        <v>2</v>
      </c>
      <c r="AU212">
        <v>1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2</v>
      </c>
      <c r="BB212">
        <v>1</v>
      </c>
      <c r="BC212">
        <v>0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118432.27</v>
      </c>
      <c r="BK212">
        <v>1972388.5</v>
      </c>
      <c r="BM212">
        <v>810029</v>
      </c>
      <c r="BN212">
        <v>2100452.25</v>
      </c>
      <c r="BO212">
        <v>1888228.5</v>
      </c>
      <c r="BP212">
        <v>1331715</v>
      </c>
      <c r="BQ212">
        <v>1416335.5</v>
      </c>
      <c r="BR212">
        <v>643766.43999999994</v>
      </c>
      <c r="BS212">
        <v>830050.12</v>
      </c>
      <c r="BT212">
        <v>185712.12</v>
      </c>
      <c r="BU212">
        <v>1400581.5</v>
      </c>
      <c r="BV212">
        <v>1272107.8799999999</v>
      </c>
      <c r="BW212">
        <v>1322972.25</v>
      </c>
      <c r="BX212">
        <v>1280577.25</v>
      </c>
      <c r="BY212">
        <v>1463305.38</v>
      </c>
      <c r="BZ212">
        <v>1456614.25</v>
      </c>
      <c r="CA212">
        <v>1861318.88</v>
      </c>
      <c r="CB212">
        <v>769491.31</v>
      </c>
      <c r="CC212">
        <v>473040.62</v>
      </c>
      <c r="CD212">
        <v>34383.480000000003</v>
      </c>
      <c r="CE212">
        <v>1162090.1200000001</v>
      </c>
      <c r="CF212">
        <v>1861110.38</v>
      </c>
      <c r="CG212">
        <v>848575.38</v>
      </c>
      <c r="CH212">
        <v>1465031.88</v>
      </c>
      <c r="CI212">
        <v>1079016.5</v>
      </c>
      <c r="CJ212">
        <v>960566.56</v>
      </c>
      <c r="CK212">
        <v>1214125.6200000001</v>
      </c>
      <c r="CL212">
        <v>731622.25</v>
      </c>
      <c r="CM212">
        <v>713784.62</v>
      </c>
      <c r="CN212">
        <v>836934.69</v>
      </c>
      <c r="CO212">
        <v>1123760.6200000001</v>
      </c>
      <c r="CP212">
        <v>1333517.25</v>
      </c>
      <c r="CQ212">
        <v>744271.06</v>
      </c>
      <c r="CR212">
        <v>1290780.3799999999</v>
      </c>
      <c r="CS212">
        <v>962695.75</v>
      </c>
      <c r="CT212">
        <v>1126221.3799999999</v>
      </c>
      <c r="CU212">
        <v>1325825.6200000001</v>
      </c>
      <c r="CV212">
        <v>919068.56</v>
      </c>
      <c r="CW212">
        <v>415616.5</v>
      </c>
    </row>
    <row r="213" spans="1:101">
      <c r="A213">
        <v>30972</v>
      </c>
      <c r="B213" t="s">
        <v>759</v>
      </c>
      <c r="D213" t="s">
        <v>759</v>
      </c>
      <c r="F213" t="s">
        <v>760</v>
      </c>
      <c r="G213">
        <v>13.523</v>
      </c>
      <c r="H213" t="s">
        <v>104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-1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7039334</v>
      </c>
      <c r="BK213">
        <v>8611651</v>
      </c>
      <c r="BM213">
        <v>1612391.88</v>
      </c>
      <c r="BN213">
        <v>7354818</v>
      </c>
      <c r="BO213">
        <v>4631310.5</v>
      </c>
      <c r="BP213">
        <v>3825559.25</v>
      </c>
      <c r="BQ213">
        <v>7359361.5</v>
      </c>
      <c r="BR213">
        <v>5178222.5</v>
      </c>
      <c r="BS213">
        <v>5818813.5</v>
      </c>
      <c r="BT213">
        <v>2029168.38</v>
      </c>
      <c r="BU213">
        <v>5829912.5</v>
      </c>
      <c r="BV213">
        <v>2789820.5</v>
      </c>
      <c r="BW213">
        <v>3377007</v>
      </c>
      <c r="BX213">
        <v>5778717</v>
      </c>
      <c r="BY213">
        <v>3810278</v>
      </c>
      <c r="BZ213">
        <v>3093300</v>
      </c>
      <c r="CA213">
        <v>8755357</v>
      </c>
      <c r="CB213">
        <v>4072262</v>
      </c>
      <c r="CC213">
        <v>3972023.25</v>
      </c>
      <c r="CD213">
        <v>7039334</v>
      </c>
      <c r="CE213">
        <v>4652609</v>
      </c>
      <c r="CF213">
        <v>1861110.38</v>
      </c>
      <c r="CG213">
        <v>1671230.88</v>
      </c>
      <c r="CH213">
        <v>5362707</v>
      </c>
      <c r="CI213">
        <v>2796576</v>
      </c>
      <c r="CJ213">
        <v>2776711.5</v>
      </c>
      <c r="CK213">
        <v>5985936.5</v>
      </c>
      <c r="CL213">
        <v>4967298</v>
      </c>
      <c r="CM213">
        <v>4920958</v>
      </c>
      <c r="CN213">
        <v>7188236.5</v>
      </c>
      <c r="CO213">
        <v>4025698.75</v>
      </c>
      <c r="CP213">
        <v>2781121.5</v>
      </c>
      <c r="CQ213">
        <v>1909637.88</v>
      </c>
      <c r="CR213">
        <v>5464180.5</v>
      </c>
      <c r="CS213">
        <v>2782879.75</v>
      </c>
      <c r="CT213">
        <v>2908786.25</v>
      </c>
      <c r="CU213">
        <v>6387722.5</v>
      </c>
      <c r="CV213">
        <v>4466978</v>
      </c>
      <c r="CW213">
        <v>5195077.5</v>
      </c>
    </row>
    <row r="214" spans="1:101">
      <c r="A214">
        <v>31017</v>
      </c>
      <c r="B214" t="s">
        <v>761</v>
      </c>
      <c r="D214" t="s">
        <v>762</v>
      </c>
      <c r="F214" t="s">
        <v>763</v>
      </c>
      <c r="G214">
        <v>12.808999999999999</v>
      </c>
      <c r="H214" t="s">
        <v>104</v>
      </c>
      <c r="I214">
        <v>2</v>
      </c>
      <c r="J214">
        <v>2</v>
      </c>
      <c r="K214">
        <v>0</v>
      </c>
      <c r="L214">
        <v>0</v>
      </c>
      <c r="M214">
        <v>0</v>
      </c>
      <c r="N214">
        <v>-1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1</v>
      </c>
      <c r="AW214">
        <v>1</v>
      </c>
      <c r="AX214">
        <v>0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1</v>
      </c>
      <c r="BE214">
        <v>1</v>
      </c>
      <c r="BF214">
        <v>0</v>
      </c>
      <c r="BG214">
        <v>1</v>
      </c>
      <c r="BH214">
        <v>0</v>
      </c>
      <c r="BI214">
        <v>0</v>
      </c>
      <c r="BJ214">
        <v>681122.19</v>
      </c>
      <c r="BK214">
        <v>808015.12</v>
      </c>
      <c r="BM214">
        <v>157984.95000000001</v>
      </c>
      <c r="BN214">
        <v>1392397.12</v>
      </c>
      <c r="BO214">
        <v>852960.06</v>
      </c>
      <c r="BP214">
        <v>1008603</v>
      </c>
      <c r="BQ214">
        <v>535271.31000000006</v>
      </c>
      <c r="BR214">
        <v>188556.53</v>
      </c>
      <c r="BS214">
        <v>81017.94</v>
      </c>
      <c r="BT214">
        <v>91835.97</v>
      </c>
      <c r="BU214">
        <v>807408.38</v>
      </c>
      <c r="BV214">
        <v>1606760.38</v>
      </c>
      <c r="BW214">
        <v>410334.12</v>
      </c>
      <c r="BX214">
        <v>1272404.8799999999</v>
      </c>
      <c r="BY214">
        <v>633009.81000000006</v>
      </c>
      <c r="BZ214">
        <v>767771.06</v>
      </c>
      <c r="CA214">
        <v>856603.12</v>
      </c>
      <c r="CB214">
        <v>185235.19</v>
      </c>
      <c r="CC214">
        <v>52333.98</v>
      </c>
      <c r="CD214">
        <v>681122.19</v>
      </c>
      <c r="CE214">
        <v>436545.59</v>
      </c>
      <c r="CF214">
        <v>1861110.38</v>
      </c>
      <c r="CG214">
        <v>163750.10999999999</v>
      </c>
      <c r="CH214">
        <v>1015255.25</v>
      </c>
      <c r="CI214">
        <v>515052.44</v>
      </c>
      <c r="CJ214">
        <v>732075.88</v>
      </c>
      <c r="CK214">
        <v>435377.47</v>
      </c>
      <c r="CL214">
        <v>180876.06</v>
      </c>
      <c r="CM214">
        <v>68516.7</v>
      </c>
      <c r="CN214">
        <v>325324.75</v>
      </c>
      <c r="CO214">
        <v>557535.43999999994</v>
      </c>
      <c r="CP214">
        <v>1601750.12</v>
      </c>
      <c r="CQ214">
        <v>232036.7</v>
      </c>
      <c r="CR214">
        <v>1203147.75</v>
      </c>
      <c r="CS214">
        <v>462325.91</v>
      </c>
      <c r="CT214">
        <v>721973.94</v>
      </c>
      <c r="CU214">
        <v>624959.43999999994</v>
      </c>
      <c r="CV214">
        <v>203189.66</v>
      </c>
      <c r="CW214">
        <v>68448.509999999995</v>
      </c>
    </row>
    <row r="215" spans="1:101">
      <c r="A215">
        <v>31077</v>
      </c>
      <c r="B215" t="s">
        <v>764</v>
      </c>
      <c r="D215" t="s">
        <v>765</v>
      </c>
      <c r="F215" t="s">
        <v>766</v>
      </c>
      <c r="G215">
        <v>12.303000000000001</v>
      </c>
      <c r="H215" t="s">
        <v>104</v>
      </c>
      <c r="I215">
        <v>2</v>
      </c>
      <c r="J215">
        <v>3</v>
      </c>
      <c r="K215">
        <v>0</v>
      </c>
      <c r="L215">
        <v>0</v>
      </c>
      <c r="M215">
        <v>0</v>
      </c>
      <c r="N215">
        <v>-1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560747.25</v>
      </c>
      <c r="BK215">
        <v>294655.96999999997</v>
      </c>
      <c r="BM215">
        <v>87663.23</v>
      </c>
      <c r="BN215">
        <v>744999.5</v>
      </c>
      <c r="BO215">
        <v>777135.81</v>
      </c>
      <c r="BP215">
        <v>561201.43999999994</v>
      </c>
      <c r="BQ215">
        <v>303230.90999999997</v>
      </c>
      <c r="BR215">
        <v>183356.19</v>
      </c>
      <c r="BT215">
        <v>123218.15</v>
      </c>
      <c r="BU215">
        <v>558413.38</v>
      </c>
      <c r="BV215">
        <v>845156.06</v>
      </c>
      <c r="BW215">
        <v>151175.82999999999</v>
      </c>
      <c r="BX215">
        <v>495959.19</v>
      </c>
      <c r="BY215">
        <v>677222.62</v>
      </c>
      <c r="BZ215">
        <v>525147.18999999994</v>
      </c>
      <c r="CA215">
        <v>343088.06</v>
      </c>
      <c r="CB215">
        <v>158705.94</v>
      </c>
      <c r="CC215">
        <v>42841.89</v>
      </c>
      <c r="CD215">
        <v>560747.25</v>
      </c>
      <c r="CE215">
        <v>159193.53</v>
      </c>
      <c r="CF215">
        <v>1861110.38</v>
      </c>
      <c r="CG215">
        <v>90862.21</v>
      </c>
      <c r="CH215">
        <v>543210.43999999994</v>
      </c>
      <c r="CI215">
        <v>469266.62</v>
      </c>
      <c r="CJ215">
        <v>407337.72</v>
      </c>
      <c r="CK215">
        <v>246641.09</v>
      </c>
      <c r="CL215">
        <v>175887.53</v>
      </c>
      <c r="CM215">
        <v>200247.95</v>
      </c>
      <c r="CN215">
        <v>436494.69</v>
      </c>
      <c r="CO215">
        <v>385598.25</v>
      </c>
      <c r="CP215">
        <v>842520.69</v>
      </c>
      <c r="CQ215">
        <v>85487.27</v>
      </c>
      <c r="CR215">
        <v>468964.06</v>
      </c>
      <c r="CS215">
        <v>494617.25</v>
      </c>
      <c r="CT215">
        <v>493822.47</v>
      </c>
      <c r="CU215">
        <v>250309.75</v>
      </c>
      <c r="CV215">
        <v>174088.98</v>
      </c>
      <c r="CW215">
        <v>56033.64</v>
      </c>
    </row>
    <row r="216" spans="1:101">
      <c r="A216">
        <v>31161</v>
      </c>
      <c r="B216" t="s">
        <v>767</v>
      </c>
      <c r="D216" t="s">
        <v>767</v>
      </c>
      <c r="F216" t="s">
        <v>768</v>
      </c>
      <c r="G216">
        <v>11.488</v>
      </c>
      <c r="H216" t="s">
        <v>104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-1</v>
      </c>
      <c r="O216">
        <v>2</v>
      </c>
      <c r="P216">
        <v>2</v>
      </c>
      <c r="Q216">
        <v>2</v>
      </c>
      <c r="R216">
        <v>2</v>
      </c>
      <c r="S216">
        <v>2</v>
      </c>
      <c r="T216">
        <v>2</v>
      </c>
      <c r="U216">
        <v>2</v>
      </c>
      <c r="V216">
        <v>2</v>
      </c>
      <c r="W216">
        <v>1</v>
      </c>
      <c r="Y216">
        <v>2</v>
      </c>
      <c r="Z216">
        <v>2</v>
      </c>
      <c r="AA216">
        <v>1</v>
      </c>
      <c r="AB216">
        <v>2</v>
      </c>
      <c r="AC216">
        <v>2</v>
      </c>
      <c r="AD216">
        <v>1</v>
      </c>
      <c r="AE216">
        <v>2</v>
      </c>
      <c r="AG216">
        <v>1</v>
      </c>
      <c r="AH216">
        <v>1</v>
      </c>
      <c r="AI216">
        <v>2</v>
      </c>
      <c r="AK216">
        <v>2</v>
      </c>
      <c r="AM216">
        <v>2</v>
      </c>
      <c r="AN216">
        <v>2</v>
      </c>
      <c r="AO216">
        <v>1</v>
      </c>
      <c r="AP216">
        <v>0</v>
      </c>
      <c r="AQ216">
        <v>0</v>
      </c>
      <c r="AR216">
        <v>0</v>
      </c>
      <c r="AS216">
        <v>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2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475263.97</v>
      </c>
      <c r="BK216">
        <v>333578.31</v>
      </c>
      <c r="BM216">
        <v>1368777.88</v>
      </c>
      <c r="BN216">
        <v>682595.25</v>
      </c>
      <c r="BO216">
        <v>487042.66</v>
      </c>
      <c r="BP216">
        <v>658800.62</v>
      </c>
      <c r="BQ216">
        <v>1025130.06</v>
      </c>
      <c r="BR216">
        <v>245760.89</v>
      </c>
      <c r="BS216">
        <v>714697.44</v>
      </c>
      <c r="BU216">
        <v>312907.12</v>
      </c>
      <c r="BV216">
        <v>115169.28</v>
      </c>
      <c r="BW216">
        <v>1613827.62</v>
      </c>
      <c r="BY216">
        <v>1187230.3799999999</v>
      </c>
      <c r="CA216">
        <v>1018515.44</v>
      </c>
      <c r="CB216">
        <v>344374.12</v>
      </c>
      <c r="CC216">
        <v>39363.980000000003</v>
      </c>
      <c r="CD216">
        <v>366188.12</v>
      </c>
      <c r="CE216">
        <v>60047.62</v>
      </c>
      <c r="CF216">
        <v>1861110.38</v>
      </c>
      <c r="CG216">
        <v>927112.44</v>
      </c>
      <c r="CH216">
        <v>450998</v>
      </c>
      <c r="CI216">
        <v>91575.55</v>
      </c>
      <c r="CJ216">
        <v>501766.69</v>
      </c>
      <c r="CK216">
        <v>856778.25</v>
      </c>
      <c r="CL216">
        <v>123328.78</v>
      </c>
      <c r="CM216">
        <v>715520.56</v>
      </c>
      <c r="CN216">
        <v>342208.75</v>
      </c>
      <c r="CO216">
        <v>118746.3</v>
      </c>
      <c r="CP216">
        <v>132205.03</v>
      </c>
      <c r="CQ216">
        <v>1244682.1200000001</v>
      </c>
      <c r="CR216">
        <v>225422.34</v>
      </c>
      <c r="CS216">
        <v>1158956.1200000001</v>
      </c>
      <c r="CT216">
        <v>317038.59000000003</v>
      </c>
      <c r="CU216">
        <v>1025233.06</v>
      </c>
      <c r="CV216">
        <v>521334.12</v>
      </c>
      <c r="CW216">
        <v>58747.97</v>
      </c>
    </row>
    <row r="217" spans="1:101">
      <c r="A217">
        <v>31041</v>
      </c>
      <c r="B217" t="s">
        <v>769</v>
      </c>
      <c r="D217" t="s">
        <v>770</v>
      </c>
      <c r="F217" t="s">
        <v>771</v>
      </c>
      <c r="G217">
        <v>11.45</v>
      </c>
      <c r="H217" t="s">
        <v>104</v>
      </c>
      <c r="I217">
        <v>2</v>
      </c>
      <c r="J217">
        <v>3</v>
      </c>
      <c r="K217">
        <v>0</v>
      </c>
      <c r="L217">
        <v>0</v>
      </c>
      <c r="M217">
        <v>0</v>
      </c>
      <c r="N217">
        <v>-1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W217">
        <v>1</v>
      </c>
      <c r="Z217">
        <v>1</v>
      </c>
      <c r="AA217">
        <v>1</v>
      </c>
      <c r="AD217">
        <v>1</v>
      </c>
      <c r="AE217">
        <v>1</v>
      </c>
      <c r="AG217">
        <v>1</v>
      </c>
      <c r="AH217">
        <v>1</v>
      </c>
      <c r="AI217">
        <v>1</v>
      </c>
      <c r="AK217">
        <v>1</v>
      </c>
      <c r="AM217">
        <v>1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1</v>
      </c>
      <c r="AY217">
        <v>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K217">
        <v>126569.83</v>
      </c>
      <c r="BN217">
        <v>80730.77</v>
      </c>
      <c r="BO217">
        <v>163634</v>
      </c>
      <c r="BR217">
        <v>96925.54</v>
      </c>
      <c r="BS217">
        <v>123675.86</v>
      </c>
      <c r="BU217">
        <v>74300.12</v>
      </c>
      <c r="BV217">
        <v>53810.64</v>
      </c>
      <c r="BW217">
        <v>157794.04999999999</v>
      </c>
      <c r="BY217">
        <v>137102.20000000001</v>
      </c>
      <c r="CA217">
        <v>67875.95</v>
      </c>
      <c r="CB217">
        <v>130291.04</v>
      </c>
      <c r="CC217">
        <v>90674.18</v>
      </c>
      <c r="CD217">
        <v>311941.62</v>
      </c>
      <c r="CE217">
        <v>68381.77</v>
      </c>
      <c r="CF217">
        <v>1861110.38</v>
      </c>
      <c r="CG217">
        <v>191651.27</v>
      </c>
      <c r="CH217">
        <v>58864.2</v>
      </c>
      <c r="CI217">
        <v>98808.95</v>
      </c>
      <c r="CJ217">
        <v>283374.34000000003</v>
      </c>
      <c r="CK217">
        <v>281040.15999999997</v>
      </c>
      <c r="CL217">
        <v>92977.48</v>
      </c>
      <c r="CM217">
        <v>104592.41</v>
      </c>
      <c r="CN217">
        <v>342208.75</v>
      </c>
      <c r="CO217">
        <v>51306.07</v>
      </c>
      <c r="CP217">
        <v>53642.85</v>
      </c>
      <c r="CQ217">
        <v>89229.75</v>
      </c>
      <c r="CR217">
        <v>225422.34</v>
      </c>
      <c r="CS217">
        <v>100134.16</v>
      </c>
      <c r="CT217">
        <v>317038.59000000003</v>
      </c>
      <c r="CU217">
        <v>49520.85</v>
      </c>
      <c r="CV217">
        <v>142919.89000000001</v>
      </c>
      <c r="CW217">
        <v>118594.33</v>
      </c>
    </row>
    <row r="218" spans="1:101">
      <c r="A218">
        <v>30964</v>
      </c>
      <c r="B218" t="s">
        <v>772</v>
      </c>
      <c r="D218" t="s">
        <v>773</v>
      </c>
      <c r="F218" t="s">
        <v>774</v>
      </c>
      <c r="G218">
        <v>10.409000000000001</v>
      </c>
      <c r="H218" t="s">
        <v>104</v>
      </c>
      <c r="I218">
        <v>2</v>
      </c>
      <c r="J218">
        <v>17</v>
      </c>
      <c r="K218">
        <v>0</v>
      </c>
      <c r="L218">
        <v>0</v>
      </c>
      <c r="M218">
        <v>0</v>
      </c>
      <c r="N218">
        <v>-1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2</v>
      </c>
      <c r="AQ218">
        <v>1</v>
      </c>
      <c r="AR218">
        <v>0</v>
      </c>
      <c r="AS218">
        <v>1</v>
      </c>
      <c r="AT218">
        <v>1</v>
      </c>
      <c r="AU218">
        <v>1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873621.25</v>
      </c>
      <c r="BK218">
        <v>1952801.5</v>
      </c>
      <c r="BM218">
        <v>997694.88</v>
      </c>
      <c r="BN218">
        <v>950487.38</v>
      </c>
      <c r="BO218">
        <v>1614291.88</v>
      </c>
      <c r="BP218">
        <v>1151070.8799999999</v>
      </c>
      <c r="BQ218">
        <v>835022.38</v>
      </c>
      <c r="BR218">
        <v>1277831</v>
      </c>
      <c r="BS218">
        <v>1251135.8799999999</v>
      </c>
      <c r="BT218">
        <v>172045.73</v>
      </c>
      <c r="BU218">
        <v>1545103.5</v>
      </c>
      <c r="BV218">
        <v>795598.75</v>
      </c>
      <c r="BW218">
        <v>2769876.5</v>
      </c>
      <c r="BX218">
        <v>883559.94</v>
      </c>
      <c r="BY218">
        <v>1353604.12</v>
      </c>
      <c r="BZ218">
        <v>1250054</v>
      </c>
      <c r="CA218">
        <v>1126771</v>
      </c>
      <c r="CB218">
        <v>1381832.38</v>
      </c>
      <c r="CC218">
        <v>1287571.5</v>
      </c>
      <c r="CD218">
        <v>873621.25</v>
      </c>
      <c r="CE218">
        <v>1055038.3799999999</v>
      </c>
      <c r="CF218">
        <v>1861110.38</v>
      </c>
      <c r="CG218">
        <v>1034102.5</v>
      </c>
      <c r="CH218">
        <v>693040.31</v>
      </c>
      <c r="CI218">
        <v>974775.88</v>
      </c>
      <c r="CJ218">
        <v>835483.56</v>
      </c>
      <c r="CK218">
        <v>679188.12</v>
      </c>
      <c r="CL218">
        <v>1225781.25</v>
      </c>
      <c r="CM218">
        <v>1058082.8799999999</v>
      </c>
      <c r="CN218">
        <v>609464.18999999994</v>
      </c>
      <c r="CO218">
        <v>1066932.25</v>
      </c>
      <c r="CP218">
        <v>793117.94</v>
      </c>
      <c r="CQ218">
        <v>1566316.25</v>
      </c>
      <c r="CR218">
        <v>835467.69</v>
      </c>
      <c r="CS218">
        <v>988620.12</v>
      </c>
      <c r="CT218">
        <v>1175488.8799999999</v>
      </c>
      <c r="CU218">
        <v>822068.12</v>
      </c>
      <c r="CV218">
        <v>1515770.62</v>
      </c>
      <c r="CW218">
        <v>1684036.88</v>
      </c>
    </row>
    <row r="219" spans="1:101">
      <c r="A219">
        <v>31098</v>
      </c>
      <c r="B219" t="s">
        <v>1080</v>
      </c>
      <c r="D219" t="s">
        <v>1081</v>
      </c>
      <c r="F219" t="s">
        <v>1082</v>
      </c>
      <c r="G219">
        <v>10.247</v>
      </c>
      <c r="H219" t="s">
        <v>104</v>
      </c>
      <c r="I219">
        <v>2</v>
      </c>
      <c r="J219">
        <v>2</v>
      </c>
      <c r="K219">
        <v>0</v>
      </c>
      <c r="L219">
        <v>0</v>
      </c>
      <c r="M219">
        <v>0</v>
      </c>
      <c r="N219">
        <v>-1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2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  <c r="AM219">
        <v>3</v>
      </c>
      <c r="AN219">
        <v>3</v>
      </c>
      <c r="AO219">
        <v>3</v>
      </c>
      <c r="AP219">
        <v>1</v>
      </c>
      <c r="AQ219">
        <v>0</v>
      </c>
      <c r="AR219">
        <v>0</v>
      </c>
      <c r="AS219">
        <v>1</v>
      </c>
      <c r="AT219">
        <v>0</v>
      </c>
      <c r="AU219">
        <v>2</v>
      </c>
      <c r="AV219">
        <v>1</v>
      </c>
      <c r="AW219">
        <v>0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2</v>
      </c>
      <c r="BD219">
        <v>0</v>
      </c>
      <c r="BE219">
        <v>2</v>
      </c>
      <c r="BF219">
        <v>0</v>
      </c>
      <c r="BG219">
        <v>0</v>
      </c>
      <c r="BH219">
        <v>1</v>
      </c>
      <c r="BI219">
        <v>0</v>
      </c>
      <c r="BJ219">
        <v>1271023.1200000001</v>
      </c>
      <c r="BK219">
        <v>1219933.5</v>
      </c>
      <c r="BM219">
        <v>968041.69</v>
      </c>
      <c r="BN219">
        <v>823430.5</v>
      </c>
      <c r="BO219">
        <v>1968263</v>
      </c>
      <c r="BP219">
        <v>2248310.5</v>
      </c>
      <c r="BQ219">
        <v>968151.5</v>
      </c>
      <c r="BR219">
        <v>1166137.75</v>
      </c>
      <c r="BS219">
        <v>1161393.75</v>
      </c>
      <c r="BT219">
        <v>326829.06</v>
      </c>
      <c r="BU219">
        <v>1172193.8799999999</v>
      </c>
      <c r="BV219">
        <v>747117.81</v>
      </c>
      <c r="BW219">
        <v>3147509.5</v>
      </c>
      <c r="BX219">
        <v>837419.06</v>
      </c>
      <c r="BY219">
        <v>1399025.38</v>
      </c>
      <c r="BZ219">
        <v>772606.12</v>
      </c>
      <c r="CA219">
        <v>1152334</v>
      </c>
      <c r="CB219">
        <v>1186323.25</v>
      </c>
      <c r="CC219">
        <v>1128066.1200000001</v>
      </c>
      <c r="CD219">
        <v>1239537.6200000001</v>
      </c>
      <c r="CE219">
        <v>795403.19</v>
      </c>
      <c r="CF219">
        <v>1861110.38</v>
      </c>
      <c r="CG219">
        <v>1052730.75</v>
      </c>
      <c r="CH219">
        <v>654958.25</v>
      </c>
      <c r="CI219">
        <v>1171269.75</v>
      </c>
      <c r="CJ219">
        <v>1444765.38</v>
      </c>
      <c r="CK219">
        <v>779998.31</v>
      </c>
      <c r="CL219">
        <v>1060534.8799999999</v>
      </c>
      <c r="CM219">
        <v>1027502.62</v>
      </c>
      <c r="CN219">
        <v>743970.38</v>
      </c>
      <c r="CO219">
        <v>865271.75</v>
      </c>
      <c r="CP219">
        <v>801601.44</v>
      </c>
      <c r="CQ219">
        <v>1628114.38</v>
      </c>
      <c r="CR219">
        <v>848228.38</v>
      </c>
      <c r="CS219">
        <v>1189275.5</v>
      </c>
      <c r="CT219">
        <v>1239537.6200000001</v>
      </c>
      <c r="CU219">
        <v>868541.25</v>
      </c>
      <c r="CV219">
        <v>1172269.25</v>
      </c>
      <c r="CW219">
        <v>1260229.5</v>
      </c>
    </row>
    <row r="220" spans="1:101">
      <c r="A220">
        <v>31129</v>
      </c>
      <c r="B220" t="s">
        <v>1083</v>
      </c>
      <c r="D220" t="s">
        <v>1084</v>
      </c>
      <c r="F220" t="s">
        <v>1085</v>
      </c>
      <c r="G220">
        <v>10.137</v>
      </c>
      <c r="H220" t="s">
        <v>104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-1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I220">
        <v>1</v>
      </c>
      <c r="AK220">
        <v>1</v>
      </c>
      <c r="AL220">
        <v>1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1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202351.09</v>
      </c>
      <c r="BK220">
        <v>515117.06</v>
      </c>
      <c r="BL220">
        <v>33401.11</v>
      </c>
      <c r="BM220">
        <v>334909.75</v>
      </c>
      <c r="BO220">
        <v>300757.75</v>
      </c>
      <c r="BP220">
        <v>367329.56</v>
      </c>
      <c r="BQ220">
        <v>366195.75</v>
      </c>
      <c r="BR220">
        <v>242141.16</v>
      </c>
      <c r="BS220">
        <v>331488.15999999997</v>
      </c>
      <c r="BT220">
        <v>98939.69</v>
      </c>
      <c r="BU220">
        <v>300808.84000000003</v>
      </c>
      <c r="BW220">
        <v>534776.12</v>
      </c>
      <c r="BY220">
        <v>320927.90999999997</v>
      </c>
      <c r="BZ220">
        <v>251000.3</v>
      </c>
      <c r="CB220">
        <v>207232.7</v>
      </c>
      <c r="CC220">
        <v>170924.44</v>
      </c>
      <c r="CD220">
        <v>202351.09</v>
      </c>
      <c r="CE220">
        <v>278301.84000000003</v>
      </c>
      <c r="CF220">
        <v>3845890.75</v>
      </c>
      <c r="CG220">
        <v>347131.19</v>
      </c>
      <c r="CH220">
        <v>268122.19</v>
      </c>
      <c r="CI220">
        <v>181609.92</v>
      </c>
      <c r="CJ220">
        <v>266619.38</v>
      </c>
      <c r="CK220">
        <v>297855.25</v>
      </c>
      <c r="CL220">
        <v>232278.03</v>
      </c>
      <c r="CM220">
        <v>280338.84000000003</v>
      </c>
      <c r="CN220">
        <v>350489.34</v>
      </c>
      <c r="CO220">
        <v>207715.95</v>
      </c>
      <c r="CP220">
        <v>384147.09</v>
      </c>
      <c r="CQ220">
        <v>302406.44</v>
      </c>
      <c r="CR220">
        <v>225422.34</v>
      </c>
      <c r="CS220">
        <v>234393.34</v>
      </c>
      <c r="CT220">
        <v>236028.28</v>
      </c>
      <c r="CU220">
        <v>245732.98</v>
      </c>
      <c r="CV220">
        <v>227319.34</v>
      </c>
      <c r="CW220">
        <v>223555.02</v>
      </c>
    </row>
    <row r="221" spans="1:101">
      <c r="A221">
        <v>31155</v>
      </c>
      <c r="B221" t="s">
        <v>1086</v>
      </c>
      <c r="D221" t="s">
        <v>1086</v>
      </c>
      <c r="F221" t="s">
        <v>1087</v>
      </c>
      <c r="G221">
        <v>10.109</v>
      </c>
      <c r="H221" t="s">
        <v>104</v>
      </c>
      <c r="I221">
        <v>2</v>
      </c>
      <c r="J221">
        <v>1</v>
      </c>
      <c r="K221">
        <v>0</v>
      </c>
      <c r="L221">
        <v>0</v>
      </c>
      <c r="M221">
        <v>0</v>
      </c>
      <c r="N221">
        <v>-1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0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174102.22</v>
      </c>
      <c r="BK221">
        <v>355391.5</v>
      </c>
      <c r="BM221">
        <v>107150.63</v>
      </c>
      <c r="BN221">
        <v>279319.78000000003</v>
      </c>
      <c r="BO221">
        <v>324370.65999999997</v>
      </c>
      <c r="BP221">
        <v>185959.62</v>
      </c>
      <c r="BQ221">
        <v>100166.58</v>
      </c>
      <c r="BR221">
        <v>78725.03</v>
      </c>
      <c r="BS221">
        <v>80948.58</v>
      </c>
      <c r="BT221">
        <v>42217.96</v>
      </c>
      <c r="BU221">
        <v>283243.46999999997</v>
      </c>
      <c r="BV221">
        <v>170122.88</v>
      </c>
      <c r="BW221">
        <v>328223.62</v>
      </c>
      <c r="BX221">
        <v>220030.44</v>
      </c>
      <c r="BY221">
        <v>263605.44</v>
      </c>
      <c r="BZ221">
        <v>196118.52</v>
      </c>
      <c r="CA221">
        <v>335707.88</v>
      </c>
      <c r="CB221">
        <v>79185.69</v>
      </c>
      <c r="CC221">
        <v>85487.06</v>
      </c>
      <c r="CD221">
        <v>174102.22</v>
      </c>
      <c r="CE221">
        <v>192007.05</v>
      </c>
      <c r="CF221">
        <v>1861110.38</v>
      </c>
      <c r="CG221">
        <v>111060.75</v>
      </c>
      <c r="CH221">
        <v>203663.8</v>
      </c>
      <c r="CI221">
        <v>195868.36</v>
      </c>
      <c r="CJ221">
        <v>134975.35999999999</v>
      </c>
      <c r="CK221">
        <v>81473.210000000006</v>
      </c>
      <c r="CL221">
        <v>75518.33</v>
      </c>
      <c r="CM221">
        <v>68458.039999999994</v>
      </c>
      <c r="CN221">
        <v>149555.20000000001</v>
      </c>
      <c r="CO221">
        <v>195586.62</v>
      </c>
      <c r="CP221">
        <v>169592.41</v>
      </c>
      <c r="CQ221">
        <v>185604.67</v>
      </c>
      <c r="CR221">
        <v>208054.16</v>
      </c>
      <c r="CS221">
        <v>192527.23</v>
      </c>
      <c r="CT221">
        <v>184420.16</v>
      </c>
      <c r="CU221">
        <v>244925.33</v>
      </c>
      <c r="CV221">
        <v>86860.99</v>
      </c>
      <c r="CW221">
        <v>111810.01</v>
      </c>
    </row>
    <row r="222" spans="1:101">
      <c r="A222">
        <v>31118</v>
      </c>
      <c r="B222" t="s">
        <v>1088</v>
      </c>
      <c r="D222" t="s">
        <v>1089</v>
      </c>
      <c r="F222" t="s">
        <v>1090</v>
      </c>
      <c r="G222">
        <v>9.9779999999999998</v>
      </c>
      <c r="H222" t="s">
        <v>104</v>
      </c>
      <c r="I222">
        <v>2</v>
      </c>
      <c r="J222">
        <v>3</v>
      </c>
      <c r="K222">
        <v>0</v>
      </c>
      <c r="L222">
        <v>0</v>
      </c>
      <c r="M222">
        <v>0</v>
      </c>
      <c r="N222">
        <v>-1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W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1</v>
      </c>
      <c r="AW222">
        <v>0</v>
      </c>
      <c r="AX222">
        <v>0</v>
      </c>
      <c r="AY222">
        <v>1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K222">
        <v>260974</v>
      </c>
      <c r="BM222">
        <v>601602.5</v>
      </c>
      <c r="BN222">
        <v>345163.78</v>
      </c>
      <c r="BO222">
        <v>773619.19</v>
      </c>
      <c r="BP222">
        <v>563907.75</v>
      </c>
      <c r="BQ222">
        <v>371685.53</v>
      </c>
      <c r="BR222">
        <v>902417.56</v>
      </c>
      <c r="BS222">
        <v>781471.06</v>
      </c>
      <c r="BT222">
        <v>121899.62</v>
      </c>
      <c r="BU222">
        <v>998003.19</v>
      </c>
      <c r="BV222">
        <v>222090.83</v>
      </c>
      <c r="BW222">
        <v>1111272.5</v>
      </c>
      <c r="BX222">
        <v>229995.69</v>
      </c>
      <c r="BY222">
        <v>400679.16</v>
      </c>
      <c r="BZ222">
        <v>256960.14</v>
      </c>
      <c r="CA222">
        <v>176949.14</v>
      </c>
      <c r="CB222">
        <v>599018.5</v>
      </c>
      <c r="CC222">
        <v>971461.81</v>
      </c>
      <c r="CD222">
        <v>311941.62</v>
      </c>
      <c r="CE222">
        <v>140996.19</v>
      </c>
      <c r="CF222">
        <v>1861110.38</v>
      </c>
      <c r="CG222">
        <v>623556.06000000006</v>
      </c>
      <c r="CH222">
        <v>251673.41</v>
      </c>
      <c r="CI222">
        <v>467143.09</v>
      </c>
      <c r="CJ222">
        <v>409302.03</v>
      </c>
      <c r="CK222">
        <v>302320.53000000003</v>
      </c>
      <c r="CL222">
        <v>865659.44</v>
      </c>
      <c r="CM222">
        <v>660888.38</v>
      </c>
      <c r="CN222">
        <v>431823.91</v>
      </c>
      <c r="CO222">
        <v>689145.94</v>
      </c>
      <c r="CP222">
        <v>221398.31</v>
      </c>
      <c r="CQ222">
        <v>628405</v>
      </c>
      <c r="CR222">
        <v>217476.98</v>
      </c>
      <c r="CS222">
        <v>292640.56</v>
      </c>
      <c r="CT222">
        <v>241632.59</v>
      </c>
      <c r="CU222">
        <v>129098.34</v>
      </c>
      <c r="CV222">
        <v>657080.18999999994</v>
      </c>
      <c r="CW222">
        <v>1270591.6200000001</v>
      </c>
    </row>
    <row r="223" spans="1:101">
      <c r="A223">
        <v>31142</v>
      </c>
      <c r="B223" t="s">
        <v>1091</v>
      </c>
      <c r="D223" t="s">
        <v>1091</v>
      </c>
      <c r="F223" t="s">
        <v>1092</v>
      </c>
      <c r="G223">
        <v>9.8379999999999992</v>
      </c>
      <c r="H223" t="s">
        <v>104</v>
      </c>
      <c r="I223">
        <v>2</v>
      </c>
      <c r="J223">
        <v>1</v>
      </c>
      <c r="K223">
        <v>0</v>
      </c>
      <c r="L223">
        <v>0</v>
      </c>
      <c r="M223">
        <v>0</v>
      </c>
      <c r="N223">
        <v>-1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0</v>
      </c>
      <c r="AY223">
        <v>0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0</v>
      </c>
      <c r="BF223">
        <v>1</v>
      </c>
      <c r="BG223">
        <v>1</v>
      </c>
      <c r="BH223">
        <v>1</v>
      </c>
      <c r="BI223">
        <v>0</v>
      </c>
      <c r="BJ223">
        <v>989588.38</v>
      </c>
      <c r="BK223">
        <v>926307.38</v>
      </c>
      <c r="BM223">
        <v>464441.78</v>
      </c>
      <c r="BN223">
        <v>892598.5</v>
      </c>
      <c r="BO223">
        <v>1292914.8799999999</v>
      </c>
      <c r="BP223">
        <v>547638.25</v>
      </c>
      <c r="BQ223">
        <v>689336.88</v>
      </c>
      <c r="BR223">
        <v>396452.56</v>
      </c>
      <c r="BS223">
        <v>263285.34000000003</v>
      </c>
      <c r="BT223">
        <v>236052.88</v>
      </c>
      <c r="BU223">
        <v>740536.56</v>
      </c>
      <c r="BV223">
        <v>674037.5</v>
      </c>
      <c r="BW223">
        <v>1210019</v>
      </c>
      <c r="BX223">
        <v>562183.43999999994</v>
      </c>
      <c r="BY223">
        <v>875640.88</v>
      </c>
      <c r="BZ223">
        <v>390457.41</v>
      </c>
      <c r="CA223">
        <v>816223.81</v>
      </c>
      <c r="CB223">
        <v>412324.56</v>
      </c>
      <c r="CC223">
        <v>299580.84000000003</v>
      </c>
      <c r="CD223">
        <v>989588.38</v>
      </c>
      <c r="CE223">
        <v>500455.25</v>
      </c>
      <c r="CF223">
        <v>1861110.38</v>
      </c>
      <c r="CG223">
        <v>481390.09</v>
      </c>
      <c r="CH223">
        <v>650831.12</v>
      </c>
      <c r="CI223">
        <v>780715.25</v>
      </c>
      <c r="CJ223">
        <v>397493.12</v>
      </c>
      <c r="CK223">
        <v>560690.88</v>
      </c>
      <c r="CL223">
        <v>380303.88</v>
      </c>
      <c r="CM223">
        <v>222659.86</v>
      </c>
      <c r="CN223">
        <v>836206.56</v>
      </c>
      <c r="CO223">
        <v>511358.81</v>
      </c>
      <c r="CP223">
        <v>671935.75</v>
      </c>
      <c r="CQ223">
        <v>684244.38</v>
      </c>
      <c r="CR223">
        <v>531583.68999999994</v>
      </c>
      <c r="CS223">
        <v>639534.25</v>
      </c>
      <c r="CT223">
        <v>367166.84</v>
      </c>
      <c r="CU223">
        <v>595499.56000000006</v>
      </c>
      <c r="CV223">
        <v>452290.34</v>
      </c>
      <c r="CW223">
        <v>391826.94</v>
      </c>
    </row>
    <row r="224" spans="1:101">
      <c r="A224">
        <v>31151</v>
      </c>
      <c r="B224" t="s">
        <v>1093</v>
      </c>
      <c r="D224" t="s">
        <v>1093</v>
      </c>
      <c r="F224" t="s">
        <v>1094</v>
      </c>
      <c r="G224">
        <v>9.6029999999999998</v>
      </c>
      <c r="H224" t="s">
        <v>104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-1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1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1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235741.16</v>
      </c>
      <c r="BK224">
        <v>297319.12</v>
      </c>
      <c r="BM224">
        <v>307217.81</v>
      </c>
      <c r="BN224">
        <v>204298.53</v>
      </c>
      <c r="BO224">
        <v>438442</v>
      </c>
      <c r="BP224">
        <v>176450.02</v>
      </c>
      <c r="BQ224">
        <v>117988.71</v>
      </c>
      <c r="BR224">
        <v>353794.28</v>
      </c>
      <c r="BS224">
        <v>385365.53</v>
      </c>
      <c r="BT224">
        <v>47794.23</v>
      </c>
      <c r="BU224">
        <v>331622.28000000003</v>
      </c>
      <c r="BV224">
        <v>223656.44</v>
      </c>
      <c r="BW224">
        <v>683618.75</v>
      </c>
      <c r="BX224">
        <v>109887.74</v>
      </c>
      <c r="BY224">
        <v>185512.83</v>
      </c>
      <c r="BZ224">
        <v>124972.13</v>
      </c>
      <c r="CA224">
        <v>101214.46</v>
      </c>
      <c r="CB224">
        <v>170978.38</v>
      </c>
      <c r="CC224">
        <v>298850.40999999997</v>
      </c>
      <c r="CD224">
        <v>235741.16</v>
      </c>
      <c r="CE224">
        <v>160632.34</v>
      </c>
      <c r="CF224">
        <v>1861110.38</v>
      </c>
      <c r="CG224">
        <v>318428.71999999997</v>
      </c>
      <c r="CH224">
        <v>148962.66</v>
      </c>
      <c r="CI224">
        <v>264749.34000000003</v>
      </c>
      <c r="CJ224">
        <v>128072.98</v>
      </c>
      <c r="CK224">
        <v>95969.33</v>
      </c>
      <c r="CL224">
        <v>339383.19</v>
      </c>
      <c r="CM224">
        <v>325902.81</v>
      </c>
      <c r="CN224">
        <v>169308.89</v>
      </c>
      <c r="CO224">
        <v>228993.39</v>
      </c>
      <c r="CP224">
        <v>222959.03</v>
      </c>
      <c r="CQ224">
        <v>386574.34</v>
      </c>
      <c r="CR224">
        <v>103906.54</v>
      </c>
      <c r="CS224">
        <v>135491.41</v>
      </c>
      <c r="CT224">
        <v>117517.62</v>
      </c>
      <c r="CU224">
        <v>73843.92</v>
      </c>
      <c r="CV224">
        <v>187550.97</v>
      </c>
      <c r="CW224">
        <v>390871.59</v>
      </c>
    </row>
    <row r="225" spans="1:101">
      <c r="A225">
        <v>31090</v>
      </c>
      <c r="B225" t="s">
        <v>1095</v>
      </c>
      <c r="D225" t="s">
        <v>1096</v>
      </c>
      <c r="F225" t="s">
        <v>1097</v>
      </c>
      <c r="G225">
        <v>9.1720000000000006</v>
      </c>
      <c r="H225" t="s">
        <v>104</v>
      </c>
      <c r="I225">
        <v>2</v>
      </c>
      <c r="J225">
        <v>2</v>
      </c>
      <c r="K225">
        <v>0</v>
      </c>
      <c r="L225">
        <v>0</v>
      </c>
      <c r="M225">
        <v>0</v>
      </c>
      <c r="N225">
        <v>-1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482414.06</v>
      </c>
      <c r="BK225">
        <v>646784.88</v>
      </c>
      <c r="BM225">
        <v>261623.06</v>
      </c>
      <c r="BN225">
        <v>502584.19</v>
      </c>
      <c r="BO225">
        <v>474347.44</v>
      </c>
      <c r="BP225">
        <v>304673.5</v>
      </c>
      <c r="BQ225">
        <v>431928.28</v>
      </c>
      <c r="BR225">
        <v>165690.42000000001</v>
      </c>
      <c r="BT225">
        <v>96893.52</v>
      </c>
      <c r="BU225">
        <v>402900.25</v>
      </c>
      <c r="BV225">
        <v>481761.75</v>
      </c>
      <c r="BW225">
        <v>412416</v>
      </c>
      <c r="BX225">
        <v>423348.22</v>
      </c>
      <c r="BY225">
        <v>430518.84</v>
      </c>
      <c r="BZ225">
        <v>335417.96999999997</v>
      </c>
      <c r="CA225">
        <v>477093.91</v>
      </c>
      <c r="CB225">
        <v>89916.44</v>
      </c>
      <c r="CD225">
        <v>482414.06</v>
      </c>
      <c r="CE225">
        <v>349437.88</v>
      </c>
      <c r="CF225">
        <v>1861110.38</v>
      </c>
      <c r="CG225">
        <v>271170.12</v>
      </c>
      <c r="CH225">
        <v>366455.25</v>
      </c>
      <c r="CI225">
        <v>286430.5</v>
      </c>
      <c r="CJ225">
        <v>221141.64</v>
      </c>
      <c r="CK225">
        <v>351320.62</v>
      </c>
      <c r="CL225">
        <v>158941.35999999999</v>
      </c>
      <c r="CM225">
        <v>200247.95</v>
      </c>
      <c r="CN225">
        <v>343240.88</v>
      </c>
      <c r="CO225">
        <v>278212.59000000003</v>
      </c>
      <c r="CP225">
        <v>480259.53</v>
      </c>
      <c r="CQ225">
        <v>233213.97</v>
      </c>
      <c r="CR225">
        <v>400305.31</v>
      </c>
      <c r="CS225">
        <v>314434.34000000003</v>
      </c>
      <c r="CT225">
        <v>315410.46999999997</v>
      </c>
      <c r="CU225">
        <v>348077.56</v>
      </c>
      <c r="CV225">
        <v>98631.86</v>
      </c>
      <c r="CW225">
        <v>113166.88</v>
      </c>
    </row>
    <row r="226" spans="1:101">
      <c r="A226">
        <v>30974</v>
      </c>
      <c r="B226" t="s">
        <v>1098</v>
      </c>
      <c r="D226" t="s">
        <v>1099</v>
      </c>
      <c r="F226" t="s">
        <v>1100</v>
      </c>
      <c r="G226">
        <v>8.3879999999999999</v>
      </c>
      <c r="H226" t="s">
        <v>104</v>
      </c>
      <c r="I226">
        <v>2</v>
      </c>
      <c r="J226">
        <v>10</v>
      </c>
      <c r="K226">
        <v>0</v>
      </c>
      <c r="L226">
        <v>0</v>
      </c>
      <c r="M226">
        <v>0</v>
      </c>
      <c r="N226">
        <v>-1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2</v>
      </c>
      <c r="W226">
        <v>2</v>
      </c>
      <c r="X226">
        <v>1</v>
      </c>
      <c r="Y226">
        <v>2</v>
      </c>
      <c r="Z226">
        <v>2</v>
      </c>
      <c r="AA226">
        <v>1</v>
      </c>
      <c r="AB226">
        <v>2</v>
      </c>
      <c r="AC226">
        <v>2</v>
      </c>
      <c r="AD226">
        <v>2</v>
      </c>
      <c r="AE226">
        <v>2</v>
      </c>
      <c r="AF226">
        <v>2</v>
      </c>
      <c r="AG226">
        <v>1</v>
      </c>
      <c r="AH226">
        <v>2</v>
      </c>
      <c r="AI226">
        <v>2</v>
      </c>
      <c r="AJ226">
        <v>1</v>
      </c>
      <c r="AK226">
        <v>2</v>
      </c>
      <c r="AL226">
        <v>2</v>
      </c>
      <c r="AM226">
        <v>2</v>
      </c>
      <c r="AN226">
        <v>2</v>
      </c>
      <c r="AO226">
        <v>2</v>
      </c>
      <c r="AP226">
        <v>0</v>
      </c>
      <c r="AQ226">
        <v>4</v>
      </c>
      <c r="AR226">
        <v>0</v>
      </c>
      <c r="AS226">
        <v>3</v>
      </c>
      <c r="AT226">
        <v>3</v>
      </c>
      <c r="AU226">
        <v>0</v>
      </c>
      <c r="AV226">
        <v>3</v>
      </c>
      <c r="AW226">
        <v>0</v>
      </c>
      <c r="AX226">
        <v>2</v>
      </c>
      <c r="AY226">
        <v>2</v>
      </c>
      <c r="AZ226">
        <v>0</v>
      </c>
      <c r="BA226">
        <v>1</v>
      </c>
      <c r="BB226">
        <v>2</v>
      </c>
      <c r="BC226">
        <v>1</v>
      </c>
      <c r="BD226">
        <v>1</v>
      </c>
      <c r="BE226">
        <v>1</v>
      </c>
      <c r="BF226">
        <v>1</v>
      </c>
      <c r="BG226">
        <v>2</v>
      </c>
      <c r="BH226">
        <v>1</v>
      </c>
      <c r="BI226">
        <v>0</v>
      </c>
      <c r="BK226">
        <v>1762662.5</v>
      </c>
      <c r="BL226">
        <v>4097.3500000000004</v>
      </c>
      <c r="BM226">
        <v>2701835</v>
      </c>
      <c r="BN226">
        <v>2599122.75</v>
      </c>
      <c r="BO226">
        <v>203234.81</v>
      </c>
      <c r="BP226">
        <v>4082807</v>
      </c>
      <c r="BQ226">
        <v>761131.12</v>
      </c>
      <c r="BR226">
        <v>1860487.88</v>
      </c>
      <c r="BS226">
        <v>1703734.5</v>
      </c>
      <c r="BT226">
        <v>276231.75</v>
      </c>
      <c r="BU226">
        <v>2190965</v>
      </c>
      <c r="BV226">
        <v>2962438</v>
      </c>
      <c r="BW226">
        <v>2262614.25</v>
      </c>
      <c r="BX226">
        <v>2489083</v>
      </c>
      <c r="BY226">
        <v>1272817.8799999999</v>
      </c>
      <c r="BZ226">
        <v>1644337.62</v>
      </c>
      <c r="CA226">
        <v>1349913.75</v>
      </c>
      <c r="CB226">
        <v>605647.43999999994</v>
      </c>
      <c r="CC226">
        <v>698277.25</v>
      </c>
      <c r="CD226">
        <v>311941.62</v>
      </c>
      <c r="CE226">
        <v>626150.5</v>
      </c>
      <c r="CF226">
        <v>759042.81</v>
      </c>
      <c r="CG226">
        <v>2813338.75</v>
      </c>
      <c r="CH226">
        <v>1981615.62</v>
      </c>
      <c r="CI226">
        <v>116303.77</v>
      </c>
      <c r="CJ226">
        <v>3292106</v>
      </c>
      <c r="CK226">
        <v>411325.69</v>
      </c>
      <c r="CL226">
        <v>2151190.5</v>
      </c>
      <c r="CM226">
        <v>1709389.62</v>
      </c>
      <c r="CN226">
        <v>965979.5</v>
      </c>
      <c r="CO226">
        <v>944276.81</v>
      </c>
      <c r="CP226">
        <v>4464177.5</v>
      </c>
      <c r="CQ226">
        <v>860563.19</v>
      </c>
      <c r="CR226">
        <v>1850976</v>
      </c>
      <c r="CS226">
        <v>748770.88</v>
      </c>
      <c r="CT226">
        <v>1116471.25</v>
      </c>
      <c r="CU226">
        <v>795254.56</v>
      </c>
      <c r="CV226">
        <v>731065.31</v>
      </c>
      <c r="CW226">
        <v>793405.19</v>
      </c>
    </row>
    <row r="227" spans="1:101">
      <c r="A227">
        <v>31158</v>
      </c>
      <c r="B227" t="s">
        <v>1101</v>
      </c>
      <c r="D227" t="s">
        <v>1101</v>
      </c>
      <c r="F227" t="s">
        <v>1102</v>
      </c>
      <c r="G227">
        <v>5.7629999999999999</v>
      </c>
      <c r="H227" t="s">
        <v>104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-1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1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  <c r="AM227">
        <v>3</v>
      </c>
      <c r="AN227">
        <v>3</v>
      </c>
      <c r="AO227">
        <v>3</v>
      </c>
      <c r="AP227">
        <v>1</v>
      </c>
      <c r="AQ227">
        <v>0</v>
      </c>
      <c r="AR227">
        <v>0</v>
      </c>
      <c r="AS227">
        <v>0</v>
      </c>
      <c r="AT227">
        <v>2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1</v>
      </c>
      <c r="BC227">
        <v>0</v>
      </c>
      <c r="BD227">
        <v>2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1833300.88</v>
      </c>
      <c r="BK227">
        <v>1924669.5</v>
      </c>
      <c r="BL227">
        <v>22308.55</v>
      </c>
      <c r="BM227">
        <v>685247.38</v>
      </c>
      <c r="BN227">
        <v>2846903</v>
      </c>
      <c r="BO227">
        <v>2452385.5</v>
      </c>
      <c r="BP227">
        <v>1558409.38</v>
      </c>
      <c r="BQ227">
        <v>1434793.5</v>
      </c>
      <c r="BR227">
        <v>1002397.12</v>
      </c>
      <c r="BS227">
        <v>704861</v>
      </c>
      <c r="BT227">
        <v>522783.88</v>
      </c>
      <c r="BU227">
        <v>1747911.25</v>
      </c>
      <c r="BV227">
        <v>2053709.88</v>
      </c>
      <c r="BW227">
        <v>964558.75</v>
      </c>
      <c r="BX227">
        <v>1881213</v>
      </c>
      <c r="BY227">
        <v>1659778</v>
      </c>
      <c r="BZ227">
        <v>1181438.8799999999</v>
      </c>
      <c r="CA227">
        <v>1165145.8799999999</v>
      </c>
      <c r="CB227">
        <v>530823.31000000006</v>
      </c>
      <c r="CC227">
        <v>150759.14000000001</v>
      </c>
      <c r="CD227">
        <v>1935244.25</v>
      </c>
      <c r="CE227">
        <v>1065696</v>
      </c>
      <c r="CF227">
        <v>1713342</v>
      </c>
      <c r="CG227">
        <v>655489.62</v>
      </c>
      <c r="CH227">
        <v>2194536.75</v>
      </c>
      <c r="CI227">
        <v>1554262.12</v>
      </c>
      <c r="CJ227">
        <v>1156113.8799999999</v>
      </c>
      <c r="CK227">
        <v>1225685.3799999999</v>
      </c>
      <c r="CL227">
        <v>954723.44</v>
      </c>
      <c r="CM227">
        <v>621388.5</v>
      </c>
      <c r="CN227">
        <v>1650379.88</v>
      </c>
      <c r="CO227">
        <v>1397951.12</v>
      </c>
      <c r="CP227">
        <v>1970277.5</v>
      </c>
      <c r="CQ227">
        <v>578236.12</v>
      </c>
      <c r="CR227">
        <v>1812251.25</v>
      </c>
      <c r="CS227">
        <v>1301514</v>
      </c>
      <c r="CT227">
        <v>1234699.1200000001</v>
      </c>
      <c r="CU227">
        <v>1012700</v>
      </c>
      <c r="CV227">
        <v>608546.5</v>
      </c>
      <c r="CW227">
        <v>212917.89</v>
      </c>
    </row>
    <row r="228" spans="1:101">
      <c r="A228">
        <v>31146</v>
      </c>
      <c r="B228" t="s">
        <v>1103</v>
      </c>
      <c r="D228" t="s">
        <v>1104</v>
      </c>
      <c r="F228" t="s">
        <v>1105</v>
      </c>
      <c r="G228">
        <v>4.0250000000000004</v>
      </c>
      <c r="H228" t="s">
        <v>104</v>
      </c>
      <c r="I228">
        <v>2</v>
      </c>
      <c r="J228">
        <v>3</v>
      </c>
      <c r="K228">
        <v>0</v>
      </c>
      <c r="L228">
        <v>0</v>
      </c>
      <c r="M228">
        <v>0</v>
      </c>
      <c r="N228">
        <v>-1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Y228">
        <v>1</v>
      </c>
      <c r="Z228">
        <v>2</v>
      </c>
      <c r="AA228">
        <v>2</v>
      </c>
      <c r="AB228">
        <v>1</v>
      </c>
      <c r="AC228">
        <v>2</v>
      </c>
      <c r="AD228">
        <v>1</v>
      </c>
      <c r="AE228">
        <v>1</v>
      </c>
      <c r="AF228">
        <v>2</v>
      </c>
      <c r="AG228">
        <v>2</v>
      </c>
      <c r="AH228">
        <v>2</v>
      </c>
      <c r="AI228">
        <v>1</v>
      </c>
      <c r="AJ228">
        <v>2</v>
      </c>
      <c r="AK228">
        <v>2</v>
      </c>
      <c r="AL228">
        <v>1</v>
      </c>
      <c r="AM228">
        <v>2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2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0</v>
      </c>
      <c r="BJ228">
        <v>1006946</v>
      </c>
      <c r="BK228">
        <v>1673482.38</v>
      </c>
      <c r="BM228">
        <v>268838.12</v>
      </c>
      <c r="BN228">
        <v>2136946.25</v>
      </c>
      <c r="BO228">
        <v>1588197.5</v>
      </c>
      <c r="BP228">
        <v>741175.31</v>
      </c>
      <c r="BQ228">
        <v>1245798.3799999999</v>
      </c>
      <c r="BR228">
        <v>526667.68999999994</v>
      </c>
      <c r="BS228">
        <v>216839.77</v>
      </c>
      <c r="BT228">
        <v>269493.19</v>
      </c>
      <c r="BU228">
        <v>1289008</v>
      </c>
      <c r="BV228">
        <v>1545270.38</v>
      </c>
      <c r="BW228">
        <v>568871.31000000006</v>
      </c>
      <c r="BX228">
        <v>1804800.5</v>
      </c>
      <c r="BY228">
        <v>1605294</v>
      </c>
      <c r="BZ228">
        <v>783409.62</v>
      </c>
      <c r="CA228">
        <v>1308695.6200000001</v>
      </c>
      <c r="CB228">
        <v>363776.81</v>
      </c>
      <c r="CC228">
        <v>94961.69</v>
      </c>
      <c r="CD228">
        <v>884447.31</v>
      </c>
      <c r="CE228">
        <v>889715.06</v>
      </c>
      <c r="CF228">
        <v>1861110.38</v>
      </c>
      <c r="CG228">
        <v>197607.94</v>
      </c>
      <c r="CH228">
        <v>1437157</v>
      </c>
      <c r="CI228">
        <v>909090.06</v>
      </c>
      <c r="CJ228">
        <v>262719.88</v>
      </c>
      <c r="CK228">
        <v>1104035.75</v>
      </c>
      <c r="CL228">
        <v>234508.2</v>
      </c>
      <c r="CM228">
        <v>145346.45000000001</v>
      </c>
      <c r="CN228">
        <v>1046373.06</v>
      </c>
      <c r="CO228">
        <v>1126136.75</v>
      </c>
      <c r="CP228">
        <v>1649921</v>
      </c>
      <c r="CQ228">
        <v>182575.17</v>
      </c>
      <c r="CR228">
        <v>2155105.5</v>
      </c>
      <c r="CS228">
        <v>1342642</v>
      </c>
      <c r="CT228">
        <v>468994.28</v>
      </c>
      <c r="CU228">
        <v>1471310.12</v>
      </c>
      <c r="CV228">
        <v>298200.59000000003</v>
      </c>
      <c r="CW228">
        <v>101018.79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1CBB-19DE-4E21-B4D1-DF9DAFCD6480}">
  <dimension ref="A1:CX228"/>
  <sheetViews>
    <sheetView topLeftCell="CE64" workbookViewId="0">
      <selection activeCell="BV1" sqref="A1:XFD14"/>
    </sheetView>
  </sheetViews>
  <sheetFormatPr baseColWidth="10" defaultColWidth="9.125" defaultRowHeight="14.25"/>
  <cols>
    <col min="1" max="1" width="15" customWidth="1"/>
    <col min="2" max="2" width="27.125" bestFit="1" customWidth="1"/>
    <col min="3" max="3" width="13.125" bestFit="1" customWidth="1"/>
    <col min="4" max="4" width="93.375" customWidth="1"/>
    <col min="5" max="5" width="31" customWidth="1"/>
    <col min="6" max="6" width="166.25" bestFit="1" customWidth="1"/>
    <col min="7" max="7" width="18" customWidth="1"/>
    <col min="8" max="8" width="13" customWidth="1"/>
    <col min="9" max="9" width="16" customWidth="1"/>
    <col min="10" max="10" width="25" customWidth="1"/>
    <col min="11" max="11" width="24" customWidth="1"/>
    <col min="12" max="13" width="13" customWidth="1"/>
    <col min="14" max="14" width="21" customWidth="1"/>
    <col min="15" max="15" width="13" customWidth="1"/>
    <col min="16" max="16" width="20" customWidth="1"/>
    <col min="17" max="17" width="13" customWidth="1"/>
    <col min="18" max="18" width="19" customWidth="1"/>
    <col min="19" max="19" width="15" customWidth="1"/>
    <col min="20" max="20" width="24" customWidth="1"/>
    <col min="21" max="21" width="26" customWidth="1"/>
    <col min="22" max="29" width="30" customWidth="1"/>
    <col min="30" max="31" width="28" customWidth="1"/>
    <col min="32" max="39" width="30" customWidth="1"/>
    <col min="40" max="40" width="29" customWidth="1"/>
    <col min="41" max="41" width="28" customWidth="1"/>
    <col min="42" max="49" width="25" customWidth="1"/>
    <col min="50" max="51" width="23" customWidth="1"/>
    <col min="52" max="59" width="25" customWidth="1"/>
    <col min="60" max="60" width="24" customWidth="1"/>
    <col min="61" max="61" width="23" customWidth="1"/>
    <col min="62" max="69" width="29" customWidth="1"/>
    <col min="70" max="71" width="27" customWidth="1"/>
    <col min="72" max="79" width="29" customWidth="1"/>
    <col min="80" max="80" width="28" customWidth="1"/>
    <col min="81" max="81" width="27" customWidth="1"/>
    <col min="82" max="82" width="13.125" style="17" bestFit="1" customWidth="1"/>
    <col min="83" max="84" width="14.125" style="21" customWidth="1"/>
    <col min="85" max="85" width="14.125" style="19" customWidth="1"/>
    <col min="86" max="86" width="14" style="19" customWidth="1"/>
    <col min="87" max="87" width="14.125" style="21" customWidth="1"/>
    <col min="88" max="88" width="13.625" style="21" customWidth="1"/>
    <col min="89" max="89" width="14.125" style="19" customWidth="1"/>
    <col min="90" max="90" width="13.625" style="19" customWidth="1"/>
    <col min="91" max="91" width="12" style="21" customWidth="1"/>
    <col min="92" max="92" width="12.25" style="21" customWidth="1"/>
    <col min="93" max="94" width="14.125" style="19" customWidth="1"/>
    <col min="95" max="95" width="14.125" style="21" customWidth="1"/>
    <col min="96" max="96" width="13.375" style="21" customWidth="1"/>
    <col min="97" max="97" width="14.125" style="19" customWidth="1"/>
    <col min="98" max="98" width="13.75" style="19" customWidth="1"/>
    <col min="99" max="99" width="14.125" style="21" customWidth="1"/>
    <col min="100" max="100" width="13.625" style="21" customWidth="1"/>
    <col min="101" max="101" width="11.375" style="19" customWidth="1"/>
    <col min="102" max="102" width="11.75" style="19" customWidth="1"/>
  </cols>
  <sheetData>
    <row r="1" spans="1:102" s="15" customFormat="1" ht="30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6" t="s">
        <v>2</v>
      </c>
      <c r="CE1" s="20" t="s">
        <v>81</v>
      </c>
      <c r="CF1" s="20" t="s">
        <v>91</v>
      </c>
      <c r="CG1" s="18" t="s">
        <v>83</v>
      </c>
      <c r="CH1" s="18" t="s">
        <v>93</v>
      </c>
      <c r="CI1" s="20" t="s">
        <v>85</v>
      </c>
      <c r="CJ1" s="20" t="s">
        <v>95</v>
      </c>
      <c r="CK1" s="18" t="s">
        <v>87</v>
      </c>
      <c r="CL1" s="18" t="s">
        <v>97</v>
      </c>
      <c r="CM1" s="20" t="s">
        <v>89</v>
      </c>
      <c r="CN1" s="20" t="s">
        <v>99</v>
      </c>
      <c r="CO1" s="18" t="s">
        <v>82</v>
      </c>
      <c r="CP1" s="18" t="s">
        <v>92</v>
      </c>
      <c r="CQ1" s="20" t="s">
        <v>84</v>
      </c>
      <c r="CR1" s="20" t="s">
        <v>94</v>
      </c>
      <c r="CS1" s="18" t="s">
        <v>86</v>
      </c>
      <c r="CT1" s="18" t="s">
        <v>96</v>
      </c>
      <c r="CU1" s="20" t="s">
        <v>88</v>
      </c>
      <c r="CV1" s="20" t="s">
        <v>98</v>
      </c>
      <c r="CW1" s="18" t="s">
        <v>90</v>
      </c>
      <c r="CX1" s="18" t="s">
        <v>100</v>
      </c>
    </row>
    <row r="2" spans="1:102">
      <c r="A2">
        <v>31138</v>
      </c>
      <c r="B2" t="s">
        <v>651</v>
      </c>
      <c r="C2" t="s">
        <v>1118</v>
      </c>
      <c r="D2" t="s">
        <v>652</v>
      </c>
      <c r="F2" t="s">
        <v>653</v>
      </c>
      <c r="G2">
        <v>43.905999999999999</v>
      </c>
      <c r="H2" t="s">
        <v>104</v>
      </c>
      <c r="I2">
        <v>2</v>
      </c>
      <c r="J2">
        <v>2</v>
      </c>
      <c r="K2">
        <v>0</v>
      </c>
      <c r="L2">
        <v>0</v>
      </c>
      <c r="M2">
        <v>0</v>
      </c>
      <c r="N2">
        <v>-1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5</v>
      </c>
      <c r="AQ2">
        <v>5</v>
      </c>
      <c r="AR2">
        <v>0</v>
      </c>
      <c r="AS2">
        <v>4</v>
      </c>
      <c r="AT2">
        <v>3</v>
      </c>
      <c r="AU2">
        <v>4</v>
      </c>
      <c r="AV2">
        <v>2</v>
      </c>
      <c r="AW2">
        <v>4</v>
      </c>
      <c r="AX2">
        <v>1</v>
      </c>
      <c r="AY2">
        <v>3</v>
      </c>
      <c r="AZ2">
        <v>2</v>
      </c>
      <c r="BA2">
        <v>5</v>
      </c>
      <c r="BB2">
        <v>3</v>
      </c>
      <c r="BC2">
        <v>4</v>
      </c>
      <c r="BD2">
        <v>3</v>
      </c>
      <c r="BE2">
        <v>5</v>
      </c>
      <c r="BF2">
        <v>2</v>
      </c>
      <c r="BG2">
        <v>3</v>
      </c>
      <c r="BH2">
        <v>1</v>
      </c>
      <c r="BI2">
        <v>2</v>
      </c>
      <c r="BJ2">
        <v>2316672.75</v>
      </c>
      <c r="BK2">
        <v>14524971</v>
      </c>
      <c r="BL2">
        <v>7780.08</v>
      </c>
      <c r="BM2">
        <v>6263374.5</v>
      </c>
      <c r="BN2">
        <v>4416400</v>
      </c>
      <c r="BO2">
        <v>15123855</v>
      </c>
      <c r="BP2">
        <v>3837438.5</v>
      </c>
      <c r="BQ2">
        <v>18150386</v>
      </c>
      <c r="BR2">
        <v>1476759.88</v>
      </c>
      <c r="BS2">
        <v>4142640.75</v>
      </c>
      <c r="BT2">
        <v>1100788.1200000001</v>
      </c>
      <c r="BU2">
        <v>14436614</v>
      </c>
      <c r="BV2">
        <v>4242196</v>
      </c>
      <c r="BW2">
        <v>13312091</v>
      </c>
      <c r="BX2">
        <v>4056161.5</v>
      </c>
      <c r="BY2">
        <v>15046311</v>
      </c>
      <c r="BZ2">
        <v>2648300.25</v>
      </c>
      <c r="CA2">
        <v>19914038</v>
      </c>
      <c r="CB2">
        <v>1210304.1200000001</v>
      </c>
      <c r="CC2">
        <v>1441752.38</v>
      </c>
      <c r="CD2" s="22" t="s">
        <v>1118</v>
      </c>
      <c r="CE2" s="21">
        <v>3113961.5</v>
      </c>
      <c r="CF2" s="21">
        <v>5987649</v>
      </c>
      <c r="CG2" s="19">
        <v>1759498.38</v>
      </c>
      <c r="CH2" s="19">
        <v>6581123</v>
      </c>
      <c r="CI2" s="21">
        <v>4651981.5</v>
      </c>
      <c r="CJ2" s="21">
        <v>6060621.5</v>
      </c>
      <c r="CK2" s="19">
        <v>4272342</v>
      </c>
      <c r="CL2" s="19">
        <v>3776700.25</v>
      </c>
      <c r="CM2" s="21">
        <v>2042832.75</v>
      </c>
      <c r="CN2" s="21">
        <v>2016193.62</v>
      </c>
      <c r="CO2" s="19">
        <v>9779949</v>
      </c>
      <c r="CP2" s="19">
        <v>14255055</v>
      </c>
      <c r="CQ2" s="21">
        <v>9034396</v>
      </c>
      <c r="CR2" s="21">
        <v>12095876</v>
      </c>
      <c r="CS2" s="19">
        <v>13780399</v>
      </c>
      <c r="CT2" s="19">
        <v>16152725</v>
      </c>
      <c r="CU2" s="21">
        <v>20268476</v>
      </c>
      <c r="CV2" s="21">
        <v>22170312</v>
      </c>
      <c r="CW2" s="19">
        <v>5288774.5</v>
      </c>
      <c r="CX2" s="19">
        <v>2982251</v>
      </c>
    </row>
    <row r="3" spans="1:102">
      <c r="A3">
        <v>31148</v>
      </c>
      <c r="B3" t="s">
        <v>117</v>
      </c>
      <c r="C3">
        <v>2</v>
      </c>
      <c r="D3" t="s">
        <v>117</v>
      </c>
      <c r="F3" t="s">
        <v>118</v>
      </c>
      <c r="G3">
        <v>2254.69</v>
      </c>
      <c r="H3" t="s">
        <v>104</v>
      </c>
      <c r="I3">
        <v>2</v>
      </c>
      <c r="J3">
        <v>1</v>
      </c>
      <c r="K3">
        <v>0</v>
      </c>
      <c r="L3">
        <v>0</v>
      </c>
      <c r="M3">
        <v>0</v>
      </c>
      <c r="N3">
        <v>-1</v>
      </c>
      <c r="O3">
        <v>53</v>
      </c>
      <c r="P3">
        <v>53</v>
      </c>
      <c r="Q3">
        <v>61</v>
      </c>
      <c r="R3">
        <v>61</v>
      </c>
      <c r="S3">
        <v>61</v>
      </c>
      <c r="T3">
        <v>61</v>
      </c>
      <c r="U3">
        <v>61</v>
      </c>
      <c r="V3">
        <v>50</v>
      </c>
      <c r="W3">
        <v>60</v>
      </c>
      <c r="X3">
        <v>41</v>
      </c>
      <c r="Y3">
        <v>60</v>
      </c>
      <c r="Z3">
        <v>57</v>
      </c>
      <c r="AA3">
        <v>61</v>
      </c>
      <c r="AB3">
        <v>56</v>
      </c>
      <c r="AC3">
        <v>61</v>
      </c>
      <c r="AD3">
        <v>58</v>
      </c>
      <c r="AE3">
        <v>61</v>
      </c>
      <c r="AF3">
        <v>58</v>
      </c>
      <c r="AG3">
        <v>61</v>
      </c>
      <c r="AH3">
        <v>59</v>
      </c>
      <c r="AI3">
        <v>60</v>
      </c>
      <c r="AJ3">
        <v>59</v>
      </c>
      <c r="AK3">
        <v>61</v>
      </c>
      <c r="AL3">
        <v>57</v>
      </c>
      <c r="AM3">
        <v>61</v>
      </c>
      <c r="AN3">
        <v>61</v>
      </c>
      <c r="AO3">
        <v>61</v>
      </c>
      <c r="AP3">
        <v>143</v>
      </c>
      <c r="AQ3">
        <v>170</v>
      </c>
      <c r="AR3">
        <v>13</v>
      </c>
      <c r="AS3">
        <v>97</v>
      </c>
      <c r="AT3">
        <v>64</v>
      </c>
      <c r="AU3">
        <v>135</v>
      </c>
      <c r="AV3">
        <v>63</v>
      </c>
      <c r="AW3">
        <v>122</v>
      </c>
      <c r="AX3">
        <v>90</v>
      </c>
      <c r="AY3">
        <v>145</v>
      </c>
      <c r="AZ3">
        <v>62</v>
      </c>
      <c r="BA3">
        <v>140</v>
      </c>
      <c r="BB3">
        <v>80</v>
      </c>
      <c r="BC3">
        <v>103</v>
      </c>
      <c r="BD3">
        <v>59</v>
      </c>
      <c r="BE3">
        <v>135</v>
      </c>
      <c r="BF3">
        <v>57</v>
      </c>
      <c r="BG3">
        <v>126</v>
      </c>
      <c r="BH3">
        <v>78</v>
      </c>
      <c r="BI3">
        <v>120</v>
      </c>
      <c r="BJ3">
        <v>1258450432</v>
      </c>
      <c r="BK3">
        <v>4023819264</v>
      </c>
      <c r="BL3">
        <v>12090747</v>
      </c>
      <c r="BM3">
        <v>1128080000</v>
      </c>
      <c r="BN3">
        <v>746537280</v>
      </c>
      <c r="BO3">
        <v>2611799552</v>
      </c>
      <c r="BP3">
        <v>687106048</v>
      </c>
      <c r="BQ3">
        <v>2377007104</v>
      </c>
      <c r="BR3">
        <v>891662912</v>
      </c>
      <c r="BS3">
        <v>2354162432</v>
      </c>
      <c r="BT3">
        <v>283382784</v>
      </c>
      <c r="BU3">
        <v>2679485952</v>
      </c>
      <c r="BV3">
        <v>971259904</v>
      </c>
      <c r="BW3">
        <v>1942432128</v>
      </c>
      <c r="BX3">
        <v>595214656</v>
      </c>
      <c r="BY3">
        <v>2370192384</v>
      </c>
      <c r="BZ3">
        <v>597434240</v>
      </c>
      <c r="CA3">
        <v>2527975168</v>
      </c>
      <c r="CB3">
        <v>667660736</v>
      </c>
      <c r="CC3">
        <v>1662050560</v>
      </c>
      <c r="CD3" s="22" t="s">
        <v>117</v>
      </c>
      <c r="CE3" s="21">
        <v>1265352064</v>
      </c>
      <c r="CF3" s="21">
        <v>1319002880</v>
      </c>
      <c r="CG3" s="19">
        <v>1170804352</v>
      </c>
      <c r="CH3" s="19">
        <v>1186384896</v>
      </c>
      <c r="CI3" s="21">
        <v>640762304</v>
      </c>
      <c r="CJ3" s="21">
        <v>747701504</v>
      </c>
      <c r="CK3" s="19">
        <v>581367168</v>
      </c>
      <c r="CL3" s="19">
        <v>696661440</v>
      </c>
      <c r="CM3" s="21">
        <v>1002593920</v>
      </c>
      <c r="CN3" s="21">
        <v>1053445056</v>
      </c>
      <c r="CO3" s="19">
        <v>2141550976</v>
      </c>
      <c r="CP3" s="19">
        <v>2306038272</v>
      </c>
      <c r="CQ3" s="21">
        <v>1419737344</v>
      </c>
      <c r="CR3" s="21">
        <v>1293359744</v>
      </c>
      <c r="CS3" s="19">
        <v>1702780160</v>
      </c>
      <c r="CT3" s="19">
        <v>2118674816</v>
      </c>
      <c r="CU3" s="21">
        <v>2361195520</v>
      </c>
      <c r="CV3" s="21">
        <v>2304044544</v>
      </c>
      <c r="CW3" s="19">
        <v>2459922688</v>
      </c>
      <c r="CX3" s="19">
        <v>3002012672</v>
      </c>
    </row>
    <row r="4" spans="1:102">
      <c r="A4">
        <v>31036</v>
      </c>
      <c r="B4" t="s">
        <v>251</v>
      </c>
      <c r="C4" t="s">
        <v>1142</v>
      </c>
      <c r="D4" t="s">
        <v>252</v>
      </c>
      <c r="F4" t="s">
        <v>253</v>
      </c>
      <c r="G4">
        <v>761.42399999999998</v>
      </c>
      <c r="H4" t="s">
        <v>104</v>
      </c>
      <c r="I4">
        <v>2</v>
      </c>
      <c r="J4">
        <v>3</v>
      </c>
      <c r="K4">
        <v>0</v>
      </c>
      <c r="L4">
        <v>0</v>
      </c>
      <c r="M4">
        <v>0</v>
      </c>
      <c r="N4">
        <v>-1</v>
      </c>
      <c r="O4">
        <v>16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16</v>
      </c>
      <c r="W4">
        <v>16</v>
      </c>
      <c r="X4">
        <v>15</v>
      </c>
      <c r="Y4">
        <v>16</v>
      </c>
      <c r="Z4">
        <v>15</v>
      </c>
      <c r="AA4">
        <v>16</v>
      </c>
      <c r="AB4">
        <v>16</v>
      </c>
      <c r="AC4">
        <v>16</v>
      </c>
      <c r="AD4">
        <v>15</v>
      </c>
      <c r="AE4">
        <v>16</v>
      </c>
      <c r="AF4">
        <v>16</v>
      </c>
      <c r="AG4">
        <v>16</v>
      </c>
      <c r="AH4">
        <v>16</v>
      </c>
      <c r="AI4">
        <v>15</v>
      </c>
      <c r="AJ4">
        <v>16</v>
      </c>
      <c r="AK4">
        <v>16</v>
      </c>
      <c r="AL4">
        <v>16</v>
      </c>
      <c r="AM4">
        <v>16</v>
      </c>
      <c r="AN4">
        <v>16</v>
      </c>
      <c r="AO4">
        <v>16</v>
      </c>
      <c r="AP4">
        <v>35</v>
      </c>
      <c r="AQ4">
        <v>42</v>
      </c>
      <c r="AR4">
        <v>6</v>
      </c>
      <c r="AS4">
        <v>30</v>
      </c>
      <c r="AT4">
        <v>24</v>
      </c>
      <c r="AU4">
        <v>41</v>
      </c>
      <c r="AV4">
        <v>21</v>
      </c>
      <c r="AW4">
        <v>33</v>
      </c>
      <c r="AX4">
        <v>18</v>
      </c>
      <c r="AY4">
        <v>26</v>
      </c>
      <c r="AZ4">
        <v>19</v>
      </c>
      <c r="BA4">
        <v>42</v>
      </c>
      <c r="BB4">
        <v>30</v>
      </c>
      <c r="BC4">
        <v>35</v>
      </c>
      <c r="BD4">
        <v>26</v>
      </c>
      <c r="BE4">
        <v>36</v>
      </c>
      <c r="BF4">
        <v>22</v>
      </c>
      <c r="BG4">
        <v>38</v>
      </c>
      <c r="BH4">
        <v>16</v>
      </c>
      <c r="BI4">
        <v>22</v>
      </c>
      <c r="BJ4">
        <v>173108656</v>
      </c>
      <c r="BK4">
        <v>572205696</v>
      </c>
      <c r="BL4">
        <v>2603802</v>
      </c>
      <c r="BM4">
        <v>160597136</v>
      </c>
      <c r="BN4">
        <v>150859024</v>
      </c>
      <c r="BO4">
        <v>497814880</v>
      </c>
      <c r="BP4">
        <v>109096920</v>
      </c>
      <c r="BQ4">
        <v>331213312</v>
      </c>
      <c r="BR4">
        <v>68413576</v>
      </c>
      <c r="BS4">
        <v>147810544</v>
      </c>
      <c r="BT4">
        <v>60058792</v>
      </c>
      <c r="BU4">
        <v>484097696</v>
      </c>
      <c r="BV4">
        <v>160736720</v>
      </c>
      <c r="BW4">
        <v>304972288</v>
      </c>
      <c r="BX4">
        <v>116131504</v>
      </c>
      <c r="BY4">
        <v>398923712</v>
      </c>
      <c r="BZ4">
        <v>88990048</v>
      </c>
      <c r="CA4">
        <v>343110496</v>
      </c>
      <c r="CB4">
        <v>52355988</v>
      </c>
      <c r="CC4">
        <v>87648480</v>
      </c>
      <c r="CD4" s="22" t="s">
        <v>1142</v>
      </c>
      <c r="CE4" s="21">
        <v>210991952</v>
      </c>
      <c r="CF4" s="21">
        <v>227140048</v>
      </c>
      <c r="CG4" s="19">
        <v>137331696</v>
      </c>
      <c r="CH4" s="19">
        <v>182860336</v>
      </c>
      <c r="CI4" s="21">
        <v>120407480</v>
      </c>
      <c r="CJ4" s="21">
        <v>129748200</v>
      </c>
      <c r="CK4" s="19">
        <v>90779112</v>
      </c>
      <c r="CL4" s="19">
        <v>90485496</v>
      </c>
      <c r="CM4" s="21">
        <v>76768032</v>
      </c>
      <c r="CN4" s="21">
        <v>72460968</v>
      </c>
      <c r="CO4" s="19">
        <v>377243040</v>
      </c>
      <c r="CP4" s="19">
        <v>388273728</v>
      </c>
      <c r="CQ4" s="21">
        <v>185426688</v>
      </c>
      <c r="CR4" s="21">
        <v>207407040</v>
      </c>
      <c r="CS4" s="19">
        <v>336326560</v>
      </c>
      <c r="CT4" s="19">
        <v>369292096</v>
      </c>
      <c r="CU4" s="21">
        <v>312636288</v>
      </c>
      <c r="CV4" s="21">
        <v>327760032</v>
      </c>
      <c r="CW4" s="19">
        <v>138477488</v>
      </c>
      <c r="CX4" s="19">
        <v>151708672</v>
      </c>
    </row>
    <row r="5" spans="1:102">
      <c r="A5">
        <v>31067</v>
      </c>
      <c r="B5" t="s">
        <v>123</v>
      </c>
      <c r="C5" t="s">
        <v>1143</v>
      </c>
      <c r="D5" t="s">
        <v>124</v>
      </c>
      <c r="F5" t="s">
        <v>125</v>
      </c>
      <c r="G5">
        <v>2085.5309999999999</v>
      </c>
      <c r="H5" t="s">
        <v>104</v>
      </c>
      <c r="I5">
        <v>2</v>
      </c>
      <c r="J5">
        <v>3</v>
      </c>
      <c r="K5">
        <v>0</v>
      </c>
      <c r="L5">
        <v>0</v>
      </c>
      <c r="M5">
        <v>0</v>
      </c>
      <c r="N5">
        <v>-1</v>
      </c>
      <c r="O5">
        <v>35</v>
      </c>
      <c r="P5">
        <v>35</v>
      </c>
      <c r="Q5">
        <v>53</v>
      </c>
      <c r="R5">
        <v>53</v>
      </c>
      <c r="S5">
        <v>53</v>
      </c>
      <c r="T5">
        <v>53</v>
      </c>
      <c r="U5">
        <v>53</v>
      </c>
      <c r="V5">
        <v>45</v>
      </c>
      <c r="W5">
        <v>53</v>
      </c>
      <c r="X5">
        <v>43</v>
      </c>
      <c r="Y5">
        <v>53</v>
      </c>
      <c r="Z5">
        <v>53</v>
      </c>
      <c r="AA5">
        <v>52</v>
      </c>
      <c r="AB5">
        <v>51</v>
      </c>
      <c r="AC5">
        <v>53</v>
      </c>
      <c r="AD5">
        <v>48</v>
      </c>
      <c r="AE5">
        <v>53</v>
      </c>
      <c r="AF5">
        <v>51</v>
      </c>
      <c r="AG5">
        <v>53</v>
      </c>
      <c r="AH5">
        <v>49</v>
      </c>
      <c r="AI5">
        <v>52</v>
      </c>
      <c r="AJ5">
        <v>50</v>
      </c>
      <c r="AK5">
        <v>53</v>
      </c>
      <c r="AL5">
        <v>51</v>
      </c>
      <c r="AM5">
        <v>53</v>
      </c>
      <c r="AN5">
        <v>52</v>
      </c>
      <c r="AO5">
        <v>51</v>
      </c>
      <c r="AP5">
        <v>107</v>
      </c>
      <c r="AQ5">
        <v>154</v>
      </c>
      <c r="AR5">
        <v>17</v>
      </c>
      <c r="AS5">
        <v>81</v>
      </c>
      <c r="AT5">
        <v>66</v>
      </c>
      <c r="AU5">
        <v>138</v>
      </c>
      <c r="AV5">
        <v>44</v>
      </c>
      <c r="AW5">
        <v>125</v>
      </c>
      <c r="AX5">
        <v>51</v>
      </c>
      <c r="AY5">
        <v>94</v>
      </c>
      <c r="AZ5">
        <v>57</v>
      </c>
      <c r="BA5">
        <v>141</v>
      </c>
      <c r="BB5">
        <v>66</v>
      </c>
      <c r="BC5">
        <v>89</v>
      </c>
      <c r="BD5">
        <v>52</v>
      </c>
      <c r="BE5">
        <v>115</v>
      </c>
      <c r="BF5">
        <v>50</v>
      </c>
      <c r="BG5">
        <v>129</v>
      </c>
      <c r="BH5">
        <v>47</v>
      </c>
      <c r="BI5">
        <v>84</v>
      </c>
      <c r="BJ5">
        <v>796782272</v>
      </c>
      <c r="BK5">
        <v>2421658624</v>
      </c>
      <c r="BL5">
        <v>13723308</v>
      </c>
      <c r="BM5">
        <v>690843712</v>
      </c>
      <c r="BN5">
        <v>557877952</v>
      </c>
      <c r="BO5">
        <v>1663772288</v>
      </c>
      <c r="BP5">
        <v>379964128</v>
      </c>
      <c r="BQ5">
        <v>1453744640</v>
      </c>
      <c r="BR5">
        <v>349144512</v>
      </c>
      <c r="BS5">
        <v>958453440</v>
      </c>
      <c r="BT5">
        <v>198021648</v>
      </c>
      <c r="BU5">
        <v>1765585536</v>
      </c>
      <c r="BV5">
        <v>636396864</v>
      </c>
      <c r="BW5">
        <v>1191844608</v>
      </c>
      <c r="BX5">
        <v>435543648</v>
      </c>
      <c r="BY5">
        <v>1385160448</v>
      </c>
      <c r="BZ5">
        <v>336172960</v>
      </c>
      <c r="CA5">
        <v>1642706048</v>
      </c>
      <c r="CB5">
        <v>278643008</v>
      </c>
      <c r="CC5">
        <v>710181504</v>
      </c>
      <c r="CD5" s="22" t="s">
        <v>1143</v>
      </c>
      <c r="CE5" s="21">
        <v>836292032</v>
      </c>
      <c r="CF5" s="21">
        <v>976082880</v>
      </c>
      <c r="CG5" s="19">
        <v>1279115264</v>
      </c>
      <c r="CH5" s="19">
        <v>718407872</v>
      </c>
      <c r="CI5" s="21">
        <v>502771680</v>
      </c>
      <c r="CJ5" s="21">
        <v>517361248</v>
      </c>
      <c r="CK5" s="19">
        <v>332872800</v>
      </c>
      <c r="CL5" s="19">
        <v>409294336</v>
      </c>
      <c r="CM5" s="21">
        <v>402110208</v>
      </c>
      <c r="CN5" s="21">
        <v>428962688</v>
      </c>
      <c r="CO5" s="19">
        <v>1383574912</v>
      </c>
      <c r="CP5" s="19">
        <v>1457099648</v>
      </c>
      <c r="CQ5" s="21">
        <v>866850112</v>
      </c>
      <c r="CR5" s="21">
        <v>803385600</v>
      </c>
      <c r="CS5" s="19">
        <v>1234200576</v>
      </c>
      <c r="CT5" s="19">
        <v>1223180672</v>
      </c>
      <c r="CU5" s="21">
        <v>1532793088</v>
      </c>
      <c r="CV5" s="21">
        <v>1436340736</v>
      </c>
      <c r="CW5" s="19">
        <v>896739584</v>
      </c>
      <c r="CX5" s="19">
        <v>1168915200</v>
      </c>
    </row>
    <row r="6" spans="1:102">
      <c r="A6">
        <v>30933</v>
      </c>
      <c r="B6" t="s">
        <v>182</v>
      </c>
      <c r="C6" t="s">
        <v>1173</v>
      </c>
      <c r="D6" t="s">
        <v>183</v>
      </c>
      <c r="F6" t="s">
        <v>184</v>
      </c>
      <c r="G6">
        <v>1054.8399999999999</v>
      </c>
      <c r="H6" t="s">
        <v>104</v>
      </c>
      <c r="I6">
        <v>2</v>
      </c>
      <c r="J6">
        <v>3</v>
      </c>
      <c r="K6">
        <v>0</v>
      </c>
      <c r="L6">
        <v>0</v>
      </c>
      <c r="M6">
        <v>0</v>
      </c>
      <c r="N6">
        <v>-1</v>
      </c>
      <c r="O6">
        <v>21</v>
      </c>
      <c r="P6">
        <v>21</v>
      </c>
      <c r="Q6">
        <v>24</v>
      </c>
      <c r="R6">
        <v>24</v>
      </c>
      <c r="S6">
        <v>24</v>
      </c>
      <c r="T6">
        <v>24</v>
      </c>
      <c r="U6">
        <v>24</v>
      </c>
      <c r="V6">
        <v>23</v>
      </c>
      <c r="W6">
        <v>24</v>
      </c>
      <c r="X6">
        <v>20</v>
      </c>
      <c r="Y6">
        <v>23</v>
      </c>
      <c r="Z6">
        <v>23</v>
      </c>
      <c r="AA6">
        <v>24</v>
      </c>
      <c r="AB6">
        <v>24</v>
      </c>
      <c r="AC6">
        <v>24</v>
      </c>
      <c r="AD6">
        <v>24</v>
      </c>
      <c r="AE6">
        <v>24</v>
      </c>
      <c r="AF6">
        <v>23</v>
      </c>
      <c r="AG6">
        <v>24</v>
      </c>
      <c r="AH6">
        <v>24</v>
      </c>
      <c r="AI6">
        <v>23</v>
      </c>
      <c r="AJ6">
        <v>22</v>
      </c>
      <c r="AK6">
        <v>24</v>
      </c>
      <c r="AL6">
        <v>23</v>
      </c>
      <c r="AM6">
        <v>23</v>
      </c>
      <c r="AN6">
        <v>24</v>
      </c>
      <c r="AO6">
        <v>24</v>
      </c>
      <c r="AP6">
        <v>209</v>
      </c>
      <c r="AQ6">
        <v>135</v>
      </c>
      <c r="AR6">
        <v>43</v>
      </c>
      <c r="AS6">
        <v>70</v>
      </c>
      <c r="AT6">
        <v>67</v>
      </c>
      <c r="AU6">
        <v>106</v>
      </c>
      <c r="AV6">
        <v>73</v>
      </c>
      <c r="AW6">
        <v>80</v>
      </c>
      <c r="AX6">
        <v>112</v>
      </c>
      <c r="AY6">
        <v>196</v>
      </c>
      <c r="AZ6">
        <v>85</v>
      </c>
      <c r="BA6">
        <v>101</v>
      </c>
      <c r="BB6">
        <v>91</v>
      </c>
      <c r="BC6">
        <v>70</v>
      </c>
      <c r="BD6">
        <v>58</v>
      </c>
      <c r="BE6">
        <v>94</v>
      </c>
      <c r="BF6">
        <v>63</v>
      </c>
      <c r="BG6">
        <v>81</v>
      </c>
      <c r="BH6">
        <v>100</v>
      </c>
      <c r="BI6">
        <v>171</v>
      </c>
      <c r="BJ6">
        <v>3023323136</v>
      </c>
      <c r="BK6">
        <v>3647605504</v>
      </c>
      <c r="BL6">
        <v>33143496</v>
      </c>
      <c r="BM6">
        <v>841056448</v>
      </c>
      <c r="BN6">
        <v>1465878016</v>
      </c>
      <c r="BO6">
        <v>2862885632</v>
      </c>
      <c r="BP6">
        <v>1451925376</v>
      </c>
      <c r="BQ6">
        <v>2112053888</v>
      </c>
      <c r="BR6">
        <v>2244013568</v>
      </c>
      <c r="BS6">
        <v>5154114560</v>
      </c>
      <c r="BT6">
        <v>729592960</v>
      </c>
      <c r="BU6">
        <v>2844517120</v>
      </c>
      <c r="BV6">
        <v>2463091712</v>
      </c>
      <c r="BW6">
        <v>1579141248</v>
      </c>
      <c r="BX6">
        <v>1141894656</v>
      </c>
      <c r="BY6">
        <v>2430323456</v>
      </c>
      <c r="BZ6">
        <v>1096978432</v>
      </c>
      <c r="CA6">
        <v>2391769856</v>
      </c>
      <c r="CB6">
        <v>2083243264</v>
      </c>
      <c r="CC6">
        <v>3759643904</v>
      </c>
      <c r="CD6" s="22" t="s">
        <v>1173</v>
      </c>
      <c r="CE6" s="21">
        <v>3350154240</v>
      </c>
      <c r="CF6" s="21">
        <v>2983692544</v>
      </c>
      <c r="CG6" s="19">
        <v>1086837504</v>
      </c>
      <c r="CH6" s="19">
        <v>2650055936</v>
      </c>
      <c r="CI6" s="21">
        <v>1087318912</v>
      </c>
      <c r="CJ6" s="21">
        <v>1154489472</v>
      </c>
      <c r="CK6" s="19">
        <v>1279745280</v>
      </c>
      <c r="CL6" s="19">
        <v>1135707392</v>
      </c>
      <c r="CM6" s="21">
        <v>2498904832</v>
      </c>
      <c r="CN6" s="21">
        <v>2559661824</v>
      </c>
      <c r="CO6" s="19">
        <v>2301503488</v>
      </c>
      <c r="CP6" s="19">
        <v>2458021120</v>
      </c>
      <c r="CQ6" s="21">
        <v>1119537152</v>
      </c>
      <c r="CR6" s="21">
        <v>1067643904</v>
      </c>
      <c r="CS6" s="19">
        <v>2062152960</v>
      </c>
      <c r="CT6" s="19">
        <v>2273685248</v>
      </c>
      <c r="CU6" s="21">
        <v>2203798016</v>
      </c>
      <c r="CV6" s="21">
        <v>2014531328</v>
      </c>
      <c r="CW6" s="19">
        <v>5627723776</v>
      </c>
      <c r="CX6" s="19">
        <v>6491085312</v>
      </c>
    </row>
    <row r="7" spans="1:102">
      <c r="A7">
        <v>30953</v>
      </c>
      <c r="B7" t="s">
        <v>387</v>
      </c>
      <c r="C7" t="s">
        <v>1174</v>
      </c>
      <c r="D7" t="s">
        <v>388</v>
      </c>
      <c r="F7" t="s">
        <v>389</v>
      </c>
      <c r="G7">
        <v>408.31</v>
      </c>
      <c r="H7" t="s">
        <v>104</v>
      </c>
      <c r="I7">
        <v>2</v>
      </c>
      <c r="J7">
        <v>21</v>
      </c>
      <c r="K7">
        <v>0</v>
      </c>
      <c r="L7">
        <v>0</v>
      </c>
      <c r="M7">
        <v>0</v>
      </c>
      <c r="N7">
        <v>-1</v>
      </c>
      <c r="O7">
        <v>7</v>
      </c>
      <c r="P7">
        <v>7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8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9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37</v>
      </c>
      <c r="AQ7">
        <v>40</v>
      </c>
      <c r="AR7">
        <v>4</v>
      </c>
      <c r="AS7">
        <v>22</v>
      </c>
      <c r="AT7">
        <v>21</v>
      </c>
      <c r="AU7">
        <v>37</v>
      </c>
      <c r="AV7">
        <v>23</v>
      </c>
      <c r="AW7">
        <v>35</v>
      </c>
      <c r="AX7">
        <v>16</v>
      </c>
      <c r="AY7">
        <v>32</v>
      </c>
      <c r="AZ7">
        <v>14</v>
      </c>
      <c r="BA7">
        <v>35</v>
      </c>
      <c r="BB7">
        <v>29</v>
      </c>
      <c r="BC7">
        <v>28</v>
      </c>
      <c r="BD7">
        <v>21</v>
      </c>
      <c r="BE7">
        <v>26</v>
      </c>
      <c r="BF7">
        <v>21</v>
      </c>
      <c r="BG7">
        <v>34</v>
      </c>
      <c r="BH7">
        <v>14</v>
      </c>
      <c r="BI7">
        <v>28</v>
      </c>
      <c r="BJ7">
        <v>384062560</v>
      </c>
      <c r="BK7">
        <v>824519168</v>
      </c>
      <c r="BL7">
        <v>2909982.5</v>
      </c>
      <c r="BM7">
        <v>217960704</v>
      </c>
      <c r="BN7">
        <v>234057520</v>
      </c>
      <c r="BO7">
        <v>582373568</v>
      </c>
      <c r="BP7">
        <v>250283168</v>
      </c>
      <c r="BQ7">
        <v>590348224</v>
      </c>
      <c r="BR7">
        <v>102052784</v>
      </c>
      <c r="BS7">
        <v>462846688</v>
      </c>
      <c r="BT7">
        <v>80983656</v>
      </c>
      <c r="BU7">
        <v>651926080</v>
      </c>
      <c r="BV7">
        <v>429338112</v>
      </c>
      <c r="BW7">
        <v>407349568</v>
      </c>
      <c r="BX7">
        <v>211426496</v>
      </c>
      <c r="BY7">
        <v>463129152</v>
      </c>
      <c r="BZ7">
        <v>176224816</v>
      </c>
      <c r="CA7">
        <v>657804544</v>
      </c>
      <c r="CB7">
        <v>90966560</v>
      </c>
      <c r="CC7">
        <v>302076000</v>
      </c>
      <c r="CD7" s="22" t="s">
        <v>1174</v>
      </c>
      <c r="CE7" s="21">
        <v>385888096</v>
      </c>
      <c r="CF7" s="21">
        <v>299934720</v>
      </c>
      <c r="CG7" s="19">
        <v>400775904</v>
      </c>
      <c r="CH7" s="19">
        <v>524561728</v>
      </c>
      <c r="CI7" s="21">
        <v>176241872</v>
      </c>
      <c r="CJ7" s="21">
        <v>213964960</v>
      </c>
      <c r="CK7" s="19">
        <v>201445600</v>
      </c>
      <c r="CL7" s="19">
        <v>191501488</v>
      </c>
      <c r="CM7" s="21">
        <v>116341576</v>
      </c>
      <c r="CN7" s="21">
        <v>126588400</v>
      </c>
      <c r="CO7" s="19">
        <v>468586464</v>
      </c>
      <c r="CP7" s="19">
        <v>500786560</v>
      </c>
      <c r="CQ7" s="21">
        <v>248152944</v>
      </c>
      <c r="CR7" s="21">
        <v>268632480</v>
      </c>
      <c r="CS7" s="19">
        <v>431063392</v>
      </c>
      <c r="CT7" s="19">
        <v>404231488</v>
      </c>
      <c r="CU7" s="21">
        <v>526747296</v>
      </c>
      <c r="CV7" s="21">
        <v>543572800</v>
      </c>
      <c r="CW7" s="19">
        <v>410813856</v>
      </c>
      <c r="CX7" s="19">
        <v>521410176</v>
      </c>
    </row>
    <row r="8" spans="1:102">
      <c r="A8">
        <v>30985</v>
      </c>
      <c r="B8" t="s">
        <v>109</v>
      </c>
      <c r="C8" t="s">
        <v>1195</v>
      </c>
      <c r="D8" t="s">
        <v>110</v>
      </c>
      <c r="E8" t="s">
        <v>111</v>
      </c>
      <c r="F8" t="s">
        <v>112</v>
      </c>
      <c r="G8">
        <v>2679.2080000000001</v>
      </c>
      <c r="H8" t="s">
        <v>104</v>
      </c>
      <c r="I8">
        <v>2</v>
      </c>
      <c r="J8">
        <v>3</v>
      </c>
      <c r="K8">
        <v>17</v>
      </c>
      <c r="L8">
        <v>0</v>
      </c>
      <c r="M8">
        <v>0</v>
      </c>
      <c r="N8">
        <v>-1</v>
      </c>
      <c r="O8">
        <v>50</v>
      </c>
      <c r="P8">
        <v>50</v>
      </c>
      <c r="Q8">
        <v>70</v>
      </c>
      <c r="R8">
        <v>70</v>
      </c>
      <c r="S8">
        <v>70</v>
      </c>
      <c r="T8">
        <v>70</v>
      </c>
      <c r="U8">
        <v>70</v>
      </c>
      <c r="V8">
        <v>67</v>
      </c>
      <c r="W8">
        <v>69</v>
      </c>
      <c r="X8">
        <v>62</v>
      </c>
      <c r="Y8">
        <v>70</v>
      </c>
      <c r="Z8">
        <v>69</v>
      </c>
      <c r="AA8">
        <v>70</v>
      </c>
      <c r="AB8">
        <v>70</v>
      </c>
      <c r="AC8">
        <v>70</v>
      </c>
      <c r="AD8">
        <v>70</v>
      </c>
      <c r="AE8">
        <v>70</v>
      </c>
      <c r="AF8">
        <v>70</v>
      </c>
      <c r="AG8">
        <v>70</v>
      </c>
      <c r="AH8">
        <v>70</v>
      </c>
      <c r="AI8">
        <v>69</v>
      </c>
      <c r="AJ8">
        <v>68</v>
      </c>
      <c r="AK8">
        <v>70</v>
      </c>
      <c r="AL8">
        <v>70</v>
      </c>
      <c r="AM8">
        <v>70</v>
      </c>
      <c r="AN8">
        <v>70</v>
      </c>
      <c r="AO8">
        <v>70</v>
      </c>
      <c r="AP8">
        <v>258</v>
      </c>
      <c r="AQ8">
        <v>244</v>
      </c>
      <c r="AR8">
        <v>55</v>
      </c>
      <c r="AS8">
        <v>165</v>
      </c>
      <c r="AT8">
        <v>128</v>
      </c>
      <c r="AU8">
        <v>212</v>
      </c>
      <c r="AV8">
        <v>127</v>
      </c>
      <c r="AW8">
        <v>161</v>
      </c>
      <c r="AX8">
        <v>172</v>
      </c>
      <c r="AY8">
        <v>332</v>
      </c>
      <c r="AZ8">
        <v>142</v>
      </c>
      <c r="BA8">
        <v>214</v>
      </c>
      <c r="BB8">
        <v>175</v>
      </c>
      <c r="BC8">
        <v>156</v>
      </c>
      <c r="BD8">
        <v>110</v>
      </c>
      <c r="BE8">
        <v>190</v>
      </c>
      <c r="BF8">
        <v>111</v>
      </c>
      <c r="BG8">
        <v>148</v>
      </c>
      <c r="BH8">
        <v>162</v>
      </c>
      <c r="BI8">
        <v>273</v>
      </c>
      <c r="BJ8">
        <v>4973792256</v>
      </c>
      <c r="BK8">
        <v>7838917632</v>
      </c>
      <c r="BL8">
        <v>44024340</v>
      </c>
      <c r="BM8">
        <v>2357065728</v>
      </c>
      <c r="BN8">
        <v>2467616256</v>
      </c>
      <c r="BO8">
        <v>5516452864</v>
      </c>
      <c r="BP8">
        <v>2432603648</v>
      </c>
      <c r="BQ8">
        <v>3803087360</v>
      </c>
      <c r="BR8">
        <v>3629181184</v>
      </c>
      <c r="BS8">
        <v>8827361280</v>
      </c>
      <c r="BT8">
        <v>1528061184</v>
      </c>
      <c r="BU8">
        <v>5699619840</v>
      </c>
      <c r="BV8">
        <v>4452158464</v>
      </c>
      <c r="BW8">
        <v>3907031040</v>
      </c>
      <c r="BX8">
        <v>2011925376</v>
      </c>
      <c r="BY8">
        <v>4531474432</v>
      </c>
      <c r="BZ8">
        <v>1890153216</v>
      </c>
      <c r="CA8">
        <v>4206892288</v>
      </c>
      <c r="CB8">
        <v>2986504192</v>
      </c>
      <c r="CC8">
        <v>7479626752</v>
      </c>
      <c r="CD8" s="22" t="s">
        <v>1195</v>
      </c>
      <c r="CE8" s="21">
        <v>5032764416</v>
      </c>
      <c r="CF8" s="21">
        <v>6066571776</v>
      </c>
      <c r="CG8" s="19">
        <v>3356788736</v>
      </c>
      <c r="CH8" s="19">
        <v>4445430272</v>
      </c>
      <c r="CI8" s="21">
        <v>1881056640</v>
      </c>
      <c r="CJ8" s="21">
        <v>2113483776</v>
      </c>
      <c r="CK8" s="19">
        <v>1959993344</v>
      </c>
      <c r="CL8" s="19">
        <v>1792435072</v>
      </c>
      <c r="CM8" s="21">
        <v>3670698752</v>
      </c>
      <c r="CN8" s="21">
        <v>3234703872</v>
      </c>
      <c r="CO8" s="19">
        <v>4259844096</v>
      </c>
      <c r="CP8" s="19">
        <v>4151264256</v>
      </c>
      <c r="CQ8" s="21">
        <v>2981152000</v>
      </c>
      <c r="CR8" s="21">
        <v>2503513088</v>
      </c>
      <c r="CS8" s="19">
        <v>3785919744</v>
      </c>
      <c r="CT8" s="19">
        <v>3803616256</v>
      </c>
      <c r="CU8" s="21">
        <v>3467204096</v>
      </c>
      <c r="CV8" s="21">
        <v>3107623680</v>
      </c>
      <c r="CW8" s="19">
        <v>8331904512</v>
      </c>
      <c r="CX8" s="19">
        <v>11243319296</v>
      </c>
    </row>
    <row r="9" spans="1:102">
      <c r="A9">
        <v>31160</v>
      </c>
      <c r="B9" t="s">
        <v>350</v>
      </c>
      <c r="C9" t="s">
        <v>1196</v>
      </c>
      <c r="D9" t="s">
        <v>350</v>
      </c>
      <c r="F9" t="s">
        <v>351</v>
      </c>
      <c r="G9">
        <v>450.03199999999998</v>
      </c>
      <c r="H9" t="s">
        <v>104</v>
      </c>
      <c r="I9">
        <v>2</v>
      </c>
      <c r="J9">
        <v>1</v>
      </c>
      <c r="K9">
        <v>0</v>
      </c>
      <c r="L9">
        <v>0</v>
      </c>
      <c r="M9">
        <v>0</v>
      </c>
      <c r="N9">
        <v>-1</v>
      </c>
      <c r="O9">
        <v>10</v>
      </c>
      <c r="P9">
        <v>10</v>
      </c>
      <c r="Q9">
        <v>13</v>
      </c>
      <c r="R9">
        <v>13</v>
      </c>
      <c r="S9">
        <v>13</v>
      </c>
      <c r="T9">
        <v>13</v>
      </c>
      <c r="U9">
        <v>13</v>
      </c>
      <c r="V9">
        <v>12</v>
      </c>
      <c r="W9">
        <v>12</v>
      </c>
      <c r="X9">
        <v>12</v>
      </c>
      <c r="Y9">
        <v>13</v>
      </c>
      <c r="Z9">
        <v>12</v>
      </c>
      <c r="AA9">
        <v>13</v>
      </c>
      <c r="AB9">
        <v>13</v>
      </c>
      <c r="AC9">
        <v>13</v>
      </c>
      <c r="AD9">
        <v>13</v>
      </c>
      <c r="AE9">
        <v>13</v>
      </c>
      <c r="AF9">
        <v>13</v>
      </c>
      <c r="AG9">
        <v>13</v>
      </c>
      <c r="AH9">
        <v>13</v>
      </c>
      <c r="AI9">
        <v>13</v>
      </c>
      <c r="AJ9">
        <v>13</v>
      </c>
      <c r="AK9">
        <v>13</v>
      </c>
      <c r="AL9">
        <v>13</v>
      </c>
      <c r="AM9">
        <v>13</v>
      </c>
      <c r="AN9">
        <v>13</v>
      </c>
      <c r="AO9">
        <v>13</v>
      </c>
      <c r="AP9">
        <v>75</v>
      </c>
      <c r="AQ9">
        <v>76</v>
      </c>
      <c r="AR9">
        <v>12</v>
      </c>
      <c r="AS9">
        <v>36</v>
      </c>
      <c r="AT9">
        <v>24</v>
      </c>
      <c r="AU9">
        <v>55</v>
      </c>
      <c r="AV9">
        <v>28</v>
      </c>
      <c r="AW9">
        <v>34</v>
      </c>
      <c r="AX9">
        <v>37</v>
      </c>
      <c r="AY9">
        <v>53</v>
      </c>
      <c r="AZ9">
        <v>29</v>
      </c>
      <c r="BA9">
        <v>48</v>
      </c>
      <c r="BB9">
        <v>38</v>
      </c>
      <c r="BC9">
        <v>32</v>
      </c>
      <c r="BD9">
        <v>20</v>
      </c>
      <c r="BE9">
        <v>53</v>
      </c>
      <c r="BF9">
        <v>22</v>
      </c>
      <c r="BG9">
        <v>30</v>
      </c>
      <c r="BH9">
        <v>29</v>
      </c>
      <c r="BI9">
        <v>41</v>
      </c>
      <c r="BJ9">
        <v>933032768</v>
      </c>
      <c r="BK9">
        <v>1642933504</v>
      </c>
      <c r="BL9">
        <v>5278752</v>
      </c>
      <c r="BM9">
        <v>431028384</v>
      </c>
      <c r="BN9">
        <v>360293120</v>
      </c>
      <c r="BO9">
        <v>1573251712</v>
      </c>
      <c r="BP9">
        <v>523805248</v>
      </c>
      <c r="BQ9">
        <v>779330752</v>
      </c>
      <c r="BR9">
        <v>436829920</v>
      </c>
      <c r="BS9">
        <v>680436160</v>
      </c>
      <c r="BT9">
        <v>370091424</v>
      </c>
      <c r="BU9">
        <v>1666769792</v>
      </c>
      <c r="BV9">
        <v>875727040</v>
      </c>
      <c r="BW9">
        <v>946065984</v>
      </c>
      <c r="BX9">
        <v>387054496</v>
      </c>
      <c r="BY9">
        <v>1014910528</v>
      </c>
      <c r="BZ9">
        <v>411540960</v>
      </c>
      <c r="CA9">
        <v>894025472</v>
      </c>
      <c r="CB9">
        <v>416112576</v>
      </c>
      <c r="CC9">
        <v>644805568</v>
      </c>
      <c r="CD9" s="22" t="s">
        <v>1196</v>
      </c>
      <c r="CE9" s="21">
        <v>600432256</v>
      </c>
      <c r="CF9" s="21">
        <v>993098112</v>
      </c>
      <c r="CG9" s="19">
        <v>732220928</v>
      </c>
      <c r="CH9" s="19">
        <v>1014419072</v>
      </c>
      <c r="CI9" s="21">
        <v>276198016</v>
      </c>
      <c r="CJ9" s="21">
        <v>499047808</v>
      </c>
      <c r="CK9" s="19">
        <v>452936224</v>
      </c>
      <c r="CL9" s="19">
        <v>500972000</v>
      </c>
      <c r="CM9" s="21">
        <v>491593056</v>
      </c>
      <c r="CN9" s="21">
        <v>584947904</v>
      </c>
      <c r="CO9" s="19">
        <v>600533312</v>
      </c>
      <c r="CP9" s="19">
        <v>1003702144</v>
      </c>
      <c r="CQ9" s="21">
        <v>472325376</v>
      </c>
      <c r="CR9" s="21">
        <v>667008192</v>
      </c>
      <c r="CS9" s="19">
        <v>736245440</v>
      </c>
      <c r="CT9" s="19">
        <v>978740160</v>
      </c>
      <c r="CU9" s="21">
        <v>836522432</v>
      </c>
      <c r="CV9" s="21">
        <v>734130368</v>
      </c>
      <c r="CW9" s="19">
        <v>766408896</v>
      </c>
      <c r="CX9" s="19">
        <v>1106947840</v>
      </c>
    </row>
    <row r="10" spans="1:102">
      <c r="A10">
        <v>31075</v>
      </c>
      <c r="B10" t="s">
        <v>300</v>
      </c>
      <c r="D10" t="s">
        <v>301</v>
      </c>
      <c r="F10" t="s">
        <v>302</v>
      </c>
      <c r="G10">
        <v>588.03499999999997</v>
      </c>
      <c r="H10" t="s">
        <v>104</v>
      </c>
      <c r="I10">
        <v>2</v>
      </c>
      <c r="J10">
        <v>4</v>
      </c>
      <c r="K10">
        <v>0</v>
      </c>
      <c r="L10">
        <v>0</v>
      </c>
      <c r="M10">
        <v>0</v>
      </c>
      <c r="N10">
        <v>-1</v>
      </c>
      <c r="O10">
        <v>16</v>
      </c>
      <c r="P10">
        <v>16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16</v>
      </c>
      <c r="W10">
        <v>20</v>
      </c>
      <c r="X10">
        <v>4</v>
      </c>
      <c r="Y10">
        <v>20</v>
      </c>
      <c r="Z10">
        <v>14</v>
      </c>
      <c r="AA10">
        <v>20</v>
      </c>
      <c r="AB10">
        <v>14</v>
      </c>
      <c r="AC10">
        <v>20</v>
      </c>
      <c r="AD10">
        <v>12</v>
      </c>
      <c r="AE10">
        <v>20</v>
      </c>
      <c r="AF10">
        <v>18</v>
      </c>
      <c r="AG10">
        <v>20</v>
      </c>
      <c r="AH10">
        <v>14</v>
      </c>
      <c r="AI10">
        <v>20</v>
      </c>
      <c r="AJ10">
        <v>14</v>
      </c>
      <c r="AK10">
        <v>20</v>
      </c>
      <c r="AL10">
        <v>13</v>
      </c>
      <c r="AM10">
        <v>20</v>
      </c>
      <c r="AN10">
        <v>12</v>
      </c>
      <c r="AO10">
        <v>20</v>
      </c>
      <c r="AP10">
        <v>15</v>
      </c>
      <c r="AQ10">
        <v>35</v>
      </c>
      <c r="AR10">
        <v>0</v>
      </c>
      <c r="AS10">
        <v>21</v>
      </c>
      <c r="AT10">
        <v>8</v>
      </c>
      <c r="AU10">
        <v>23</v>
      </c>
      <c r="AV10">
        <v>3</v>
      </c>
      <c r="AW10">
        <v>35</v>
      </c>
      <c r="AX10">
        <v>1</v>
      </c>
      <c r="AY10">
        <v>13</v>
      </c>
      <c r="AZ10">
        <v>3</v>
      </c>
      <c r="BA10">
        <v>44</v>
      </c>
      <c r="BB10">
        <v>5</v>
      </c>
      <c r="BC10">
        <v>28</v>
      </c>
      <c r="BD10">
        <v>6</v>
      </c>
      <c r="BE10">
        <v>25</v>
      </c>
      <c r="BF10">
        <v>2</v>
      </c>
      <c r="BG10">
        <v>35</v>
      </c>
      <c r="BH10">
        <v>2</v>
      </c>
      <c r="BI10">
        <v>10</v>
      </c>
      <c r="BJ10">
        <v>36119780</v>
      </c>
      <c r="BK10">
        <v>250606048</v>
      </c>
      <c r="BL10">
        <v>580590.38</v>
      </c>
      <c r="BM10">
        <v>88641656</v>
      </c>
      <c r="BN10">
        <v>14793324</v>
      </c>
      <c r="BO10">
        <v>115759568</v>
      </c>
      <c r="BP10">
        <v>7135518.5</v>
      </c>
      <c r="BQ10">
        <v>183978688</v>
      </c>
      <c r="BR10">
        <v>3757344.75</v>
      </c>
      <c r="BS10">
        <v>43957984</v>
      </c>
      <c r="BT10">
        <v>6415481</v>
      </c>
      <c r="BU10">
        <v>210581280</v>
      </c>
      <c r="BV10">
        <v>9760520</v>
      </c>
      <c r="BW10">
        <v>144298640</v>
      </c>
      <c r="BX10">
        <v>11667941</v>
      </c>
      <c r="BY10">
        <v>127821056</v>
      </c>
      <c r="BZ10">
        <v>7391902.5</v>
      </c>
      <c r="CA10">
        <v>203564512</v>
      </c>
      <c r="CB10">
        <v>3377193.75</v>
      </c>
      <c r="CC10">
        <v>25195148</v>
      </c>
      <c r="CD10" s="22" t="s">
        <v>300</v>
      </c>
      <c r="CE10" s="21">
        <v>40208932</v>
      </c>
      <c r="CF10" s="21">
        <v>25451284</v>
      </c>
      <c r="CG10" s="19">
        <v>40656540</v>
      </c>
      <c r="CH10" s="19">
        <v>10824091</v>
      </c>
      <c r="CI10" s="21">
        <v>11534167</v>
      </c>
      <c r="CJ10" s="21">
        <v>13501792</v>
      </c>
      <c r="CK10" s="19">
        <v>6599932.5</v>
      </c>
      <c r="CL10" s="19">
        <v>8654968</v>
      </c>
      <c r="CM10" s="21">
        <v>3905537.75</v>
      </c>
      <c r="CN10" s="21">
        <v>4343627.5</v>
      </c>
      <c r="CO10" s="19">
        <v>153495008</v>
      </c>
      <c r="CP10" s="19">
        <v>177790000</v>
      </c>
      <c r="CQ10" s="21">
        <v>96354272</v>
      </c>
      <c r="CR10" s="21">
        <v>97182112</v>
      </c>
      <c r="CS10" s="19">
        <v>83000232</v>
      </c>
      <c r="CT10" s="19">
        <v>103288936</v>
      </c>
      <c r="CU10" s="21">
        <v>192313408</v>
      </c>
      <c r="CV10" s="21">
        <v>184767344</v>
      </c>
      <c r="CW10" s="19">
        <v>36833200</v>
      </c>
      <c r="CX10" s="19">
        <v>36949876</v>
      </c>
    </row>
    <row r="11" spans="1:102">
      <c r="A11">
        <v>31031</v>
      </c>
      <c r="B11" t="s">
        <v>188</v>
      </c>
      <c r="C11" t="s">
        <v>1198</v>
      </c>
      <c r="D11" t="s">
        <v>189</v>
      </c>
      <c r="E11" t="s">
        <v>190</v>
      </c>
      <c r="F11" t="s">
        <v>191</v>
      </c>
      <c r="G11">
        <v>992.49300000000005</v>
      </c>
      <c r="H11" t="s">
        <v>104</v>
      </c>
      <c r="I11">
        <v>2</v>
      </c>
      <c r="J11">
        <v>14</v>
      </c>
      <c r="K11">
        <v>4</v>
      </c>
      <c r="L11">
        <v>0</v>
      </c>
      <c r="M11">
        <v>0</v>
      </c>
      <c r="N11">
        <v>-1</v>
      </c>
      <c r="O11">
        <v>22</v>
      </c>
      <c r="P11">
        <v>3</v>
      </c>
      <c r="Q11">
        <v>24</v>
      </c>
      <c r="R11">
        <v>3</v>
      </c>
      <c r="S11">
        <v>24</v>
      </c>
      <c r="T11">
        <v>3</v>
      </c>
      <c r="U11">
        <v>3</v>
      </c>
      <c r="V11">
        <v>3</v>
      </c>
      <c r="W11">
        <v>3</v>
      </c>
      <c r="X11">
        <v>2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8</v>
      </c>
      <c r="AQ11">
        <v>9</v>
      </c>
      <c r="AR11">
        <v>0</v>
      </c>
      <c r="AS11">
        <v>6</v>
      </c>
      <c r="AT11">
        <v>6</v>
      </c>
      <c r="AU11">
        <v>7</v>
      </c>
      <c r="AV11">
        <v>5</v>
      </c>
      <c r="AW11">
        <v>5</v>
      </c>
      <c r="AX11">
        <v>6</v>
      </c>
      <c r="AY11">
        <v>7</v>
      </c>
      <c r="AZ11">
        <v>2</v>
      </c>
      <c r="BA11">
        <v>8</v>
      </c>
      <c r="BB11">
        <v>6</v>
      </c>
      <c r="BC11">
        <v>7</v>
      </c>
      <c r="BD11">
        <v>5</v>
      </c>
      <c r="BE11">
        <v>7</v>
      </c>
      <c r="BF11">
        <v>5</v>
      </c>
      <c r="BG11">
        <v>6</v>
      </c>
      <c r="BH11">
        <v>5</v>
      </c>
      <c r="BI11">
        <v>7</v>
      </c>
      <c r="BJ11">
        <v>863903360</v>
      </c>
      <c r="BK11">
        <v>2108730624</v>
      </c>
      <c r="BL11">
        <v>5664576</v>
      </c>
      <c r="BM11">
        <v>571742400</v>
      </c>
      <c r="BN11">
        <v>588958848</v>
      </c>
      <c r="BO11">
        <v>1438991872</v>
      </c>
      <c r="BP11">
        <v>472748064</v>
      </c>
      <c r="BQ11">
        <v>1248752512</v>
      </c>
      <c r="BR11">
        <v>412370240</v>
      </c>
      <c r="BS11">
        <v>1077044992</v>
      </c>
      <c r="BT11">
        <v>271090784</v>
      </c>
      <c r="BU11">
        <v>1583726336</v>
      </c>
      <c r="BV11">
        <v>995828928</v>
      </c>
      <c r="BW11">
        <v>1122465024</v>
      </c>
      <c r="BX11">
        <v>559698688</v>
      </c>
      <c r="BY11">
        <v>1208075136</v>
      </c>
      <c r="BZ11">
        <v>385147456</v>
      </c>
      <c r="CA11">
        <v>1321497472</v>
      </c>
      <c r="CB11">
        <v>354370432</v>
      </c>
      <c r="CC11">
        <v>1219758976</v>
      </c>
      <c r="CD11" s="22" t="s">
        <v>1198</v>
      </c>
      <c r="CE11" s="21">
        <v>143727280</v>
      </c>
      <c r="CF11" s="21">
        <v>111715328</v>
      </c>
      <c r="CG11" s="19">
        <v>25165468</v>
      </c>
      <c r="CH11" s="19">
        <v>113690472</v>
      </c>
      <c r="CI11" s="21">
        <v>65743288</v>
      </c>
      <c r="CJ11" s="21">
        <v>63150520</v>
      </c>
      <c r="CK11" s="19">
        <v>51695356</v>
      </c>
      <c r="CL11" s="19">
        <v>49149908</v>
      </c>
      <c r="CM11" s="21">
        <v>41110508</v>
      </c>
      <c r="CN11" s="21">
        <v>48867556</v>
      </c>
      <c r="CO11" s="19">
        <v>175066288</v>
      </c>
      <c r="CP11" s="19">
        <v>150400112</v>
      </c>
      <c r="CQ11" s="21">
        <v>67634392</v>
      </c>
      <c r="CR11" s="21">
        <v>105912672</v>
      </c>
      <c r="CS11" s="19">
        <v>140080352</v>
      </c>
      <c r="CT11" s="19">
        <v>155466672</v>
      </c>
      <c r="CU11" s="21">
        <v>142620288</v>
      </c>
      <c r="CV11" s="21">
        <v>112463920</v>
      </c>
      <c r="CW11" s="19">
        <v>137671648</v>
      </c>
      <c r="CX11" s="19">
        <v>242702352</v>
      </c>
    </row>
    <row r="12" spans="1:102">
      <c r="A12">
        <v>31150</v>
      </c>
      <c r="B12" t="s">
        <v>164</v>
      </c>
      <c r="C12" t="s">
        <v>1199</v>
      </c>
      <c r="D12" t="s">
        <v>164</v>
      </c>
      <c r="F12" t="s">
        <v>165</v>
      </c>
      <c r="G12">
        <v>1198.6079999999999</v>
      </c>
      <c r="H12" t="s">
        <v>104</v>
      </c>
      <c r="I12">
        <v>2</v>
      </c>
      <c r="J12">
        <v>1</v>
      </c>
      <c r="K12">
        <v>0</v>
      </c>
      <c r="L12">
        <v>0</v>
      </c>
      <c r="M12">
        <v>0</v>
      </c>
      <c r="N12">
        <v>-1</v>
      </c>
      <c r="O12">
        <v>28</v>
      </c>
      <c r="P12">
        <v>28</v>
      </c>
      <c r="Q12">
        <v>32</v>
      </c>
      <c r="R12">
        <v>32</v>
      </c>
      <c r="S12">
        <v>32</v>
      </c>
      <c r="T12">
        <v>32</v>
      </c>
      <c r="U12">
        <v>32</v>
      </c>
      <c r="V12">
        <v>29</v>
      </c>
      <c r="W12">
        <v>31</v>
      </c>
      <c r="X12">
        <v>21</v>
      </c>
      <c r="Y12">
        <v>31</v>
      </c>
      <c r="Z12">
        <v>31</v>
      </c>
      <c r="AA12">
        <v>32</v>
      </c>
      <c r="AB12">
        <v>30</v>
      </c>
      <c r="AC12">
        <v>32</v>
      </c>
      <c r="AD12">
        <v>31</v>
      </c>
      <c r="AE12">
        <v>32</v>
      </c>
      <c r="AF12">
        <v>32</v>
      </c>
      <c r="AG12">
        <v>32</v>
      </c>
      <c r="AH12">
        <v>32</v>
      </c>
      <c r="AI12">
        <v>32</v>
      </c>
      <c r="AJ12">
        <v>32</v>
      </c>
      <c r="AK12">
        <v>32</v>
      </c>
      <c r="AL12">
        <v>31</v>
      </c>
      <c r="AM12">
        <v>32</v>
      </c>
      <c r="AN12">
        <v>32</v>
      </c>
      <c r="AO12">
        <v>32</v>
      </c>
      <c r="AP12">
        <v>86</v>
      </c>
      <c r="AQ12">
        <v>92</v>
      </c>
      <c r="AR12">
        <v>2</v>
      </c>
      <c r="AS12">
        <v>57</v>
      </c>
      <c r="AT12">
        <v>41</v>
      </c>
      <c r="AU12">
        <v>76</v>
      </c>
      <c r="AV12">
        <v>42</v>
      </c>
      <c r="AW12">
        <v>76</v>
      </c>
      <c r="AX12">
        <v>51</v>
      </c>
      <c r="AY12">
        <v>79</v>
      </c>
      <c r="AZ12">
        <v>44</v>
      </c>
      <c r="BA12">
        <v>77</v>
      </c>
      <c r="BB12">
        <v>56</v>
      </c>
      <c r="BC12">
        <v>58</v>
      </c>
      <c r="BD12">
        <v>40</v>
      </c>
      <c r="BE12">
        <v>76</v>
      </c>
      <c r="BF12">
        <v>36</v>
      </c>
      <c r="BG12">
        <v>68</v>
      </c>
      <c r="BH12">
        <v>49</v>
      </c>
      <c r="BI12">
        <v>77</v>
      </c>
      <c r="BJ12">
        <v>788704832</v>
      </c>
      <c r="BK12">
        <v>1948919040</v>
      </c>
      <c r="BL12">
        <v>3380802</v>
      </c>
      <c r="BM12">
        <v>560849792</v>
      </c>
      <c r="BN12">
        <v>402890112</v>
      </c>
      <c r="BO12">
        <v>1338638592</v>
      </c>
      <c r="BP12">
        <v>333903168</v>
      </c>
      <c r="BQ12">
        <v>1357616512</v>
      </c>
      <c r="BR12">
        <v>396070144</v>
      </c>
      <c r="BS12">
        <v>1094414208</v>
      </c>
      <c r="BT12">
        <v>203900048</v>
      </c>
      <c r="BU12">
        <v>1490088320</v>
      </c>
      <c r="BV12">
        <v>584075584</v>
      </c>
      <c r="BW12">
        <v>933248320</v>
      </c>
      <c r="BX12">
        <v>332907104</v>
      </c>
      <c r="BY12">
        <v>1236603392</v>
      </c>
      <c r="BZ12">
        <v>275368768</v>
      </c>
      <c r="CA12">
        <v>1592181248</v>
      </c>
      <c r="CB12">
        <v>350308160</v>
      </c>
      <c r="CC12">
        <v>1096442880</v>
      </c>
      <c r="CD12" s="22" t="s">
        <v>1199</v>
      </c>
      <c r="CE12" s="21">
        <v>832800896</v>
      </c>
      <c r="CF12" s="21">
        <v>693636864</v>
      </c>
      <c r="CG12" s="19">
        <v>317036384</v>
      </c>
      <c r="CH12" s="19">
        <v>618968896</v>
      </c>
      <c r="CI12" s="21">
        <v>325894464</v>
      </c>
      <c r="CJ12" s="21">
        <v>359362272</v>
      </c>
      <c r="CK12" s="19">
        <v>258047328</v>
      </c>
      <c r="CL12" s="19">
        <v>287338272</v>
      </c>
      <c r="CM12" s="21">
        <v>442999904</v>
      </c>
      <c r="CN12" s="21">
        <v>433155616</v>
      </c>
      <c r="CO12" s="19">
        <v>1152080256</v>
      </c>
      <c r="CP12" s="19">
        <v>1208977024</v>
      </c>
      <c r="CQ12" s="21">
        <v>609955520</v>
      </c>
      <c r="CR12" s="21">
        <v>614301504</v>
      </c>
      <c r="CS12" s="19">
        <v>897155840</v>
      </c>
      <c r="CT12" s="19">
        <v>1061710016</v>
      </c>
      <c r="CU12" s="21">
        <v>1284736256</v>
      </c>
      <c r="CV12" s="21">
        <v>1269919104</v>
      </c>
      <c r="CW12" s="19">
        <v>1060053504</v>
      </c>
      <c r="CX12" s="19">
        <v>1595874048</v>
      </c>
    </row>
    <row r="13" spans="1:102">
      <c r="A13">
        <v>31104</v>
      </c>
      <c r="B13" t="s">
        <v>218</v>
      </c>
      <c r="C13">
        <v>3</v>
      </c>
      <c r="D13" t="s">
        <v>218</v>
      </c>
      <c r="F13" t="s">
        <v>219</v>
      </c>
      <c r="G13">
        <v>896.38599999999997</v>
      </c>
      <c r="H13" t="s">
        <v>104</v>
      </c>
      <c r="I13">
        <v>2</v>
      </c>
      <c r="J13">
        <v>1</v>
      </c>
      <c r="K13">
        <v>0</v>
      </c>
      <c r="L13">
        <v>0</v>
      </c>
      <c r="M13">
        <v>0</v>
      </c>
      <c r="N13">
        <v>-1</v>
      </c>
      <c r="O13">
        <v>22</v>
      </c>
      <c r="P13">
        <v>22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25</v>
      </c>
      <c r="W13">
        <v>26</v>
      </c>
      <c r="X13">
        <v>17</v>
      </c>
      <c r="Y13">
        <v>26</v>
      </c>
      <c r="Z13">
        <v>24</v>
      </c>
      <c r="AA13">
        <v>25</v>
      </c>
      <c r="AB13">
        <v>25</v>
      </c>
      <c r="AC13">
        <v>25</v>
      </c>
      <c r="AD13">
        <v>25</v>
      </c>
      <c r="AE13">
        <v>24</v>
      </c>
      <c r="AF13">
        <v>24</v>
      </c>
      <c r="AG13">
        <v>26</v>
      </c>
      <c r="AH13">
        <v>25</v>
      </c>
      <c r="AI13">
        <v>26</v>
      </c>
      <c r="AJ13">
        <v>25</v>
      </c>
      <c r="AK13">
        <v>25</v>
      </c>
      <c r="AL13">
        <v>25</v>
      </c>
      <c r="AM13">
        <v>26</v>
      </c>
      <c r="AN13">
        <v>25</v>
      </c>
      <c r="AO13">
        <v>25</v>
      </c>
      <c r="AP13">
        <v>65</v>
      </c>
      <c r="AQ13">
        <v>71</v>
      </c>
      <c r="AR13">
        <v>11</v>
      </c>
      <c r="AS13">
        <v>48</v>
      </c>
      <c r="AT13">
        <v>29</v>
      </c>
      <c r="AU13">
        <v>79</v>
      </c>
      <c r="AV13">
        <v>29</v>
      </c>
      <c r="AW13">
        <v>61</v>
      </c>
      <c r="AX13">
        <v>36</v>
      </c>
      <c r="AY13">
        <v>82</v>
      </c>
      <c r="AZ13">
        <v>20</v>
      </c>
      <c r="BA13">
        <v>67</v>
      </c>
      <c r="BB13">
        <v>43</v>
      </c>
      <c r="BC13">
        <v>53</v>
      </c>
      <c r="BD13">
        <v>22</v>
      </c>
      <c r="BE13">
        <v>72</v>
      </c>
      <c r="BF13">
        <v>26</v>
      </c>
      <c r="BG13">
        <v>57</v>
      </c>
      <c r="BH13">
        <v>31</v>
      </c>
      <c r="BI13">
        <v>68</v>
      </c>
      <c r="BJ13">
        <v>225372672</v>
      </c>
      <c r="BK13">
        <v>812177920</v>
      </c>
      <c r="BL13">
        <v>4537581.5</v>
      </c>
      <c r="BM13">
        <v>241412784</v>
      </c>
      <c r="BN13">
        <v>137120208</v>
      </c>
      <c r="BO13">
        <v>646676288</v>
      </c>
      <c r="BP13">
        <v>136564496</v>
      </c>
      <c r="BQ13">
        <v>656029312</v>
      </c>
      <c r="BR13">
        <v>155960544</v>
      </c>
      <c r="BS13">
        <v>615012096</v>
      </c>
      <c r="BT13">
        <v>51385636</v>
      </c>
      <c r="BU13">
        <v>611734400</v>
      </c>
      <c r="BV13">
        <v>236701584</v>
      </c>
      <c r="BW13">
        <v>459828384</v>
      </c>
      <c r="BX13">
        <v>117368536</v>
      </c>
      <c r="BY13">
        <v>681964672</v>
      </c>
      <c r="BZ13">
        <v>125336608</v>
      </c>
      <c r="CA13">
        <v>604862208</v>
      </c>
      <c r="CB13">
        <v>125213808</v>
      </c>
      <c r="CC13">
        <v>433817344</v>
      </c>
      <c r="CD13" s="22" t="s">
        <v>218</v>
      </c>
      <c r="CE13" s="21">
        <v>291229888</v>
      </c>
      <c r="CF13" s="21">
        <v>233225696</v>
      </c>
      <c r="CG13" s="19">
        <v>171435024</v>
      </c>
      <c r="CH13" s="19">
        <v>318796384</v>
      </c>
      <c r="CI13" s="21">
        <v>128554728</v>
      </c>
      <c r="CJ13" s="21">
        <v>149384384</v>
      </c>
      <c r="CK13" s="19">
        <v>129632216</v>
      </c>
      <c r="CL13" s="19">
        <v>156051136</v>
      </c>
      <c r="CM13" s="21">
        <v>201081456</v>
      </c>
      <c r="CN13" s="21">
        <v>200390528</v>
      </c>
      <c r="CO13" s="19">
        <v>501685440</v>
      </c>
      <c r="CP13" s="19">
        <v>517135072</v>
      </c>
      <c r="CQ13" s="21">
        <v>311000896</v>
      </c>
      <c r="CR13" s="21">
        <v>321446432</v>
      </c>
      <c r="CS13" s="19">
        <v>483400160</v>
      </c>
      <c r="CT13" s="19">
        <v>605789184</v>
      </c>
      <c r="CU13" s="21">
        <v>589364800</v>
      </c>
      <c r="CV13" s="21">
        <v>560273792</v>
      </c>
      <c r="CW13" s="19">
        <v>638056384</v>
      </c>
      <c r="CX13" s="19">
        <v>867336832</v>
      </c>
    </row>
    <row r="14" spans="1:102">
      <c r="A14">
        <v>31016</v>
      </c>
      <c r="B14" t="s">
        <v>341</v>
      </c>
      <c r="C14" t="s">
        <v>341</v>
      </c>
      <c r="D14" t="s">
        <v>341</v>
      </c>
      <c r="E14" t="s">
        <v>342</v>
      </c>
      <c r="F14" t="s">
        <v>343</v>
      </c>
      <c r="G14">
        <v>473.435</v>
      </c>
      <c r="H14" t="s">
        <v>104</v>
      </c>
      <c r="I14">
        <v>2</v>
      </c>
      <c r="J14">
        <v>1</v>
      </c>
      <c r="K14">
        <v>1</v>
      </c>
      <c r="L14">
        <v>0</v>
      </c>
      <c r="M14">
        <v>0</v>
      </c>
      <c r="N14">
        <v>-1</v>
      </c>
      <c r="O14">
        <v>11</v>
      </c>
      <c r="P14">
        <v>11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11</v>
      </c>
      <c r="W14">
        <v>12</v>
      </c>
      <c r="X14">
        <v>11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11</v>
      </c>
      <c r="AP14">
        <v>19</v>
      </c>
      <c r="AQ14">
        <v>33</v>
      </c>
      <c r="AR14">
        <v>4</v>
      </c>
      <c r="AS14">
        <v>19</v>
      </c>
      <c r="AT14">
        <v>11</v>
      </c>
      <c r="AU14">
        <v>22</v>
      </c>
      <c r="AV14">
        <v>8</v>
      </c>
      <c r="AW14">
        <v>24</v>
      </c>
      <c r="AX14">
        <v>11</v>
      </c>
      <c r="AY14">
        <v>18</v>
      </c>
      <c r="AZ14">
        <v>9</v>
      </c>
      <c r="BA14">
        <v>27</v>
      </c>
      <c r="BB14">
        <v>14</v>
      </c>
      <c r="BC14">
        <v>16</v>
      </c>
      <c r="BD14">
        <v>9</v>
      </c>
      <c r="BE14">
        <v>20</v>
      </c>
      <c r="BF14">
        <v>9</v>
      </c>
      <c r="BG14">
        <v>25</v>
      </c>
      <c r="BH14">
        <v>9</v>
      </c>
      <c r="BI14">
        <v>14</v>
      </c>
      <c r="BJ14">
        <v>116002432</v>
      </c>
      <c r="BK14">
        <v>361385088</v>
      </c>
      <c r="BL14">
        <v>3095702</v>
      </c>
      <c r="BM14">
        <v>105229216</v>
      </c>
      <c r="BN14">
        <v>82103304</v>
      </c>
      <c r="BO14">
        <v>248187056</v>
      </c>
      <c r="BP14">
        <v>68689880</v>
      </c>
      <c r="BQ14">
        <v>336479232</v>
      </c>
      <c r="BR14">
        <v>53769756</v>
      </c>
      <c r="BS14">
        <v>152637968</v>
      </c>
      <c r="BT14">
        <v>27586936</v>
      </c>
      <c r="BU14">
        <v>338496704</v>
      </c>
      <c r="BV14">
        <v>129504568</v>
      </c>
      <c r="BW14">
        <v>143420592</v>
      </c>
      <c r="BX14">
        <v>75999264</v>
      </c>
      <c r="BY14">
        <v>273392288</v>
      </c>
      <c r="BZ14">
        <v>47495824</v>
      </c>
      <c r="CA14">
        <v>293115584</v>
      </c>
      <c r="CB14">
        <v>46040432</v>
      </c>
      <c r="CC14">
        <v>105062984</v>
      </c>
      <c r="CD14" s="22" t="s">
        <v>341</v>
      </c>
      <c r="CE14" s="21">
        <v>102319064</v>
      </c>
      <c r="CF14" s="21">
        <v>117251368</v>
      </c>
      <c r="CG14" s="19">
        <v>113607560</v>
      </c>
      <c r="CH14" s="19">
        <v>159778336</v>
      </c>
      <c r="CI14" s="21">
        <v>75999992</v>
      </c>
      <c r="CJ14" s="21">
        <v>92483848</v>
      </c>
      <c r="CK14" s="19">
        <v>55613428</v>
      </c>
      <c r="CL14" s="19">
        <v>59964100</v>
      </c>
      <c r="CM14" s="21">
        <v>63612048</v>
      </c>
      <c r="CN14" s="21">
        <v>61380796</v>
      </c>
      <c r="CO14" s="19">
        <v>254565408</v>
      </c>
      <c r="CP14" s="19">
        <v>288342816</v>
      </c>
      <c r="CQ14" s="21">
        <v>141698128</v>
      </c>
      <c r="CR14" s="21">
        <v>127852248</v>
      </c>
      <c r="CS14" s="19">
        <v>177405104</v>
      </c>
      <c r="CT14" s="19">
        <v>226332720</v>
      </c>
      <c r="CU14" s="21">
        <v>329435072</v>
      </c>
      <c r="CV14" s="21">
        <v>306698880</v>
      </c>
      <c r="CW14" s="19">
        <v>149581920</v>
      </c>
      <c r="CX14" s="19">
        <v>126882832</v>
      </c>
    </row>
    <row r="15" spans="1:102">
      <c r="A15">
        <v>31141</v>
      </c>
      <c r="B15" t="s">
        <v>723</v>
      </c>
      <c r="C15" t="s">
        <v>1106</v>
      </c>
      <c r="D15" t="s">
        <v>723</v>
      </c>
      <c r="F15" t="s">
        <v>724</v>
      </c>
      <c r="G15">
        <v>25.018999999999998</v>
      </c>
      <c r="H15" t="s">
        <v>104</v>
      </c>
      <c r="I15">
        <v>2</v>
      </c>
      <c r="J15">
        <v>1</v>
      </c>
      <c r="K15">
        <v>0</v>
      </c>
      <c r="L15">
        <v>0</v>
      </c>
      <c r="M15">
        <v>0</v>
      </c>
      <c r="N15">
        <v>-1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Y15">
        <v>2</v>
      </c>
      <c r="Z15">
        <v>2</v>
      </c>
      <c r="AA15">
        <v>2</v>
      </c>
      <c r="AB15">
        <v>2</v>
      </c>
      <c r="AC15">
        <v>2</v>
      </c>
      <c r="AD15">
        <v>2</v>
      </c>
      <c r="AE15">
        <v>2</v>
      </c>
      <c r="AF15">
        <v>1</v>
      </c>
      <c r="AG15">
        <v>1</v>
      </c>
      <c r="AH15">
        <v>1</v>
      </c>
      <c r="AI15">
        <v>2</v>
      </c>
      <c r="AJ15">
        <v>1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0</v>
      </c>
      <c r="AQ15">
        <v>0</v>
      </c>
      <c r="AR15">
        <v>0</v>
      </c>
      <c r="AS15">
        <v>2</v>
      </c>
      <c r="AT15">
        <v>0</v>
      </c>
      <c r="AU15">
        <v>1</v>
      </c>
      <c r="AV15">
        <v>0</v>
      </c>
      <c r="AW15">
        <v>0</v>
      </c>
      <c r="AX15">
        <v>2</v>
      </c>
      <c r="AY15">
        <v>0</v>
      </c>
      <c r="AZ15">
        <v>0</v>
      </c>
      <c r="BA15">
        <v>0</v>
      </c>
      <c r="BB15">
        <v>0</v>
      </c>
      <c r="BC15">
        <v>2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383831.81</v>
      </c>
      <c r="BK15">
        <v>741465.56</v>
      </c>
      <c r="BM15">
        <v>746916.25</v>
      </c>
      <c r="BN15">
        <v>473878.81</v>
      </c>
      <c r="BO15">
        <v>653164.25</v>
      </c>
      <c r="BP15">
        <v>520465.12</v>
      </c>
      <c r="BQ15">
        <v>359827.72</v>
      </c>
      <c r="BR15">
        <v>587157.38</v>
      </c>
      <c r="BS15">
        <v>689830.75</v>
      </c>
      <c r="BT15">
        <v>51952.18</v>
      </c>
      <c r="BU15">
        <v>250001.97</v>
      </c>
      <c r="BV15">
        <v>253626.97</v>
      </c>
      <c r="BW15">
        <v>1376402.88</v>
      </c>
      <c r="BX15">
        <v>211327.67</v>
      </c>
      <c r="BY15">
        <v>326001.75</v>
      </c>
      <c r="BZ15">
        <v>345324.94</v>
      </c>
      <c r="CA15">
        <v>384819.5</v>
      </c>
      <c r="CB15">
        <v>595874.25</v>
      </c>
      <c r="CC15">
        <v>233387.06</v>
      </c>
      <c r="CD15" s="17" t="s">
        <v>1106</v>
      </c>
      <c r="CE15" s="21">
        <v>311721.96999999997</v>
      </c>
      <c r="CF15" s="21">
        <v>177451.27</v>
      </c>
      <c r="CG15" s="19">
        <v>1861110.38</v>
      </c>
      <c r="CH15" s="19">
        <v>196383.08</v>
      </c>
      <c r="CI15" s="21">
        <v>333917.25</v>
      </c>
      <c r="CJ15" s="21">
        <v>151053.41</v>
      </c>
      <c r="CK15" s="19">
        <v>365253.47</v>
      </c>
      <c r="CL15" s="19">
        <v>397429.47</v>
      </c>
      <c r="CM15" s="21">
        <v>545482.93999999994</v>
      </c>
      <c r="CN15" s="21">
        <v>770475.88</v>
      </c>
      <c r="CO15" s="19">
        <v>379828.38</v>
      </c>
      <c r="CP15" s="19">
        <v>101098.92</v>
      </c>
      <c r="CQ15" s="21">
        <v>707526.25</v>
      </c>
      <c r="CR15" s="21">
        <v>851572</v>
      </c>
      <c r="CS15" s="19">
        <v>379395.06</v>
      </c>
      <c r="CT15" s="19">
        <v>296194.46999999997</v>
      </c>
      <c r="CU15" s="21">
        <v>280408.06</v>
      </c>
      <c r="CV15" s="21">
        <v>351245.88</v>
      </c>
      <c r="CW15" s="19">
        <v>532986.38</v>
      </c>
      <c r="CX15" s="19">
        <v>368418.62</v>
      </c>
    </row>
    <row r="16" spans="1:102">
      <c r="A16">
        <v>30975</v>
      </c>
      <c r="B16" t="s">
        <v>629</v>
      </c>
      <c r="C16" t="s">
        <v>1107</v>
      </c>
      <c r="D16" t="s">
        <v>630</v>
      </c>
      <c r="F16" t="s">
        <v>631</v>
      </c>
      <c r="G16">
        <v>54.075000000000003</v>
      </c>
      <c r="H16" t="s">
        <v>104</v>
      </c>
      <c r="I16">
        <v>2</v>
      </c>
      <c r="J16">
        <v>18</v>
      </c>
      <c r="K16">
        <v>0</v>
      </c>
      <c r="L16">
        <v>0</v>
      </c>
      <c r="M16">
        <v>0</v>
      </c>
      <c r="N16">
        <v>-1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1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3</v>
      </c>
      <c r="AF16">
        <v>3</v>
      </c>
      <c r="AG16">
        <v>3</v>
      </c>
      <c r="AH16">
        <v>3</v>
      </c>
      <c r="AI16">
        <v>3</v>
      </c>
      <c r="AJ16">
        <v>3</v>
      </c>
      <c r="AK16">
        <v>3</v>
      </c>
      <c r="AL16">
        <v>3</v>
      </c>
      <c r="AM16">
        <v>3</v>
      </c>
      <c r="AN16">
        <v>3</v>
      </c>
      <c r="AO16">
        <v>3</v>
      </c>
      <c r="AP16">
        <v>3</v>
      </c>
      <c r="AQ16">
        <v>3</v>
      </c>
      <c r="AR16">
        <v>0</v>
      </c>
      <c r="AS16">
        <v>2</v>
      </c>
      <c r="AT16">
        <v>5</v>
      </c>
      <c r="AU16">
        <v>2</v>
      </c>
      <c r="AV16">
        <v>3</v>
      </c>
      <c r="AW16">
        <v>3</v>
      </c>
      <c r="AX16">
        <v>2</v>
      </c>
      <c r="AY16">
        <v>3</v>
      </c>
      <c r="AZ16">
        <v>1</v>
      </c>
      <c r="BA16">
        <v>4</v>
      </c>
      <c r="BB16">
        <v>3</v>
      </c>
      <c r="BC16">
        <v>3</v>
      </c>
      <c r="BD16">
        <v>3</v>
      </c>
      <c r="BE16">
        <v>3</v>
      </c>
      <c r="BF16">
        <v>3</v>
      </c>
      <c r="BG16">
        <v>4</v>
      </c>
      <c r="BH16">
        <v>3</v>
      </c>
      <c r="BI16">
        <v>3</v>
      </c>
      <c r="BJ16">
        <v>12065839</v>
      </c>
      <c r="BK16">
        <v>14337828</v>
      </c>
      <c r="BL16">
        <v>14980.07</v>
      </c>
      <c r="BM16">
        <v>5140856</v>
      </c>
      <c r="BN16">
        <v>12273248</v>
      </c>
      <c r="BO16">
        <v>12383470</v>
      </c>
      <c r="BP16">
        <v>5339318</v>
      </c>
      <c r="BQ16">
        <v>10355996</v>
      </c>
      <c r="BR16">
        <v>5312195</v>
      </c>
      <c r="BS16">
        <v>4732412</v>
      </c>
      <c r="BT16">
        <v>3225920</v>
      </c>
      <c r="BU16">
        <v>11177364</v>
      </c>
      <c r="BV16">
        <v>6414917</v>
      </c>
      <c r="BW16">
        <v>9034415</v>
      </c>
      <c r="BX16">
        <v>11154902</v>
      </c>
      <c r="BY16">
        <v>10608960</v>
      </c>
      <c r="BZ16">
        <v>5115465</v>
      </c>
      <c r="CA16">
        <v>14362564</v>
      </c>
      <c r="CB16">
        <v>4865192.5</v>
      </c>
      <c r="CC16">
        <v>3636311.5</v>
      </c>
      <c r="CD16" s="17" t="s">
        <v>1107</v>
      </c>
      <c r="CE16" s="21">
        <v>15531646</v>
      </c>
      <c r="CF16" s="21">
        <v>20081062</v>
      </c>
      <c r="CG16" s="19">
        <v>2801857.25</v>
      </c>
      <c r="CH16" s="19">
        <v>9309058</v>
      </c>
      <c r="CI16" s="21">
        <v>13969531</v>
      </c>
      <c r="CJ16" s="21">
        <v>16516457</v>
      </c>
      <c r="CK16" s="19">
        <v>6466538.5</v>
      </c>
      <c r="CL16" s="19">
        <v>7038559.5</v>
      </c>
      <c r="CM16" s="21">
        <v>8478054</v>
      </c>
      <c r="CN16" s="21">
        <v>7866416.5</v>
      </c>
      <c r="CO16" s="19">
        <v>11655860</v>
      </c>
      <c r="CP16" s="19">
        <v>12043745</v>
      </c>
      <c r="CQ16" s="21">
        <v>8565673</v>
      </c>
      <c r="CR16" s="21">
        <v>7945485.5</v>
      </c>
      <c r="CS16" s="19">
        <v>11746900</v>
      </c>
      <c r="CT16" s="19">
        <v>12365570</v>
      </c>
      <c r="CU16" s="21">
        <v>12452079</v>
      </c>
      <c r="CV16" s="21">
        <v>15617580</v>
      </c>
      <c r="CW16" s="19">
        <v>6054389.5</v>
      </c>
      <c r="CX16" s="19">
        <v>9168321</v>
      </c>
    </row>
    <row r="17" spans="1:102">
      <c r="A17">
        <v>31111</v>
      </c>
      <c r="B17" t="s">
        <v>702</v>
      </c>
      <c r="C17" t="s">
        <v>1109</v>
      </c>
      <c r="D17" t="s">
        <v>703</v>
      </c>
      <c r="F17" t="s">
        <v>704</v>
      </c>
      <c r="G17">
        <v>28.759</v>
      </c>
      <c r="H17" t="s">
        <v>104</v>
      </c>
      <c r="I17">
        <v>2</v>
      </c>
      <c r="J17">
        <v>2</v>
      </c>
      <c r="K17">
        <v>0</v>
      </c>
      <c r="L17">
        <v>0</v>
      </c>
      <c r="M17">
        <v>0</v>
      </c>
      <c r="N17">
        <v>-1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Y17">
        <v>2</v>
      </c>
      <c r="Z17">
        <v>3</v>
      </c>
      <c r="AA17">
        <v>3</v>
      </c>
      <c r="AB17">
        <v>3</v>
      </c>
      <c r="AC17">
        <v>3</v>
      </c>
      <c r="AD17">
        <v>2</v>
      </c>
      <c r="AE17">
        <v>2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2</v>
      </c>
      <c r="AP17">
        <v>3</v>
      </c>
      <c r="AQ17">
        <v>2</v>
      </c>
      <c r="AR17">
        <v>0</v>
      </c>
      <c r="AS17">
        <v>0</v>
      </c>
      <c r="AT17">
        <v>2</v>
      </c>
      <c r="AU17">
        <v>4</v>
      </c>
      <c r="AV17">
        <v>2</v>
      </c>
      <c r="AW17">
        <v>2</v>
      </c>
      <c r="AX17">
        <v>1</v>
      </c>
      <c r="AY17">
        <v>0</v>
      </c>
      <c r="AZ17">
        <v>0</v>
      </c>
      <c r="BA17">
        <v>1</v>
      </c>
      <c r="BB17">
        <v>2</v>
      </c>
      <c r="BC17">
        <v>1</v>
      </c>
      <c r="BD17">
        <v>3</v>
      </c>
      <c r="BE17">
        <v>2</v>
      </c>
      <c r="BF17">
        <v>0</v>
      </c>
      <c r="BG17">
        <v>2</v>
      </c>
      <c r="BH17">
        <v>0</v>
      </c>
      <c r="BI17">
        <v>0</v>
      </c>
      <c r="BJ17">
        <v>1154378.5</v>
      </c>
      <c r="BK17">
        <v>1971175.75</v>
      </c>
      <c r="BM17">
        <v>472043.53</v>
      </c>
      <c r="BN17">
        <v>2451429.25</v>
      </c>
      <c r="BO17">
        <v>1976462.75</v>
      </c>
      <c r="BP17">
        <v>1535108.75</v>
      </c>
      <c r="BQ17">
        <v>1634595</v>
      </c>
      <c r="BR17">
        <v>365250.22</v>
      </c>
      <c r="BS17">
        <v>250124.5</v>
      </c>
      <c r="BT17">
        <v>231210.53</v>
      </c>
      <c r="BU17">
        <v>1554822.88</v>
      </c>
      <c r="BV17">
        <v>1935489.38</v>
      </c>
      <c r="BW17">
        <v>1384031</v>
      </c>
      <c r="BX17">
        <v>2053211.88</v>
      </c>
      <c r="BY17">
        <v>1425909.75</v>
      </c>
      <c r="BZ17">
        <v>1356514.62</v>
      </c>
      <c r="CA17">
        <v>2035946.75</v>
      </c>
      <c r="CB17">
        <v>428495.19</v>
      </c>
      <c r="CC17">
        <v>192257.56</v>
      </c>
      <c r="CD17" s="17" t="s">
        <v>1109</v>
      </c>
      <c r="CE17" s="21">
        <v>1193065.5</v>
      </c>
      <c r="CF17" s="21">
        <v>837428.94</v>
      </c>
      <c r="CG17" s="19">
        <v>1861110.38</v>
      </c>
      <c r="CH17" s="19">
        <v>1896769.62</v>
      </c>
      <c r="CI17" s="21">
        <v>1826210.62</v>
      </c>
      <c r="CJ17" s="21">
        <v>1969408.5</v>
      </c>
      <c r="CK17" s="19">
        <v>1091023.3799999999</v>
      </c>
      <c r="CL17" s="19">
        <v>1284794.5</v>
      </c>
      <c r="CM17" s="21">
        <v>387392.69</v>
      </c>
      <c r="CN17" s="21">
        <v>476194</v>
      </c>
      <c r="CO17" s="19">
        <v>1049069</v>
      </c>
      <c r="CP17" s="19">
        <v>1067644.1200000001</v>
      </c>
      <c r="CQ17" s="21">
        <v>540562.06000000006</v>
      </c>
      <c r="CR17" s="21">
        <v>734472.31</v>
      </c>
      <c r="CS17" s="19">
        <v>1213902.3799999999</v>
      </c>
      <c r="CT17" s="19">
        <v>1065947</v>
      </c>
      <c r="CU17" s="21">
        <v>1283802.8799999999</v>
      </c>
      <c r="CV17" s="21">
        <v>1427705.38</v>
      </c>
      <c r="CW17" s="19">
        <v>225945.48</v>
      </c>
      <c r="CX17" s="19">
        <v>178716.33</v>
      </c>
    </row>
    <row r="18" spans="1:102">
      <c r="A18">
        <v>31116</v>
      </c>
      <c r="B18" t="s">
        <v>466</v>
      </c>
      <c r="C18" t="s">
        <v>1110</v>
      </c>
      <c r="D18" t="s">
        <v>466</v>
      </c>
      <c r="F18" t="s">
        <v>467</v>
      </c>
      <c r="G18">
        <v>227.09899999999999</v>
      </c>
      <c r="H18" t="s">
        <v>104</v>
      </c>
      <c r="I18">
        <v>2</v>
      </c>
      <c r="J18">
        <v>1</v>
      </c>
      <c r="K18">
        <v>0</v>
      </c>
      <c r="L18">
        <v>0</v>
      </c>
      <c r="M18">
        <v>0</v>
      </c>
      <c r="N18">
        <v>-1</v>
      </c>
      <c r="O18">
        <v>12</v>
      </c>
      <c r="P18">
        <v>12</v>
      </c>
      <c r="Q18">
        <v>12</v>
      </c>
      <c r="R18">
        <v>12</v>
      </c>
      <c r="S18">
        <v>12</v>
      </c>
      <c r="T18">
        <v>12</v>
      </c>
      <c r="U18">
        <v>12</v>
      </c>
      <c r="V18">
        <v>12</v>
      </c>
      <c r="W18">
        <v>11</v>
      </c>
      <c r="X18">
        <v>2</v>
      </c>
      <c r="Y18">
        <v>11</v>
      </c>
      <c r="Z18">
        <v>10</v>
      </c>
      <c r="AA18">
        <v>12</v>
      </c>
      <c r="AB18">
        <v>11</v>
      </c>
      <c r="AC18">
        <v>12</v>
      </c>
      <c r="AD18">
        <v>12</v>
      </c>
      <c r="AE18">
        <v>12</v>
      </c>
      <c r="AF18">
        <v>11</v>
      </c>
      <c r="AG18">
        <v>12</v>
      </c>
      <c r="AH18">
        <v>12</v>
      </c>
      <c r="AI18">
        <v>12</v>
      </c>
      <c r="AJ18">
        <v>11</v>
      </c>
      <c r="AK18">
        <v>12</v>
      </c>
      <c r="AL18">
        <v>11</v>
      </c>
      <c r="AM18">
        <v>12</v>
      </c>
      <c r="AN18">
        <v>12</v>
      </c>
      <c r="AO18">
        <v>12</v>
      </c>
      <c r="AP18">
        <v>5</v>
      </c>
      <c r="AQ18">
        <v>4</v>
      </c>
      <c r="AR18">
        <v>0</v>
      </c>
      <c r="AS18">
        <v>2</v>
      </c>
      <c r="AT18">
        <v>3</v>
      </c>
      <c r="AU18">
        <v>9</v>
      </c>
      <c r="AV18">
        <v>4</v>
      </c>
      <c r="AW18">
        <v>1</v>
      </c>
      <c r="AX18">
        <v>5</v>
      </c>
      <c r="AY18">
        <v>5</v>
      </c>
      <c r="AZ18">
        <v>0</v>
      </c>
      <c r="BA18">
        <v>5</v>
      </c>
      <c r="BB18">
        <v>1</v>
      </c>
      <c r="BC18">
        <v>11</v>
      </c>
      <c r="BD18">
        <v>1</v>
      </c>
      <c r="BE18">
        <v>8</v>
      </c>
      <c r="BF18">
        <v>2</v>
      </c>
      <c r="BG18">
        <v>5</v>
      </c>
      <c r="BH18">
        <v>8</v>
      </c>
      <c r="BI18">
        <v>5</v>
      </c>
      <c r="BJ18">
        <v>14220565</v>
      </c>
      <c r="BK18">
        <v>9797035</v>
      </c>
      <c r="BL18">
        <v>22752.13</v>
      </c>
      <c r="BM18">
        <v>5584617.5</v>
      </c>
      <c r="BN18">
        <v>6246639</v>
      </c>
      <c r="BO18">
        <v>15497163</v>
      </c>
      <c r="BP18">
        <v>9633947</v>
      </c>
      <c r="BQ18">
        <v>7048430</v>
      </c>
      <c r="BR18">
        <v>9298311</v>
      </c>
      <c r="BS18">
        <v>9715669</v>
      </c>
      <c r="BT18">
        <v>1358830.88</v>
      </c>
      <c r="BU18">
        <v>6719708.5</v>
      </c>
      <c r="BV18">
        <v>4854118</v>
      </c>
      <c r="BW18">
        <v>19904378</v>
      </c>
      <c r="BX18">
        <v>5044610</v>
      </c>
      <c r="BY18">
        <v>9875715</v>
      </c>
      <c r="BZ18">
        <v>5821824.5</v>
      </c>
      <c r="CA18">
        <v>11013640</v>
      </c>
      <c r="CB18">
        <v>15194423</v>
      </c>
      <c r="CC18">
        <v>13099121</v>
      </c>
      <c r="CD18" s="17" t="s">
        <v>1110</v>
      </c>
      <c r="CE18" s="21">
        <v>14023724</v>
      </c>
      <c r="CF18" s="21">
        <v>5097968.5</v>
      </c>
      <c r="CG18" s="19">
        <v>7465911</v>
      </c>
      <c r="CH18" s="19">
        <v>5090177.5</v>
      </c>
      <c r="CI18" s="21">
        <v>4612978</v>
      </c>
      <c r="CJ18" s="21">
        <v>5359476.5</v>
      </c>
      <c r="CK18" s="19">
        <v>7090659</v>
      </c>
      <c r="CL18" s="19">
        <v>5865982</v>
      </c>
      <c r="CM18" s="21">
        <v>8766917</v>
      </c>
      <c r="CN18" s="21">
        <v>16865982</v>
      </c>
      <c r="CO18" s="19">
        <v>5155437.5</v>
      </c>
      <c r="CP18" s="19">
        <v>4561508</v>
      </c>
      <c r="CQ18" s="21">
        <v>5385297.5</v>
      </c>
      <c r="CR18" s="21">
        <v>11144685</v>
      </c>
      <c r="CS18" s="19">
        <v>9447001</v>
      </c>
      <c r="CT18" s="19">
        <v>6647581.5</v>
      </c>
      <c r="CU18" s="21">
        <v>5848302</v>
      </c>
      <c r="CV18" s="21">
        <v>7244744</v>
      </c>
      <c r="CW18" s="19">
        <v>7783442.5</v>
      </c>
      <c r="CX18" s="19">
        <v>13544122</v>
      </c>
    </row>
    <row r="19" spans="1:102">
      <c r="A19">
        <v>31101</v>
      </c>
      <c r="B19" t="s">
        <v>609</v>
      </c>
      <c r="C19" t="s">
        <v>1111</v>
      </c>
      <c r="D19" t="s">
        <v>609</v>
      </c>
      <c r="F19" t="s">
        <v>610</v>
      </c>
      <c r="G19">
        <v>75.013000000000005</v>
      </c>
      <c r="H19" t="s">
        <v>104</v>
      </c>
      <c r="I19">
        <v>2</v>
      </c>
      <c r="J19">
        <v>1</v>
      </c>
      <c r="K19">
        <v>0</v>
      </c>
      <c r="L19">
        <v>0</v>
      </c>
      <c r="M19">
        <v>0</v>
      </c>
      <c r="N19">
        <v>-1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3</v>
      </c>
      <c r="AQ19">
        <v>2</v>
      </c>
      <c r="AR19">
        <v>0</v>
      </c>
      <c r="AS19">
        <v>4</v>
      </c>
      <c r="AT19">
        <v>0</v>
      </c>
      <c r="AU19">
        <v>3</v>
      </c>
      <c r="AV19">
        <v>2</v>
      </c>
      <c r="AW19">
        <v>0</v>
      </c>
      <c r="AX19">
        <v>4</v>
      </c>
      <c r="AY19">
        <v>4</v>
      </c>
      <c r="AZ19">
        <v>1</v>
      </c>
      <c r="BA19">
        <v>3</v>
      </c>
      <c r="BB19">
        <v>0</v>
      </c>
      <c r="BC19">
        <v>4</v>
      </c>
      <c r="BD19">
        <v>3</v>
      </c>
      <c r="BE19">
        <v>4</v>
      </c>
      <c r="BF19">
        <v>3</v>
      </c>
      <c r="BG19">
        <v>2</v>
      </c>
      <c r="BH19">
        <v>3</v>
      </c>
      <c r="BI19">
        <v>3</v>
      </c>
      <c r="BJ19">
        <v>2666410.25</v>
      </c>
      <c r="BK19">
        <v>4246767</v>
      </c>
      <c r="BM19">
        <v>3317188.25</v>
      </c>
      <c r="BN19">
        <v>2105503.75</v>
      </c>
      <c r="BO19">
        <v>3612008.5</v>
      </c>
      <c r="BP19">
        <v>2939234</v>
      </c>
      <c r="BQ19">
        <v>2212798</v>
      </c>
      <c r="BR19">
        <v>3009600.75</v>
      </c>
      <c r="BS19">
        <v>3301084.5</v>
      </c>
      <c r="BT19">
        <v>566987.18999999994</v>
      </c>
      <c r="BU19">
        <v>3325860.5</v>
      </c>
      <c r="BV19">
        <v>1614966</v>
      </c>
      <c r="BW19">
        <v>5226117</v>
      </c>
      <c r="BX19">
        <v>1646775.75</v>
      </c>
      <c r="BY19">
        <v>2452285.25</v>
      </c>
      <c r="BZ19">
        <v>2314946.25</v>
      </c>
      <c r="CA19">
        <v>1972687.75</v>
      </c>
      <c r="CB19">
        <v>2125432.5</v>
      </c>
      <c r="CC19">
        <v>1678233</v>
      </c>
      <c r="CD19" s="17" t="s">
        <v>1111</v>
      </c>
      <c r="CE19" s="21">
        <v>2672154</v>
      </c>
      <c r="CF19" s="21">
        <v>1889087.25</v>
      </c>
      <c r="CG19" s="19">
        <v>1861110.38</v>
      </c>
      <c r="CH19" s="19">
        <v>1690978.75</v>
      </c>
      <c r="CI19" s="21">
        <v>1565598.75</v>
      </c>
      <c r="CJ19" s="21">
        <v>1677569.62</v>
      </c>
      <c r="CK19" s="19">
        <v>2050637.75</v>
      </c>
      <c r="CL19" s="19">
        <v>2457505.25</v>
      </c>
      <c r="CM19" s="21">
        <v>2947928</v>
      </c>
      <c r="CN19" s="21">
        <v>2387960.75</v>
      </c>
      <c r="CO19" s="19">
        <v>2349323.5</v>
      </c>
      <c r="CP19" s="19">
        <v>2306242.5</v>
      </c>
      <c r="CQ19" s="21">
        <v>3108253</v>
      </c>
      <c r="CR19" s="21">
        <v>2853557.5</v>
      </c>
      <c r="CS19" s="19">
        <v>2145188.25</v>
      </c>
      <c r="CT19" s="19">
        <v>1979928.25</v>
      </c>
      <c r="CU19" s="21">
        <v>1799709.5</v>
      </c>
      <c r="CV19" s="21">
        <v>1541530.25</v>
      </c>
      <c r="CW19" s="19">
        <v>2385185.5</v>
      </c>
      <c r="CX19" s="19">
        <v>2344623</v>
      </c>
    </row>
    <row r="20" spans="1:102">
      <c r="A20">
        <v>31024</v>
      </c>
      <c r="B20" t="s">
        <v>593</v>
      </c>
      <c r="C20" t="s">
        <v>1112</v>
      </c>
      <c r="D20" t="s">
        <v>594</v>
      </c>
      <c r="E20" t="s">
        <v>595</v>
      </c>
      <c r="F20" t="s">
        <v>596</v>
      </c>
      <c r="G20">
        <v>80.962999999999994</v>
      </c>
      <c r="H20" t="s">
        <v>104</v>
      </c>
      <c r="I20">
        <v>2</v>
      </c>
      <c r="J20">
        <v>6</v>
      </c>
      <c r="K20">
        <v>13</v>
      </c>
      <c r="L20">
        <v>0</v>
      </c>
      <c r="M20">
        <v>0</v>
      </c>
      <c r="N20">
        <v>-1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4</v>
      </c>
      <c r="X20">
        <v>1</v>
      </c>
      <c r="Y20">
        <v>5</v>
      </c>
      <c r="Z20">
        <v>4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5</v>
      </c>
      <c r="AH20">
        <v>4</v>
      </c>
      <c r="AI20">
        <v>5</v>
      </c>
      <c r="AJ20">
        <v>4</v>
      </c>
      <c r="AK20">
        <v>5</v>
      </c>
      <c r="AL20">
        <v>4</v>
      </c>
      <c r="AM20">
        <v>5</v>
      </c>
      <c r="AN20">
        <v>5</v>
      </c>
      <c r="AO20">
        <v>5</v>
      </c>
      <c r="AP20">
        <v>0</v>
      </c>
      <c r="AQ20">
        <v>2</v>
      </c>
      <c r="AR20">
        <v>0</v>
      </c>
      <c r="AS20">
        <v>1</v>
      </c>
      <c r="AT20">
        <v>2</v>
      </c>
      <c r="AU20">
        <v>2</v>
      </c>
      <c r="AV20">
        <v>2</v>
      </c>
      <c r="AW20">
        <v>0</v>
      </c>
      <c r="AX20">
        <v>1</v>
      </c>
      <c r="AY20">
        <v>1</v>
      </c>
      <c r="AZ20">
        <v>0</v>
      </c>
      <c r="BA20">
        <v>2</v>
      </c>
      <c r="BB20">
        <v>0</v>
      </c>
      <c r="BC20">
        <v>3</v>
      </c>
      <c r="BD20">
        <v>0</v>
      </c>
      <c r="BE20">
        <v>3</v>
      </c>
      <c r="BF20">
        <v>0</v>
      </c>
      <c r="BG20">
        <v>1</v>
      </c>
      <c r="BH20">
        <v>2</v>
      </c>
      <c r="BI20">
        <v>1</v>
      </c>
      <c r="BJ20">
        <v>1322073.6200000001</v>
      </c>
      <c r="BK20">
        <v>3783686.5</v>
      </c>
      <c r="BL20">
        <v>97626.98</v>
      </c>
      <c r="BM20">
        <v>2826712.75</v>
      </c>
      <c r="BN20">
        <v>2626142</v>
      </c>
      <c r="BO20">
        <v>3285451</v>
      </c>
      <c r="BP20">
        <v>4104836.25</v>
      </c>
      <c r="BQ20">
        <v>1484408.88</v>
      </c>
      <c r="BR20">
        <v>2893459.75</v>
      </c>
      <c r="BS20">
        <v>2881660</v>
      </c>
      <c r="BT20">
        <v>564887</v>
      </c>
      <c r="BU20">
        <v>2486269.5</v>
      </c>
      <c r="BV20">
        <v>1427978</v>
      </c>
      <c r="BW20">
        <v>5330910.5</v>
      </c>
      <c r="BX20">
        <v>1718257.75</v>
      </c>
      <c r="BY20">
        <v>2731179</v>
      </c>
      <c r="BZ20">
        <v>2497540.5</v>
      </c>
      <c r="CA20">
        <v>2325623.5</v>
      </c>
      <c r="CB20">
        <v>2616460.75</v>
      </c>
      <c r="CC20">
        <v>2264057.5</v>
      </c>
      <c r="CD20" s="17" t="s">
        <v>1112</v>
      </c>
      <c r="CE20" s="21">
        <v>1658128.25</v>
      </c>
      <c r="CF20" s="21">
        <v>1606782.62</v>
      </c>
      <c r="CG20" s="19">
        <v>3203179.5</v>
      </c>
      <c r="CH20" s="19">
        <v>1685392</v>
      </c>
      <c r="CI20" s="21">
        <v>2334120</v>
      </c>
      <c r="CJ20" s="21">
        <v>1997141.88</v>
      </c>
      <c r="CK20" s="19">
        <v>3401372</v>
      </c>
      <c r="CL20" s="19">
        <v>2914176.5</v>
      </c>
      <c r="CM20" s="21">
        <v>3275008</v>
      </c>
      <c r="CN20" s="21">
        <v>3310633</v>
      </c>
      <c r="CO20" s="19">
        <v>2492984.5</v>
      </c>
      <c r="CP20" s="19">
        <v>1934788.38</v>
      </c>
      <c r="CQ20" s="21">
        <v>3376664.5</v>
      </c>
      <c r="CR20" s="21">
        <v>3180487.75</v>
      </c>
      <c r="CS20" s="19">
        <v>2465433.5</v>
      </c>
      <c r="CT20" s="19">
        <v>2229173.75</v>
      </c>
      <c r="CU20" s="21">
        <v>1719839.25</v>
      </c>
      <c r="CV20" s="21">
        <v>1898710</v>
      </c>
      <c r="CW20" s="19">
        <v>2809017</v>
      </c>
      <c r="CX20" s="19">
        <v>3996117.25</v>
      </c>
    </row>
    <row r="21" spans="1:102">
      <c r="A21">
        <v>31008</v>
      </c>
      <c r="B21" t="s">
        <v>676</v>
      </c>
      <c r="C21" t="s">
        <v>1113</v>
      </c>
      <c r="D21" t="s">
        <v>677</v>
      </c>
      <c r="F21" t="s">
        <v>678</v>
      </c>
      <c r="G21">
        <v>37.155999999999999</v>
      </c>
      <c r="H21" t="s">
        <v>104</v>
      </c>
      <c r="I21">
        <v>2</v>
      </c>
      <c r="J21">
        <v>21</v>
      </c>
      <c r="K21">
        <v>0</v>
      </c>
      <c r="L21">
        <v>0</v>
      </c>
      <c r="M21">
        <v>0</v>
      </c>
      <c r="N21">
        <v>-1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1</v>
      </c>
      <c r="BB21">
        <v>0</v>
      </c>
      <c r="BC21">
        <v>1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  <c r="BJ21">
        <v>235433.98</v>
      </c>
      <c r="BK21">
        <v>472276.34</v>
      </c>
      <c r="BM21">
        <v>317227.09000000003</v>
      </c>
      <c r="BN21">
        <v>174759.34</v>
      </c>
      <c r="BO21">
        <v>360697.88</v>
      </c>
      <c r="BP21">
        <v>253639.58</v>
      </c>
      <c r="BQ21">
        <v>206522.47</v>
      </c>
      <c r="BR21">
        <v>272316.59000000003</v>
      </c>
      <c r="BS21">
        <v>235689.27</v>
      </c>
      <c r="BT21">
        <v>42721.7</v>
      </c>
      <c r="BU21">
        <v>403353.5</v>
      </c>
      <c r="BV21">
        <v>151809.12</v>
      </c>
      <c r="BW21">
        <v>646883.81000000006</v>
      </c>
      <c r="BX21">
        <v>121631.55</v>
      </c>
      <c r="BY21">
        <v>350500.69</v>
      </c>
      <c r="BZ21">
        <v>177497.89</v>
      </c>
      <c r="CA21">
        <v>236874.72</v>
      </c>
      <c r="CB21">
        <v>211044.83</v>
      </c>
      <c r="CC21">
        <v>221560.78</v>
      </c>
      <c r="CD21" s="17" t="s">
        <v>1113</v>
      </c>
      <c r="CE21" s="21">
        <v>235433.98</v>
      </c>
      <c r="CF21" s="21">
        <v>151339.66</v>
      </c>
      <c r="CG21" s="19">
        <v>1861110.38</v>
      </c>
      <c r="CH21" s="19">
        <v>151335.75</v>
      </c>
      <c r="CI21" s="21">
        <v>127424.38</v>
      </c>
      <c r="CJ21" s="21">
        <v>115011.13</v>
      </c>
      <c r="CK21" s="19">
        <v>184099.59</v>
      </c>
      <c r="CL21" s="19">
        <v>166910.23000000001</v>
      </c>
      <c r="CM21" s="21">
        <v>261224.33</v>
      </c>
      <c r="CN21" s="21">
        <v>231500.97</v>
      </c>
      <c r="CO21" s="19">
        <v>255156.33</v>
      </c>
      <c r="CP21" s="19">
        <v>278525.56</v>
      </c>
      <c r="CQ21" s="21">
        <v>328803.25</v>
      </c>
      <c r="CR21" s="21">
        <v>365801.38</v>
      </c>
      <c r="CS21" s="19">
        <v>217804.23</v>
      </c>
      <c r="CT21" s="19">
        <v>255992.16</v>
      </c>
      <c r="CU21" s="21">
        <v>167980.66</v>
      </c>
      <c r="CV21" s="21">
        <v>172818.77</v>
      </c>
      <c r="CW21" s="19">
        <v>199321.91</v>
      </c>
      <c r="CX21" s="19">
        <v>289783.15999999997</v>
      </c>
    </row>
    <row r="22" spans="1:102">
      <c r="A22">
        <v>31139</v>
      </c>
      <c r="B22" t="s">
        <v>431</v>
      </c>
      <c r="C22" t="s">
        <v>1114</v>
      </c>
      <c r="D22" t="s">
        <v>432</v>
      </c>
      <c r="E22" t="s">
        <v>433</v>
      </c>
      <c r="F22" t="s">
        <v>434</v>
      </c>
      <c r="G22">
        <v>295.55399999999997</v>
      </c>
      <c r="H22" t="s">
        <v>104</v>
      </c>
      <c r="I22">
        <v>2</v>
      </c>
      <c r="J22">
        <v>2</v>
      </c>
      <c r="K22">
        <v>1</v>
      </c>
      <c r="L22">
        <v>0</v>
      </c>
      <c r="M22">
        <v>0</v>
      </c>
      <c r="N22">
        <v>-1</v>
      </c>
      <c r="O22">
        <v>8</v>
      </c>
      <c r="P22">
        <v>8</v>
      </c>
      <c r="Q22">
        <v>8</v>
      </c>
      <c r="R22">
        <v>8</v>
      </c>
      <c r="S22">
        <v>8</v>
      </c>
      <c r="T22">
        <v>8</v>
      </c>
      <c r="U22">
        <v>8</v>
      </c>
      <c r="V22">
        <v>7</v>
      </c>
      <c r="W22">
        <v>8</v>
      </c>
      <c r="X22">
        <v>4</v>
      </c>
      <c r="Y22">
        <v>8</v>
      </c>
      <c r="Z22">
        <v>8</v>
      </c>
      <c r="AA22">
        <v>8</v>
      </c>
      <c r="AB22">
        <v>8</v>
      </c>
      <c r="AC22">
        <v>8</v>
      </c>
      <c r="AD22">
        <v>8</v>
      </c>
      <c r="AE22">
        <v>8</v>
      </c>
      <c r="AF22">
        <v>8</v>
      </c>
      <c r="AG22">
        <v>8</v>
      </c>
      <c r="AH22">
        <v>8</v>
      </c>
      <c r="AI22">
        <v>8</v>
      </c>
      <c r="AJ22">
        <v>8</v>
      </c>
      <c r="AK22">
        <v>8</v>
      </c>
      <c r="AL22">
        <v>8</v>
      </c>
      <c r="AM22">
        <v>8</v>
      </c>
      <c r="AN22">
        <v>8</v>
      </c>
      <c r="AO22">
        <v>8</v>
      </c>
      <c r="AP22">
        <v>7</v>
      </c>
      <c r="AQ22">
        <v>9</v>
      </c>
      <c r="AR22">
        <v>0</v>
      </c>
      <c r="AS22">
        <v>9</v>
      </c>
      <c r="AT22">
        <v>6</v>
      </c>
      <c r="AU22">
        <v>8</v>
      </c>
      <c r="AV22">
        <v>10</v>
      </c>
      <c r="AW22">
        <v>5</v>
      </c>
      <c r="AX22">
        <v>10</v>
      </c>
      <c r="AY22">
        <v>10</v>
      </c>
      <c r="AZ22">
        <v>2</v>
      </c>
      <c r="BA22">
        <v>7</v>
      </c>
      <c r="BB22">
        <v>4</v>
      </c>
      <c r="BC22">
        <v>9</v>
      </c>
      <c r="BD22">
        <v>4</v>
      </c>
      <c r="BE22">
        <v>9</v>
      </c>
      <c r="BF22">
        <v>7</v>
      </c>
      <c r="BG22">
        <v>5</v>
      </c>
      <c r="BH22">
        <v>9</v>
      </c>
      <c r="BI22">
        <v>8</v>
      </c>
      <c r="BJ22">
        <v>26302064</v>
      </c>
      <c r="BK22">
        <v>46614924</v>
      </c>
      <c r="BL22">
        <v>745263.69</v>
      </c>
      <c r="BM22">
        <v>37806156</v>
      </c>
      <c r="BN22">
        <v>25986248</v>
      </c>
      <c r="BO22">
        <v>46843712</v>
      </c>
      <c r="BP22">
        <v>36419208</v>
      </c>
      <c r="BQ22">
        <v>21732616</v>
      </c>
      <c r="BR22">
        <v>43287048</v>
      </c>
      <c r="BS22">
        <v>37640488</v>
      </c>
      <c r="BT22">
        <v>6887453</v>
      </c>
      <c r="BU22">
        <v>37259136</v>
      </c>
      <c r="BV22">
        <v>21356432</v>
      </c>
      <c r="BW22">
        <v>56838764</v>
      </c>
      <c r="BX22">
        <v>18918954</v>
      </c>
      <c r="BY22">
        <v>32576654</v>
      </c>
      <c r="BZ22">
        <v>30221996</v>
      </c>
      <c r="CA22">
        <v>24377284</v>
      </c>
      <c r="CB22">
        <v>31563990</v>
      </c>
      <c r="CC22">
        <v>32585384</v>
      </c>
      <c r="CD22" s="17" t="s">
        <v>1114</v>
      </c>
      <c r="CE22" s="21">
        <v>26295846</v>
      </c>
      <c r="CF22" s="21">
        <v>24642748</v>
      </c>
      <c r="CG22" s="19">
        <v>34582524</v>
      </c>
      <c r="CH22" s="19">
        <v>22383558</v>
      </c>
      <c r="CI22" s="21">
        <v>19861678</v>
      </c>
      <c r="CJ22" s="21">
        <v>21479236</v>
      </c>
      <c r="CK22" s="19">
        <v>29242572</v>
      </c>
      <c r="CL22" s="19">
        <v>33066678</v>
      </c>
      <c r="CM22" s="21">
        <v>43014160</v>
      </c>
      <c r="CN22" s="21">
        <v>40476580</v>
      </c>
      <c r="CO22" s="19">
        <v>27418986</v>
      </c>
      <c r="CP22" s="19">
        <v>30045172</v>
      </c>
      <c r="CQ22" s="21">
        <v>39680100</v>
      </c>
      <c r="CR22" s="21">
        <v>37732492</v>
      </c>
      <c r="CS22" s="19">
        <v>29527956</v>
      </c>
      <c r="CT22" s="19">
        <v>28205242</v>
      </c>
      <c r="CU22" s="21">
        <v>22409490</v>
      </c>
      <c r="CV22" s="21">
        <v>20135222</v>
      </c>
      <c r="CW22" s="19">
        <v>38283856</v>
      </c>
      <c r="CX22" s="19">
        <v>50015392</v>
      </c>
    </row>
    <row r="23" spans="1:102">
      <c r="A23">
        <v>31124</v>
      </c>
      <c r="B23" t="s">
        <v>489</v>
      </c>
      <c r="C23" t="s">
        <v>1115</v>
      </c>
      <c r="D23" t="s">
        <v>490</v>
      </c>
      <c r="F23" t="s">
        <v>491</v>
      </c>
      <c r="G23">
        <v>181.48400000000001</v>
      </c>
      <c r="H23" t="s">
        <v>104</v>
      </c>
      <c r="I23">
        <v>2</v>
      </c>
      <c r="J23">
        <v>2</v>
      </c>
      <c r="K23">
        <v>0</v>
      </c>
      <c r="L23">
        <v>0</v>
      </c>
      <c r="M23">
        <v>0</v>
      </c>
      <c r="N23">
        <v>-1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5</v>
      </c>
      <c r="W23">
        <v>7</v>
      </c>
      <c r="X23">
        <v>3</v>
      </c>
      <c r="Y23">
        <v>7</v>
      </c>
      <c r="Z23">
        <v>7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2</v>
      </c>
      <c r="AQ23">
        <v>4</v>
      </c>
      <c r="AR23">
        <v>0</v>
      </c>
      <c r="AS23">
        <v>6</v>
      </c>
      <c r="AT23">
        <v>4</v>
      </c>
      <c r="AU23">
        <v>8</v>
      </c>
      <c r="AV23">
        <v>5</v>
      </c>
      <c r="AW23">
        <v>4</v>
      </c>
      <c r="AX23">
        <v>6</v>
      </c>
      <c r="AY23">
        <v>4</v>
      </c>
      <c r="AZ23">
        <v>2</v>
      </c>
      <c r="BA23">
        <v>5</v>
      </c>
      <c r="BB23">
        <v>4</v>
      </c>
      <c r="BC23">
        <v>6</v>
      </c>
      <c r="BD23">
        <v>0</v>
      </c>
      <c r="BE23">
        <v>5</v>
      </c>
      <c r="BF23">
        <v>3</v>
      </c>
      <c r="BG23">
        <v>3</v>
      </c>
      <c r="BH23">
        <v>5</v>
      </c>
      <c r="BI23">
        <v>3</v>
      </c>
      <c r="BJ23">
        <v>3275683.5</v>
      </c>
      <c r="BK23">
        <v>11558444</v>
      </c>
      <c r="BL23">
        <v>70451.89</v>
      </c>
      <c r="BM23">
        <v>10761928</v>
      </c>
      <c r="BN23">
        <v>6990763</v>
      </c>
      <c r="BO23">
        <v>12633728</v>
      </c>
      <c r="BP23">
        <v>9686183</v>
      </c>
      <c r="BQ23">
        <v>6631769</v>
      </c>
      <c r="BR23">
        <v>11881384</v>
      </c>
      <c r="BS23">
        <v>11795142</v>
      </c>
      <c r="BT23">
        <v>1708651.25</v>
      </c>
      <c r="BU23">
        <v>11735001</v>
      </c>
      <c r="BV23">
        <v>5255163</v>
      </c>
      <c r="BW23">
        <v>18707688</v>
      </c>
      <c r="BX23">
        <v>5050158</v>
      </c>
      <c r="BY23">
        <v>11927517</v>
      </c>
      <c r="BZ23">
        <v>6567492.5</v>
      </c>
      <c r="CA23">
        <v>5757743</v>
      </c>
      <c r="CB23">
        <v>9035097</v>
      </c>
      <c r="CC23">
        <v>10765072</v>
      </c>
      <c r="CD23" s="17" t="s">
        <v>1115</v>
      </c>
      <c r="CE23" s="21">
        <v>1666243.38</v>
      </c>
      <c r="CF23" s="21">
        <v>6544032.5</v>
      </c>
      <c r="CG23" s="19">
        <v>7349021.5</v>
      </c>
      <c r="CH23" s="19">
        <v>5438479.5</v>
      </c>
      <c r="CI23" s="21">
        <v>5705589.5</v>
      </c>
      <c r="CJ23" s="21">
        <v>5638004.5</v>
      </c>
      <c r="CK23" s="19">
        <v>7731566</v>
      </c>
      <c r="CL23" s="19">
        <v>6961447.5</v>
      </c>
      <c r="CM23" s="21">
        <v>12395351</v>
      </c>
      <c r="CN23" s="21">
        <v>10189769</v>
      </c>
      <c r="CO23" s="19">
        <v>7404165</v>
      </c>
      <c r="CP23" s="19">
        <v>8586825</v>
      </c>
      <c r="CQ23" s="21">
        <v>11599294</v>
      </c>
      <c r="CR23" s="21">
        <v>10823293</v>
      </c>
      <c r="CS23" s="19">
        <v>8270420.5</v>
      </c>
      <c r="CT23" s="19">
        <v>8779600</v>
      </c>
      <c r="CU23" s="21">
        <v>5934398</v>
      </c>
      <c r="CV23" s="21">
        <v>4607412</v>
      </c>
      <c r="CW23" s="19">
        <v>10038536</v>
      </c>
      <c r="CX23" s="19">
        <v>11702186</v>
      </c>
    </row>
    <row r="24" spans="1:102">
      <c r="A24">
        <v>30964</v>
      </c>
      <c r="B24" t="s">
        <v>772</v>
      </c>
      <c r="C24" t="s">
        <v>1116</v>
      </c>
      <c r="D24" t="s">
        <v>773</v>
      </c>
      <c r="F24" t="s">
        <v>774</v>
      </c>
      <c r="G24">
        <v>10.409000000000001</v>
      </c>
      <c r="H24" t="s">
        <v>104</v>
      </c>
      <c r="I24">
        <v>2</v>
      </c>
      <c r="J24">
        <v>17</v>
      </c>
      <c r="K24">
        <v>0</v>
      </c>
      <c r="L24">
        <v>0</v>
      </c>
      <c r="M24">
        <v>0</v>
      </c>
      <c r="N24">
        <v>-1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2</v>
      </c>
      <c r="AQ24">
        <v>1</v>
      </c>
      <c r="AR24">
        <v>0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873621.25</v>
      </c>
      <c r="BK24">
        <v>1952801.5</v>
      </c>
      <c r="BM24">
        <v>997694.88</v>
      </c>
      <c r="BN24">
        <v>950487.38</v>
      </c>
      <c r="BO24">
        <v>1614291.88</v>
      </c>
      <c r="BP24">
        <v>1151070.8799999999</v>
      </c>
      <c r="BQ24">
        <v>835022.38</v>
      </c>
      <c r="BR24">
        <v>1277831</v>
      </c>
      <c r="BS24">
        <v>1251135.8799999999</v>
      </c>
      <c r="BT24">
        <v>172045.73</v>
      </c>
      <c r="BU24">
        <v>1545103.5</v>
      </c>
      <c r="BV24">
        <v>795598.75</v>
      </c>
      <c r="BW24">
        <v>2769876.5</v>
      </c>
      <c r="BX24">
        <v>883559.94</v>
      </c>
      <c r="BY24">
        <v>1353604.12</v>
      </c>
      <c r="BZ24">
        <v>1250054</v>
      </c>
      <c r="CA24">
        <v>1126771</v>
      </c>
      <c r="CB24">
        <v>1381832.38</v>
      </c>
      <c r="CC24">
        <v>1287571.5</v>
      </c>
      <c r="CD24" s="17" t="s">
        <v>1116</v>
      </c>
      <c r="CE24" s="21">
        <v>873621.25</v>
      </c>
      <c r="CF24" s="21">
        <v>609464.18999999994</v>
      </c>
      <c r="CG24" s="19">
        <v>1861110.38</v>
      </c>
      <c r="CH24" s="19">
        <v>793117.94</v>
      </c>
      <c r="CI24" s="21">
        <v>693040.31</v>
      </c>
      <c r="CJ24" s="21">
        <v>835467.69</v>
      </c>
      <c r="CK24" s="19">
        <v>835483.56</v>
      </c>
      <c r="CL24" s="19">
        <v>1175488.8799999999</v>
      </c>
      <c r="CM24" s="21">
        <v>1225781.25</v>
      </c>
      <c r="CN24" s="21">
        <v>1515770.62</v>
      </c>
      <c r="CO24" s="19">
        <v>1055038.3799999999</v>
      </c>
      <c r="CP24" s="19">
        <v>1066932.25</v>
      </c>
      <c r="CQ24" s="21">
        <v>1034102.5</v>
      </c>
      <c r="CR24" s="21">
        <v>1566316.25</v>
      </c>
      <c r="CS24" s="19">
        <v>974775.88</v>
      </c>
      <c r="CT24" s="19">
        <v>988620.12</v>
      </c>
      <c r="CU24" s="21">
        <v>679188.12</v>
      </c>
      <c r="CV24" s="21">
        <v>822068.12</v>
      </c>
      <c r="CW24" s="19">
        <v>1058082.8799999999</v>
      </c>
      <c r="CX24" s="19">
        <v>1684036.88</v>
      </c>
    </row>
    <row r="25" spans="1:102">
      <c r="A25">
        <v>31112</v>
      </c>
      <c r="B25" t="s">
        <v>479</v>
      </c>
      <c r="C25" t="s">
        <v>1117</v>
      </c>
      <c r="D25" t="s">
        <v>479</v>
      </c>
      <c r="F25" t="s">
        <v>480</v>
      </c>
      <c r="G25">
        <v>207.44300000000001</v>
      </c>
      <c r="H25" t="s">
        <v>104</v>
      </c>
      <c r="I25">
        <v>2</v>
      </c>
      <c r="J25">
        <v>1</v>
      </c>
      <c r="K25">
        <v>0</v>
      </c>
      <c r="L25">
        <v>0</v>
      </c>
      <c r="M25">
        <v>0</v>
      </c>
      <c r="N25">
        <v>-1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4</v>
      </c>
      <c r="W25">
        <v>5</v>
      </c>
      <c r="X25">
        <v>1</v>
      </c>
      <c r="Y25">
        <v>5</v>
      </c>
      <c r="Z25">
        <v>5</v>
      </c>
      <c r="AA25">
        <v>5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2</v>
      </c>
      <c r="AQ25">
        <v>6</v>
      </c>
      <c r="AR25">
        <v>0</v>
      </c>
      <c r="AS25">
        <v>4</v>
      </c>
      <c r="AT25">
        <v>4</v>
      </c>
      <c r="AU25">
        <v>5</v>
      </c>
      <c r="AV25">
        <v>5</v>
      </c>
      <c r="AW25">
        <v>4</v>
      </c>
      <c r="AX25">
        <v>6</v>
      </c>
      <c r="AY25">
        <v>6</v>
      </c>
      <c r="AZ25">
        <v>2</v>
      </c>
      <c r="BA25">
        <v>5</v>
      </c>
      <c r="BB25">
        <v>4</v>
      </c>
      <c r="BC25">
        <v>6</v>
      </c>
      <c r="BD25">
        <v>2</v>
      </c>
      <c r="BE25">
        <v>5</v>
      </c>
      <c r="BF25">
        <v>3</v>
      </c>
      <c r="BG25">
        <v>4</v>
      </c>
      <c r="BH25">
        <v>5</v>
      </c>
      <c r="BI25">
        <v>6</v>
      </c>
      <c r="BJ25">
        <v>5893968</v>
      </c>
      <c r="BK25">
        <v>10825896</v>
      </c>
      <c r="BL25">
        <v>24805.34</v>
      </c>
      <c r="BM25">
        <v>6220684</v>
      </c>
      <c r="BN25">
        <v>5115753.5</v>
      </c>
      <c r="BO25">
        <v>10215925</v>
      </c>
      <c r="BP25">
        <v>10824727</v>
      </c>
      <c r="BQ25">
        <v>4688881.5</v>
      </c>
      <c r="BR25">
        <v>7959669</v>
      </c>
      <c r="BS25">
        <v>7557272</v>
      </c>
      <c r="BT25">
        <v>1271977.5</v>
      </c>
      <c r="BU25">
        <v>10027019</v>
      </c>
      <c r="BV25">
        <v>3564600</v>
      </c>
      <c r="BW25">
        <v>14327670</v>
      </c>
      <c r="BX25">
        <v>3837501.25</v>
      </c>
      <c r="BY25">
        <v>9213662</v>
      </c>
      <c r="BZ25">
        <v>4480598</v>
      </c>
      <c r="CA25">
        <v>4736037</v>
      </c>
      <c r="CB25">
        <v>6074112</v>
      </c>
      <c r="CC25">
        <v>8091363</v>
      </c>
      <c r="CD25" s="17" t="s">
        <v>1117</v>
      </c>
      <c r="CE25" s="21">
        <v>7764349.5</v>
      </c>
      <c r="CF25" s="21">
        <v>7749730.5</v>
      </c>
      <c r="CG25" s="19">
        <v>4887725.5</v>
      </c>
      <c r="CH25" s="19">
        <v>5456341</v>
      </c>
      <c r="CI25" s="21">
        <v>5815372.5</v>
      </c>
      <c r="CJ25" s="21">
        <v>5579348</v>
      </c>
      <c r="CK25" s="19">
        <v>12177388</v>
      </c>
      <c r="CL25" s="19">
        <v>6911382.5</v>
      </c>
      <c r="CM25" s="21">
        <v>12413460</v>
      </c>
      <c r="CN25" s="21">
        <v>12036049</v>
      </c>
      <c r="CO25" s="19">
        <v>9227480</v>
      </c>
      <c r="CP25" s="19">
        <v>7747363</v>
      </c>
      <c r="CQ25" s="21">
        <v>10916848</v>
      </c>
      <c r="CR25" s="21">
        <v>12892504</v>
      </c>
      <c r="CS25" s="19">
        <v>10041419</v>
      </c>
      <c r="CT25" s="19">
        <v>9678739</v>
      </c>
      <c r="CU25" s="21">
        <v>6244524.5</v>
      </c>
      <c r="CV25" s="21">
        <v>6176405</v>
      </c>
      <c r="CW25" s="19">
        <v>11169829</v>
      </c>
      <c r="CX25" s="19">
        <v>14839845</v>
      </c>
    </row>
    <row r="26" spans="1:102">
      <c r="A26">
        <v>31039</v>
      </c>
      <c r="B26" t="s">
        <v>733</v>
      </c>
      <c r="C26" t="s">
        <v>1119</v>
      </c>
      <c r="D26" t="s">
        <v>734</v>
      </c>
      <c r="E26" t="s">
        <v>735</v>
      </c>
      <c r="F26" t="s">
        <v>736</v>
      </c>
      <c r="G26">
        <v>22.443999999999999</v>
      </c>
      <c r="H26" t="s">
        <v>104</v>
      </c>
      <c r="I26">
        <v>2</v>
      </c>
      <c r="J26">
        <v>20</v>
      </c>
      <c r="K26">
        <v>1</v>
      </c>
      <c r="L26">
        <v>0</v>
      </c>
      <c r="M26">
        <v>0</v>
      </c>
      <c r="N26">
        <v>-1</v>
      </c>
      <c r="O26">
        <v>3</v>
      </c>
      <c r="P26">
        <v>3</v>
      </c>
      <c r="Q26">
        <v>3</v>
      </c>
      <c r="R26">
        <v>3</v>
      </c>
      <c r="S26">
        <v>3</v>
      </c>
      <c r="T26">
        <v>3</v>
      </c>
      <c r="U26">
        <v>3</v>
      </c>
      <c r="V26">
        <v>3</v>
      </c>
      <c r="W26">
        <v>3</v>
      </c>
      <c r="Y26">
        <v>3</v>
      </c>
      <c r="Z26">
        <v>3</v>
      </c>
      <c r="AA26">
        <v>3</v>
      </c>
      <c r="AB26">
        <v>3</v>
      </c>
      <c r="AC26">
        <v>3</v>
      </c>
      <c r="AD26">
        <v>3</v>
      </c>
      <c r="AE26">
        <v>2</v>
      </c>
      <c r="AF26">
        <v>3</v>
      </c>
      <c r="AG26">
        <v>2</v>
      </c>
      <c r="AH26">
        <v>3</v>
      </c>
      <c r="AI26">
        <v>3</v>
      </c>
      <c r="AJ26">
        <v>3</v>
      </c>
      <c r="AK26">
        <v>3</v>
      </c>
      <c r="AL26">
        <v>3</v>
      </c>
      <c r="AM26">
        <v>3</v>
      </c>
      <c r="AN26">
        <v>3</v>
      </c>
      <c r="AO26">
        <v>3</v>
      </c>
      <c r="AP26">
        <v>2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</v>
      </c>
      <c r="BI26">
        <v>0</v>
      </c>
      <c r="BJ26">
        <v>2121838</v>
      </c>
      <c r="BK26">
        <v>914035.5</v>
      </c>
      <c r="BM26">
        <v>471094.69</v>
      </c>
      <c r="BN26">
        <v>1066625.8799999999</v>
      </c>
      <c r="BO26">
        <v>1421419.25</v>
      </c>
      <c r="BP26">
        <v>934080.5</v>
      </c>
      <c r="BQ26">
        <v>1558205.62</v>
      </c>
      <c r="BR26">
        <v>1610410.75</v>
      </c>
      <c r="BS26">
        <v>396203.56</v>
      </c>
      <c r="BT26">
        <v>410322.62</v>
      </c>
      <c r="BU26">
        <v>523892.88</v>
      </c>
      <c r="BV26">
        <v>586645.25</v>
      </c>
      <c r="BW26">
        <v>1164673</v>
      </c>
      <c r="BX26">
        <v>1498388.88</v>
      </c>
      <c r="BY26">
        <v>767342.94</v>
      </c>
      <c r="BZ26">
        <v>1611831.75</v>
      </c>
      <c r="CA26">
        <v>1546103.12</v>
      </c>
      <c r="CB26">
        <v>1350794.12</v>
      </c>
      <c r="CC26">
        <v>967235</v>
      </c>
      <c r="CD26" s="17" t="s">
        <v>1119</v>
      </c>
      <c r="CE26" s="21">
        <v>2436853.75</v>
      </c>
      <c r="CF26" s="21">
        <v>1765545</v>
      </c>
      <c r="CG26" s="19">
        <v>1861110.38</v>
      </c>
      <c r="CH26" s="19">
        <v>482068.12</v>
      </c>
      <c r="CI26" s="21">
        <v>819894.06</v>
      </c>
      <c r="CJ26" s="21">
        <v>1047868.81</v>
      </c>
      <c r="CK26" s="19">
        <v>794128.69</v>
      </c>
      <c r="CL26" s="19">
        <v>642650.88</v>
      </c>
      <c r="CM26" s="21">
        <v>1838055.75</v>
      </c>
      <c r="CN26" s="21">
        <v>1729663</v>
      </c>
      <c r="CO26" s="19">
        <v>587528.5</v>
      </c>
      <c r="CP26" s="19">
        <v>345923.25</v>
      </c>
      <c r="CQ26" s="21">
        <v>538798.93999999994</v>
      </c>
      <c r="CR26" s="21">
        <v>762441.12</v>
      </c>
      <c r="CS26" s="19">
        <v>982694.69</v>
      </c>
      <c r="CT26" s="19">
        <v>600679.43999999994</v>
      </c>
      <c r="CU26" s="21">
        <v>1219551.25</v>
      </c>
      <c r="CV26" s="21">
        <v>1205734.1200000001</v>
      </c>
      <c r="CW26" s="19">
        <v>364186.69</v>
      </c>
      <c r="CX26" s="19">
        <v>828183.94</v>
      </c>
    </row>
    <row r="27" spans="1:102">
      <c r="A27">
        <v>31094</v>
      </c>
      <c r="B27" t="s">
        <v>409</v>
      </c>
      <c r="C27" t="s">
        <v>1120</v>
      </c>
      <c r="D27" t="s">
        <v>410</v>
      </c>
      <c r="F27" t="s">
        <v>411</v>
      </c>
      <c r="G27">
        <v>369.827</v>
      </c>
      <c r="H27" t="s">
        <v>104</v>
      </c>
      <c r="I27">
        <v>2</v>
      </c>
      <c r="J27">
        <v>2</v>
      </c>
      <c r="K27">
        <v>0</v>
      </c>
      <c r="L27">
        <v>0</v>
      </c>
      <c r="M27">
        <v>0</v>
      </c>
      <c r="N27">
        <v>-1</v>
      </c>
      <c r="O27">
        <v>13</v>
      </c>
      <c r="P27">
        <v>13</v>
      </c>
      <c r="Q27">
        <v>13</v>
      </c>
      <c r="R27">
        <v>13</v>
      </c>
      <c r="S27">
        <v>13</v>
      </c>
      <c r="T27">
        <v>13</v>
      </c>
      <c r="U27">
        <v>13</v>
      </c>
      <c r="V27">
        <v>12</v>
      </c>
      <c r="W27">
        <v>12</v>
      </c>
      <c r="X27">
        <v>6</v>
      </c>
      <c r="Y27">
        <v>13</v>
      </c>
      <c r="Z27">
        <v>13</v>
      </c>
      <c r="AA27">
        <v>13</v>
      </c>
      <c r="AB27">
        <v>13</v>
      </c>
      <c r="AC27">
        <v>13</v>
      </c>
      <c r="AD27">
        <v>13</v>
      </c>
      <c r="AE27">
        <v>13</v>
      </c>
      <c r="AF27">
        <v>13</v>
      </c>
      <c r="AG27">
        <v>13</v>
      </c>
      <c r="AH27">
        <v>13</v>
      </c>
      <c r="AI27">
        <v>13</v>
      </c>
      <c r="AJ27">
        <v>13</v>
      </c>
      <c r="AK27">
        <v>13</v>
      </c>
      <c r="AL27">
        <v>13</v>
      </c>
      <c r="AM27">
        <v>13</v>
      </c>
      <c r="AN27">
        <v>13</v>
      </c>
      <c r="AO27">
        <v>13</v>
      </c>
      <c r="AP27">
        <v>12</v>
      </c>
      <c r="AQ27">
        <v>10</v>
      </c>
      <c r="AR27">
        <v>1</v>
      </c>
      <c r="AS27">
        <v>8</v>
      </c>
      <c r="AT27">
        <v>10</v>
      </c>
      <c r="AU27">
        <v>12</v>
      </c>
      <c r="AV27">
        <v>11</v>
      </c>
      <c r="AW27">
        <v>9</v>
      </c>
      <c r="AX27">
        <v>12</v>
      </c>
      <c r="AY27">
        <v>10</v>
      </c>
      <c r="AZ27">
        <v>5</v>
      </c>
      <c r="BA27">
        <v>10</v>
      </c>
      <c r="BB27">
        <v>9</v>
      </c>
      <c r="BC27">
        <v>15</v>
      </c>
      <c r="BD27">
        <v>10</v>
      </c>
      <c r="BE27">
        <v>10</v>
      </c>
      <c r="BF27">
        <v>9</v>
      </c>
      <c r="BG27">
        <v>8</v>
      </c>
      <c r="BH27">
        <v>11</v>
      </c>
      <c r="BI27">
        <v>9</v>
      </c>
      <c r="BJ27">
        <v>19662924</v>
      </c>
      <c r="BK27">
        <v>36124548</v>
      </c>
      <c r="BL27">
        <v>396669.19</v>
      </c>
      <c r="BM27">
        <v>30297386</v>
      </c>
      <c r="BN27">
        <v>23222954</v>
      </c>
      <c r="BO27">
        <v>39901556</v>
      </c>
      <c r="BP27">
        <v>28660364</v>
      </c>
      <c r="BQ27">
        <v>17719952</v>
      </c>
      <c r="BR27">
        <v>29954944</v>
      </c>
      <c r="BS27">
        <v>29975616</v>
      </c>
      <c r="BT27">
        <v>5084263</v>
      </c>
      <c r="BU27">
        <v>26924372</v>
      </c>
      <c r="BV27">
        <v>14830831</v>
      </c>
      <c r="BW27">
        <v>52232368</v>
      </c>
      <c r="BX27">
        <v>19415012</v>
      </c>
      <c r="BY27">
        <v>31301988</v>
      </c>
      <c r="BZ27">
        <v>23900252</v>
      </c>
      <c r="CA27">
        <v>19094984</v>
      </c>
      <c r="CB27">
        <v>25844868</v>
      </c>
      <c r="CC27">
        <v>25890420</v>
      </c>
      <c r="CD27" s="17" t="s">
        <v>1120</v>
      </c>
      <c r="CE27" s="21">
        <v>21622742</v>
      </c>
      <c r="CF27" s="21">
        <v>19520276</v>
      </c>
      <c r="CG27" s="19">
        <v>13933894</v>
      </c>
      <c r="CH27" s="19">
        <v>15147871</v>
      </c>
      <c r="CI27" s="21">
        <v>19204298</v>
      </c>
      <c r="CJ27" s="21">
        <v>21069376</v>
      </c>
      <c r="CK27" s="19">
        <v>25071064</v>
      </c>
      <c r="CL27" s="19">
        <v>27164766</v>
      </c>
      <c r="CM27" s="21">
        <v>26562322</v>
      </c>
      <c r="CN27" s="21">
        <v>26473610</v>
      </c>
      <c r="CO27" s="19">
        <v>21564202</v>
      </c>
      <c r="CP27" s="19">
        <v>19433340</v>
      </c>
      <c r="CQ27" s="21">
        <v>29801794</v>
      </c>
      <c r="CR27" s="21">
        <v>32577046</v>
      </c>
      <c r="CS27" s="19">
        <v>26164020</v>
      </c>
      <c r="CT27" s="19">
        <v>27404928</v>
      </c>
      <c r="CU27" s="21">
        <v>17319370</v>
      </c>
      <c r="CV27" s="21">
        <v>16311067</v>
      </c>
      <c r="CW27" s="19">
        <v>24124852</v>
      </c>
      <c r="CX27" s="19">
        <v>32697376</v>
      </c>
    </row>
    <row r="28" spans="1:102">
      <c r="A28">
        <v>31058</v>
      </c>
      <c r="B28" t="s">
        <v>540</v>
      </c>
      <c r="C28" t="s">
        <v>1121</v>
      </c>
      <c r="D28" t="s">
        <v>541</v>
      </c>
      <c r="F28" t="s">
        <v>542</v>
      </c>
      <c r="G28">
        <v>141.78100000000001</v>
      </c>
      <c r="H28" t="s">
        <v>104</v>
      </c>
      <c r="I28">
        <v>2</v>
      </c>
      <c r="J28">
        <v>3</v>
      </c>
      <c r="K28">
        <v>0</v>
      </c>
      <c r="L28">
        <v>0</v>
      </c>
      <c r="M28">
        <v>0</v>
      </c>
      <c r="N28">
        <v>-1</v>
      </c>
      <c r="O28">
        <v>6</v>
      </c>
      <c r="P28">
        <v>6</v>
      </c>
      <c r="Q28">
        <v>6</v>
      </c>
      <c r="R28">
        <v>6</v>
      </c>
      <c r="S28">
        <v>6</v>
      </c>
      <c r="T28">
        <v>6</v>
      </c>
      <c r="U28">
        <v>6</v>
      </c>
      <c r="V28">
        <v>5</v>
      </c>
      <c r="W28">
        <v>5</v>
      </c>
      <c r="Y28">
        <v>6</v>
      </c>
      <c r="Z28">
        <v>6</v>
      </c>
      <c r="AA28">
        <v>6</v>
      </c>
      <c r="AB28">
        <v>6</v>
      </c>
      <c r="AC28">
        <v>6</v>
      </c>
      <c r="AD28">
        <v>6</v>
      </c>
      <c r="AE28">
        <v>6</v>
      </c>
      <c r="AF28">
        <v>6</v>
      </c>
      <c r="AG28">
        <v>6</v>
      </c>
      <c r="AH28">
        <v>6</v>
      </c>
      <c r="AI28">
        <v>6</v>
      </c>
      <c r="AJ28">
        <v>6</v>
      </c>
      <c r="AK28">
        <v>6</v>
      </c>
      <c r="AL28">
        <v>6</v>
      </c>
      <c r="AM28">
        <v>5</v>
      </c>
      <c r="AN28">
        <v>6</v>
      </c>
      <c r="AO28">
        <v>6</v>
      </c>
      <c r="AP28">
        <v>2</v>
      </c>
      <c r="AQ28">
        <v>3</v>
      </c>
      <c r="AR28">
        <v>0</v>
      </c>
      <c r="AS28">
        <v>5</v>
      </c>
      <c r="AT28">
        <v>3</v>
      </c>
      <c r="AU28">
        <v>2</v>
      </c>
      <c r="AV28">
        <v>3</v>
      </c>
      <c r="AW28">
        <v>2</v>
      </c>
      <c r="AX28">
        <v>5</v>
      </c>
      <c r="AY28">
        <v>4</v>
      </c>
      <c r="AZ28">
        <v>1</v>
      </c>
      <c r="BA28">
        <v>3</v>
      </c>
      <c r="BB28">
        <v>3</v>
      </c>
      <c r="BC28">
        <v>3</v>
      </c>
      <c r="BD28">
        <v>3</v>
      </c>
      <c r="BE28">
        <v>3</v>
      </c>
      <c r="BF28">
        <v>3</v>
      </c>
      <c r="BG28">
        <v>2</v>
      </c>
      <c r="BH28">
        <v>3</v>
      </c>
      <c r="BI28">
        <v>3</v>
      </c>
      <c r="BJ28">
        <v>3323597</v>
      </c>
      <c r="BK28">
        <v>6198103</v>
      </c>
      <c r="BM28">
        <v>3976648.5</v>
      </c>
      <c r="BN28">
        <v>3376706</v>
      </c>
      <c r="BO28">
        <v>4937486</v>
      </c>
      <c r="BP28">
        <v>3945608</v>
      </c>
      <c r="BQ28">
        <v>2886739.75</v>
      </c>
      <c r="BR28">
        <v>5035464</v>
      </c>
      <c r="BS28">
        <v>5131972</v>
      </c>
      <c r="BT28">
        <v>755867.69</v>
      </c>
      <c r="BU28">
        <v>4656287</v>
      </c>
      <c r="BV28">
        <v>2537595</v>
      </c>
      <c r="BW28">
        <v>7957421</v>
      </c>
      <c r="BX28">
        <v>2805502.5</v>
      </c>
      <c r="BY28">
        <v>4156116</v>
      </c>
      <c r="BZ28">
        <v>4167241.25</v>
      </c>
      <c r="CA28">
        <v>2616194.5</v>
      </c>
      <c r="CB28">
        <v>4501826.5</v>
      </c>
      <c r="CC28">
        <v>4217963</v>
      </c>
      <c r="CD28" s="17" t="s">
        <v>1121</v>
      </c>
      <c r="CE28" s="21">
        <v>3369805.75</v>
      </c>
      <c r="CF28" s="21">
        <v>2559984.25</v>
      </c>
      <c r="CG28" s="19">
        <v>1861110.38</v>
      </c>
      <c r="CH28" s="19">
        <v>2461513.25</v>
      </c>
      <c r="CI28" s="21">
        <v>2387851.75</v>
      </c>
      <c r="CJ28" s="21">
        <v>2614725.75</v>
      </c>
      <c r="CK28" s="19">
        <v>2945608.25</v>
      </c>
      <c r="CL28" s="19">
        <v>3780793.25</v>
      </c>
      <c r="CM28" s="21">
        <v>4584127</v>
      </c>
      <c r="CN28" s="21">
        <v>5087790.5</v>
      </c>
      <c r="CO28" s="19">
        <v>3445549.75</v>
      </c>
      <c r="CP28" s="19">
        <v>3142440.5</v>
      </c>
      <c r="CQ28" s="21">
        <v>4148056.5</v>
      </c>
      <c r="CR28" s="21">
        <v>4509160</v>
      </c>
      <c r="CS28" s="19">
        <v>2948083</v>
      </c>
      <c r="CT28" s="19">
        <v>3144665.25</v>
      </c>
      <c r="CU28" s="21">
        <v>2412578.25</v>
      </c>
      <c r="CV28" s="21">
        <v>2021225.12</v>
      </c>
      <c r="CW28" s="19">
        <v>4069193.5</v>
      </c>
      <c r="CX28" s="19">
        <v>5886878.5</v>
      </c>
    </row>
    <row r="29" spans="1:102">
      <c r="A29">
        <v>31078</v>
      </c>
      <c r="B29" t="s">
        <v>587</v>
      </c>
      <c r="C29" t="s">
        <v>1122</v>
      </c>
      <c r="D29" t="s">
        <v>588</v>
      </c>
      <c r="E29" t="s">
        <v>589</v>
      </c>
      <c r="F29" t="s">
        <v>590</v>
      </c>
      <c r="G29">
        <v>91.721000000000004</v>
      </c>
      <c r="H29" t="s">
        <v>104</v>
      </c>
      <c r="I29">
        <v>2</v>
      </c>
      <c r="J29">
        <v>3</v>
      </c>
      <c r="K29">
        <v>3</v>
      </c>
      <c r="L29">
        <v>0</v>
      </c>
      <c r="M29">
        <v>0</v>
      </c>
      <c r="N29">
        <v>-1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2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0</v>
      </c>
      <c r="AQ29">
        <v>3</v>
      </c>
      <c r="AR29">
        <v>0</v>
      </c>
      <c r="AS29">
        <v>1</v>
      </c>
      <c r="AT29">
        <v>3</v>
      </c>
      <c r="AU29">
        <v>4</v>
      </c>
      <c r="AV29">
        <v>2</v>
      </c>
      <c r="AW29">
        <v>2</v>
      </c>
      <c r="AX29">
        <v>0</v>
      </c>
      <c r="AY29">
        <v>1</v>
      </c>
      <c r="AZ29">
        <v>0</v>
      </c>
      <c r="BA29">
        <v>3</v>
      </c>
      <c r="BB29">
        <v>1</v>
      </c>
      <c r="BC29">
        <v>2</v>
      </c>
      <c r="BD29">
        <v>2</v>
      </c>
      <c r="BE29">
        <v>4</v>
      </c>
      <c r="BF29">
        <v>1</v>
      </c>
      <c r="BG29">
        <v>3</v>
      </c>
      <c r="BH29">
        <v>0</v>
      </c>
      <c r="BI29">
        <v>0</v>
      </c>
      <c r="BJ29">
        <v>7582077.5</v>
      </c>
      <c r="BK29">
        <v>14736958</v>
      </c>
      <c r="BL29">
        <v>102350.98</v>
      </c>
      <c r="BM29">
        <v>4672408</v>
      </c>
      <c r="BN29">
        <v>14936306</v>
      </c>
      <c r="BO29">
        <v>17523354</v>
      </c>
      <c r="BP29">
        <v>9385621</v>
      </c>
      <c r="BQ29">
        <v>9952983</v>
      </c>
      <c r="BR29">
        <v>4244398</v>
      </c>
      <c r="BS29">
        <v>3595186</v>
      </c>
      <c r="BT29">
        <v>2428279.75</v>
      </c>
      <c r="BU29">
        <v>13226020</v>
      </c>
      <c r="BV29">
        <v>5260360.5</v>
      </c>
      <c r="BW29">
        <v>7761303</v>
      </c>
      <c r="BX29">
        <v>9256843</v>
      </c>
      <c r="BY29">
        <v>11854830</v>
      </c>
      <c r="BZ29">
        <v>6086983.5</v>
      </c>
      <c r="CA29">
        <v>15833076</v>
      </c>
      <c r="CB29">
        <v>2161400.25</v>
      </c>
      <c r="CC29">
        <v>1430479</v>
      </c>
      <c r="CD29" s="17" t="s">
        <v>1122</v>
      </c>
      <c r="CE29" s="21">
        <v>7358630</v>
      </c>
      <c r="CF29" s="21">
        <v>6583276.5</v>
      </c>
      <c r="CG29" s="19">
        <v>6111187</v>
      </c>
      <c r="CH29" s="19">
        <v>8358943.5</v>
      </c>
      <c r="CI29" s="21">
        <v>12937687</v>
      </c>
      <c r="CJ29" s="21">
        <v>9263285</v>
      </c>
      <c r="CK29" s="19">
        <v>8016625.5</v>
      </c>
      <c r="CL29" s="19">
        <v>5572573.5</v>
      </c>
      <c r="CM29" s="21">
        <v>3968499</v>
      </c>
      <c r="CN29" s="21">
        <v>2474784.75</v>
      </c>
      <c r="CO29" s="19">
        <v>8454968</v>
      </c>
      <c r="CP29" s="19">
        <v>12013254</v>
      </c>
      <c r="CQ29" s="21">
        <v>5494386</v>
      </c>
      <c r="CR29" s="21">
        <v>5085562</v>
      </c>
      <c r="CS29" s="19">
        <v>11336103</v>
      </c>
      <c r="CT29" s="19">
        <v>9407757</v>
      </c>
      <c r="CU29" s="21">
        <v>10191239</v>
      </c>
      <c r="CV29" s="21">
        <v>8911208</v>
      </c>
      <c r="CW29" s="19">
        <v>3113549.5</v>
      </c>
      <c r="CX29" s="19">
        <v>2998815.75</v>
      </c>
    </row>
    <row r="30" spans="1:102">
      <c r="A30">
        <v>31110</v>
      </c>
      <c r="B30" t="s">
        <v>648</v>
      </c>
      <c r="C30" t="s">
        <v>1123</v>
      </c>
      <c r="D30" t="s">
        <v>649</v>
      </c>
      <c r="F30" t="s">
        <v>650</v>
      </c>
      <c r="G30">
        <v>45.55</v>
      </c>
      <c r="H30" t="s">
        <v>104</v>
      </c>
      <c r="I30">
        <v>2</v>
      </c>
      <c r="J30">
        <v>4</v>
      </c>
      <c r="K30">
        <v>0</v>
      </c>
      <c r="L30">
        <v>0</v>
      </c>
      <c r="M30">
        <v>0</v>
      </c>
      <c r="N30">
        <v>-1</v>
      </c>
      <c r="O30">
        <v>2</v>
      </c>
      <c r="P30">
        <v>2</v>
      </c>
      <c r="Q30">
        <v>2</v>
      </c>
      <c r="R30">
        <v>2</v>
      </c>
      <c r="S30">
        <v>2</v>
      </c>
      <c r="T30">
        <v>2</v>
      </c>
      <c r="U30">
        <v>2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1</v>
      </c>
      <c r="AQ30">
        <v>3</v>
      </c>
      <c r="AR30">
        <v>0</v>
      </c>
      <c r="AS30">
        <v>3</v>
      </c>
      <c r="AT30">
        <v>3</v>
      </c>
      <c r="AU30">
        <v>4</v>
      </c>
      <c r="AV30">
        <v>2</v>
      </c>
      <c r="AW30">
        <v>3</v>
      </c>
      <c r="AX30">
        <v>1</v>
      </c>
      <c r="AY30">
        <v>2</v>
      </c>
      <c r="AZ30">
        <v>1</v>
      </c>
      <c r="BA30">
        <v>3</v>
      </c>
      <c r="BB30">
        <v>2</v>
      </c>
      <c r="BC30">
        <v>3</v>
      </c>
      <c r="BD30">
        <v>2</v>
      </c>
      <c r="BE30">
        <v>3</v>
      </c>
      <c r="BF30">
        <v>2</v>
      </c>
      <c r="BG30">
        <v>3</v>
      </c>
      <c r="BH30">
        <v>0</v>
      </c>
      <c r="BI30">
        <v>0</v>
      </c>
      <c r="BJ30">
        <v>6273358</v>
      </c>
      <c r="BK30">
        <v>13541458</v>
      </c>
      <c r="BL30">
        <v>25243.18</v>
      </c>
      <c r="BM30">
        <v>3866436.5</v>
      </c>
      <c r="BN30">
        <v>7507208.5</v>
      </c>
      <c r="BO30">
        <v>14935220</v>
      </c>
      <c r="BP30">
        <v>4026411.75</v>
      </c>
      <c r="BQ30">
        <v>6688245</v>
      </c>
      <c r="BR30">
        <v>1748309.62</v>
      </c>
      <c r="BS30">
        <v>1392115.75</v>
      </c>
      <c r="BT30">
        <v>1799021</v>
      </c>
      <c r="BU30">
        <v>10492031</v>
      </c>
      <c r="BV30">
        <v>4522897</v>
      </c>
      <c r="BW30">
        <v>7133892</v>
      </c>
      <c r="BX30">
        <v>4530858</v>
      </c>
      <c r="BY30">
        <v>10645435</v>
      </c>
      <c r="BZ30">
        <v>2414109.5</v>
      </c>
      <c r="CA30">
        <v>10758432</v>
      </c>
      <c r="CB30">
        <v>811314.75</v>
      </c>
      <c r="CC30">
        <v>371658.5</v>
      </c>
      <c r="CD30" s="17" t="s">
        <v>1123</v>
      </c>
      <c r="CE30" s="21">
        <v>6443686</v>
      </c>
      <c r="CF30" s="21">
        <v>5399859</v>
      </c>
      <c r="CG30" s="19">
        <v>2862130</v>
      </c>
      <c r="CH30" s="19">
        <v>4687954</v>
      </c>
      <c r="CI30" s="21">
        <v>5471803</v>
      </c>
      <c r="CJ30" s="21">
        <v>4553173.5</v>
      </c>
      <c r="CK30" s="19">
        <v>2839950.5</v>
      </c>
      <c r="CL30" s="19">
        <v>2417203.75</v>
      </c>
      <c r="CM30" s="21">
        <v>1572325.38</v>
      </c>
      <c r="CN30" s="21">
        <v>951871.69</v>
      </c>
      <c r="CO30" s="19">
        <v>7527416</v>
      </c>
      <c r="CP30" s="19">
        <v>7570517</v>
      </c>
      <c r="CQ30" s="21">
        <v>4116240</v>
      </c>
      <c r="CR30" s="21">
        <v>4008309</v>
      </c>
      <c r="CS30" s="19">
        <v>8872808</v>
      </c>
      <c r="CT30" s="19">
        <v>7801163.5</v>
      </c>
      <c r="CU30" s="21">
        <v>5563563</v>
      </c>
      <c r="CV30" s="21">
        <v>7554820.5</v>
      </c>
      <c r="CW30" s="19">
        <v>1120792.1200000001</v>
      </c>
      <c r="CX30" s="19">
        <v>539213.18999999994</v>
      </c>
    </row>
    <row r="31" spans="1:102">
      <c r="A31">
        <v>31136</v>
      </c>
      <c r="B31" t="s">
        <v>711</v>
      </c>
      <c r="C31" t="s">
        <v>1124</v>
      </c>
      <c r="D31" t="s">
        <v>712</v>
      </c>
      <c r="F31" t="s">
        <v>713</v>
      </c>
      <c r="G31">
        <v>28.053000000000001</v>
      </c>
      <c r="H31" t="s">
        <v>104</v>
      </c>
      <c r="I31">
        <v>2</v>
      </c>
      <c r="J31">
        <v>2</v>
      </c>
      <c r="K31">
        <v>0</v>
      </c>
      <c r="L31">
        <v>0</v>
      </c>
      <c r="M31">
        <v>0</v>
      </c>
      <c r="N31">
        <v>-1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0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2258705.5</v>
      </c>
      <c r="BK31">
        <v>4202755.5</v>
      </c>
      <c r="BL31">
        <v>15158.74</v>
      </c>
      <c r="BM31">
        <v>1211861.1200000001</v>
      </c>
      <c r="BN31">
        <v>3617461.25</v>
      </c>
      <c r="BO31">
        <v>4591670.5</v>
      </c>
      <c r="BP31">
        <v>2629135.5</v>
      </c>
      <c r="BQ31">
        <v>3659081.5</v>
      </c>
      <c r="BR31">
        <v>1494614.5</v>
      </c>
      <c r="BS31">
        <v>939399.75</v>
      </c>
      <c r="BT31">
        <v>455805.03</v>
      </c>
      <c r="BU31">
        <v>3722954</v>
      </c>
      <c r="BV31">
        <v>1986746.38</v>
      </c>
      <c r="BW31">
        <v>3255923</v>
      </c>
      <c r="BX31">
        <v>2752053.25</v>
      </c>
      <c r="BY31">
        <v>4165032.25</v>
      </c>
      <c r="BZ31">
        <v>2886868.25</v>
      </c>
      <c r="CA31">
        <v>3148564.5</v>
      </c>
      <c r="CB31">
        <v>1213638.5</v>
      </c>
      <c r="CC31">
        <v>801816.19</v>
      </c>
      <c r="CD31" s="17" t="s">
        <v>1124</v>
      </c>
      <c r="CE31" s="21">
        <v>2258705.5</v>
      </c>
      <c r="CF31" s="21">
        <v>1614668.62</v>
      </c>
      <c r="CG31" s="19">
        <v>1745416.5</v>
      </c>
      <c r="CH31" s="19">
        <v>1980551.25</v>
      </c>
      <c r="CI31" s="21">
        <v>2637643.25</v>
      </c>
      <c r="CJ31" s="21">
        <v>2602258.5</v>
      </c>
      <c r="CK31" s="19">
        <v>1908309.38</v>
      </c>
      <c r="CL31" s="19">
        <v>2714668.25</v>
      </c>
      <c r="CM31" s="21">
        <v>1433734.38</v>
      </c>
      <c r="CN31" s="21">
        <v>1331274</v>
      </c>
      <c r="CO31" s="19">
        <v>2270619</v>
      </c>
      <c r="CP31" s="19">
        <v>2570792</v>
      </c>
      <c r="CQ31" s="21">
        <v>1256084.1200000001</v>
      </c>
      <c r="CR31" s="21">
        <v>1841167</v>
      </c>
      <c r="CS31" s="19">
        <v>2772639.75</v>
      </c>
      <c r="CT31" s="19">
        <v>3041978.5</v>
      </c>
      <c r="CU31" s="21">
        <v>2976213.25</v>
      </c>
      <c r="CV31" s="21">
        <v>2297125.75</v>
      </c>
      <c r="CW31" s="19">
        <v>794448.38</v>
      </c>
      <c r="CX31" s="19">
        <v>1048709.1200000001</v>
      </c>
    </row>
    <row r="32" spans="1:102">
      <c r="A32">
        <v>31096</v>
      </c>
      <c r="B32" t="s">
        <v>730</v>
      </c>
      <c r="C32" t="s">
        <v>1125</v>
      </c>
      <c r="D32" t="s">
        <v>731</v>
      </c>
      <c r="F32" t="s">
        <v>732</v>
      </c>
      <c r="G32">
        <v>22.803000000000001</v>
      </c>
      <c r="H32" t="s">
        <v>104</v>
      </c>
      <c r="I32">
        <v>2</v>
      </c>
      <c r="J32">
        <v>4</v>
      </c>
      <c r="K32">
        <v>0</v>
      </c>
      <c r="L32">
        <v>0</v>
      </c>
      <c r="M32">
        <v>0</v>
      </c>
      <c r="N32">
        <v>-1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1</v>
      </c>
      <c r="AV32">
        <v>1</v>
      </c>
      <c r="AW32">
        <v>0</v>
      </c>
      <c r="AX32">
        <v>1</v>
      </c>
      <c r="AY32">
        <v>0</v>
      </c>
      <c r="AZ32">
        <v>1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1</v>
      </c>
      <c r="BG32">
        <v>0</v>
      </c>
      <c r="BH32">
        <v>0</v>
      </c>
      <c r="BI32">
        <v>0</v>
      </c>
      <c r="BJ32">
        <v>4188004</v>
      </c>
      <c r="BK32">
        <v>2641310.25</v>
      </c>
      <c r="BL32">
        <v>31942.39</v>
      </c>
      <c r="BM32">
        <v>567765.43999999994</v>
      </c>
      <c r="BN32">
        <v>3679285.25</v>
      </c>
      <c r="BO32">
        <v>2380594</v>
      </c>
      <c r="BP32">
        <v>2271710.5</v>
      </c>
      <c r="BQ32">
        <v>1426302.88</v>
      </c>
      <c r="BR32">
        <v>1861778.25</v>
      </c>
      <c r="BS32">
        <v>1008892.12</v>
      </c>
      <c r="BT32">
        <v>1141496.25</v>
      </c>
      <c r="BU32">
        <v>1869598.25</v>
      </c>
      <c r="BV32">
        <v>3910978</v>
      </c>
      <c r="BW32">
        <v>1175539.1200000001</v>
      </c>
      <c r="BX32">
        <v>2256441.25</v>
      </c>
      <c r="BY32">
        <v>1687686.5</v>
      </c>
      <c r="BZ32">
        <v>1400491.5</v>
      </c>
      <c r="CA32">
        <v>1552584</v>
      </c>
      <c r="CB32">
        <v>1341172.1200000001</v>
      </c>
      <c r="CC32">
        <v>335616.66</v>
      </c>
      <c r="CD32" s="17" t="s">
        <v>1125</v>
      </c>
      <c r="CE32" s="21">
        <v>4188004</v>
      </c>
      <c r="CF32" s="21">
        <v>4043698.75</v>
      </c>
      <c r="CG32" s="19">
        <v>3677929.5</v>
      </c>
      <c r="CH32" s="19">
        <v>3898782.75</v>
      </c>
      <c r="CI32" s="21">
        <v>2682721.5</v>
      </c>
      <c r="CJ32" s="21">
        <v>2133622.75</v>
      </c>
      <c r="CK32" s="19">
        <v>1648879.12</v>
      </c>
      <c r="CL32" s="19">
        <v>1316953</v>
      </c>
      <c r="CM32" s="21">
        <v>1785942.5</v>
      </c>
      <c r="CN32" s="21">
        <v>1471169.25</v>
      </c>
      <c r="CO32" s="19">
        <v>1427018.25</v>
      </c>
      <c r="CP32" s="19">
        <v>1291003.8799999999</v>
      </c>
      <c r="CQ32" s="21">
        <v>588484.18999999994</v>
      </c>
      <c r="CR32" s="21">
        <v>664746.62</v>
      </c>
      <c r="CS32" s="19">
        <v>1437500.75</v>
      </c>
      <c r="CT32" s="19">
        <v>1232621</v>
      </c>
      <c r="CU32" s="21">
        <v>1160122.1200000001</v>
      </c>
      <c r="CV32" s="21">
        <v>1132732.25</v>
      </c>
      <c r="CW32" s="19">
        <v>853217.94</v>
      </c>
      <c r="CX32" s="19">
        <v>438958.81</v>
      </c>
    </row>
    <row r="33" spans="1:102">
      <c r="A33">
        <v>31056</v>
      </c>
      <c r="B33" t="s">
        <v>500</v>
      </c>
      <c r="C33" t="s">
        <v>1126</v>
      </c>
      <c r="D33" t="s">
        <v>501</v>
      </c>
      <c r="F33" t="s">
        <v>502</v>
      </c>
      <c r="G33">
        <v>175.315</v>
      </c>
      <c r="H33" t="s">
        <v>104</v>
      </c>
      <c r="I33">
        <v>2</v>
      </c>
      <c r="J33">
        <v>3</v>
      </c>
      <c r="K33">
        <v>0</v>
      </c>
      <c r="L33">
        <v>0</v>
      </c>
      <c r="M33">
        <v>0</v>
      </c>
      <c r="N33">
        <v>-1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4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7</v>
      </c>
      <c r="AQ33">
        <v>6</v>
      </c>
      <c r="AR33">
        <v>2</v>
      </c>
      <c r="AS33">
        <v>6</v>
      </c>
      <c r="AT33">
        <v>7</v>
      </c>
      <c r="AU33">
        <v>9</v>
      </c>
      <c r="AV33">
        <v>8</v>
      </c>
      <c r="AW33">
        <v>7</v>
      </c>
      <c r="AX33">
        <v>7</v>
      </c>
      <c r="AY33">
        <v>5</v>
      </c>
      <c r="AZ33">
        <v>4</v>
      </c>
      <c r="BA33">
        <v>9</v>
      </c>
      <c r="BB33">
        <v>7</v>
      </c>
      <c r="BC33">
        <v>7</v>
      </c>
      <c r="BD33">
        <v>7</v>
      </c>
      <c r="BE33">
        <v>8</v>
      </c>
      <c r="BF33">
        <v>8</v>
      </c>
      <c r="BG33">
        <v>8</v>
      </c>
      <c r="BH33">
        <v>5</v>
      </c>
      <c r="BI33">
        <v>3</v>
      </c>
      <c r="BJ33">
        <v>14868271</v>
      </c>
      <c r="BK33">
        <v>18449002</v>
      </c>
      <c r="BL33">
        <v>1629975.12</v>
      </c>
      <c r="BM33">
        <v>5313006</v>
      </c>
      <c r="BN33">
        <v>25264604</v>
      </c>
      <c r="BO33">
        <v>24157804</v>
      </c>
      <c r="BP33">
        <v>19297530</v>
      </c>
      <c r="BQ33">
        <v>13494332</v>
      </c>
      <c r="BR33">
        <v>9334123</v>
      </c>
      <c r="BS33">
        <v>4600284</v>
      </c>
      <c r="BT33">
        <v>4607207.5</v>
      </c>
      <c r="BU33">
        <v>17597704</v>
      </c>
      <c r="BV33">
        <v>25761348</v>
      </c>
      <c r="BW33">
        <v>13409760</v>
      </c>
      <c r="BX33">
        <v>22667582</v>
      </c>
      <c r="BY33">
        <v>21388096</v>
      </c>
      <c r="BZ33">
        <v>15219599</v>
      </c>
      <c r="CA33">
        <v>17370602</v>
      </c>
      <c r="CB33">
        <v>7368337</v>
      </c>
      <c r="CC33">
        <v>3317976.75</v>
      </c>
      <c r="CD33" s="17" t="s">
        <v>1126</v>
      </c>
      <c r="CE33" s="21">
        <v>24106520</v>
      </c>
      <c r="CF33" s="21">
        <v>31087200</v>
      </c>
      <c r="CG33" s="19">
        <v>59860648</v>
      </c>
      <c r="CH33" s="19">
        <v>37411060</v>
      </c>
      <c r="CI33" s="21">
        <v>29145540</v>
      </c>
      <c r="CJ33" s="21">
        <v>36227732</v>
      </c>
      <c r="CK33" s="19">
        <v>24225708</v>
      </c>
      <c r="CL33" s="19">
        <v>21563796</v>
      </c>
      <c r="CM33" s="21">
        <v>14522498</v>
      </c>
      <c r="CN33" s="21">
        <v>12015888</v>
      </c>
      <c r="CO33" s="19">
        <v>16200322</v>
      </c>
      <c r="CP33" s="19">
        <v>20519224</v>
      </c>
      <c r="CQ33" s="21">
        <v>9334911</v>
      </c>
      <c r="CR33" s="21">
        <v>12409054</v>
      </c>
      <c r="CS33" s="19">
        <v>25250458</v>
      </c>
      <c r="CT33" s="19">
        <v>27376930</v>
      </c>
      <c r="CU33" s="21">
        <v>18478766</v>
      </c>
      <c r="CV33" s="21">
        <v>18977808</v>
      </c>
      <c r="CW33" s="19">
        <v>7280757</v>
      </c>
      <c r="CX33" s="19">
        <v>6409733</v>
      </c>
    </row>
    <row r="34" spans="1:102">
      <c r="A34">
        <v>31105</v>
      </c>
      <c r="B34" t="s">
        <v>742</v>
      </c>
      <c r="C34" t="s">
        <v>1127</v>
      </c>
      <c r="D34" t="s">
        <v>743</v>
      </c>
      <c r="F34" t="s">
        <v>744</v>
      </c>
      <c r="G34">
        <v>21.1</v>
      </c>
      <c r="H34" t="s">
        <v>104</v>
      </c>
      <c r="I34">
        <v>2</v>
      </c>
      <c r="J34">
        <v>2</v>
      </c>
      <c r="K34">
        <v>0</v>
      </c>
      <c r="L34">
        <v>0</v>
      </c>
      <c r="M34">
        <v>0</v>
      </c>
      <c r="N34">
        <v>-1</v>
      </c>
      <c r="O34">
        <v>2</v>
      </c>
      <c r="P34">
        <v>2</v>
      </c>
      <c r="Q34">
        <v>2</v>
      </c>
      <c r="R34">
        <v>2</v>
      </c>
      <c r="S34">
        <v>2</v>
      </c>
      <c r="T34">
        <v>2</v>
      </c>
      <c r="U34">
        <v>2</v>
      </c>
      <c r="V34">
        <v>1</v>
      </c>
      <c r="W34">
        <v>2</v>
      </c>
      <c r="Y34">
        <v>2</v>
      </c>
      <c r="Z34">
        <v>1</v>
      </c>
      <c r="AA34">
        <v>2</v>
      </c>
      <c r="AB34">
        <v>2</v>
      </c>
      <c r="AC34">
        <v>1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1</v>
      </c>
      <c r="AK34">
        <v>2</v>
      </c>
      <c r="AL34">
        <v>2</v>
      </c>
      <c r="AM34">
        <v>1</v>
      </c>
      <c r="AN34">
        <v>2</v>
      </c>
      <c r="AO34">
        <v>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2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1</v>
      </c>
      <c r="BG34">
        <v>0</v>
      </c>
      <c r="BH34">
        <v>0</v>
      </c>
      <c r="BI34">
        <v>0</v>
      </c>
      <c r="BJ34">
        <v>193678.05</v>
      </c>
      <c r="BK34">
        <v>1088903.1200000001</v>
      </c>
      <c r="BM34">
        <v>918875.75</v>
      </c>
      <c r="BN34">
        <v>541496.5</v>
      </c>
      <c r="BO34">
        <v>993802.69</v>
      </c>
      <c r="BP34">
        <v>1117635</v>
      </c>
      <c r="BQ34">
        <v>402509.69</v>
      </c>
      <c r="BR34">
        <v>1010559.12</v>
      </c>
      <c r="BS34">
        <v>676094.75</v>
      </c>
      <c r="BT34">
        <v>180532.97</v>
      </c>
      <c r="BU34">
        <v>796958.12</v>
      </c>
      <c r="BV34">
        <v>444352.06</v>
      </c>
      <c r="BW34">
        <v>1756478.25</v>
      </c>
      <c r="BX34">
        <v>425107.78</v>
      </c>
      <c r="BY34">
        <v>719150.94</v>
      </c>
      <c r="BZ34">
        <v>508912.38</v>
      </c>
      <c r="CA34">
        <v>410752.88</v>
      </c>
      <c r="CB34">
        <v>672166.5</v>
      </c>
      <c r="CC34">
        <v>903066.62</v>
      </c>
      <c r="CD34" s="17" t="s">
        <v>1127</v>
      </c>
      <c r="CE34" s="21">
        <v>25606.71</v>
      </c>
      <c r="CF34" s="21">
        <v>684405.62</v>
      </c>
      <c r="CG34" s="19">
        <v>1861110.38</v>
      </c>
      <c r="CH34" s="19">
        <v>529656.38</v>
      </c>
      <c r="CI34" s="21">
        <v>145528.64000000001</v>
      </c>
      <c r="CJ34" s="21">
        <v>260593.72</v>
      </c>
      <c r="CK34" s="19">
        <v>837465.94</v>
      </c>
      <c r="CL34" s="19">
        <v>434376.06</v>
      </c>
      <c r="CM34" s="21">
        <v>1158682.8799999999</v>
      </c>
      <c r="CN34" s="21">
        <v>734128.94</v>
      </c>
      <c r="CO34" s="19">
        <v>590005.81000000006</v>
      </c>
      <c r="CP34" s="19">
        <v>531621.68999999994</v>
      </c>
      <c r="CQ34" s="21">
        <v>911705.81</v>
      </c>
      <c r="CR34" s="21">
        <v>1082037.75</v>
      </c>
      <c r="CS34" s="19">
        <v>630706.12</v>
      </c>
      <c r="CT34" s="19">
        <v>589482.5</v>
      </c>
      <c r="CU34" s="21">
        <v>142758.39000000001</v>
      </c>
      <c r="CV34" s="21">
        <v>196073.84</v>
      </c>
      <c r="CW34" s="19">
        <v>620161.68999999994</v>
      </c>
      <c r="CX34" s="19">
        <v>1491277.88</v>
      </c>
    </row>
    <row r="35" spans="1:102">
      <c r="A35">
        <v>31077</v>
      </c>
      <c r="B35" t="s">
        <v>764</v>
      </c>
      <c r="C35" t="s">
        <v>1128</v>
      </c>
      <c r="D35" t="s">
        <v>765</v>
      </c>
      <c r="F35" t="s">
        <v>766</v>
      </c>
      <c r="G35">
        <v>12.303000000000001</v>
      </c>
      <c r="H35" t="s">
        <v>104</v>
      </c>
      <c r="I35">
        <v>2</v>
      </c>
      <c r="J35">
        <v>3</v>
      </c>
      <c r="K35">
        <v>0</v>
      </c>
      <c r="L35">
        <v>0</v>
      </c>
      <c r="M35">
        <v>0</v>
      </c>
      <c r="N35">
        <v>-1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1</v>
      </c>
      <c r="BF35">
        <v>0</v>
      </c>
      <c r="BG35">
        <v>0</v>
      </c>
      <c r="BH35">
        <v>0</v>
      </c>
      <c r="BI35">
        <v>0</v>
      </c>
      <c r="BJ35">
        <v>560747.25</v>
      </c>
      <c r="BK35">
        <v>294655.96999999997</v>
      </c>
      <c r="BM35">
        <v>87663.23</v>
      </c>
      <c r="BN35">
        <v>744999.5</v>
      </c>
      <c r="BO35">
        <v>777135.81</v>
      </c>
      <c r="BP35">
        <v>561201.43999999994</v>
      </c>
      <c r="BQ35">
        <v>303230.90999999997</v>
      </c>
      <c r="BR35">
        <v>183356.19</v>
      </c>
      <c r="BT35">
        <v>123218.15</v>
      </c>
      <c r="BU35">
        <v>558413.38</v>
      </c>
      <c r="BV35">
        <v>845156.06</v>
      </c>
      <c r="BW35">
        <v>151175.82999999999</v>
      </c>
      <c r="BX35">
        <v>495959.19</v>
      </c>
      <c r="BY35">
        <v>677222.62</v>
      </c>
      <c r="BZ35">
        <v>525147.18999999994</v>
      </c>
      <c r="CA35">
        <v>343088.06</v>
      </c>
      <c r="CB35">
        <v>158705.94</v>
      </c>
      <c r="CC35">
        <v>42841.89</v>
      </c>
      <c r="CD35" s="17" t="s">
        <v>1128</v>
      </c>
      <c r="CE35" s="21">
        <v>560747.25</v>
      </c>
      <c r="CF35" s="21">
        <v>436494.69</v>
      </c>
      <c r="CG35" s="19">
        <v>1861110.38</v>
      </c>
      <c r="CH35" s="19">
        <v>842520.69</v>
      </c>
      <c r="CI35" s="21">
        <v>543210.43999999994</v>
      </c>
      <c r="CJ35" s="21">
        <v>468964.06</v>
      </c>
      <c r="CK35" s="19">
        <v>407337.72</v>
      </c>
      <c r="CL35" s="19">
        <v>493822.47</v>
      </c>
      <c r="CM35" s="21">
        <v>175887.53</v>
      </c>
      <c r="CN35" s="21">
        <v>174088.98</v>
      </c>
      <c r="CO35" s="19">
        <v>159193.53</v>
      </c>
      <c r="CP35" s="19">
        <v>385598.25</v>
      </c>
      <c r="CQ35" s="21">
        <v>90862.21</v>
      </c>
      <c r="CR35" s="21">
        <v>85487.27</v>
      </c>
      <c r="CS35" s="19">
        <v>469266.62</v>
      </c>
      <c r="CT35" s="19">
        <v>494617.25</v>
      </c>
      <c r="CU35" s="21">
        <v>246641.09</v>
      </c>
      <c r="CV35" s="21">
        <v>250309.75</v>
      </c>
      <c r="CW35" s="19">
        <v>200247.95</v>
      </c>
      <c r="CX35" s="19">
        <v>56033.64</v>
      </c>
    </row>
    <row r="36" spans="1:102">
      <c r="A36">
        <v>31048</v>
      </c>
      <c r="B36" t="s">
        <v>679</v>
      </c>
      <c r="C36" t="s">
        <v>1129</v>
      </c>
      <c r="D36" t="s">
        <v>680</v>
      </c>
      <c r="F36" t="s">
        <v>681</v>
      </c>
      <c r="G36">
        <v>36.924999999999997</v>
      </c>
      <c r="H36" t="s">
        <v>104</v>
      </c>
      <c r="I36">
        <v>2</v>
      </c>
      <c r="J36">
        <v>3</v>
      </c>
      <c r="K36">
        <v>0</v>
      </c>
      <c r="L36">
        <v>0</v>
      </c>
      <c r="M36">
        <v>0</v>
      </c>
      <c r="N36">
        <v>-1</v>
      </c>
      <c r="O36">
        <v>2</v>
      </c>
      <c r="P36">
        <v>2</v>
      </c>
      <c r="Q36">
        <v>2</v>
      </c>
      <c r="R36">
        <v>2</v>
      </c>
      <c r="S36">
        <v>2</v>
      </c>
      <c r="T36">
        <v>2</v>
      </c>
      <c r="U36">
        <v>2</v>
      </c>
      <c r="V36">
        <v>2</v>
      </c>
      <c r="W36">
        <v>2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2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  <c r="BJ36">
        <v>973270.12</v>
      </c>
      <c r="BK36">
        <v>1594818.5</v>
      </c>
      <c r="BM36">
        <v>2254954.5</v>
      </c>
      <c r="BN36">
        <v>1346930</v>
      </c>
      <c r="BO36">
        <v>1583482.75</v>
      </c>
      <c r="BP36">
        <v>1388095.5</v>
      </c>
      <c r="BQ36">
        <v>731717.94</v>
      </c>
      <c r="BR36">
        <v>1226048.1200000001</v>
      </c>
      <c r="BS36">
        <v>1274121</v>
      </c>
      <c r="BT36">
        <v>337518.25</v>
      </c>
      <c r="BU36">
        <v>1348556.12</v>
      </c>
      <c r="BV36">
        <v>685913.25</v>
      </c>
      <c r="BW36">
        <v>1732686.25</v>
      </c>
      <c r="BX36">
        <v>820958.25</v>
      </c>
      <c r="BY36">
        <v>1101645.6200000001</v>
      </c>
      <c r="BZ36">
        <v>994364.5</v>
      </c>
      <c r="CA36">
        <v>649319.12</v>
      </c>
      <c r="CB36">
        <v>1064088</v>
      </c>
      <c r="CC36">
        <v>713455.75</v>
      </c>
      <c r="CD36" s="17" t="s">
        <v>1129</v>
      </c>
      <c r="CE36" s="21">
        <v>1002115.12</v>
      </c>
      <c r="CF36" s="21">
        <v>1073425.3799999999</v>
      </c>
      <c r="CG36" s="19">
        <v>1861110.38</v>
      </c>
      <c r="CH36" s="19">
        <v>707363</v>
      </c>
      <c r="CI36" s="21">
        <v>767418.25</v>
      </c>
      <c r="CJ36" s="21">
        <v>860372.12</v>
      </c>
      <c r="CK36" s="19">
        <v>1037818.44</v>
      </c>
      <c r="CL36" s="19">
        <v>991804.31</v>
      </c>
      <c r="CM36" s="21">
        <v>1236115.75</v>
      </c>
      <c r="CN36" s="21">
        <v>1312826.25</v>
      </c>
      <c r="CO36" s="19">
        <v>896501.88</v>
      </c>
      <c r="CP36" s="19">
        <v>931885.31</v>
      </c>
      <c r="CQ36" s="21">
        <v>1806682.12</v>
      </c>
      <c r="CR36" s="21">
        <v>1043980.06</v>
      </c>
      <c r="CS36" s="19">
        <v>998626.44</v>
      </c>
      <c r="CT36" s="19">
        <v>859068.38</v>
      </c>
      <c r="CU36" s="21">
        <v>628243.56000000006</v>
      </c>
      <c r="CV36" s="21">
        <v>494034.25</v>
      </c>
      <c r="CW36" s="19">
        <v>1082903.1200000001</v>
      </c>
      <c r="CX36" s="19">
        <v>1198703.75</v>
      </c>
    </row>
    <row r="37" spans="1:102">
      <c r="A37">
        <v>30927</v>
      </c>
      <c r="B37" t="s">
        <v>644</v>
      </c>
      <c r="C37" t="s">
        <v>1130</v>
      </c>
      <c r="D37" t="s">
        <v>645</v>
      </c>
      <c r="E37" t="s">
        <v>646</v>
      </c>
      <c r="F37" t="s">
        <v>647</v>
      </c>
      <c r="G37">
        <v>46.597000000000001</v>
      </c>
      <c r="H37" t="s">
        <v>104</v>
      </c>
      <c r="I37">
        <v>2</v>
      </c>
      <c r="J37">
        <v>16</v>
      </c>
      <c r="K37">
        <v>3</v>
      </c>
      <c r="L37">
        <v>0</v>
      </c>
      <c r="M37">
        <v>0</v>
      </c>
      <c r="N37">
        <v>-1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3</v>
      </c>
      <c r="W37">
        <v>4</v>
      </c>
      <c r="X37">
        <v>1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>
        <v>4</v>
      </c>
      <c r="AP37">
        <v>0</v>
      </c>
      <c r="AQ37">
        <v>4</v>
      </c>
      <c r="AR37">
        <v>0</v>
      </c>
      <c r="AS37">
        <v>2</v>
      </c>
      <c r="AT37">
        <v>3</v>
      </c>
      <c r="AU37">
        <v>4</v>
      </c>
      <c r="AV37">
        <v>3</v>
      </c>
      <c r="AW37">
        <v>2</v>
      </c>
      <c r="AX37">
        <v>3</v>
      </c>
      <c r="AY37">
        <v>4</v>
      </c>
      <c r="AZ37">
        <v>0</v>
      </c>
      <c r="BA37">
        <v>3</v>
      </c>
      <c r="BB37">
        <v>3</v>
      </c>
      <c r="BC37">
        <v>5</v>
      </c>
      <c r="BD37">
        <v>1</v>
      </c>
      <c r="BE37">
        <v>3</v>
      </c>
      <c r="BF37">
        <v>3</v>
      </c>
      <c r="BG37">
        <v>2</v>
      </c>
      <c r="BH37">
        <v>2</v>
      </c>
      <c r="BI37">
        <v>1</v>
      </c>
      <c r="BJ37">
        <v>1397646.25</v>
      </c>
      <c r="BK37">
        <v>4083895.5</v>
      </c>
      <c r="BL37">
        <v>9344.1299999999992</v>
      </c>
      <c r="BM37">
        <v>2252820.5</v>
      </c>
      <c r="BN37">
        <v>3300340.75</v>
      </c>
      <c r="BO37">
        <v>2924546</v>
      </c>
      <c r="BP37">
        <v>2481698.5</v>
      </c>
      <c r="BQ37">
        <v>3322359.75</v>
      </c>
      <c r="BR37">
        <v>2259498.5</v>
      </c>
      <c r="BS37">
        <v>2465132.75</v>
      </c>
      <c r="BT37">
        <v>594292</v>
      </c>
      <c r="BU37">
        <v>3728682.5</v>
      </c>
      <c r="BV37">
        <v>2662979</v>
      </c>
      <c r="BW37">
        <v>3566482</v>
      </c>
      <c r="BX37">
        <v>3007345</v>
      </c>
      <c r="BY37">
        <v>4050389.75</v>
      </c>
      <c r="BZ37">
        <v>2041882</v>
      </c>
      <c r="CA37">
        <v>2994457.75</v>
      </c>
      <c r="CB37">
        <v>1171871.5</v>
      </c>
      <c r="CC37">
        <v>1077454.5</v>
      </c>
      <c r="CD37" s="17" t="s">
        <v>1130</v>
      </c>
      <c r="CE37" s="21">
        <v>1178296.5</v>
      </c>
      <c r="CF37" s="21">
        <v>1894843.25</v>
      </c>
      <c r="CG37" s="19">
        <v>2119680.25</v>
      </c>
      <c r="CH37" s="19">
        <v>2096198.12</v>
      </c>
      <c r="CI37" s="21">
        <v>1826438.38</v>
      </c>
      <c r="CJ37" s="21">
        <v>2268490.5</v>
      </c>
      <c r="CK37" s="19">
        <v>1997862.25</v>
      </c>
      <c r="CL37" s="19">
        <v>2152104</v>
      </c>
      <c r="CM37" s="21">
        <v>2537898.25</v>
      </c>
      <c r="CN37" s="21">
        <v>1506730.5</v>
      </c>
      <c r="CO37" s="19">
        <v>2372878.75</v>
      </c>
      <c r="CP37" s="19">
        <v>2250645.75</v>
      </c>
      <c r="CQ37" s="21">
        <v>2712283.5</v>
      </c>
      <c r="CR37" s="21">
        <v>2406117.5</v>
      </c>
      <c r="CS37" s="19">
        <v>2046634.12</v>
      </c>
      <c r="CT37" s="19">
        <v>2466413</v>
      </c>
      <c r="CU37" s="21">
        <v>2301277.25</v>
      </c>
      <c r="CV37" s="21">
        <v>1644896.62</v>
      </c>
      <c r="CW37" s="19">
        <v>2416785</v>
      </c>
      <c r="CX37" s="19">
        <v>1523018</v>
      </c>
    </row>
    <row r="38" spans="1:102">
      <c r="A38">
        <v>31061</v>
      </c>
      <c r="B38" t="s">
        <v>513</v>
      </c>
      <c r="C38" t="s">
        <v>1131</v>
      </c>
      <c r="D38" t="s">
        <v>514</v>
      </c>
      <c r="F38" t="s">
        <v>515</v>
      </c>
      <c r="G38">
        <v>171.922</v>
      </c>
      <c r="H38" t="s">
        <v>104</v>
      </c>
      <c r="I38">
        <v>2</v>
      </c>
      <c r="J38">
        <v>9</v>
      </c>
      <c r="K38">
        <v>0</v>
      </c>
      <c r="L38">
        <v>0</v>
      </c>
      <c r="M38">
        <v>0</v>
      </c>
      <c r="N38">
        <v>-1</v>
      </c>
      <c r="O38">
        <v>10</v>
      </c>
      <c r="P38">
        <v>10</v>
      </c>
      <c r="Q38">
        <v>10</v>
      </c>
      <c r="R38">
        <v>10</v>
      </c>
      <c r="S38">
        <v>10</v>
      </c>
      <c r="T38">
        <v>10</v>
      </c>
      <c r="U38">
        <v>10</v>
      </c>
      <c r="V38">
        <v>6</v>
      </c>
      <c r="W38">
        <v>8</v>
      </c>
      <c r="X38">
        <v>3</v>
      </c>
      <c r="Y38">
        <v>9</v>
      </c>
      <c r="Z38">
        <v>9</v>
      </c>
      <c r="AA38">
        <v>9</v>
      </c>
      <c r="AB38">
        <v>10</v>
      </c>
      <c r="AC38">
        <v>10</v>
      </c>
      <c r="AD38">
        <v>10</v>
      </c>
      <c r="AE38">
        <v>9</v>
      </c>
      <c r="AF38">
        <v>9</v>
      </c>
      <c r="AG38">
        <v>10</v>
      </c>
      <c r="AH38">
        <v>9</v>
      </c>
      <c r="AI38">
        <v>10</v>
      </c>
      <c r="AJ38">
        <v>9</v>
      </c>
      <c r="AK38">
        <v>9</v>
      </c>
      <c r="AL38">
        <v>9</v>
      </c>
      <c r="AM38">
        <v>8</v>
      </c>
      <c r="AN38">
        <v>10</v>
      </c>
      <c r="AO38">
        <v>9</v>
      </c>
      <c r="AP38">
        <v>1</v>
      </c>
      <c r="AQ38">
        <v>2</v>
      </c>
      <c r="AR38">
        <v>0</v>
      </c>
      <c r="AS38">
        <v>5</v>
      </c>
      <c r="AT38">
        <v>3</v>
      </c>
      <c r="AU38">
        <v>7</v>
      </c>
      <c r="AV38">
        <v>5</v>
      </c>
      <c r="AW38">
        <v>2</v>
      </c>
      <c r="AX38">
        <v>8</v>
      </c>
      <c r="AY38">
        <v>6</v>
      </c>
      <c r="AZ38">
        <v>1</v>
      </c>
      <c r="BA38">
        <v>2</v>
      </c>
      <c r="BB38">
        <v>2</v>
      </c>
      <c r="BC38">
        <v>8</v>
      </c>
      <c r="BD38">
        <v>2</v>
      </c>
      <c r="BE38">
        <v>7</v>
      </c>
      <c r="BF38">
        <v>2</v>
      </c>
      <c r="BG38">
        <v>1</v>
      </c>
      <c r="BH38">
        <v>3</v>
      </c>
      <c r="BI38">
        <v>4</v>
      </c>
      <c r="BJ38">
        <v>5086491</v>
      </c>
      <c r="BK38">
        <v>11209330</v>
      </c>
      <c r="BL38">
        <v>294868.69</v>
      </c>
      <c r="BM38">
        <v>7067556</v>
      </c>
      <c r="BN38">
        <v>6806156.5</v>
      </c>
      <c r="BO38">
        <v>11655054</v>
      </c>
      <c r="BP38">
        <v>13228882</v>
      </c>
      <c r="BQ38">
        <v>6306745.5</v>
      </c>
      <c r="BR38">
        <v>10650553</v>
      </c>
      <c r="BS38">
        <v>12973243</v>
      </c>
      <c r="BT38">
        <v>1485574.88</v>
      </c>
      <c r="BU38">
        <v>8416502</v>
      </c>
      <c r="BV38">
        <v>4978951</v>
      </c>
      <c r="BW38">
        <v>18382088</v>
      </c>
      <c r="BX38">
        <v>5639520.5</v>
      </c>
      <c r="BY38">
        <v>9926526</v>
      </c>
      <c r="BZ38">
        <v>5764097</v>
      </c>
      <c r="CA38">
        <v>5525323.5</v>
      </c>
      <c r="CB38">
        <v>7398905</v>
      </c>
      <c r="CC38">
        <v>8809103</v>
      </c>
      <c r="CD38" s="17" t="s">
        <v>1131</v>
      </c>
      <c r="CE38" s="21">
        <v>5258219</v>
      </c>
      <c r="CF38" s="21">
        <v>8262993</v>
      </c>
      <c r="CG38" s="19">
        <v>31202760</v>
      </c>
      <c r="CH38" s="19">
        <v>7522056.5</v>
      </c>
      <c r="CI38" s="21">
        <v>7271311</v>
      </c>
      <c r="CJ38" s="21">
        <v>7332270</v>
      </c>
      <c r="CK38" s="19">
        <v>13905252</v>
      </c>
      <c r="CL38" s="19">
        <v>7724504</v>
      </c>
      <c r="CM38" s="21">
        <v>15200696</v>
      </c>
      <c r="CN38" s="21">
        <v>13785181</v>
      </c>
      <c r="CO38" s="19">
        <v>6905412</v>
      </c>
      <c r="CP38" s="19">
        <v>9162821</v>
      </c>
      <c r="CQ38" s="21">
        <v>10198681</v>
      </c>
      <c r="CR38" s="21">
        <v>15508967</v>
      </c>
      <c r="CS38" s="19">
        <v>9805592</v>
      </c>
      <c r="CT38" s="19">
        <v>10375120</v>
      </c>
      <c r="CU38" s="21">
        <v>8279015.5</v>
      </c>
      <c r="CV38" s="21">
        <v>5459566.5</v>
      </c>
      <c r="CW38" s="19">
        <v>14107752</v>
      </c>
      <c r="CX38" s="19">
        <v>16403793</v>
      </c>
    </row>
    <row r="39" spans="1:102">
      <c r="A39">
        <v>31125</v>
      </c>
      <c r="B39" t="s">
        <v>574</v>
      </c>
      <c r="C39" t="s">
        <v>1132</v>
      </c>
      <c r="D39" t="s">
        <v>574</v>
      </c>
      <c r="F39" t="s">
        <v>575</v>
      </c>
      <c r="G39">
        <v>111.066</v>
      </c>
      <c r="H39" t="s">
        <v>104</v>
      </c>
      <c r="I39">
        <v>2</v>
      </c>
      <c r="J39">
        <v>1</v>
      </c>
      <c r="K39">
        <v>0</v>
      </c>
      <c r="L39">
        <v>0</v>
      </c>
      <c r="M39">
        <v>0</v>
      </c>
      <c r="N39">
        <v>-1</v>
      </c>
      <c r="O39">
        <v>9</v>
      </c>
      <c r="P39">
        <v>9</v>
      </c>
      <c r="Q39">
        <v>9</v>
      </c>
      <c r="R39">
        <v>9</v>
      </c>
      <c r="S39">
        <v>9</v>
      </c>
      <c r="T39">
        <v>9</v>
      </c>
      <c r="U39">
        <v>9</v>
      </c>
      <c r="V39">
        <v>7</v>
      </c>
      <c r="W39">
        <v>9</v>
      </c>
      <c r="Y39">
        <v>9</v>
      </c>
      <c r="Z39">
        <v>8</v>
      </c>
      <c r="AA39">
        <v>8</v>
      </c>
      <c r="AB39">
        <v>8</v>
      </c>
      <c r="AC39">
        <v>8</v>
      </c>
      <c r="AD39">
        <v>9</v>
      </c>
      <c r="AE39">
        <v>9</v>
      </c>
      <c r="AF39">
        <v>7</v>
      </c>
      <c r="AG39">
        <v>9</v>
      </c>
      <c r="AH39">
        <v>8</v>
      </c>
      <c r="AI39">
        <v>9</v>
      </c>
      <c r="AJ39">
        <v>8</v>
      </c>
      <c r="AK39">
        <v>9</v>
      </c>
      <c r="AL39">
        <v>9</v>
      </c>
      <c r="AM39">
        <v>8</v>
      </c>
      <c r="AN39">
        <v>9</v>
      </c>
      <c r="AO39">
        <v>9</v>
      </c>
      <c r="AP39">
        <v>2</v>
      </c>
      <c r="AQ39">
        <v>5</v>
      </c>
      <c r="AR39">
        <v>0</v>
      </c>
      <c r="AS39">
        <v>5</v>
      </c>
      <c r="AT39">
        <v>4</v>
      </c>
      <c r="AU39">
        <v>5</v>
      </c>
      <c r="AV39">
        <v>5</v>
      </c>
      <c r="AW39">
        <v>2</v>
      </c>
      <c r="AX39">
        <v>9</v>
      </c>
      <c r="AY39">
        <v>5</v>
      </c>
      <c r="AZ39">
        <v>0</v>
      </c>
      <c r="BA39">
        <v>4</v>
      </c>
      <c r="BB39">
        <v>0</v>
      </c>
      <c r="BC39">
        <v>6</v>
      </c>
      <c r="BD39">
        <v>2</v>
      </c>
      <c r="BE39">
        <v>4</v>
      </c>
      <c r="BF39">
        <v>5</v>
      </c>
      <c r="BG39">
        <v>2</v>
      </c>
      <c r="BH39">
        <v>7</v>
      </c>
      <c r="BI39">
        <v>3</v>
      </c>
      <c r="BJ39">
        <v>3026299.5</v>
      </c>
      <c r="BK39">
        <v>6714801</v>
      </c>
      <c r="BM39">
        <v>5116690</v>
      </c>
      <c r="BN39">
        <v>4443069</v>
      </c>
      <c r="BO39">
        <v>6229781</v>
      </c>
      <c r="BP39">
        <v>6371900</v>
      </c>
      <c r="BQ39">
        <v>3281296.5</v>
      </c>
      <c r="BR39">
        <v>6892988</v>
      </c>
      <c r="BS39">
        <v>4742680.5</v>
      </c>
      <c r="BT39">
        <v>750987.12</v>
      </c>
      <c r="BU39">
        <v>4667553.5</v>
      </c>
      <c r="BV39">
        <v>2614932.5</v>
      </c>
      <c r="BW39">
        <v>7693163</v>
      </c>
      <c r="BX39">
        <v>3048080</v>
      </c>
      <c r="BY39">
        <v>4410962</v>
      </c>
      <c r="BZ39">
        <v>4567312.5</v>
      </c>
      <c r="CA39">
        <v>2359668.25</v>
      </c>
      <c r="CB39">
        <v>3949473.25</v>
      </c>
      <c r="CC39">
        <v>2258661.25</v>
      </c>
      <c r="CD39" s="17" t="s">
        <v>1132</v>
      </c>
      <c r="CE39" s="21">
        <v>3435759.25</v>
      </c>
      <c r="CF39" s="21">
        <v>2483200.5</v>
      </c>
      <c r="CG39" s="19">
        <v>1861110.38</v>
      </c>
      <c r="CH39" s="19">
        <v>2614859</v>
      </c>
      <c r="CI39" s="21">
        <v>3231720.25</v>
      </c>
      <c r="CJ39" s="21">
        <v>2844464.5</v>
      </c>
      <c r="CK39" s="19">
        <v>4610226.5</v>
      </c>
      <c r="CL39" s="19">
        <v>4180550.75</v>
      </c>
      <c r="CM39" s="21">
        <v>6133181</v>
      </c>
      <c r="CN39" s="21">
        <v>4410048</v>
      </c>
      <c r="CO39" s="19">
        <v>3690243.75</v>
      </c>
      <c r="CP39" s="19">
        <v>3215054.25</v>
      </c>
      <c r="CQ39" s="21">
        <v>5442150.5</v>
      </c>
      <c r="CR39" s="21">
        <v>4428548</v>
      </c>
      <c r="CS39" s="19">
        <v>3753097.75</v>
      </c>
      <c r="CT39" s="19">
        <v>3410819.5</v>
      </c>
      <c r="CU39" s="21">
        <v>2518795.75</v>
      </c>
      <c r="CV39" s="21">
        <v>1595426.12</v>
      </c>
      <c r="CW39" s="19">
        <v>4140607.75</v>
      </c>
      <c r="CX39" s="19">
        <v>2887672.25</v>
      </c>
    </row>
    <row r="40" spans="1:102">
      <c r="A40">
        <v>31012</v>
      </c>
      <c r="B40" t="s">
        <v>620</v>
      </c>
      <c r="C40" t="s">
        <v>1133</v>
      </c>
      <c r="D40" t="s">
        <v>621</v>
      </c>
      <c r="F40" t="s">
        <v>622</v>
      </c>
      <c r="G40">
        <v>60.564999999999998</v>
      </c>
      <c r="H40" t="s">
        <v>104</v>
      </c>
      <c r="I40">
        <v>2</v>
      </c>
      <c r="J40">
        <v>20</v>
      </c>
      <c r="K40">
        <v>0</v>
      </c>
      <c r="L40">
        <v>0</v>
      </c>
      <c r="M40">
        <v>0</v>
      </c>
      <c r="N40">
        <v>-1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Y40">
        <v>4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4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4</v>
      </c>
      <c r="AN40">
        <v>5</v>
      </c>
      <c r="AO40">
        <v>5</v>
      </c>
      <c r="AP40">
        <v>4</v>
      </c>
      <c r="AQ40">
        <v>4</v>
      </c>
      <c r="AR40">
        <v>0</v>
      </c>
      <c r="AS40">
        <v>1</v>
      </c>
      <c r="AT40">
        <v>1</v>
      </c>
      <c r="AU40">
        <v>4</v>
      </c>
      <c r="AV40">
        <v>2</v>
      </c>
      <c r="AW40">
        <v>2</v>
      </c>
      <c r="AX40">
        <v>2</v>
      </c>
      <c r="AY40">
        <v>1</v>
      </c>
      <c r="AZ40">
        <v>1</v>
      </c>
      <c r="BA40">
        <v>4</v>
      </c>
      <c r="BB40">
        <v>4</v>
      </c>
      <c r="BC40">
        <v>1</v>
      </c>
      <c r="BD40">
        <v>2</v>
      </c>
      <c r="BE40">
        <v>5</v>
      </c>
      <c r="BF40">
        <v>1</v>
      </c>
      <c r="BG40">
        <v>2</v>
      </c>
      <c r="BH40">
        <v>3</v>
      </c>
      <c r="BI40">
        <v>1</v>
      </c>
      <c r="BJ40">
        <v>4401038</v>
      </c>
      <c r="BK40">
        <v>3930452.75</v>
      </c>
      <c r="BM40">
        <v>886871.81</v>
      </c>
      <c r="BN40">
        <v>4386820</v>
      </c>
      <c r="BO40">
        <v>4008947</v>
      </c>
      <c r="BP40">
        <v>3525736.5</v>
      </c>
      <c r="BQ40">
        <v>2899053.25</v>
      </c>
      <c r="BR40">
        <v>2718200.75</v>
      </c>
      <c r="BS40">
        <v>1532973.38</v>
      </c>
      <c r="BT40">
        <v>691175.56</v>
      </c>
      <c r="BU40">
        <v>3447689.25</v>
      </c>
      <c r="BV40">
        <v>5106287</v>
      </c>
      <c r="BW40">
        <v>1994474</v>
      </c>
      <c r="BX40">
        <v>3562347.75</v>
      </c>
      <c r="BY40">
        <v>3055831.75</v>
      </c>
      <c r="BZ40">
        <v>2687421</v>
      </c>
      <c r="CA40">
        <v>2453238</v>
      </c>
      <c r="CB40">
        <v>2152754</v>
      </c>
      <c r="CC40">
        <v>846421.75</v>
      </c>
      <c r="CD40" s="17" t="s">
        <v>1133</v>
      </c>
      <c r="CE40" s="21">
        <v>4347941.5</v>
      </c>
      <c r="CF40" s="21">
        <v>2506543</v>
      </c>
      <c r="CG40" s="19">
        <v>1861110.38</v>
      </c>
      <c r="CH40" s="19">
        <v>5029931.5</v>
      </c>
      <c r="CI40" s="21">
        <v>3156484.25</v>
      </c>
      <c r="CJ40" s="21">
        <v>3202970.25</v>
      </c>
      <c r="CK40" s="19">
        <v>2556799.5</v>
      </c>
      <c r="CL40" s="19">
        <v>2231469.75</v>
      </c>
      <c r="CM40" s="21">
        <v>2733727.5</v>
      </c>
      <c r="CN40" s="21">
        <v>2221458</v>
      </c>
      <c r="CO40" s="19">
        <v>2177472.25</v>
      </c>
      <c r="CP40" s="19">
        <v>2391667.5</v>
      </c>
      <c r="CQ40" s="21">
        <v>926129.12</v>
      </c>
      <c r="CR40" s="21">
        <v>1243621.25</v>
      </c>
      <c r="CS40" s="19">
        <v>2463917.75</v>
      </c>
      <c r="CT40" s="19">
        <v>2318903.75</v>
      </c>
      <c r="CU40" s="21">
        <v>2452538</v>
      </c>
      <c r="CV40" s="21">
        <v>1918438</v>
      </c>
      <c r="CW40" s="19">
        <v>1379560.25</v>
      </c>
      <c r="CX40" s="19">
        <v>1066691</v>
      </c>
    </row>
    <row r="41" spans="1:102">
      <c r="A41">
        <v>30999</v>
      </c>
      <c r="B41" t="s">
        <v>727</v>
      </c>
      <c r="C41" t="s">
        <v>1134</v>
      </c>
      <c r="D41" t="s">
        <v>728</v>
      </c>
      <c r="F41" t="s">
        <v>729</v>
      </c>
      <c r="G41">
        <v>23.917999999999999</v>
      </c>
      <c r="H41" t="s">
        <v>104</v>
      </c>
      <c r="I41">
        <v>2</v>
      </c>
      <c r="J41">
        <v>3</v>
      </c>
      <c r="K41">
        <v>0</v>
      </c>
      <c r="L41">
        <v>0</v>
      </c>
      <c r="M41">
        <v>0</v>
      </c>
      <c r="N41">
        <v>-1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0</v>
      </c>
      <c r="AT41">
        <v>1</v>
      </c>
      <c r="AU41">
        <v>1</v>
      </c>
      <c r="AV41">
        <v>1</v>
      </c>
      <c r="AW41">
        <v>1</v>
      </c>
      <c r="AX41">
        <v>0</v>
      </c>
      <c r="AY41">
        <v>0</v>
      </c>
      <c r="AZ41">
        <v>0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809148.25</v>
      </c>
      <c r="BK41">
        <v>1057689.25</v>
      </c>
      <c r="BM41">
        <v>259171.14</v>
      </c>
      <c r="BN41">
        <v>953833.19</v>
      </c>
      <c r="BO41">
        <v>1069380.6200000001</v>
      </c>
      <c r="BP41">
        <v>626225.18999999994</v>
      </c>
      <c r="BQ41">
        <v>594453.93999999994</v>
      </c>
      <c r="BR41">
        <v>342916.88</v>
      </c>
      <c r="BS41">
        <v>154611.59</v>
      </c>
      <c r="BT41">
        <v>198765.48</v>
      </c>
      <c r="BU41">
        <v>858428.56</v>
      </c>
      <c r="BV41">
        <v>557910</v>
      </c>
      <c r="BW41">
        <v>517586.62</v>
      </c>
      <c r="BX41">
        <v>695914.19</v>
      </c>
      <c r="BY41">
        <v>848602</v>
      </c>
      <c r="BZ41">
        <v>446704.25</v>
      </c>
      <c r="CA41">
        <v>663928.38</v>
      </c>
      <c r="CB41">
        <v>302148.65999999997</v>
      </c>
      <c r="CC41">
        <v>83145.19</v>
      </c>
      <c r="CD41" s="17" t="s">
        <v>1134</v>
      </c>
      <c r="CE41" s="21">
        <v>809148.25</v>
      </c>
      <c r="CF41" s="21">
        <v>704117.69</v>
      </c>
      <c r="CG41" s="19">
        <v>1861110.38</v>
      </c>
      <c r="CH41" s="19">
        <v>556170.31000000006</v>
      </c>
      <c r="CI41" s="21">
        <v>695479.88</v>
      </c>
      <c r="CJ41" s="21">
        <v>658035.5</v>
      </c>
      <c r="CK41" s="19">
        <v>454534</v>
      </c>
      <c r="CL41" s="19">
        <v>420058.59</v>
      </c>
      <c r="CM41" s="21">
        <v>328948.84000000003</v>
      </c>
      <c r="CN41" s="21">
        <v>331435.31</v>
      </c>
      <c r="CO41" s="19">
        <v>571436.81000000006</v>
      </c>
      <c r="CP41" s="19">
        <v>592766.18999999994</v>
      </c>
      <c r="CQ41" s="21">
        <v>268628.75</v>
      </c>
      <c r="CR41" s="21">
        <v>292686.12</v>
      </c>
      <c r="CS41" s="19">
        <v>645736.06000000006</v>
      </c>
      <c r="CT41" s="19">
        <v>619786.12</v>
      </c>
      <c r="CU41" s="21">
        <v>483515.28</v>
      </c>
      <c r="CV41" s="21">
        <v>484388.03</v>
      </c>
      <c r="CW41" s="19">
        <v>130754.7</v>
      </c>
      <c r="CX41" s="19">
        <v>108747.02</v>
      </c>
    </row>
    <row r="42" spans="1:102">
      <c r="A42">
        <v>31052</v>
      </c>
      <c r="B42" t="s">
        <v>105</v>
      </c>
      <c r="C42" t="s">
        <v>1135</v>
      </c>
      <c r="D42" t="s">
        <v>106</v>
      </c>
      <c r="E42" t="s">
        <v>107</v>
      </c>
      <c r="F42" t="s">
        <v>108</v>
      </c>
      <c r="G42">
        <v>2976.5929999999998</v>
      </c>
      <c r="H42" t="s">
        <v>104</v>
      </c>
      <c r="I42">
        <v>2</v>
      </c>
      <c r="J42">
        <v>20</v>
      </c>
      <c r="K42">
        <v>1</v>
      </c>
      <c r="L42">
        <v>0</v>
      </c>
      <c r="M42">
        <v>0</v>
      </c>
      <c r="N42">
        <v>-1</v>
      </c>
      <c r="O42">
        <v>64</v>
      </c>
      <c r="P42">
        <v>64</v>
      </c>
      <c r="Q42">
        <v>76</v>
      </c>
      <c r="R42">
        <v>76</v>
      </c>
      <c r="S42">
        <v>76</v>
      </c>
      <c r="T42">
        <v>76</v>
      </c>
      <c r="U42">
        <v>76</v>
      </c>
      <c r="V42">
        <v>60</v>
      </c>
      <c r="W42">
        <v>69</v>
      </c>
      <c r="X42">
        <v>55</v>
      </c>
      <c r="Y42">
        <v>74</v>
      </c>
      <c r="Z42">
        <v>73</v>
      </c>
      <c r="AA42">
        <v>72</v>
      </c>
      <c r="AB42">
        <v>73</v>
      </c>
      <c r="AC42">
        <v>70</v>
      </c>
      <c r="AD42">
        <v>76</v>
      </c>
      <c r="AE42">
        <v>76</v>
      </c>
      <c r="AF42">
        <v>74</v>
      </c>
      <c r="AG42">
        <v>75</v>
      </c>
      <c r="AH42">
        <v>75</v>
      </c>
      <c r="AI42">
        <v>76</v>
      </c>
      <c r="AJ42">
        <v>70</v>
      </c>
      <c r="AK42">
        <v>74</v>
      </c>
      <c r="AL42">
        <v>74</v>
      </c>
      <c r="AM42">
        <v>74</v>
      </c>
      <c r="AN42">
        <v>76</v>
      </c>
      <c r="AO42">
        <v>76</v>
      </c>
      <c r="AP42">
        <v>242</v>
      </c>
      <c r="AQ42">
        <v>231</v>
      </c>
      <c r="AR42">
        <v>22</v>
      </c>
      <c r="AS42">
        <v>210</v>
      </c>
      <c r="AT42">
        <v>132</v>
      </c>
      <c r="AU42">
        <v>216</v>
      </c>
      <c r="AV42">
        <v>173</v>
      </c>
      <c r="AW42">
        <v>114</v>
      </c>
      <c r="AX42">
        <v>214</v>
      </c>
      <c r="AY42">
        <v>216</v>
      </c>
      <c r="AZ42">
        <v>103</v>
      </c>
      <c r="BA42">
        <v>162</v>
      </c>
      <c r="BB42">
        <v>105</v>
      </c>
      <c r="BC42">
        <v>232</v>
      </c>
      <c r="BD42">
        <v>107</v>
      </c>
      <c r="BE42">
        <v>186</v>
      </c>
      <c r="BF42">
        <v>122</v>
      </c>
      <c r="BG42">
        <v>127</v>
      </c>
      <c r="BH42">
        <v>184</v>
      </c>
      <c r="BI42">
        <v>168</v>
      </c>
      <c r="BJ42">
        <v>1636583936</v>
      </c>
      <c r="BK42">
        <v>2955387136</v>
      </c>
      <c r="BL42">
        <v>200981376</v>
      </c>
      <c r="BM42">
        <v>2459207936</v>
      </c>
      <c r="BN42">
        <v>1789053696</v>
      </c>
      <c r="BO42">
        <v>3296034560</v>
      </c>
      <c r="BP42">
        <v>2824846848</v>
      </c>
      <c r="BQ42">
        <v>1617680128</v>
      </c>
      <c r="BR42">
        <v>2868861440</v>
      </c>
      <c r="BS42">
        <v>2821844736</v>
      </c>
      <c r="BT42">
        <v>443641152</v>
      </c>
      <c r="BU42">
        <v>2272920320</v>
      </c>
      <c r="BV42">
        <v>1240828288</v>
      </c>
      <c r="BW42">
        <v>4537196544</v>
      </c>
      <c r="BX42">
        <v>1369683328</v>
      </c>
      <c r="BY42">
        <v>2952653824</v>
      </c>
      <c r="BZ42">
        <v>1755225088</v>
      </c>
      <c r="CA42">
        <v>1806418176</v>
      </c>
      <c r="CB42">
        <v>2038192256</v>
      </c>
      <c r="CC42">
        <v>2171952128</v>
      </c>
      <c r="CD42" s="17" t="s">
        <v>1135</v>
      </c>
      <c r="CE42" s="21">
        <v>2522045952</v>
      </c>
      <c r="CF42" s="21">
        <v>2427444224</v>
      </c>
      <c r="CG42" s="19">
        <v>2481586688</v>
      </c>
      <c r="CH42" s="19">
        <v>2109169408</v>
      </c>
      <c r="CI42" s="21">
        <v>2034030976</v>
      </c>
      <c r="CJ42" s="21">
        <v>2165194752</v>
      </c>
      <c r="CK42" s="19">
        <v>3436663040</v>
      </c>
      <c r="CL42" s="19">
        <v>2769473792</v>
      </c>
      <c r="CM42" s="21">
        <v>4523711488</v>
      </c>
      <c r="CN42" s="21">
        <v>4086346240</v>
      </c>
      <c r="CO42" s="19">
        <v>2470503168</v>
      </c>
      <c r="CP42" s="19">
        <v>2761239040</v>
      </c>
      <c r="CQ42" s="21">
        <v>4370152960</v>
      </c>
      <c r="CR42" s="21">
        <v>4605462528</v>
      </c>
      <c r="CS42" s="19">
        <v>3234258944</v>
      </c>
      <c r="CT42" s="19">
        <v>3545898752</v>
      </c>
      <c r="CU42" s="21">
        <v>2230918144</v>
      </c>
      <c r="CV42" s="21">
        <v>2437506048</v>
      </c>
      <c r="CW42" s="19">
        <v>3991266816</v>
      </c>
      <c r="CX42" s="19">
        <v>5898643456</v>
      </c>
    </row>
    <row r="43" spans="1:102">
      <c r="A43">
        <v>30921</v>
      </c>
      <c r="B43" t="s">
        <v>140</v>
      </c>
      <c r="C43" t="s">
        <v>1136</v>
      </c>
      <c r="D43" t="s">
        <v>141</v>
      </c>
      <c r="F43" t="s">
        <v>142</v>
      </c>
      <c r="G43">
        <v>1476.6310000000001</v>
      </c>
      <c r="H43" t="s">
        <v>104</v>
      </c>
      <c r="I43">
        <v>2</v>
      </c>
      <c r="J43">
        <v>20</v>
      </c>
      <c r="K43">
        <v>0</v>
      </c>
      <c r="L43">
        <v>0</v>
      </c>
      <c r="M43">
        <v>0</v>
      </c>
      <c r="N43">
        <v>-1</v>
      </c>
      <c r="O43">
        <v>34</v>
      </c>
      <c r="P43">
        <v>34</v>
      </c>
      <c r="Q43">
        <v>39</v>
      </c>
      <c r="R43">
        <v>39</v>
      </c>
      <c r="S43">
        <v>39</v>
      </c>
      <c r="T43">
        <v>39</v>
      </c>
      <c r="U43">
        <v>39</v>
      </c>
      <c r="V43">
        <v>34</v>
      </c>
      <c r="W43">
        <v>36</v>
      </c>
      <c r="X43">
        <v>29</v>
      </c>
      <c r="Y43">
        <v>38</v>
      </c>
      <c r="Z43">
        <v>36</v>
      </c>
      <c r="AA43">
        <v>39</v>
      </c>
      <c r="AB43">
        <v>38</v>
      </c>
      <c r="AC43">
        <v>37</v>
      </c>
      <c r="AD43">
        <v>39</v>
      </c>
      <c r="AE43">
        <v>38</v>
      </c>
      <c r="AF43">
        <v>35</v>
      </c>
      <c r="AG43">
        <v>38</v>
      </c>
      <c r="AH43">
        <v>36</v>
      </c>
      <c r="AI43">
        <v>39</v>
      </c>
      <c r="AJ43">
        <v>39</v>
      </c>
      <c r="AK43">
        <v>38</v>
      </c>
      <c r="AL43">
        <v>38</v>
      </c>
      <c r="AM43">
        <v>38</v>
      </c>
      <c r="AN43">
        <v>39</v>
      </c>
      <c r="AO43">
        <v>39</v>
      </c>
      <c r="AP43">
        <v>118</v>
      </c>
      <c r="AQ43">
        <v>127</v>
      </c>
      <c r="AR43">
        <v>26</v>
      </c>
      <c r="AS43">
        <v>102</v>
      </c>
      <c r="AT43">
        <v>62</v>
      </c>
      <c r="AU43">
        <v>101</v>
      </c>
      <c r="AV43">
        <v>74</v>
      </c>
      <c r="AW43">
        <v>56</v>
      </c>
      <c r="AX43">
        <v>95</v>
      </c>
      <c r="AY43">
        <v>91</v>
      </c>
      <c r="AZ43">
        <v>43</v>
      </c>
      <c r="BA43">
        <v>75</v>
      </c>
      <c r="BB43">
        <v>47</v>
      </c>
      <c r="BC43">
        <v>110</v>
      </c>
      <c r="BD43">
        <v>52</v>
      </c>
      <c r="BE43">
        <v>76</v>
      </c>
      <c r="BF43">
        <v>58</v>
      </c>
      <c r="BG43">
        <v>66</v>
      </c>
      <c r="BH43">
        <v>85</v>
      </c>
      <c r="BI43">
        <v>77</v>
      </c>
      <c r="BJ43">
        <v>791351360</v>
      </c>
      <c r="BK43">
        <v>1365287168</v>
      </c>
      <c r="BL43">
        <v>12866697</v>
      </c>
      <c r="BM43">
        <v>1073359872</v>
      </c>
      <c r="BN43">
        <v>704607680</v>
      </c>
      <c r="BO43">
        <v>1295910400</v>
      </c>
      <c r="BP43">
        <v>1105613568</v>
      </c>
      <c r="BQ43">
        <v>747173888</v>
      </c>
      <c r="BR43">
        <v>1149541888</v>
      </c>
      <c r="BS43">
        <v>1144235136</v>
      </c>
      <c r="BT43">
        <v>175727728</v>
      </c>
      <c r="BU43">
        <v>1109153024</v>
      </c>
      <c r="BV43">
        <v>521331520</v>
      </c>
      <c r="BW43">
        <v>1987858816</v>
      </c>
      <c r="BX43">
        <v>595990720</v>
      </c>
      <c r="BY43">
        <v>1172869376</v>
      </c>
      <c r="BZ43">
        <v>790132096</v>
      </c>
      <c r="CA43">
        <v>1019493760</v>
      </c>
      <c r="CB43">
        <v>1043652544</v>
      </c>
      <c r="CC43">
        <v>883294208</v>
      </c>
      <c r="CD43" s="17" t="s">
        <v>1136</v>
      </c>
      <c r="CE43" s="21">
        <v>1050548352</v>
      </c>
      <c r="CF43" s="21">
        <v>686009600</v>
      </c>
      <c r="CG43" s="19">
        <v>992870016</v>
      </c>
      <c r="CH43" s="19">
        <v>603516992</v>
      </c>
      <c r="CI43" s="21">
        <v>601433728</v>
      </c>
      <c r="CJ43" s="21">
        <v>690074240</v>
      </c>
      <c r="CK43" s="19">
        <v>869523456</v>
      </c>
      <c r="CL43" s="19">
        <v>857670848</v>
      </c>
      <c r="CM43" s="21">
        <v>1246049152</v>
      </c>
      <c r="CN43" s="21">
        <v>1443085696</v>
      </c>
      <c r="CO43" s="19">
        <v>815276544</v>
      </c>
      <c r="CP43" s="19">
        <v>847632256</v>
      </c>
      <c r="CQ43" s="21">
        <v>1270794752</v>
      </c>
      <c r="CR43" s="21">
        <v>1264364928</v>
      </c>
      <c r="CS43" s="19">
        <v>935791488</v>
      </c>
      <c r="CT43" s="19">
        <v>913743040</v>
      </c>
      <c r="CU43" s="21">
        <v>677453952</v>
      </c>
      <c r="CV43" s="21">
        <v>890164352</v>
      </c>
      <c r="CW43" s="19">
        <v>1051528064</v>
      </c>
      <c r="CX43" s="19">
        <v>1516143232</v>
      </c>
    </row>
    <row r="44" spans="1:102">
      <c r="A44">
        <v>30922</v>
      </c>
      <c r="B44" t="s">
        <v>113</v>
      </c>
      <c r="C44" t="s">
        <v>1137</v>
      </c>
      <c r="D44" t="s">
        <v>114</v>
      </c>
      <c r="E44" t="s">
        <v>115</v>
      </c>
      <c r="F44" t="s">
        <v>116</v>
      </c>
      <c r="G44">
        <v>2287.9079999999999</v>
      </c>
      <c r="H44" t="s">
        <v>104</v>
      </c>
      <c r="I44">
        <v>2</v>
      </c>
      <c r="J44">
        <v>7</v>
      </c>
      <c r="K44">
        <v>9</v>
      </c>
      <c r="L44">
        <v>0</v>
      </c>
      <c r="M44">
        <v>0</v>
      </c>
      <c r="N44">
        <v>-1</v>
      </c>
      <c r="O44">
        <v>38</v>
      </c>
      <c r="P44">
        <v>38</v>
      </c>
      <c r="Q44">
        <v>50</v>
      </c>
      <c r="R44">
        <v>50</v>
      </c>
      <c r="S44">
        <v>50</v>
      </c>
      <c r="T44">
        <v>50</v>
      </c>
      <c r="U44">
        <v>50</v>
      </c>
      <c r="V44">
        <v>41</v>
      </c>
      <c r="W44">
        <v>45</v>
      </c>
      <c r="X44">
        <v>44</v>
      </c>
      <c r="Y44">
        <v>50</v>
      </c>
      <c r="Z44">
        <v>49</v>
      </c>
      <c r="AA44">
        <v>49</v>
      </c>
      <c r="AB44">
        <v>49</v>
      </c>
      <c r="AC44">
        <v>49</v>
      </c>
      <c r="AD44">
        <v>50</v>
      </c>
      <c r="AE44">
        <v>50</v>
      </c>
      <c r="AF44">
        <v>50</v>
      </c>
      <c r="AG44">
        <v>49</v>
      </c>
      <c r="AH44">
        <v>49</v>
      </c>
      <c r="AI44">
        <v>50</v>
      </c>
      <c r="AJ44">
        <v>50</v>
      </c>
      <c r="AK44">
        <v>50</v>
      </c>
      <c r="AL44">
        <v>49</v>
      </c>
      <c r="AM44">
        <v>50</v>
      </c>
      <c r="AN44">
        <v>50</v>
      </c>
      <c r="AO44">
        <v>49</v>
      </c>
      <c r="AP44">
        <v>326</v>
      </c>
      <c r="AQ44">
        <v>283</v>
      </c>
      <c r="AR44">
        <v>143</v>
      </c>
      <c r="AS44">
        <v>366</v>
      </c>
      <c r="AT44">
        <v>249</v>
      </c>
      <c r="AU44">
        <v>346</v>
      </c>
      <c r="AV44">
        <v>347</v>
      </c>
      <c r="AW44">
        <v>245</v>
      </c>
      <c r="AX44">
        <v>330</v>
      </c>
      <c r="AY44">
        <v>327</v>
      </c>
      <c r="AZ44">
        <v>200</v>
      </c>
      <c r="BA44">
        <v>261</v>
      </c>
      <c r="BB44">
        <v>187</v>
      </c>
      <c r="BC44">
        <v>398</v>
      </c>
      <c r="BD44">
        <v>215</v>
      </c>
      <c r="BE44">
        <v>296</v>
      </c>
      <c r="BF44">
        <v>218</v>
      </c>
      <c r="BG44">
        <v>191</v>
      </c>
      <c r="BH44">
        <v>240</v>
      </c>
      <c r="BI44">
        <v>229</v>
      </c>
      <c r="BJ44">
        <v>4038358016</v>
      </c>
      <c r="BK44">
        <v>6648982528</v>
      </c>
      <c r="BL44">
        <v>108487856</v>
      </c>
      <c r="BM44">
        <v>5410932224</v>
      </c>
      <c r="BN44">
        <v>4440069632</v>
      </c>
      <c r="BO44">
        <v>7455619584</v>
      </c>
      <c r="BP44">
        <v>6998557696</v>
      </c>
      <c r="BQ44">
        <v>4195613184</v>
      </c>
      <c r="BR44">
        <v>5742360576</v>
      </c>
      <c r="BS44">
        <v>5498242560</v>
      </c>
      <c r="BT44">
        <v>1270411136</v>
      </c>
      <c r="BU44">
        <v>4986344448</v>
      </c>
      <c r="BV44">
        <v>2833715456</v>
      </c>
      <c r="BW44">
        <v>10581468160</v>
      </c>
      <c r="BX44">
        <v>3375751936</v>
      </c>
      <c r="BY44">
        <v>6984832512</v>
      </c>
      <c r="BZ44">
        <v>4554723840</v>
      </c>
      <c r="CA44">
        <v>4192368896</v>
      </c>
      <c r="CB44">
        <v>4919057408</v>
      </c>
      <c r="CC44">
        <v>4412060160</v>
      </c>
      <c r="CD44" s="17" t="s">
        <v>1137</v>
      </c>
      <c r="CE44" s="21">
        <v>3429685504</v>
      </c>
      <c r="CF44" s="21">
        <v>5199313408</v>
      </c>
      <c r="CG44" s="19">
        <v>5014224896</v>
      </c>
      <c r="CH44" s="19">
        <v>3304758016</v>
      </c>
      <c r="CI44" s="21">
        <v>3717886976</v>
      </c>
      <c r="CJ44" s="21">
        <v>4156237056</v>
      </c>
      <c r="CK44" s="19">
        <v>6235761152</v>
      </c>
      <c r="CL44" s="19">
        <v>4908310528</v>
      </c>
      <c r="CM44" s="21">
        <v>6266421248</v>
      </c>
      <c r="CN44" s="21">
        <v>6022190592</v>
      </c>
      <c r="CO44" s="19">
        <v>3950422272</v>
      </c>
      <c r="CP44" s="19">
        <v>4119903488</v>
      </c>
      <c r="CQ44" s="21">
        <v>6705052160</v>
      </c>
      <c r="CR44" s="21">
        <v>7354566656</v>
      </c>
      <c r="CS44" s="19">
        <v>5042930176</v>
      </c>
      <c r="CT44" s="19">
        <v>6231840768</v>
      </c>
      <c r="CU44" s="21">
        <v>4123692288</v>
      </c>
      <c r="CV44" s="21">
        <v>3863505664</v>
      </c>
      <c r="CW44" s="19">
        <v>5430196736</v>
      </c>
      <c r="CX44" s="19">
        <v>6835217920</v>
      </c>
    </row>
    <row r="45" spans="1:102">
      <c r="A45">
        <v>31040</v>
      </c>
      <c r="B45" t="s">
        <v>638</v>
      </c>
      <c r="C45" t="s">
        <v>1138</v>
      </c>
      <c r="D45" t="s">
        <v>639</v>
      </c>
      <c r="F45" t="s">
        <v>640</v>
      </c>
      <c r="G45">
        <v>49.862000000000002</v>
      </c>
      <c r="H45" t="s">
        <v>104</v>
      </c>
      <c r="I45">
        <v>2</v>
      </c>
      <c r="J45">
        <v>19</v>
      </c>
      <c r="K45">
        <v>0</v>
      </c>
      <c r="L45">
        <v>0</v>
      </c>
      <c r="M45">
        <v>0</v>
      </c>
      <c r="N45">
        <v>-1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Y45">
        <v>2</v>
      </c>
      <c r="Z45">
        <v>2</v>
      </c>
      <c r="AA45">
        <v>2</v>
      </c>
      <c r="AB45">
        <v>2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>
        <v>2</v>
      </c>
      <c r="AM45">
        <v>2</v>
      </c>
      <c r="AN45">
        <v>2</v>
      </c>
      <c r="AO45">
        <v>2</v>
      </c>
      <c r="AP45">
        <v>1</v>
      </c>
      <c r="AQ45">
        <v>2</v>
      </c>
      <c r="AR45">
        <v>0</v>
      </c>
      <c r="AS45">
        <v>1</v>
      </c>
      <c r="AT45">
        <v>0</v>
      </c>
      <c r="AU45">
        <v>2</v>
      </c>
      <c r="AV45">
        <v>0</v>
      </c>
      <c r="AW45">
        <v>1</v>
      </c>
      <c r="AX45">
        <v>1</v>
      </c>
      <c r="AY45">
        <v>2</v>
      </c>
      <c r="AZ45">
        <v>0</v>
      </c>
      <c r="BA45">
        <v>2</v>
      </c>
      <c r="BB45">
        <v>1</v>
      </c>
      <c r="BC45">
        <v>2</v>
      </c>
      <c r="BD45">
        <v>1</v>
      </c>
      <c r="BE45">
        <v>2</v>
      </c>
      <c r="BF45">
        <v>1</v>
      </c>
      <c r="BG45">
        <v>1</v>
      </c>
      <c r="BH45">
        <v>1</v>
      </c>
      <c r="BI45">
        <v>2</v>
      </c>
      <c r="BJ45">
        <v>2968562</v>
      </c>
      <c r="BK45">
        <v>4226104</v>
      </c>
      <c r="BM45">
        <v>1470380.5</v>
      </c>
      <c r="BN45">
        <v>2455220.25</v>
      </c>
      <c r="BO45">
        <v>4562234</v>
      </c>
      <c r="BP45">
        <v>3292032.5</v>
      </c>
      <c r="BQ45">
        <v>1425208.5</v>
      </c>
      <c r="BR45">
        <v>3523024.75</v>
      </c>
      <c r="BS45">
        <v>3249514</v>
      </c>
      <c r="BT45">
        <v>553293</v>
      </c>
      <c r="BU45">
        <v>3384061</v>
      </c>
      <c r="BV45">
        <v>1711207</v>
      </c>
      <c r="BW45">
        <v>3623224</v>
      </c>
      <c r="BX45">
        <v>1749849.25</v>
      </c>
      <c r="BY45">
        <v>2890018.5</v>
      </c>
      <c r="BZ45">
        <v>2363195.75</v>
      </c>
      <c r="CA45">
        <v>1476122.38</v>
      </c>
      <c r="CB45">
        <v>2983808.5</v>
      </c>
      <c r="CC45">
        <v>3677376</v>
      </c>
      <c r="CD45" s="17" t="s">
        <v>1138</v>
      </c>
      <c r="CE45" s="21">
        <v>2938032.75</v>
      </c>
      <c r="CF45" s="21">
        <v>1941295.12</v>
      </c>
      <c r="CG45" s="19">
        <v>1861110.38</v>
      </c>
      <c r="CH45" s="19">
        <v>1698173.25</v>
      </c>
      <c r="CI45" s="21">
        <v>1777868.75</v>
      </c>
      <c r="CJ45" s="21">
        <v>1658334.25</v>
      </c>
      <c r="CK45" s="19">
        <v>2388377.75</v>
      </c>
      <c r="CL45" s="19">
        <v>2241561.5</v>
      </c>
      <c r="CM45" s="21">
        <v>3437371.75</v>
      </c>
      <c r="CN45" s="21">
        <v>3125996.25</v>
      </c>
      <c r="CO45" s="19">
        <v>2275970.5</v>
      </c>
      <c r="CP45" s="19">
        <v>2375691.75</v>
      </c>
      <c r="CQ45" s="21">
        <v>1515239.12</v>
      </c>
      <c r="CR45" s="21">
        <v>2108272.75</v>
      </c>
      <c r="CS45" s="19">
        <v>2704545.25</v>
      </c>
      <c r="CT45" s="19">
        <v>2190818</v>
      </c>
      <c r="CU45" s="21">
        <v>1175912.8799999999</v>
      </c>
      <c r="CV45" s="21">
        <v>1085014</v>
      </c>
      <c r="CW45" s="19">
        <v>2764643</v>
      </c>
      <c r="CX45" s="19">
        <v>4788212.5</v>
      </c>
    </row>
    <row r="46" spans="1:102">
      <c r="A46">
        <v>31153</v>
      </c>
      <c r="B46" t="s">
        <v>617</v>
      </c>
      <c r="C46" t="s">
        <v>1139</v>
      </c>
      <c r="D46" t="s">
        <v>617</v>
      </c>
      <c r="E46" t="s">
        <v>618</v>
      </c>
      <c r="F46" t="s">
        <v>619</v>
      </c>
      <c r="G46">
        <v>60.6</v>
      </c>
      <c r="H46" t="s">
        <v>104</v>
      </c>
      <c r="I46">
        <v>2</v>
      </c>
      <c r="J46">
        <v>1</v>
      </c>
      <c r="K46">
        <v>1</v>
      </c>
      <c r="L46">
        <v>0</v>
      </c>
      <c r="M46">
        <v>0</v>
      </c>
      <c r="N46">
        <v>-1</v>
      </c>
      <c r="O46">
        <v>3</v>
      </c>
      <c r="P46">
        <v>3</v>
      </c>
      <c r="Q46">
        <v>3</v>
      </c>
      <c r="R46">
        <v>3</v>
      </c>
      <c r="S46">
        <v>3</v>
      </c>
      <c r="T46">
        <v>3</v>
      </c>
      <c r="U46">
        <v>3</v>
      </c>
      <c r="V46">
        <v>2</v>
      </c>
      <c r="W46">
        <v>3</v>
      </c>
      <c r="X46">
        <v>1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1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3</v>
      </c>
      <c r="AL46">
        <v>3</v>
      </c>
      <c r="AM46">
        <v>3</v>
      </c>
      <c r="AN46">
        <v>3</v>
      </c>
      <c r="AO46">
        <v>1</v>
      </c>
      <c r="AP46">
        <v>0</v>
      </c>
      <c r="AQ46">
        <v>2</v>
      </c>
      <c r="AR46">
        <v>0</v>
      </c>
      <c r="AS46">
        <v>0</v>
      </c>
      <c r="AT46">
        <v>3</v>
      </c>
      <c r="AU46">
        <v>3</v>
      </c>
      <c r="AV46">
        <v>2</v>
      </c>
      <c r="AW46">
        <v>2</v>
      </c>
      <c r="AX46">
        <v>0</v>
      </c>
      <c r="AY46">
        <v>0</v>
      </c>
      <c r="AZ46">
        <v>1</v>
      </c>
      <c r="BA46">
        <v>2</v>
      </c>
      <c r="BB46">
        <v>2</v>
      </c>
      <c r="BC46">
        <v>2</v>
      </c>
      <c r="BD46">
        <v>2</v>
      </c>
      <c r="BE46">
        <v>2</v>
      </c>
      <c r="BF46">
        <v>0</v>
      </c>
      <c r="BG46">
        <v>2</v>
      </c>
      <c r="BH46">
        <v>0</v>
      </c>
      <c r="BI46">
        <v>0</v>
      </c>
      <c r="BJ46">
        <v>3004375.5</v>
      </c>
      <c r="BK46">
        <v>5463182</v>
      </c>
      <c r="BL46">
        <v>63366.98</v>
      </c>
      <c r="BM46">
        <v>1489994.38</v>
      </c>
      <c r="BN46">
        <v>5640591</v>
      </c>
      <c r="BO46">
        <v>6688683</v>
      </c>
      <c r="BP46">
        <v>3566387.5</v>
      </c>
      <c r="BQ46">
        <v>3451399.5</v>
      </c>
      <c r="BR46">
        <v>817877.62</v>
      </c>
      <c r="BS46">
        <v>206910.67</v>
      </c>
      <c r="BT46">
        <v>662125.06000000006</v>
      </c>
      <c r="BU46">
        <v>4999278.5</v>
      </c>
      <c r="BV46">
        <v>2750448</v>
      </c>
      <c r="BW46">
        <v>3688269.25</v>
      </c>
      <c r="BX46">
        <v>4194663</v>
      </c>
      <c r="BY46">
        <v>5080613.5</v>
      </c>
      <c r="BZ46">
        <v>2509458.5</v>
      </c>
      <c r="CA46">
        <v>2919423.25</v>
      </c>
      <c r="CB46">
        <v>501579.81</v>
      </c>
      <c r="CC46">
        <v>94540.56</v>
      </c>
      <c r="CD46" s="17" t="s">
        <v>1139</v>
      </c>
      <c r="CE46" s="21">
        <v>2698582</v>
      </c>
      <c r="CF46" s="21">
        <v>2319439</v>
      </c>
      <c r="CG46" s="19">
        <v>1512407.75</v>
      </c>
      <c r="CH46" s="19">
        <v>3091044</v>
      </c>
      <c r="CI46" s="21">
        <v>4738174.5</v>
      </c>
      <c r="CJ46" s="21">
        <v>4499960</v>
      </c>
      <c r="CK46" s="19">
        <v>2778457</v>
      </c>
      <c r="CL46" s="19">
        <v>2600164.75</v>
      </c>
      <c r="CM46" s="21">
        <v>861341.38</v>
      </c>
      <c r="CN46" s="21">
        <v>481331.88</v>
      </c>
      <c r="CO46" s="19">
        <v>3129210.5</v>
      </c>
      <c r="CP46" s="19">
        <v>4071281.5</v>
      </c>
      <c r="CQ46" s="21">
        <v>1786369.5</v>
      </c>
      <c r="CR46" s="21">
        <v>2468860.75</v>
      </c>
      <c r="CS46" s="19">
        <v>4578072.5</v>
      </c>
      <c r="CT46" s="19">
        <v>4302207.5</v>
      </c>
      <c r="CU46" s="21">
        <v>3306907.75</v>
      </c>
      <c r="CV46" s="21">
        <v>2476517</v>
      </c>
      <c r="CW46" s="19">
        <v>174796.28</v>
      </c>
      <c r="CX46" s="19">
        <v>90935.91</v>
      </c>
    </row>
    <row r="47" spans="1:102">
      <c r="A47">
        <v>31114</v>
      </c>
      <c r="B47" t="s">
        <v>463</v>
      </c>
      <c r="C47" t="s">
        <v>1140</v>
      </c>
      <c r="D47" t="s">
        <v>464</v>
      </c>
      <c r="F47" t="s">
        <v>465</v>
      </c>
      <c r="G47">
        <v>227.84</v>
      </c>
      <c r="H47" t="s">
        <v>104</v>
      </c>
      <c r="I47">
        <v>2</v>
      </c>
      <c r="J47">
        <v>3</v>
      </c>
      <c r="K47">
        <v>0</v>
      </c>
      <c r="L47">
        <v>0</v>
      </c>
      <c r="M47">
        <v>0</v>
      </c>
      <c r="N47">
        <v>-1</v>
      </c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3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8</v>
      </c>
      <c r="AQ47">
        <v>10</v>
      </c>
      <c r="AR47">
        <v>0</v>
      </c>
      <c r="AS47">
        <v>6</v>
      </c>
      <c r="AT47">
        <v>7</v>
      </c>
      <c r="AU47">
        <v>9</v>
      </c>
      <c r="AV47">
        <v>6</v>
      </c>
      <c r="AW47">
        <v>8</v>
      </c>
      <c r="AX47">
        <v>6</v>
      </c>
      <c r="AY47">
        <v>7</v>
      </c>
      <c r="AZ47">
        <v>6</v>
      </c>
      <c r="BA47">
        <v>8</v>
      </c>
      <c r="BB47">
        <v>5</v>
      </c>
      <c r="BC47">
        <v>7</v>
      </c>
      <c r="BD47">
        <v>6</v>
      </c>
      <c r="BE47">
        <v>8</v>
      </c>
      <c r="BF47">
        <v>5</v>
      </c>
      <c r="BG47">
        <v>7</v>
      </c>
      <c r="BH47">
        <v>5</v>
      </c>
      <c r="BI47">
        <v>5</v>
      </c>
      <c r="BJ47">
        <v>31204294</v>
      </c>
      <c r="BK47">
        <v>61554120</v>
      </c>
      <c r="BL47">
        <v>85526.81</v>
      </c>
      <c r="BM47">
        <v>22623316</v>
      </c>
      <c r="BN47">
        <v>36101328</v>
      </c>
      <c r="BO47">
        <v>48594748</v>
      </c>
      <c r="BP47">
        <v>20228308</v>
      </c>
      <c r="BQ47">
        <v>53844388</v>
      </c>
      <c r="BR47">
        <v>14885460</v>
      </c>
      <c r="BS47">
        <v>14670100</v>
      </c>
      <c r="BT47">
        <v>10031898</v>
      </c>
      <c r="BU47">
        <v>42708140</v>
      </c>
      <c r="BV47">
        <v>14249455</v>
      </c>
      <c r="BW47">
        <v>46109696</v>
      </c>
      <c r="BX47">
        <v>27608956</v>
      </c>
      <c r="BY47">
        <v>37599832</v>
      </c>
      <c r="BZ47">
        <v>15715910</v>
      </c>
      <c r="CA47">
        <v>44167768</v>
      </c>
      <c r="CB47">
        <v>13228032</v>
      </c>
      <c r="CC47">
        <v>18217786</v>
      </c>
      <c r="CD47" s="17" t="s">
        <v>1140</v>
      </c>
      <c r="CE47" s="21">
        <v>47622480</v>
      </c>
      <c r="CF47" s="21">
        <v>46124116</v>
      </c>
      <c r="CG47" s="19">
        <v>14037911</v>
      </c>
      <c r="CH47" s="19">
        <v>19755582</v>
      </c>
      <c r="CI47" s="21">
        <v>37844484</v>
      </c>
      <c r="CJ47" s="21">
        <v>33601056</v>
      </c>
      <c r="CK47" s="19">
        <v>20916748</v>
      </c>
      <c r="CL47" s="19">
        <v>18679984</v>
      </c>
      <c r="CM47" s="21">
        <v>19414034</v>
      </c>
      <c r="CN47" s="21">
        <v>18656116</v>
      </c>
      <c r="CO47" s="19">
        <v>46270412</v>
      </c>
      <c r="CP47" s="19">
        <v>40082908</v>
      </c>
      <c r="CQ47" s="21">
        <v>32461340</v>
      </c>
      <c r="CR47" s="21">
        <v>36130188</v>
      </c>
      <c r="CS47" s="19">
        <v>38562912</v>
      </c>
      <c r="CT47" s="19">
        <v>38431036</v>
      </c>
      <c r="CU47" s="21">
        <v>57146908</v>
      </c>
      <c r="CV47" s="21">
        <v>41713100</v>
      </c>
      <c r="CW47" s="19">
        <v>16512160</v>
      </c>
      <c r="CX47" s="19">
        <v>27490564</v>
      </c>
    </row>
    <row r="48" spans="1:102">
      <c r="A48">
        <v>30951</v>
      </c>
      <c r="B48" t="s">
        <v>326</v>
      </c>
      <c r="C48" t="s">
        <v>1141</v>
      </c>
      <c r="D48" t="s">
        <v>327</v>
      </c>
      <c r="E48" t="s">
        <v>328</v>
      </c>
      <c r="F48" t="s">
        <v>329</v>
      </c>
      <c r="G48">
        <v>508.279</v>
      </c>
      <c r="H48" t="s">
        <v>104</v>
      </c>
      <c r="I48">
        <v>2</v>
      </c>
      <c r="J48">
        <v>8</v>
      </c>
      <c r="K48">
        <v>13</v>
      </c>
      <c r="L48">
        <v>0</v>
      </c>
      <c r="M48">
        <v>0</v>
      </c>
      <c r="N48">
        <v>-1</v>
      </c>
      <c r="O48">
        <v>13</v>
      </c>
      <c r="P48">
        <v>13</v>
      </c>
      <c r="Q48">
        <v>13</v>
      </c>
      <c r="R48">
        <v>13</v>
      </c>
      <c r="S48">
        <v>13</v>
      </c>
      <c r="T48">
        <v>13</v>
      </c>
      <c r="U48">
        <v>13</v>
      </c>
      <c r="V48">
        <v>13</v>
      </c>
      <c r="W48">
        <v>11</v>
      </c>
      <c r="X48">
        <v>4</v>
      </c>
      <c r="Y48">
        <v>12</v>
      </c>
      <c r="Z48">
        <v>12</v>
      </c>
      <c r="AA48">
        <v>12</v>
      </c>
      <c r="AB48">
        <v>12</v>
      </c>
      <c r="AC48">
        <v>13</v>
      </c>
      <c r="AD48">
        <v>12</v>
      </c>
      <c r="AE48">
        <v>12</v>
      </c>
      <c r="AF48">
        <v>12</v>
      </c>
      <c r="AG48">
        <v>12</v>
      </c>
      <c r="AH48">
        <v>12</v>
      </c>
      <c r="AI48">
        <v>12</v>
      </c>
      <c r="AJ48">
        <v>12</v>
      </c>
      <c r="AK48">
        <v>12</v>
      </c>
      <c r="AL48">
        <v>12</v>
      </c>
      <c r="AM48">
        <v>12</v>
      </c>
      <c r="AN48">
        <v>13</v>
      </c>
      <c r="AO48">
        <v>13</v>
      </c>
      <c r="AP48">
        <v>13</v>
      </c>
      <c r="AQ48">
        <v>11</v>
      </c>
      <c r="AR48">
        <v>0</v>
      </c>
      <c r="AS48">
        <v>10</v>
      </c>
      <c r="AT48">
        <v>16</v>
      </c>
      <c r="AU48">
        <v>13</v>
      </c>
      <c r="AV48">
        <v>10</v>
      </c>
      <c r="AW48">
        <v>15</v>
      </c>
      <c r="AX48">
        <v>13</v>
      </c>
      <c r="AY48">
        <v>16</v>
      </c>
      <c r="AZ48">
        <v>5</v>
      </c>
      <c r="BA48">
        <v>12</v>
      </c>
      <c r="BB48">
        <v>10</v>
      </c>
      <c r="BC48">
        <v>8</v>
      </c>
      <c r="BD48">
        <v>11</v>
      </c>
      <c r="BE48">
        <v>10</v>
      </c>
      <c r="BF48">
        <v>8</v>
      </c>
      <c r="BG48">
        <v>13</v>
      </c>
      <c r="BH48">
        <v>11</v>
      </c>
      <c r="BI48">
        <v>10</v>
      </c>
      <c r="BJ48">
        <v>43127440</v>
      </c>
      <c r="BK48">
        <v>82981360</v>
      </c>
      <c r="BL48">
        <v>181885.92</v>
      </c>
      <c r="BM48">
        <v>16974124</v>
      </c>
      <c r="BN48">
        <v>82694592</v>
      </c>
      <c r="BO48">
        <v>44952032</v>
      </c>
      <c r="BP48">
        <v>35771592</v>
      </c>
      <c r="BQ48">
        <v>71385888</v>
      </c>
      <c r="BR48">
        <v>65477312</v>
      </c>
      <c r="BS48">
        <v>78219384</v>
      </c>
      <c r="BT48">
        <v>11318139</v>
      </c>
      <c r="BU48">
        <v>62009840</v>
      </c>
      <c r="BV48">
        <v>31137290</v>
      </c>
      <c r="BW48">
        <v>32019290</v>
      </c>
      <c r="BX48">
        <v>64371532</v>
      </c>
      <c r="BY48">
        <v>36030024</v>
      </c>
      <c r="BZ48">
        <v>25039874</v>
      </c>
      <c r="CA48">
        <v>67802208</v>
      </c>
      <c r="CB48">
        <v>52073676</v>
      </c>
      <c r="CC48">
        <v>55850084</v>
      </c>
      <c r="CD48" s="17" t="s">
        <v>1141</v>
      </c>
      <c r="CE48" s="21">
        <v>47262776</v>
      </c>
      <c r="CF48" s="21">
        <v>44907780</v>
      </c>
      <c r="CG48" s="19">
        <v>14686180</v>
      </c>
      <c r="CH48" s="19">
        <v>32677566</v>
      </c>
      <c r="CI48" s="21">
        <v>65326796</v>
      </c>
      <c r="CJ48" s="21">
        <v>62700916</v>
      </c>
      <c r="CK48" s="19">
        <v>27106156</v>
      </c>
      <c r="CL48" s="19">
        <v>24994632</v>
      </c>
      <c r="CM48" s="21">
        <v>68800792</v>
      </c>
      <c r="CN48" s="21">
        <v>56460352</v>
      </c>
      <c r="CO48" s="19">
        <v>50099924</v>
      </c>
      <c r="CP48" s="19">
        <v>47366632</v>
      </c>
      <c r="CQ48" s="21">
        <v>18952932</v>
      </c>
      <c r="CR48" s="21">
        <v>18989378</v>
      </c>
      <c r="CS48" s="19">
        <v>29600882</v>
      </c>
      <c r="CT48" s="19">
        <v>28281666</v>
      </c>
      <c r="CU48" s="21">
        <v>63863308</v>
      </c>
      <c r="CV48" s="21">
        <v>50736660</v>
      </c>
      <c r="CW48" s="19">
        <v>70362656</v>
      </c>
      <c r="CX48" s="19">
        <v>84957112</v>
      </c>
    </row>
    <row r="49" spans="1:102">
      <c r="A49">
        <v>31095</v>
      </c>
      <c r="B49" t="s">
        <v>452</v>
      </c>
      <c r="C49" t="s">
        <v>1144</v>
      </c>
      <c r="D49" t="s">
        <v>453</v>
      </c>
      <c r="F49" t="s">
        <v>454</v>
      </c>
      <c r="G49">
        <v>235.66200000000001</v>
      </c>
      <c r="H49" t="s">
        <v>104</v>
      </c>
      <c r="I49">
        <v>2</v>
      </c>
      <c r="J49">
        <v>3</v>
      </c>
      <c r="K49">
        <v>0</v>
      </c>
      <c r="L49">
        <v>0</v>
      </c>
      <c r="M49">
        <v>0</v>
      </c>
      <c r="N49">
        <v>-1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2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>
        <v>4</v>
      </c>
      <c r="AN49">
        <v>4</v>
      </c>
      <c r="AO49">
        <v>4</v>
      </c>
      <c r="AP49">
        <v>8</v>
      </c>
      <c r="AQ49">
        <v>8</v>
      </c>
      <c r="AR49">
        <v>1</v>
      </c>
      <c r="AS49">
        <v>8</v>
      </c>
      <c r="AT49">
        <v>7</v>
      </c>
      <c r="AU49">
        <v>8</v>
      </c>
      <c r="AV49">
        <v>6</v>
      </c>
      <c r="AW49">
        <v>5</v>
      </c>
      <c r="AX49">
        <v>8</v>
      </c>
      <c r="AY49">
        <v>7</v>
      </c>
      <c r="AZ49">
        <v>3</v>
      </c>
      <c r="BA49">
        <v>7</v>
      </c>
      <c r="BB49">
        <v>7</v>
      </c>
      <c r="BC49">
        <v>8</v>
      </c>
      <c r="BD49">
        <v>6</v>
      </c>
      <c r="BE49">
        <v>6</v>
      </c>
      <c r="BF49">
        <v>7</v>
      </c>
      <c r="BG49">
        <v>5</v>
      </c>
      <c r="BH49">
        <v>8</v>
      </c>
      <c r="BI49">
        <v>6</v>
      </c>
      <c r="BJ49">
        <v>15737708</v>
      </c>
      <c r="BK49">
        <v>28730720</v>
      </c>
      <c r="BL49">
        <v>225815.11</v>
      </c>
      <c r="BM49">
        <v>21534800</v>
      </c>
      <c r="BN49">
        <v>14995084</v>
      </c>
      <c r="BO49">
        <v>28166570</v>
      </c>
      <c r="BP49">
        <v>20828250</v>
      </c>
      <c r="BQ49">
        <v>14476517</v>
      </c>
      <c r="BR49">
        <v>28977116</v>
      </c>
      <c r="BS49">
        <v>23781758</v>
      </c>
      <c r="BT49">
        <v>4551986.5</v>
      </c>
      <c r="BU49">
        <v>23433084</v>
      </c>
      <c r="BV49">
        <v>10865386</v>
      </c>
      <c r="BW49">
        <v>37052160</v>
      </c>
      <c r="BX49">
        <v>12340590</v>
      </c>
      <c r="BY49">
        <v>25496080</v>
      </c>
      <c r="BZ49">
        <v>18079542</v>
      </c>
      <c r="CA49">
        <v>14398491</v>
      </c>
      <c r="CB49">
        <v>20688314</v>
      </c>
      <c r="CC49">
        <v>14073678</v>
      </c>
      <c r="CD49" s="17" t="s">
        <v>1144</v>
      </c>
      <c r="CE49" s="21">
        <v>23067296</v>
      </c>
      <c r="CF49" s="21">
        <v>28806654</v>
      </c>
      <c r="CG49" s="19">
        <v>10368037</v>
      </c>
      <c r="CH49" s="19">
        <v>17278646</v>
      </c>
      <c r="CI49" s="21">
        <v>19210454</v>
      </c>
      <c r="CJ49" s="21">
        <v>18042534</v>
      </c>
      <c r="CK49" s="19">
        <v>26607318</v>
      </c>
      <c r="CL49" s="19">
        <v>27687370</v>
      </c>
      <c r="CM49" s="21">
        <v>44750920</v>
      </c>
      <c r="CN49" s="21">
        <v>38440720</v>
      </c>
      <c r="CO49" s="19">
        <v>22960270</v>
      </c>
      <c r="CP49" s="19">
        <v>27105276</v>
      </c>
      <c r="CQ49" s="21">
        <v>37821488</v>
      </c>
      <c r="CR49" s="21">
        <v>34146744</v>
      </c>
      <c r="CS49" s="19">
        <v>28713628</v>
      </c>
      <c r="CT49" s="19">
        <v>30593916</v>
      </c>
      <c r="CU49" s="21">
        <v>20067786</v>
      </c>
      <c r="CV49" s="21">
        <v>16061268</v>
      </c>
      <c r="CW49" s="19">
        <v>36554604</v>
      </c>
      <c r="CX49" s="19">
        <v>27406398</v>
      </c>
    </row>
    <row r="50" spans="1:102">
      <c r="A50">
        <v>31010</v>
      </c>
      <c r="B50" t="s">
        <v>717</v>
      </c>
      <c r="C50" t="s">
        <v>1145</v>
      </c>
      <c r="D50" t="s">
        <v>718</v>
      </c>
      <c r="E50" t="s">
        <v>719</v>
      </c>
      <c r="F50" t="s">
        <v>720</v>
      </c>
      <c r="G50">
        <v>26.959</v>
      </c>
      <c r="H50" t="s">
        <v>104</v>
      </c>
      <c r="I50">
        <v>2</v>
      </c>
      <c r="J50">
        <v>3</v>
      </c>
      <c r="K50">
        <v>1</v>
      </c>
      <c r="L50">
        <v>0</v>
      </c>
      <c r="M50">
        <v>0</v>
      </c>
      <c r="N50">
        <v>-1</v>
      </c>
      <c r="O50">
        <v>3</v>
      </c>
      <c r="P50">
        <v>3</v>
      </c>
      <c r="Q50">
        <v>3</v>
      </c>
      <c r="R50">
        <v>3</v>
      </c>
      <c r="S50">
        <v>3</v>
      </c>
      <c r="T50">
        <v>3</v>
      </c>
      <c r="U50">
        <v>3</v>
      </c>
      <c r="V50">
        <v>3</v>
      </c>
      <c r="W50">
        <v>3</v>
      </c>
      <c r="X50">
        <v>1</v>
      </c>
      <c r="Y50">
        <v>3</v>
      </c>
      <c r="Z50">
        <v>3</v>
      </c>
      <c r="AA50">
        <v>3</v>
      </c>
      <c r="AB50">
        <v>3</v>
      </c>
      <c r="AC50">
        <v>3</v>
      </c>
      <c r="AD50">
        <v>3</v>
      </c>
      <c r="AE50">
        <v>3</v>
      </c>
      <c r="AF50">
        <v>3</v>
      </c>
      <c r="AG50">
        <v>3</v>
      </c>
      <c r="AH50">
        <v>3</v>
      </c>
      <c r="AI50">
        <v>3</v>
      </c>
      <c r="AJ50">
        <v>3</v>
      </c>
      <c r="AK50">
        <v>3</v>
      </c>
      <c r="AL50">
        <v>3</v>
      </c>
      <c r="AM50">
        <v>3</v>
      </c>
      <c r="AN50">
        <v>3</v>
      </c>
      <c r="AO50">
        <v>3</v>
      </c>
      <c r="AP50">
        <v>1</v>
      </c>
      <c r="AQ50">
        <v>2</v>
      </c>
      <c r="AR50">
        <v>0</v>
      </c>
      <c r="AS50">
        <v>1</v>
      </c>
      <c r="AT50">
        <v>1</v>
      </c>
      <c r="AU50">
        <v>2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2</v>
      </c>
      <c r="BF50">
        <v>1</v>
      </c>
      <c r="BG50">
        <v>1</v>
      </c>
      <c r="BH50">
        <v>1</v>
      </c>
      <c r="BI50">
        <v>0</v>
      </c>
      <c r="BJ50">
        <v>3034580.5</v>
      </c>
      <c r="BK50">
        <v>3810641</v>
      </c>
      <c r="BL50">
        <v>10916.27</v>
      </c>
      <c r="BM50">
        <v>1067198.75</v>
      </c>
      <c r="BN50">
        <v>3216547</v>
      </c>
      <c r="BO50">
        <v>3828518</v>
      </c>
      <c r="BP50">
        <v>2623357</v>
      </c>
      <c r="BQ50">
        <v>2738078.75</v>
      </c>
      <c r="BR50">
        <v>984356.12</v>
      </c>
      <c r="BS50">
        <v>734183.06</v>
      </c>
      <c r="BT50">
        <v>671716.44</v>
      </c>
      <c r="BU50">
        <v>3381528.25</v>
      </c>
      <c r="BV50">
        <v>4394273.5</v>
      </c>
      <c r="BW50">
        <v>2460811.5</v>
      </c>
      <c r="BX50">
        <v>3227765.5</v>
      </c>
      <c r="BY50">
        <v>3261599.5</v>
      </c>
      <c r="BZ50">
        <v>2363337.5</v>
      </c>
      <c r="CA50">
        <v>2980396</v>
      </c>
      <c r="CB50">
        <v>1117470.1200000001</v>
      </c>
      <c r="CC50">
        <v>587901.88</v>
      </c>
      <c r="CD50" s="17" t="s">
        <v>1145</v>
      </c>
      <c r="CE50" s="21">
        <v>2765732.75</v>
      </c>
      <c r="CF50" s="21">
        <v>1850299.25</v>
      </c>
      <c r="CG50" s="19">
        <v>2083534.5</v>
      </c>
      <c r="CH50" s="19">
        <v>4057885.5</v>
      </c>
      <c r="CI50" s="21">
        <v>2456245.25</v>
      </c>
      <c r="CJ50" s="21">
        <v>2479920.5</v>
      </c>
      <c r="CK50" s="19">
        <v>2148697.25</v>
      </c>
      <c r="CL50" s="19">
        <v>2289565.5</v>
      </c>
      <c r="CM50" s="21">
        <v>914884.88</v>
      </c>
      <c r="CN50" s="21">
        <v>1232895.8799999999</v>
      </c>
      <c r="CO50" s="19">
        <v>2095177.5</v>
      </c>
      <c r="CP50" s="19">
        <v>2217701.75</v>
      </c>
      <c r="CQ50" s="21">
        <v>1206263.8799999999</v>
      </c>
      <c r="CR50" s="21">
        <v>1468165.38</v>
      </c>
      <c r="CS50" s="19">
        <v>2485547.25</v>
      </c>
      <c r="CT50" s="19">
        <v>2344980</v>
      </c>
      <c r="CU50" s="21">
        <v>2331615.25</v>
      </c>
      <c r="CV50" s="21">
        <v>2110590.25</v>
      </c>
      <c r="CW50" s="19">
        <v>621793.68999999994</v>
      </c>
      <c r="CX50" s="19">
        <v>904517.19</v>
      </c>
    </row>
    <row r="51" spans="1:102">
      <c r="A51">
        <v>30971</v>
      </c>
      <c r="B51" t="s">
        <v>567</v>
      </c>
      <c r="C51" t="s">
        <v>1146</v>
      </c>
      <c r="D51" t="s">
        <v>568</v>
      </c>
      <c r="E51" t="s">
        <v>569</v>
      </c>
      <c r="F51" t="s">
        <v>570</v>
      </c>
      <c r="G51">
        <v>113.40900000000001</v>
      </c>
      <c r="H51" t="s">
        <v>104</v>
      </c>
      <c r="I51">
        <v>2</v>
      </c>
      <c r="J51">
        <v>16</v>
      </c>
      <c r="K51">
        <v>5</v>
      </c>
      <c r="L51">
        <v>0</v>
      </c>
      <c r="M51">
        <v>0</v>
      </c>
      <c r="N51">
        <v>-1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2</v>
      </c>
      <c r="W51">
        <v>3</v>
      </c>
      <c r="Y51">
        <v>2</v>
      </c>
      <c r="Z51">
        <v>3</v>
      </c>
      <c r="AA51">
        <v>3</v>
      </c>
      <c r="AB51">
        <v>2</v>
      </c>
      <c r="AC51">
        <v>2</v>
      </c>
      <c r="AD51">
        <v>2</v>
      </c>
      <c r="AE51">
        <v>2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  <c r="AM51">
        <v>3</v>
      </c>
      <c r="AN51">
        <v>3</v>
      </c>
      <c r="AO51">
        <v>2</v>
      </c>
      <c r="AP51">
        <v>2</v>
      </c>
      <c r="AQ51">
        <v>3</v>
      </c>
      <c r="AR51">
        <v>0</v>
      </c>
      <c r="AS51">
        <v>2</v>
      </c>
      <c r="AT51">
        <v>4</v>
      </c>
      <c r="AU51">
        <v>3</v>
      </c>
      <c r="AV51">
        <v>3</v>
      </c>
      <c r="AW51">
        <v>2</v>
      </c>
      <c r="AX51">
        <v>2</v>
      </c>
      <c r="AY51">
        <v>0</v>
      </c>
      <c r="AZ51">
        <v>2</v>
      </c>
      <c r="BA51">
        <v>3</v>
      </c>
      <c r="BB51">
        <v>3</v>
      </c>
      <c r="BC51">
        <v>2</v>
      </c>
      <c r="BD51">
        <v>4</v>
      </c>
      <c r="BE51">
        <v>2</v>
      </c>
      <c r="BF51">
        <v>1</v>
      </c>
      <c r="BG51">
        <v>2</v>
      </c>
      <c r="BH51">
        <v>2</v>
      </c>
      <c r="BI51">
        <v>0</v>
      </c>
      <c r="BJ51">
        <v>3084144.25</v>
      </c>
      <c r="BK51">
        <v>4303508</v>
      </c>
      <c r="BM51">
        <v>896920.88</v>
      </c>
      <c r="BN51">
        <v>6979972</v>
      </c>
      <c r="BO51">
        <v>6212158</v>
      </c>
      <c r="BP51">
        <v>2648511</v>
      </c>
      <c r="BQ51">
        <v>2497820.5</v>
      </c>
      <c r="BR51">
        <v>1339455</v>
      </c>
      <c r="BS51">
        <v>484579.91</v>
      </c>
      <c r="BT51">
        <v>1040017.88</v>
      </c>
      <c r="BU51">
        <v>3645022.75</v>
      </c>
      <c r="BV51">
        <v>3404053.5</v>
      </c>
      <c r="BW51">
        <v>2500244.5</v>
      </c>
      <c r="BX51">
        <v>5017755.5</v>
      </c>
      <c r="BY51">
        <v>3815098.75</v>
      </c>
      <c r="BZ51">
        <v>3113441.75</v>
      </c>
      <c r="CA51">
        <v>2962171.5</v>
      </c>
      <c r="CB51">
        <v>1272173.75</v>
      </c>
      <c r="CC51">
        <v>691890.81</v>
      </c>
      <c r="CD51" s="17" t="s">
        <v>1146</v>
      </c>
      <c r="CE51" s="21">
        <v>3631809.25</v>
      </c>
      <c r="CF51" s="21">
        <v>5157964.5</v>
      </c>
      <c r="CG51" s="19">
        <v>1861110.38</v>
      </c>
      <c r="CH51" s="19">
        <v>4517102</v>
      </c>
      <c r="CI51" s="21">
        <v>6456501</v>
      </c>
      <c r="CJ51" s="21">
        <v>5561096</v>
      </c>
      <c r="CK51" s="19">
        <v>2597062.75</v>
      </c>
      <c r="CL51" s="19">
        <v>3511181.5</v>
      </c>
      <c r="CM51" s="21">
        <v>1760563.5</v>
      </c>
      <c r="CN51" s="21">
        <v>1488196.62</v>
      </c>
      <c r="CO51" s="19">
        <v>2760526.25</v>
      </c>
      <c r="CP51" s="19">
        <v>3015196.75</v>
      </c>
      <c r="CQ51" s="21">
        <v>1314042.5</v>
      </c>
      <c r="CR51" s="21">
        <v>1802448.38</v>
      </c>
      <c r="CS51" s="19">
        <v>4600258</v>
      </c>
      <c r="CT51" s="19">
        <v>3749630.25</v>
      </c>
      <c r="CU51" s="21">
        <v>2682342.5</v>
      </c>
      <c r="CV51" s="21">
        <v>2664022.75</v>
      </c>
      <c r="CW51" s="19">
        <v>576932.43999999994</v>
      </c>
      <c r="CX51" s="19">
        <v>404044.16</v>
      </c>
    </row>
    <row r="52" spans="1:102">
      <c r="A52">
        <v>31103</v>
      </c>
      <c r="B52" t="s">
        <v>492</v>
      </c>
      <c r="C52" t="s">
        <v>1147</v>
      </c>
      <c r="D52" t="s">
        <v>492</v>
      </c>
      <c r="F52" t="s">
        <v>493</v>
      </c>
      <c r="G52">
        <v>181.43899999999999</v>
      </c>
      <c r="H52" t="s">
        <v>104</v>
      </c>
      <c r="I52">
        <v>2</v>
      </c>
      <c r="J52">
        <v>1</v>
      </c>
      <c r="K52">
        <v>0</v>
      </c>
      <c r="L52">
        <v>0</v>
      </c>
      <c r="M52">
        <v>0</v>
      </c>
      <c r="N52">
        <v>-1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8</v>
      </c>
      <c r="W52">
        <v>9</v>
      </c>
      <c r="X52">
        <v>1</v>
      </c>
      <c r="Y52">
        <v>9</v>
      </c>
      <c r="Z52">
        <v>9</v>
      </c>
      <c r="AA52">
        <v>9</v>
      </c>
      <c r="AB52">
        <v>8</v>
      </c>
      <c r="AC52">
        <v>9</v>
      </c>
      <c r="AD52">
        <v>9</v>
      </c>
      <c r="AE52">
        <v>9</v>
      </c>
      <c r="AF52">
        <v>8</v>
      </c>
      <c r="AG52">
        <v>9</v>
      </c>
      <c r="AH52">
        <v>8</v>
      </c>
      <c r="AI52">
        <v>9</v>
      </c>
      <c r="AJ52">
        <v>8</v>
      </c>
      <c r="AK52">
        <v>9</v>
      </c>
      <c r="AL52">
        <v>8</v>
      </c>
      <c r="AM52">
        <v>8</v>
      </c>
      <c r="AN52">
        <v>9</v>
      </c>
      <c r="AO52">
        <v>9</v>
      </c>
      <c r="AP52">
        <v>3</v>
      </c>
      <c r="AQ52">
        <v>4</v>
      </c>
      <c r="AR52">
        <v>0</v>
      </c>
      <c r="AS52">
        <v>4</v>
      </c>
      <c r="AT52">
        <v>5</v>
      </c>
      <c r="AU52">
        <v>7</v>
      </c>
      <c r="AV52">
        <v>4</v>
      </c>
      <c r="AW52">
        <v>1</v>
      </c>
      <c r="AX52">
        <v>6</v>
      </c>
      <c r="AY52">
        <v>7</v>
      </c>
      <c r="AZ52">
        <v>0</v>
      </c>
      <c r="BA52">
        <v>7</v>
      </c>
      <c r="BB52">
        <v>2</v>
      </c>
      <c r="BC52">
        <v>7</v>
      </c>
      <c r="BD52">
        <v>4</v>
      </c>
      <c r="BE52">
        <v>4</v>
      </c>
      <c r="BF52">
        <v>6</v>
      </c>
      <c r="BG52">
        <v>2</v>
      </c>
      <c r="BH52">
        <v>7</v>
      </c>
      <c r="BI52">
        <v>4</v>
      </c>
      <c r="BJ52">
        <v>5759651.5</v>
      </c>
      <c r="BK52">
        <v>10171917</v>
      </c>
      <c r="BL52">
        <v>34464.339999999997</v>
      </c>
      <c r="BM52">
        <v>6869730.5</v>
      </c>
      <c r="BN52">
        <v>4643523</v>
      </c>
      <c r="BO52">
        <v>9711847</v>
      </c>
      <c r="BP52">
        <v>6596815</v>
      </c>
      <c r="BQ52">
        <v>4653423</v>
      </c>
      <c r="BR52">
        <v>7857452.5</v>
      </c>
      <c r="BS52">
        <v>7519055</v>
      </c>
      <c r="BT52">
        <v>1092481.3799999999</v>
      </c>
      <c r="BU52">
        <v>8461265</v>
      </c>
      <c r="BV52">
        <v>4123625.5</v>
      </c>
      <c r="BW52">
        <v>13136799</v>
      </c>
      <c r="BX52">
        <v>4294980.5</v>
      </c>
      <c r="BY52">
        <v>7214151.5</v>
      </c>
      <c r="BZ52">
        <v>6178634.5</v>
      </c>
      <c r="CA52">
        <v>5578793</v>
      </c>
      <c r="CB52">
        <v>6286085.5</v>
      </c>
      <c r="CC52">
        <v>5424258</v>
      </c>
      <c r="CD52" s="17" t="s">
        <v>1147</v>
      </c>
      <c r="CE52" s="21">
        <v>7085569.5</v>
      </c>
      <c r="CF52" s="21">
        <v>4393168</v>
      </c>
      <c r="CG52" s="19">
        <v>4825006</v>
      </c>
      <c r="CH52" s="19">
        <v>4532145</v>
      </c>
      <c r="CI52" s="21">
        <v>3743625.75</v>
      </c>
      <c r="CJ52" s="21">
        <v>4331931.5</v>
      </c>
      <c r="CK52" s="19">
        <v>5488601</v>
      </c>
      <c r="CL52" s="19">
        <v>6187175.5</v>
      </c>
      <c r="CM52" s="21">
        <v>7718814.5</v>
      </c>
      <c r="CN52" s="21">
        <v>7399092.5</v>
      </c>
      <c r="CO52" s="19">
        <v>5830031.5</v>
      </c>
      <c r="CP52" s="19">
        <v>5966258</v>
      </c>
      <c r="CQ52" s="21">
        <v>7313663</v>
      </c>
      <c r="CR52" s="21">
        <v>7744702</v>
      </c>
      <c r="CS52" s="19">
        <v>5830176.5</v>
      </c>
      <c r="CT52" s="19">
        <v>5278773.5</v>
      </c>
      <c r="CU52" s="21">
        <v>3860763.75</v>
      </c>
      <c r="CV52" s="21">
        <v>4169513.5</v>
      </c>
      <c r="CW52" s="19">
        <v>6698223.5</v>
      </c>
      <c r="CX52" s="19">
        <v>8046468</v>
      </c>
    </row>
    <row r="53" spans="1:102">
      <c r="A53">
        <v>31118</v>
      </c>
      <c r="B53" t="s">
        <v>1088</v>
      </c>
      <c r="C53" t="s">
        <v>1148</v>
      </c>
      <c r="D53" t="s">
        <v>1089</v>
      </c>
      <c r="F53" t="s">
        <v>1090</v>
      </c>
      <c r="G53">
        <v>9.9779999999999998</v>
      </c>
      <c r="H53" t="s">
        <v>104</v>
      </c>
      <c r="I53">
        <v>2</v>
      </c>
      <c r="J53">
        <v>3</v>
      </c>
      <c r="K53">
        <v>0</v>
      </c>
      <c r="L53">
        <v>0</v>
      </c>
      <c r="M53">
        <v>0</v>
      </c>
      <c r="N53">
        <v>-1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W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1</v>
      </c>
      <c r="AW53">
        <v>0</v>
      </c>
      <c r="AX53">
        <v>0</v>
      </c>
      <c r="AY53">
        <v>1</v>
      </c>
      <c r="AZ53">
        <v>0</v>
      </c>
      <c r="BA53">
        <v>0</v>
      </c>
      <c r="BB53">
        <v>0</v>
      </c>
      <c r="BC53">
        <v>1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K53">
        <v>260974</v>
      </c>
      <c r="BM53">
        <v>601602.5</v>
      </c>
      <c r="BN53">
        <v>345163.78</v>
      </c>
      <c r="BO53">
        <v>773619.19</v>
      </c>
      <c r="BP53">
        <v>563907.75</v>
      </c>
      <c r="BQ53">
        <v>371685.53</v>
      </c>
      <c r="BR53">
        <v>902417.56</v>
      </c>
      <c r="BS53">
        <v>781471.06</v>
      </c>
      <c r="BT53">
        <v>121899.62</v>
      </c>
      <c r="BU53">
        <v>998003.19</v>
      </c>
      <c r="BV53">
        <v>222090.83</v>
      </c>
      <c r="BW53">
        <v>1111272.5</v>
      </c>
      <c r="BX53">
        <v>229995.69</v>
      </c>
      <c r="BY53">
        <v>400679.16</v>
      </c>
      <c r="BZ53">
        <v>256960.14</v>
      </c>
      <c r="CA53">
        <v>176949.14</v>
      </c>
      <c r="CB53">
        <v>599018.5</v>
      </c>
      <c r="CC53">
        <v>971461.81</v>
      </c>
      <c r="CD53" s="17" t="s">
        <v>1148</v>
      </c>
      <c r="CE53" s="21">
        <v>311941.62</v>
      </c>
      <c r="CF53" s="21">
        <v>431823.91</v>
      </c>
      <c r="CG53" s="19">
        <v>1861110.38</v>
      </c>
      <c r="CH53" s="19">
        <v>221398.31</v>
      </c>
      <c r="CI53" s="21">
        <v>251673.41</v>
      </c>
      <c r="CJ53" s="21">
        <v>217476.98</v>
      </c>
      <c r="CK53" s="19">
        <v>409302.03</v>
      </c>
      <c r="CL53" s="19">
        <v>241632.59</v>
      </c>
      <c r="CM53" s="21">
        <v>865659.44</v>
      </c>
      <c r="CN53" s="21">
        <v>657080.18999999994</v>
      </c>
      <c r="CO53" s="19">
        <v>140996.19</v>
      </c>
      <c r="CP53" s="19">
        <v>689145.94</v>
      </c>
      <c r="CQ53" s="21">
        <v>623556.06000000006</v>
      </c>
      <c r="CR53" s="21">
        <v>628405</v>
      </c>
      <c r="CS53" s="19">
        <v>467143.09</v>
      </c>
      <c r="CT53" s="19">
        <v>292640.56</v>
      </c>
      <c r="CU53" s="21">
        <v>302320.53000000003</v>
      </c>
      <c r="CV53" s="21">
        <v>129098.34</v>
      </c>
      <c r="CW53" s="19">
        <v>660888.38</v>
      </c>
      <c r="CX53" s="19">
        <v>1270591.6200000001</v>
      </c>
    </row>
    <row r="54" spans="1:102">
      <c r="A54">
        <v>31087</v>
      </c>
      <c r="B54" t="s">
        <v>579</v>
      </c>
      <c r="C54" t="s">
        <v>1149</v>
      </c>
      <c r="D54" t="s">
        <v>579</v>
      </c>
      <c r="F54" t="s">
        <v>580</v>
      </c>
      <c r="G54">
        <v>105.136</v>
      </c>
      <c r="H54" t="s">
        <v>104</v>
      </c>
      <c r="I54">
        <v>2</v>
      </c>
      <c r="J54">
        <v>1</v>
      </c>
      <c r="K54">
        <v>0</v>
      </c>
      <c r="L54">
        <v>0</v>
      </c>
      <c r="M54">
        <v>0</v>
      </c>
      <c r="N54">
        <v>-1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1</v>
      </c>
      <c r="Y54">
        <v>3</v>
      </c>
      <c r="Z54">
        <v>3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3</v>
      </c>
      <c r="AH54">
        <v>4</v>
      </c>
      <c r="AI54">
        <v>4</v>
      </c>
      <c r="AJ54">
        <v>3</v>
      </c>
      <c r="AK54">
        <v>4</v>
      </c>
      <c r="AL54">
        <v>4</v>
      </c>
      <c r="AM54">
        <v>4</v>
      </c>
      <c r="AN54">
        <v>4</v>
      </c>
      <c r="AO54">
        <v>4</v>
      </c>
      <c r="AP54">
        <v>1</v>
      </c>
      <c r="AQ54">
        <v>3</v>
      </c>
      <c r="AR54">
        <v>0</v>
      </c>
      <c r="AS54">
        <v>2</v>
      </c>
      <c r="AT54">
        <v>2</v>
      </c>
      <c r="AU54">
        <v>2</v>
      </c>
      <c r="AV54">
        <v>2</v>
      </c>
      <c r="AW54">
        <v>2</v>
      </c>
      <c r="AX54">
        <v>2</v>
      </c>
      <c r="AY54">
        <v>3</v>
      </c>
      <c r="AZ54">
        <v>0</v>
      </c>
      <c r="BA54">
        <v>2</v>
      </c>
      <c r="BB54">
        <v>1</v>
      </c>
      <c r="BC54">
        <v>3</v>
      </c>
      <c r="BD54">
        <v>0</v>
      </c>
      <c r="BE54">
        <v>1</v>
      </c>
      <c r="BF54">
        <v>1</v>
      </c>
      <c r="BG54">
        <v>1</v>
      </c>
      <c r="BH54">
        <v>2</v>
      </c>
      <c r="BI54">
        <v>2</v>
      </c>
      <c r="BJ54">
        <v>68151264</v>
      </c>
      <c r="BK54">
        <v>207047296</v>
      </c>
      <c r="BL54">
        <v>437220.28</v>
      </c>
      <c r="BM54">
        <v>2166736</v>
      </c>
      <c r="BN54">
        <v>60381012</v>
      </c>
      <c r="BO54">
        <v>3316778.5</v>
      </c>
      <c r="BP54">
        <v>2276807.25</v>
      </c>
      <c r="BQ54">
        <v>137814656</v>
      </c>
      <c r="BR54">
        <v>2128778.25</v>
      </c>
      <c r="BS54">
        <v>2309841.5</v>
      </c>
      <c r="BT54">
        <v>16650879</v>
      </c>
      <c r="BU54">
        <v>2774577.5</v>
      </c>
      <c r="BV54">
        <v>1847114</v>
      </c>
      <c r="BW54">
        <v>6126842</v>
      </c>
      <c r="BX54">
        <v>49234872</v>
      </c>
      <c r="BY54">
        <v>105055976</v>
      </c>
      <c r="BZ54">
        <v>2370933.75</v>
      </c>
      <c r="CA54">
        <v>157466464</v>
      </c>
      <c r="CB54">
        <v>2217746.5</v>
      </c>
      <c r="CC54">
        <v>3238513</v>
      </c>
      <c r="CD54" s="17" t="s">
        <v>1149</v>
      </c>
      <c r="CE54" s="21">
        <v>45104120</v>
      </c>
      <c r="CF54" s="21">
        <v>20539622</v>
      </c>
      <c r="CG54" s="19">
        <v>29569120</v>
      </c>
      <c r="CH54" s="19">
        <v>23978620</v>
      </c>
      <c r="CI54" s="21">
        <v>18961588</v>
      </c>
      <c r="CJ54" s="21">
        <v>27645194</v>
      </c>
      <c r="CK54" s="19">
        <v>17461208</v>
      </c>
      <c r="CL54" s="19">
        <v>34612524</v>
      </c>
      <c r="CM54" s="21">
        <v>22401270</v>
      </c>
      <c r="CN54" s="21">
        <v>41043348</v>
      </c>
      <c r="CO54" s="19">
        <v>44548076</v>
      </c>
      <c r="CP54" s="19">
        <v>21064140</v>
      </c>
      <c r="CQ54" s="21">
        <v>24679812</v>
      </c>
      <c r="CR54" s="21">
        <v>51061460</v>
      </c>
      <c r="CS54" s="19">
        <v>18846390</v>
      </c>
      <c r="CT54" s="19">
        <v>63550264</v>
      </c>
      <c r="CU54" s="21">
        <v>22751378</v>
      </c>
      <c r="CV54" s="21">
        <v>51457348</v>
      </c>
      <c r="CW54" s="19">
        <v>22430028</v>
      </c>
      <c r="CX54" s="19">
        <v>66129316</v>
      </c>
    </row>
    <row r="55" spans="1:102">
      <c r="A55">
        <v>30994</v>
      </c>
      <c r="B55" t="s">
        <v>745</v>
      </c>
      <c r="C55" t="s">
        <v>1150</v>
      </c>
      <c r="D55" t="s">
        <v>746</v>
      </c>
      <c r="F55" t="s">
        <v>747</v>
      </c>
      <c r="G55">
        <v>21.097000000000001</v>
      </c>
      <c r="H55" t="s">
        <v>104</v>
      </c>
      <c r="I55">
        <v>2</v>
      </c>
      <c r="J55">
        <v>21</v>
      </c>
      <c r="K55">
        <v>0</v>
      </c>
      <c r="L55">
        <v>0</v>
      </c>
      <c r="M55">
        <v>0</v>
      </c>
      <c r="N55">
        <v>-1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0</v>
      </c>
      <c r="AS55">
        <v>0</v>
      </c>
      <c r="AT55">
        <v>1</v>
      </c>
      <c r="AU55">
        <v>1</v>
      </c>
      <c r="AV55">
        <v>1</v>
      </c>
      <c r="AW55">
        <v>1</v>
      </c>
      <c r="AX55">
        <v>0</v>
      </c>
      <c r="AY55">
        <v>0</v>
      </c>
      <c r="AZ55">
        <v>0</v>
      </c>
      <c r="BA55">
        <v>1</v>
      </c>
      <c r="BB55">
        <v>2</v>
      </c>
      <c r="BC55">
        <v>0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635851.62</v>
      </c>
      <c r="BK55">
        <v>657195.38</v>
      </c>
      <c r="BM55">
        <v>175129.09</v>
      </c>
      <c r="BN55">
        <v>901005.38</v>
      </c>
      <c r="BO55">
        <v>724252.19</v>
      </c>
      <c r="BP55">
        <v>722459.44</v>
      </c>
      <c r="BQ55">
        <v>546462.68999999994</v>
      </c>
      <c r="BR55">
        <v>387184.41</v>
      </c>
      <c r="BS55">
        <v>107087.41</v>
      </c>
      <c r="BT55">
        <v>63791.199999999997</v>
      </c>
      <c r="BU55">
        <v>603161.5</v>
      </c>
      <c r="BV55">
        <v>988505.38</v>
      </c>
      <c r="BW55">
        <v>296676.25</v>
      </c>
      <c r="BX55">
        <v>614835.93999999994</v>
      </c>
      <c r="BY55">
        <v>493373.31</v>
      </c>
      <c r="BZ55">
        <v>428252.31</v>
      </c>
      <c r="CA55">
        <v>255088.73</v>
      </c>
      <c r="CB55">
        <v>275052.06</v>
      </c>
      <c r="CC55">
        <v>50793.58</v>
      </c>
      <c r="CD55" s="17" t="s">
        <v>1150</v>
      </c>
      <c r="CE55" s="21">
        <v>807801.88</v>
      </c>
      <c r="CF55" s="21">
        <v>524910.12</v>
      </c>
      <c r="CG55" s="19">
        <v>1861110.38</v>
      </c>
      <c r="CH55" s="19">
        <v>1808236</v>
      </c>
      <c r="CI55" s="21">
        <v>1070867</v>
      </c>
      <c r="CJ55" s="21">
        <v>732117.19</v>
      </c>
      <c r="CK55" s="19">
        <v>724772.25</v>
      </c>
      <c r="CL55" s="19">
        <v>523747.75</v>
      </c>
      <c r="CM55" s="21">
        <v>691537.88</v>
      </c>
      <c r="CN55" s="21">
        <v>713928.38</v>
      </c>
      <c r="CO55" s="19">
        <v>92137.26</v>
      </c>
      <c r="CP55" s="19">
        <v>633901.81000000006</v>
      </c>
      <c r="CQ55" s="21">
        <v>292259.53000000003</v>
      </c>
      <c r="CR55" s="21">
        <v>277691.12</v>
      </c>
      <c r="CS55" s="19">
        <v>636290.62</v>
      </c>
      <c r="CT55" s="19">
        <v>797506.25</v>
      </c>
      <c r="CU55" s="21">
        <v>139030.20000000001</v>
      </c>
      <c r="CV55" s="21">
        <v>262828</v>
      </c>
      <c r="CW55" s="19">
        <v>88736.38</v>
      </c>
      <c r="CX55" s="19">
        <v>63255.12</v>
      </c>
    </row>
    <row r="56" spans="1:102">
      <c r="A56">
        <v>31120</v>
      </c>
      <c r="B56" t="s">
        <v>654</v>
      </c>
      <c r="C56" t="s">
        <v>1151</v>
      </c>
      <c r="D56" t="s">
        <v>654</v>
      </c>
      <c r="E56" t="s">
        <v>655</v>
      </c>
      <c r="F56" t="s">
        <v>656</v>
      </c>
      <c r="G56">
        <v>43.445999999999998</v>
      </c>
      <c r="H56" t="s">
        <v>104</v>
      </c>
      <c r="I56">
        <v>2</v>
      </c>
      <c r="J56">
        <v>1</v>
      </c>
      <c r="K56">
        <v>2</v>
      </c>
      <c r="L56">
        <v>0</v>
      </c>
      <c r="M56">
        <v>0</v>
      </c>
      <c r="N56">
        <v>-1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3</v>
      </c>
      <c r="W56">
        <v>4</v>
      </c>
      <c r="X56">
        <v>1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>
        <v>4</v>
      </c>
      <c r="AL56">
        <v>4</v>
      </c>
      <c r="AM56">
        <v>4</v>
      </c>
      <c r="AN56">
        <v>4</v>
      </c>
      <c r="AO56">
        <v>4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3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2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2002499.5</v>
      </c>
      <c r="BK56">
        <v>3225772</v>
      </c>
      <c r="BL56">
        <v>12784.11</v>
      </c>
      <c r="BM56">
        <v>995023.62</v>
      </c>
      <c r="BN56">
        <v>2971019.5</v>
      </c>
      <c r="BO56">
        <v>3517751.25</v>
      </c>
      <c r="BP56">
        <v>2589967</v>
      </c>
      <c r="BQ56">
        <v>2333908</v>
      </c>
      <c r="BR56">
        <v>1660150.5</v>
      </c>
      <c r="BS56">
        <v>1509249.5</v>
      </c>
      <c r="BT56">
        <v>551368.68999999994</v>
      </c>
      <c r="BU56">
        <v>2654299.5</v>
      </c>
      <c r="BV56">
        <v>1813071.25</v>
      </c>
      <c r="BW56">
        <v>1708543.75</v>
      </c>
      <c r="BX56">
        <v>2366631.75</v>
      </c>
      <c r="BY56">
        <v>3127889.75</v>
      </c>
      <c r="BZ56">
        <v>1609232</v>
      </c>
      <c r="CA56">
        <v>2254050</v>
      </c>
      <c r="CB56">
        <v>1147996.75</v>
      </c>
      <c r="CC56">
        <v>564834.18999999994</v>
      </c>
      <c r="CD56" s="17" t="s">
        <v>1151</v>
      </c>
      <c r="CE56" s="21">
        <v>1696297.12</v>
      </c>
      <c r="CF56" s="21">
        <v>1972246.12</v>
      </c>
      <c r="CG56" s="19">
        <v>1830907</v>
      </c>
      <c r="CH56" s="19">
        <v>1729898.75</v>
      </c>
      <c r="CI56" s="21">
        <v>2165781.5</v>
      </c>
      <c r="CJ56" s="21">
        <v>2230880.5</v>
      </c>
      <c r="CK56" s="19">
        <v>1714718.5</v>
      </c>
      <c r="CL56" s="19">
        <v>1460739.12</v>
      </c>
      <c r="CM56" s="21">
        <v>1593163</v>
      </c>
      <c r="CN56" s="21">
        <v>1286989.5</v>
      </c>
      <c r="CO56" s="19">
        <v>1813070.38</v>
      </c>
      <c r="CP56" s="19">
        <v>1826596.25</v>
      </c>
      <c r="CQ56" s="21">
        <v>1028278.12</v>
      </c>
      <c r="CR56" s="21">
        <v>944114.62</v>
      </c>
      <c r="CS56" s="19">
        <v>2455799.25</v>
      </c>
      <c r="CT56" s="19">
        <v>2208645.75</v>
      </c>
      <c r="CU56" s="21">
        <v>1883398.38</v>
      </c>
      <c r="CV56" s="21">
        <v>1551297.5</v>
      </c>
      <c r="CW56" s="19">
        <v>1274932.6200000001</v>
      </c>
      <c r="CX56" s="19">
        <v>744823.88</v>
      </c>
    </row>
    <row r="57" spans="1:102">
      <c r="A57">
        <v>31065</v>
      </c>
      <c r="B57" t="s">
        <v>356</v>
      </c>
      <c r="C57" t="s">
        <v>1152</v>
      </c>
      <c r="D57" t="s">
        <v>357</v>
      </c>
      <c r="E57" t="s">
        <v>358</v>
      </c>
      <c r="F57" t="s">
        <v>359</v>
      </c>
      <c r="G57">
        <v>442.65600000000001</v>
      </c>
      <c r="H57" t="s">
        <v>104</v>
      </c>
      <c r="I57">
        <v>2</v>
      </c>
      <c r="J57">
        <v>12</v>
      </c>
      <c r="K57">
        <v>9</v>
      </c>
      <c r="L57">
        <v>0</v>
      </c>
      <c r="M57">
        <v>0</v>
      </c>
      <c r="N57">
        <v>-1</v>
      </c>
      <c r="O57">
        <v>13</v>
      </c>
      <c r="P57">
        <v>11</v>
      </c>
      <c r="Q57">
        <v>14</v>
      </c>
      <c r="R57">
        <v>12</v>
      </c>
      <c r="S57">
        <v>14</v>
      </c>
      <c r="T57">
        <v>12</v>
      </c>
      <c r="U57">
        <v>12</v>
      </c>
      <c r="V57">
        <v>11</v>
      </c>
      <c r="W57">
        <v>12</v>
      </c>
      <c r="X57">
        <v>9</v>
      </c>
      <c r="Y57">
        <v>12</v>
      </c>
      <c r="Z57">
        <v>12</v>
      </c>
      <c r="AA57">
        <v>12</v>
      </c>
      <c r="AB57">
        <v>12</v>
      </c>
      <c r="AC57">
        <v>12</v>
      </c>
      <c r="AD57">
        <v>12</v>
      </c>
      <c r="AE57">
        <v>12</v>
      </c>
      <c r="AF57">
        <v>12</v>
      </c>
      <c r="AG57">
        <v>12</v>
      </c>
      <c r="AH57">
        <v>12</v>
      </c>
      <c r="AI57">
        <v>12</v>
      </c>
      <c r="AJ57">
        <v>12</v>
      </c>
      <c r="AK57">
        <v>12</v>
      </c>
      <c r="AL57">
        <v>12</v>
      </c>
      <c r="AM57">
        <v>12</v>
      </c>
      <c r="AN57">
        <v>12</v>
      </c>
      <c r="AO57">
        <v>12</v>
      </c>
      <c r="AP57">
        <v>24</v>
      </c>
      <c r="AQ57">
        <v>16</v>
      </c>
      <c r="AR57">
        <v>0</v>
      </c>
      <c r="AS57">
        <v>12</v>
      </c>
      <c r="AT57">
        <v>24</v>
      </c>
      <c r="AU57">
        <v>22</v>
      </c>
      <c r="AV57">
        <v>15</v>
      </c>
      <c r="AW57">
        <v>14</v>
      </c>
      <c r="AX57">
        <v>9</v>
      </c>
      <c r="AY57">
        <v>9</v>
      </c>
      <c r="AZ57">
        <v>10</v>
      </c>
      <c r="BA57">
        <v>18</v>
      </c>
      <c r="BB57">
        <v>17</v>
      </c>
      <c r="BC57">
        <v>15</v>
      </c>
      <c r="BD57">
        <v>18</v>
      </c>
      <c r="BE57">
        <v>16</v>
      </c>
      <c r="BF57">
        <v>11</v>
      </c>
      <c r="BG57">
        <v>13</v>
      </c>
      <c r="BH57">
        <v>11</v>
      </c>
      <c r="BI57">
        <v>6</v>
      </c>
      <c r="BJ57">
        <v>107563264</v>
      </c>
      <c r="BK57">
        <v>161381680</v>
      </c>
      <c r="BL57">
        <v>381058.34</v>
      </c>
      <c r="BM57">
        <v>50023608</v>
      </c>
      <c r="BN57">
        <v>227814864</v>
      </c>
      <c r="BO57">
        <v>208591744</v>
      </c>
      <c r="BP57">
        <v>100625632</v>
      </c>
      <c r="BQ57">
        <v>112100032</v>
      </c>
      <c r="BR57">
        <v>37983332</v>
      </c>
      <c r="BS57">
        <v>24921250</v>
      </c>
      <c r="BT57">
        <v>25717048</v>
      </c>
      <c r="BU57">
        <v>146855680</v>
      </c>
      <c r="BV57">
        <v>140557024</v>
      </c>
      <c r="BW57">
        <v>95073344</v>
      </c>
      <c r="BX57">
        <v>164082832</v>
      </c>
      <c r="BY57">
        <v>160976576</v>
      </c>
      <c r="BZ57">
        <v>89047672</v>
      </c>
      <c r="CA57">
        <v>134953568</v>
      </c>
      <c r="CB57">
        <v>36245104</v>
      </c>
      <c r="CC57">
        <v>13567714</v>
      </c>
      <c r="CD57" s="17" t="s">
        <v>1152</v>
      </c>
      <c r="CE57" s="21">
        <v>105587880</v>
      </c>
      <c r="CF57" s="21">
        <v>84043160</v>
      </c>
      <c r="CG57" s="19">
        <v>49053092</v>
      </c>
      <c r="CH57" s="19">
        <v>138056720</v>
      </c>
      <c r="CI57" s="21">
        <v>152911088</v>
      </c>
      <c r="CJ57" s="21">
        <v>144971840</v>
      </c>
      <c r="CK57" s="19">
        <v>71315048</v>
      </c>
      <c r="CL57" s="19">
        <v>80177912</v>
      </c>
      <c r="CM57" s="21">
        <v>34693704</v>
      </c>
      <c r="CN57" s="21">
        <v>39026512</v>
      </c>
      <c r="CO57" s="19">
        <v>83089264</v>
      </c>
      <c r="CP57" s="19">
        <v>94249568</v>
      </c>
      <c r="CQ57" s="21">
        <v>51099748</v>
      </c>
      <c r="CR57" s="21">
        <v>50367844</v>
      </c>
      <c r="CS57" s="19">
        <v>122478072</v>
      </c>
      <c r="CT57" s="19">
        <v>109262904</v>
      </c>
      <c r="CU57" s="21">
        <v>86210672</v>
      </c>
      <c r="CV57" s="21">
        <v>96372736</v>
      </c>
      <c r="CW57" s="19">
        <v>20141734</v>
      </c>
      <c r="CX57" s="19">
        <v>16429408</v>
      </c>
    </row>
    <row r="58" spans="1:102">
      <c r="A58">
        <v>31119</v>
      </c>
      <c r="B58" t="s">
        <v>581</v>
      </c>
      <c r="C58" t="s">
        <v>1153</v>
      </c>
      <c r="D58" t="s">
        <v>582</v>
      </c>
      <c r="F58" t="s">
        <v>583</v>
      </c>
      <c r="G58">
        <v>97.358999999999995</v>
      </c>
      <c r="H58" t="s">
        <v>104</v>
      </c>
      <c r="I58">
        <v>2</v>
      </c>
      <c r="J58">
        <v>2</v>
      </c>
      <c r="K58">
        <v>0</v>
      </c>
      <c r="L58">
        <v>0</v>
      </c>
      <c r="M58">
        <v>0</v>
      </c>
      <c r="N58">
        <v>-1</v>
      </c>
      <c r="O58">
        <v>3</v>
      </c>
      <c r="P58">
        <v>3</v>
      </c>
      <c r="Q58">
        <v>3</v>
      </c>
      <c r="R58">
        <v>3</v>
      </c>
      <c r="S58">
        <v>3</v>
      </c>
      <c r="T58">
        <v>3</v>
      </c>
      <c r="U58">
        <v>3</v>
      </c>
      <c r="V58">
        <v>1</v>
      </c>
      <c r="W58">
        <v>2</v>
      </c>
      <c r="X58">
        <v>2</v>
      </c>
      <c r="Y58">
        <v>2</v>
      </c>
      <c r="Z58">
        <v>2</v>
      </c>
      <c r="AA58">
        <v>2</v>
      </c>
      <c r="AB58">
        <v>2</v>
      </c>
      <c r="AC58">
        <v>1</v>
      </c>
      <c r="AD58">
        <v>2</v>
      </c>
      <c r="AE58">
        <v>1</v>
      </c>
      <c r="AF58">
        <v>3</v>
      </c>
      <c r="AG58">
        <v>2</v>
      </c>
      <c r="AH58">
        <v>2</v>
      </c>
      <c r="AI58">
        <v>1</v>
      </c>
      <c r="AJ58">
        <v>2</v>
      </c>
      <c r="AK58">
        <v>2</v>
      </c>
      <c r="AL58">
        <v>2</v>
      </c>
      <c r="AM58">
        <v>1</v>
      </c>
      <c r="AN58">
        <v>2</v>
      </c>
      <c r="AO58">
        <v>1</v>
      </c>
      <c r="AP58">
        <v>2</v>
      </c>
      <c r="AQ58">
        <v>2</v>
      </c>
      <c r="AR58">
        <v>3</v>
      </c>
      <c r="AS58">
        <v>2</v>
      </c>
      <c r="AT58">
        <v>3</v>
      </c>
      <c r="AU58">
        <v>2</v>
      </c>
      <c r="AV58">
        <v>2</v>
      </c>
      <c r="AW58">
        <v>2</v>
      </c>
      <c r="AX58">
        <v>2</v>
      </c>
      <c r="AY58">
        <v>2</v>
      </c>
      <c r="AZ58">
        <v>2</v>
      </c>
      <c r="BA58">
        <v>2</v>
      </c>
      <c r="BB58">
        <v>4</v>
      </c>
      <c r="BC58">
        <v>2</v>
      </c>
      <c r="BD58">
        <v>3</v>
      </c>
      <c r="BE58">
        <v>2</v>
      </c>
      <c r="BF58">
        <v>2</v>
      </c>
      <c r="BG58">
        <v>2</v>
      </c>
      <c r="BH58">
        <v>2</v>
      </c>
      <c r="BI58">
        <v>1</v>
      </c>
      <c r="BJ58">
        <v>3847942</v>
      </c>
      <c r="BK58">
        <v>5391521</v>
      </c>
      <c r="BL58">
        <v>1226060.3799999999</v>
      </c>
      <c r="BM58">
        <v>1836831</v>
      </c>
      <c r="BN58">
        <v>9026884</v>
      </c>
      <c r="BO58">
        <v>6978825.5</v>
      </c>
      <c r="BP58">
        <v>5927941.5</v>
      </c>
      <c r="BQ58">
        <v>3699123</v>
      </c>
      <c r="BR58">
        <v>1757298.38</v>
      </c>
      <c r="BS58">
        <v>608493.06000000006</v>
      </c>
      <c r="BT58">
        <v>1712617.12</v>
      </c>
      <c r="BU58">
        <v>4637731</v>
      </c>
      <c r="BV58">
        <v>11488324</v>
      </c>
      <c r="BW58">
        <v>2982564.75</v>
      </c>
      <c r="BX58">
        <v>7666698</v>
      </c>
      <c r="BY58">
        <v>5409650.5</v>
      </c>
      <c r="BZ58">
        <v>5336204.5</v>
      </c>
      <c r="CA58">
        <v>3778128</v>
      </c>
      <c r="CB58">
        <v>2018879</v>
      </c>
      <c r="CC58">
        <v>373988.34</v>
      </c>
      <c r="CD58" s="17" t="s">
        <v>1153</v>
      </c>
      <c r="CE58" s="21">
        <v>7775051.5</v>
      </c>
      <c r="CF58" s="21">
        <v>28313122</v>
      </c>
      <c r="CG58" s="19">
        <v>94137024</v>
      </c>
      <c r="CH58" s="19">
        <v>36081416</v>
      </c>
      <c r="CI58" s="21">
        <v>24051970</v>
      </c>
      <c r="CJ58" s="21">
        <v>27331272</v>
      </c>
      <c r="CK58" s="19">
        <v>14744498</v>
      </c>
      <c r="CL58" s="19">
        <v>17134780</v>
      </c>
      <c r="CM58" s="21">
        <v>5039323</v>
      </c>
      <c r="CN58" s="21">
        <v>5795311.5</v>
      </c>
      <c r="CO58" s="19">
        <v>11211874</v>
      </c>
      <c r="CP58" s="19">
        <v>11057717</v>
      </c>
      <c r="CQ58" s="21">
        <v>8309137</v>
      </c>
      <c r="CR58" s="21">
        <v>5679039</v>
      </c>
      <c r="CS58" s="19">
        <v>14212050</v>
      </c>
      <c r="CT58" s="19">
        <v>13371218</v>
      </c>
      <c r="CU58" s="21">
        <v>9504318</v>
      </c>
      <c r="CV58" s="21">
        <v>9484677</v>
      </c>
      <c r="CW58" s="19">
        <v>1815053.75</v>
      </c>
      <c r="CX58" s="19">
        <v>1330416.25</v>
      </c>
    </row>
    <row r="59" spans="1:102">
      <c r="A59">
        <v>31100</v>
      </c>
      <c r="B59" t="s">
        <v>705</v>
      </c>
      <c r="C59" t="s">
        <v>1154</v>
      </c>
      <c r="D59" t="s">
        <v>706</v>
      </c>
      <c r="F59" t="s">
        <v>707</v>
      </c>
      <c r="G59">
        <v>28.41</v>
      </c>
      <c r="H59" t="s">
        <v>104</v>
      </c>
      <c r="I59">
        <v>2</v>
      </c>
      <c r="J59">
        <v>2</v>
      </c>
      <c r="K59">
        <v>0</v>
      </c>
      <c r="L59">
        <v>0</v>
      </c>
      <c r="M59">
        <v>0</v>
      </c>
      <c r="N59">
        <v>-1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1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1</v>
      </c>
      <c r="BC59">
        <v>0</v>
      </c>
      <c r="BD59">
        <v>1</v>
      </c>
      <c r="BE59">
        <v>1</v>
      </c>
      <c r="BF59">
        <v>0</v>
      </c>
      <c r="BG59">
        <v>1</v>
      </c>
      <c r="BH59">
        <v>0</v>
      </c>
      <c r="BI59">
        <v>0</v>
      </c>
      <c r="BJ59">
        <v>341715.38</v>
      </c>
      <c r="BK59">
        <v>368874.88</v>
      </c>
      <c r="BL59">
        <v>61275.14</v>
      </c>
      <c r="BM59">
        <v>108236.34</v>
      </c>
      <c r="BN59">
        <v>653994.93999999994</v>
      </c>
      <c r="BO59">
        <v>570300.81000000006</v>
      </c>
      <c r="BP59">
        <v>356114.25</v>
      </c>
      <c r="BQ59">
        <v>201687.78</v>
      </c>
      <c r="BT59">
        <v>70107.05</v>
      </c>
      <c r="BU59">
        <v>468527.72</v>
      </c>
      <c r="BV59">
        <v>384766.78</v>
      </c>
      <c r="BW59">
        <v>400598.88</v>
      </c>
      <c r="BX59">
        <v>576935.31000000006</v>
      </c>
      <c r="BY59">
        <v>668031.62</v>
      </c>
      <c r="BZ59">
        <v>318625.59000000003</v>
      </c>
      <c r="CA59">
        <v>441578.88</v>
      </c>
      <c r="CB59">
        <v>57564.47</v>
      </c>
      <c r="CD59" s="17" t="s">
        <v>1154</v>
      </c>
      <c r="CE59" s="21">
        <v>341715.38</v>
      </c>
      <c r="CF59" s="21">
        <v>248351.03</v>
      </c>
      <c r="CG59" s="19">
        <v>7055379</v>
      </c>
      <c r="CH59" s="19">
        <v>383567</v>
      </c>
      <c r="CI59" s="21">
        <v>476855.22</v>
      </c>
      <c r="CJ59" s="21">
        <v>545532.62</v>
      </c>
      <c r="CK59" s="19">
        <v>258478.95</v>
      </c>
      <c r="CL59" s="19">
        <v>299619.75</v>
      </c>
      <c r="CM59" s="21">
        <v>189813.17</v>
      </c>
      <c r="CN59" s="21">
        <v>63144.07</v>
      </c>
      <c r="CO59" s="19">
        <v>199291.7</v>
      </c>
      <c r="CP59" s="19">
        <v>323530</v>
      </c>
      <c r="CQ59" s="21">
        <v>112186.08</v>
      </c>
      <c r="CR59" s="21">
        <v>226531.61</v>
      </c>
      <c r="CS59" s="19">
        <v>344371.12</v>
      </c>
      <c r="CT59" s="19">
        <v>487904.47</v>
      </c>
      <c r="CU59" s="21">
        <v>164048.25</v>
      </c>
      <c r="CV59" s="21">
        <v>322166.56</v>
      </c>
      <c r="CW59" s="19">
        <v>200247.95</v>
      </c>
      <c r="CX59" s="19">
        <v>113166.88</v>
      </c>
    </row>
    <row r="60" spans="1:102">
      <c r="A60">
        <v>31134</v>
      </c>
      <c r="B60" t="s">
        <v>323</v>
      </c>
      <c r="C60" t="s">
        <v>1155</v>
      </c>
      <c r="D60" t="s">
        <v>323</v>
      </c>
      <c r="E60" t="s">
        <v>324</v>
      </c>
      <c r="F60" t="s">
        <v>325</v>
      </c>
      <c r="G60">
        <v>517.52499999999998</v>
      </c>
      <c r="H60" t="s">
        <v>104</v>
      </c>
      <c r="I60">
        <v>2</v>
      </c>
      <c r="J60">
        <v>1</v>
      </c>
      <c r="K60">
        <v>1</v>
      </c>
      <c r="L60">
        <v>0</v>
      </c>
      <c r="M60">
        <v>0</v>
      </c>
      <c r="N60">
        <v>-1</v>
      </c>
      <c r="O60">
        <v>13</v>
      </c>
      <c r="P60">
        <v>3</v>
      </c>
      <c r="Q60">
        <v>15</v>
      </c>
      <c r="R60">
        <v>3</v>
      </c>
      <c r="S60">
        <v>15</v>
      </c>
      <c r="T60">
        <v>3</v>
      </c>
      <c r="U60">
        <v>3</v>
      </c>
      <c r="V60">
        <v>2</v>
      </c>
      <c r="W60">
        <v>3</v>
      </c>
      <c r="X60">
        <v>1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3</v>
      </c>
      <c r="AL60">
        <v>3</v>
      </c>
      <c r="AM60">
        <v>3</v>
      </c>
      <c r="AN60">
        <v>3</v>
      </c>
      <c r="AO60">
        <v>3</v>
      </c>
      <c r="AP60">
        <v>3</v>
      </c>
      <c r="AQ60">
        <v>3</v>
      </c>
      <c r="AR60">
        <v>0</v>
      </c>
      <c r="AS60">
        <v>4</v>
      </c>
      <c r="AT60">
        <v>3</v>
      </c>
      <c r="AU60">
        <v>4</v>
      </c>
      <c r="AV60">
        <v>4</v>
      </c>
      <c r="AW60">
        <v>3</v>
      </c>
      <c r="AX60">
        <v>6</v>
      </c>
      <c r="AY60">
        <v>6</v>
      </c>
      <c r="AZ60">
        <v>3</v>
      </c>
      <c r="BA60">
        <v>4</v>
      </c>
      <c r="BB60">
        <v>2</v>
      </c>
      <c r="BC60">
        <v>4</v>
      </c>
      <c r="BD60">
        <v>3</v>
      </c>
      <c r="BE60">
        <v>4</v>
      </c>
      <c r="BF60">
        <v>4</v>
      </c>
      <c r="BG60">
        <v>3</v>
      </c>
      <c r="BH60">
        <v>6</v>
      </c>
      <c r="BI60">
        <v>5</v>
      </c>
      <c r="BJ60">
        <v>51852684</v>
      </c>
      <c r="BK60">
        <v>98533752</v>
      </c>
      <c r="BL60">
        <v>552442.38</v>
      </c>
      <c r="BM60">
        <v>54829304</v>
      </c>
      <c r="BN60">
        <v>61614400</v>
      </c>
      <c r="BO60">
        <v>71159296</v>
      </c>
      <c r="BP60">
        <v>70762408</v>
      </c>
      <c r="BQ60">
        <v>47051004</v>
      </c>
      <c r="BR60">
        <v>102481464</v>
      </c>
      <c r="BS60">
        <v>80703888</v>
      </c>
      <c r="BT60">
        <v>11232729</v>
      </c>
      <c r="BU60">
        <v>77884728</v>
      </c>
      <c r="BV60">
        <v>42488504</v>
      </c>
      <c r="BW60">
        <v>123582704</v>
      </c>
      <c r="BX60">
        <v>46751828</v>
      </c>
      <c r="BY60">
        <v>58841172</v>
      </c>
      <c r="BZ60">
        <v>59262456</v>
      </c>
      <c r="CA60">
        <v>52821924</v>
      </c>
      <c r="CB60">
        <v>67529104</v>
      </c>
      <c r="CC60">
        <v>67693728</v>
      </c>
      <c r="CD60" s="17" t="s">
        <v>1155</v>
      </c>
      <c r="CE60" s="21">
        <v>19242500</v>
      </c>
      <c r="CF60" s="21">
        <v>16493165</v>
      </c>
      <c r="CG60" s="19">
        <v>8390496</v>
      </c>
      <c r="CH60" s="19">
        <v>11441273</v>
      </c>
      <c r="CI60" s="21">
        <v>15000945</v>
      </c>
      <c r="CJ60" s="21">
        <v>13624909</v>
      </c>
      <c r="CK60" s="19">
        <v>15353310</v>
      </c>
      <c r="CL60" s="19">
        <v>18370520</v>
      </c>
      <c r="CM60" s="21">
        <v>43060076</v>
      </c>
      <c r="CN60" s="21">
        <v>25648552</v>
      </c>
      <c r="CO60" s="19">
        <v>13627275</v>
      </c>
      <c r="CP60" s="19">
        <v>17119976</v>
      </c>
      <c r="CQ60" s="21">
        <v>22879292</v>
      </c>
      <c r="CR60" s="21">
        <v>18713276</v>
      </c>
      <c r="CS60" s="19">
        <v>13006296</v>
      </c>
      <c r="CT60" s="19">
        <v>9499225</v>
      </c>
      <c r="CU60" s="21">
        <v>11080019</v>
      </c>
      <c r="CV60" s="21">
        <v>10475346</v>
      </c>
      <c r="CW60" s="19">
        <v>21145468</v>
      </c>
      <c r="CX60" s="19">
        <v>29744674</v>
      </c>
    </row>
    <row r="61" spans="1:102">
      <c r="A61">
        <v>31133</v>
      </c>
      <c r="B61" t="s">
        <v>360</v>
      </c>
      <c r="C61" t="s">
        <v>1155</v>
      </c>
      <c r="D61" t="s">
        <v>360</v>
      </c>
      <c r="F61" t="s">
        <v>361</v>
      </c>
      <c r="G61">
        <v>438.93700000000001</v>
      </c>
      <c r="H61" t="s">
        <v>104</v>
      </c>
      <c r="I61">
        <v>2</v>
      </c>
      <c r="J61">
        <v>1</v>
      </c>
      <c r="K61">
        <v>0</v>
      </c>
      <c r="L61">
        <v>0</v>
      </c>
      <c r="M61">
        <v>0</v>
      </c>
      <c r="N61">
        <v>-1</v>
      </c>
      <c r="O61">
        <v>11</v>
      </c>
      <c r="P61">
        <v>1</v>
      </c>
      <c r="Q61">
        <v>13</v>
      </c>
      <c r="R61">
        <v>1</v>
      </c>
      <c r="S61">
        <v>13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2</v>
      </c>
      <c r="AQ61">
        <v>2</v>
      </c>
      <c r="AR61">
        <v>0</v>
      </c>
      <c r="AS61">
        <v>2</v>
      </c>
      <c r="AT61">
        <v>2</v>
      </c>
      <c r="AU61">
        <v>2</v>
      </c>
      <c r="AV61">
        <v>2</v>
      </c>
      <c r="AW61">
        <v>2</v>
      </c>
      <c r="AX61">
        <v>2</v>
      </c>
      <c r="AY61">
        <v>3</v>
      </c>
      <c r="AZ61">
        <v>0</v>
      </c>
      <c r="BA61">
        <v>2</v>
      </c>
      <c r="BB61">
        <v>1</v>
      </c>
      <c r="BC61">
        <v>2</v>
      </c>
      <c r="BD61">
        <v>1</v>
      </c>
      <c r="BE61">
        <v>1</v>
      </c>
      <c r="BF61">
        <v>2</v>
      </c>
      <c r="BG61">
        <v>2</v>
      </c>
      <c r="BH61">
        <v>2</v>
      </c>
      <c r="BI61">
        <v>1</v>
      </c>
      <c r="BJ61">
        <v>50730560</v>
      </c>
      <c r="BK61">
        <v>95746424</v>
      </c>
      <c r="BL61">
        <v>568291.88</v>
      </c>
      <c r="BM61">
        <v>55066884</v>
      </c>
      <c r="BN61">
        <v>58454176</v>
      </c>
      <c r="BO61">
        <v>66465980</v>
      </c>
      <c r="BP61">
        <v>71578224</v>
      </c>
      <c r="BQ61">
        <v>44935600</v>
      </c>
      <c r="BR61">
        <v>92841272</v>
      </c>
      <c r="BS61">
        <v>83265936</v>
      </c>
      <c r="BT61">
        <v>11286522</v>
      </c>
      <c r="BU61">
        <v>73046016</v>
      </c>
      <c r="BV61">
        <v>41670056</v>
      </c>
      <c r="BW61">
        <v>126737664</v>
      </c>
      <c r="BX61">
        <v>44003192</v>
      </c>
      <c r="BY61">
        <v>59792988</v>
      </c>
      <c r="BZ61">
        <v>57194900</v>
      </c>
      <c r="CA61">
        <v>48681236</v>
      </c>
      <c r="CB61">
        <v>65997224</v>
      </c>
      <c r="CC61">
        <v>57985600</v>
      </c>
      <c r="CD61" s="17" t="s">
        <v>1155</v>
      </c>
      <c r="CE61" s="21">
        <v>14763184</v>
      </c>
      <c r="CF61" s="21">
        <v>15701048</v>
      </c>
      <c r="CG61" s="19">
        <v>8661357</v>
      </c>
      <c r="CH61" s="19">
        <v>12467477</v>
      </c>
      <c r="CI61" s="21">
        <v>7707377.5</v>
      </c>
      <c r="CJ61" s="21">
        <v>3317886</v>
      </c>
      <c r="CK61" s="19">
        <v>16161830</v>
      </c>
      <c r="CL61" s="19">
        <v>18414434</v>
      </c>
      <c r="CM61" s="21">
        <v>20520986</v>
      </c>
      <c r="CN61" s="21">
        <v>19639300</v>
      </c>
      <c r="CO61" s="19">
        <v>10365811</v>
      </c>
      <c r="CP61" s="19">
        <v>9855717</v>
      </c>
      <c r="CQ61" s="21">
        <v>15999191</v>
      </c>
      <c r="CR61" s="21">
        <v>15133634</v>
      </c>
      <c r="CS61" s="19">
        <v>5535091</v>
      </c>
      <c r="CT61" s="19">
        <v>10159449</v>
      </c>
      <c r="CU61" s="21">
        <v>1749786.5</v>
      </c>
      <c r="CV61" s="21">
        <v>2275294</v>
      </c>
      <c r="CW61" s="19">
        <v>23624834</v>
      </c>
      <c r="CX61" s="19">
        <v>7714482.5</v>
      </c>
    </row>
    <row r="62" spans="1:102">
      <c r="A62">
        <v>31081</v>
      </c>
      <c r="B62" t="s">
        <v>497</v>
      </c>
      <c r="C62" t="s">
        <v>1156</v>
      </c>
      <c r="D62" t="s">
        <v>498</v>
      </c>
      <c r="F62" t="s">
        <v>499</v>
      </c>
      <c r="G62">
        <v>178.93</v>
      </c>
      <c r="H62" t="s">
        <v>104</v>
      </c>
      <c r="I62">
        <v>2</v>
      </c>
      <c r="J62">
        <v>3</v>
      </c>
      <c r="K62">
        <v>0</v>
      </c>
      <c r="L62">
        <v>0</v>
      </c>
      <c r="M62">
        <v>0</v>
      </c>
      <c r="N62">
        <v>-1</v>
      </c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3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3</v>
      </c>
      <c r="AQ62">
        <v>5</v>
      </c>
      <c r="AR62">
        <v>0</v>
      </c>
      <c r="AS62">
        <v>0</v>
      </c>
      <c r="AT62">
        <v>8</v>
      </c>
      <c r="AU62">
        <v>6</v>
      </c>
      <c r="AV62">
        <v>6</v>
      </c>
      <c r="AW62">
        <v>6</v>
      </c>
      <c r="AX62">
        <v>4</v>
      </c>
      <c r="AY62">
        <v>2</v>
      </c>
      <c r="AZ62">
        <v>3</v>
      </c>
      <c r="BA62">
        <v>8</v>
      </c>
      <c r="BB62">
        <v>8</v>
      </c>
      <c r="BC62">
        <v>2</v>
      </c>
      <c r="BD62">
        <v>5</v>
      </c>
      <c r="BE62">
        <v>7</v>
      </c>
      <c r="BF62">
        <v>6</v>
      </c>
      <c r="BG62">
        <v>6</v>
      </c>
      <c r="BH62">
        <v>4</v>
      </c>
      <c r="BI62">
        <v>1</v>
      </c>
      <c r="BJ62">
        <v>14453046</v>
      </c>
      <c r="BK62">
        <v>15134369</v>
      </c>
      <c r="BL62">
        <v>144464.04999999999</v>
      </c>
      <c r="BM62">
        <v>3515556.25</v>
      </c>
      <c r="BN62">
        <v>16917772</v>
      </c>
      <c r="BO62">
        <v>14645520</v>
      </c>
      <c r="BP62">
        <v>11787194</v>
      </c>
      <c r="BQ62">
        <v>9147267</v>
      </c>
      <c r="BR62">
        <v>6079527.5</v>
      </c>
      <c r="BS62">
        <v>3180824.25</v>
      </c>
      <c r="BT62">
        <v>3244706.25</v>
      </c>
      <c r="BU62">
        <v>9576814</v>
      </c>
      <c r="BV62">
        <v>12463748</v>
      </c>
      <c r="BW62">
        <v>6064958.5</v>
      </c>
      <c r="BX62">
        <v>12657194</v>
      </c>
      <c r="BY62">
        <v>10821903</v>
      </c>
      <c r="BZ62">
        <v>10268772</v>
      </c>
      <c r="CA62">
        <v>11682915</v>
      </c>
      <c r="CB62">
        <v>5767005.5</v>
      </c>
      <c r="CC62">
        <v>2199005.75</v>
      </c>
      <c r="CD62" s="17" t="s">
        <v>1156</v>
      </c>
      <c r="CE62" s="21">
        <v>16143799</v>
      </c>
      <c r="CF62" s="21">
        <v>10258501</v>
      </c>
      <c r="CG62" s="19">
        <v>7374145</v>
      </c>
      <c r="CH62" s="19">
        <v>14296208</v>
      </c>
      <c r="CI62" s="21">
        <v>13457137</v>
      </c>
      <c r="CJ62" s="21">
        <v>13686799</v>
      </c>
      <c r="CK62" s="19">
        <v>9660069</v>
      </c>
      <c r="CL62" s="19">
        <v>10899205</v>
      </c>
      <c r="CM62" s="21">
        <v>6403888.5</v>
      </c>
      <c r="CN62" s="21">
        <v>7263682</v>
      </c>
      <c r="CO62" s="19">
        <v>8174322.5</v>
      </c>
      <c r="CP62" s="19">
        <v>7428762.5</v>
      </c>
      <c r="CQ62" s="21">
        <v>3973586.75</v>
      </c>
      <c r="CR62" s="21">
        <v>3905656.75</v>
      </c>
      <c r="CS62" s="19">
        <v>9878661</v>
      </c>
      <c r="CT62" s="19">
        <v>8715169</v>
      </c>
      <c r="CU62" s="21">
        <v>8275332</v>
      </c>
      <c r="CV62" s="21">
        <v>9766845</v>
      </c>
      <c r="CW62" s="19">
        <v>2987022.75</v>
      </c>
      <c r="CX62" s="19">
        <v>3617118.25</v>
      </c>
    </row>
    <row r="63" spans="1:102">
      <c r="A63">
        <v>31082</v>
      </c>
      <c r="B63" t="s">
        <v>666</v>
      </c>
      <c r="C63" t="s">
        <v>1157</v>
      </c>
      <c r="D63" t="s">
        <v>667</v>
      </c>
      <c r="F63" t="s">
        <v>668</v>
      </c>
      <c r="G63">
        <v>40.087000000000003</v>
      </c>
      <c r="H63" t="s">
        <v>104</v>
      </c>
      <c r="I63">
        <v>2</v>
      </c>
      <c r="J63">
        <v>3</v>
      </c>
      <c r="K63">
        <v>0</v>
      </c>
      <c r="L63">
        <v>0</v>
      </c>
      <c r="M63">
        <v>0</v>
      </c>
      <c r="N63">
        <v>-1</v>
      </c>
      <c r="O63">
        <v>3</v>
      </c>
      <c r="P63">
        <v>3</v>
      </c>
      <c r="Q63">
        <v>3</v>
      </c>
      <c r="R63">
        <v>3</v>
      </c>
      <c r="S63">
        <v>3</v>
      </c>
      <c r="T63">
        <v>3</v>
      </c>
      <c r="U63">
        <v>3</v>
      </c>
      <c r="V63">
        <v>3</v>
      </c>
      <c r="W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2</v>
      </c>
      <c r="AG63">
        <v>3</v>
      </c>
      <c r="AH63">
        <v>3</v>
      </c>
      <c r="AI63">
        <v>3</v>
      </c>
      <c r="AJ63">
        <v>3</v>
      </c>
      <c r="AK63">
        <v>3</v>
      </c>
      <c r="AL63">
        <v>3</v>
      </c>
      <c r="AM63">
        <v>3</v>
      </c>
      <c r="AN63">
        <v>3</v>
      </c>
      <c r="AO63">
        <v>3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2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0</v>
      </c>
      <c r="BE63">
        <v>2</v>
      </c>
      <c r="BF63">
        <v>0</v>
      </c>
      <c r="BG63">
        <v>2</v>
      </c>
      <c r="BH63">
        <v>0</v>
      </c>
      <c r="BI63">
        <v>0</v>
      </c>
      <c r="BJ63">
        <v>1264829.75</v>
      </c>
      <c r="BK63">
        <v>1986521.25</v>
      </c>
      <c r="BM63">
        <v>843636.75</v>
      </c>
      <c r="BN63">
        <v>1835964.88</v>
      </c>
      <c r="BO63">
        <v>2024247.75</v>
      </c>
      <c r="BP63">
        <v>2206685</v>
      </c>
      <c r="BQ63">
        <v>2280905.75</v>
      </c>
      <c r="BR63">
        <v>723746.06</v>
      </c>
      <c r="BS63">
        <v>760044.56</v>
      </c>
      <c r="BT63">
        <v>163838.97</v>
      </c>
      <c r="BU63">
        <v>1276451.75</v>
      </c>
      <c r="BV63">
        <v>1185176.5</v>
      </c>
      <c r="BW63">
        <v>1645408.75</v>
      </c>
      <c r="BX63">
        <v>1186893.25</v>
      </c>
      <c r="BY63">
        <v>1763849</v>
      </c>
      <c r="BZ63">
        <v>967282</v>
      </c>
      <c r="CA63">
        <v>1513223.5</v>
      </c>
      <c r="CB63">
        <v>523622.44</v>
      </c>
      <c r="CC63">
        <v>461023.56</v>
      </c>
      <c r="CD63" s="17" t="s">
        <v>1157</v>
      </c>
      <c r="CE63" s="21">
        <v>1117074.25</v>
      </c>
      <c r="CF63" s="21">
        <v>671913.94</v>
      </c>
      <c r="CG63" s="19">
        <v>1861110.38</v>
      </c>
      <c r="CH63" s="19">
        <v>1152440.1200000001</v>
      </c>
      <c r="CI63" s="21">
        <v>1339719.25</v>
      </c>
      <c r="CJ63" s="21">
        <v>1114173</v>
      </c>
      <c r="CK63" s="19">
        <v>1641829.25</v>
      </c>
      <c r="CL63" s="19">
        <v>896146.19</v>
      </c>
      <c r="CM63" s="21">
        <v>665913.43999999994</v>
      </c>
      <c r="CN63" s="21">
        <v>682942.56</v>
      </c>
      <c r="CO63" s="19">
        <v>1062699.75</v>
      </c>
      <c r="CP63" s="19">
        <v>894433.75</v>
      </c>
      <c r="CQ63" s="21">
        <v>821849.31</v>
      </c>
      <c r="CR63" s="21">
        <v>843040.88</v>
      </c>
      <c r="CS63" s="19">
        <v>1182773.1200000001</v>
      </c>
      <c r="CT63" s="19">
        <v>1327280.75</v>
      </c>
      <c r="CU63" s="21">
        <v>1854892.88</v>
      </c>
      <c r="CV63" s="21">
        <v>1227748.75</v>
      </c>
      <c r="CW63" s="19">
        <v>707254.81</v>
      </c>
      <c r="CX63" s="19">
        <v>560814.25</v>
      </c>
    </row>
    <row r="64" spans="1:102">
      <c r="A64">
        <v>30945</v>
      </c>
      <c r="B64" t="s">
        <v>614</v>
      </c>
      <c r="C64" t="s">
        <v>1158</v>
      </c>
      <c r="D64" t="s">
        <v>615</v>
      </c>
      <c r="F64" t="s">
        <v>616</v>
      </c>
      <c r="G64">
        <v>65.546999999999997</v>
      </c>
      <c r="H64" t="s">
        <v>104</v>
      </c>
      <c r="I64">
        <v>2</v>
      </c>
      <c r="J64">
        <v>13</v>
      </c>
      <c r="K64">
        <v>0</v>
      </c>
      <c r="L64">
        <v>0</v>
      </c>
      <c r="M64">
        <v>0</v>
      </c>
      <c r="N64">
        <v>-1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1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4</v>
      </c>
      <c r="AI64">
        <v>5</v>
      </c>
      <c r="AJ64">
        <v>4</v>
      </c>
      <c r="AK64">
        <v>5</v>
      </c>
      <c r="AL64">
        <v>5</v>
      </c>
      <c r="AM64">
        <v>4</v>
      </c>
      <c r="AN64">
        <v>5</v>
      </c>
      <c r="AO64">
        <v>5</v>
      </c>
      <c r="AP64">
        <v>2</v>
      </c>
      <c r="AQ64">
        <v>1</v>
      </c>
      <c r="AR64">
        <v>0</v>
      </c>
      <c r="AS64">
        <v>3</v>
      </c>
      <c r="AT64">
        <v>1</v>
      </c>
      <c r="AU64">
        <v>3</v>
      </c>
      <c r="AV64">
        <v>3</v>
      </c>
      <c r="AW64">
        <v>1</v>
      </c>
      <c r="AX64">
        <v>4</v>
      </c>
      <c r="AY64">
        <v>3</v>
      </c>
      <c r="AZ64">
        <v>0</v>
      </c>
      <c r="BA64">
        <v>0</v>
      </c>
      <c r="BB64">
        <v>1</v>
      </c>
      <c r="BC64">
        <v>3</v>
      </c>
      <c r="BD64">
        <v>0</v>
      </c>
      <c r="BE64">
        <v>4</v>
      </c>
      <c r="BF64">
        <v>1</v>
      </c>
      <c r="BG64">
        <v>1</v>
      </c>
      <c r="BH64">
        <v>3</v>
      </c>
      <c r="BI64">
        <v>3</v>
      </c>
      <c r="BJ64">
        <v>2635825</v>
      </c>
      <c r="BK64">
        <v>2718029.5</v>
      </c>
      <c r="BL64">
        <v>22032.7</v>
      </c>
      <c r="BM64">
        <v>2514017.25</v>
      </c>
      <c r="BN64">
        <v>3704123.25</v>
      </c>
      <c r="BO64">
        <v>5524396</v>
      </c>
      <c r="BP64">
        <v>6185895</v>
      </c>
      <c r="BQ64">
        <v>3007548.25</v>
      </c>
      <c r="BR64">
        <v>5191000.5</v>
      </c>
      <c r="BS64">
        <v>3178198.75</v>
      </c>
      <c r="BT64">
        <v>520320.72</v>
      </c>
      <c r="BU64">
        <v>2213054.25</v>
      </c>
      <c r="BV64">
        <v>1374703.5</v>
      </c>
      <c r="BW64">
        <v>7675176</v>
      </c>
      <c r="BX64">
        <v>1861221.88</v>
      </c>
      <c r="BY64">
        <v>5889088</v>
      </c>
      <c r="BZ64">
        <v>3689721</v>
      </c>
      <c r="CA64">
        <v>1656998</v>
      </c>
      <c r="CB64">
        <v>3782613.75</v>
      </c>
      <c r="CC64">
        <v>4068418</v>
      </c>
      <c r="CD64" s="17" t="s">
        <v>1158</v>
      </c>
      <c r="CE64" s="21">
        <v>2085683.75</v>
      </c>
      <c r="CF64" s="21">
        <v>2382221</v>
      </c>
      <c r="CG64" s="19">
        <v>4566743</v>
      </c>
      <c r="CH64" s="19">
        <v>1781220.25</v>
      </c>
      <c r="CI64" s="21">
        <v>2701463.25</v>
      </c>
      <c r="CJ64" s="21">
        <v>2517217.25</v>
      </c>
      <c r="CK64" s="19">
        <v>4940748.5</v>
      </c>
      <c r="CL64" s="19">
        <v>3428581</v>
      </c>
      <c r="CM64" s="21">
        <v>4961056.5</v>
      </c>
      <c r="CN64" s="21">
        <v>4086437.25</v>
      </c>
      <c r="CO64" s="19">
        <v>1684804.88</v>
      </c>
      <c r="CP64" s="19">
        <v>1414841</v>
      </c>
      <c r="CQ64" s="21">
        <v>2914517.5</v>
      </c>
      <c r="CR64" s="21">
        <v>4285871.5</v>
      </c>
      <c r="CS64" s="19">
        <v>3108486</v>
      </c>
      <c r="CT64" s="19">
        <v>4166465.75</v>
      </c>
      <c r="CU64" s="21">
        <v>2509669</v>
      </c>
      <c r="CV64" s="21">
        <v>1796456.5</v>
      </c>
      <c r="CW64" s="19">
        <v>3333442</v>
      </c>
      <c r="CX64" s="19">
        <v>6422312</v>
      </c>
    </row>
    <row r="65" spans="1:102">
      <c r="A65">
        <v>31006</v>
      </c>
      <c r="B65" t="s">
        <v>503</v>
      </c>
      <c r="C65" t="s">
        <v>1159</v>
      </c>
      <c r="D65" t="s">
        <v>504</v>
      </c>
      <c r="F65" t="s">
        <v>505</v>
      </c>
      <c r="G65">
        <v>175.15600000000001</v>
      </c>
      <c r="H65" t="s">
        <v>104</v>
      </c>
      <c r="I65">
        <v>2</v>
      </c>
      <c r="J65">
        <v>21</v>
      </c>
      <c r="K65">
        <v>0</v>
      </c>
      <c r="L65">
        <v>0</v>
      </c>
      <c r="M65">
        <v>0</v>
      </c>
      <c r="N65">
        <v>-1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4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>
        <v>4</v>
      </c>
      <c r="AL65">
        <v>4</v>
      </c>
      <c r="AM65">
        <v>4</v>
      </c>
      <c r="AN65">
        <v>4</v>
      </c>
      <c r="AO65">
        <v>4</v>
      </c>
      <c r="AP65">
        <v>8</v>
      </c>
      <c r="AQ65">
        <v>6</v>
      </c>
      <c r="AR65">
        <v>1</v>
      </c>
      <c r="AS65">
        <v>5</v>
      </c>
      <c r="AT65">
        <v>5</v>
      </c>
      <c r="AU65">
        <v>6</v>
      </c>
      <c r="AV65">
        <v>6</v>
      </c>
      <c r="AW65">
        <v>4</v>
      </c>
      <c r="AX65">
        <v>6</v>
      </c>
      <c r="AY65">
        <v>6</v>
      </c>
      <c r="AZ65">
        <v>2</v>
      </c>
      <c r="BA65">
        <v>5</v>
      </c>
      <c r="BB65">
        <v>2</v>
      </c>
      <c r="BC65">
        <v>5</v>
      </c>
      <c r="BD65">
        <v>4</v>
      </c>
      <c r="BE65">
        <v>5</v>
      </c>
      <c r="BF65">
        <v>3</v>
      </c>
      <c r="BG65">
        <v>4</v>
      </c>
      <c r="BH65">
        <v>6</v>
      </c>
      <c r="BI65">
        <v>6</v>
      </c>
      <c r="BJ65">
        <v>8209859</v>
      </c>
      <c r="BK65">
        <v>15821481</v>
      </c>
      <c r="BL65">
        <v>1789062.12</v>
      </c>
      <c r="BM65">
        <v>11385406</v>
      </c>
      <c r="BN65">
        <v>10877390</v>
      </c>
      <c r="BO65">
        <v>19994678</v>
      </c>
      <c r="BP65">
        <v>14378062</v>
      </c>
      <c r="BQ65">
        <v>10911038</v>
      </c>
      <c r="BR65">
        <v>16541318</v>
      </c>
      <c r="BS65">
        <v>17403080</v>
      </c>
      <c r="BT65">
        <v>3404298.5</v>
      </c>
      <c r="BU65">
        <v>15013074</v>
      </c>
      <c r="BV65">
        <v>9066652</v>
      </c>
      <c r="BW65">
        <v>19317716</v>
      </c>
      <c r="BX65">
        <v>10171242</v>
      </c>
      <c r="BY65">
        <v>15782468</v>
      </c>
      <c r="BZ65">
        <v>11320814</v>
      </c>
      <c r="CA65">
        <v>10894481</v>
      </c>
      <c r="CB65">
        <v>11038932</v>
      </c>
      <c r="CC65">
        <v>12283019</v>
      </c>
      <c r="CD65" s="17" t="s">
        <v>1159</v>
      </c>
      <c r="CE65" s="21">
        <v>12922634</v>
      </c>
      <c r="CF65" s="21">
        <v>14328092</v>
      </c>
      <c r="CG65" s="19">
        <v>210437616</v>
      </c>
      <c r="CH65" s="19">
        <v>9612743</v>
      </c>
      <c r="CI65" s="21">
        <v>9399853</v>
      </c>
      <c r="CJ65" s="21">
        <v>9707531</v>
      </c>
      <c r="CK65" s="19">
        <v>11504884</v>
      </c>
      <c r="CL65" s="19">
        <v>10706234</v>
      </c>
      <c r="CM65" s="21">
        <v>17545516</v>
      </c>
      <c r="CN65" s="21">
        <v>13495586</v>
      </c>
      <c r="CO65" s="19">
        <v>10383193</v>
      </c>
      <c r="CP65" s="19">
        <v>10750740</v>
      </c>
      <c r="CQ65" s="21">
        <v>12039838</v>
      </c>
      <c r="CR65" s="21">
        <v>11638049</v>
      </c>
      <c r="CS65" s="19">
        <v>12951631</v>
      </c>
      <c r="CT65" s="19">
        <v>13892112</v>
      </c>
      <c r="CU65" s="21">
        <v>9211613</v>
      </c>
      <c r="CV65" s="21">
        <v>7558220.5</v>
      </c>
      <c r="CW65" s="19">
        <v>16629320</v>
      </c>
      <c r="CX65" s="19">
        <v>19084612</v>
      </c>
    </row>
    <row r="66" spans="1:102">
      <c r="A66">
        <v>31108</v>
      </c>
      <c r="B66" t="s">
        <v>691</v>
      </c>
      <c r="C66" t="s">
        <v>1160</v>
      </c>
      <c r="D66" t="s">
        <v>691</v>
      </c>
      <c r="F66" t="s">
        <v>692</v>
      </c>
      <c r="G66">
        <v>31.193999999999999</v>
      </c>
      <c r="H66" t="s">
        <v>104</v>
      </c>
      <c r="I66">
        <v>2</v>
      </c>
      <c r="J66">
        <v>1</v>
      </c>
      <c r="K66">
        <v>0</v>
      </c>
      <c r="L66">
        <v>0</v>
      </c>
      <c r="M66">
        <v>0</v>
      </c>
      <c r="N66">
        <v>-1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1</v>
      </c>
      <c r="W66">
        <v>2</v>
      </c>
      <c r="Y66">
        <v>2</v>
      </c>
      <c r="Z66">
        <v>2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1</v>
      </c>
      <c r="AQ66">
        <v>2</v>
      </c>
      <c r="AR66">
        <v>0</v>
      </c>
      <c r="AS66">
        <v>2</v>
      </c>
      <c r="AT66">
        <v>1</v>
      </c>
      <c r="AU66">
        <v>2</v>
      </c>
      <c r="AV66">
        <v>1</v>
      </c>
      <c r="AW66">
        <v>0</v>
      </c>
      <c r="AX66">
        <v>2</v>
      </c>
      <c r="AY66">
        <v>2</v>
      </c>
      <c r="AZ66">
        <v>0</v>
      </c>
      <c r="BA66">
        <v>1</v>
      </c>
      <c r="BB66">
        <v>0</v>
      </c>
      <c r="BC66">
        <v>2</v>
      </c>
      <c r="BD66">
        <v>0</v>
      </c>
      <c r="BE66">
        <v>2</v>
      </c>
      <c r="BF66">
        <v>1</v>
      </c>
      <c r="BG66">
        <v>1</v>
      </c>
      <c r="BH66">
        <v>2</v>
      </c>
      <c r="BI66">
        <v>0</v>
      </c>
      <c r="BJ66">
        <v>249683.94</v>
      </c>
      <c r="BK66">
        <v>976937.88</v>
      </c>
      <c r="BM66">
        <v>896657.38</v>
      </c>
      <c r="BN66">
        <v>617526.25</v>
      </c>
      <c r="BO66">
        <v>1044621.5</v>
      </c>
      <c r="BP66">
        <v>1027276.69</v>
      </c>
      <c r="BQ66">
        <v>682881.06</v>
      </c>
      <c r="BR66">
        <v>860629.94</v>
      </c>
      <c r="BS66">
        <v>961083</v>
      </c>
      <c r="BT66">
        <v>132958.81</v>
      </c>
      <c r="BU66">
        <v>893307.75</v>
      </c>
      <c r="BV66">
        <v>512624.56</v>
      </c>
      <c r="BW66">
        <v>1777638</v>
      </c>
      <c r="BX66">
        <v>670115.81000000006</v>
      </c>
      <c r="BY66">
        <v>963153.31</v>
      </c>
      <c r="BZ66">
        <v>905755.12</v>
      </c>
      <c r="CA66">
        <v>900148.56</v>
      </c>
      <c r="CB66">
        <v>796050.69</v>
      </c>
      <c r="CC66">
        <v>940156.75</v>
      </c>
      <c r="CD66" s="17" t="s">
        <v>1160</v>
      </c>
      <c r="CE66" s="21">
        <v>27987.33</v>
      </c>
      <c r="CF66" s="21">
        <v>488592.94</v>
      </c>
      <c r="CG66" s="19">
        <v>1861110.38</v>
      </c>
      <c r="CH66" s="19">
        <v>533184.18999999994</v>
      </c>
      <c r="CI66" s="21">
        <v>467971.25</v>
      </c>
      <c r="CJ66" s="21">
        <v>625796.18999999994</v>
      </c>
      <c r="CK66" s="19">
        <v>779020.25</v>
      </c>
      <c r="CL66" s="19">
        <v>876981.25</v>
      </c>
      <c r="CM66" s="21">
        <v>862838.5</v>
      </c>
      <c r="CN66" s="21">
        <v>887319.69</v>
      </c>
      <c r="CO66" s="19">
        <v>534476.93999999994</v>
      </c>
      <c r="CP66" s="19">
        <v>639595.43999999994</v>
      </c>
      <c r="CQ66" s="21">
        <v>924836.81</v>
      </c>
      <c r="CR66" s="21">
        <v>1033798.38</v>
      </c>
      <c r="CS66" s="19">
        <v>662152</v>
      </c>
      <c r="CT66" s="19">
        <v>730563.19</v>
      </c>
      <c r="CU66" s="21">
        <v>552878.43999999994</v>
      </c>
      <c r="CV66" s="21">
        <v>632579.12</v>
      </c>
      <c r="CW66" s="19">
        <v>856464.81</v>
      </c>
      <c r="CX66" s="19">
        <v>1122299.1200000001</v>
      </c>
    </row>
    <row r="67" spans="1:102">
      <c r="A67">
        <v>31113</v>
      </c>
      <c r="B67" t="s">
        <v>471</v>
      </c>
      <c r="C67" t="s">
        <v>1161</v>
      </c>
      <c r="D67" t="s">
        <v>472</v>
      </c>
      <c r="F67" t="s">
        <v>473</v>
      </c>
      <c r="G67">
        <v>219.756</v>
      </c>
      <c r="H67" t="s">
        <v>104</v>
      </c>
      <c r="I67">
        <v>2</v>
      </c>
      <c r="J67">
        <v>7</v>
      </c>
      <c r="K67">
        <v>0</v>
      </c>
      <c r="L67">
        <v>0</v>
      </c>
      <c r="M67">
        <v>0</v>
      </c>
      <c r="N67">
        <v>-1</v>
      </c>
      <c r="O67">
        <v>4</v>
      </c>
      <c r="P67">
        <v>4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3</v>
      </c>
      <c r="Y67">
        <v>5</v>
      </c>
      <c r="Z67">
        <v>6</v>
      </c>
      <c r="AA67">
        <v>6</v>
      </c>
      <c r="AB67">
        <v>3</v>
      </c>
      <c r="AC67">
        <v>5</v>
      </c>
      <c r="AD67">
        <v>3</v>
      </c>
      <c r="AE67">
        <v>4</v>
      </c>
      <c r="AF67">
        <v>6</v>
      </c>
      <c r="AG67">
        <v>6</v>
      </c>
      <c r="AH67">
        <v>4</v>
      </c>
      <c r="AI67">
        <v>6</v>
      </c>
      <c r="AJ67">
        <v>4</v>
      </c>
      <c r="AK67">
        <v>6</v>
      </c>
      <c r="AL67">
        <v>3</v>
      </c>
      <c r="AM67">
        <v>5</v>
      </c>
      <c r="AN67">
        <v>4</v>
      </c>
      <c r="AO67">
        <v>4</v>
      </c>
      <c r="AP67">
        <v>12</v>
      </c>
      <c r="AQ67">
        <v>11</v>
      </c>
      <c r="AR67">
        <v>0</v>
      </c>
      <c r="AS67">
        <v>7</v>
      </c>
      <c r="AT67">
        <v>8</v>
      </c>
      <c r="AU67">
        <v>13</v>
      </c>
      <c r="AV67">
        <v>7</v>
      </c>
      <c r="AW67">
        <v>7</v>
      </c>
      <c r="AX67">
        <v>6</v>
      </c>
      <c r="AY67">
        <v>6</v>
      </c>
      <c r="AZ67">
        <v>6</v>
      </c>
      <c r="BA67">
        <v>12</v>
      </c>
      <c r="BB67">
        <v>7</v>
      </c>
      <c r="BC67">
        <v>10</v>
      </c>
      <c r="BD67">
        <v>5</v>
      </c>
      <c r="BE67">
        <v>11</v>
      </c>
      <c r="BF67">
        <v>6</v>
      </c>
      <c r="BG67">
        <v>6</v>
      </c>
      <c r="BH67">
        <v>4</v>
      </c>
      <c r="BI67">
        <v>5</v>
      </c>
      <c r="BJ67">
        <v>56854832</v>
      </c>
      <c r="BK67">
        <v>116325680</v>
      </c>
      <c r="BL67">
        <v>191600.78</v>
      </c>
      <c r="BM67">
        <v>43081228</v>
      </c>
      <c r="BN67">
        <v>72457856</v>
      </c>
      <c r="BO67">
        <v>107739920</v>
      </c>
      <c r="BP67">
        <v>45400984</v>
      </c>
      <c r="BQ67">
        <v>45022772</v>
      </c>
      <c r="BR67">
        <v>26714430</v>
      </c>
      <c r="BS67">
        <v>21655262</v>
      </c>
      <c r="BT67">
        <v>13481028</v>
      </c>
      <c r="BU67">
        <v>116898488</v>
      </c>
      <c r="BV67">
        <v>56369328</v>
      </c>
      <c r="BW67">
        <v>83292160</v>
      </c>
      <c r="BX67">
        <v>41066472</v>
      </c>
      <c r="BY67">
        <v>84595272</v>
      </c>
      <c r="BZ67">
        <v>31122542</v>
      </c>
      <c r="CA67">
        <v>55612960</v>
      </c>
      <c r="CB67">
        <v>21627908</v>
      </c>
      <c r="CC67">
        <v>22730730</v>
      </c>
      <c r="CD67" s="17" t="s">
        <v>1161</v>
      </c>
      <c r="CE67" s="21">
        <v>60215260</v>
      </c>
      <c r="CF67" s="21">
        <v>73306760</v>
      </c>
      <c r="CG67" s="19">
        <v>62623860</v>
      </c>
      <c r="CH67" s="19">
        <v>64847496</v>
      </c>
      <c r="CI67" s="21">
        <v>64444904</v>
      </c>
      <c r="CJ67" s="21">
        <v>63649460</v>
      </c>
      <c r="CK67" s="19">
        <v>39766392</v>
      </c>
      <c r="CL67" s="19">
        <v>43592364</v>
      </c>
      <c r="CM67" s="21">
        <v>33336184</v>
      </c>
      <c r="CN67" s="21">
        <v>32840888</v>
      </c>
      <c r="CO67" s="19">
        <v>92845000</v>
      </c>
      <c r="CP67" s="19">
        <v>131926336</v>
      </c>
      <c r="CQ67" s="21">
        <v>70263216</v>
      </c>
      <c r="CR67" s="21">
        <v>71665352</v>
      </c>
      <c r="CS67" s="19">
        <v>98148552</v>
      </c>
      <c r="CT67" s="19">
        <v>92940624</v>
      </c>
      <c r="CU67" s="21">
        <v>63880468</v>
      </c>
      <c r="CV67" s="21">
        <v>70722336</v>
      </c>
      <c r="CW67" s="19">
        <v>27364112</v>
      </c>
      <c r="CX67" s="19">
        <v>39520576</v>
      </c>
    </row>
    <row r="68" spans="1:102">
      <c r="A68">
        <v>31029</v>
      </c>
      <c r="B68" t="s">
        <v>126</v>
      </c>
      <c r="C68" t="s">
        <v>1162</v>
      </c>
      <c r="D68" t="s">
        <v>127</v>
      </c>
      <c r="E68" t="s">
        <v>128</v>
      </c>
      <c r="F68" t="s">
        <v>129</v>
      </c>
      <c r="G68">
        <v>1999.5219999999999</v>
      </c>
      <c r="H68" t="s">
        <v>104</v>
      </c>
      <c r="I68">
        <v>2</v>
      </c>
      <c r="J68">
        <v>13</v>
      </c>
      <c r="K68">
        <v>8</v>
      </c>
      <c r="L68">
        <v>0</v>
      </c>
      <c r="M68">
        <v>0</v>
      </c>
      <c r="N68">
        <v>-1</v>
      </c>
      <c r="O68">
        <v>46</v>
      </c>
      <c r="P68">
        <v>46</v>
      </c>
      <c r="Q68">
        <v>49</v>
      </c>
      <c r="R68">
        <v>49</v>
      </c>
      <c r="S68">
        <v>49</v>
      </c>
      <c r="T68">
        <v>49</v>
      </c>
      <c r="U68">
        <v>49</v>
      </c>
      <c r="V68">
        <v>48</v>
      </c>
      <c r="W68">
        <v>49</v>
      </c>
      <c r="X68">
        <v>34</v>
      </c>
      <c r="Y68">
        <v>49</v>
      </c>
      <c r="Z68">
        <v>49</v>
      </c>
      <c r="AA68">
        <v>49</v>
      </c>
      <c r="AB68">
        <v>49</v>
      </c>
      <c r="AC68">
        <v>48</v>
      </c>
      <c r="AD68">
        <v>49</v>
      </c>
      <c r="AE68">
        <v>49</v>
      </c>
      <c r="AF68">
        <v>48</v>
      </c>
      <c r="AG68">
        <v>49</v>
      </c>
      <c r="AH68">
        <v>49</v>
      </c>
      <c r="AI68">
        <v>49</v>
      </c>
      <c r="AJ68">
        <v>48</v>
      </c>
      <c r="AK68">
        <v>49</v>
      </c>
      <c r="AL68">
        <v>48</v>
      </c>
      <c r="AM68">
        <v>47</v>
      </c>
      <c r="AN68">
        <v>49</v>
      </c>
      <c r="AO68">
        <v>49</v>
      </c>
      <c r="AP68">
        <v>93</v>
      </c>
      <c r="AQ68">
        <v>93</v>
      </c>
      <c r="AR68">
        <v>5</v>
      </c>
      <c r="AS68">
        <v>60</v>
      </c>
      <c r="AT68">
        <v>59</v>
      </c>
      <c r="AU68">
        <v>85</v>
      </c>
      <c r="AV68">
        <v>54</v>
      </c>
      <c r="AW68">
        <v>52</v>
      </c>
      <c r="AX68">
        <v>46</v>
      </c>
      <c r="AY68">
        <v>49</v>
      </c>
      <c r="AZ68">
        <v>40</v>
      </c>
      <c r="BA68">
        <v>77</v>
      </c>
      <c r="BB68">
        <v>48</v>
      </c>
      <c r="BC68">
        <v>72</v>
      </c>
      <c r="BD68">
        <v>47</v>
      </c>
      <c r="BE68">
        <v>79</v>
      </c>
      <c r="BF68">
        <v>45</v>
      </c>
      <c r="BG68">
        <v>53</v>
      </c>
      <c r="BH68">
        <v>43</v>
      </c>
      <c r="BI68">
        <v>41</v>
      </c>
      <c r="BJ68">
        <v>467768672</v>
      </c>
      <c r="BK68">
        <v>859238784</v>
      </c>
      <c r="BL68">
        <v>7373018</v>
      </c>
      <c r="BM68">
        <v>287843264</v>
      </c>
      <c r="BN68">
        <v>389337952</v>
      </c>
      <c r="BO68">
        <v>745509376</v>
      </c>
      <c r="BP68">
        <v>330390848</v>
      </c>
      <c r="BQ68">
        <v>355698240</v>
      </c>
      <c r="BR68">
        <v>173613808</v>
      </c>
      <c r="BS68">
        <v>177749088</v>
      </c>
      <c r="BT68">
        <v>91960880</v>
      </c>
      <c r="BU68">
        <v>693718080</v>
      </c>
      <c r="BV68">
        <v>296254912</v>
      </c>
      <c r="BW68">
        <v>573411712</v>
      </c>
      <c r="BX68">
        <v>282769056</v>
      </c>
      <c r="BY68">
        <v>658722880</v>
      </c>
      <c r="BZ68">
        <v>221458032</v>
      </c>
      <c r="CA68">
        <v>394743040</v>
      </c>
      <c r="CB68">
        <v>159322784</v>
      </c>
      <c r="CC68">
        <v>154293760</v>
      </c>
      <c r="CD68" s="17" t="s">
        <v>1162</v>
      </c>
      <c r="CE68" s="21">
        <v>572236928</v>
      </c>
      <c r="CF68" s="21">
        <v>402006496</v>
      </c>
      <c r="CG68" s="19">
        <v>279482304</v>
      </c>
      <c r="CH68" s="19">
        <v>356230432</v>
      </c>
      <c r="CI68" s="21">
        <v>349248288</v>
      </c>
      <c r="CJ68" s="21">
        <v>324186272</v>
      </c>
      <c r="CK68" s="19">
        <v>291537760</v>
      </c>
      <c r="CL68" s="19">
        <v>248111056</v>
      </c>
      <c r="CM68" s="21">
        <v>207595840</v>
      </c>
      <c r="CN68" s="21">
        <v>222725424</v>
      </c>
      <c r="CO68" s="19">
        <v>572140736</v>
      </c>
      <c r="CP68" s="19">
        <v>583070400</v>
      </c>
      <c r="CQ68" s="21">
        <v>405844704</v>
      </c>
      <c r="CR68" s="21">
        <v>404646784</v>
      </c>
      <c r="CS68" s="19">
        <v>564759168</v>
      </c>
      <c r="CT68" s="19">
        <v>588436800</v>
      </c>
      <c r="CU68" s="21">
        <v>365639040</v>
      </c>
      <c r="CV68" s="21">
        <v>342744544</v>
      </c>
      <c r="CW68" s="19">
        <v>184768544</v>
      </c>
      <c r="CX68" s="19">
        <v>256331584</v>
      </c>
    </row>
    <row r="69" spans="1:102">
      <c r="A69">
        <v>31059</v>
      </c>
      <c r="B69" t="s">
        <v>254</v>
      </c>
      <c r="C69" t="s">
        <v>1163</v>
      </c>
      <c r="D69" t="s">
        <v>255</v>
      </c>
      <c r="F69" t="s">
        <v>256</v>
      </c>
      <c r="G69">
        <v>730.78399999999999</v>
      </c>
      <c r="H69" t="s">
        <v>104</v>
      </c>
      <c r="I69">
        <v>2</v>
      </c>
      <c r="J69">
        <v>6</v>
      </c>
      <c r="K69">
        <v>0</v>
      </c>
      <c r="L69">
        <v>0</v>
      </c>
      <c r="M69">
        <v>0</v>
      </c>
      <c r="N69">
        <v>-1</v>
      </c>
      <c r="O69">
        <v>9</v>
      </c>
      <c r="P69">
        <v>9</v>
      </c>
      <c r="Q69">
        <v>15</v>
      </c>
      <c r="R69">
        <v>15</v>
      </c>
      <c r="S69">
        <v>15</v>
      </c>
      <c r="T69">
        <v>15</v>
      </c>
      <c r="U69">
        <v>15</v>
      </c>
      <c r="V69">
        <v>14</v>
      </c>
      <c r="W69">
        <v>15</v>
      </c>
      <c r="X69">
        <v>14</v>
      </c>
      <c r="Y69">
        <v>15</v>
      </c>
      <c r="Z69">
        <v>15</v>
      </c>
      <c r="AA69">
        <v>15</v>
      </c>
      <c r="AB69">
        <v>15</v>
      </c>
      <c r="AC69">
        <v>14</v>
      </c>
      <c r="AD69">
        <v>14</v>
      </c>
      <c r="AE69">
        <v>14</v>
      </c>
      <c r="AF69">
        <v>15</v>
      </c>
      <c r="AG69">
        <v>15</v>
      </c>
      <c r="AH69">
        <v>15</v>
      </c>
      <c r="AI69">
        <v>15</v>
      </c>
      <c r="AJ69">
        <v>14</v>
      </c>
      <c r="AK69">
        <v>15</v>
      </c>
      <c r="AL69">
        <v>15</v>
      </c>
      <c r="AM69">
        <v>15</v>
      </c>
      <c r="AN69">
        <v>15</v>
      </c>
      <c r="AO69">
        <v>15</v>
      </c>
      <c r="AP69">
        <v>87</v>
      </c>
      <c r="AQ69">
        <v>107</v>
      </c>
      <c r="AR69">
        <v>4</v>
      </c>
      <c r="AS69">
        <v>86</v>
      </c>
      <c r="AT69">
        <v>73</v>
      </c>
      <c r="AU69">
        <v>121</v>
      </c>
      <c r="AV69">
        <v>68</v>
      </c>
      <c r="AW69">
        <v>64</v>
      </c>
      <c r="AX69">
        <v>59</v>
      </c>
      <c r="AY69">
        <v>58</v>
      </c>
      <c r="AZ69">
        <v>60</v>
      </c>
      <c r="BA69">
        <v>110</v>
      </c>
      <c r="BB69">
        <v>70</v>
      </c>
      <c r="BC69">
        <v>90</v>
      </c>
      <c r="BD69">
        <v>59</v>
      </c>
      <c r="BE69">
        <v>104</v>
      </c>
      <c r="BF69">
        <v>60</v>
      </c>
      <c r="BG69">
        <v>71</v>
      </c>
      <c r="BH69">
        <v>55</v>
      </c>
      <c r="BI69">
        <v>46</v>
      </c>
      <c r="BJ69">
        <v>1766634368</v>
      </c>
      <c r="BK69">
        <v>2685757184</v>
      </c>
      <c r="BL69">
        <v>9501820</v>
      </c>
      <c r="BM69">
        <v>1042449024</v>
      </c>
      <c r="BN69">
        <v>1443366912</v>
      </c>
      <c r="BO69">
        <v>2543891968</v>
      </c>
      <c r="BP69">
        <v>1117427968</v>
      </c>
      <c r="BQ69">
        <v>1230545536</v>
      </c>
      <c r="BR69">
        <v>683163840</v>
      </c>
      <c r="BS69">
        <v>699387392</v>
      </c>
      <c r="BT69">
        <v>416142208</v>
      </c>
      <c r="BU69">
        <v>2232843264</v>
      </c>
      <c r="BV69">
        <v>1053044992</v>
      </c>
      <c r="BW69">
        <v>1804479232</v>
      </c>
      <c r="BX69">
        <v>1037713600</v>
      </c>
      <c r="BY69">
        <v>2047181568</v>
      </c>
      <c r="BZ69">
        <v>807811904</v>
      </c>
      <c r="CA69">
        <v>1401633536</v>
      </c>
      <c r="CB69">
        <v>580042048</v>
      </c>
      <c r="CC69">
        <v>598166912</v>
      </c>
      <c r="CD69" s="17" t="s">
        <v>1163</v>
      </c>
      <c r="CE69" s="21">
        <v>1785721088</v>
      </c>
      <c r="CF69" s="21">
        <v>1371810944</v>
      </c>
      <c r="CG69" s="19">
        <v>680951296</v>
      </c>
      <c r="CH69" s="19">
        <v>1238358656</v>
      </c>
      <c r="CI69" s="21">
        <v>1104359936</v>
      </c>
      <c r="CJ69" s="21">
        <v>1077983104</v>
      </c>
      <c r="CK69" s="19">
        <v>921996736</v>
      </c>
      <c r="CL69" s="19">
        <v>853172480</v>
      </c>
      <c r="CM69" s="21">
        <v>679634048</v>
      </c>
      <c r="CN69" s="21">
        <v>688007488</v>
      </c>
      <c r="CO69" s="19">
        <v>1638856960</v>
      </c>
      <c r="CP69" s="19">
        <v>1791753856</v>
      </c>
      <c r="CQ69" s="21">
        <v>1244418944</v>
      </c>
      <c r="CR69" s="21">
        <v>1161004416</v>
      </c>
      <c r="CS69" s="19">
        <v>1687775488</v>
      </c>
      <c r="CT69" s="19">
        <v>1694782720</v>
      </c>
      <c r="CU69" s="21">
        <v>1099420800</v>
      </c>
      <c r="CV69" s="21">
        <v>1076640512</v>
      </c>
      <c r="CW69" s="19">
        <v>584421184</v>
      </c>
      <c r="CX69" s="19">
        <v>674915904</v>
      </c>
    </row>
    <row r="70" spans="1:102">
      <c r="A70">
        <v>31115</v>
      </c>
      <c r="B70" t="s">
        <v>591</v>
      </c>
      <c r="C70" t="s">
        <v>1164</v>
      </c>
      <c r="D70" t="s">
        <v>591</v>
      </c>
      <c r="F70" t="s">
        <v>592</v>
      </c>
      <c r="G70">
        <v>81.900000000000006</v>
      </c>
      <c r="H70" t="s">
        <v>104</v>
      </c>
      <c r="I70">
        <v>2</v>
      </c>
      <c r="J70">
        <v>1</v>
      </c>
      <c r="K70">
        <v>0</v>
      </c>
      <c r="L70">
        <v>0</v>
      </c>
      <c r="M70">
        <v>0</v>
      </c>
      <c r="N70">
        <v>-1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5</v>
      </c>
      <c r="W70">
        <v>6</v>
      </c>
      <c r="Y70">
        <v>7</v>
      </c>
      <c r="Z70">
        <v>6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6</v>
      </c>
      <c r="AG70">
        <v>7</v>
      </c>
      <c r="AH70">
        <v>7</v>
      </c>
      <c r="AI70">
        <v>7</v>
      </c>
      <c r="AJ70">
        <v>6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2</v>
      </c>
      <c r="AQ70">
        <v>2</v>
      </c>
      <c r="AR70">
        <v>0</v>
      </c>
      <c r="AS70">
        <v>4</v>
      </c>
      <c r="AT70">
        <v>2</v>
      </c>
      <c r="AU70">
        <v>4</v>
      </c>
      <c r="AV70">
        <v>3</v>
      </c>
      <c r="AW70">
        <v>1</v>
      </c>
      <c r="AX70">
        <v>4</v>
      </c>
      <c r="AY70">
        <v>4</v>
      </c>
      <c r="AZ70">
        <v>0</v>
      </c>
      <c r="BA70">
        <v>3</v>
      </c>
      <c r="BB70">
        <v>2</v>
      </c>
      <c r="BC70">
        <v>5</v>
      </c>
      <c r="BD70">
        <v>2</v>
      </c>
      <c r="BE70">
        <v>4</v>
      </c>
      <c r="BF70">
        <v>3</v>
      </c>
      <c r="BG70">
        <v>0</v>
      </c>
      <c r="BH70">
        <v>3</v>
      </c>
      <c r="BI70">
        <v>3</v>
      </c>
      <c r="BJ70">
        <v>2549854.75</v>
      </c>
      <c r="BK70">
        <v>5187860</v>
      </c>
      <c r="BM70">
        <v>4478326.5</v>
      </c>
      <c r="BN70">
        <v>2852159</v>
      </c>
      <c r="BO70">
        <v>5430113.5</v>
      </c>
      <c r="BP70">
        <v>5099132</v>
      </c>
      <c r="BQ70">
        <v>2023010.88</v>
      </c>
      <c r="BR70">
        <v>4209695</v>
      </c>
      <c r="BS70">
        <v>4937783.5</v>
      </c>
      <c r="BT70">
        <v>512099.94</v>
      </c>
      <c r="BU70">
        <v>3610514.75</v>
      </c>
      <c r="BV70">
        <v>2517361.75</v>
      </c>
      <c r="BW70">
        <v>7151378</v>
      </c>
      <c r="BX70">
        <v>2069392.62</v>
      </c>
      <c r="BY70">
        <v>4025339.25</v>
      </c>
      <c r="BZ70">
        <v>3609207.5</v>
      </c>
      <c r="CA70">
        <v>2556227.25</v>
      </c>
      <c r="CB70">
        <v>3421419.5</v>
      </c>
      <c r="CC70">
        <v>3125787.5</v>
      </c>
      <c r="CD70" s="17" t="s">
        <v>1164</v>
      </c>
      <c r="CE70" s="21">
        <v>2715346.75</v>
      </c>
      <c r="CF70" s="21">
        <v>1928634.75</v>
      </c>
      <c r="CG70" s="19">
        <v>1861110.38</v>
      </c>
      <c r="CH70" s="19">
        <v>2436106.75</v>
      </c>
      <c r="CI70" s="21">
        <v>1883148.88</v>
      </c>
      <c r="CJ70" s="21">
        <v>1972990</v>
      </c>
      <c r="CK70" s="19">
        <v>3516522.75</v>
      </c>
      <c r="CL70" s="19">
        <v>3481344.25</v>
      </c>
      <c r="CM70" s="21">
        <v>4452727.5</v>
      </c>
      <c r="CN70" s="21">
        <v>3865760</v>
      </c>
      <c r="CO70" s="19">
        <v>2734790.25</v>
      </c>
      <c r="CP70" s="19">
        <v>2729098.75</v>
      </c>
      <c r="CQ70" s="21">
        <v>4192240</v>
      </c>
      <c r="CR70" s="21">
        <v>4171076.25</v>
      </c>
      <c r="CS70" s="19">
        <v>3241473</v>
      </c>
      <c r="CT70" s="19">
        <v>2836392</v>
      </c>
      <c r="CU70" s="21">
        <v>1811141.88</v>
      </c>
      <c r="CV70" s="21">
        <v>1903717</v>
      </c>
      <c r="CW70" s="19">
        <v>3826100.75</v>
      </c>
      <c r="CX70" s="19">
        <v>4242118</v>
      </c>
    </row>
    <row r="71" spans="1:102">
      <c r="A71">
        <v>31122</v>
      </c>
      <c r="B71" t="s">
        <v>468</v>
      </c>
      <c r="C71" t="s">
        <v>1165</v>
      </c>
      <c r="D71" t="s">
        <v>469</v>
      </c>
      <c r="F71" t="s">
        <v>470</v>
      </c>
      <c r="G71">
        <v>222.34100000000001</v>
      </c>
      <c r="H71" t="s">
        <v>104</v>
      </c>
      <c r="I71">
        <v>2</v>
      </c>
      <c r="J71">
        <v>2</v>
      </c>
      <c r="K71">
        <v>0</v>
      </c>
      <c r="L71">
        <v>0</v>
      </c>
      <c r="M71">
        <v>0</v>
      </c>
      <c r="N71">
        <v>-1</v>
      </c>
      <c r="O71">
        <v>8</v>
      </c>
      <c r="P71">
        <v>8</v>
      </c>
      <c r="Q71">
        <v>8</v>
      </c>
      <c r="R71">
        <v>8</v>
      </c>
      <c r="S71">
        <v>8</v>
      </c>
      <c r="T71">
        <v>8</v>
      </c>
      <c r="U71">
        <v>8</v>
      </c>
      <c r="V71">
        <v>8</v>
      </c>
      <c r="W71">
        <v>7</v>
      </c>
      <c r="X71">
        <v>4</v>
      </c>
      <c r="Y71">
        <v>8</v>
      </c>
      <c r="Z71">
        <v>8</v>
      </c>
      <c r="AA71">
        <v>8</v>
      </c>
      <c r="AB71">
        <v>8</v>
      </c>
      <c r="AC71">
        <v>8</v>
      </c>
      <c r="AD71">
        <v>8</v>
      </c>
      <c r="AE71">
        <v>8</v>
      </c>
      <c r="AF71">
        <v>8</v>
      </c>
      <c r="AG71">
        <v>8</v>
      </c>
      <c r="AH71">
        <v>8</v>
      </c>
      <c r="AI71">
        <v>8</v>
      </c>
      <c r="AJ71">
        <v>8</v>
      </c>
      <c r="AK71">
        <v>8</v>
      </c>
      <c r="AL71">
        <v>8</v>
      </c>
      <c r="AM71">
        <v>8</v>
      </c>
      <c r="AN71">
        <v>8</v>
      </c>
      <c r="AO71">
        <v>8</v>
      </c>
      <c r="AP71">
        <v>10</v>
      </c>
      <c r="AQ71">
        <v>4</v>
      </c>
      <c r="AR71">
        <v>0</v>
      </c>
      <c r="AS71">
        <v>3</v>
      </c>
      <c r="AT71">
        <v>6</v>
      </c>
      <c r="AU71">
        <v>7</v>
      </c>
      <c r="AV71">
        <v>9</v>
      </c>
      <c r="AW71">
        <v>10</v>
      </c>
      <c r="AX71">
        <v>6</v>
      </c>
      <c r="AY71">
        <v>5</v>
      </c>
      <c r="AZ71">
        <v>3</v>
      </c>
      <c r="BA71">
        <v>5</v>
      </c>
      <c r="BB71">
        <v>6</v>
      </c>
      <c r="BC71">
        <v>10</v>
      </c>
      <c r="BD71">
        <v>6</v>
      </c>
      <c r="BE71">
        <v>7</v>
      </c>
      <c r="BF71">
        <v>5</v>
      </c>
      <c r="BG71">
        <v>10</v>
      </c>
      <c r="BH71">
        <v>7</v>
      </c>
      <c r="BI71">
        <v>8</v>
      </c>
      <c r="BJ71">
        <v>11759824</v>
      </c>
      <c r="BK71">
        <v>11385617</v>
      </c>
      <c r="BL71">
        <v>202036.19</v>
      </c>
      <c r="BM71">
        <v>7067611.5</v>
      </c>
      <c r="BN71">
        <v>11800558</v>
      </c>
      <c r="BO71">
        <v>10941667</v>
      </c>
      <c r="BP71">
        <v>21339052</v>
      </c>
      <c r="BQ71">
        <v>31580186</v>
      </c>
      <c r="BR71">
        <v>8875840</v>
      </c>
      <c r="BS71">
        <v>10355284</v>
      </c>
      <c r="BT71">
        <v>3082331.25</v>
      </c>
      <c r="BU71">
        <v>11058296</v>
      </c>
      <c r="BV71">
        <v>9493504</v>
      </c>
      <c r="BW71">
        <v>25679288</v>
      </c>
      <c r="BX71">
        <v>20091860</v>
      </c>
      <c r="BY71">
        <v>15949164</v>
      </c>
      <c r="BZ71">
        <v>23424294</v>
      </c>
      <c r="CA71">
        <v>36235640</v>
      </c>
      <c r="CB71">
        <v>9891099</v>
      </c>
      <c r="CC71">
        <v>12725271</v>
      </c>
      <c r="CD71" s="17" t="s">
        <v>1165</v>
      </c>
      <c r="CE71" s="21">
        <v>15022224</v>
      </c>
      <c r="CF71" s="21">
        <v>12825762</v>
      </c>
      <c r="CG71" s="19">
        <v>15845167</v>
      </c>
      <c r="CH71" s="19">
        <v>10443802</v>
      </c>
      <c r="CI71" s="21">
        <v>9645066</v>
      </c>
      <c r="CJ71" s="21">
        <v>23499404</v>
      </c>
      <c r="CK71" s="19">
        <v>16953382</v>
      </c>
      <c r="CL71" s="19">
        <v>22280278</v>
      </c>
      <c r="CM71" s="21">
        <v>9740111</v>
      </c>
      <c r="CN71" s="21">
        <v>14953651</v>
      </c>
      <c r="CO71" s="19">
        <v>6376701.5</v>
      </c>
      <c r="CP71" s="19">
        <v>8374820.5</v>
      </c>
      <c r="CQ71" s="21">
        <v>8165869</v>
      </c>
      <c r="CR71" s="21">
        <v>18471636</v>
      </c>
      <c r="CS71" s="19">
        <v>7427884.5</v>
      </c>
      <c r="CT71" s="19">
        <v>12488683</v>
      </c>
      <c r="CU71" s="21">
        <v>30047716</v>
      </c>
      <c r="CV71" s="21">
        <v>31535916</v>
      </c>
      <c r="CW71" s="19">
        <v>9170292</v>
      </c>
      <c r="CX71" s="19">
        <v>18776230</v>
      </c>
    </row>
    <row r="72" spans="1:102">
      <c r="A72">
        <v>31028</v>
      </c>
      <c r="B72" t="s">
        <v>721</v>
      </c>
      <c r="C72" t="s">
        <v>1166</v>
      </c>
      <c r="D72" t="s">
        <v>721</v>
      </c>
      <c r="F72" t="s">
        <v>722</v>
      </c>
      <c r="G72">
        <v>26.501000000000001</v>
      </c>
      <c r="H72" t="s">
        <v>104</v>
      </c>
      <c r="I72">
        <v>2</v>
      </c>
      <c r="J72">
        <v>1</v>
      </c>
      <c r="K72">
        <v>0</v>
      </c>
      <c r="L72">
        <v>0</v>
      </c>
      <c r="M72">
        <v>0</v>
      </c>
      <c r="N72">
        <v>-1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2</v>
      </c>
      <c r="AQ72">
        <v>1</v>
      </c>
      <c r="AR72">
        <v>0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2</v>
      </c>
      <c r="AZ72">
        <v>1</v>
      </c>
      <c r="BA72">
        <v>2</v>
      </c>
      <c r="BB72">
        <v>2</v>
      </c>
      <c r="BC72">
        <v>2</v>
      </c>
      <c r="BD72">
        <v>2</v>
      </c>
      <c r="BE72">
        <v>2</v>
      </c>
      <c r="BF72">
        <v>1</v>
      </c>
      <c r="BG72">
        <v>2</v>
      </c>
      <c r="BH72">
        <v>2</v>
      </c>
      <c r="BI72">
        <v>1</v>
      </c>
      <c r="BJ72">
        <v>18855212</v>
      </c>
      <c r="BK72">
        <v>21154524</v>
      </c>
      <c r="BL72">
        <v>70365.919999999998</v>
      </c>
      <c r="BM72">
        <v>11834954</v>
      </c>
      <c r="BN72">
        <v>33397510</v>
      </c>
      <c r="BO72">
        <v>15681024</v>
      </c>
      <c r="BP72">
        <v>31362524</v>
      </c>
      <c r="BQ72">
        <v>57599088</v>
      </c>
      <c r="BR72">
        <v>20621104</v>
      </c>
      <c r="BS72">
        <v>8427691</v>
      </c>
      <c r="BT72">
        <v>4528330.5</v>
      </c>
      <c r="BU72">
        <v>14024442</v>
      </c>
      <c r="BV72">
        <v>22202182</v>
      </c>
      <c r="BW72">
        <v>43507176</v>
      </c>
      <c r="BX72">
        <v>72142504</v>
      </c>
      <c r="BY72">
        <v>11006710</v>
      </c>
      <c r="BZ72">
        <v>74253768</v>
      </c>
      <c r="CA72">
        <v>67402184</v>
      </c>
      <c r="CB72">
        <v>11526803</v>
      </c>
      <c r="CC72">
        <v>4794888</v>
      </c>
      <c r="CD72" s="17" t="s">
        <v>1166</v>
      </c>
      <c r="CE72" s="21">
        <v>18855212</v>
      </c>
      <c r="CF72" s="21">
        <v>16041405</v>
      </c>
      <c r="CG72" s="19">
        <v>8102115</v>
      </c>
      <c r="CH72" s="19">
        <v>22132950</v>
      </c>
      <c r="CI72" s="21">
        <v>24351530</v>
      </c>
      <c r="CJ72" s="21">
        <v>68215784</v>
      </c>
      <c r="CK72" s="19">
        <v>22763908</v>
      </c>
      <c r="CL72" s="19">
        <v>69824568</v>
      </c>
      <c r="CM72" s="21">
        <v>19781146</v>
      </c>
      <c r="CN72" s="21">
        <v>12644072</v>
      </c>
      <c r="CO72" s="19">
        <v>11429136</v>
      </c>
      <c r="CP72" s="19">
        <v>9684225</v>
      </c>
      <c r="CQ72" s="21">
        <v>12266832</v>
      </c>
      <c r="CR72" s="21">
        <v>24602540</v>
      </c>
      <c r="CS72" s="19">
        <v>9468848</v>
      </c>
      <c r="CT72" s="19">
        <v>8038876</v>
      </c>
      <c r="CU72" s="21">
        <v>46849784</v>
      </c>
      <c r="CV72" s="21">
        <v>49175200</v>
      </c>
      <c r="CW72" s="19">
        <v>7127280</v>
      </c>
      <c r="CX72" s="19">
        <v>6271316.5</v>
      </c>
    </row>
    <row r="73" spans="1:102">
      <c r="A73">
        <v>30950</v>
      </c>
      <c r="B73" t="s">
        <v>753</v>
      </c>
      <c r="C73" t="s">
        <v>1167</v>
      </c>
      <c r="D73" t="s">
        <v>754</v>
      </c>
      <c r="F73" t="s">
        <v>755</v>
      </c>
      <c r="G73">
        <v>14.647</v>
      </c>
      <c r="H73" t="s">
        <v>104</v>
      </c>
      <c r="I73">
        <v>2</v>
      </c>
      <c r="J73">
        <v>18</v>
      </c>
      <c r="K73">
        <v>0</v>
      </c>
      <c r="L73">
        <v>0</v>
      </c>
      <c r="M73">
        <v>0</v>
      </c>
      <c r="N73">
        <v>-1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0</v>
      </c>
      <c r="AZ73">
        <v>0</v>
      </c>
      <c r="BA73">
        <v>1</v>
      </c>
      <c r="BB73">
        <v>1</v>
      </c>
      <c r="BC73">
        <v>0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0</v>
      </c>
      <c r="BJ73">
        <v>620301.56000000006</v>
      </c>
      <c r="BK73">
        <v>591462.38</v>
      </c>
      <c r="BM73">
        <v>178981.41</v>
      </c>
      <c r="BN73">
        <v>858549.19</v>
      </c>
      <c r="BO73">
        <v>825191.94</v>
      </c>
      <c r="BP73">
        <v>563372.68999999994</v>
      </c>
      <c r="BQ73">
        <v>349926.28</v>
      </c>
      <c r="BR73">
        <v>187452.44</v>
      </c>
      <c r="BS73">
        <v>183291.39</v>
      </c>
      <c r="BT73">
        <v>141786.09</v>
      </c>
      <c r="BU73">
        <v>470413.16</v>
      </c>
      <c r="BV73">
        <v>611888.31000000006</v>
      </c>
      <c r="BW73">
        <v>305795.59000000003</v>
      </c>
      <c r="BX73">
        <v>544771.56000000006</v>
      </c>
      <c r="BY73">
        <v>1070253.75</v>
      </c>
      <c r="BZ73">
        <v>342343.56</v>
      </c>
      <c r="CA73">
        <v>327748.62</v>
      </c>
      <c r="CB73">
        <v>190419</v>
      </c>
      <c r="CC73">
        <v>24596.42</v>
      </c>
      <c r="CD73" s="17" t="s">
        <v>1167</v>
      </c>
      <c r="CE73" s="21">
        <v>620301.56000000006</v>
      </c>
      <c r="CF73" s="21">
        <v>502270.81</v>
      </c>
      <c r="CG73" s="19">
        <v>1861110.38</v>
      </c>
      <c r="CH73" s="19">
        <v>609980.31000000006</v>
      </c>
      <c r="CI73" s="21">
        <v>626004.25</v>
      </c>
      <c r="CJ73" s="21">
        <v>515119.59</v>
      </c>
      <c r="CK73" s="19">
        <v>408913.66</v>
      </c>
      <c r="CL73" s="19">
        <v>321922.96999999997</v>
      </c>
      <c r="CM73" s="21">
        <v>179816.94</v>
      </c>
      <c r="CN73" s="21">
        <v>208875.92</v>
      </c>
      <c r="CO73" s="19">
        <v>319548.84000000003</v>
      </c>
      <c r="CP73" s="19">
        <v>324831.90999999997</v>
      </c>
      <c r="CQ73" s="21">
        <v>185512.75</v>
      </c>
      <c r="CR73" s="21">
        <v>172922.02</v>
      </c>
      <c r="CS73" s="19">
        <v>498284.88</v>
      </c>
      <c r="CT73" s="19">
        <v>781671.94</v>
      </c>
      <c r="CU73" s="21">
        <v>284622.06</v>
      </c>
      <c r="CV73" s="21">
        <v>239118.42</v>
      </c>
      <c r="CW73" s="19">
        <v>155009.14000000001</v>
      </c>
      <c r="CX73" s="19">
        <v>32170.080000000002</v>
      </c>
    </row>
    <row r="74" spans="1:102">
      <c r="A74">
        <v>31088</v>
      </c>
      <c r="B74" t="s">
        <v>737</v>
      </c>
      <c r="C74" t="s">
        <v>1168</v>
      </c>
      <c r="D74" t="s">
        <v>737</v>
      </c>
      <c r="F74" t="s">
        <v>738</v>
      </c>
      <c r="G74">
        <v>22.216000000000001</v>
      </c>
      <c r="H74" t="s">
        <v>104</v>
      </c>
      <c r="I74">
        <v>2</v>
      </c>
      <c r="J74">
        <v>1</v>
      </c>
      <c r="K74">
        <v>0</v>
      </c>
      <c r="L74">
        <v>0</v>
      </c>
      <c r="M74">
        <v>0</v>
      </c>
      <c r="N74">
        <v>-1</v>
      </c>
      <c r="O74">
        <v>2</v>
      </c>
      <c r="P74">
        <v>2</v>
      </c>
      <c r="Q74">
        <v>2</v>
      </c>
      <c r="R74">
        <v>2</v>
      </c>
      <c r="S74">
        <v>2</v>
      </c>
      <c r="T74">
        <v>2</v>
      </c>
      <c r="U74">
        <v>2</v>
      </c>
      <c r="V74">
        <v>2</v>
      </c>
      <c r="W74">
        <v>2</v>
      </c>
      <c r="X74">
        <v>1</v>
      </c>
      <c r="Y74">
        <v>2</v>
      </c>
      <c r="Z74">
        <v>2</v>
      </c>
      <c r="AA74">
        <v>2</v>
      </c>
      <c r="AB74">
        <v>2</v>
      </c>
      <c r="AC74">
        <v>2</v>
      </c>
      <c r="AD74">
        <v>2</v>
      </c>
      <c r="AE74">
        <v>2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2</v>
      </c>
      <c r="AL74">
        <v>2</v>
      </c>
      <c r="AM74">
        <v>2</v>
      </c>
      <c r="AN74">
        <v>2</v>
      </c>
      <c r="AO74">
        <v>2</v>
      </c>
      <c r="AP74">
        <v>0</v>
      </c>
      <c r="AQ74">
        <v>1</v>
      </c>
      <c r="AR74">
        <v>0</v>
      </c>
      <c r="AS74">
        <v>1</v>
      </c>
      <c r="AT74">
        <v>0</v>
      </c>
      <c r="AU74">
        <v>1</v>
      </c>
      <c r="AV74">
        <v>0</v>
      </c>
      <c r="AW74">
        <v>0</v>
      </c>
      <c r="AX74">
        <v>2</v>
      </c>
      <c r="AY74">
        <v>2</v>
      </c>
      <c r="AZ74">
        <v>0</v>
      </c>
      <c r="BA74">
        <v>0</v>
      </c>
      <c r="BB74">
        <v>0</v>
      </c>
      <c r="BC74">
        <v>2</v>
      </c>
      <c r="BD74">
        <v>0</v>
      </c>
      <c r="BE74">
        <v>2</v>
      </c>
      <c r="BF74">
        <v>0</v>
      </c>
      <c r="BG74">
        <v>0</v>
      </c>
      <c r="BH74">
        <v>1</v>
      </c>
      <c r="BI74">
        <v>0</v>
      </c>
      <c r="BJ74">
        <v>456721.31</v>
      </c>
      <c r="BK74">
        <v>649348.06000000006</v>
      </c>
      <c r="BL74">
        <v>115205.77</v>
      </c>
      <c r="BM74">
        <v>601090.38</v>
      </c>
      <c r="BN74">
        <v>700776.38</v>
      </c>
      <c r="BO74">
        <v>1078399.5</v>
      </c>
      <c r="BP74">
        <v>846582.75</v>
      </c>
      <c r="BQ74">
        <v>640925.62</v>
      </c>
      <c r="BR74">
        <v>996174</v>
      </c>
      <c r="BS74">
        <v>757126.62</v>
      </c>
      <c r="BT74">
        <v>166549.29999999999</v>
      </c>
      <c r="BU74">
        <v>771290.88</v>
      </c>
      <c r="BV74">
        <v>487574</v>
      </c>
      <c r="BW74">
        <v>1214342.6200000001</v>
      </c>
      <c r="BX74">
        <v>644890.88</v>
      </c>
      <c r="BY74">
        <v>748191.88</v>
      </c>
      <c r="BZ74">
        <v>437612.47</v>
      </c>
      <c r="CA74">
        <v>1028378.88</v>
      </c>
      <c r="CB74">
        <v>557041.31000000006</v>
      </c>
      <c r="CC74">
        <v>348305.44</v>
      </c>
      <c r="CD74" s="17" t="s">
        <v>1168</v>
      </c>
      <c r="CE74" s="21">
        <v>492750.91</v>
      </c>
      <c r="CF74" s="21">
        <v>900263.5</v>
      </c>
      <c r="CG74" s="19">
        <v>4414729</v>
      </c>
      <c r="CH74" s="19">
        <v>839317.31</v>
      </c>
      <c r="CI74" s="21">
        <v>898603.81</v>
      </c>
      <c r="CJ74" s="21">
        <v>1096773.6200000001</v>
      </c>
      <c r="CK74" s="19">
        <v>1071014.8799999999</v>
      </c>
      <c r="CL74" s="19">
        <v>712412.31</v>
      </c>
      <c r="CM74" s="21">
        <v>1657210.62</v>
      </c>
      <c r="CN74" s="21">
        <v>1126070.25</v>
      </c>
      <c r="CO74" s="19">
        <v>382635.66</v>
      </c>
      <c r="CP74" s="19">
        <v>935712.25</v>
      </c>
      <c r="CQ74" s="21">
        <v>1093090.25</v>
      </c>
      <c r="CR74" s="21">
        <v>1212237.25</v>
      </c>
      <c r="CS74" s="19">
        <v>1124754.75</v>
      </c>
      <c r="CT74" s="19">
        <v>986418.12</v>
      </c>
      <c r="CU74" s="21">
        <v>909425.75</v>
      </c>
      <c r="CV74" s="21">
        <v>1338096.25</v>
      </c>
      <c r="CW74" s="19">
        <v>1112689.5</v>
      </c>
      <c r="CX74" s="19">
        <v>848888.56</v>
      </c>
    </row>
    <row r="75" spans="1:102">
      <c r="A75">
        <v>31107</v>
      </c>
      <c r="B75" t="s">
        <v>607</v>
      </c>
      <c r="C75" t="s">
        <v>1169</v>
      </c>
      <c r="D75" t="s">
        <v>607</v>
      </c>
      <c r="F75" t="s">
        <v>608</v>
      </c>
      <c r="G75">
        <v>78.52</v>
      </c>
      <c r="H75" t="s">
        <v>104</v>
      </c>
      <c r="I75">
        <v>2</v>
      </c>
      <c r="J75">
        <v>1</v>
      </c>
      <c r="K75">
        <v>0</v>
      </c>
      <c r="L75">
        <v>0</v>
      </c>
      <c r="M75">
        <v>0</v>
      </c>
      <c r="N75">
        <v>-1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Y75">
        <v>5</v>
      </c>
      <c r="Z75">
        <v>5</v>
      </c>
      <c r="AA75">
        <v>5</v>
      </c>
      <c r="AB75">
        <v>5</v>
      </c>
      <c r="AC75">
        <v>5</v>
      </c>
      <c r="AD75">
        <v>5</v>
      </c>
      <c r="AE75">
        <v>5</v>
      </c>
      <c r="AF75">
        <v>5</v>
      </c>
      <c r="AG75">
        <v>5</v>
      </c>
      <c r="AH75">
        <v>5</v>
      </c>
      <c r="AI75">
        <v>5</v>
      </c>
      <c r="AJ75">
        <v>5</v>
      </c>
      <c r="AK75">
        <v>5</v>
      </c>
      <c r="AL75">
        <v>5</v>
      </c>
      <c r="AM75">
        <v>5</v>
      </c>
      <c r="AN75">
        <v>5</v>
      </c>
      <c r="AO75">
        <v>5</v>
      </c>
      <c r="AP75">
        <v>1</v>
      </c>
      <c r="AQ75">
        <v>1</v>
      </c>
      <c r="AR75">
        <v>0</v>
      </c>
      <c r="AS75">
        <v>5</v>
      </c>
      <c r="AT75">
        <v>0</v>
      </c>
      <c r="AU75">
        <v>1</v>
      </c>
      <c r="AV75">
        <v>1</v>
      </c>
      <c r="AW75">
        <v>0</v>
      </c>
      <c r="AX75">
        <v>2</v>
      </c>
      <c r="AY75">
        <v>2</v>
      </c>
      <c r="AZ75">
        <v>0</v>
      </c>
      <c r="BA75">
        <v>2</v>
      </c>
      <c r="BB75">
        <v>0</v>
      </c>
      <c r="BC75">
        <v>3</v>
      </c>
      <c r="BD75">
        <v>0</v>
      </c>
      <c r="BE75">
        <v>2</v>
      </c>
      <c r="BF75">
        <v>1</v>
      </c>
      <c r="BG75">
        <v>0</v>
      </c>
      <c r="BH75">
        <v>2</v>
      </c>
      <c r="BI75">
        <v>3</v>
      </c>
      <c r="BJ75">
        <v>1895173.62</v>
      </c>
      <c r="BK75">
        <v>3638006.25</v>
      </c>
      <c r="BM75">
        <v>3064843.25</v>
      </c>
      <c r="BN75">
        <v>1801290</v>
      </c>
      <c r="BO75">
        <v>3299825</v>
      </c>
      <c r="BP75">
        <v>2847119</v>
      </c>
      <c r="BQ75">
        <v>1401990.38</v>
      </c>
      <c r="BR75">
        <v>3022243.5</v>
      </c>
      <c r="BS75">
        <v>2782653.75</v>
      </c>
      <c r="BT75">
        <v>497896.22</v>
      </c>
      <c r="BU75">
        <v>2508973.5</v>
      </c>
      <c r="BV75">
        <v>1391480</v>
      </c>
      <c r="BW75">
        <v>3901804.5</v>
      </c>
      <c r="BX75">
        <v>1372431.12</v>
      </c>
      <c r="BY75">
        <v>2444673.5</v>
      </c>
      <c r="BZ75">
        <v>2193553.25</v>
      </c>
      <c r="CA75">
        <v>1875335.25</v>
      </c>
      <c r="CB75">
        <v>2499816</v>
      </c>
      <c r="CC75">
        <v>1889060.75</v>
      </c>
      <c r="CD75" s="17" t="s">
        <v>1169</v>
      </c>
      <c r="CE75" s="21">
        <v>1943565</v>
      </c>
      <c r="CF75" s="21">
        <v>1711935</v>
      </c>
      <c r="CG75" s="19">
        <v>1861110.38</v>
      </c>
      <c r="CH75" s="19">
        <v>1422327.12</v>
      </c>
      <c r="CI75" s="21">
        <v>1346346.88</v>
      </c>
      <c r="CJ75" s="21">
        <v>1369267.5</v>
      </c>
      <c r="CK75" s="19">
        <v>2039325.88</v>
      </c>
      <c r="CL75" s="19">
        <v>2211918.75</v>
      </c>
      <c r="CM75" s="21">
        <v>2976387</v>
      </c>
      <c r="CN75" s="21">
        <v>2873358</v>
      </c>
      <c r="CO75" s="19">
        <v>1930249.88</v>
      </c>
      <c r="CP75" s="19">
        <v>1733019.88</v>
      </c>
      <c r="CQ75" s="21">
        <v>2574304</v>
      </c>
      <c r="CR75" s="21">
        <v>2208542.75</v>
      </c>
      <c r="CS75" s="19">
        <v>2070672.75</v>
      </c>
      <c r="CT75" s="19">
        <v>1815852</v>
      </c>
      <c r="CU75" s="21">
        <v>1177631.6200000001</v>
      </c>
      <c r="CV75" s="21">
        <v>1466890.25</v>
      </c>
      <c r="CW75" s="19">
        <v>2149456.5</v>
      </c>
      <c r="CX75" s="19">
        <v>2714124</v>
      </c>
    </row>
    <row r="76" spans="1:102">
      <c r="A76">
        <v>31053</v>
      </c>
      <c r="B76" t="s">
        <v>530</v>
      </c>
      <c r="C76" t="s">
        <v>1170</v>
      </c>
      <c r="D76" t="s">
        <v>531</v>
      </c>
      <c r="F76" t="s">
        <v>532</v>
      </c>
      <c r="G76">
        <v>155.77600000000001</v>
      </c>
      <c r="H76" t="s">
        <v>104</v>
      </c>
      <c r="I76">
        <v>2</v>
      </c>
      <c r="J76">
        <v>3</v>
      </c>
      <c r="K76">
        <v>0</v>
      </c>
      <c r="L76">
        <v>0</v>
      </c>
      <c r="M76">
        <v>0</v>
      </c>
      <c r="N76">
        <v>-1</v>
      </c>
      <c r="O76">
        <v>2</v>
      </c>
      <c r="P76">
        <v>2</v>
      </c>
      <c r="Q76">
        <v>2</v>
      </c>
      <c r="R76">
        <v>2</v>
      </c>
      <c r="S76">
        <v>2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2</v>
      </c>
      <c r="AA76">
        <v>2</v>
      </c>
      <c r="AB76">
        <v>2</v>
      </c>
      <c r="AC76">
        <v>2</v>
      </c>
      <c r="AD76">
        <v>2</v>
      </c>
      <c r="AE76">
        <v>2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>
        <v>2</v>
      </c>
      <c r="AM76">
        <v>2</v>
      </c>
      <c r="AN76">
        <v>2</v>
      </c>
      <c r="AO76">
        <v>2</v>
      </c>
      <c r="AP76">
        <v>5</v>
      </c>
      <c r="AQ76">
        <v>5</v>
      </c>
      <c r="AR76">
        <v>0</v>
      </c>
      <c r="AS76">
        <v>4</v>
      </c>
      <c r="AT76">
        <v>4</v>
      </c>
      <c r="AU76">
        <v>6</v>
      </c>
      <c r="AV76">
        <v>5</v>
      </c>
      <c r="AW76">
        <v>5</v>
      </c>
      <c r="AX76">
        <v>5</v>
      </c>
      <c r="AY76">
        <v>5</v>
      </c>
      <c r="AZ76">
        <v>2</v>
      </c>
      <c r="BA76">
        <v>6</v>
      </c>
      <c r="BB76">
        <v>6</v>
      </c>
      <c r="BC76">
        <v>5</v>
      </c>
      <c r="BD76">
        <v>5</v>
      </c>
      <c r="BE76">
        <v>5</v>
      </c>
      <c r="BF76">
        <v>5</v>
      </c>
      <c r="BG76">
        <v>5</v>
      </c>
      <c r="BH76">
        <v>5</v>
      </c>
      <c r="BI76">
        <v>3</v>
      </c>
      <c r="BJ76">
        <v>26218658</v>
      </c>
      <c r="BK76">
        <v>31984870</v>
      </c>
      <c r="BL76">
        <v>60417.38</v>
      </c>
      <c r="BM76">
        <v>7756150</v>
      </c>
      <c r="BN76">
        <v>20348314</v>
      </c>
      <c r="BO76">
        <v>22578576</v>
      </c>
      <c r="BP76">
        <v>13945668</v>
      </c>
      <c r="BQ76">
        <v>18607832</v>
      </c>
      <c r="BR76">
        <v>9476612</v>
      </c>
      <c r="BS76">
        <v>7060164</v>
      </c>
      <c r="BT76">
        <v>3987116.5</v>
      </c>
      <c r="BU76">
        <v>19993108</v>
      </c>
      <c r="BV76">
        <v>21853692</v>
      </c>
      <c r="BW76">
        <v>13355854</v>
      </c>
      <c r="BX76">
        <v>18623844</v>
      </c>
      <c r="BY76">
        <v>17019460</v>
      </c>
      <c r="BZ76">
        <v>11847760</v>
      </c>
      <c r="CA76">
        <v>22344996</v>
      </c>
      <c r="CB76">
        <v>9866549</v>
      </c>
      <c r="CC76">
        <v>4580993</v>
      </c>
      <c r="CD76" s="17" t="s">
        <v>1170</v>
      </c>
      <c r="CE76" s="21">
        <v>26615152</v>
      </c>
      <c r="CF76" s="21">
        <v>18254462</v>
      </c>
      <c r="CG76" s="19">
        <v>6256594</v>
      </c>
      <c r="CH76" s="19">
        <v>27338452</v>
      </c>
      <c r="CI76" s="21">
        <v>15990371</v>
      </c>
      <c r="CJ76" s="21">
        <v>22266664</v>
      </c>
      <c r="CK76" s="19">
        <v>12861795</v>
      </c>
      <c r="CL76" s="19">
        <v>12744872</v>
      </c>
      <c r="CM76" s="21">
        <v>10510297</v>
      </c>
      <c r="CN76" s="21">
        <v>11149821</v>
      </c>
      <c r="CO76" s="19">
        <v>14411353</v>
      </c>
      <c r="CP76" s="19">
        <v>13636914</v>
      </c>
      <c r="CQ76" s="21">
        <v>8216683.5</v>
      </c>
      <c r="CR76" s="21">
        <v>8759427</v>
      </c>
      <c r="CS76" s="19">
        <v>15073796</v>
      </c>
      <c r="CT76" s="19">
        <v>12425693</v>
      </c>
      <c r="CU76" s="21">
        <v>16404009</v>
      </c>
      <c r="CV76" s="21">
        <v>14779952</v>
      </c>
      <c r="CW76" s="19">
        <v>6581313.5</v>
      </c>
      <c r="CX76" s="19">
        <v>6486477</v>
      </c>
    </row>
    <row r="77" spans="1:102">
      <c r="A77">
        <v>30941</v>
      </c>
      <c r="B77" t="s">
        <v>663</v>
      </c>
      <c r="C77" t="s">
        <v>1171</v>
      </c>
      <c r="D77" t="s">
        <v>664</v>
      </c>
      <c r="F77" t="s">
        <v>665</v>
      </c>
      <c r="G77">
        <v>41.262</v>
      </c>
      <c r="H77" t="s">
        <v>104</v>
      </c>
      <c r="I77">
        <v>2</v>
      </c>
      <c r="J77">
        <v>21</v>
      </c>
      <c r="K77">
        <v>0</v>
      </c>
      <c r="L77">
        <v>0</v>
      </c>
      <c r="M77">
        <v>0</v>
      </c>
      <c r="N77">
        <v>-1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520668.38</v>
      </c>
      <c r="BK77">
        <v>955632.44</v>
      </c>
      <c r="BL77">
        <v>16484.13</v>
      </c>
      <c r="BN77">
        <v>572777.12</v>
      </c>
      <c r="BO77">
        <v>628306.56000000006</v>
      </c>
      <c r="BP77">
        <v>625138.93999999994</v>
      </c>
      <c r="BQ77">
        <v>422338.59</v>
      </c>
      <c r="BR77">
        <v>395678.91</v>
      </c>
      <c r="BT77">
        <v>96505.03</v>
      </c>
      <c r="BU77">
        <v>471613.94</v>
      </c>
      <c r="BV77">
        <v>390585.84</v>
      </c>
      <c r="BW77">
        <v>615661.88</v>
      </c>
      <c r="BX77">
        <v>293324.53000000003</v>
      </c>
      <c r="BY77">
        <v>336817.53</v>
      </c>
      <c r="BZ77">
        <v>364014.78</v>
      </c>
      <c r="CA77">
        <v>332027.71999999997</v>
      </c>
      <c r="CB77">
        <v>242755.55</v>
      </c>
      <c r="CC77">
        <v>138798.29999999999</v>
      </c>
      <c r="CD77" s="17" t="s">
        <v>1171</v>
      </c>
      <c r="CE77" s="21">
        <v>520668.38</v>
      </c>
      <c r="CF77" s="21">
        <v>341864.69</v>
      </c>
      <c r="CG77" s="19">
        <v>1898025.62</v>
      </c>
      <c r="CH77" s="19">
        <v>389367.91</v>
      </c>
      <c r="CI77" s="21">
        <v>417635.88</v>
      </c>
      <c r="CJ77" s="21">
        <v>277358.84000000003</v>
      </c>
      <c r="CK77" s="19">
        <v>453745.53</v>
      </c>
      <c r="CL77" s="19">
        <v>342301.5</v>
      </c>
      <c r="CM77" s="21">
        <v>379561.72</v>
      </c>
      <c r="CN77" s="21">
        <v>266285.34000000003</v>
      </c>
      <c r="CO77" s="19">
        <v>516298.69</v>
      </c>
      <c r="CP77" s="19">
        <v>325661.09000000003</v>
      </c>
      <c r="CQ77" s="21">
        <v>191651.27</v>
      </c>
      <c r="CR77" s="21">
        <v>348145.91</v>
      </c>
      <c r="CS77" s="19">
        <v>379397.38</v>
      </c>
      <c r="CT77" s="19">
        <v>245998.53</v>
      </c>
      <c r="CU77" s="21">
        <v>343520.56</v>
      </c>
      <c r="CV77" s="21">
        <v>242240.38</v>
      </c>
      <c r="CW77" s="19">
        <v>200247.95</v>
      </c>
      <c r="CX77" s="19">
        <v>181536.69</v>
      </c>
    </row>
    <row r="78" spans="1:102">
      <c r="A78">
        <v>30956</v>
      </c>
      <c r="B78" t="s">
        <v>669</v>
      </c>
      <c r="C78" t="s">
        <v>1172</v>
      </c>
      <c r="D78" t="s">
        <v>670</v>
      </c>
      <c r="F78" t="s">
        <v>671</v>
      </c>
      <c r="G78">
        <v>39.774999999999999</v>
      </c>
      <c r="H78" t="s">
        <v>104</v>
      </c>
      <c r="I78">
        <v>2</v>
      </c>
      <c r="J78">
        <v>16</v>
      </c>
      <c r="K78">
        <v>0</v>
      </c>
      <c r="L78">
        <v>0</v>
      </c>
      <c r="M78">
        <v>0</v>
      </c>
      <c r="N78">
        <v>-1</v>
      </c>
      <c r="O78">
        <v>2</v>
      </c>
      <c r="P78">
        <v>1</v>
      </c>
      <c r="Q78">
        <v>2</v>
      </c>
      <c r="R78">
        <v>1</v>
      </c>
      <c r="S78">
        <v>2</v>
      </c>
      <c r="T78">
        <v>1</v>
      </c>
      <c r="U78">
        <v>1</v>
      </c>
      <c r="V78">
        <v>1</v>
      </c>
      <c r="W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0</v>
      </c>
      <c r="AS78">
        <v>0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0</v>
      </c>
      <c r="AZ78">
        <v>1</v>
      </c>
      <c r="BA78">
        <v>1</v>
      </c>
      <c r="BB78">
        <v>1</v>
      </c>
      <c r="BC78">
        <v>0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2330091</v>
      </c>
      <c r="BK78">
        <v>1695468.25</v>
      </c>
      <c r="BM78">
        <v>578673.31000000006</v>
      </c>
      <c r="BN78">
        <v>4008251.75</v>
      </c>
      <c r="BO78">
        <v>2725897</v>
      </c>
      <c r="BP78">
        <v>1849125.75</v>
      </c>
      <c r="BQ78">
        <v>1599189.5</v>
      </c>
      <c r="BR78">
        <v>871067.88</v>
      </c>
      <c r="BS78">
        <v>484495.69</v>
      </c>
      <c r="BT78">
        <v>716145.94</v>
      </c>
      <c r="BU78">
        <v>1823135.38</v>
      </c>
      <c r="BV78">
        <v>2323059.25</v>
      </c>
      <c r="BW78">
        <v>971116</v>
      </c>
      <c r="BX78">
        <v>3579157.5</v>
      </c>
      <c r="BY78">
        <v>2061851.75</v>
      </c>
      <c r="BZ78">
        <v>1515943.25</v>
      </c>
      <c r="CA78">
        <v>1827982.25</v>
      </c>
      <c r="CB78">
        <v>631100.06000000006</v>
      </c>
      <c r="CC78">
        <v>405053.53</v>
      </c>
      <c r="CD78" s="17" t="s">
        <v>1172</v>
      </c>
      <c r="CE78" s="21">
        <v>1892480.5</v>
      </c>
      <c r="CF78" s="21">
        <v>2266933.5</v>
      </c>
      <c r="CG78" s="19">
        <v>1861110.38</v>
      </c>
      <c r="CH78" s="19">
        <v>1957057.62</v>
      </c>
      <c r="CI78" s="21">
        <v>2571564.5</v>
      </c>
      <c r="CJ78" s="21">
        <v>3036288.75</v>
      </c>
      <c r="CK78" s="19">
        <v>1099281.25</v>
      </c>
      <c r="CL78" s="19">
        <v>1223223.3799999999</v>
      </c>
      <c r="CM78" s="21">
        <v>571430.12</v>
      </c>
      <c r="CN78" s="21">
        <v>487906.41</v>
      </c>
      <c r="CO78" s="19">
        <v>727382.69</v>
      </c>
      <c r="CP78" s="19">
        <v>1178783.75</v>
      </c>
      <c r="CQ78" s="21">
        <v>509689.44</v>
      </c>
      <c r="CR78" s="21">
        <v>407642.09</v>
      </c>
      <c r="CS78" s="19">
        <v>1371419.5</v>
      </c>
      <c r="CT78" s="19">
        <v>1277963</v>
      </c>
      <c r="CU78" s="21">
        <v>1100151.8799999999</v>
      </c>
      <c r="CV78" s="21">
        <v>1165752</v>
      </c>
      <c r="CW78" s="19">
        <v>328905.34000000003</v>
      </c>
      <c r="CX78" s="19">
        <v>479800.44</v>
      </c>
    </row>
    <row r="79" spans="1:102">
      <c r="A79">
        <v>30957</v>
      </c>
      <c r="B79" t="s">
        <v>672</v>
      </c>
      <c r="C79" t="s">
        <v>1172</v>
      </c>
      <c r="D79" t="s">
        <v>672</v>
      </c>
      <c r="F79" t="s">
        <v>673</v>
      </c>
      <c r="G79">
        <v>39.774999999999999</v>
      </c>
      <c r="H79" t="s">
        <v>104</v>
      </c>
      <c r="I79">
        <v>2</v>
      </c>
      <c r="J79">
        <v>1</v>
      </c>
      <c r="K79">
        <v>0</v>
      </c>
      <c r="L79">
        <v>0</v>
      </c>
      <c r="M79">
        <v>0</v>
      </c>
      <c r="N79">
        <v>-1</v>
      </c>
      <c r="O79">
        <v>2</v>
      </c>
      <c r="P79">
        <v>1</v>
      </c>
      <c r="Q79">
        <v>2</v>
      </c>
      <c r="R79">
        <v>1</v>
      </c>
      <c r="S79">
        <v>2</v>
      </c>
      <c r="T79">
        <v>1</v>
      </c>
      <c r="U79">
        <v>1</v>
      </c>
      <c r="V79">
        <v>1</v>
      </c>
      <c r="W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0</v>
      </c>
      <c r="AZ79">
        <v>1</v>
      </c>
      <c r="BA79">
        <v>1</v>
      </c>
      <c r="BB79">
        <v>1</v>
      </c>
      <c r="BC79">
        <v>0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2330091</v>
      </c>
      <c r="BK79">
        <v>1695468.25</v>
      </c>
      <c r="BM79">
        <v>578673.31000000006</v>
      </c>
      <c r="BN79">
        <v>4008251.75</v>
      </c>
      <c r="BO79">
        <v>2725897</v>
      </c>
      <c r="BP79">
        <v>1849125.75</v>
      </c>
      <c r="BQ79">
        <v>1599189.5</v>
      </c>
      <c r="BR79">
        <v>871067.88</v>
      </c>
      <c r="BS79">
        <v>484495.69</v>
      </c>
      <c r="BT79">
        <v>716145.94</v>
      </c>
      <c r="BU79">
        <v>1823135.38</v>
      </c>
      <c r="BV79">
        <v>2323059.25</v>
      </c>
      <c r="BW79">
        <v>971116</v>
      </c>
      <c r="BX79">
        <v>3579157.5</v>
      </c>
      <c r="BY79">
        <v>2061851.75</v>
      </c>
      <c r="BZ79">
        <v>1515943.25</v>
      </c>
      <c r="CA79">
        <v>1827982.25</v>
      </c>
      <c r="CB79">
        <v>631100.06000000006</v>
      </c>
      <c r="CC79">
        <v>405053.53</v>
      </c>
      <c r="CD79" s="17" t="s">
        <v>1172</v>
      </c>
      <c r="CE79" s="21">
        <v>1892480.5</v>
      </c>
      <c r="CF79" s="21">
        <v>2266933.5</v>
      </c>
      <c r="CG79" s="19">
        <v>1861110.38</v>
      </c>
      <c r="CH79" s="19">
        <v>1957057.62</v>
      </c>
      <c r="CI79" s="21">
        <v>2571564.5</v>
      </c>
      <c r="CJ79" s="21">
        <v>3036288.75</v>
      </c>
      <c r="CK79" s="19">
        <v>1099281.25</v>
      </c>
      <c r="CL79" s="19">
        <v>1223223.3799999999</v>
      </c>
      <c r="CM79" s="21">
        <v>571430.12</v>
      </c>
      <c r="CN79" s="21">
        <v>487906.41</v>
      </c>
      <c r="CO79" s="19">
        <v>727382.69</v>
      </c>
      <c r="CP79" s="19">
        <v>1178783.75</v>
      </c>
      <c r="CQ79" s="21">
        <v>509689.44</v>
      </c>
      <c r="CR79" s="21">
        <v>407642.09</v>
      </c>
      <c r="CS79" s="19">
        <v>1371419.5</v>
      </c>
      <c r="CT79" s="19">
        <v>1277963</v>
      </c>
      <c r="CU79" s="21">
        <v>1100151.8799999999</v>
      </c>
      <c r="CV79" s="21">
        <v>1165752</v>
      </c>
      <c r="CW79" s="19">
        <v>328905.34000000003</v>
      </c>
      <c r="CX79" s="19">
        <v>479800.44</v>
      </c>
    </row>
    <row r="80" spans="1:102">
      <c r="A80">
        <v>31157</v>
      </c>
      <c r="B80" t="s">
        <v>600</v>
      </c>
      <c r="C80" t="s">
        <v>1175</v>
      </c>
      <c r="D80" t="s">
        <v>600</v>
      </c>
      <c r="F80" t="s">
        <v>601</v>
      </c>
      <c r="G80">
        <v>79.462999999999994</v>
      </c>
      <c r="H80" t="s">
        <v>104</v>
      </c>
      <c r="I80">
        <v>2</v>
      </c>
      <c r="J80">
        <v>1</v>
      </c>
      <c r="K80">
        <v>0</v>
      </c>
      <c r="L80">
        <v>0</v>
      </c>
      <c r="M80">
        <v>0</v>
      </c>
      <c r="N80">
        <v>-1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6</v>
      </c>
      <c r="W80">
        <v>6</v>
      </c>
      <c r="X80">
        <v>2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6</v>
      </c>
      <c r="AN80">
        <v>7</v>
      </c>
      <c r="AO80">
        <v>7</v>
      </c>
      <c r="AP80">
        <v>3</v>
      </c>
      <c r="AQ80">
        <v>3</v>
      </c>
      <c r="AR80">
        <v>0</v>
      </c>
      <c r="AS80">
        <v>5</v>
      </c>
      <c r="AT80">
        <v>3</v>
      </c>
      <c r="AU80">
        <v>5</v>
      </c>
      <c r="AV80">
        <v>2</v>
      </c>
      <c r="AW80">
        <v>2</v>
      </c>
      <c r="AX80">
        <v>6</v>
      </c>
      <c r="AY80">
        <v>4</v>
      </c>
      <c r="AZ80">
        <v>0</v>
      </c>
      <c r="BA80">
        <v>5</v>
      </c>
      <c r="BB80">
        <v>1</v>
      </c>
      <c r="BC80">
        <v>7</v>
      </c>
      <c r="BD80">
        <v>2</v>
      </c>
      <c r="BE80">
        <v>4</v>
      </c>
      <c r="BF80">
        <v>2</v>
      </c>
      <c r="BG80">
        <v>2</v>
      </c>
      <c r="BH80">
        <v>2</v>
      </c>
      <c r="BI80">
        <v>3</v>
      </c>
      <c r="BJ80">
        <v>4087799.25</v>
      </c>
      <c r="BK80">
        <v>13239641</v>
      </c>
      <c r="BL80">
        <v>46452.6</v>
      </c>
      <c r="BM80">
        <v>5912221</v>
      </c>
      <c r="BN80">
        <v>5870713.5</v>
      </c>
      <c r="BO80">
        <v>8506986</v>
      </c>
      <c r="BP80">
        <v>7534497.5</v>
      </c>
      <c r="BQ80">
        <v>8199730</v>
      </c>
      <c r="BR80">
        <v>7294786</v>
      </c>
      <c r="BS80">
        <v>6269533.5</v>
      </c>
      <c r="BT80">
        <v>1504328.62</v>
      </c>
      <c r="BU80">
        <v>10503706</v>
      </c>
      <c r="BV80">
        <v>4057220</v>
      </c>
      <c r="BW80">
        <v>11463795</v>
      </c>
      <c r="BX80">
        <v>4768735.5</v>
      </c>
      <c r="BY80">
        <v>6714021</v>
      </c>
      <c r="BZ80">
        <v>6295708</v>
      </c>
      <c r="CA80">
        <v>8272608.5</v>
      </c>
      <c r="CB80">
        <v>5257583.5</v>
      </c>
      <c r="CC80">
        <v>5662682</v>
      </c>
      <c r="CD80" s="17" t="s">
        <v>1175</v>
      </c>
      <c r="CE80" s="21">
        <v>3967770.75</v>
      </c>
      <c r="CF80" s="21">
        <v>4997727.5</v>
      </c>
      <c r="CG80" s="19">
        <v>3884961.5</v>
      </c>
      <c r="CH80" s="19">
        <v>3624761.5</v>
      </c>
      <c r="CI80" s="21">
        <v>4347803.5</v>
      </c>
      <c r="CJ80" s="21">
        <v>4476002</v>
      </c>
      <c r="CK80" s="19">
        <v>5638771</v>
      </c>
      <c r="CL80" s="19">
        <v>6450712.5</v>
      </c>
      <c r="CM80" s="21">
        <v>7912514.5</v>
      </c>
      <c r="CN80" s="21">
        <v>7345207</v>
      </c>
      <c r="CO80" s="19">
        <v>4625703</v>
      </c>
      <c r="CP80" s="19">
        <v>5897414</v>
      </c>
      <c r="CQ80" s="21">
        <v>7019070</v>
      </c>
      <c r="CR80" s="21">
        <v>8055147</v>
      </c>
      <c r="CS80" s="19">
        <v>5670498</v>
      </c>
      <c r="CT80" s="19">
        <v>5491069</v>
      </c>
      <c r="CU80" s="21">
        <v>4289088.5</v>
      </c>
      <c r="CV80" s="21">
        <v>4043303</v>
      </c>
      <c r="CW80" s="19">
        <v>6456904.5</v>
      </c>
      <c r="CX80" s="19">
        <v>8739252</v>
      </c>
    </row>
    <row r="81" spans="1:102">
      <c r="A81">
        <v>31068</v>
      </c>
      <c r="B81" t="s">
        <v>552</v>
      </c>
      <c r="C81" t="s">
        <v>1176</v>
      </c>
      <c r="D81" t="s">
        <v>552</v>
      </c>
      <c r="F81" t="s">
        <v>553</v>
      </c>
      <c r="G81">
        <v>121.77200000000001</v>
      </c>
      <c r="H81" t="s">
        <v>104</v>
      </c>
      <c r="I81">
        <v>2</v>
      </c>
      <c r="J81">
        <v>1</v>
      </c>
      <c r="K81">
        <v>0</v>
      </c>
      <c r="L81">
        <v>0</v>
      </c>
      <c r="M81">
        <v>0</v>
      </c>
      <c r="N81">
        <v>-1</v>
      </c>
      <c r="O81">
        <v>3</v>
      </c>
      <c r="P81">
        <v>3</v>
      </c>
      <c r="Q81">
        <v>3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Y81">
        <v>3</v>
      </c>
      <c r="Z81">
        <v>3</v>
      </c>
      <c r="AA81">
        <v>3</v>
      </c>
      <c r="AB81">
        <v>3</v>
      </c>
      <c r="AC81">
        <v>3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3</v>
      </c>
      <c r="AN81">
        <v>3</v>
      </c>
      <c r="AO81">
        <v>3</v>
      </c>
      <c r="AP81">
        <v>4</v>
      </c>
      <c r="AQ81">
        <v>3</v>
      </c>
      <c r="AR81">
        <v>0</v>
      </c>
      <c r="AS81">
        <v>2</v>
      </c>
      <c r="AT81">
        <v>4</v>
      </c>
      <c r="AU81">
        <v>2</v>
      </c>
      <c r="AV81">
        <v>1</v>
      </c>
      <c r="AW81">
        <v>3</v>
      </c>
      <c r="AX81">
        <v>1</v>
      </c>
      <c r="AY81">
        <v>2</v>
      </c>
      <c r="AZ81">
        <v>1</v>
      </c>
      <c r="BA81">
        <v>1</v>
      </c>
      <c r="BB81">
        <v>0</v>
      </c>
      <c r="BC81">
        <v>2</v>
      </c>
      <c r="BD81">
        <v>2</v>
      </c>
      <c r="BE81">
        <v>3</v>
      </c>
      <c r="BF81">
        <v>1</v>
      </c>
      <c r="BG81">
        <v>3</v>
      </c>
      <c r="BH81">
        <v>1</v>
      </c>
      <c r="BI81">
        <v>1</v>
      </c>
      <c r="BJ81">
        <v>2459524</v>
      </c>
      <c r="BK81">
        <v>3110924</v>
      </c>
      <c r="BM81">
        <v>1127594</v>
      </c>
      <c r="BN81">
        <v>2411216.75</v>
      </c>
      <c r="BO81">
        <v>2400415.25</v>
      </c>
      <c r="BP81">
        <v>1681253.75</v>
      </c>
      <c r="BQ81">
        <v>3600788</v>
      </c>
      <c r="BR81">
        <v>1039206.88</v>
      </c>
      <c r="BS81">
        <v>1266120.75</v>
      </c>
      <c r="BT81">
        <v>492167.22</v>
      </c>
      <c r="BU81">
        <v>2021897.12</v>
      </c>
      <c r="BV81">
        <v>890897.12</v>
      </c>
      <c r="BW81">
        <v>3192239</v>
      </c>
      <c r="BX81">
        <v>2560199</v>
      </c>
      <c r="BY81">
        <v>2437730.5</v>
      </c>
      <c r="BZ81">
        <v>1686503.62</v>
      </c>
      <c r="CA81">
        <v>3723833.5</v>
      </c>
      <c r="CB81">
        <v>952448.75</v>
      </c>
      <c r="CC81">
        <v>881553.75</v>
      </c>
      <c r="CD81" s="17" t="s">
        <v>1176</v>
      </c>
      <c r="CE81" s="21">
        <v>2454665.5</v>
      </c>
      <c r="CF81" s="21">
        <v>1847434.12</v>
      </c>
      <c r="CG81" s="19">
        <v>1861110.38</v>
      </c>
      <c r="CH81" s="19">
        <v>899110.44</v>
      </c>
      <c r="CI81" s="21">
        <v>1790601.5</v>
      </c>
      <c r="CJ81" s="21">
        <v>2373150.5</v>
      </c>
      <c r="CK81" s="19">
        <v>1070477.25</v>
      </c>
      <c r="CL81" s="19">
        <v>1080430</v>
      </c>
      <c r="CM81" s="21">
        <v>1038172.81</v>
      </c>
      <c r="CN81" s="21">
        <v>1032589.69</v>
      </c>
      <c r="CO81" s="19">
        <v>1769887</v>
      </c>
      <c r="CP81" s="19">
        <v>1436279.25</v>
      </c>
      <c r="CQ81" s="21">
        <v>1204669.1200000001</v>
      </c>
      <c r="CR81" s="21">
        <v>1899496.88</v>
      </c>
      <c r="CS81" s="19">
        <v>1454192.25</v>
      </c>
      <c r="CT81" s="19">
        <v>1849781</v>
      </c>
      <c r="CU81" s="21">
        <v>2914733.25</v>
      </c>
      <c r="CV81" s="21">
        <v>2817045.75</v>
      </c>
      <c r="CW81" s="19">
        <v>1048931</v>
      </c>
      <c r="CX81" s="19">
        <v>1320053.5</v>
      </c>
    </row>
    <row r="82" spans="1:102">
      <c r="A82">
        <v>30978</v>
      </c>
      <c r="B82" t="s">
        <v>533</v>
      </c>
      <c r="C82" t="s">
        <v>1177</v>
      </c>
      <c r="D82" t="s">
        <v>534</v>
      </c>
      <c r="E82" t="s">
        <v>535</v>
      </c>
      <c r="F82" t="s">
        <v>536</v>
      </c>
      <c r="G82">
        <v>153.238</v>
      </c>
      <c r="H82" t="s">
        <v>104</v>
      </c>
      <c r="I82">
        <v>2</v>
      </c>
      <c r="J82">
        <v>13</v>
      </c>
      <c r="K82">
        <v>8</v>
      </c>
      <c r="L82">
        <v>0</v>
      </c>
      <c r="M82">
        <v>0</v>
      </c>
      <c r="N82">
        <v>-1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6</v>
      </c>
      <c r="W82">
        <v>7</v>
      </c>
      <c r="X82">
        <v>2</v>
      </c>
      <c r="Y82">
        <v>8</v>
      </c>
      <c r="Z82">
        <v>8</v>
      </c>
      <c r="AA82">
        <v>8</v>
      </c>
      <c r="AB82">
        <v>8</v>
      </c>
      <c r="AC82">
        <v>7</v>
      </c>
      <c r="AD82">
        <v>8</v>
      </c>
      <c r="AE82">
        <v>8</v>
      </c>
      <c r="AF82">
        <v>7</v>
      </c>
      <c r="AG82">
        <v>8</v>
      </c>
      <c r="AH82">
        <v>8</v>
      </c>
      <c r="AI82">
        <v>8</v>
      </c>
      <c r="AJ82">
        <v>7</v>
      </c>
      <c r="AK82">
        <v>8</v>
      </c>
      <c r="AL82">
        <v>8</v>
      </c>
      <c r="AM82">
        <v>8</v>
      </c>
      <c r="AN82">
        <v>8</v>
      </c>
      <c r="AO82">
        <v>8</v>
      </c>
      <c r="AP82">
        <v>2</v>
      </c>
      <c r="AQ82">
        <v>6</v>
      </c>
      <c r="AR82">
        <v>0</v>
      </c>
      <c r="AS82">
        <v>5</v>
      </c>
      <c r="AT82">
        <v>3</v>
      </c>
      <c r="AU82">
        <v>8</v>
      </c>
      <c r="AV82">
        <v>3</v>
      </c>
      <c r="AW82">
        <v>1</v>
      </c>
      <c r="AX82">
        <v>6</v>
      </c>
      <c r="AY82">
        <v>5</v>
      </c>
      <c r="AZ82">
        <v>2</v>
      </c>
      <c r="BA82">
        <v>6</v>
      </c>
      <c r="BB82">
        <v>2</v>
      </c>
      <c r="BC82">
        <v>8</v>
      </c>
      <c r="BD82">
        <v>2</v>
      </c>
      <c r="BE82">
        <v>6</v>
      </c>
      <c r="BF82">
        <v>3</v>
      </c>
      <c r="BG82">
        <v>1</v>
      </c>
      <c r="BH82">
        <v>6</v>
      </c>
      <c r="BI82">
        <v>4</v>
      </c>
      <c r="BJ82">
        <v>2825429.25</v>
      </c>
      <c r="BK82">
        <v>6109543.5</v>
      </c>
      <c r="BL82">
        <v>104507.8</v>
      </c>
      <c r="BM82">
        <v>5167242.5</v>
      </c>
      <c r="BN82">
        <v>3411818.75</v>
      </c>
      <c r="BO82">
        <v>6749294.5</v>
      </c>
      <c r="BP82">
        <v>5614483</v>
      </c>
      <c r="BQ82">
        <v>3001368.75</v>
      </c>
      <c r="BR82">
        <v>5711399</v>
      </c>
      <c r="BS82">
        <v>5194881</v>
      </c>
      <c r="BT82">
        <v>779685.94</v>
      </c>
      <c r="BU82">
        <v>5894899</v>
      </c>
      <c r="BV82">
        <v>2704074</v>
      </c>
      <c r="BW82">
        <v>9486189</v>
      </c>
      <c r="BX82">
        <v>2695807.25</v>
      </c>
      <c r="BY82">
        <v>4963279.5</v>
      </c>
      <c r="BZ82">
        <v>3813376.25</v>
      </c>
      <c r="CA82">
        <v>3358152.5</v>
      </c>
      <c r="CB82">
        <v>4870701</v>
      </c>
      <c r="CC82">
        <v>5073880.5</v>
      </c>
      <c r="CD82" s="17" t="s">
        <v>1177</v>
      </c>
      <c r="CE82" s="21">
        <v>3664720.5</v>
      </c>
      <c r="CF82" s="21">
        <v>2981476.75</v>
      </c>
      <c r="CG82" s="19">
        <v>7169175.5</v>
      </c>
      <c r="CH82" s="19">
        <v>2565710.5</v>
      </c>
      <c r="CI82" s="21">
        <v>2926225</v>
      </c>
      <c r="CJ82" s="21">
        <v>2890497.25</v>
      </c>
      <c r="CK82" s="19">
        <v>4786234</v>
      </c>
      <c r="CL82" s="19">
        <v>4108845.25</v>
      </c>
      <c r="CM82" s="21">
        <v>6298289</v>
      </c>
      <c r="CN82" s="21">
        <v>6115622</v>
      </c>
      <c r="CO82" s="19">
        <v>4546591</v>
      </c>
      <c r="CP82" s="19">
        <v>4782955</v>
      </c>
      <c r="CQ82" s="21">
        <v>6216515</v>
      </c>
      <c r="CR82" s="21">
        <v>6392831.5</v>
      </c>
      <c r="CS82" s="19">
        <v>4807556</v>
      </c>
      <c r="CT82" s="19">
        <v>4048532.5</v>
      </c>
      <c r="CU82" s="21">
        <v>2959358.25</v>
      </c>
      <c r="CV82" s="21">
        <v>2585888.25</v>
      </c>
      <c r="CW82" s="19">
        <v>5181438.5</v>
      </c>
      <c r="CX82" s="19">
        <v>7164250.5</v>
      </c>
    </row>
    <row r="83" spans="1:102">
      <c r="A83">
        <v>30961</v>
      </c>
      <c r="B83" t="s">
        <v>421</v>
      </c>
      <c r="C83" t="s">
        <v>1178</v>
      </c>
      <c r="D83" t="s">
        <v>422</v>
      </c>
      <c r="E83" t="s">
        <v>423</v>
      </c>
      <c r="F83" t="s">
        <v>424</v>
      </c>
      <c r="G83">
        <v>327.54000000000002</v>
      </c>
      <c r="H83" t="s">
        <v>104</v>
      </c>
      <c r="I83">
        <v>2</v>
      </c>
      <c r="J83">
        <v>12</v>
      </c>
      <c r="K83">
        <v>9</v>
      </c>
      <c r="L83">
        <v>0</v>
      </c>
      <c r="M83">
        <v>0</v>
      </c>
      <c r="N83">
        <v>-1</v>
      </c>
      <c r="O83">
        <v>7</v>
      </c>
      <c r="P83">
        <v>7</v>
      </c>
      <c r="Q83">
        <v>8</v>
      </c>
      <c r="R83">
        <v>8</v>
      </c>
      <c r="S83">
        <v>8</v>
      </c>
      <c r="T83">
        <v>8</v>
      </c>
      <c r="U83">
        <v>8</v>
      </c>
      <c r="V83">
        <v>7</v>
      </c>
      <c r="W83">
        <v>8</v>
      </c>
      <c r="X83">
        <v>6</v>
      </c>
      <c r="Y83">
        <v>8</v>
      </c>
      <c r="Z83">
        <v>8</v>
      </c>
      <c r="AA83">
        <v>8</v>
      </c>
      <c r="AB83">
        <v>7</v>
      </c>
      <c r="AC83">
        <v>8</v>
      </c>
      <c r="AD83">
        <v>8</v>
      </c>
      <c r="AE83">
        <v>8</v>
      </c>
      <c r="AF83">
        <v>8</v>
      </c>
      <c r="AG83">
        <v>8</v>
      </c>
      <c r="AH83">
        <v>8</v>
      </c>
      <c r="AI83">
        <v>7</v>
      </c>
      <c r="AJ83">
        <v>7</v>
      </c>
      <c r="AK83">
        <v>8</v>
      </c>
      <c r="AL83">
        <v>7</v>
      </c>
      <c r="AM83">
        <v>8</v>
      </c>
      <c r="AN83">
        <v>8</v>
      </c>
      <c r="AO83">
        <v>8</v>
      </c>
      <c r="AP83">
        <v>17</v>
      </c>
      <c r="AQ83">
        <v>25</v>
      </c>
      <c r="AR83">
        <v>3</v>
      </c>
      <c r="AS83">
        <v>9</v>
      </c>
      <c r="AT83">
        <v>11</v>
      </c>
      <c r="AU83">
        <v>20</v>
      </c>
      <c r="AV83">
        <v>11</v>
      </c>
      <c r="AW83">
        <v>15</v>
      </c>
      <c r="AX83">
        <v>14</v>
      </c>
      <c r="AY83">
        <v>14</v>
      </c>
      <c r="AZ83">
        <v>10</v>
      </c>
      <c r="BA83">
        <v>18</v>
      </c>
      <c r="BB83">
        <v>9</v>
      </c>
      <c r="BC83">
        <v>10</v>
      </c>
      <c r="BD83">
        <v>7</v>
      </c>
      <c r="BE83">
        <v>18</v>
      </c>
      <c r="BF83">
        <v>10</v>
      </c>
      <c r="BG83">
        <v>16</v>
      </c>
      <c r="BH83">
        <v>14</v>
      </c>
      <c r="BI83">
        <v>9</v>
      </c>
      <c r="BJ83">
        <v>146332608</v>
      </c>
      <c r="BK83">
        <v>134044960</v>
      </c>
      <c r="BL83">
        <v>11619028</v>
      </c>
      <c r="BM83">
        <v>24935672</v>
      </c>
      <c r="BN83">
        <v>31388836</v>
      </c>
      <c r="BO83">
        <v>103008312</v>
      </c>
      <c r="BP83">
        <v>40851964</v>
      </c>
      <c r="BQ83">
        <v>97260136</v>
      </c>
      <c r="BR83">
        <v>57559944</v>
      </c>
      <c r="BS83">
        <v>47805776</v>
      </c>
      <c r="BT83">
        <v>28126560</v>
      </c>
      <c r="BU83">
        <v>98229312</v>
      </c>
      <c r="BV83">
        <v>27321068</v>
      </c>
      <c r="BW83">
        <v>38102560</v>
      </c>
      <c r="BX83">
        <v>25817778</v>
      </c>
      <c r="BY83">
        <v>85664968</v>
      </c>
      <c r="BZ83">
        <v>40112996</v>
      </c>
      <c r="CA83">
        <v>116027824</v>
      </c>
      <c r="CB83">
        <v>44104776</v>
      </c>
      <c r="CC83">
        <v>34588764</v>
      </c>
      <c r="CD83" s="17" t="s">
        <v>1178</v>
      </c>
      <c r="CE83" s="21">
        <v>316718432</v>
      </c>
      <c r="CF83" s="21">
        <v>220337696</v>
      </c>
      <c r="CG83" s="19">
        <v>37989036</v>
      </c>
      <c r="CH83" s="19">
        <v>58169620</v>
      </c>
      <c r="CI83" s="21">
        <v>50554668</v>
      </c>
      <c r="CJ83" s="21">
        <v>53824776</v>
      </c>
      <c r="CK83" s="19">
        <v>62631008</v>
      </c>
      <c r="CL83" s="19">
        <v>77504736</v>
      </c>
      <c r="CM83" s="21">
        <v>118624328</v>
      </c>
      <c r="CN83" s="21">
        <v>103056968</v>
      </c>
      <c r="CO83" s="19">
        <v>156647360</v>
      </c>
      <c r="CP83" s="19">
        <v>145773488</v>
      </c>
      <c r="CQ83" s="21">
        <v>54109276</v>
      </c>
      <c r="CR83" s="21">
        <v>42859552</v>
      </c>
      <c r="CS83" s="19">
        <v>139670608</v>
      </c>
      <c r="CT83" s="19">
        <v>135589840</v>
      </c>
      <c r="CU83" s="21">
        <v>168159952</v>
      </c>
      <c r="CV83" s="21">
        <v>177806208</v>
      </c>
      <c r="CW83" s="19">
        <v>89971800</v>
      </c>
      <c r="CX83" s="19">
        <v>89474160</v>
      </c>
    </row>
    <row r="84" spans="1:102">
      <c r="A84">
        <v>30939</v>
      </c>
      <c r="B84" t="s">
        <v>560</v>
      </c>
      <c r="C84" t="s">
        <v>1179</v>
      </c>
      <c r="D84" t="s">
        <v>561</v>
      </c>
      <c r="E84" t="s">
        <v>562</v>
      </c>
      <c r="F84" t="s">
        <v>563</v>
      </c>
      <c r="G84">
        <v>116.276</v>
      </c>
      <c r="H84" t="s">
        <v>104</v>
      </c>
      <c r="I84">
        <v>2</v>
      </c>
      <c r="J84">
        <v>9</v>
      </c>
      <c r="K84">
        <v>11</v>
      </c>
      <c r="L84">
        <v>0</v>
      </c>
      <c r="M84">
        <v>0</v>
      </c>
      <c r="N84">
        <v>-1</v>
      </c>
      <c r="O84">
        <v>6</v>
      </c>
      <c r="P84">
        <v>6</v>
      </c>
      <c r="Q84">
        <v>6</v>
      </c>
      <c r="R84">
        <v>6</v>
      </c>
      <c r="S84">
        <v>6</v>
      </c>
      <c r="T84">
        <v>6</v>
      </c>
      <c r="U84">
        <v>6</v>
      </c>
      <c r="V84">
        <v>6</v>
      </c>
      <c r="W84">
        <v>6</v>
      </c>
      <c r="Y84">
        <v>5</v>
      </c>
      <c r="Z84">
        <v>6</v>
      </c>
      <c r="AA84">
        <v>5</v>
      </c>
      <c r="AB84">
        <v>5</v>
      </c>
      <c r="AC84">
        <v>6</v>
      </c>
      <c r="AD84">
        <v>5</v>
      </c>
      <c r="AE84">
        <v>5</v>
      </c>
      <c r="AF84">
        <v>5</v>
      </c>
      <c r="AG84">
        <v>6</v>
      </c>
      <c r="AH84">
        <v>5</v>
      </c>
      <c r="AI84">
        <v>6</v>
      </c>
      <c r="AJ84">
        <v>5</v>
      </c>
      <c r="AK84">
        <v>5</v>
      </c>
      <c r="AL84">
        <v>5</v>
      </c>
      <c r="AM84">
        <v>5</v>
      </c>
      <c r="AN84">
        <v>5</v>
      </c>
      <c r="AO84">
        <v>6</v>
      </c>
      <c r="AP84">
        <v>1</v>
      </c>
      <c r="AQ84">
        <v>3</v>
      </c>
      <c r="AR84">
        <v>0</v>
      </c>
      <c r="AS84">
        <v>1</v>
      </c>
      <c r="AT84">
        <v>3</v>
      </c>
      <c r="AU84">
        <v>3</v>
      </c>
      <c r="AV84">
        <v>2</v>
      </c>
      <c r="AW84">
        <v>0</v>
      </c>
      <c r="AX84">
        <v>0</v>
      </c>
      <c r="AY84">
        <v>1</v>
      </c>
      <c r="AZ84">
        <v>0</v>
      </c>
      <c r="BA84">
        <v>1</v>
      </c>
      <c r="BB84">
        <v>3</v>
      </c>
      <c r="BC84">
        <v>1</v>
      </c>
      <c r="BD84">
        <v>4</v>
      </c>
      <c r="BE84">
        <v>0</v>
      </c>
      <c r="BF84">
        <v>3</v>
      </c>
      <c r="BG84">
        <v>3</v>
      </c>
      <c r="BH84">
        <v>0</v>
      </c>
      <c r="BI84">
        <v>0</v>
      </c>
      <c r="BJ84">
        <v>1958332.88</v>
      </c>
      <c r="BK84">
        <v>4394161.5</v>
      </c>
      <c r="BM84">
        <v>1853604.25</v>
      </c>
      <c r="BN84">
        <v>4697780</v>
      </c>
      <c r="BO84">
        <v>3909311</v>
      </c>
      <c r="BP84">
        <v>3137635</v>
      </c>
      <c r="BQ84">
        <v>3750423.25</v>
      </c>
      <c r="BR84">
        <v>1786325</v>
      </c>
      <c r="BS84">
        <v>1765127.5</v>
      </c>
      <c r="BT84">
        <v>484346.12</v>
      </c>
      <c r="BU84">
        <v>3209763.5</v>
      </c>
      <c r="BV84">
        <v>2711526.5</v>
      </c>
      <c r="BW84">
        <v>3177811.5</v>
      </c>
      <c r="BX84">
        <v>2826822.5</v>
      </c>
      <c r="BY84">
        <v>2538967</v>
      </c>
      <c r="BZ84">
        <v>2072960.25</v>
      </c>
      <c r="CA84">
        <v>3822103.5</v>
      </c>
      <c r="CB84">
        <v>1424990.5</v>
      </c>
      <c r="CC84">
        <v>1417229</v>
      </c>
      <c r="CD84" s="17" t="s">
        <v>1179</v>
      </c>
      <c r="CE84" s="21">
        <v>2222943.5</v>
      </c>
      <c r="CF84" s="21">
        <v>1994252</v>
      </c>
      <c r="CG84" s="19">
        <v>1861110.38</v>
      </c>
      <c r="CH84" s="19">
        <v>3339706.5</v>
      </c>
      <c r="CI84" s="21">
        <v>4001140.25</v>
      </c>
      <c r="CJ84" s="21">
        <v>3409788</v>
      </c>
      <c r="CK84" s="19">
        <v>2846889</v>
      </c>
      <c r="CL84" s="19">
        <v>2511441.5</v>
      </c>
      <c r="CM84" s="21">
        <v>1935600.88</v>
      </c>
      <c r="CN84" s="21">
        <v>1739082.5</v>
      </c>
      <c r="CO84" s="19">
        <v>2672579.75</v>
      </c>
      <c r="CP84" s="19">
        <v>2518179</v>
      </c>
      <c r="CQ84" s="21">
        <v>2132867</v>
      </c>
      <c r="CR84" s="21">
        <v>1995560.5</v>
      </c>
      <c r="CS84" s="19">
        <v>2666200.75</v>
      </c>
      <c r="CT84" s="19">
        <v>2087273.25</v>
      </c>
      <c r="CU84" s="21">
        <v>3309741.25</v>
      </c>
      <c r="CV84" s="21">
        <v>2947197</v>
      </c>
      <c r="CW84" s="19">
        <v>1661163</v>
      </c>
      <c r="CX84" s="19">
        <v>1666624.75</v>
      </c>
    </row>
    <row r="85" spans="1:102">
      <c r="A85">
        <v>30968</v>
      </c>
      <c r="B85" t="s">
        <v>437</v>
      </c>
      <c r="C85" t="s">
        <v>1180</v>
      </c>
      <c r="D85" t="s">
        <v>438</v>
      </c>
      <c r="F85" t="s">
        <v>439</v>
      </c>
      <c r="G85">
        <v>257.82299999999998</v>
      </c>
      <c r="H85" t="s">
        <v>104</v>
      </c>
      <c r="I85">
        <v>2</v>
      </c>
      <c r="J85">
        <v>3</v>
      </c>
      <c r="K85">
        <v>0</v>
      </c>
      <c r="L85">
        <v>0</v>
      </c>
      <c r="M85">
        <v>0</v>
      </c>
      <c r="N85">
        <v>-1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11</v>
      </c>
      <c r="W85">
        <v>11</v>
      </c>
      <c r="Y85">
        <v>12</v>
      </c>
      <c r="Z85">
        <v>11</v>
      </c>
      <c r="AA85">
        <v>12</v>
      </c>
      <c r="AB85">
        <v>11</v>
      </c>
      <c r="AC85">
        <v>11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11</v>
      </c>
      <c r="AM85">
        <v>12</v>
      </c>
      <c r="AN85">
        <v>12</v>
      </c>
      <c r="AO85">
        <v>12</v>
      </c>
      <c r="AP85">
        <v>2</v>
      </c>
      <c r="AQ85">
        <v>6</v>
      </c>
      <c r="AR85">
        <v>0</v>
      </c>
      <c r="AS85">
        <v>7</v>
      </c>
      <c r="AT85">
        <v>2</v>
      </c>
      <c r="AU85">
        <v>6</v>
      </c>
      <c r="AV85">
        <v>7</v>
      </c>
      <c r="AW85">
        <v>0</v>
      </c>
      <c r="AX85">
        <v>9</v>
      </c>
      <c r="AY85">
        <v>6</v>
      </c>
      <c r="AZ85">
        <v>0</v>
      </c>
      <c r="BA85">
        <v>7</v>
      </c>
      <c r="BB85">
        <v>1</v>
      </c>
      <c r="BC85">
        <v>9</v>
      </c>
      <c r="BD85">
        <v>3</v>
      </c>
      <c r="BE85">
        <v>3</v>
      </c>
      <c r="BF85">
        <v>4</v>
      </c>
      <c r="BG85">
        <v>3</v>
      </c>
      <c r="BH85">
        <v>8</v>
      </c>
      <c r="BI85">
        <v>6</v>
      </c>
      <c r="BJ85">
        <v>6220085.5</v>
      </c>
      <c r="BK85">
        <v>11668828</v>
      </c>
      <c r="BM85">
        <v>9455648</v>
      </c>
      <c r="BN85">
        <v>6726299.5</v>
      </c>
      <c r="BO85">
        <v>10904906</v>
      </c>
      <c r="BP85">
        <v>9189918</v>
      </c>
      <c r="BQ85">
        <v>5727604</v>
      </c>
      <c r="BR85">
        <v>11377667</v>
      </c>
      <c r="BS85">
        <v>9444745</v>
      </c>
      <c r="BT85">
        <v>2262907.5</v>
      </c>
      <c r="BU85">
        <v>9426082</v>
      </c>
      <c r="BV85">
        <v>6085969</v>
      </c>
      <c r="BW85">
        <v>17646132</v>
      </c>
      <c r="BX85">
        <v>6029528</v>
      </c>
      <c r="BY85">
        <v>9215492</v>
      </c>
      <c r="BZ85">
        <v>8732727</v>
      </c>
      <c r="CA85">
        <v>6784880</v>
      </c>
      <c r="CB85">
        <v>9099838</v>
      </c>
      <c r="CC85">
        <v>9420392</v>
      </c>
      <c r="CD85" s="17" t="s">
        <v>1180</v>
      </c>
      <c r="CE85" s="21">
        <v>6243944.5</v>
      </c>
      <c r="CF85" s="21">
        <v>6424229</v>
      </c>
      <c r="CG85" s="19">
        <v>1861110.38</v>
      </c>
      <c r="CH85" s="19">
        <v>6243944.5</v>
      </c>
      <c r="CI85" s="21">
        <v>5215838</v>
      </c>
      <c r="CJ85" s="21">
        <v>5550055</v>
      </c>
      <c r="CK85" s="19">
        <v>7146561.5</v>
      </c>
      <c r="CL85" s="19">
        <v>8342071</v>
      </c>
      <c r="CM85" s="21">
        <v>10622605</v>
      </c>
      <c r="CN85" s="21">
        <v>9544855</v>
      </c>
      <c r="CO85" s="19">
        <v>6693938</v>
      </c>
      <c r="CP85" s="19">
        <v>6641531</v>
      </c>
      <c r="CQ85" s="21">
        <v>9819662</v>
      </c>
      <c r="CR85" s="21">
        <v>9789920</v>
      </c>
      <c r="CS85" s="19">
        <v>7083715.5</v>
      </c>
      <c r="CT85" s="19">
        <v>6971801</v>
      </c>
      <c r="CU85" s="21">
        <v>4905123.5</v>
      </c>
      <c r="CV85" s="21">
        <v>5168762.5</v>
      </c>
      <c r="CW85" s="19">
        <v>8104858</v>
      </c>
      <c r="CX85" s="19">
        <v>11801559</v>
      </c>
    </row>
    <row r="86" spans="1:102">
      <c r="A86">
        <v>31131</v>
      </c>
      <c r="B86" t="s">
        <v>714</v>
      </c>
      <c r="C86" t="s">
        <v>1181</v>
      </c>
      <c r="D86" t="s">
        <v>715</v>
      </c>
      <c r="F86" t="s">
        <v>716</v>
      </c>
      <c r="G86">
        <v>27.163</v>
      </c>
      <c r="H86" t="s">
        <v>104</v>
      </c>
      <c r="I86">
        <v>2</v>
      </c>
      <c r="J86">
        <v>2</v>
      </c>
      <c r="K86">
        <v>0</v>
      </c>
      <c r="L86">
        <v>0</v>
      </c>
      <c r="M86">
        <v>0</v>
      </c>
      <c r="N86">
        <v>-1</v>
      </c>
      <c r="O86">
        <v>6</v>
      </c>
      <c r="P86">
        <v>6</v>
      </c>
      <c r="Q86">
        <v>6</v>
      </c>
      <c r="R86">
        <v>6</v>
      </c>
      <c r="S86">
        <v>6</v>
      </c>
      <c r="T86">
        <v>6</v>
      </c>
      <c r="U86">
        <v>6</v>
      </c>
      <c r="V86">
        <v>5</v>
      </c>
      <c r="W86">
        <v>5</v>
      </c>
      <c r="X86">
        <v>1</v>
      </c>
      <c r="Y86">
        <v>6</v>
      </c>
      <c r="Z86">
        <v>6</v>
      </c>
      <c r="AA86">
        <v>6</v>
      </c>
      <c r="AB86">
        <v>6</v>
      </c>
      <c r="AC86">
        <v>6</v>
      </c>
      <c r="AD86">
        <v>6</v>
      </c>
      <c r="AE86">
        <v>6</v>
      </c>
      <c r="AF86">
        <v>6</v>
      </c>
      <c r="AG86">
        <v>6</v>
      </c>
      <c r="AH86">
        <v>5</v>
      </c>
      <c r="AI86">
        <v>6</v>
      </c>
      <c r="AJ86">
        <v>6</v>
      </c>
      <c r="AK86">
        <v>6</v>
      </c>
      <c r="AL86">
        <v>6</v>
      </c>
      <c r="AM86">
        <v>6</v>
      </c>
      <c r="AN86">
        <v>6</v>
      </c>
      <c r="AO86">
        <v>6</v>
      </c>
      <c r="AP86">
        <v>2</v>
      </c>
      <c r="AQ86">
        <v>2</v>
      </c>
      <c r="AR86">
        <v>0</v>
      </c>
      <c r="AS86">
        <v>5</v>
      </c>
      <c r="AT86">
        <v>1</v>
      </c>
      <c r="AU86">
        <v>4</v>
      </c>
      <c r="AV86">
        <v>2</v>
      </c>
      <c r="AW86">
        <v>1</v>
      </c>
      <c r="AX86">
        <v>4</v>
      </c>
      <c r="AY86">
        <v>5</v>
      </c>
      <c r="AZ86">
        <v>0</v>
      </c>
      <c r="BA86">
        <v>2</v>
      </c>
      <c r="BB86">
        <v>0</v>
      </c>
      <c r="BC86">
        <v>5</v>
      </c>
      <c r="BD86">
        <v>1</v>
      </c>
      <c r="BE86">
        <v>4</v>
      </c>
      <c r="BF86">
        <v>1</v>
      </c>
      <c r="BG86">
        <v>0</v>
      </c>
      <c r="BH86">
        <v>4</v>
      </c>
      <c r="BI86">
        <v>1</v>
      </c>
      <c r="BJ86">
        <v>1499663</v>
      </c>
      <c r="BK86">
        <v>3025152.75</v>
      </c>
      <c r="BL86">
        <v>26990.43</v>
      </c>
      <c r="BM86">
        <v>2213759.5</v>
      </c>
      <c r="BN86">
        <v>1906963.5</v>
      </c>
      <c r="BO86">
        <v>3060595.75</v>
      </c>
      <c r="BP86">
        <v>2244238.5</v>
      </c>
      <c r="BQ86">
        <v>1471764.25</v>
      </c>
      <c r="BR86">
        <v>2331573</v>
      </c>
      <c r="BS86">
        <v>2382574</v>
      </c>
      <c r="BT86">
        <v>484354.25</v>
      </c>
      <c r="BU86">
        <v>2617769.5</v>
      </c>
      <c r="BV86">
        <v>1139578</v>
      </c>
      <c r="BW86">
        <v>4214237</v>
      </c>
      <c r="BX86">
        <v>1559173.5</v>
      </c>
      <c r="BY86">
        <v>2325351.25</v>
      </c>
      <c r="BZ86">
        <v>2281157.5</v>
      </c>
      <c r="CA86">
        <v>1917936.25</v>
      </c>
      <c r="CB86">
        <v>2450770</v>
      </c>
      <c r="CC86">
        <v>1594032.5</v>
      </c>
      <c r="CD86" s="17" t="s">
        <v>1181</v>
      </c>
      <c r="CE86" s="21">
        <v>1745336</v>
      </c>
      <c r="CF86" s="21">
        <v>1612051.12</v>
      </c>
      <c r="CG86" s="19">
        <v>3428500.75</v>
      </c>
      <c r="CH86" s="19">
        <v>1241578</v>
      </c>
      <c r="CI86" s="21">
        <v>1392809.38</v>
      </c>
      <c r="CJ86" s="21">
        <v>1417573.38</v>
      </c>
      <c r="CK86" s="19">
        <v>1637793.5</v>
      </c>
      <c r="CL86" s="19">
        <v>2068442.12</v>
      </c>
      <c r="CM86" s="21">
        <v>2319066.25</v>
      </c>
      <c r="CN86" s="21">
        <v>2477418.5</v>
      </c>
      <c r="CO86" s="19">
        <v>1856471.12</v>
      </c>
      <c r="CP86" s="19">
        <v>1779514.38</v>
      </c>
      <c r="CQ86" s="21">
        <v>2254805.25</v>
      </c>
      <c r="CR86" s="21">
        <v>2282668.5</v>
      </c>
      <c r="CS86" s="19">
        <v>1805509.62</v>
      </c>
      <c r="CT86" s="19">
        <v>1758191.75</v>
      </c>
      <c r="CU86" s="21">
        <v>1200420.1200000001</v>
      </c>
      <c r="CV86" s="21">
        <v>1360446.88</v>
      </c>
      <c r="CW86" s="19">
        <v>1857323.62</v>
      </c>
      <c r="CX86" s="19">
        <v>1950325.75</v>
      </c>
    </row>
    <row r="87" spans="1:102">
      <c r="A87">
        <v>31127</v>
      </c>
      <c r="B87" t="s">
        <v>240</v>
      </c>
      <c r="C87" t="s">
        <v>1182</v>
      </c>
      <c r="D87" t="s">
        <v>241</v>
      </c>
      <c r="F87" t="s">
        <v>242</v>
      </c>
      <c r="G87">
        <v>792.78099999999995</v>
      </c>
      <c r="H87" t="s">
        <v>104</v>
      </c>
      <c r="I87">
        <v>2</v>
      </c>
      <c r="J87">
        <v>2</v>
      </c>
      <c r="K87">
        <v>0</v>
      </c>
      <c r="L87">
        <v>0</v>
      </c>
      <c r="M87">
        <v>0</v>
      </c>
      <c r="N87">
        <v>-1</v>
      </c>
      <c r="O87">
        <v>33</v>
      </c>
      <c r="P87">
        <v>33</v>
      </c>
      <c r="Q87">
        <v>33</v>
      </c>
      <c r="R87">
        <v>33</v>
      </c>
      <c r="S87">
        <v>33</v>
      </c>
      <c r="T87">
        <v>33</v>
      </c>
      <c r="U87">
        <v>33</v>
      </c>
      <c r="V87">
        <v>31</v>
      </c>
      <c r="W87">
        <v>32</v>
      </c>
      <c r="X87">
        <v>8</v>
      </c>
      <c r="Y87">
        <v>33</v>
      </c>
      <c r="Z87">
        <v>32</v>
      </c>
      <c r="AA87">
        <v>33</v>
      </c>
      <c r="AB87">
        <v>33</v>
      </c>
      <c r="AC87">
        <v>33</v>
      </c>
      <c r="AD87">
        <v>33</v>
      </c>
      <c r="AE87">
        <v>33</v>
      </c>
      <c r="AF87">
        <v>33</v>
      </c>
      <c r="AG87">
        <v>33</v>
      </c>
      <c r="AH87">
        <v>33</v>
      </c>
      <c r="AI87">
        <v>33</v>
      </c>
      <c r="AJ87">
        <v>32</v>
      </c>
      <c r="AK87">
        <v>33</v>
      </c>
      <c r="AL87">
        <v>33</v>
      </c>
      <c r="AM87">
        <v>33</v>
      </c>
      <c r="AN87">
        <v>33</v>
      </c>
      <c r="AO87">
        <v>33</v>
      </c>
      <c r="AP87">
        <v>22</v>
      </c>
      <c r="AQ87">
        <v>23</v>
      </c>
      <c r="AR87">
        <v>0</v>
      </c>
      <c r="AS87">
        <v>28</v>
      </c>
      <c r="AT87">
        <v>21</v>
      </c>
      <c r="AU87">
        <v>29</v>
      </c>
      <c r="AV87">
        <v>25</v>
      </c>
      <c r="AW87">
        <v>16</v>
      </c>
      <c r="AX87">
        <v>30</v>
      </c>
      <c r="AY87">
        <v>30</v>
      </c>
      <c r="AZ87">
        <v>5</v>
      </c>
      <c r="BA87">
        <v>25</v>
      </c>
      <c r="BB87">
        <v>16</v>
      </c>
      <c r="BC87">
        <v>35</v>
      </c>
      <c r="BD87">
        <v>17</v>
      </c>
      <c r="BE87">
        <v>27</v>
      </c>
      <c r="BF87">
        <v>22</v>
      </c>
      <c r="BG87">
        <v>18</v>
      </c>
      <c r="BH87">
        <v>32</v>
      </c>
      <c r="BI87">
        <v>26</v>
      </c>
      <c r="BJ87">
        <v>36371268</v>
      </c>
      <c r="BK87">
        <v>67403096</v>
      </c>
      <c r="BL87">
        <v>711947.62</v>
      </c>
      <c r="BM87">
        <v>47756860</v>
      </c>
      <c r="BN87">
        <v>37289512</v>
      </c>
      <c r="BO87">
        <v>62955112</v>
      </c>
      <c r="BP87">
        <v>50359480</v>
      </c>
      <c r="BQ87">
        <v>32641222</v>
      </c>
      <c r="BR87">
        <v>57632960</v>
      </c>
      <c r="BS87">
        <v>53467608</v>
      </c>
      <c r="BT87">
        <v>8365958</v>
      </c>
      <c r="BU87">
        <v>53819512</v>
      </c>
      <c r="BV87">
        <v>27914586</v>
      </c>
      <c r="BW87">
        <v>82483864</v>
      </c>
      <c r="BX87">
        <v>29156008</v>
      </c>
      <c r="BY87">
        <v>54089948</v>
      </c>
      <c r="BZ87">
        <v>40796680</v>
      </c>
      <c r="CA87">
        <v>34066968</v>
      </c>
      <c r="CB87">
        <v>48896592</v>
      </c>
      <c r="CC87">
        <v>41845752</v>
      </c>
      <c r="CD87" s="17" t="s">
        <v>1182</v>
      </c>
      <c r="CE87" s="21">
        <v>40216172</v>
      </c>
      <c r="CF87" s="21">
        <v>32307478</v>
      </c>
      <c r="CG87" s="19">
        <v>25022912</v>
      </c>
      <c r="CH87" s="19">
        <v>28970328</v>
      </c>
      <c r="CI87" s="21">
        <v>30220622</v>
      </c>
      <c r="CJ87" s="21">
        <v>31828264</v>
      </c>
      <c r="CK87" s="19">
        <v>38584948</v>
      </c>
      <c r="CL87" s="19">
        <v>43791684</v>
      </c>
      <c r="CM87" s="21">
        <v>60445836</v>
      </c>
      <c r="CN87" s="21">
        <v>59860096</v>
      </c>
      <c r="CO87" s="19">
        <v>40900620</v>
      </c>
      <c r="CP87" s="19">
        <v>41523672</v>
      </c>
      <c r="CQ87" s="21">
        <v>53316980</v>
      </c>
      <c r="CR87" s="21">
        <v>54043496</v>
      </c>
      <c r="CS87" s="19">
        <v>41004616</v>
      </c>
      <c r="CT87" s="19">
        <v>42432392</v>
      </c>
      <c r="CU87" s="21">
        <v>28875964</v>
      </c>
      <c r="CV87" s="21">
        <v>27884794</v>
      </c>
      <c r="CW87" s="19">
        <v>50482860</v>
      </c>
      <c r="CX87" s="19">
        <v>67344848</v>
      </c>
    </row>
    <row r="88" spans="1:102">
      <c r="A88">
        <v>31102</v>
      </c>
      <c r="B88" t="s">
        <v>537</v>
      </c>
      <c r="C88" t="s">
        <v>1183</v>
      </c>
      <c r="D88" t="s">
        <v>538</v>
      </c>
      <c r="F88" t="s">
        <v>539</v>
      </c>
      <c r="G88">
        <v>146.33699999999999</v>
      </c>
      <c r="H88" t="s">
        <v>104</v>
      </c>
      <c r="I88">
        <v>2</v>
      </c>
      <c r="J88">
        <v>2</v>
      </c>
      <c r="K88">
        <v>0</v>
      </c>
      <c r="L88">
        <v>0</v>
      </c>
      <c r="M88">
        <v>0</v>
      </c>
      <c r="N88">
        <v>-1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3</v>
      </c>
      <c r="X88">
        <v>3</v>
      </c>
      <c r="Y88">
        <v>3</v>
      </c>
      <c r="Z88">
        <v>3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>
        <v>3</v>
      </c>
      <c r="AR88">
        <v>2</v>
      </c>
      <c r="AS88">
        <v>3</v>
      </c>
      <c r="AT88">
        <v>2</v>
      </c>
      <c r="AU88">
        <v>5</v>
      </c>
      <c r="AV88">
        <v>4</v>
      </c>
      <c r="AW88">
        <v>4</v>
      </c>
      <c r="AX88">
        <v>5</v>
      </c>
      <c r="AY88">
        <v>3</v>
      </c>
      <c r="AZ88">
        <v>4</v>
      </c>
      <c r="BA88">
        <v>4</v>
      </c>
      <c r="BB88">
        <v>5</v>
      </c>
      <c r="BC88">
        <v>4</v>
      </c>
      <c r="BD88">
        <v>3</v>
      </c>
      <c r="BE88">
        <v>4</v>
      </c>
      <c r="BF88">
        <v>4</v>
      </c>
      <c r="BG88">
        <v>4</v>
      </c>
      <c r="BH88">
        <v>5</v>
      </c>
      <c r="BI88">
        <v>3</v>
      </c>
      <c r="BJ88">
        <v>9220991</v>
      </c>
      <c r="BK88">
        <v>10738527</v>
      </c>
      <c r="BL88">
        <v>3599606</v>
      </c>
      <c r="BM88">
        <v>2676725.5</v>
      </c>
      <c r="BN88">
        <v>15068158</v>
      </c>
      <c r="BO88">
        <v>11919792</v>
      </c>
      <c r="BP88">
        <v>12735384</v>
      </c>
      <c r="BQ88">
        <v>7913336</v>
      </c>
      <c r="BR88">
        <v>8719964</v>
      </c>
      <c r="BS88">
        <v>4711203.5</v>
      </c>
      <c r="BT88">
        <v>3566273.75</v>
      </c>
      <c r="BU88">
        <v>9135163</v>
      </c>
      <c r="BV88">
        <v>18207164</v>
      </c>
      <c r="BW88">
        <v>5657460.5</v>
      </c>
      <c r="BX88">
        <v>14070188</v>
      </c>
      <c r="BY88">
        <v>10710985</v>
      </c>
      <c r="BZ88">
        <v>11336228</v>
      </c>
      <c r="CA88">
        <v>9496246</v>
      </c>
      <c r="CB88">
        <v>6194348</v>
      </c>
      <c r="CC88">
        <v>3100059.25</v>
      </c>
      <c r="CD88" s="17" t="s">
        <v>1183</v>
      </c>
      <c r="CE88" s="21">
        <v>38311264</v>
      </c>
      <c r="CF88" s="21">
        <v>41189392</v>
      </c>
      <c r="CG88" s="19">
        <v>55490436</v>
      </c>
      <c r="CH88" s="19">
        <v>69082088</v>
      </c>
      <c r="CI88" s="21">
        <v>33992284</v>
      </c>
      <c r="CJ88" s="21">
        <v>50263596</v>
      </c>
      <c r="CK88" s="19">
        <v>35015304</v>
      </c>
      <c r="CL88" s="19">
        <v>39867068</v>
      </c>
      <c r="CM88" s="21">
        <v>28804512</v>
      </c>
      <c r="CN88" s="21">
        <v>27355292</v>
      </c>
      <c r="CO88" s="19">
        <v>19573420</v>
      </c>
      <c r="CP88" s="19">
        <v>24974660</v>
      </c>
      <c r="CQ88" s="21">
        <v>10052878</v>
      </c>
      <c r="CR88" s="21">
        <v>12919110</v>
      </c>
      <c r="CS88" s="19">
        <v>27751688</v>
      </c>
      <c r="CT88" s="19">
        <v>29755374</v>
      </c>
      <c r="CU88" s="21">
        <v>26036890</v>
      </c>
      <c r="CV88" s="21">
        <v>25972070</v>
      </c>
      <c r="CW88" s="19">
        <v>14516450</v>
      </c>
      <c r="CX88" s="19">
        <v>15376324</v>
      </c>
    </row>
    <row r="89" spans="1:102">
      <c r="A89">
        <v>30982</v>
      </c>
      <c r="B89" t="s">
        <v>520</v>
      </c>
      <c r="C89" t="s">
        <v>1184</v>
      </c>
      <c r="D89" t="s">
        <v>520</v>
      </c>
      <c r="E89" t="s">
        <v>521</v>
      </c>
      <c r="F89" t="s">
        <v>522</v>
      </c>
      <c r="G89">
        <v>163.744</v>
      </c>
      <c r="H89" t="s">
        <v>104</v>
      </c>
      <c r="I89">
        <v>2</v>
      </c>
      <c r="J89">
        <v>1</v>
      </c>
      <c r="K89">
        <v>6</v>
      </c>
      <c r="L89">
        <v>0</v>
      </c>
      <c r="M89">
        <v>0</v>
      </c>
      <c r="N89">
        <v>-1</v>
      </c>
      <c r="O89">
        <v>7</v>
      </c>
      <c r="P89">
        <v>7</v>
      </c>
      <c r="Q89">
        <v>7</v>
      </c>
      <c r="R89">
        <v>7</v>
      </c>
      <c r="S89">
        <v>7</v>
      </c>
      <c r="T89">
        <v>7</v>
      </c>
      <c r="U89">
        <v>7</v>
      </c>
      <c r="V89">
        <v>6</v>
      </c>
      <c r="W89">
        <v>7</v>
      </c>
      <c r="X89">
        <v>5</v>
      </c>
      <c r="Y89">
        <v>7</v>
      </c>
      <c r="Z89">
        <v>7</v>
      </c>
      <c r="AA89">
        <v>7</v>
      </c>
      <c r="AB89">
        <v>7</v>
      </c>
      <c r="AC89">
        <v>7</v>
      </c>
      <c r="AD89">
        <v>7</v>
      </c>
      <c r="AE89">
        <v>6</v>
      </c>
      <c r="AF89">
        <v>6</v>
      </c>
      <c r="AG89">
        <v>7</v>
      </c>
      <c r="AH89">
        <v>7</v>
      </c>
      <c r="AI89">
        <v>7</v>
      </c>
      <c r="AJ89">
        <v>7</v>
      </c>
      <c r="AK89">
        <v>7</v>
      </c>
      <c r="AL89">
        <v>7</v>
      </c>
      <c r="AM89">
        <v>7</v>
      </c>
      <c r="AN89">
        <v>7</v>
      </c>
      <c r="AO89">
        <v>6</v>
      </c>
      <c r="AP89">
        <v>6</v>
      </c>
      <c r="AQ89">
        <v>7</v>
      </c>
      <c r="AR89">
        <v>1</v>
      </c>
      <c r="AS89">
        <v>2</v>
      </c>
      <c r="AT89">
        <v>10</v>
      </c>
      <c r="AU89">
        <v>10</v>
      </c>
      <c r="AV89">
        <v>7</v>
      </c>
      <c r="AW89">
        <v>4</v>
      </c>
      <c r="AX89">
        <v>2</v>
      </c>
      <c r="AY89">
        <v>2</v>
      </c>
      <c r="AZ89">
        <v>2</v>
      </c>
      <c r="BA89">
        <v>6</v>
      </c>
      <c r="BB89">
        <v>10</v>
      </c>
      <c r="BC89">
        <v>5</v>
      </c>
      <c r="BD89">
        <v>8</v>
      </c>
      <c r="BE89">
        <v>7</v>
      </c>
      <c r="BF89">
        <v>6</v>
      </c>
      <c r="BG89">
        <v>7</v>
      </c>
      <c r="BH89">
        <v>1</v>
      </c>
      <c r="BI89">
        <v>1</v>
      </c>
      <c r="BJ89">
        <v>16081500</v>
      </c>
      <c r="BK89">
        <v>18314290</v>
      </c>
      <c r="BL89">
        <v>226064.95</v>
      </c>
      <c r="BM89">
        <v>5153441.5</v>
      </c>
      <c r="BN89">
        <v>34671276</v>
      </c>
      <c r="BO89">
        <v>28169210</v>
      </c>
      <c r="BP89">
        <v>22770402</v>
      </c>
      <c r="BQ89">
        <v>13508018</v>
      </c>
      <c r="BR89">
        <v>6053903.5</v>
      </c>
      <c r="BS89">
        <v>2106306.5</v>
      </c>
      <c r="BT89">
        <v>4692216</v>
      </c>
      <c r="BU89">
        <v>17640288</v>
      </c>
      <c r="BV89">
        <v>33399424</v>
      </c>
      <c r="BW89">
        <v>12320627</v>
      </c>
      <c r="BX89">
        <v>30001242</v>
      </c>
      <c r="BY89">
        <v>22724112</v>
      </c>
      <c r="BZ89">
        <v>15487195</v>
      </c>
      <c r="CA89">
        <v>13429053</v>
      </c>
      <c r="CB89">
        <v>4846386</v>
      </c>
      <c r="CC89">
        <v>1173831.25</v>
      </c>
      <c r="CD89" s="17" t="s">
        <v>1184</v>
      </c>
      <c r="CE89" s="21">
        <v>22692560</v>
      </c>
      <c r="CF89" s="21">
        <v>19634606</v>
      </c>
      <c r="CG89" s="19">
        <v>26806316</v>
      </c>
      <c r="CH89" s="19">
        <v>42921744</v>
      </c>
      <c r="CI89" s="21">
        <v>35606472</v>
      </c>
      <c r="CJ89" s="21">
        <v>39521956</v>
      </c>
      <c r="CK89" s="19">
        <v>20794192</v>
      </c>
      <c r="CL89" s="19">
        <v>20117396</v>
      </c>
      <c r="CM89" s="21">
        <v>7823941.5</v>
      </c>
      <c r="CN89" s="21">
        <v>7847546</v>
      </c>
      <c r="CO89" s="19">
        <v>14027813</v>
      </c>
      <c r="CP89" s="19">
        <v>17217232</v>
      </c>
      <c r="CQ89" s="21">
        <v>7746718</v>
      </c>
      <c r="CR89" s="21">
        <v>9486513</v>
      </c>
      <c r="CS89" s="19">
        <v>23023850</v>
      </c>
      <c r="CT89" s="19">
        <v>24555978</v>
      </c>
      <c r="CU89" s="21">
        <v>15616731</v>
      </c>
      <c r="CV89" s="21">
        <v>15543599</v>
      </c>
      <c r="CW89" s="19">
        <v>1985205.38</v>
      </c>
      <c r="CX89" s="19">
        <v>1767429.38</v>
      </c>
    </row>
    <row r="90" spans="1:102">
      <c r="A90">
        <v>31145</v>
      </c>
      <c r="B90" t="s">
        <v>571</v>
      </c>
      <c r="C90" t="s">
        <v>1185</v>
      </c>
      <c r="D90" t="s">
        <v>572</v>
      </c>
      <c r="F90" t="s">
        <v>573</v>
      </c>
      <c r="G90">
        <v>111.39100000000001</v>
      </c>
      <c r="H90" t="s">
        <v>104</v>
      </c>
      <c r="I90">
        <v>2</v>
      </c>
      <c r="J90">
        <v>3</v>
      </c>
      <c r="K90">
        <v>0</v>
      </c>
      <c r="L90">
        <v>0</v>
      </c>
      <c r="M90">
        <v>0</v>
      </c>
      <c r="N90">
        <v>-1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4</v>
      </c>
      <c r="W90">
        <v>5</v>
      </c>
      <c r="X90">
        <v>1</v>
      </c>
      <c r="Y90">
        <v>5</v>
      </c>
      <c r="Z90">
        <v>5</v>
      </c>
      <c r="AA90">
        <v>5</v>
      </c>
      <c r="AB90">
        <v>5</v>
      </c>
      <c r="AC90">
        <v>5</v>
      </c>
      <c r="AD90">
        <v>5</v>
      </c>
      <c r="AE90">
        <v>5</v>
      </c>
      <c r="AF90">
        <v>5</v>
      </c>
      <c r="AG90">
        <v>5</v>
      </c>
      <c r="AH90">
        <v>5</v>
      </c>
      <c r="AI90">
        <v>5</v>
      </c>
      <c r="AJ90">
        <v>5</v>
      </c>
      <c r="AK90">
        <v>5</v>
      </c>
      <c r="AL90">
        <v>5</v>
      </c>
      <c r="AM90">
        <v>5</v>
      </c>
      <c r="AN90">
        <v>5</v>
      </c>
      <c r="AO90">
        <v>5</v>
      </c>
      <c r="AP90">
        <v>2</v>
      </c>
      <c r="AQ90">
        <v>4</v>
      </c>
      <c r="AR90">
        <v>0</v>
      </c>
      <c r="AS90">
        <v>2</v>
      </c>
      <c r="AT90">
        <v>1</v>
      </c>
      <c r="AU90">
        <v>3</v>
      </c>
      <c r="AV90">
        <v>2</v>
      </c>
      <c r="AW90">
        <v>1</v>
      </c>
      <c r="AX90">
        <v>5</v>
      </c>
      <c r="AY90">
        <v>4</v>
      </c>
      <c r="AZ90">
        <v>0</v>
      </c>
      <c r="BA90">
        <v>3</v>
      </c>
      <c r="BB90">
        <v>2</v>
      </c>
      <c r="BC90">
        <v>6</v>
      </c>
      <c r="BD90">
        <v>1</v>
      </c>
      <c r="BE90">
        <v>4</v>
      </c>
      <c r="BF90">
        <v>2</v>
      </c>
      <c r="BG90">
        <v>0</v>
      </c>
      <c r="BH90">
        <v>4</v>
      </c>
      <c r="BI90">
        <v>3</v>
      </c>
      <c r="BJ90">
        <v>2375938</v>
      </c>
      <c r="BK90">
        <v>5363252</v>
      </c>
      <c r="BL90">
        <v>31390.69</v>
      </c>
      <c r="BM90">
        <v>4132185.25</v>
      </c>
      <c r="BN90">
        <v>3057759</v>
      </c>
      <c r="BO90">
        <v>5485788</v>
      </c>
      <c r="BP90">
        <v>3907813.5</v>
      </c>
      <c r="BQ90">
        <v>2954295.5</v>
      </c>
      <c r="BR90">
        <v>5962993.5</v>
      </c>
      <c r="BS90">
        <v>5100983</v>
      </c>
      <c r="BT90">
        <v>1006265.5</v>
      </c>
      <c r="BU90">
        <v>3837465.5</v>
      </c>
      <c r="BV90">
        <v>2220406.75</v>
      </c>
      <c r="BW90">
        <v>7634452</v>
      </c>
      <c r="BX90">
        <v>2430714.5</v>
      </c>
      <c r="BY90">
        <v>4572735</v>
      </c>
      <c r="BZ90">
        <v>3322993.5</v>
      </c>
      <c r="CA90">
        <v>2937168.5</v>
      </c>
      <c r="CB90">
        <v>4951988.5</v>
      </c>
      <c r="CC90">
        <v>6324671</v>
      </c>
      <c r="CD90" s="17" t="s">
        <v>1185</v>
      </c>
      <c r="CE90" s="21">
        <v>3909535.25</v>
      </c>
      <c r="CF90" s="21">
        <v>3501041.75</v>
      </c>
      <c r="CG90" s="19">
        <v>4544789.5</v>
      </c>
      <c r="CH90" s="19">
        <v>2624208.25</v>
      </c>
      <c r="CI90" s="21">
        <v>2506511.25</v>
      </c>
      <c r="CJ90" s="21">
        <v>2590008</v>
      </c>
      <c r="CK90" s="19">
        <v>3558660</v>
      </c>
      <c r="CL90" s="19">
        <v>3421401</v>
      </c>
      <c r="CM90" s="21">
        <v>6135921.5</v>
      </c>
      <c r="CN90" s="21">
        <v>6311529.5</v>
      </c>
      <c r="CO90" s="19">
        <v>4347235</v>
      </c>
      <c r="CP90" s="19">
        <v>3570837.75</v>
      </c>
      <c r="CQ90" s="21">
        <v>5121099.5</v>
      </c>
      <c r="CR90" s="21">
        <v>5426108</v>
      </c>
      <c r="CS90" s="19">
        <v>3952949.5</v>
      </c>
      <c r="CT90" s="19">
        <v>4029314.25</v>
      </c>
      <c r="CU90" s="21">
        <v>2470075.75</v>
      </c>
      <c r="CV90" s="21">
        <v>2470793.25</v>
      </c>
      <c r="CW90" s="19">
        <v>5086177</v>
      </c>
      <c r="CX90" s="19">
        <v>8555005</v>
      </c>
    </row>
    <row r="91" spans="1:102">
      <c r="A91">
        <v>31070</v>
      </c>
      <c r="B91" t="s">
        <v>435</v>
      </c>
      <c r="C91" t="s">
        <v>1108</v>
      </c>
      <c r="D91" t="s">
        <v>435</v>
      </c>
      <c r="F91" t="s">
        <v>436</v>
      </c>
      <c r="G91">
        <v>262.65600000000001</v>
      </c>
      <c r="H91" t="s">
        <v>104</v>
      </c>
      <c r="I91">
        <v>2</v>
      </c>
      <c r="J91">
        <v>1</v>
      </c>
      <c r="K91">
        <v>0</v>
      </c>
      <c r="L91">
        <v>0</v>
      </c>
      <c r="M91">
        <v>0</v>
      </c>
      <c r="N91">
        <v>-1</v>
      </c>
      <c r="O91">
        <v>4</v>
      </c>
      <c r="P91">
        <v>4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17</v>
      </c>
      <c r="AQ91">
        <v>11</v>
      </c>
      <c r="AR91">
        <v>2</v>
      </c>
      <c r="AS91">
        <v>11</v>
      </c>
      <c r="AT91">
        <v>12</v>
      </c>
      <c r="AU91">
        <v>14</v>
      </c>
      <c r="AV91">
        <v>13</v>
      </c>
      <c r="AW91">
        <v>13</v>
      </c>
      <c r="AX91">
        <v>17</v>
      </c>
      <c r="AY91">
        <v>18</v>
      </c>
      <c r="AZ91">
        <v>13</v>
      </c>
      <c r="BA91">
        <v>13</v>
      </c>
      <c r="BB91">
        <v>15</v>
      </c>
      <c r="BC91">
        <v>14</v>
      </c>
      <c r="BD91">
        <v>11</v>
      </c>
      <c r="BE91">
        <v>14</v>
      </c>
      <c r="BF91">
        <v>12</v>
      </c>
      <c r="BG91">
        <v>12</v>
      </c>
      <c r="BH91">
        <v>14</v>
      </c>
      <c r="BI91">
        <v>15</v>
      </c>
      <c r="BJ91">
        <v>394565088</v>
      </c>
      <c r="BK91">
        <v>398069376</v>
      </c>
      <c r="BL91">
        <v>966289.44</v>
      </c>
      <c r="BM91">
        <v>127196408</v>
      </c>
      <c r="BN91">
        <v>287020992</v>
      </c>
      <c r="BO91">
        <v>271563968</v>
      </c>
      <c r="BP91">
        <v>370906688</v>
      </c>
      <c r="BQ91">
        <v>345432032</v>
      </c>
      <c r="BR91">
        <v>291771136</v>
      </c>
      <c r="BS91">
        <v>290871904</v>
      </c>
      <c r="BT91">
        <v>82188360</v>
      </c>
      <c r="BU91">
        <v>279654688</v>
      </c>
      <c r="BV91">
        <v>287080864</v>
      </c>
      <c r="BW91">
        <v>289836800</v>
      </c>
      <c r="BX91">
        <v>286059904</v>
      </c>
      <c r="BY91">
        <v>293605952</v>
      </c>
      <c r="BZ91">
        <v>249815840</v>
      </c>
      <c r="CA91">
        <v>371690240</v>
      </c>
      <c r="CB91">
        <v>227267360</v>
      </c>
      <c r="CC91">
        <v>222699184</v>
      </c>
      <c r="CD91" s="17" t="s">
        <v>1108</v>
      </c>
      <c r="CE91" s="21">
        <v>347348128</v>
      </c>
      <c r="CF91" s="21">
        <v>260014016</v>
      </c>
      <c r="CG91" s="19">
        <v>95785672</v>
      </c>
      <c r="CH91" s="19">
        <v>303861408</v>
      </c>
      <c r="CI91" s="21">
        <v>227975584</v>
      </c>
      <c r="CJ91" s="21">
        <v>266390256</v>
      </c>
      <c r="CK91" s="19">
        <v>282813504</v>
      </c>
      <c r="CL91" s="19">
        <v>224082528</v>
      </c>
      <c r="CM91" s="21">
        <v>284554304</v>
      </c>
      <c r="CN91" s="21">
        <v>239996912</v>
      </c>
      <c r="CO91" s="19">
        <v>227160528</v>
      </c>
      <c r="CP91" s="19">
        <v>206402368</v>
      </c>
      <c r="CQ91" s="21">
        <v>137098800</v>
      </c>
      <c r="CR91" s="21">
        <v>179518704</v>
      </c>
      <c r="CS91" s="19">
        <v>177553840</v>
      </c>
      <c r="CT91" s="19">
        <v>202759312</v>
      </c>
      <c r="CU91" s="21">
        <v>302532480</v>
      </c>
      <c r="CV91" s="21">
        <v>283204288</v>
      </c>
      <c r="CW91" s="19">
        <v>249686256</v>
      </c>
      <c r="CX91" s="19">
        <v>383336704</v>
      </c>
    </row>
    <row r="92" spans="1:102">
      <c r="A92">
        <v>31140</v>
      </c>
      <c r="B92" t="s">
        <v>549</v>
      </c>
      <c r="C92" t="s">
        <v>1186</v>
      </c>
      <c r="D92" t="s">
        <v>549</v>
      </c>
      <c r="E92" t="s">
        <v>550</v>
      </c>
      <c r="F92" t="s">
        <v>551</v>
      </c>
      <c r="G92">
        <v>126.72799999999999</v>
      </c>
      <c r="H92" t="s">
        <v>104</v>
      </c>
      <c r="I92">
        <v>2</v>
      </c>
      <c r="J92">
        <v>1</v>
      </c>
      <c r="K92">
        <v>7</v>
      </c>
      <c r="L92">
        <v>0</v>
      </c>
      <c r="M92">
        <v>0</v>
      </c>
      <c r="N92">
        <v>-1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3</v>
      </c>
      <c r="W92">
        <v>2</v>
      </c>
      <c r="X92">
        <v>3</v>
      </c>
      <c r="Y92">
        <v>4</v>
      </c>
      <c r="Z92">
        <v>1</v>
      </c>
      <c r="AA92">
        <v>2</v>
      </c>
      <c r="AB92">
        <v>3</v>
      </c>
      <c r="AC92">
        <v>2</v>
      </c>
      <c r="AD92">
        <v>2</v>
      </c>
      <c r="AE92">
        <v>5</v>
      </c>
      <c r="AF92">
        <v>5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3</v>
      </c>
      <c r="AM92">
        <v>2</v>
      </c>
      <c r="AN92">
        <v>5</v>
      </c>
      <c r="AO92">
        <v>4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4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7</v>
      </c>
      <c r="BI92">
        <v>0</v>
      </c>
      <c r="BJ92">
        <v>595742.93999999994</v>
      </c>
      <c r="BK92">
        <v>1159301.1200000001</v>
      </c>
      <c r="BL92">
        <v>52890.91</v>
      </c>
      <c r="BM92">
        <v>729529.75</v>
      </c>
      <c r="BN92">
        <v>125928.43</v>
      </c>
      <c r="BO92">
        <v>475055.56</v>
      </c>
      <c r="BP92">
        <v>1135423.1200000001</v>
      </c>
      <c r="BQ92">
        <v>613006</v>
      </c>
      <c r="BR92">
        <v>252332.34</v>
      </c>
      <c r="BS92">
        <v>3659291</v>
      </c>
      <c r="BT92">
        <v>873780.69</v>
      </c>
      <c r="BU92">
        <v>327367.62</v>
      </c>
      <c r="BV92">
        <v>444736.19</v>
      </c>
      <c r="BW92">
        <v>612564.88</v>
      </c>
      <c r="BX92">
        <v>415211.91</v>
      </c>
      <c r="BY92">
        <v>521299.38</v>
      </c>
      <c r="BZ92">
        <v>725323.69</v>
      </c>
      <c r="CA92">
        <v>305526.19</v>
      </c>
      <c r="CB92">
        <v>8254129.5</v>
      </c>
      <c r="CC92">
        <v>312122.06</v>
      </c>
      <c r="CD92" s="17" t="s">
        <v>1186</v>
      </c>
      <c r="CE92" s="21">
        <v>498610.91</v>
      </c>
      <c r="CF92" s="21">
        <v>4120498.75</v>
      </c>
      <c r="CG92" s="19">
        <v>3673973.5</v>
      </c>
      <c r="CH92" s="19">
        <v>283019.62</v>
      </c>
      <c r="CI92" s="21">
        <v>47061.46</v>
      </c>
      <c r="CJ92" s="21">
        <v>232700.44</v>
      </c>
      <c r="CK92" s="19">
        <v>607805.62</v>
      </c>
      <c r="CL92" s="19">
        <v>550485.18999999994</v>
      </c>
      <c r="CM92" s="21">
        <v>147368.25</v>
      </c>
      <c r="CN92" s="21">
        <v>11912040</v>
      </c>
      <c r="CO92" s="19">
        <v>187685.89</v>
      </c>
      <c r="CP92" s="19">
        <v>131142.09</v>
      </c>
      <c r="CQ92" s="21">
        <v>533397.18999999994</v>
      </c>
      <c r="CR92" s="21">
        <v>145570.64000000001</v>
      </c>
      <c r="CS92" s="19">
        <v>157072.60999999999</v>
      </c>
      <c r="CT92" s="19">
        <v>173834.66</v>
      </c>
      <c r="CU92" s="21">
        <v>257998.44</v>
      </c>
      <c r="CV92" s="21">
        <v>140551.64000000001</v>
      </c>
      <c r="CW92" s="19">
        <v>3985657.5</v>
      </c>
      <c r="CX92" s="19">
        <v>356760.19</v>
      </c>
    </row>
    <row r="93" spans="1:102">
      <c r="A93">
        <v>31117</v>
      </c>
      <c r="B93" t="s">
        <v>748</v>
      </c>
      <c r="C93" t="s">
        <v>1187</v>
      </c>
      <c r="D93" t="s">
        <v>748</v>
      </c>
      <c r="F93" t="s">
        <v>749</v>
      </c>
      <c r="G93">
        <v>20.937999999999999</v>
      </c>
      <c r="H93" t="s">
        <v>104</v>
      </c>
      <c r="I93">
        <v>2</v>
      </c>
      <c r="J93">
        <v>1</v>
      </c>
      <c r="K93">
        <v>0</v>
      </c>
      <c r="L93">
        <v>0</v>
      </c>
      <c r="M93">
        <v>0</v>
      </c>
      <c r="N93">
        <v>-1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X93">
        <v>1</v>
      </c>
      <c r="Y93">
        <v>1</v>
      </c>
      <c r="AB93">
        <v>1</v>
      </c>
      <c r="AD93">
        <v>1</v>
      </c>
      <c r="AF93">
        <v>1</v>
      </c>
      <c r="AJ93">
        <v>1</v>
      </c>
      <c r="AP93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L93">
        <v>359432.56</v>
      </c>
      <c r="BM93">
        <v>178790.91</v>
      </c>
      <c r="BP93">
        <v>266502.44</v>
      </c>
      <c r="BR93">
        <v>88832.95</v>
      </c>
      <c r="BT93">
        <v>44042.65</v>
      </c>
      <c r="BX93">
        <v>40238.559999999998</v>
      </c>
      <c r="CD93" s="17" t="s">
        <v>1187</v>
      </c>
      <c r="CE93" s="21">
        <v>311941.62</v>
      </c>
      <c r="CF93" s="21">
        <v>156019.07999999999</v>
      </c>
      <c r="CG93" s="19">
        <v>41386000</v>
      </c>
      <c r="CH93" s="19">
        <v>384147.09</v>
      </c>
      <c r="CI93" s="21">
        <v>268122.19</v>
      </c>
      <c r="CJ93" s="21">
        <v>38048.370000000003</v>
      </c>
      <c r="CK93" s="19">
        <v>193435.88</v>
      </c>
      <c r="CL93" s="19">
        <v>317038.59000000003</v>
      </c>
      <c r="CM93" s="21">
        <v>85214.52</v>
      </c>
      <c r="CN93" s="21">
        <v>240879.59</v>
      </c>
      <c r="CO93" s="19">
        <v>204071.56</v>
      </c>
      <c r="CP93" s="19">
        <v>248097.73</v>
      </c>
      <c r="CQ93" s="21">
        <v>185315.3</v>
      </c>
      <c r="CR93" s="21">
        <v>228183.14</v>
      </c>
      <c r="CS93" s="19">
        <v>223854.05</v>
      </c>
      <c r="CT93" s="19">
        <v>238455.16</v>
      </c>
      <c r="CU93" s="21">
        <v>281040.15999999997</v>
      </c>
      <c r="CV93" s="21">
        <v>245732.98</v>
      </c>
      <c r="CW93" s="19">
        <v>200247.95</v>
      </c>
      <c r="CX93" s="19">
        <v>113166.88</v>
      </c>
    </row>
    <row r="94" spans="1:102">
      <c r="A94">
        <v>31130</v>
      </c>
      <c r="B94" t="s">
        <v>750</v>
      </c>
      <c r="C94" t="s">
        <v>1188</v>
      </c>
      <c r="D94" t="s">
        <v>750</v>
      </c>
      <c r="E94" t="s">
        <v>751</v>
      </c>
      <c r="F94" t="s">
        <v>752</v>
      </c>
      <c r="G94">
        <v>17.544</v>
      </c>
      <c r="H94" t="s">
        <v>104</v>
      </c>
      <c r="I94">
        <v>2</v>
      </c>
      <c r="J94">
        <v>1</v>
      </c>
      <c r="K94">
        <v>3</v>
      </c>
      <c r="L94">
        <v>0</v>
      </c>
      <c r="M94">
        <v>0</v>
      </c>
      <c r="N94">
        <v>-1</v>
      </c>
      <c r="O94">
        <v>2</v>
      </c>
      <c r="P94">
        <v>2</v>
      </c>
      <c r="Q94">
        <v>2</v>
      </c>
      <c r="R94">
        <v>2</v>
      </c>
      <c r="S94">
        <v>2</v>
      </c>
      <c r="T94">
        <v>2</v>
      </c>
      <c r="U94">
        <v>2</v>
      </c>
      <c r="X94">
        <v>1</v>
      </c>
      <c r="Y94">
        <v>1</v>
      </c>
      <c r="AA94">
        <v>1</v>
      </c>
      <c r="AB94">
        <v>2</v>
      </c>
      <c r="AC94">
        <v>1</v>
      </c>
      <c r="AE94">
        <v>2</v>
      </c>
      <c r="AF94">
        <v>2</v>
      </c>
      <c r="AJ94">
        <v>1</v>
      </c>
      <c r="AK94">
        <v>1</v>
      </c>
      <c r="AL94">
        <v>1</v>
      </c>
      <c r="AN94">
        <v>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0</v>
      </c>
      <c r="BH94">
        <v>2</v>
      </c>
      <c r="BI94">
        <v>0</v>
      </c>
      <c r="BL94">
        <v>16557.14</v>
      </c>
      <c r="BM94">
        <v>54970.49</v>
      </c>
      <c r="BO94">
        <v>64518.02</v>
      </c>
      <c r="BP94">
        <v>281977.28000000003</v>
      </c>
      <c r="BQ94">
        <v>115717.65</v>
      </c>
      <c r="BS94">
        <v>701063.25</v>
      </c>
      <c r="BT94">
        <v>145339.48000000001</v>
      </c>
      <c r="BX94">
        <v>188448.19</v>
      </c>
      <c r="BY94">
        <v>58465.48</v>
      </c>
      <c r="BZ94">
        <v>570051.56000000006</v>
      </c>
      <c r="CB94">
        <v>859606.69</v>
      </c>
      <c r="CD94" s="17" t="s">
        <v>1188</v>
      </c>
      <c r="CE94" s="21">
        <v>311941.62</v>
      </c>
      <c r="CF94" s="21">
        <v>524163.12</v>
      </c>
      <c r="CG94" s="19">
        <v>1630018.12</v>
      </c>
      <c r="CH94" s="19">
        <v>384147.09</v>
      </c>
      <c r="CI94" s="21">
        <v>268122.19</v>
      </c>
      <c r="CJ94" s="21">
        <v>144551.79999999999</v>
      </c>
      <c r="CK94" s="19">
        <v>183132.75</v>
      </c>
      <c r="CL94" s="19">
        <v>332182.56</v>
      </c>
      <c r="CM94" s="21">
        <v>189813.17</v>
      </c>
      <c r="CN94" s="21">
        <v>1415775.88</v>
      </c>
      <c r="CO94" s="19">
        <v>204071.56</v>
      </c>
      <c r="CP94" s="19">
        <v>248097.73</v>
      </c>
      <c r="CQ94" s="21">
        <v>69386.86</v>
      </c>
      <c r="CR94" s="21">
        <v>228183.14</v>
      </c>
      <c r="CS94" s="19">
        <v>34291.74</v>
      </c>
      <c r="CT94" s="19">
        <v>50224.19</v>
      </c>
      <c r="CU94" s="21">
        <v>76610.34</v>
      </c>
      <c r="CV94" s="21">
        <v>245732.98</v>
      </c>
      <c r="CW94" s="19">
        <v>612357.75</v>
      </c>
      <c r="CX94" s="19">
        <v>113166.88</v>
      </c>
    </row>
    <row r="95" spans="1:102">
      <c r="A95">
        <v>31159</v>
      </c>
      <c r="B95" t="s">
        <v>605</v>
      </c>
      <c r="C95" t="s">
        <v>1189</v>
      </c>
      <c r="D95" t="s">
        <v>605</v>
      </c>
      <c r="F95" t="s">
        <v>606</v>
      </c>
      <c r="G95">
        <v>78.585999999999999</v>
      </c>
      <c r="H95" t="s">
        <v>104</v>
      </c>
      <c r="I95">
        <v>2</v>
      </c>
      <c r="J95">
        <v>1</v>
      </c>
      <c r="K95">
        <v>0</v>
      </c>
      <c r="L95">
        <v>0</v>
      </c>
      <c r="M95">
        <v>0</v>
      </c>
      <c r="N95">
        <v>-1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4</v>
      </c>
      <c r="W95">
        <v>1</v>
      </c>
      <c r="Y95">
        <v>2</v>
      </c>
      <c r="Z95">
        <v>1</v>
      </c>
      <c r="AA95">
        <v>1</v>
      </c>
      <c r="AB95">
        <v>3</v>
      </c>
      <c r="AD95">
        <v>1</v>
      </c>
      <c r="AE95">
        <v>7</v>
      </c>
      <c r="AF95">
        <v>7</v>
      </c>
      <c r="AG95">
        <v>1</v>
      </c>
      <c r="AH95">
        <v>3</v>
      </c>
      <c r="AI95">
        <v>1</v>
      </c>
      <c r="AJ95">
        <v>1</v>
      </c>
      <c r="AK95">
        <v>1</v>
      </c>
      <c r="AL95">
        <v>3</v>
      </c>
      <c r="AM95">
        <v>1</v>
      </c>
      <c r="AN95">
        <v>7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0</v>
      </c>
      <c r="BH95">
        <v>7</v>
      </c>
      <c r="BI95">
        <v>0</v>
      </c>
      <c r="BJ95">
        <v>516368.31</v>
      </c>
      <c r="BK95">
        <v>216736</v>
      </c>
      <c r="BM95">
        <v>320948.62</v>
      </c>
      <c r="BN95">
        <v>166504.01999999999</v>
      </c>
      <c r="BO95">
        <v>244650.83</v>
      </c>
      <c r="BP95">
        <v>464417.31</v>
      </c>
      <c r="BR95">
        <v>122433.59</v>
      </c>
      <c r="BS95">
        <v>2052630.62</v>
      </c>
      <c r="BT95">
        <v>588838.5</v>
      </c>
      <c r="BU95">
        <v>188479.92</v>
      </c>
      <c r="BV95">
        <v>422478.5</v>
      </c>
      <c r="BW95">
        <v>183673.66</v>
      </c>
      <c r="BX95">
        <v>119237.03</v>
      </c>
      <c r="BY95">
        <v>202283</v>
      </c>
      <c r="BZ95">
        <v>1049399.25</v>
      </c>
      <c r="CA95">
        <v>91861.34</v>
      </c>
      <c r="CB95">
        <v>8140040</v>
      </c>
      <c r="CC95">
        <v>31928.799999999999</v>
      </c>
      <c r="CD95" s="17" t="s">
        <v>1189</v>
      </c>
      <c r="CE95" s="21">
        <v>316115.28000000003</v>
      </c>
      <c r="CF95" s="21">
        <v>2311912</v>
      </c>
      <c r="CG95" s="19">
        <v>1861110.38</v>
      </c>
      <c r="CH95" s="19">
        <v>456222.81</v>
      </c>
      <c r="CI95" s="21">
        <v>79651.5</v>
      </c>
      <c r="CJ95" s="21">
        <v>111206.5</v>
      </c>
      <c r="CK95" s="19">
        <v>364419.09</v>
      </c>
      <c r="CL95" s="19">
        <v>1259856</v>
      </c>
      <c r="CM95" s="21">
        <v>77119.98</v>
      </c>
      <c r="CN95" s="21">
        <v>9230889</v>
      </c>
      <c r="CO95" s="19">
        <v>70338.89</v>
      </c>
      <c r="CP95" s="19">
        <v>70609.33</v>
      </c>
      <c r="CQ95" s="21">
        <v>220233.52</v>
      </c>
      <c r="CR95" s="21">
        <v>56571.95</v>
      </c>
      <c r="CS95" s="19">
        <v>76920.289999999994</v>
      </c>
      <c r="CT95" s="19">
        <v>79848.69</v>
      </c>
      <c r="CU95" s="21">
        <v>281040.15999999997</v>
      </c>
      <c r="CV95" s="21">
        <v>51589.94</v>
      </c>
      <c r="CW95" s="19">
        <v>1588428.75</v>
      </c>
      <c r="CX95" s="19">
        <v>41649.18</v>
      </c>
    </row>
    <row r="96" spans="1:102">
      <c r="A96">
        <v>31147</v>
      </c>
      <c r="B96" t="s">
        <v>674</v>
      </c>
      <c r="C96" t="s">
        <v>1190</v>
      </c>
      <c r="D96" t="s">
        <v>674</v>
      </c>
      <c r="F96" t="s">
        <v>675</v>
      </c>
      <c r="G96">
        <v>38.762</v>
      </c>
      <c r="H96" t="s">
        <v>104</v>
      </c>
      <c r="I96">
        <v>2</v>
      </c>
      <c r="J96">
        <v>1</v>
      </c>
      <c r="K96">
        <v>0</v>
      </c>
      <c r="L96">
        <v>0</v>
      </c>
      <c r="M96">
        <v>0</v>
      </c>
      <c r="N96">
        <v>-1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1</v>
      </c>
      <c r="AQ96">
        <v>1</v>
      </c>
      <c r="AR96">
        <v>2</v>
      </c>
      <c r="AS96">
        <v>3</v>
      </c>
      <c r="AT96">
        <v>2</v>
      </c>
      <c r="AU96">
        <v>2</v>
      </c>
      <c r="AV96">
        <v>3</v>
      </c>
      <c r="AW96">
        <v>2</v>
      </c>
      <c r="AX96">
        <v>3</v>
      </c>
      <c r="AY96">
        <v>2</v>
      </c>
      <c r="AZ96">
        <v>2</v>
      </c>
      <c r="BA96">
        <v>2</v>
      </c>
      <c r="BB96">
        <v>3</v>
      </c>
      <c r="BC96">
        <v>2</v>
      </c>
      <c r="BD96">
        <v>2</v>
      </c>
      <c r="BE96">
        <v>1</v>
      </c>
      <c r="BF96">
        <v>2</v>
      </c>
      <c r="BG96">
        <v>2</v>
      </c>
      <c r="BH96">
        <v>2</v>
      </c>
      <c r="BI96">
        <v>0</v>
      </c>
      <c r="BJ96">
        <v>8064786</v>
      </c>
      <c r="BK96">
        <v>7010608.5</v>
      </c>
      <c r="BL96">
        <v>976974.5</v>
      </c>
      <c r="BM96">
        <v>8320434.5</v>
      </c>
      <c r="BN96">
        <v>7466837</v>
      </c>
      <c r="BO96">
        <v>8293466</v>
      </c>
      <c r="BP96">
        <v>7427825</v>
      </c>
      <c r="BQ96">
        <v>7304463</v>
      </c>
      <c r="BR96">
        <v>6745878.5</v>
      </c>
      <c r="BS96">
        <v>6726199</v>
      </c>
      <c r="BT96">
        <v>10090132</v>
      </c>
      <c r="BU96">
        <v>5509040.5</v>
      </c>
      <c r="BV96">
        <v>5822660</v>
      </c>
      <c r="BW96">
        <v>5110435</v>
      </c>
      <c r="BX96">
        <v>7995070</v>
      </c>
      <c r="BY96">
        <v>5113973.5</v>
      </c>
      <c r="BZ96">
        <v>5021299.5</v>
      </c>
      <c r="CA96">
        <v>5486226.5</v>
      </c>
      <c r="CB96">
        <v>7573217</v>
      </c>
      <c r="CC96">
        <v>3032911.5</v>
      </c>
      <c r="CD96" s="17" t="s">
        <v>1190</v>
      </c>
      <c r="CE96" s="21">
        <v>8141487.5</v>
      </c>
      <c r="CF96" s="21">
        <v>46876452</v>
      </c>
      <c r="CG96" s="19">
        <v>119336496</v>
      </c>
      <c r="CH96" s="19">
        <v>6790700</v>
      </c>
      <c r="CI96" s="21">
        <v>6590984.5</v>
      </c>
      <c r="CJ96" s="21">
        <v>11066371</v>
      </c>
      <c r="CK96" s="19">
        <v>6393933.5</v>
      </c>
      <c r="CL96" s="19">
        <v>5744809</v>
      </c>
      <c r="CM96" s="21">
        <v>6820724</v>
      </c>
      <c r="CN96" s="21">
        <v>11780682</v>
      </c>
      <c r="CO96" s="19">
        <v>5094405.5</v>
      </c>
      <c r="CP96" s="19">
        <v>4599923</v>
      </c>
      <c r="CQ96" s="21">
        <v>9981053</v>
      </c>
      <c r="CR96" s="21">
        <v>3716670.5</v>
      </c>
      <c r="CS96" s="19">
        <v>5645171.5</v>
      </c>
      <c r="CT96" s="19">
        <v>4696809</v>
      </c>
      <c r="CU96" s="21">
        <v>6743073.5</v>
      </c>
      <c r="CV96" s="21">
        <v>3779368.25</v>
      </c>
      <c r="CW96" s="19">
        <v>6576222</v>
      </c>
      <c r="CX96" s="19">
        <v>3592224.5</v>
      </c>
    </row>
    <row r="97" spans="1:102">
      <c r="A97">
        <v>30923</v>
      </c>
      <c r="B97" t="s">
        <v>657</v>
      </c>
      <c r="C97" t="s">
        <v>1191</v>
      </c>
      <c r="D97" t="s">
        <v>658</v>
      </c>
      <c r="F97" t="s">
        <v>659</v>
      </c>
      <c r="G97">
        <v>42.414999999999999</v>
      </c>
      <c r="H97" t="s">
        <v>104</v>
      </c>
      <c r="I97">
        <v>2</v>
      </c>
      <c r="J97">
        <v>19</v>
      </c>
      <c r="K97">
        <v>0</v>
      </c>
      <c r="L97">
        <v>0</v>
      </c>
      <c r="M97">
        <v>0</v>
      </c>
      <c r="N97">
        <v>-1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0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1294927.75</v>
      </c>
      <c r="BK97">
        <v>1542281.62</v>
      </c>
      <c r="BM97">
        <v>428831</v>
      </c>
      <c r="BN97">
        <v>2254192.75</v>
      </c>
      <c r="BO97">
        <v>1994341.62</v>
      </c>
      <c r="BP97">
        <v>1238692.5</v>
      </c>
      <c r="BQ97">
        <v>1163163.6200000001</v>
      </c>
      <c r="BR97">
        <v>822166.81</v>
      </c>
      <c r="BS97">
        <v>323579.5</v>
      </c>
      <c r="BT97">
        <v>394197.22</v>
      </c>
      <c r="BU97">
        <v>1521363.62</v>
      </c>
      <c r="BV97">
        <v>1039763.62</v>
      </c>
      <c r="BW97">
        <v>818766.31</v>
      </c>
      <c r="BX97">
        <v>1991769.75</v>
      </c>
      <c r="BY97">
        <v>1374770.5</v>
      </c>
      <c r="BZ97">
        <v>1121571.25</v>
      </c>
      <c r="CA97">
        <v>1057264.6200000001</v>
      </c>
      <c r="CB97">
        <v>384793.94</v>
      </c>
      <c r="CC97">
        <v>125587.71</v>
      </c>
      <c r="CD97" s="17" t="s">
        <v>1191</v>
      </c>
      <c r="CE97" s="21">
        <v>1294927.75</v>
      </c>
      <c r="CF97" s="21">
        <v>1396425.75</v>
      </c>
      <c r="CG97" s="19">
        <v>1861110.38</v>
      </c>
      <c r="CH97" s="19">
        <v>1036521.5</v>
      </c>
      <c r="CI97" s="21">
        <v>1643626.75</v>
      </c>
      <c r="CJ97" s="21">
        <v>1883357.38</v>
      </c>
      <c r="CK97" s="19">
        <v>899082.06</v>
      </c>
      <c r="CL97" s="19">
        <v>1054670.1200000001</v>
      </c>
      <c r="CM97" s="21">
        <v>788677.56</v>
      </c>
      <c r="CN97" s="21">
        <v>422091.25</v>
      </c>
      <c r="CO97" s="19">
        <v>833247.12</v>
      </c>
      <c r="CP97" s="19">
        <v>1050539.25</v>
      </c>
      <c r="CQ97" s="21">
        <v>444479.78</v>
      </c>
      <c r="CR97" s="21">
        <v>462997.88</v>
      </c>
      <c r="CS97" s="19">
        <v>1204265.6200000001</v>
      </c>
      <c r="CT97" s="19">
        <v>1004079.25</v>
      </c>
      <c r="CU97" s="21">
        <v>946090.75</v>
      </c>
      <c r="CV97" s="21">
        <v>771357.75</v>
      </c>
      <c r="CW97" s="19">
        <v>273650.5</v>
      </c>
      <c r="CX97" s="19">
        <v>164258.32999999999</v>
      </c>
    </row>
    <row r="98" spans="1:102">
      <c r="A98">
        <v>31074</v>
      </c>
      <c r="B98" t="s">
        <v>688</v>
      </c>
      <c r="C98" t="s">
        <v>1192</v>
      </c>
      <c r="D98" t="s">
        <v>689</v>
      </c>
      <c r="F98" t="s">
        <v>690</v>
      </c>
      <c r="G98">
        <v>33.042999999999999</v>
      </c>
      <c r="H98" t="s">
        <v>104</v>
      </c>
      <c r="I98">
        <v>2</v>
      </c>
      <c r="J98">
        <v>3</v>
      </c>
      <c r="K98">
        <v>0</v>
      </c>
      <c r="L98">
        <v>0</v>
      </c>
      <c r="M98">
        <v>0</v>
      </c>
      <c r="N98">
        <v>-1</v>
      </c>
      <c r="O98">
        <v>2</v>
      </c>
      <c r="P98">
        <v>2</v>
      </c>
      <c r="Q98">
        <v>2</v>
      </c>
      <c r="R98">
        <v>2</v>
      </c>
      <c r="S98">
        <v>2</v>
      </c>
      <c r="T98">
        <v>2</v>
      </c>
      <c r="U98">
        <v>2</v>
      </c>
      <c r="V98">
        <v>1</v>
      </c>
      <c r="W98">
        <v>2</v>
      </c>
      <c r="Y98">
        <v>2</v>
      </c>
      <c r="Z98">
        <v>2</v>
      </c>
      <c r="AA98">
        <v>2</v>
      </c>
      <c r="AB98">
        <v>2</v>
      </c>
      <c r="AC98">
        <v>2</v>
      </c>
      <c r="AD98">
        <v>2</v>
      </c>
      <c r="AE98">
        <v>2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>
        <v>2</v>
      </c>
      <c r="AM98">
        <v>2</v>
      </c>
      <c r="AN98">
        <v>2</v>
      </c>
      <c r="AO98">
        <v>2</v>
      </c>
      <c r="AP98">
        <v>0</v>
      </c>
      <c r="AQ98">
        <v>1</v>
      </c>
      <c r="AR98">
        <v>0</v>
      </c>
      <c r="AS98">
        <v>2</v>
      </c>
      <c r="AT98">
        <v>1</v>
      </c>
      <c r="AU98">
        <v>2</v>
      </c>
      <c r="AV98">
        <v>1</v>
      </c>
      <c r="AW98">
        <v>0</v>
      </c>
      <c r="AX98">
        <v>2</v>
      </c>
      <c r="AY98">
        <v>2</v>
      </c>
      <c r="AZ98">
        <v>0</v>
      </c>
      <c r="BA98">
        <v>2</v>
      </c>
      <c r="BB98">
        <v>0</v>
      </c>
      <c r="BC98">
        <v>2</v>
      </c>
      <c r="BD98">
        <v>0</v>
      </c>
      <c r="BE98">
        <v>2</v>
      </c>
      <c r="BF98">
        <v>0</v>
      </c>
      <c r="BG98">
        <v>0</v>
      </c>
      <c r="BH98">
        <v>1</v>
      </c>
      <c r="BI98">
        <v>1</v>
      </c>
      <c r="BJ98">
        <v>683261.62</v>
      </c>
      <c r="BK98">
        <v>1154074.25</v>
      </c>
      <c r="BM98">
        <v>948046.69</v>
      </c>
      <c r="BN98">
        <v>808737.88</v>
      </c>
      <c r="BO98">
        <v>1354675.38</v>
      </c>
      <c r="BP98">
        <v>1092609.25</v>
      </c>
      <c r="BQ98">
        <v>707143.06</v>
      </c>
      <c r="BR98">
        <v>1593189.25</v>
      </c>
      <c r="BS98">
        <v>1283953.3799999999</v>
      </c>
      <c r="BT98">
        <v>297715.25</v>
      </c>
      <c r="BU98">
        <v>1166549.6200000001</v>
      </c>
      <c r="BV98">
        <v>702672.62</v>
      </c>
      <c r="BW98">
        <v>1776995.12</v>
      </c>
      <c r="BX98">
        <v>638677.31000000006</v>
      </c>
      <c r="BY98">
        <v>1087016.75</v>
      </c>
      <c r="BZ98">
        <v>888063.69</v>
      </c>
      <c r="CA98">
        <v>702630.62</v>
      </c>
      <c r="CB98">
        <v>1000430.75</v>
      </c>
      <c r="CC98">
        <v>549747.88</v>
      </c>
      <c r="CD98" s="17" t="s">
        <v>1192</v>
      </c>
      <c r="CE98" s="21">
        <v>70309.11</v>
      </c>
      <c r="CF98" s="21">
        <v>1185077.25</v>
      </c>
      <c r="CG98" s="19">
        <v>1861110.38</v>
      </c>
      <c r="CH98" s="19">
        <v>629039.68999999994</v>
      </c>
      <c r="CI98" s="21">
        <v>563515</v>
      </c>
      <c r="CJ98" s="21">
        <v>621012.93999999994</v>
      </c>
      <c r="CK98" s="19">
        <v>804923.06</v>
      </c>
      <c r="CL98" s="19">
        <v>881667.38</v>
      </c>
      <c r="CM98" s="21">
        <v>1552136</v>
      </c>
      <c r="CN98" s="21">
        <v>1315661.25</v>
      </c>
      <c r="CO98" s="19">
        <v>581290.38</v>
      </c>
      <c r="CP98" s="19">
        <v>785201.69</v>
      </c>
      <c r="CQ98" s="21">
        <v>982748.06</v>
      </c>
      <c r="CR98" s="21">
        <v>1098448.3799999999</v>
      </c>
      <c r="CS98" s="19">
        <v>793760.69</v>
      </c>
      <c r="CT98" s="19">
        <v>753455.31</v>
      </c>
      <c r="CU98" s="21">
        <v>617384.81000000006</v>
      </c>
      <c r="CV98" s="21">
        <v>561260.81000000006</v>
      </c>
      <c r="CW98" s="19">
        <v>1052606.3799999999</v>
      </c>
      <c r="CX98" s="19">
        <v>929793.94</v>
      </c>
    </row>
    <row r="99" spans="1:102">
      <c r="A99">
        <v>31064</v>
      </c>
      <c r="B99" t="s">
        <v>564</v>
      </c>
      <c r="C99" t="s">
        <v>1193</v>
      </c>
      <c r="D99" t="s">
        <v>564</v>
      </c>
      <c r="E99" t="s">
        <v>565</v>
      </c>
      <c r="F99" t="s">
        <v>566</v>
      </c>
      <c r="G99">
        <v>115.89</v>
      </c>
      <c r="H99" t="s">
        <v>104</v>
      </c>
      <c r="I99">
        <v>2</v>
      </c>
      <c r="J99">
        <v>1</v>
      </c>
      <c r="K99">
        <v>1</v>
      </c>
      <c r="L99">
        <v>0</v>
      </c>
      <c r="M99">
        <v>0</v>
      </c>
      <c r="N99">
        <v>-1</v>
      </c>
      <c r="O99">
        <v>5</v>
      </c>
      <c r="P99">
        <v>3</v>
      </c>
      <c r="Q99">
        <v>5</v>
      </c>
      <c r="R99">
        <v>3</v>
      </c>
      <c r="S99">
        <v>5</v>
      </c>
      <c r="T99">
        <v>3</v>
      </c>
      <c r="U99">
        <v>3</v>
      </c>
      <c r="V99">
        <v>3</v>
      </c>
      <c r="W99">
        <v>3</v>
      </c>
      <c r="X99">
        <v>2</v>
      </c>
      <c r="Y99">
        <v>3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2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3</v>
      </c>
      <c r="AL99">
        <v>3</v>
      </c>
      <c r="AM99">
        <v>3</v>
      </c>
      <c r="AN99">
        <v>3</v>
      </c>
      <c r="AO99">
        <v>2</v>
      </c>
      <c r="AP99">
        <v>3</v>
      </c>
      <c r="AQ99">
        <v>3</v>
      </c>
      <c r="AR99">
        <v>0</v>
      </c>
      <c r="AS99">
        <v>2</v>
      </c>
      <c r="AT99">
        <v>4</v>
      </c>
      <c r="AU99">
        <v>5</v>
      </c>
      <c r="AV99">
        <v>3</v>
      </c>
      <c r="AW99">
        <v>2</v>
      </c>
      <c r="AX99">
        <v>2</v>
      </c>
      <c r="AY99">
        <v>2</v>
      </c>
      <c r="AZ99">
        <v>1</v>
      </c>
      <c r="BA99">
        <v>2</v>
      </c>
      <c r="BB99">
        <v>3</v>
      </c>
      <c r="BC99">
        <v>2</v>
      </c>
      <c r="BD99">
        <v>4</v>
      </c>
      <c r="BE99">
        <v>3</v>
      </c>
      <c r="BF99">
        <v>3</v>
      </c>
      <c r="BG99">
        <v>2</v>
      </c>
      <c r="BH99">
        <v>2</v>
      </c>
      <c r="BI99">
        <v>1</v>
      </c>
      <c r="BJ99">
        <v>21525172</v>
      </c>
      <c r="BK99">
        <v>27764768</v>
      </c>
      <c r="BL99">
        <v>60911.15</v>
      </c>
      <c r="BM99">
        <v>7615689.5</v>
      </c>
      <c r="BN99">
        <v>34469748</v>
      </c>
      <c r="BO99">
        <v>33780128</v>
      </c>
      <c r="BP99">
        <v>20807080</v>
      </c>
      <c r="BQ99">
        <v>17382000</v>
      </c>
      <c r="BR99">
        <v>11403344</v>
      </c>
      <c r="BS99">
        <v>5859670.5</v>
      </c>
      <c r="BT99">
        <v>5241871</v>
      </c>
      <c r="BU99">
        <v>23500294</v>
      </c>
      <c r="BV99">
        <v>25443132</v>
      </c>
      <c r="BW99">
        <v>15755118</v>
      </c>
      <c r="BX99">
        <v>26848340</v>
      </c>
      <c r="BY99">
        <v>25648966</v>
      </c>
      <c r="BZ99">
        <v>16515924</v>
      </c>
      <c r="CA99">
        <v>19630700</v>
      </c>
      <c r="CB99">
        <v>10672031</v>
      </c>
      <c r="CC99">
        <v>2792115.75</v>
      </c>
      <c r="CD99" s="17" t="s">
        <v>1193</v>
      </c>
      <c r="CE99" s="21">
        <v>14209124</v>
      </c>
      <c r="CF99" s="21">
        <v>10563080</v>
      </c>
      <c r="CG99" s="19">
        <v>5713574</v>
      </c>
      <c r="CH99" s="19">
        <v>12336331</v>
      </c>
      <c r="CI99" s="21">
        <v>10694356</v>
      </c>
      <c r="CJ99" s="21">
        <v>11824234</v>
      </c>
      <c r="CK99" s="19">
        <v>8905302</v>
      </c>
      <c r="CL99" s="19">
        <v>8671044</v>
      </c>
      <c r="CM99" s="21">
        <v>7551041.5</v>
      </c>
      <c r="CN99" s="21">
        <v>8106503.5</v>
      </c>
      <c r="CO99" s="19">
        <v>7461513.5</v>
      </c>
      <c r="CP99" s="19">
        <v>7937997</v>
      </c>
      <c r="CQ99" s="21">
        <v>4106357</v>
      </c>
      <c r="CR99" s="21">
        <v>4278335</v>
      </c>
      <c r="CS99" s="19">
        <v>10246316</v>
      </c>
      <c r="CT99" s="19">
        <v>9188275</v>
      </c>
      <c r="CU99" s="21">
        <v>6083856</v>
      </c>
      <c r="CV99" s="21">
        <v>6408353</v>
      </c>
      <c r="CW99" s="19">
        <v>3300876</v>
      </c>
      <c r="CX99" s="19">
        <v>1875840.75</v>
      </c>
    </row>
    <row r="100" spans="1:102">
      <c r="A100">
        <v>31050</v>
      </c>
      <c r="B100" t="s">
        <v>641</v>
      </c>
      <c r="C100" t="s">
        <v>1194</v>
      </c>
      <c r="D100" t="s">
        <v>642</v>
      </c>
      <c r="F100" t="s">
        <v>643</v>
      </c>
      <c r="G100">
        <v>46.984999999999999</v>
      </c>
      <c r="H100" t="s">
        <v>104</v>
      </c>
      <c r="I100">
        <v>2</v>
      </c>
      <c r="J100">
        <v>8</v>
      </c>
      <c r="K100">
        <v>0</v>
      </c>
      <c r="L100">
        <v>0</v>
      </c>
      <c r="M100">
        <v>0</v>
      </c>
      <c r="N100">
        <v>-1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1</v>
      </c>
      <c r="Y100">
        <v>3</v>
      </c>
      <c r="Z100">
        <v>3</v>
      </c>
      <c r="AA100">
        <v>3</v>
      </c>
      <c r="AB100">
        <v>3</v>
      </c>
      <c r="AC100">
        <v>3</v>
      </c>
      <c r="AD100">
        <v>2</v>
      </c>
      <c r="AE100">
        <v>2</v>
      </c>
      <c r="AF100">
        <v>3</v>
      </c>
      <c r="AG100">
        <v>3</v>
      </c>
      <c r="AH100">
        <v>3</v>
      </c>
      <c r="AI100">
        <v>3</v>
      </c>
      <c r="AJ100">
        <v>3</v>
      </c>
      <c r="AK100">
        <v>3</v>
      </c>
      <c r="AL100">
        <v>3</v>
      </c>
      <c r="AM100">
        <v>3</v>
      </c>
      <c r="AN100">
        <v>3</v>
      </c>
      <c r="AO100">
        <v>3</v>
      </c>
      <c r="AP100">
        <v>3</v>
      </c>
      <c r="AQ100">
        <v>3</v>
      </c>
      <c r="AR100">
        <v>0</v>
      </c>
      <c r="AS100">
        <v>1</v>
      </c>
      <c r="AT100">
        <v>2</v>
      </c>
      <c r="AU100">
        <v>4</v>
      </c>
      <c r="AV100">
        <v>3</v>
      </c>
      <c r="AW100">
        <v>2</v>
      </c>
      <c r="AX100">
        <v>2</v>
      </c>
      <c r="AY100">
        <v>2</v>
      </c>
      <c r="AZ100">
        <v>1</v>
      </c>
      <c r="BA100">
        <v>3</v>
      </c>
      <c r="BB100">
        <v>4</v>
      </c>
      <c r="BC100">
        <v>4</v>
      </c>
      <c r="BD100">
        <v>4</v>
      </c>
      <c r="BE100">
        <v>4</v>
      </c>
      <c r="BF100">
        <v>3</v>
      </c>
      <c r="BG100">
        <v>2</v>
      </c>
      <c r="BH100">
        <v>3</v>
      </c>
      <c r="BI100">
        <v>0</v>
      </c>
      <c r="BJ100">
        <v>4106894</v>
      </c>
      <c r="BK100">
        <v>3912103.75</v>
      </c>
      <c r="BL100">
        <v>19524.240000000002</v>
      </c>
      <c r="BM100">
        <v>996928.19</v>
      </c>
      <c r="BN100">
        <v>3513021.5</v>
      </c>
      <c r="BO100">
        <v>4198625.5</v>
      </c>
      <c r="BP100">
        <v>3199616.5</v>
      </c>
      <c r="BQ100">
        <v>3259007</v>
      </c>
      <c r="BR100">
        <v>1381562.5</v>
      </c>
      <c r="BS100">
        <v>1104842.6200000001</v>
      </c>
      <c r="BT100">
        <v>543503.06000000006</v>
      </c>
      <c r="BU100">
        <v>3462054.5</v>
      </c>
      <c r="BV100">
        <v>5764875.5</v>
      </c>
      <c r="BW100">
        <v>2337146.5</v>
      </c>
      <c r="BX100">
        <v>3376776</v>
      </c>
      <c r="BY100">
        <v>3252921.5</v>
      </c>
      <c r="BZ100">
        <v>2833096</v>
      </c>
      <c r="CA100">
        <v>3892284.5</v>
      </c>
      <c r="CB100">
        <v>1496261.62</v>
      </c>
      <c r="CC100">
        <v>559511.62</v>
      </c>
      <c r="CD100" s="17" t="s">
        <v>1194</v>
      </c>
      <c r="CE100" s="21">
        <v>4205382</v>
      </c>
      <c r="CF100" s="21">
        <v>2009782.12</v>
      </c>
      <c r="CG100" s="19">
        <v>2414843.75</v>
      </c>
      <c r="CH100" s="19">
        <v>5729338.5</v>
      </c>
      <c r="CI100" s="21">
        <v>2568183.75</v>
      </c>
      <c r="CJ100" s="21">
        <v>3194897.75</v>
      </c>
      <c r="CK100" s="19">
        <v>2256972.25</v>
      </c>
      <c r="CL100" s="19">
        <v>2632994</v>
      </c>
      <c r="CM100" s="21">
        <v>1522024.62</v>
      </c>
      <c r="CN100" s="21">
        <v>1654583.25</v>
      </c>
      <c r="CO100" s="19">
        <v>2042664.88</v>
      </c>
      <c r="CP100" s="19">
        <v>2287133.5</v>
      </c>
      <c r="CQ100" s="21">
        <v>970557.94</v>
      </c>
      <c r="CR100" s="21">
        <v>1226490.75</v>
      </c>
      <c r="CS100" s="19">
        <v>2469362</v>
      </c>
      <c r="CT100" s="19">
        <v>2368346</v>
      </c>
      <c r="CU100" s="21">
        <v>2544497</v>
      </c>
      <c r="CV100" s="21">
        <v>2757758.5</v>
      </c>
      <c r="CW100" s="19">
        <v>1076587</v>
      </c>
      <c r="CX100" s="19">
        <v>786321.06</v>
      </c>
    </row>
    <row r="101" spans="1:102">
      <c r="A101">
        <v>31041</v>
      </c>
      <c r="B101" t="s">
        <v>769</v>
      </c>
      <c r="C101" t="s">
        <v>1197</v>
      </c>
      <c r="D101" t="s">
        <v>770</v>
      </c>
      <c r="F101" t="s">
        <v>771</v>
      </c>
      <c r="G101">
        <v>11.45</v>
      </c>
      <c r="H101" t="s">
        <v>104</v>
      </c>
      <c r="I101">
        <v>2</v>
      </c>
      <c r="J101">
        <v>3</v>
      </c>
      <c r="K101">
        <v>0</v>
      </c>
      <c r="L101">
        <v>0</v>
      </c>
      <c r="M101">
        <v>0</v>
      </c>
      <c r="N101">
        <v>-1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W101">
        <v>1</v>
      </c>
      <c r="Z101">
        <v>1</v>
      </c>
      <c r="AA101">
        <v>1</v>
      </c>
      <c r="AD101">
        <v>1</v>
      </c>
      <c r="AE101">
        <v>1</v>
      </c>
      <c r="AG101">
        <v>1</v>
      </c>
      <c r="AH101">
        <v>1</v>
      </c>
      <c r="AI101">
        <v>1</v>
      </c>
      <c r="AK101">
        <v>1</v>
      </c>
      <c r="AM101">
        <v>1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K101">
        <v>126569.83</v>
      </c>
      <c r="BN101">
        <v>80730.77</v>
      </c>
      <c r="BO101">
        <v>163634</v>
      </c>
      <c r="BR101">
        <v>96925.54</v>
      </c>
      <c r="BS101">
        <v>123675.86</v>
      </c>
      <c r="BU101">
        <v>74300.12</v>
      </c>
      <c r="BV101">
        <v>53810.64</v>
      </c>
      <c r="BW101">
        <v>157794.04999999999</v>
      </c>
      <c r="BY101">
        <v>137102.20000000001</v>
      </c>
      <c r="CA101">
        <v>67875.95</v>
      </c>
      <c r="CB101">
        <v>130291.04</v>
      </c>
      <c r="CC101">
        <v>90674.18</v>
      </c>
      <c r="CD101" s="17" t="s">
        <v>1197</v>
      </c>
      <c r="CE101" s="21">
        <v>311941.62</v>
      </c>
      <c r="CF101" s="21">
        <v>342208.75</v>
      </c>
      <c r="CG101" s="19">
        <v>1861110.38</v>
      </c>
      <c r="CH101" s="19">
        <v>53642.85</v>
      </c>
      <c r="CI101" s="21">
        <v>58864.2</v>
      </c>
      <c r="CJ101" s="21">
        <v>225422.34</v>
      </c>
      <c r="CK101" s="19">
        <v>283374.34000000003</v>
      </c>
      <c r="CL101" s="19">
        <v>317038.59000000003</v>
      </c>
      <c r="CM101" s="21">
        <v>92977.48</v>
      </c>
      <c r="CN101" s="21">
        <v>142919.89000000001</v>
      </c>
      <c r="CO101" s="19">
        <v>68381.77</v>
      </c>
      <c r="CP101" s="19">
        <v>51306.07</v>
      </c>
      <c r="CQ101" s="21">
        <v>191651.27</v>
      </c>
      <c r="CR101" s="21">
        <v>89229.75</v>
      </c>
      <c r="CS101" s="19">
        <v>98808.95</v>
      </c>
      <c r="CT101" s="19">
        <v>100134.16</v>
      </c>
      <c r="CU101" s="21">
        <v>281040.15999999997</v>
      </c>
      <c r="CV101" s="21">
        <v>49520.85</v>
      </c>
      <c r="CW101" s="19">
        <v>104592.41</v>
      </c>
      <c r="CX101" s="19">
        <v>118594.33</v>
      </c>
    </row>
    <row r="102" spans="1:102">
      <c r="A102">
        <v>31032</v>
      </c>
      <c r="B102" t="s">
        <v>231</v>
      </c>
      <c r="C102" t="s">
        <v>1198</v>
      </c>
      <c r="D102" t="s">
        <v>231</v>
      </c>
      <c r="F102" t="s">
        <v>232</v>
      </c>
      <c r="G102">
        <v>812.81500000000005</v>
      </c>
      <c r="H102" t="s">
        <v>104</v>
      </c>
      <c r="I102">
        <v>2</v>
      </c>
      <c r="J102">
        <v>1</v>
      </c>
      <c r="K102">
        <v>0</v>
      </c>
      <c r="L102">
        <v>0</v>
      </c>
      <c r="M102">
        <v>0</v>
      </c>
      <c r="N102">
        <v>-1</v>
      </c>
      <c r="O102">
        <v>18</v>
      </c>
      <c r="P102">
        <v>1</v>
      </c>
      <c r="Q102">
        <v>20</v>
      </c>
      <c r="R102">
        <v>1</v>
      </c>
      <c r="S102">
        <v>20</v>
      </c>
      <c r="T102">
        <v>1</v>
      </c>
      <c r="U102">
        <v>1</v>
      </c>
      <c r="V102">
        <v>1</v>
      </c>
      <c r="W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708939264</v>
      </c>
      <c r="BK102">
        <v>1688191488</v>
      </c>
      <c r="BL102">
        <v>5065200</v>
      </c>
      <c r="BM102">
        <v>472355264</v>
      </c>
      <c r="BN102">
        <v>472266016</v>
      </c>
      <c r="BO102">
        <v>1184764928</v>
      </c>
      <c r="BP102">
        <v>392730272</v>
      </c>
      <c r="BQ102">
        <v>1049550272</v>
      </c>
      <c r="BR102">
        <v>345422592</v>
      </c>
      <c r="BS102">
        <v>884010624</v>
      </c>
      <c r="BT102">
        <v>230691280</v>
      </c>
      <c r="BU102">
        <v>1297196416</v>
      </c>
      <c r="BV102">
        <v>849321344</v>
      </c>
      <c r="BW102">
        <v>917113088</v>
      </c>
      <c r="BX102">
        <v>458668896</v>
      </c>
      <c r="BY102">
        <v>988516224</v>
      </c>
      <c r="BZ102">
        <v>316711296</v>
      </c>
      <c r="CA102">
        <v>1124438144</v>
      </c>
      <c r="CB102">
        <v>304630496</v>
      </c>
      <c r="CC102">
        <v>1028137664</v>
      </c>
      <c r="CD102" s="17" t="s">
        <v>1198</v>
      </c>
      <c r="CE102" s="21">
        <v>348380.06</v>
      </c>
      <c r="CF102" s="21">
        <v>249506.5</v>
      </c>
      <c r="CG102" s="19">
        <v>1861110.38</v>
      </c>
      <c r="CH102" s="19">
        <v>120363.29</v>
      </c>
      <c r="CI102" s="21">
        <v>179399.88</v>
      </c>
      <c r="CJ102" s="21">
        <v>157522.75</v>
      </c>
      <c r="CK102" s="19">
        <v>101531.45</v>
      </c>
      <c r="CL102" s="19">
        <v>159546.48000000001</v>
      </c>
      <c r="CM102" s="21">
        <v>96021.3</v>
      </c>
      <c r="CN102" s="21">
        <v>135534.88</v>
      </c>
      <c r="CO102" s="19">
        <v>218411.14</v>
      </c>
      <c r="CP102" s="19">
        <v>199057.8</v>
      </c>
      <c r="CQ102" s="21">
        <v>132036.66</v>
      </c>
      <c r="CR102" s="21">
        <v>163728.16</v>
      </c>
      <c r="CS102" s="19">
        <v>235089.39</v>
      </c>
      <c r="CT102" s="19">
        <v>224368.03</v>
      </c>
      <c r="CU102" s="21">
        <v>199921.2</v>
      </c>
      <c r="CV102" s="21">
        <v>194144.53</v>
      </c>
      <c r="CW102" s="19">
        <v>260106.58</v>
      </c>
      <c r="CX102" s="19">
        <v>203018.88</v>
      </c>
    </row>
    <row r="103" spans="1:102">
      <c r="A103">
        <v>31030</v>
      </c>
      <c r="B103" t="s">
        <v>216</v>
      </c>
      <c r="C103" t="s">
        <v>1198</v>
      </c>
      <c r="D103" t="s">
        <v>216</v>
      </c>
      <c r="F103" t="s">
        <v>217</v>
      </c>
      <c r="G103">
        <v>910.77499999999998</v>
      </c>
      <c r="H103" t="s">
        <v>104</v>
      </c>
      <c r="I103">
        <v>2</v>
      </c>
      <c r="J103">
        <v>1</v>
      </c>
      <c r="K103">
        <v>0</v>
      </c>
      <c r="L103">
        <v>0</v>
      </c>
      <c r="M103">
        <v>0</v>
      </c>
      <c r="N103">
        <v>-1</v>
      </c>
      <c r="O103">
        <v>20</v>
      </c>
      <c r="P103">
        <v>1</v>
      </c>
      <c r="Q103">
        <v>22</v>
      </c>
      <c r="R103">
        <v>1</v>
      </c>
      <c r="S103">
        <v>22</v>
      </c>
      <c r="T103">
        <v>1</v>
      </c>
      <c r="U103">
        <v>1</v>
      </c>
      <c r="V103">
        <v>1</v>
      </c>
      <c r="W103">
        <v>1</v>
      </c>
      <c r="Y103">
        <v>1</v>
      </c>
      <c r="Z103">
        <v>1</v>
      </c>
      <c r="AA103">
        <v>1</v>
      </c>
      <c r="AD103">
        <v>1</v>
      </c>
      <c r="AE103">
        <v>1</v>
      </c>
      <c r="AF103">
        <v>1</v>
      </c>
      <c r="AG103">
        <v>1</v>
      </c>
      <c r="AI103">
        <v>1</v>
      </c>
      <c r="AJ103">
        <v>1</v>
      </c>
      <c r="AK103">
        <v>1</v>
      </c>
      <c r="AL103">
        <v>1</v>
      </c>
      <c r="AN103">
        <v>1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768330112</v>
      </c>
      <c r="BK103">
        <v>1795394304</v>
      </c>
      <c r="BL103">
        <v>5235375.5</v>
      </c>
      <c r="BM103">
        <v>502993632</v>
      </c>
      <c r="BN103">
        <v>512814880</v>
      </c>
      <c r="BO103">
        <v>1260680704</v>
      </c>
      <c r="BP103">
        <v>420827168</v>
      </c>
      <c r="BQ103">
        <v>1104077056</v>
      </c>
      <c r="BR103">
        <v>374720224</v>
      </c>
      <c r="BS103">
        <v>941629440</v>
      </c>
      <c r="BT103">
        <v>244054512</v>
      </c>
      <c r="BU103">
        <v>1387060352</v>
      </c>
      <c r="BV103">
        <v>899786176</v>
      </c>
      <c r="BW103">
        <v>982383360</v>
      </c>
      <c r="BX103">
        <v>495061280</v>
      </c>
      <c r="BY103">
        <v>1057876096</v>
      </c>
      <c r="BZ103">
        <v>335717568</v>
      </c>
      <c r="CA103">
        <v>1160114048</v>
      </c>
      <c r="CB103">
        <v>316821600</v>
      </c>
      <c r="CC103">
        <v>1082346240</v>
      </c>
      <c r="CD103" s="17" t="s">
        <v>1198</v>
      </c>
      <c r="CE103" s="21">
        <v>462589.59</v>
      </c>
      <c r="CF103" s="21">
        <v>250544.2</v>
      </c>
      <c r="CG103" s="19">
        <v>1861110.38</v>
      </c>
      <c r="CH103" s="19">
        <v>384147.09</v>
      </c>
      <c r="CI103" s="21">
        <v>192403.52</v>
      </c>
      <c r="CJ103" s="21">
        <v>219806.36</v>
      </c>
      <c r="CK103" s="19">
        <v>283374.34000000003</v>
      </c>
      <c r="CL103" s="19">
        <v>217754.12</v>
      </c>
      <c r="CM103" s="21">
        <v>229441.66</v>
      </c>
      <c r="CN103" s="21">
        <v>258297.05</v>
      </c>
      <c r="CO103" s="19">
        <v>238782.88</v>
      </c>
      <c r="CP103" s="19">
        <v>152554.67000000001</v>
      </c>
      <c r="CQ103" s="21">
        <v>170760.72</v>
      </c>
      <c r="CR103" s="21">
        <v>210977.39</v>
      </c>
      <c r="CS103" s="19">
        <v>192750.28</v>
      </c>
      <c r="CT103" s="19">
        <v>190224.92</v>
      </c>
      <c r="CU103" s="21">
        <v>281040.15999999997</v>
      </c>
      <c r="CV103" s="21">
        <v>245732.98</v>
      </c>
      <c r="CW103" s="19">
        <v>241179.38</v>
      </c>
      <c r="CX103" s="19">
        <v>310892.5</v>
      </c>
    </row>
    <row r="104" spans="1:102">
      <c r="A104">
        <v>31155</v>
      </c>
      <c r="B104" t="s">
        <v>1086</v>
      </c>
      <c r="C104" t="s">
        <v>1200</v>
      </c>
      <c r="D104" t="s">
        <v>1086</v>
      </c>
      <c r="F104" t="s">
        <v>1087</v>
      </c>
      <c r="G104">
        <v>10.109</v>
      </c>
      <c r="H104" t="s">
        <v>104</v>
      </c>
      <c r="I104">
        <v>2</v>
      </c>
      <c r="J104">
        <v>1</v>
      </c>
      <c r="K104">
        <v>0</v>
      </c>
      <c r="L104">
        <v>0</v>
      </c>
      <c r="M104">
        <v>0</v>
      </c>
      <c r="N104">
        <v>-1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174102.22</v>
      </c>
      <c r="BK104">
        <v>355391.5</v>
      </c>
      <c r="BM104">
        <v>107150.63</v>
      </c>
      <c r="BN104">
        <v>279319.78000000003</v>
      </c>
      <c r="BO104">
        <v>324370.65999999997</v>
      </c>
      <c r="BP104">
        <v>185959.62</v>
      </c>
      <c r="BQ104">
        <v>100166.58</v>
      </c>
      <c r="BR104">
        <v>78725.03</v>
      </c>
      <c r="BS104">
        <v>80948.58</v>
      </c>
      <c r="BT104">
        <v>42217.96</v>
      </c>
      <c r="BU104">
        <v>283243.46999999997</v>
      </c>
      <c r="BV104">
        <v>170122.88</v>
      </c>
      <c r="BW104">
        <v>328223.62</v>
      </c>
      <c r="BX104">
        <v>220030.44</v>
      </c>
      <c r="BY104">
        <v>263605.44</v>
      </c>
      <c r="BZ104">
        <v>196118.52</v>
      </c>
      <c r="CA104">
        <v>335707.88</v>
      </c>
      <c r="CB104">
        <v>79185.69</v>
      </c>
      <c r="CC104">
        <v>85487.06</v>
      </c>
      <c r="CD104" s="17" t="s">
        <v>1200</v>
      </c>
      <c r="CE104" s="21">
        <v>174102.22</v>
      </c>
      <c r="CF104" s="21">
        <v>149555.20000000001</v>
      </c>
      <c r="CG104" s="19">
        <v>1861110.38</v>
      </c>
      <c r="CH104" s="19">
        <v>169592.41</v>
      </c>
      <c r="CI104" s="21">
        <v>203663.8</v>
      </c>
      <c r="CJ104" s="21">
        <v>208054.16</v>
      </c>
      <c r="CK104" s="19">
        <v>134975.35999999999</v>
      </c>
      <c r="CL104" s="19">
        <v>184420.16</v>
      </c>
      <c r="CM104" s="21">
        <v>75518.33</v>
      </c>
      <c r="CN104" s="21">
        <v>86860.99</v>
      </c>
      <c r="CO104" s="19">
        <v>192007.05</v>
      </c>
      <c r="CP104" s="19">
        <v>195586.62</v>
      </c>
      <c r="CQ104" s="21">
        <v>111060.75</v>
      </c>
      <c r="CR104" s="21">
        <v>185604.67</v>
      </c>
      <c r="CS104" s="19">
        <v>195868.36</v>
      </c>
      <c r="CT104" s="19">
        <v>192527.23</v>
      </c>
      <c r="CU104" s="21">
        <v>81473.210000000006</v>
      </c>
      <c r="CV104" s="21">
        <v>244925.33</v>
      </c>
      <c r="CW104" s="19">
        <v>68458.039999999994</v>
      </c>
      <c r="CX104" s="19">
        <v>111810.01</v>
      </c>
    </row>
    <row r="105" spans="1:102">
      <c r="A105">
        <v>31055</v>
      </c>
      <c r="B105" t="s">
        <v>390</v>
      </c>
      <c r="C105" t="s">
        <v>1201</v>
      </c>
      <c r="D105" t="s">
        <v>391</v>
      </c>
      <c r="E105" t="s">
        <v>392</v>
      </c>
      <c r="F105" t="s">
        <v>393</v>
      </c>
      <c r="G105">
        <v>403.59199999999998</v>
      </c>
      <c r="H105" t="s">
        <v>104</v>
      </c>
      <c r="I105">
        <v>2</v>
      </c>
      <c r="J105">
        <v>19</v>
      </c>
      <c r="K105">
        <v>1</v>
      </c>
      <c r="L105">
        <v>0</v>
      </c>
      <c r="M105">
        <v>0</v>
      </c>
      <c r="N105">
        <v>-1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10</v>
      </c>
      <c r="V105">
        <v>10</v>
      </c>
      <c r="W105">
        <v>10</v>
      </c>
      <c r="X105">
        <v>10</v>
      </c>
      <c r="Y105">
        <v>9</v>
      </c>
      <c r="Z105">
        <v>10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10</v>
      </c>
      <c r="AI105">
        <v>9</v>
      </c>
      <c r="AJ105">
        <v>9</v>
      </c>
      <c r="AK105">
        <v>9</v>
      </c>
      <c r="AL105">
        <v>9</v>
      </c>
      <c r="AM105">
        <v>10</v>
      </c>
      <c r="AN105">
        <v>9</v>
      </c>
      <c r="AO105">
        <v>9</v>
      </c>
      <c r="AP105">
        <v>41</v>
      </c>
      <c r="AQ105">
        <v>14</v>
      </c>
      <c r="AR105">
        <v>0</v>
      </c>
      <c r="AS105">
        <v>14</v>
      </c>
      <c r="AT105">
        <v>19</v>
      </c>
      <c r="AU105">
        <v>18</v>
      </c>
      <c r="AV105">
        <v>16</v>
      </c>
      <c r="AW105">
        <v>20</v>
      </c>
      <c r="AX105">
        <v>18</v>
      </c>
      <c r="AY105">
        <v>19</v>
      </c>
      <c r="AZ105">
        <v>16</v>
      </c>
      <c r="BA105">
        <v>12</v>
      </c>
      <c r="BB105">
        <v>25</v>
      </c>
      <c r="BC105">
        <v>17</v>
      </c>
      <c r="BD105">
        <v>16</v>
      </c>
      <c r="BE105">
        <v>18</v>
      </c>
      <c r="BF105">
        <v>12</v>
      </c>
      <c r="BG105">
        <v>21</v>
      </c>
      <c r="BH105">
        <v>18</v>
      </c>
      <c r="BI105">
        <v>15</v>
      </c>
      <c r="BJ105">
        <v>360379712</v>
      </c>
      <c r="BK105">
        <v>73117040</v>
      </c>
      <c r="BL105">
        <v>961390.56</v>
      </c>
      <c r="BM105">
        <v>55236680</v>
      </c>
      <c r="BN105">
        <v>137634000</v>
      </c>
      <c r="BO105">
        <v>141178640</v>
      </c>
      <c r="BP105">
        <v>120745848</v>
      </c>
      <c r="BQ105">
        <v>246861664</v>
      </c>
      <c r="BR105">
        <v>118142648</v>
      </c>
      <c r="BS105">
        <v>112016224</v>
      </c>
      <c r="BT105">
        <v>85607648</v>
      </c>
      <c r="BU105">
        <v>61740436</v>
      </c>
      <c r="BV105">
        <v>223735072</v>
      </c>
      <c r="BW105">
        <v>114757328</v>
      </c>
      <c r="BX105">
        <v>100732648</v>
      </c>
      <c r="BY105">
        <v>120218792</v>
      </c>
      <c r="BZ105">
        <v>79966264</v>
      </c>
      <c r="CA105">
        <v>260130208</v>
      </c>
      <c r="CB105">
        <v>80651784</v>
      </c>
      <c r="CC105">
        <v>89799416</v>
      </c>
      <c r="CD105" s="17" t="s">
        <v>1201</v>
      </c>
      <c r="CE105" s="21">
        <v>363950272</v>
      </c>
      <c r="CF105" s="21">
        <v>261664688</v>
      </c>
      <c r="CG105" s="19">
        <v>98686760</v>
      </c>
      <c r="CH105" s="19">
        <v>236602720</v>
      </c>
      <c r="CI105" s="21">
        <v>105749624</v>
      </c>
      <c r="CJ105" s="21">
        <v>106133184</v>
      </c>
      <c r="CK105" s="19">
        <v>92369112</v>
      </c>
      <c r="CL105" s="19">
        <v>80730584</v>
      </c>
      <c r="CM105" s="21">
        <v>115816864</v>
      </c>
      <c r="CN105" s="21">
        <v>94683048</v>
      </c>
      <c r="CO105" s="19">
        <v>40070504</v>
      </c>
      <c r="CP105" s="19">
        <v>43585408</v>
      </c>
      <c r="CQ105" s="21">
        <v>58537008</v>
      </c>
      <c r="CR105" s="21">
        <v>69024384</v>
      </c>
      <c r="CS105" s="19">
        <v>84908136</v>
      </c>
      <c r="CT105" s="19">
        <v>95341568</v>
      </c>
      <c r="CU105" s="21">
        <v>216331504</v>
      </c>
      <c r="CV105" s="21">
        <v>208628800</v>
      </c>
      <c r="CW105" s="19">
        <v>98830064</v>
      </c>
      <c r="CX105" s="19">
        <v>135090976</v>
      </c>
    </row>
    <row r="106" spans="1:102">
      <c r="A106">
        <v>31146</v>
      </c>
      <c r="B106" t="s">
        <v>1103</v>
      </c>
      <c r="C106" t="s">
        <v>1202</v>
      </c>
      <c r="D106" t="s">
        <v>1104</v>
      </c>
      <c r="F106" t="s">
        <v>1105</v>
      </c>
      <c r="G106">
        <v>4.0250000000000004</v>
      </c>
      <c r="H106" t="s">
        <v>104</v>
      </c>
      <c r="I106">
        <v>2</v>
      </c>
      <c r="J106">
        <v>3</v>
      </c>
      <c r="K106">
        <v>0</v>
      </c>
      <c r="L106">
        <v>0</v>
      </c>
      <c r="M106">
        <v>0</v>
      </c>
      <c r="N106">
        <v>-1</v>
      </c>
      <c r="O106">
        <v>2</v>
      </c>
      <c r="P106">
        <v>2</v>
      </c>
      <c r="Q106">
        <v>2</v>
      </c>
      <c r="R106">
        <v>2</v>
      </c>
      <c r="S106">
        <v>2</v>
      </c>
      <c r="T106">
        <v>2</v>
      </c>
      <c r="U106">
        <v>2</v>
      </c>
      <c r="V106">
        <v>2</v>
      </c>
      <c r="W106">
        <v>2</v>
      </c>
      <c r="Y106">
        <v>1</v>
      </c>
      <c r="Z106">
        <v>2</v>
      </c>
      <c r="AA106">
        <v>2</v>
      </c>
      <c r="AB106">
        <v>1</v>
      </c>
      <c r="AC106">
        <v>2</v>
      </c>
      <c r="AD106">
        <v>1</v>
      </c>
      <c r="AE106">
        <v>1</v>
      </c>
      <c r="AF106">
        <v>2</v>
      </c>
      <c r="AG106">
        <v>2</v>
      </c>
      <c r="AH106">
        <v>2</v>
      </c>
      <c r="AI106">
        <v>1</v>
      </c>
      <c r="AJ106">
        <v>2</v>
      </c>
      <c r="AK106">
        <v>2</v>
      </c>
      <c r="AL106">
        <v>1</v>
      </c>
      <c r="AM106">
        <v>2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2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  <c r="BJ106">
        <v>1006946</v>
      </c>
      <c r="BK106">
        <v>1673482.38</v>
      </c>
      <c r="BM106">
        <v>268838.12</v>
      </c>
      <c r="BN106">
        <v>2136946.25</v>
      </c>
      <c r="BO106">
        <v>1588197.5</v>
      </c>
      <c r="BP106">
        <v>741175.31</v>
      </c>
      <c r="BQ106">
        <v>1245798.3799999999</v>
      </c>
      <c r="BR106">
        <v>526667.68999999994</v>
      </c>
      <c r="BS106">
        <v>216839.77</v>
      </c>
      <c r="BT106">
        <v>269493.19</v>
      </c>
      <c r="BU106">
        <v>1289008</v>
      </c>
      <c r="BV106">
        <v>1545270.38</v>
      </c>
      <c r="BW106">
        <v>568871.31000000006</v>
      </c>
      <c r="BX106">
        <v>1804800.5</v>
      </c>
      <c r="BY106">
        <v>1605294</v>
      </c>
      <c r="BZ106">
        <v>783409.62</v>
      </c>
      <c r="CA106">
        <v>1308695.6200000001</v>
      </c>
      <c r="CB106">
        <v>363776.81</v>
      </c>
      <c r="CC106">
        <v>94961.69</v>
      </c>
      <c r="CD106" s="17" t="s">
        <v>1202</v>
      </c>
      <c r="CE106" s="21">
        <v>884447.31</v>
      </c>
      <c r="CF106" s="21">
        <v>1046373.06</v>
      </c>
      <c r="CG106" s="19">
        <v>1861110.38</v>
      </c>
      <c r="CH106" s="19">
        <v>1649921</v>
      </c>
      <c r="CI106" s="21">
        <v>1437157</v>
      </c>
      <c r="CJ106" s="21">
        <v>2155105.5</v>
      </c>
      <c r="CK106" s="19">
        <v>262719.88</v>
      </c>
      <c r="CL106" s="19">
        <v>468994.28</v>
      </c>
      <c r="CM106" s="21">
        <v>234508.2</v>
      </c>
      <c r="CN106" s="21">
        <v>298200.59000000003</v>
      </c>
      <c r="CO106" s="19">
        <v>889715.06</v>
      </c>
      <c r="CP106" s="19">
        <v>1126136.75</v>
      </c>
      <c r="CQ106" s="21">
        <v>197607.94</v>
      </c>
      <c r="CR106" s="21">
        <v>182575.17</v>
      </c>
      <c r="CS106" s="19">
        <v>909090.06</v>
      </c>
      <c r="CT106" s="19">
        <v>1342642</v>
      </c>
      <c r="CU106" s="21">
        <v>1104035.75</v>
      </c>
      <c r="CV106" s="21">
        <v>1471310.12</v>
      </c>
      <c r="CW106" s="19">
        <v>145346.45000000001</v>
      </c>
      <c r="CX106" s="19">
        <v>101018.79</v>
      </c>
    </row>
    <row r="107" spans="1:102">
      <c r="A107">
        <v>31098</v>
      </c>
      <c r="B107" t="s">
        <v>1080</v>
      </c>
      <c r="C107" t="s">
        <v>1203</v>
      </c>
      <c r="D107" t="s">
        <v>1081</v>
      </c>
      <c r="F107" t="s">
        <v>1082</v>
      </c>
      <c r="G107">
        <v>10.247</v>
      </c>
      <c r="H107" t="s">
        <v>104</v>
      </c>
      <c r="I107">
        <v>2</v>
      </c>
      <c r="J107">
        <v>2</v>
      </c>
      <c r="K107">
        <v>0</v>
      </c>
      <c r="L107">
        <v>0</v>
      </c>
      <c r="M107">
        <v>0</v>
      </c>
      <c r="N107">
        <v>-1</v>
      </c>
      <c r="O107">
        <v>3</v>
      </c>
      <c r="P107">
        <v>3</v>
      </c>
      <c r="Q107">
        <v>3</v>
      </c>
      <c r="R107">
        <v>3</v>
      </c>
      <c r="S107">
        <v>3</v>
      </c>
      <c r="T107">
        <v>3</v>
      </c>
      <c r="U107">
        <v>3</v>
      </c>
      <c r="V107">
        <v>3</v>
      </c>
      <c r="W107">
        <v>2</v>
      </c>
      <c r="Y107">
        <v>3</v>
      </c>
      <c r="Z107">
        <v>3</v>
      </c>
      <c r="AA107">
        <v>3</v>
      </c>
      <c r="AB107">
        <v>3</v>
      </c>
      <c r="AC107">
        <v>3</v>
      </c>
      <c r="AD107">
        <v>3</v>
      </c>
      <c r="AE107">
        <v>3</v>
      </c>
      <c r="AF107">
        <v>3</v>
      </c>
      <c r="AG107">
        <v>3</v>
      </c>
      <c r="AH107">
        <v>3</v>
      </c>
      <c r="AI107">
        <v>3</v>
      </c>
      <c r="AJ107">
        <v>3</v>
      </c>
      <c r="AK107">
        <v>3</v>
      </c>
      <c r="AL107">
        <v>3</v>
      </c>
      <c r="AM107">
        <v>3</v>
      </c>
      <c r="AN107">
        <v>3</v>
      </c>
      <c r="AO107">
        <v>3</v>
      </c>
      <c r="AP107">
        <v>1</v>
      </c>
      <c r="AQ107">
        <v>0</v>
      </c>
      <c r="AR107">
        <v>0</v>
      </c>
      <c r="AS107">
        <v>1</v>
      </c>
      <c r="AT107">
        <v>0</v>
      </c>
      <c r="AU107">
        <v>2</v>
      </c>
      <c r="AV107">
        <v>1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2</v>
      </c>
      <c r="BD107">
        <v>0</v>
      </c>
      <c r="BE107">
        <v>2</v>
      </c>
      <c r="BF107">
        <v>0</v>
      </c>
      <c r="BG107">
        <v>0</v>
      </c>
      <c r="BH107">
        <v>1</v>
      </c>
      <c r="BI107">
        <v>0</v>
      </c>
      <c r="BJ107">
        <v>1271023.1200000001</v>
      </c>
      <c r="BK107">
        <v>1219933.5</v>
      </c>
      <c r="BM107">
        <v>968041.69</v>
      </c>
      <c r="BN107">
        <v>823430.5</v>
      </c>
      <c r="BO107">
        <v>1968263</v>
      </c>
      <c r="BP107">
        <v>2248310.5</v>
      </c>
      <c r="BQ107">
        <v>968151.5</v>
      </c>
      <c r="BR107">
        <v>1166137.75</v>
      </c>
      <c r="BS107">
        <v>1161393.75</v>
      </c>
      <c r="BT107">
        <v>326829.06</v>
      </c>
      <c r="BU107">
        <v>1172193.8799999999</v>
      </c>
      <c r="BV107">
        <v>747117.81</v>
      </c>
      <c r="BW107">
        <v>3147509.5</v>
      </c>
      <c r="BX107">
        <v>837419.06</v>
      </c>
      <c r="BY107">
        <v>1399025.38</v>
      </c>
      <c r="BZ107">
        <v>772606.12</v>
      </c>
      <c r="CA107">
        <v>1152334</v>
      </c>
      <c r="CB107">
        <v>1186323.25</v>
      </c>
      <c r="CC107">
        <v>1128066.1200000001</v>
      </c>
      <c r="CD107" s="17" t="s">
        <v>1203</v>
      </c>
      <c r="CE107" s="21">
        <v>1239537.6200000001</v>
      </c>
      <c r="CF107" s="21">
        <v>743970.38</v>
      </c>
      <c r="CG107" s="19">
        <v>1861110.38</v>
      </c>
      <c r="CH107" s="19">
        <v>801601.44</v>
      </c>
      <c r="CI107" s="21">
        <v>654958.25</v>
      </c>
      <c r="CJ107" s="21">
        <v>848228.38</v>
      </c>
      <c r="CK107" s="19">
        <v>1444765.38</v>
      </c>
      <c r="CL107" s="19">
        <v>1239537.6200000001</v>
      </c>
      <c r="CM107" s="21">
        <v>1060534.8799999999</v>
      </c>
      <c r="CN107" s="21">
        <v>1172269.25</v>
      </c>
      <c r="CO107" s="19">
        <v>795403.19</v>
      </c>
      <c r="CP107" s="19">
        <v>865271.75</v>
      </c>
      <c r="CQ107" s="21">
        <v>1052730.75</v>
      </c>
      <c r="CR107" s="21">
        <v>1628114.38</v>
      </c>
      <c r="CS107" s="19">
        <v>1171269.75</v>
      </c>
      <c r="CT107" s="19">
        <v>1189275.5</v>
      </c>
      <c r="CU107" s="21">
        <v>779998.31</v>
      </c>
      <c r="CV107" s="21">
        <v>868541.25</v>
      </c>
      <c r="CW107" s="19">
        <v>1027502.62</v>
      </c>
      <c r="CX107" s="19">
        <v>1260229.5</v>
      </c>
    </row>
    <row r="108" spans="1:102">
      <c r="A108">
        <v>31093</v>
      </c>
      <c r="B108" t="s">
        <v>623</v>
      </c>
      <c r="C108" t="s">
        <v>1204</v>
      </c>
      <c r="D108" t="s">
        <v>623</v>
      </c>
      <c r="E108" t="s">
        <v>624</v>
      </c>
      <c r="F108" t="s">
        <v>625</v>
      </c>
      <c r="G108">
        <v>55.158999999999999</v>
      </c>
      <c r="H108" t="s">
        <v>104</v>
      </c>
      <c r="I108">
        <v>2</v>
      </c>
      <c r="J108">
        <v>1</v>
      </c>
      <c r="K108">
        <v>1</v>
      </c>
      <c r="L108">
        <v>0</v>
      </c>
      <c r="M108">
        <v>0</v>
      </c>
      <c r="N108">
        <v>-1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1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  <c r="AK108">
        <v>4</v>
      </c>
      <c r="AL108">
        <v>4</v>
      </c>
      <c r="AM108">
        <v>4</v>
      </c>
      <c r="AN108">
        <v>4</v>
      </c>
      <c r="AO108">
        <v>4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3</v>
      </c>
      <c r="AV108">
        <v>3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4</v>
      </c>
      <c r="BF108">
        <v>1</v>
      </c>
      <c r="BG108">
        <v>0</v>
      </c>
      <c r="BH108">
        <v>0</v>
      </c>
      <c r="BI108">
        <v>0</v>
      </c>
      <c r="BJ108">
        <v>1519881.12</v>
      </c>
      <c r="BK108">
        <v>1171558.6200000001</v>
      </c>
      <c r="BL108">
        <v>10297.6</v>
      </c>
      <c r="BM108">
        <v>508819.81</v>
      </c>
      <c r="BN108">
        <v>1428476.38</v>
      </c>
      <c r="BO108">
        <v>3152049.25</v>
      </c>
      <c r="BP108">
        <v>2674474</v>
      </c>
      <c r="BQ108">
        <v>692529.62</v>
      </c>
      <c r="BR108">
        <v>927960.44</v>
      </c>
      <c r="BS108">
        <v>877344.94</v>
      </c>
      <c r="BT108">
        <v>225715.20000000001</v>
      </c>
      <c r="BU108">
        <v>456826.44</v>
      </c>
      <c r="BV108">
        <v>454790.62</v>
      </c>
      <c r="BW108">
        <v>1098194.6200000001</v>
      </c>
      <c r="BX108">
        <v>785391</v>
      </c>
      <c r="BY108">
        <v>3926969</v>
      </c>
      <c r="BZ108">
        <v>1164172.75</v>
      </c>
      <c r="CA108">
        <v>588461.5</v>
      </c>
      <c r="CB108">
        <v>524172.81</v>
      </c>
      <c r="CC108">
        <v>644461.31000000006</v>
      </c>
      <c r="CD108" s="17" t="s">
        <v>1204</v>
      </c>
      <c r="CE108" s="21">
        <v>1242179.6200000001</v>
      </c>
      <c r="CF108" s="21">
        <v>769199.31</v>
      </c>
      <c r="CG108" s="19">
        <v>2424821.5</v>
      </c>
      <c r="CH108" s="19">
        <v>441501.5</v>
      </c>
      <c r="CI108" s="21">
        <v>1059021</v>
      </c>
      <c r="CJ108" s="21">
        <v>683834.5</v>
      </c>
      <c r="CK108" s="19">
        <v>1820099.88</v>
      </c>
      <c r="CL108" s="19">
        <v>1046165.06</v>
      </c>
      <c r="CM108" s="21">
        <v>807522.38</v>
      </c>
      <c r="CN108" s="21">
        <v>546047.31000000006</v>
      </c>
      <c r="CO108" s="19">
        <v>592402.12</v>
      </c>
      <c r="CP108" s="19">
        <v>363803.94</v>
      </c>
      <c r="CQ108" s="21">
        <v>601941.25</v>
      </c>
      <c r="CR108" s="21">
        <v>751796.62</v>
      </c>
      <c r="CS108" s="19">
        <v>1702470.75</v>
      </c>
      <c r="CT108" s="19">
        <v>2521608.75</v>
      </c>
      <c r="CU108" s="21">
        <v>527522.75</v>
      </c>
      <c r="CV108" s="21">
        <v>458125.69</v>
      </c>
      <c r="CW108" s="19">
        <v>648154.81000000006</v>
      </c>
      <c r="CX108" s="19">
        <v>845381.56</v>
      </c>
    </row>
    <row r="109" spans="1:102">
      <c r="A109">
        <v>30995</v>
      </c>
      <c r="B109" t="s">
        <v>693</v>
      </c>
      <c r="C109" t="s">
        <v>1205</v>
      </c>
      <c r="D109" t="s">
        <v>694</v>
      </c>
      <c r="F109" t="s">
        <v>695</v>
      </c>
      <c r="G109">
        <v>30.5</v>
      </c>
      <c r="H109" t="s">
        <v>104</v>
      </c>
      <c r="I109">
        <v>2</v>
      </c>
      <c r="J109">
        <v>21</v>
      </c>
      <c r="K109">
        <v>0</v>
      </c>
      <c r="L109">
        <v>0</v>
      </c>
      <c r="M109">
        <v>0</v>
      </c>
      <c r="N109">
        <v>-1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G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1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557554.18999999994</v>
      </c>
      <c r="BK109">
        <v>1020841.69</v>
      </c>
      <c r="BM109">
        <v>591340.25</v>
      </c>
      <c r="BN109">
        <v>242071.41</v>
      </c>
      <c r="BO109">
        <v>398308.56</v>
      </c>
      <c r="BP109">
        <v>444275.56</v>
      </c>
      <c r="BQ109">
        <v>448843.75</v>
      </c>
      <c r="BR109">
        <v>237675.41</v>
      </c>
      <c r="BS109">
        <v>236561.61</v>
      </c>
      <c r="BU109">
        <v>578909.75</v>
      </c>
      <c r="BW109">
        <v>1670203</v>
      </c>
      <c r="BX109">
        <v>236474.14</v>
      </c>
      <c r="BY109">
        <v>443634.78</v>
      </c>
      <c r="BZ109">
        <v>220964.7</v>
      </c>
      <c r="CA109">
        <v>680107.5</v>
      </c>
      <c r="CB109">
        <v>550954.56000000006</v>
      </c>
      <c r="CC109">
        <v>927987.88</v>
      </c>
      <c r="CD109" s="17" t="s">
        <v>1205</v>
      </c>
      <c r="CE109" s="21">
        <v>557554.18999999994</v>
      </c>
      <c r="CF109" s="21">
        <v>342208.75</v>
      </c>
      <c r="CG109" s="19">
        <v>1861110.38</v>
      </c>
      <c r="CH109" s="19">
        <v>384147.09</v>
      </c>
      <c r="CI109" s="21">
        <v>176504.44</v>
      </c>
      <c r="CJ109" s="21">
        <v>223602.81</v>
      </c>
      <c r="CK109" s="19">
        <v>322469.21999999997</v>
      </c>
      <c r="CL109" s="19">
        <v>207784.28</v>
      </c>
      <c r="CM109" s="21">
        <v>227994.19</v>
      </c>
      <c r="CN109" s="21">
        <v>604357.43999999994</v>
      </c>
      <c r="CO109" s="19">
        <v>551529.25</v>
      </c>
      <c r="CP109" s="19">
        <v>399751.5</v>
      </c>
      <c r="CQ109" s="21">
        <v>612919.25</v>
      </c>
      <c r="CR109" s="21">
        <v>944470.31</v>
      </c>
      <c r="CS109" s="19">
        <v>240515.09</v>
      </c>
      <c r="CT109" s="19">
        <v>324013.71999999997</v>
      </c>
      <c r="CU109" s="21">
        <v>365079.28</v>
      </c>
      <c r="CV109" s="21">
        <v>496191.97</v>
      </c>
      <c r="CW109" s="19">
        <v>200059.64</v>
      </c>
      <c r="CX109" s="19">
        <v>1213731.3799999999</v>
      </c>
    </row>
    <row r="110" spans="1:102">
      <c r="A110">
        <v>30911</v>
      </c>
      <c r="B110" t="s">
        <v>739</v>
      </c>
      <c r="C110" t="s">
        <v>1206</v>
      </c>
      <c r="D110" t="s">
        <v>740</v>
      </c>
      <c r="F110" t="s">
        <v>741</v>
      </c>
      <c r="G110">
        <v>22.027999999999999</v>
      </c>
      <c r="H110" t="s">
        <v>104</v>
      </c>
      <c r="I110">
        <v>2</v>
      </c>
      <c r="J110">
        <v>21</v>
      </c>
      <c r="K110">
        <v>0</v>
      </c>
      <c r="L110">
        <v>0</v>
      </c>
      <c r="M110">
        <v>0</v>
      </c>
      <c r="N110">
        <v>-1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1</v>
      </c>
      <c r="X110">
        <v>1</v>
      </c>
      <c r="Y110">
        <v>1</v>
      </c>
      <c r="AA110">
        <v>1</v>
      </c>
      <c r="AB110">
        <v>1</v>
      </c>
      <c r="AD110">
        <v>1</v>
      </c>
      <c r="AE110">
        <v>1</v>
      </c>
      <c r="AF110">
        <v>1</v>
      </c>
      <c r="AG110">
        <v>1</v>
      </c>
      <c r="AI110">
        <v>1</v>
      </c>
      <c r="AK110">
        <v>1</v>
      </c>
      <c r="AL110">
        <v>1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1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L110">
        <v>25890.09</v>
      </c>
      <c r="BM110">
        <v>164596.81</v>
      </c>
      <c r="BO110">
        <v>121364.48</v>
      </c>
      <c r="BP110">
        <v>225333.39</v>
      </c>
      <c r="BR110">
        <v>219611.88</v>
      </c>
      <c r="BS110">
        <v>238046.09</v>
      </c>
      <c r="BT110">
        <v>46819.98</v>
      </c>
      <c r="BU110">
        <v>353287.84</v>
      </c>
      <c r="BW110">
        <v>448268.66</v>
      </c>
      <c r="BY110">
        <v>234262.89</v>
      </c>
      <c r="BZ110">
        <v>134343.34</v>
      </c>
      <c r="CB110">
        <v>258798.3</v>
      </c>
      <c r="CC110">
        <v>260106.23</v>
      </c>
      <c r="CD110" s="17" t="s">
        <v>1206</v>
      </c>
      <c r="CE110" s="21">
        <v>311941.62</v>
      </c>
      <c r="CF110" s="21">
        <v>165857.66</v>
      </c>
      <c r="CG110" s="19">
        <v>2981052.25</v>
      </c>
      <c r="CH110" s="19">
        <v>384147.09</v>
      </c>
      <c r="CI110" s="21">
        <v>268122.19</v>
      </c>
      <c r="CJ110" s="21">
        <v>225422.34</v>
      </c>
      <c r="CK110" s="19">
        <v>163554.07999999999</v>
      </c>
      <c r="CL110" s="19">
        <v>126329.84</v>
      </c>
      <c r="CM110" s="21">
        <v>210666.44</v>
      </c>
      <c r="CN110" s="21">
        <v>283883.09000000003</v>
      </c>
      <c r="CO110" s="19">
        <v>204071.56</v>
      </c>
      <c r="CP110" s="19">
        <v>243954.02</v>
      </c>
      <c r="CQ110" s="21">
        <v>170603.23</v>
      </c>
      <c r="CR110" s="21">
        <v>253488.02</v>
      </c>
      <c r="CS110" s="19">
        <v>73284.88</v>
      </c>
      <c r="CT110" s="19">
        <v>171096.56</v>
      </c>
      <c r="CU110" s="21">
        <v>281040.15999999997</v>
      </c>
      <c r="CV110" s="21">
        <v>245732.98</v>
      </c>
      <c r="CW110" s="19">
        <v>201315.08</v>
      </c>
      <c r="CX110" s="19">
        <v>340197.44</v>
      </c>
    </row>
    <row r="111" spans="1:102">
      <c r="A111">
        <v>31007</v>
      </c>
      <c r="B111" t="s">
        <v>481</v>
      </c>
      <c r="C111" t="s">
        <v>1207</v>
      </c>
      <c r="D111" t="s">
        <v>482</v>
      </c>
      <c r="F111" t="s">
        <v>483</v>
      </c>
      <c r="G111">
        <v>202.46899999999999</v>
      </c>
      <c r="H111" t="s">
        <v>104</v>
      </c>
      <c r="I111">
        <v>2</v>
      </c>
      <c r="J111">
        <v>21</v>
      </c>
      <c r="K111">
        <v>0</v>
      </c>
      <c r="L111">
        <v>0</v>
      </c>
      <c r="M111">
        <v>0</v>
      </c>
      <c r="N111">
        <v>-1</v>
      </c>
      <c r="O111">
        <v>5</v>
      </c>
      <c r="P111">
        <v>5</v>
      </c>
      <c r="Q111">
        <v>5</v>
      </c>
      <c r="R111">
        <v>5</v>
      </c>
      <c r="S111">
        <v>5</v>
      </c>
      <c r="T111">
        <v>5</v>
      </c>
      <c r="U111">
        <v>5</v>
      </c>
      <c r="V111">
        <v>3</v>
      </c>
      <c r="W111">
        <v>4</v>
      </c>
      <c r="X111">
        <v>1</v>
      </c>
      <c r="Y111">
        <v>5</v>
      </c>
      <c r="Z111">
        <v>5</v>
      </c>
      <c r="AA111">
        <v>5</v>
      </c>
      <c r="AB111">
        <v>5</v>
      </c>
      <c r="AC111">
        <v>4</v>
      </c>
      <c r="AD111">
        <v>5</v>
      </c>
      <c r="AE111">
        <v>5</v>
      </c>
      <c r="AF111">
        <v>4</v>
      </c>
      <c r="AG111">
        <v>5</v>
      </c>
      <c r="AH111">
        <v>5</v>
      </c>
      <c r="AI111">
        <v>5</v>
      </c>
      <c r="AJ111">
        <v>4</v>
      </c>
      <c r="AK111">
        <v>5</v>
      </c>
      <c r="AL111">
        <v>5</v>
      </c>
      <c r="AM111">
        <v>3</v>
      </c>
      <c r="AN111">
        <v>5</v>
      </c>
      <c r="AO111">
        <v>5</v>
      </c>
      <c r="AP111">
        <v>0</v>
      </c>
      <c r="AQ111">
        <v>1</v>
      </c>
      <c r="AR111">
        <v>0</v>
      </c>
      <c r="AS111">
        <v>5</v>
      </c>
      <c r="AT111">
        <v>1</v>
      </c>
      <c r="AU111">
        <v>2</v>
      </c>
      <c r="AV111">
        <v>0</v>
      </c>
      <c r="AW111">
        <v>0</v>
      </c>
      <c r="AX111">
        <v>5</v>
      </c>
      <c r="AY111">
        <v>5</v>
      </c>
      <c r="AZ111">
        <v>0</v>
      </c>
      <c r="BA111">
        <v>2</v>
      </c>
      <c r="BB111">
        <v>1</v>
      </c>
      <c r="BC111">
        <v>5</v>
      </c>
      <c r="BD111">
        <v>0</v>
      </c>
      <c r="BE111">
        <v>3</v>
      </c>
      <c r="BF111">
        <v>1</v>
      </c>
      <c r="BG111">
        <v>0</v>
      </c>
      <c r="BH111">
        <v>3</v>
      </c>
      <c r="BI111">
        <v>5</v>
      </c>
      <c r="BJ111">
        <v>878276.12</v>
      </c>
      <c r="BK111">
        <v>2190453.25</v>
      </c>
      <c r="BL111">
        <v>93982.04</v>
      </c>
      <c r="BM111">
        <v>2822928.5</v>
      </c>
      <c r="BN111">
        <v>1573752</v>
      </c>
      <c r="BO111">
        <v>3027483</v>
      </c>
      <c r="BP111">
        <v>3001338.5</v>
      </c>
      <c r="BQ111">
        <v>1369476.88</v>
      </c>
      <c r="BR111">
        <v>2749596.25</v>
      </c>
      <c r="BS111">
        <v>2717165.5</v>
      </c>
      <c r="BT111">
        <v>498912.5</v>
      </c>
      <c r="BU111">
        <v>2600430.25</v>
      </c>
      <c r="BV111">
        <v>1367699.75</v>
      </c>
      <c r="BW111">
        <v>5356609</v>
      </c>
      <c r="BX111">
        <v>1339510.8799999999</v>
      </c>
      <c r="BY111">
        <v>2802108.5</v>
      </c>
      <c r="BZ111">
        <v>1756021.38</v>
      </c>
      <c r="CA111">
        <v>1192005.1200000001</v>
      </c>
      <c r="CB111">
        <v>2638898.5</v>
      </c>
      <c r="CC111">
        <v>2427062.75</v>
      </c>
      <c r="CD111" s="17" t="s">
        <v>1207</v>
      </c>
      <c r="CE111" s="21">
        <v>934081</v>
      </c>
      <c r="CF111" s="21">
        <v>2451556.75</v>
      </c>
      <c r="CG111" s="19">
        <v>3365949.25</v>
      </c>
      <c r="CH111" s="19">
        <v>1577550.38</v>
      </c>
      <c r="CI111" s="21">
        <v>1333182.1200000001</v>
      </c>
      <c r="CJ111" s="21">
        <v>1627965.88</v>
      </c>
      <c r="CK111" s="19">
        <v>2559533.75</v>
      </c>
      <c r="CL111" s="19">
        <v>1828441</v>
      </c>
      <c r="CM111" s="21">
        <v>3112017.5</v>
      </c>
      <c r="CN111" s="21">
        <v>3292007.75</v>
      </c>
      <c r="CO111" s="19">
        <v>1447059.12</v>
      </c>
      <c r="CP111" s="19">
        <v>2012558</v>
      </c>
      <c r="CQ111" s="21">
        <v>3380575.75</v>
      </c>
      <c r="CR111" s="21">
        <v>3527467.25</v>
      </c>
      <c r="CS111" s="19">
        <v>2213573</v>
      </c>
      <c r="CT111" s="19">
        <v>2309039.25</v>
      </c>
      <c r="CU111" s="21">
        <v>1330227</v>
      </c>
      <c r="CV111" s="21">
        <v>1205379.8799999999</v>
      </c>
      <c r="CW111" s="19">
        <v>2703941</v>
      </c>
      <c r="CX111" s="19">
        <v>3709949.5</v>
      </c>
    </row>
    <row r="112" spans="1:102">
      <c r="A112">
        <v>31038</v>
      </c>
      <c r="B112" t="s">
        <v>425</v>
      </c>
      <c r="C112" t="s">
        <v>1208</v>
      </c>
      <c r="D112" t="s">
        <v>426</v>
      </c>
      <c r="F112" t="s">
        <v>427</v>
      </c>
      <c r="G112">
        <v>312.01100000000002</v>
      </c>
      <c r="H112" t="s">
        <v>104</v>
      </c>
      <c r="I112">
        <v>2</v>
      </c>
      <c r="J112">
        <v>21</v>
      </c>
      <c r="K112">
        <v>0</v>
      </c>
      <c r="L112">
        <v>0</v>
      </c>
      <c r="M112">
        <v>0</v>
      </c>
      <c r="N112">
        <v>-1</v>
      </c>
      <c r="O112">
        <v>6</v>
      </c>
      <c r="P112">
        <v>6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5</v>
      </c>
      <c r="Y112">
        <v>8</v>
      </c>
      <c r="Z112">
        <v>8</v>
      </c>
      <c r="AA112">
        <v>8</v>
      </c>
      <c r="AB112">
        <v>8</v>
      </c>
      <c r="AC112">
        <v>8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8</v>
      </c>
      <c r="AP112">
        <v>10</v>
      </c>
      <c r="AQ112">
        <v>13</v>
      </c>
      <c r="AR112">
        <v>0</v>
      </c>
      <c r="AS112">
        <v>8</v>
      </c>
      <c r="AT112">
        <v>11</v>
      </c>
      <c r="AU112">
        <v>13</v>
      </c>
      <c r="AV112">
        <v>10</v>
      </c>
      <c r="AW112">
        <v>11</v>
      </c>
      <c r="AX112">
        <v>9</v>
      </c>
      <c r="AY112">
        <v>9</v>
      </c>
      <c r="AZ112">
        <v>5</v>
      </c>
      <c r="BA112">
        <v>12</v>
      </c>
      <c r="BB112">
        <v>12</v>
      </c>
      <c r="BC112">
        <v>8</v>
      </c>
      <c r="BD112">
        <v>11</v>
      </c>
      <c r="BE112">
        <v>11</v>
      </c>
      <c r="BF112">
        <v>9</v>
      </c>
      <c r="BG112">
        <v>11</v>
      </c>
      <c r="BH112">
        <v>6</v>
      </c>
      <c r="BI112">
        <v>8</v>
      </c>
      <c r="BJ112">
        <v>45201660</v>
      </c>
      <c r="BK112">
        <v>92131416</v>
      </c>
      <c r="BL112">
        <v>195001.88</v>
      </c>
      <c r="BM112">
        <v>28191798</v>
      </c>
      <c r="BN112">
        <v>79287072</v>
      </c>
      <c r="BO112">
        <v>76576872</v>
      </c>
      <c r="BP112">
        <v>61592844</v>
      </c>
      <c r="BQ112">
        <v>66505676</v>
      </c>
      <c r="BR112">
        <v>31127740</v>
      </c>
      <c r="BS112">
        <v>42128212</v>
      </c>
      <c r="BT112">
        <v>9839313</v>
      </c>
      <c r="BU112">
        <v>71801200</v>
      </c>
      <c r="BV112">
        <v>62103092</v>
      </c>
      <c r="BW112">
        <v>50682376</v>
      </c>
      <c r="BX112">
        <v>61510604</v>
      </c>
      <c r="BY112">
        <v>52383268</v>
      </c>
      <c r="BZ112">
        <v>60526288</v>
      </c>
      <c r="CA112">
        <v>69445200</v>
      </c>
      <c r="CB112">
        <v>23604158</v>
      </c>
      <c r="CC112">
        <v>22630942</v>
      </c>
      <c r="CD112" s="17" t="s">
        <v>1208</v>
      </c>
      <c r="CE112" s="21">
        <v>62488088</v>
      </c>
      <c r="CF112" s="21">
        <v>53044584</v>
      </c>
      <c r="CG112" s="19">
        <v>61807612</v>
      </c>
      <c r="CH112" s="19">
        <v>80615400</v>
      </c>
      <c r="CI112" s="21">
        <v>78196152</v>
      </c>
      <c r="CJ112" s="21">
        <v>78196088</v>
      </c>
      <c r="CK112" s="19">
        <v>62945012</v>
      </c>
      <c r="CL112" s="19">
        <v>62319588</v>
      </c>
      <c r="CM112" s="21">
        <v>42291416</v>
      </c>
      <c r="CN112" s="21">
        <v>36930396</v>
      </c>
      <c r="CO112" s="19">
        <v>70005976</v>
      </c>
      <c r="CP112" s="19">
        <v>65286924</v>
      </c>
      <c r="CQ112" s="21">
        <v>39917456</v>
      </c>
      <c r="CR112" s="21">
        <v>40299964</v>
      </c>
      <c r="CS112" s="19">
        <v>62938524</v>
      </c>
      <c r="CT112" s="19">
        <v>54246220</v>
      </c>
      <c r="CU112" s="21">
        <v>71643824</v>
      </c>
      <c r="CV112" s="21">
        <v>64162900</v>
      </c>
      <c r="CW112" s="19">
        <v>36894672</v>
      </c>
      <c r="CX112" s="19">
        <v>24498058</v>
      </c>
    </row>
    <row r="113" spans="1:102">
      <c r="A113">
        <v>31062</v>
      </c>
      <c r="B113" t="s">
        <v>271</v>
      </c>
      <c r="C113" t="s">
        <v>1209</v>
      </c>
      <c r="D113" t="s">
        <v>272</v>
      </c>
      <c r="E113" t="s">
        <v>273</v>
      </c>
      <c r="F113" t="s">
        <v>274</v>
      </c>
      <c r="G113">
        <v>673.73299999999995</v>
      </c>
      <c r="H113" t="s">
        <v>104</v>
      </c>
      <c r="I113">
        <v>2</v>
      </c>
      <c r="J113">
        <v>19</v>
      </c>
      <c r="K113">
        <v>2</v>
      </c>
      <c r="L113">
        <v>0</v>
      </c>
      <c r="M113">
        <v>0</v>
      </c>
      <c r="N113">
        <v>-1</v>
      </c>
      <c r="O113">
        <v>20</v>
      </c>
      <c r="P113">
        <v>20</v>
      </c>
      <c r="Q113">
        <v>21</v>
      </c>
      <c r="R113">
        <v>21</v>
      </c>
      <c r="S113">
        <v>21</v>
      </c>
      <c r="T113">
        <v>21</v>
      </c>
      <c r="U113">
        <v>21</v>
      </c>
      <c r="V113">
        <v>20</v>
      </c>
      <c r="W113">
        <v>21</v>
      </c>
      <c r="X113">
        <v>11</v>
      </c>
      <c r="Y113">
        <v>21</v>
      </c>
      <c r="Z113">
        <v>21</v>
      </c>
      <c r="AA113">
        <v>21</v>
      </c>
      <c r="AB113">
        <v>21</v>
      </c>
      <c r="AC113">
        <v>21</v>
      </c>
      <c r="AD113">
        <v>21</v>
      </c>
      <c r="AE113">
        <v>21</v>
      </c>
      <c r="AF113">
        <v>21</v>
      </c>
      <c r="AG113">
        <v>21</v>
      </c>
      <c r="AH113">
        <v>21</v>
      </c>
      <c r="AI113">
        <v>21</v>
      </c>
      <c r="AJ113">
        <v>21</v>
      </c>
      <c r="AK113">
        <v>21</v>
      </c>
      <c r="AL113">
        <v>21</v>
      </c>
      <c r="AM113">
        <v>21</v>
      </c>
      <c r="AN113">
        <v>21</v>
      </c>
      <c r="AO113">
        <v>21</v>
      </c>
      <c r="AP113">
        <v>27</v>
      </c>
      <c r="AQ113">
        <v>35</v>
      </c>
      <c r="AR113">
        <v>0</v>
      </c>
      <c r="AS113">
        <v>28</v>
      </c>
      <c r="AT113">
        <v>25</v>
      </c>
      <c r="AU113">
        <v>40</v>
      </c>
      <c r="AV113">
        <v>35</v>
      </c>
      <c r="AW113">
        <v>24</v>
      </c>
      <c r="AX113">
        <v>32</v>
      </c>
      <c r="AY113">
        <v>33</v>
      </c>
      <c r="AZ113">
        <v>13</v>
      </c>
      <c r="BA113">
        <v>38</v>
      </c>
      <c r="BB113">
        <v>22</v>
      </c>
      <c r="BC113">
        <v>34</v>
      </c>
      <c r="BD113">
        <v>24</v>
      </c>
      <c r="BE113">
        <v>36</v>
      </c>
      <c r="BF113">
        <v>33</v>
      </c>
      <c r="BG113">
        <v>22</v>
      </c>
      <c r="BH113">
        <v>30</v>
      </c>
      <c r="BI113">
        <v>23</v>
      </c>
      <c r="BJ113">
        <v>143270592</v>
      </c>
      <c r="BK113">
        <v>421699040</v>
      </c>
      <c r="BL113">
        <v>547630.25</v>
      </c>
      <c r="BM113">
        <v>155418144</v>
      </c>
      <c r="BN113">
        <v>206820640</v>
      </c>
      <c r="BO113">
        <v>362776288</v>
      </c>
      <c r="BP113">
        <v>406016640</v>
      </c>
      <c r="BQ113">
        <v>229029632</v>
      </c>
      <c r="BR113">
        <v>211418960</v>
      </c>
      <c r="BS113">
        <v>155044592</v>
      </c>
      <c r="BT113">
        <v>36283828</v>
      </c>
      <c r="BU113">
        <v>301187040</v>
      </c>
      <c r="BV113">
        <v>125908968</v>
      </c>
      <c r="BW113">
        <v>320350688</v>
      </c>
      <c r="BX113">
        <v>302274528</v>
      </c>
      <c r="BY113">
        <v>280402816</v>
      </c>
      <c r="BZ113">
        <v>477602304</v>
      </c>
      <c r="CA113">
        <v>268337952</v>
      </c>
      <c r="CB113">
        <v>178952448</v>
      </c>
      <c r="CC113">
        <v>111895376</v>
      </c>
      <c r="CD113" s="17" t="s">
        <v>1209</v>
      </c>
      <c r="CE113" s="21">
        <v>172289552</v>
      </c>
      <c r="CF113" s="21">
        <v>118073520</v>
      </c>
      <c r="CG113" s="19">
        <v>57656344</v>
      </c>
      <c r="CH113" s="19">
        <v>111704712</v>
      </c>
      <c r="CI113" s="21">
        <v>108640432</v>
      </c>
      <c r="CJ113" s="21">
        <v>112802192</v>
      </c>
      <c r="CK113" s="19">
        <v>312290592</v>
      </c>
      <c r="CL113" s="19">
        <v>373061440</v>
      </c>
      <c r="CM113" s="21">
        <v>232696992</v>
      </c>
      <c r="CN113" s="21">
        <v>239829216</v>
      </c>
      <c r="CO113" s="19">
        <v>300839872</v>
      </c>
      <c r="CP113" s="19">
        <v>279862048</v>
      </c>
      <c r="CQ113" s="21">
        <v>189274608</v>
      </c>
      <c r="CR113" s="21">
        <v>202523952</v>
      </c>
      <c r="CS113" s="19">
        <v>292307680</v>
      </c>
      <c r="CT113" s="19">
        <v>278208064</v>
      </c>
      <c r="CU113" s="21">
        <v>98016840</v>
      </c>
      <c r="CV113" s="21">
        <v>101455528</v>
      </c>
      <c r="CW113" s="19">
        <v>166838096</v>
      </c>
      <c r="CX113" s="19">
        <v>209205120</v>
      </c>
    </row>
    <row r="114" spans="1:102">
      <c r="A114">
        <v>30926</v>
      </c>
      <c r="B114" t="s">
        <v>263</v>
      </c>
      <c r="C114" t="s">
        <v>1210</v>
      </c>
      <c r="D114" t="s">
        <v>264</v>
      </c>
      <c r="E114" t="s">
        <v>265</v>
      </c>
      <c r="F114" t="s">
        <v>266</v>
      </c>
      <c r="G114">
        <v>711.71299999999997</v>
      </c>
      <c r="H114" t="s">
        <v>104</v>
      </c>
      <c r="I114">
        <v>2</v>
      </c>
      <c r="J114">
        <v>13</v>
      </c>
      <c r="K114">
        <v>2</v>
      </c>
      <c r="L114">
        <v>0</v>
      </c>
      <c r="M114">
        <v>0</v>
      </c>
      <c r="N114">
        <v>-1</v>
      </c>
      <c r="O114">
        <v>16</v>
      </c>
      <c r="P114">
        <v>16</v>
      </c>
      <c r="Q114">
        <v>16</v>
      </c>
      <c r="R114">
        <v>16</v>
      </c>
      <c r="S114">
        <v>16</v>
      </c>
      <c r="T114">
        <v>16</v>
      </c>
      <c r="U114">
        <v>16</v>
      </c>
      <c r="V114">
        <v>16</v>
      </c>
      <c r="W114">
        <v>16</v>
      </c>
      <c r="X114">
        <v>11</v>
      </c>
      <c r="Y114">
        <v>16</v>
      </c>
      <c r="Z114">
        <v>16</v>
      </c>
      <c r="AA114">
        <v>16</v>
      </c>
      <c r="AB114">
        <v>16</v>
      </c>
      <c r="AC114">
        <v>16</v>
      </c>
      <c r="AD114">
        <v>16</v>
      </c>
      <c r="AE114">
        <v>16</v>
      </c>
      <c r="AF114">
        <v>16</v>
      </c>
      <c r="AG114">
        <v>16</v>
      </c>
      <c r="AH114">
        <v>16</v>
      </c>
      <c r="AI114">
        <v>16</v>
      </c>
      <c r="AJ114">
        <v>16</v>
      </c>
      <c r="AK114">
        <v>16</v>
      </c>
      <c r="AL114">
        <v>16</v>
      </c>
      <c r="AM114">
        <v>16</v>
      </c>
      <c r="AN114">
        <v>16</v>
      </c>
      <c r="AO114">
        <v>16</v>
      </c>
      <c r="AP114">
        <v>22</v>
      </c>
      <c r="AQ114">
        <v>25</v>
      </c>
      <c r="AR114">
        <v>1</v>
      </c>
      <c r="AS114">
        <v>22</v>
      </c>
      <c r="AT114">
        <v>21</v>
      </c>
      <c r="AU114">
        <v>29</v>
      </c>
      <c r="AV114">
        <v>28</v>
      </c>
      <c r="AW114">
        <v>17</v>
      </c>
      <c r="AX114">
        <v>28</v>
      </c>
      <c r="AY114">
        <v>24</v>
      </c>
      <c r="AZ114">
        <v>11</v>
      </c>
      <c r="BA114">
        <v>26</v>
      </c>
      <c r="BB114">
        <v>18</v>
      </c>
      <c r="BC114">
        <v>24</v>
      </c>
      <c r="BD114">
        <v>16</v>
      </c>
      <c r="BE114">
        <v>28</v>
      </c>
      <c r="BF114">
        <v>26</v>
      </c>
      <c r="BG114">
        <v>15</v>
      </c>
      <c r="BH114">
        <v>27</v>
      </c>
      <c r="BI114">
        <v>17</v>
      </c>
      <c r="BJ114">
        <v>72140960</v>
      </c>
      <c r="BK114">
        <v>225513616</v>
      </c>
      <c r="BL114">
        <v>1831255.5</v>
      </c>
      <c r="BM114">
        <v>78348752</v>
      </c>
      <c r="BN114">
        <v>69099576</v>
      </c>
      <c r="BO114">
        <v>215126400</v>
      </c>
      <c r="BP114">
        <v>175428896</v>
      </c>
      <c r="BQ114">
        <v>53204536</v>
      </c>
      <c r="BR114">
        <v>106565560</v>
      </c>
      <c r="BS114">
        <v>90986144</v>
      </c>
      <c r="BT114">
        <v>16663132</v>
      </c>
      <c r="BU114">
        <v>162755248</v>
      </c>
      <c r="BV114">
        <v>51638840</v>
      </c>
      <c r="BW114">
        <v>135426560</v>
      </c>
      <c r="BX114">
        <v>48787880</v>
      </c>
      <c r="BY114">
        <v>152282176</v>
      </c>
      <c r="BZ114">
        <v>141083520</v>
      </c>
      <c r="CA114">
        <v>52999556</v>
      </c>
      <c r="CB114">
        <v>85997904</v>
      </c>
      <c r="CC114">
        <v>58841792</v>
      </c>
      <c r="CD114" s="17" t="s">
        <v>1210</v>
      </c>
      <c r="CE114" s="21">
        <v>94595624</v>
      </c>
      <c r="CF114" s="21">
        <v>76978368</v>
      </c>
      <c r="CG114" s="19">
        <v>43262128</v>
      </c>
      <c r="CH114" s="19">
        <v>69942064</v>
      </c>
      <c r="CI114" s="21">
        <v>66012024</v>
      </c>
      <c r="CJ114" s="21">
        <v>60292984</v>
      </c>
      <c r="CK114" s="19">
        <v>168519632</v>
      </c>
      <c r="CL114" s="19">
        <v>165254336</v>
      </c>
      <c r="CM114" s="21">
        <v>141313488</v>
      </c>
      <c r="CN114" s="21">
        <v>127374216</v>
      </c>
      <c r="CO114" s="19">
        <v>153940832</v>
      </c>
      <c r="CP114" s="19">
        <v>147918672</v>
      </c>
      <c r="CQ114" s="21">
        <v>109259496</v>
      </c>
      <c r="CR114" s="21">
        <v>95035240</v>
      </c>
      <c r="CS114" s="19">
        <v>166388192</v>
      </c>
      <c r="CT114" s="19">
        <v>149790656</v>
      </c>
      <c r="CU114" s="21">
        <v>56884832</v>
      </c>
      <c r="CV114" s="21">
        <v>48678764</v>
      </c>
      <c r="CW114" s="19">
        <v>102473040</v>
      </c>
      <c r="CX114" s="19">
        <v>109272136</v>
      </c>
    </row>
    <row r="115" spans="1:102">
      <c r="A115">
        <v>30934</v>
      </c>
      <c r="B115" t="s">
        <v>146</v>
      </c>
      <c r="C115" t="s">
        <v>1211</v>
      </c>
      <c r="D115" t="s">
        <v>147</v>
      </c>
      <c r="E115" t="s">
        <v>148</v>
      </c>
      <c r="F115" t="s">
        <v>149</v>
      </c>
      <c r="G115">
        <v>1304.0909999999999</v>
      </c>
      <c r="H115" t="s">
        <v>104</v>
      </c>
      <c r="I115">
        <v>2</v>
      </c>
      <c r="J115">
        <v>13</v>
      </c>
      <c r="K115">
        <v>5</v>
      </c>
      <c r="L115">
        <v>0</v>
      </c>
      <c r="M115">
        <v>0</v>
      </c>
      <c r="N115">
        <v>-1</v>
      </c>
      <c r="O115">
        <v>30</v>
      </c>
      <c r="P115">
        <v>30</v>
      </c>
      <c r="Q115">
        <v>33</v>
      </c>
      <c r="R115">
        <v>33</v>
      </c>
      <c r="S115">
        <v>33</v>
      </c>
      <c r="T115">
        <v>33</v>
      </c>
      <c r="U115">
        <v>33</v>
      </c>
      <c r="V115">
        <v>27</v>
      </c>
      <c r="W115">
        <v>29</v>
      </c>
      <c r="X115">
        <v>16</v>
      </c>
      <c r="Y115">
        <v>32</v>
      </c>
      <c r="Z115">
        <v>29</v>
      </c>
      <c r="AA115">
        <v>32</v>
      </c>
      <c r="AB115">
        <v>33</v>
      </c>
      <c r="AC115">
        <v>33</v>
      </c>
      <c r="AD115">
        <v>32</v>
      </c>
      <c r="AE115">
        <v>33</v>
      </c>
      <c r="AF115">
        <v>33</v>
      </c>
      <c r="AG115">
        <v>33</v>
      </c>
      <c r="AH115">
        <v>31</v>
      </c>
      <c r="AI115">
        <v>32</v>
      </c>
      <c r="AJ115">
        <v>31</v>
      </c>
      <c r="AK115">
        <v>33</v>
      </c>
      <c r="AL115">
        <v>32</v>
      </c>
      <c r="AM115">
        <v>29</v>
      </c>
      <c r="AN115">
        <v>32</v>
      </c>
      <c r="AO115">
        <v>33</v>
      </c>
      <c r="AP115">
        <v>40</v>
      </c>
      <c r="AQ115">
        <v>53</v>
      </c>
      <c r="AR115">
        <v>8</v>
      </c>
      <c r="AS115">
        <v>37</v>
      </c>
      <c r="AT115">
        <v>30</v>
      </c>
      <c r="AU115">
        <v>58</v>
      </c>
      <c r="AV115">
        <v>48</v>
      </c>
      <c r="AW115">
        <v>24</v>
      </c>
      <c r="AX115">
        <v>44</v>
      </c>
      <c r="AY115">
        <v>37</v>
      </c>
      <c r="AZ115">
        <v>17</v>
      </c>
      <c r="BA115">
        <v>48</v>
      </c>
      <c r="BB115">
        <v>26</v>
      </c>
      <c r="BC115">
        <v>45</v>
      </c>
      <c r="BD115">
        <v>25</v>
      </c>
      <c r="BE115">
        <v>57</v>
      </c>
      <c r="BF115">
        <v>47</v>
      </c>
      <c r="BG115">
        <v>25</v>
      </c>
      <c r="BH115">
        <v>42</v>
      </c>
      <c r="BI115">
        <v>37</v>
      </c>
      <c r="BJ115">
        <v>109952064</v>
      </c>
      <c r="BK115">
        <v>432689888</v>
      </c>
      <c r="BL115">
        <v>4832358.5</v>
      </c>
      <c r="BM115">
        <v>176217280</v>
      </c>
      <c r="BN115">
        <v>135811200</v>
      </c>
      <c r="BO115">
        <v>489996672</v>
      </c>
      <c r="BP115">
        <v>468128064</v>
      </c>
      <c r="BQ115">
        <v>126585176</v>
      </c>
      <c r="BR115">
        <v>245258784</v>
      </c>
      <c r="BS115">
        <v>208467952</v>
      </c>
      <c r="BT115">
        <v>36557940</v>
      </c>
      <c r="BU115">
        <v>388555424</v>
      </c>
      <c r="BV115">
        <v>110769512</v>
      </c>
      <c r="BW115">
        <v>380101440</v>
      </c>
      <c r="BX115">
        <v>120236944</v>
      </c>
      <c r="BY115">
        <v>446369184</v>
      </c>
      <c r="BZ115">
        <v>372636448</v>
      </c>
      <c r="CA115">
        <v>129380224</v>
      </c>
      <c r="CB115">
        <v>209463056</v>
      </c>
      <c r="CC115">
        <v>177099440</v>
      </c>
      <c r="CD115" s="17" t="s">
        <v>1211</v>
      </c>
      <c r="CE115" s="21">
        <v>158336480</v>
      </c>
      <c r="CF115" s="21">
        <v>165738560</v>
      </c>
      <c r="CG115" s="19">
        <v>177333232</v>
      </c>
      <c r="CH115" s="19">
        <v>132902392</v>
      </c>
      <c r="CI115" s="21">
        <v>126567328</v>
      </c>
      <c r="CJ115" s="21">
        <v>142757856</v>
      </c>
      <c r="CK115" s="19">
        <v>421421024</v>
      </c>
      <c r="CL115" s="19">
        <v>402567808</v>
      </c>
      <c r="CM115" s="21">
        <v>295683104</v>
      </c>
      <c r="CN115" s="21">
        <v>278638272</v>
      </c>
      <c r="CO115" s="19">
        <v>298251488</v>
      </c>
      <c r="CP115" s="19">
        <v>324280800</v>
      </c>
      <c r="CQ115" s="21">
        <v>232044576</v>
      </c>
      <c r="CR115" s="21">
        <v>262296736</v>
      </c>
      <c r="CS115" s="19">
        <v>379980544</v>
      </c>
      <c r="CT115" s="19">
        <v>402858208</v>
      </c>
      <c r="CU115" s="21">
        <v>130036592</v>
      </c>
      <c r="CV115" s="21">
        <v>114626192</v>
      </c>
      <c r="CW115" s="19">
        <v>219786320</v>
      </c>
      <c r="CX115" s="19">
        <v>314155264</v>
      </c>
    </row>
    <row r="116" spans="1:102">
      <c r="A116">
        <v>31152</v>
      </c>
      <c r="B116" t="s">
        <v>365</v>
      </c>
      <c r="C116" t="s">
        <v>1212</v>
      </c>
      <c r="D116" t="s">
        <v>365</v>
      </c>
      <c r="F116" t="s">
        <v>366</v>
      </c>
      <c r="G116">
        <v>433.86700000000002</v>
      </c>
      <c r="H116" t="s">
        <v>104</v>
      </c>
      <c r="I116">
        <v>2</v>
      </c>
      <c r="J116">
        <v>1</v>
      </c>
      <c r="K116">
        <v>0</v>
      </c>
      <c r="L116">
        <v>0</v>
      </c>
      <c r="M116">
        <v>0</v>
      </c>
      <c r="N116">
        <v>-1</v>
      </c>
      <c r="O116">
        <v>15</v>
      </c>
      <c r="P116">
        <v>15</v>
      </c>
      <c r="Q116">
        <v>15</v>
      </c>
      <c r="R116">
        <v>15</v>
      </c>
      <c r="S116">
        <v>15</v>
      </c>
      <c r="T116">
        <v>15</v>
      </c>
      <c r="U116">
        <v>15</v>
      </c>
      <c r="V116">
        <v>14</v>
      </c>
      <c r="W116">
        <v>15</v>
      </c>
      <c r="X116">
        <v>3</v>
      </c>
      <c r="Y116">
        <v>15</v>
      </c>
      <c r="Z116">
        <v>15</v>
      </c>
      <c r="AA116">
        <v>15</v>
      </c>
      <c r="AB116">
        <v>15</v>
      </c>
      <c r="AC116">
        <v>15</v>
      </c>
      <c r="AD116">
        <v>15</v>
      </c>
      <c r="AE116">
        <v>15</v>
      </c>
      <c r="AF116">
        <v>15</v>
      </c>
      <c r="AG116">
        <v>15</v>
      </c>
      <c r="AH116">
        <v>15</v>
      </c>
      <c r="AI116">
        <v>15</v>
      </c>
      <c r="AJ116">
        <v>15</v>
      </c>
      <c r="AK116">
        <v>15</v>
      </c>
      <c r="AL116">
        <v>15</v>
      </c>
      <c r="AM116">
        <v>15</v>
      </c>
      <c r="AN116">
        <v>15</v>
      </c>
      <c r="AO116">
        <v>15</v>
      </c>
      <c r="AP116">
        <v>13</v>
      </c>
      <c r="AQ116">
        <v>12</v>
      </c>
      <c r="AR116">
        <v>0</v>
      </c>
      <c r="AS116">
        <v>17</v>
      </c>
      <c r="AT116">
        <v>11</v>
      </c>
      <c r="AU116">
        <v>18</v>
      </c>
      <c r="AV116">
        <v>15</v>
      </c>
      <c r="AW116">
        <v>10</v>
      </c>
      <c r="AX116">
        <v>15</v>
      </c>
      <c r="AY116">
        <v>16</v>
      </c>
      <c r="AZ116">
        <v>7</v>
      </c>
      <c r="BA116">
        <v>18</v>
      </c>
      <c r="BB116">
        <v>8</v>
      </c>
      <c r="BC116">
        <v>16</v>
      </c>
      <c r="BD116">
        <v>11</v>
      </c>
      <c r="BE116">
        <v>15</v>
      </c>
      <c r="BF116">
        <v>15</v>
      </c>
      <c r="BG116">
        <v>10</v>
      </c>
      <c r="BH116">
        <v>15</v>
      </c>
      <c r="BI116">
        <v>13</v>
      </c>
      <c r="BJ116">
        <v>19184318</v>
      </c>
      <c r="BK116">
        <v>38119072</v>
      </c>
      <c r="BL116">
        <v>34974.620000000003</v>
      </c>
      <c r="BM116">
        <v>27497178</v>
      </c>
      <c r="BN116">
        <v>21441390</v>
      </c>
      <c r="BO116">
        <v>36915916</v>
      </c>
      <c r="BP116">
        <v>29907526</v>
      </c>
      <c r="BQ116">
        <v>19147384</v>
      </c>
      <c r="BR116">
        <v>33785892</v>
      </c>
      <c r="BS116">
        <v>30181346</v>
      </c>
      <c r="BT116">
        <v>5962302.5</v>
      </c>
      <c r="BU116">
        <v>32616468</v>
      </c>
      <c r="BV116">
        <v>17106396</v>
      </c>
      <c r="BW116">
        <v>52635992</v>
      </c>
      <c r="BX116">
        <v>18454952</v>
      </c>
      <c r="BY116">
        <v>31799768</v>
      </c>
      <c r="BZ116">
        <v>28649758</v>
      </c>
      <c r="CA116">
        <v>22804916</v>
      </c>
      <c r="CB116">
        <v>30431116</v>
      </c>
      <c r="CC116">
        <v>23137656</v>
      </c>
      <c r="CD116" s="17" t="s">
        <v>1212</v>
      </c>
      <c r="CE116" s="21">
        <v>19768382</v>
      </c>
      <c r="CF116" s="21">
        <v>20053270</v>
      </c>
      <c r="CG116" s="19">
        <v>9039320</v>
      </c>
      <c r="CH116" s="19">
        <v>17283964</v>
      </c>
      <c r="CI116" s="21">
        <v>15871627</v>
      </c>
      <c r="CJ116" s="21">
        <v>18099956</v>
      </c>
      <c r="CK116" s="19">
        <v>22117802</v>
      </c>
      <c r="CL116" s="19">
        <v>27609882</v>
      </c>
      <c r="CM116" s="21">
        <v>31528952</v>
      </c>
      <c r="CN116" s="21">
        <v>34509132</v>
      </c>
      <c r="CO116" s="19">
        <v>20923754</v>
      </c>
      <c r="CP116" s="19">
        <v>22571378</v>
      </c>
      <c r="CQ116" s="21">
        <v>28732962</v>
      </c>
      <c r="CR116" s="21">
        <v>31309912</v>
      </c>
      <c r="CS116" s="19">
        <v>22111190</v>
      </c>
      <c r="CT116" s="19">
        <v>22132802</v>
      </c>
      <c r="CU116" s="21">
        <v>16049568</v>
      </c>
      <c r="CV116" s="21">
        <v>17211052</v>
      </c>
      <c r="CW116" s="19">
        <v>24662870</v>
      </c>
      <c r="CX116" s="19">
        <v>33355810</v>
      </c>
    </row>
    <row r="117" spans="1:102">
      <c r="A117">
        <v>31023</v>
      </c>
      <c r="B117" t="s">
        <v>597</v>
      </c>
      <c r="C117" t="s">
        <v>1213</v>
      </c>
      <c r="D117" t="s">
        <v>598</v>
      </c>
      <c r="F117" t="s">
        <v>599</v>
      </c>
      <c r="G117">
        <v>80.534000000000006</v>
      </c>
      <c r="H117" t="s">
        <v>104</v>
      </c>
      <c r="I117">
        <v>2</v>
      </c>
      <c r="J117">
        <v>21</v>
      </c>
      <c r="K117">
        <v>0</v>
      </c>
      <c r="L117">
        <v>0</v>
      </c>
      <c r="M117">
        <v>0</v>
      </c>
      <c r="N117">
        <v>-1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4</v>
      </c>
      <c r="U117">
        <v>4</v>
      </c>
      <c r="V117">
        <v>4</v>
      </c>
      <c r="W117">
        <v>3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4</v>
      </c>
      <c r="AE117">
        <v>4</v>
      </c>
      <c r="AF117">
        <v>3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4</v>
      </c>
      <c r="AN117">
        <v>4</v>
      </c>
      <c r="AO117">
        <v>4</v>
      </c>
      <c r="AP117">
        <v>2</v>
      </c>
      <c r="AQ117">
        <v>2</v>
      </c>
      <c r="AR117">
        <v>0</v>
      </c>
      <c r="AS117">
        <v>1</v>
      </c>
      <c r="AT117">
        <v>1</v>
      </c>
      <c r="AU117">
        <v>1</v>
      </c>
      <c r="AV117">
        <v>0</v>
      </c>
      <c r="AW117">
        <v>3</v>
      </c>
      <c r="AX117">
        <v>2</v>
      </c>
      <c r="AY117">
        <v>2</v>
      </c>
      <c r="AZ117">
        <v>1</v>
      </c>
      <c r="BA117">
        <v>3</v>
      </c>
      <c r="BB117">
        <v>3</v>
      </c>
      <c r="BC117">
        <v>3</v>
      </c>
      <c r="BD117">
        <v>3</v>
      </c>
      <c r="BE117">
        <v>3</v>
      </c>
      <c r="BF117">
        <v>3</v>
      </c>
      <c r="BG117">
        <v>4</v>
      </c>
      <c r="BH117">
        <v>2</v>
      </c>
      <c r="BI117">
        <v>1</v>
      </c>
      <c r="BJ117">
        <v>2443198</v>
      </c>
      <c r="BK117">
        <v>3432270.5</v>
      </c>
      <c r="BM117">
        <v>1725310.12</v>
      </c>
      <c r="BN117">
        <v>3935962.5</v>
      </c>
      <c r="BO117">
        <v>3779368.5</v>
      </c>
      <c r="BP117">
        <v>3181955.25</v>
      </c>
      <c r="BQ117">
        <v>3124461.25</v>
      </c>
      <c r="BR117">
        <v>1940191.75</v>
      </c>
      <c r="BS117">
        <v>2066669</v>
      </c>
      <c r="BT117">
        <v>420069.03</v>
      </c>
      <c r="BU117">
        <v>3451780</v>
      </c>
      <c r="BV117">
        <v>3200288.5</v>
      </c>
      <c r="BW117">
        <v>3717830.5</v>
      </c>
      <c r="BX117">
        <v>3030300.5</v>
      </c>
      <c r="BY117">
        <v>2711545</v>
      </c>
      <c r="BZ117">
        <v>2701695.5</v>
      </c>
      <c r="CA117">
        <v>3808228.75</v>
      </c>
      <c r="CB117">
        <v>2114194</v>
      </c>
      <c r="CC117">
        <v>1978753.75</v>
      </c>
      <c r="CD117" s="17" t="s">
        <v>1213</v>
      </c>
      <c r="CE117" s="21">
        <v>2533232.75</v>
      </c>
      <c r="CF117" s="21">
        <v>1311547.25</v>
      </c>
      <c r="CG117" s="19">
        <v>1861110.38</v>
      </c>
      <c r="CH117" s="19">
        <v>3177700.5</v>
      </c>
      <c r="CI117" s="21">
        <v>2692307.75</v>
      </c>
      <c r="CJ117" s="21">
        <v>2858793.25</v>
      </c>
      <c r="CK117" s="19">
        <v>2330875.75</v>
      </c>
      <c r="CL117" s="19">
        <v>2414646.25</v>
      </c>
      <c r="CM117" s="21">
        <v>1840093.75</v>
      </c>
      <c r="CN117" s="21">
        <v>2068826.88</v>
      </c>
      <c r="CO117" s="19">
        <v>2564595.75</v>
      </c>
      <c r="CP117" s="19">
        <v>2466806.5</v>
      </c>
      <c r="CQ117" s="21">
        <v>1794823.25</v>
      </c>
      <c r="CR117" s="21">
        <v>2164775</v>
      </c>
      <c r="CS117" s="19">
        <v>2265408</v>
      </c>
      <c r="CT117" s="19">
        <v>1980674.12</v>
      </c>
      <c r="CU117" s="21">
        <v>2739680.25</v>
      </c>
      <c r="CV117" s="21">
        <v>2897536.75</v>
      </c>
      <c r="CW117" s="19">
        <v>1773054.75</v>
      </c>
      <c r="CX117" s="19">
        <v>2080374.62</v>
      </c>
    </row>
    <row r="118" spans="1:102">
      <c r="A118">
        <v>31054</v>
      </c>
      <c r="B118" t="s">
        <v>130</v>
      </c>
      <c r="C118" t="s">
        <v>1214</v>
      </c>
      <c r="D118" t="s">
        <v>131</v>
      </c>
      <c r="F118" t="s">
        <v>132</v>
      </c>
      <c r="G118">
        <v>1906.453</v>
      </c>
      <c r="H118" t="s">
        <v>104</v>
      </c>
      <c r="I118">
        <v>2</v>
      </c>
      <c r="J118">
        <v>20</v>
      </c>
      <c r="K118">
        <v>0</v>
      </c>
      <c r="L118">
        <v>0</v>
      </c>
      <c r="M118">
        <v>0</v>
      </c>
      <c r="N118">
        <v>-1</v>
      </c>
      <c r="O118">
        <v>29</v>
      </c>
      <c r="P118">
        <v>29</v>
      </c>
      <c r="Q118">
        <v>36</v>
      </c>
      <c r="R118">
        <v>36</v>
      </c>
      <c r="S118">
        <v>36</v>
      </c>
      <c r="T118">
        <v>36</v>
      </c>
      <c r="U118">
        <v>36</v>
      </c>
      <c r="V118">
        <v>31</v>
      </c>
      <c r="W118">
        <v>35</v>
      </c>
      <c r="X118">
        <v>34</v>
      </c>
      <c r="Y118">
        <v>36</v>
      </c>
      <c r="Z118">
        <v>36</v>
      </c>
      <c r="AA118">
        <v>36</v>
      </c>
      <c r="AB118">
        <v>36</v>
      </c>
      <c r="AC118">
        <v>35</v>
      </c>
      <c r="AD118">
        <v>36</v>
      </c>
      <c r="AE118">
        <v>36</v>
      </c>
      <c r="AF118">
        <v>36</v>
      </c>
      <c r="AG118">
        <v>36</v>
      </c>
      <c r="AH118">
        <v>36</v>
      </c>
      <c r="AI118">
        <v>29</v>
      </c>
      <c r="AJ118">
        <v>33</v>
      </c>
      <c r="AK118">
        <v>36</v>
      </c>
      <c r="AL118">
        <v>31</v>
      </c>
      <c r="AM118">
        <v>31</v>
      </c>
      <c r="AN118">
        <v>36</v>
      </c>
      <c r="AO118">
        <v>36</v>
      </c>
      <c r="AP118">
        <v>370</v>
      </c>
      <c r="AQ118">
        <v>375</v>
      </c>
      <c r="AR118">
        <v>128</v>
      </c>
      <c r="AS118">
        <v>238</v>
      </c>
      <c r="AT118">
        <v>303</v>
      </c>
      <c r="AU118">
        <v>333</v>
      </c>
      <c r="AV118">
        <v>278</v>
      </c>
      <c r="AW118">
        <v>274</v>
      </c>
      <c r="AX118">
        <v>233</v>
      </c>
      <c r="AY118">
        <v>240</v>
      </c>
      <c r="AZ118">
        <v>192</v>
      </c>
      <c r="BA118">
        <v>279</v>
      </c>
      <c r="BB118">
        <v>273</v>
      </c>
      <c r="BC118">
        <v>245</v>
      </c>
      <c r="BD118">
        <v>273</v>
      </c>
      <c r="BE118">
        <v>273</v>
      </c>
      <c r="BF118">
        <v>256</v>
      </c>
      <c r="BG118">
        <v>277</v>
      </c>
      <c r="BH118">
        <v>220</v>
      </c>
      <c r="BI118">
        <v>216</v>
      </c>
      <c r="BJ118">
        <v>4816078848</v>
      </c>
      <c r="BK118">
        <v>8602770432</v>
      </c>
      <c r="BL118">
        <v>101730624</v>
      </c>
      <c r="BM118">
        <v>3461866496</v>
      </c>
      <c r="BN118">
        <v>7608628736</v>
      </c>
      <c r="BO118">
        <v>7772646400</v>
      </c>
      <c r="BP118">
        <v>6406312448</v>
      </c>
      <c r="BQ118">
        <v>7216708096</v>
      </c>
      <c r="BR118">
        <v>3693026816</v>
      </c>
      <c r="BS118">
        <v>3696423936</v>
      </c>
      <c r="BT118">
        <v>1215414016</v>
      </c>
      <c r="BU118">
        <v>6377525248</v>
      </c>
      <c r="BV118">
        <v>6252787200</v>
      </c>
      <c r="BW118">
        <v>6503911936</v>
      </c>
      <c r="BX118">
        <v>6833231360</v>
      </c>
      <c r="BY118">
        <v>5684747264</v>
      </c>
      <c r="BZ118">
        <v>5716696064</v>
      </c>
      <c r="CA118">
        <v>7286065664</v>
      </c>
      <c r="CB118">
        <v>3171809536</v>
      </c>
      <c r="CC118">
        <v>2591538432</v>
      </c>
      <c r="CD118" s="17" t="s">
        <v>1214</v>
      </c>
      <c r="CE118" s="21">
        <v>4171477504</v>
      </c>
      <c r="CF118" s="21">
        <v>6254115328</v>
      </c>
      <c r="CG118" s="19">
        <v>6605015040</v>
      </c>
      <c r="CH118" s="19">
        <v>8820758528</v>
      </c>
      <c r="CI118" s="21">
        <v>7037443584</v>
      </c>
      <c r="CJ118" s="21">
        <v>8445054464</v>
      </c>
      <c r="CK118" s="19">
        <v>5853123072</v>
      </c>
      <c r="CL118" s="19">
        <v>6435917312</v>
      </c>
      <c r="CM118" s="21">
        <v>4535737344</v>
      </c>
      <c r="CN118" s="21">
        <v>4842379264</v>
      </c>
      <c r="CO118" s="19">
        <v>5214381568</v>
      </c>
      <c r="CP118" s="19">
        <v>6347582976</v>
      </c>
      <c r="CQ118" s="21">
        <v>4440420864</v>
      </c>
      <c r="CR118" s="21">
        <v>4548597760</v>
      </c>
      <c r="CS118" s="19">
        <v>6092392960</v>
      </c>
      <c r="CT118" s="19">
        <v>5915294720</v>
      </c>
      <c r="CU118" s="21">
        <v>7469434368</v>
      </c>
      <c r="CV118" s="21">
        <v>7266936320</v>
      </c>
      <c r="CW118" s="19">
        <v>4167594240</v>
      </c>
      <c r="CX118" s="19">
        <v>5571273728</v>
      </c>
    </row>
    <row r="119" spans="1:102">
      <c r="A119">
        <v>31011</v>
      </c>
      <c r="B119" t="s">
        <v>260</v>
      </c>
      <c r="C119" t="s">
        <v>1215</v>
      </c>
      <c r="D119" t="s">
        <v>261</v>
      </c>
      <c r="F119" t="s">
        <v>262</v>
      </c>
      <c r="G119">
        <v>717.69100000000003</v>
      </c>
      <c r="H119" t="s">
        <v>104</v>
      </c>
      <c r="I119">
        <v>2</v>
      </c>
      <c r="J119">
        <v>21</v>
      </c>
      <c r="K119">
        <v>0</v>
      </c>
      <c r="L119">
        <v>0</v>
      </c>
      <c r="M119">
        <v>0</v>
      </c>
      <c r="N119">
        <v>-1</v>
      </c>
      <c r="O119">
        <v>18</v>
      </c>
      <c r="P119">
        <v>18</v>
      </c>
      <c r="Q119">
        <v>20</v>
      </c>
      <c r="R119">
        <v>20</v>
      </c>
      <c r="S119">
        <v>20</v>
      </c>
      <c r="T119">
        <v>20</v>
      </c>
      <c r="U119">
        <v>20</v>
      </c>
      <c r="V119">
        <v>16</v>
      </c>
      <c r="W119">
        <v>19</v>
      </c>
      <c r="X119">
        <v>15</v>
      </c>
      <c r="Y119">
        <v>20</v>
      </c>
      <c r="Z119">
        <v>20</v>
      </c>
      <c r="AA119">
        <v>18</v>
      </c>
      <c r="AB119">
        <v>20</v>
      </c>
      <c r="AC119">
        <v>19</v>
      </c>
      <c r="AD119">
        <v>20</v>
      </c>
      <c r="AE119">
        <v>20</v>
      </c>
      <c r="AF119">
        <v>19</v>
      </c>
      <c r="AG119">
        <v>20</v>
      </c>
      <c r="AH119">
        <v>20</v>
      </c>
      <c r="AI119">
        <v>20</v>
      </c>
      <c r="AJ119">
        <v>19</v>
      </c>
      <c r="AK119">
        <v>20</v>
      </c>
      <c r="AL119">
        <v>20</v>
      </c>
      <c r="AM119">
        <v>19</v>
      </c>
      <c r="AN119">
        <v>19</v>
      </c>
      <c r="AO119">
        <v>19</v>
      </c>
      <c r="AP119">
        <v>42</v>
      </c>
      <c r="AQ119">
        <v>35</v>
      </c>
      <c r="AR119">
        <v>3</v>
      </c>
      <c r="AS119">
        <v>34</v>
      </c>
      <c r="AT119">
        <v>49</v>
      </c>
      <c r="AU119">
        <v>40</v>
      </c>
      <c r="AV119">
        <v>46</v>
      </c>
      <c r="AW119">
        <v>52</v>
      </c>
      <c r="AX119">
        <v>38</v>
      </c>
      <c r="AY119">
        <v>35</v>
      </c>
      <c r="AZ119">
        <v>20</v>
      </c>
      <c r="BA119">
        <v>31</v>
      </c>
      <c r="BB119">
        <v>37</v>
      </c>
      <c r="BC119">
        <v>46</v>
      </c>
      <c r="BD119">
        <v>50</v>
      </c>
      <c r="BE119">
        <v>34</v>
      </c>
      <c r="BF119">
        <v>48</v>
      </c>
      <c r="BG119">
        <v>52</v>
      </c>
      <c r="BH119">
        <v>38</v>
      </c>
      <c r="BI119">
        <v>33</v>
      </c>
      <c r="BJ119">
        <v>891598208</v>
      </c>
      <c r="BK119">
        <v>922056384</v>
      </c>
      <c r="BL119">
        <v>5303955</v>
      </c>
      <c r="BM119">
        <v>505634976</v>
      </c>
      <c r="BN119">
        <v>1494764416</v>
      </c>
      <c r="BO119">
        <v>909086656</v>
      </c>
      <c r="BP119">
        <v>1309055872</v>
      </c>
      <c r="BQ119">
        <v>1827160320</v>
      </c>
      <c r="BR119">
        <v>663384064</v>
      </c>
      <c r="BS119">
        <v>525036160</v>
      </c>
      <c r="BT119">
        <v>198432608</v>
      </c>
      <c r="BU119">
        <v>620702080</v>
      </c>
      <c r="BV119">
        <v>867821952</v>
      </c>
      <c r="BW119">
        <v>1294211072</v>
      </c>
      <c r="BX119">
        <v>1514592128</v>
      </c>
      <c r="BY119">
        <v>789460416</v>
      </c>
      <c r="BZ119">
        <v>1240650112</v>
      </c>
      <c r="CA119">
        <v>1973865088</v>
      </c>
      <c r="CB119">
        <v>581430656</v>
      </c>
      <c r="CC119">
        <v>334736480</v>
      </c>
      <c r="CD119" s="17" t="s">
        <v>1215</v>
      </c>
      <c r="CE119" s="21">
        <v>677557760</v>
      </c>
      <c r="CF119" s="21">
        <v>726414592</v>
      </c>
      <c r="CG119" s="19">
        <v>388124640</v>
      </c>
      <c r="CH119" s="19">
        <v>911217408</v>
      </c>
      <c r="CI119" s="21">
        <v>1152175872</v>
      </c>
      <c r="CJ119" s="21">
        <v>1592412800</v>
      </c>
      <c r="CK119" s="19">
        <v>1001068672</v>
      </c>
      <c r="CL119" s="19">
        <v>1480826624</v>
      </c>
      <c r="CM119" s="21">
        <v>621100352</v>
      </c>
      <c r="CN119" s="21">
        <v>588055872</v>
      </c>
      <c r="CO119" s="19">
        <v>577069184</v>
      </c>
      <c r="CP119" s="19">
        <v>542320192</v>
      </c>
      <c r="CQ119" s="21">
        <v>625152768</v>
      </c>
      <c r="CR119" s="21">
        <v>770824128</v>
      </c>
      <c r="CS119" s="19">
        <v>491412640</v>
      </c>
      <c r="CT119" s="19">
        <v>515643552</v>
      </c>
      <c r="CU119" s="21">
        <v>1197878144</v>
      </c>
      <c r="CV119" s="21">
        <v>1642867712</v>
      </c>
      <c r="CW119" s="19">
        <v>514755872</v>
      </c>
      <c r="CX119" s="19">
        <v>572693056</v>
      </c>
    </row>
    <row r="120" spans="1:102">
      <c r="A120">
        <v>30919</v>
      </c>
      <c r="B120" t="s">
        <v>317</v>
      </c>
      <c r="C120" t="s">
        <v>1216</v>
      </c>
      <c r="D120" t="s">
        <v>318</v>
      </c>
      <c r="F120" t="s">
        <v>319</v>
      </c>
      <c r="G120">
        <v>541.48699999999997</v>
      </c>
      <c r="H120" t="s">
        <v>104</v>
      </c>
      <c r="I120">
        <v>2</v>
      </c>
      <c r="J120">
        <v>20</v>
      </c>
      <c r="K120">
        <v>0</v>
      </c>
      <c r="L120">
        <v>0</v>
      </c>
      <c r="M120">
        <v>0</v>
      </c>
      <c r="N120">
        <v>-1</v>
      </c>
      <c r="O120">
        <v>12</v>
      </c>
      <c r="P120">
        <v>12</v>
      </c>
      <c r="Q120">
        <v>15</v>
      </c>
      <c r="R120">
        <v>15</v>
      </c>
      <c r="S120">
        <v>15</v>
      </c>
      <c r="T120">
        <v>15</v>
      </c>
      <c r="U120">
        <v>15</v>
      </c>
      <c r="V120">
        <v>13</v>
      </c>
      <c r="W120">
        <v>15</v>
      </c>
      <c r="X120">
        <v>7</v>
      </c>
      <c r="Y120">
        <v>15</v>
      </c>
      <c r="Z120">
        <v>15</v>
      </c>
      <c r="AA120">
        <v>15</v>
      </c>
      <c r="AB120">
        <v>15</v>
      </c>
      <c r="AC120">
        <v>15</v>
      </c>
      <c r="AD120">
        <v>15</v>
      </c>
      <c r="AE120">
        <v>15</v>
      </c>
      <c r="AF120">
        <v>15</v>
      </c>
      <c r="AG120">
        <v>15</v>
      </c>
      <c r="AH120">
        <v>15</v>
      </c>
      <c r="AI120">
        <v>15</v>
      </c>
      <c r="AJ120">
        <v>15</v>
      </c>
      <c r="AK120">
        <v>15</v>
      </c>
      <c r="AL120">
        <v>15</v>
      </c>
      <c r="AM120">
        <v>15</v>
      </c>
      <c r="AN120">
        <v>15</v>
      </c>
      <c r="AO120">
        <v>15</v>
      </c>
      <c r="AP120">
        <v>59</v>
      </c>
      <c r="AQ120">
        <v>42</v>
      </c>
      <c r="AR120">
        <v>1</v>
      </c>
      <c r="AS120">
        <v>43</v>
      </c>
      <c r="AT120">
        <v>60</v>
      </c>
      <c r="AU120">
        <v>54</v>
      </c>
      <c r="AV120">
        <v>58</v>
      </c>
      <c r="AW120">
        <v>58</v>
      </c>
      <c r="AX120">
        <v>44</v>
      </c>
      <c r="AY120">
        <v>37</v>
      </c>
      <c r="AZ120">
        <v>29</v>
      </c>
      <c r="BA120">
        <v>30</v>
      </c>
      <c r="BB120">
        <v>42</v>
      </c>
      <c r="BC120">
        <v>45</v>
      </c>
      <c r="BD120">
        <v>56</v>
      </c>
      <c r="BE120">
        <v>46</v>
      </c>
      <c r="BF120">
        <v>48</v>
      </c>
      <c r="BG120">
        <v>57</v>
      </c>
      <c r="BH120">
        <v>41</v>
      </c>
      <c r="BI120">
        <v>17</v>
      </c>
      <c r="BJ120">
        <v>559895168</v>
      </c>
      <c r="BK120">
        <v>604209088</v>
      </c>
      <c r="BL120">
        <v>1670341.88</v>
      </c>
      <c r="BM120">
        <v>305917408</v>
      </c>
      <c r="BN120">
        <v>1007595776</v>
      </c>
      <c r="BO120">
        <v>647837632</v>
      </c>
      <c r="BP120">
        <v>923838912</v>
      </c>
      <c r="BQ120">
        <v>1169064064</v>
      </c>
      <c r="BR120">
        <v>449367520</v>
      </c>
      <c r="BS120">
        <v>349272640</v>
      </c>
      <c r="BT120">
        <v>115234016</v>
      </c>
      <c r="BU120">
        <v>403772288</v>
      </c>
      <c r="BV120">
        <v>532175360</v>
      </c>
      <c r="BW120">
        <v>816542528</v>
      </c>
      <c r="BX120">
        <v>970309312</v>
      </c>
      <c r="BY120">
        <v>508277120</v>
      </c>
      <c r="BZ120">
        <v>770136576</v>
      </c>
      <c r="CA120">
        <v>1132942336</v>
      </c>
      <c r="CB120">
        <v>327742304</v>
      </c>
      <c r="CC120">
        <v>179211568</v>
      </c>
      <c r="CD120" s="17" t="s">
        <v>1216</v>
      </c>
      <c r="CE120" s="21">
        <v>531905568</v>
      </c>
      <c r="CF120" s="21">
        <v>612932288</v>
      </c>
      <c r="CG120" s="19">
        <v>349178176</v>
      </c>
      <c r="CH120" s="19">
        <v>648887296</v>
      </c>
      <c r="CI120" s="21">
        <v>820537088</v>
      </c>
      <c r="CJ120" s="21">
        <v>887887232</v>
      </c>
      <c r="CK120" s="19">
        <v>704458496</v>
      </c>
      <c r="CL120" s="19">
        <v>712044544</v>
      </c>
      <c r="CM120" s="21">
        <v>447214816</v>
      </c>
      <c r="CN120" s="21">
        <v>406936608</v>
      </c>
      <c r="CO120" s="19">
        <v>417074176</v>
      </c>
      <c r="CP120" s="19">
        <v>324228480</v>
      </c>
      <c r="CQ120" s="21">
        <v>375443584</v>
      </c>
      <c r="CR120" s="21">
        <v>430270656</v>
      </c>
      <c r="CS120" s="19">
        <v>479861504</v>
      </c>
      <c r="CT120" s="19">
        <v>387228960</v>
      </c>
      <c r="CU120" s="21">
        <v>738354752</v>
      </c>
      <c r="CV120" s="21">
        <v>747360512</v>
      </c>
      <c r="CW120" s="19">
        <v>321174688</v>
      </c>
      <c r="CX120" s="19">
        <v>260278624</v>
      </c>
    </row>
    <row r="121" spans="1:102">
      <c r="A121">
        <v>30983</v>
      </c>
      <c r="B121" t="s">
        <v>403</v>
      </c>
      <c r="C121" t="s">
        <v>1217</v>
      </c>
      <c r="D121" t="s">
        <v>404</v>
      </c>
      <c r="F121" t="s">
        <v>405</v>
      </c>
      <c r="G121">
        <v>383.30099999999999</v>
      </c>
      <c r="H121" t="s">
        <v>104</v>
      </c>
      <c r="I121">
        <v>2</v>
      </c>
      <c r="J121">
        <v>21</v>
      </c>
      <c r="K121">
        <v>0</v>
      </c>
      <c r="L121">
        <v>0</v>
      </c>
      <c r="M121">
        <v>0</v>
      </c>
      <c r="N121">
        <v>-1</v>
      </c>
      <c r="O121">
        <v>18</v>
      </c>
      <c r="P121">
        <v>18</v>
      </c>
      <c r="Q121">
        <v>19</v>
      </c>
      <c r="R121">
        <v>19</v>
      </c>
      <c r="S121">
        <v>19</v>
      </c>
      <c r="T121">
        <v>19</v>
      </c>
      <c r="U121">
        <v>19</v>
      </c>
      <c r="V121">
        <v>10</v>
      </c>
      <c r="W121">
        <v>16</v>
      </c>
      <c r="X121">
        <v>13</v>
      </c>
      <c r="Y121">
        <v>19</v>
      </c>
      <c r="Z121">
        <v>19</v>
      </c>
      <c r="AA121">
        <v>18</v>
      </c>
      <c r="AB121">
        <v>19</v>
      </c>
      <c r="AC121">
        <v>19</v>
      </c>
      <c r="AD121">
        <v>19</v>
      </c>
      <c r="AE121">
        <v>19</v>
      </c>
      <c r="AF121">
        <v>19</v>
      </c>
      <c r="AG121">
        <v>19</v>
      </c>
      <c r="AH121">
        <v>19</v>
      </c>
      <c r="AI121">
        <v>19</v>
      </c>
      <c r="AJ121">
        <v>19</v>
      </c>
      <c r="AK121">
        <v>19</v>
      </c>
      <c r="AL121">
        <v>19</v>
      </c>
      <c r="AM121">
        <v>19</v>
      </c>
      <c r="AN121">
        <v>18</v>
      </c>
      <c r="AO121">
        <v>19</v>
      </c>
      <c r="AP121">
        <v>22</v>
      </c>
      <c r="AQ121">
        <v>27</v>
      </c>
      <c r="AR121">
        <v>1</v>
      </c>
      <c r="AS121">
        <v>21</v>
      </c>
      <c r="AT121">
        <v>22</v>
      </c>
      <c r="AU121">
        <v>20</v>
      </c>
      <c r="AV121">
        <v>29</v>
      </c>
      <c r="AW121">
        <v>47</v>
      </c>
      <c r="AX121">
        <v>26</v>
      </c>
      <c r="AY121">
        <v>23</v>
      </c>
      <c r="AZ121">
        <v>12</v>
      </c>
      <c r="BA121">
        <v>18</v>
      </c>
      <c r="BB121">
        <v>28</v>
      </c>
      <c r="BC121">
        <v>29</v>
      </c>
      <c r="BD121">
        <v>53</v>
      </c>
      <c r="BE121">
        <v>13</v>
      </c>
      <c r="BF121">
        <v>59</v>
      </c>
      <c r="BG121">
        <v>45</v>
      </c>
      <c r="BH121">
        <v>24</v>
      </c>
      <c r="BI121">
        <v>11</v>
      </c>
      <c r="BJ121">
        <v>170958608</v>
      </c>
      <c r="BK121">
        <v>204401632</v>
      </c>
      <c r="BL121">
        <v>1645310.62</v>
      </c>
      <c r="BM121">
        <v>139136512</v>
      </c>
      <c r="BN121">
        <v>316057856</v>
      </c>
      <c r="BO121">
        <v>167573616</v>
      </c>
      <c r="BP121">
        <v>387694208</v>
      </c>
      <c r="BQ121">
        <v>1004420480</v>
      </c>
      <c r="BR121">
        <v>352904128</v>
      </c>
      <c r="BS121">
        <v>141195328</v>
      </c>
      <c r="BT121">
        <v>43592472</v>
      </c>
      <c r="BU121">
        <v>118045984</v>
      </c>
      <c r="BV121">
        <v>331438112</v>
      </c>
      <c r="BW121">
        <v>526624448</v>
      </c>
      <c r="BX121">
        <v>1176521344</v>
      </c>
      <c r="BY121">
        <v>73806504</v>
      </c>
      <c r="BZ121">
        <v>1201903360</v>
      </c>
      <c r="CA121">
        <v>1044327232</v>
      </c>
      <c r="CB121">
        <v>249956896</v>
      </c>
      <c r="CC121">
        <v>51277980</v>
      </c>
      <c r="CD121" s="17" t="s">
        <v>1217</v>
      </c>
      <c r="CE121" s="21">
        <v>61238976</v>
      </c>
      <c r="CF121" s="21">
        <v>204160592</v>
      </c>
      <c r="CG121" s="19">
        <v>300026048</v>
      </c>
      <c r="CH121" s="19">
        <v>311085248</v>
      </c>
      <c r="CI121" s="21">
        <v>262988112</v>
      </c>
      <c r="CJ121" s="21">
        <v>1152014976</v>
      </c>
      <c r="CK121" s="19">
        <v>378145664</v>
      </c>
      <c r="CL121" s="19">
        <v>1115641216</v>
      </c>
      <c r="CM121" s="21">
        <v>324136384</v>
      </c>
      <c r="CN121" s="21">
        <v>273854528</v>
      </c>
      <c r="CO121" s="19">
        <v>116777240</v>
      </c>
      <c r="CP121" s="19">
        <v>101135144</v>
      </c>
      <c r="CQ121" s="21">
        <v>200257168</v>
      </c>
      <c r="CR121" s="21">
        <v>355188992</v>
      </c>
      <c r="CS121" s="19">
        <v>84801720</v>
      </c>
      <c r="CT121" s="19">
        <v>89875992</v>
      </c>
      <c r="CU121" s="21">
        <v>886251008</v>
      </c>
      <c r="CV121" s="21">
        <v>747796992</v>
      </c>
      <c r="CW121" s="19">
        <v>138831760</v>
      </c>
      <c r="CX121" s="19">
        <v>79833392</v>
      </c>
    </row>
    <row r="122" spans="1:102">
      <c r="A122">
        <v>30917</v>
      </c>
      <c r="B122" t="s">
        <v>296</v>
      </c>
      <c r="C122" t="s">
        <v>1218</v>
      </c>
      <c r="D122" t="s">
        <v>297</v>
      </c>
      <c r="E122" t="s">
        <v>298</v>
      </c>
      <c r="F122" t="s">
        <v>299</v>
      </c>
      <c r="G122">
        <v>588.09699999999998</v>
      </c>
      <c r="H122" t="s">
        <v>104</v>
      </c>
      <c r="I122">
        <v>2</v>
      </c>
      <c r="J122">
        <v>20</v>
      </c>
      <c r="K122">
        <v>1</v>
      </c>
      <c r="L122">
        <v>0</v>
      </c>
      <c r="M122">
        <v>0</v>
      </c>
      <c r="N122">
        <v>-1</v>
      </c>
      <c r="O122">
        <v>14</v>
      </c>
      <c r="P122">
        <v>14</v>
      </c>
      <c r="Q122">
        <v>17</v>
      </c>
      <c r="R122">
        <v>17</v>
      </c>
      <c r="S122">
        <v>17</v>
      </c>
      <c r="T122">
        <v>17</v>
      </c>
      <c r="U122">
        <v>17</v>
      </c>
      <c r="V122">
        <v>13</v>
      </c>
      <c r="W122">
        <v>15</v>
      </c>
      <c r="X122">
        <v>15</v>
      </c>
      <c r="Y122">
        <v>17</v>
      </c>
      <c r="Z122">
        <v>17</v>
      </c>
      <c r="AA122">
        <v>17</v>
      </c>
      <c r="AB122">
        <v>17</v>
      </c>
      <c r="AC122">
        <v>17</v>
      </c>
      <c r="AD122">
        <v>17</v>
      </c>
      <c r="AE122">
        <v>17</v>
      </c>
      <c r="AF122">
        <v>17</v>
      </c>
      <c r="AG122">
        <v>17</v>
      </c>
      <c r="AH122">
        <v>17</v>
      </c>
      <c r="AI122">
        <v>17</v>
      </c>
      <c r="AJ122">
        <v>17</v>
      </c>
      <c r="AK122">
        <v>17</v>
      </c>
      <c r="AL122">
        <v>17</v>
      </c>
      <c r="AM122">
        <v>17</v>
      </c>
      <c r="AN122">
        <v>17</v>
      </c>
      <c r="AO122">
        <v>17</v>
      </c>
      <c r="AP122">
        <v>31</v>
      </c>
      <c r="AQ122">
        <v>29</v>
      </c>
      <c r="AR122">
        <v>14</v>
      </c>
      <c r="AS122">
        <v>34</v>
      </c>
      <c r="AT122">
        <v>59</v>
      </c>
      <c r="AU122">
        <v>20</v>
      </c>
      <c r="AV122">
        <v>69</v>
      </c>
      <c r="AW122">
        <v>54</v>
      </c>
      <c r="AX122">
        <v>37</v>
      </c>
      <c r="AY122">
        <v>26</v>
      </c>
      <c r="AZ122">
        <v>24</v>
      </c>
      <c r="BA122">
        <v>23</v>
      </c>
      <c r="BB122">
        <v>31</v>
      </c>
      <c r="BC122">
        <v>43</v>
      </c>
      <c r="BD122">
        <v>80</v>
      </c>
      <c r="BE122">
        <v>23</v>
      </c>
      <c r="BF122">
        <v>83</v>
      </c>
      <c r="BG122">
        <v>70</v>
      </c>
      <c r="BH122">
        <v>23</v>
      </c>
      <c r="BI122">
        <v>10</v>
      </c>
      <c r="BJ122">
        <v>262425728</v>
      </c>
      <c r="BK122">
        <v>512581984</v>
      </c>
      <c r="BL122">
        <v>2924538</v>
      </c>
      <c r="BM122">
        <v>348271424</v>
      </c>
      <c r="BN122">
        <v>1193527680</v>
      </c>
      <c r="BO122">
        <v>198488272</v>
      </c>
      <c r="BP122">
        <v>1333596416</v>
      </c>
      <c r="BQ122">
        <v>1186968192</v>
      </c>
      <c r="BR122">
        <v>359032768</v>
      </c>
      <c r="BS122">
        <v>229969008</v>
      </c>
      <c r="BT122">
        <v>104863856</v>
      </c>
      <c r="BU122">
        <v>312440448</v>
      </c>
      <c r="BV122">
        <v>529505056</v>
      </c>
      <c r="BW122">
        <v>857470656</v>
      </c>
      <c r="BX122">
        <v>1611905024</v>
      </c>
      <c r="BY122">
        <v>146947824</v>
      </c>
      <c r="BZ122">
        <v>2210429952</v>
      </c>
      <c r="CA122">
        <v>1284237952</v>
      </c>
      <c r="CB122">
        <v>251474912</v>
      </c>
      <c r="CC122">
        <v>88031672</v>
      </c>
      <c r="CD122" s="17" t="s">
        <v>1218</v>
      </c>
      <c r="CE122" s="21">
        <v>227824176</v>
      </c>
      <c r="CF122" s="21">
        <v>552332224</v>
      </c>
      <c r="CG122" s="19">
        <v>479098944</v>
      </c>
      <c r="CH122" s="19">
        <v>615774016</v>
      </c>
      <c r="CI122" s="21">
        <v>981346624</v>
      </c>
      <c r="CJ122" s="21">
        <v>1944837632</v>
      </c>
      <c r="CK122" s="19">
        <v>1061098496</v>
      </c>
      <c r="CL122" s="19">
        <v>2000230272</v>
      </c>
      <c r="CM122" s="21">
        <v>400124096</v>
      </c>
      <c r="CN122" s="21">
        <v>281419296</v>
      </c>
      <c r="CO122" s="19">
        <v>291155616</v>
      </c>
      <c r="CP122" s="19">
        <v>259319760</v>
      </c>
      <c r="CQ122" s="21">
        <v>445354592</v>
      </c>
      <c r="CR122" s="21">
        <v>532140224</v>
      </c>
      <c r="CS122" s="19">
        <v>140695456</v>
      </c>
      <c r="CT122" s="19">
        <v>174689120</v>
      </c>
      <c r="CU122" s="21">
        <v>1024422656</v>
      </c>
      <c r="CV122" s="21">
        <v>1105189760</v>
      </c>
      <c r="CW122" s="19">
        <v>256464928</v>
      </c>
      <c r="CX122" s="19">
        <v>98475128</v>
      </c>
    </row>
    <row r="123" spans="1:102">
      <c r="A123">
        <v>31076</v>
      </c>
      <c r="B123" t="s">
        <v>267</v>
      </c>
      <c r="C123" t="s">
        <v>1219</v>
      </c>
      <c r="D123" t="s">
        <v>268</v>
      </c>
      <c r="E123" t="s">
        <v>269</v>
      </c>
      <c r="F123" t="s">
        <v>270</v>
      </c>
      <c r="G123">
        <v>708.86300000000006</v>
      </c>
      <c r="H123" t="s">
        <v>104</v>
      </c>
      <c r="I123">
        <v>2</v>
      </c>
      <c r="J123">
        <v>5</v>
      </c>
      <c r="K123">
        <v>16</v>
      </c>
      <c r="L123">
        <v>0</v>
      </c>
      <c r="M123">
        <v>0</v>
      </c>
      <c r="N123">
        <v>-1</v>
      </c>
      <c r="O123">
        <v>22</v>
      </c>
      <c r="P123">
        <v>22</v>
      </c>
      <c r="Q123">
        <v>25</v>
      </c>
      <c r="R123">
        <v>25</v>
      </c>
      <c r="S123">
        <v>25</v>
      </c>
      <c r="T123">
        <v>25</v>
      </c>
      <c r="U123">
        <v>25</v>
      </c>
      <c r="V123">
        <v>18</v>
      </c>
      <c r="W123">
        <v>23</v>
      </c>
      <c r="X123">
        <v>24</v>
      </c>
      <c r="Y123">
        <v>25</v>
      </c>
      <c r="Z123">
        <v>25</v>
      </c>
      <c r="AA123">
        <v>22</v>
      </c>
      <c r="AB123">
        <v>25</v>
      </c>
      <c r="AC123">
        <v>25</v>
      </c>
      <c r="AD123">
        <v>25</v>
      </c>
      <c r="AE123">
        <v>25</v>
      </c>
      <c r="AF123">
        <v>25</v>
      </c>
      <c r="AG123">
        <v>25</v>
      </c>
      <c r="AH123">
        <v>25</v>
      </c>
      <c r="AI123">
        <v>25</v>
      </c>
      <c r="AJ123">
        <v>25</v>
      </c>
      <c r="AK123">
        <v>25</v>
      </c>
      <c r="AL123">
        <v>24</v>
      </c>
      <c r="AM123">
        <v>25</v>
      </c>
      <c r="AN123">
        <v>25</v>
      </c>
      <c r="AO123">
        <v>25</v>
      </c>
      <c r="AP123">
        <v>53</v>
      </c>
      <c r="AQ123">
        <v>61</v>
      </c>
      <c r="AR123">
        <v>4</v>
      </c>
      <c r="AS123">
        <v>69</v>
      </c>
      <c r="AT123">
        <v>103</v>
      </c>
      <c r="AU123">
        <v>38</v>
      </c>
      <c r="AV123">
        <v>103</v>
      </c>
      <c r="AW123">
        <v>60</v>
      </c>
      <c r="AX123">
        <v>54</v>
      </c>
      <c r="AY123">
        <v>47</v>
      </c>
      <c r="AZ123">
        <v>46</v>
      </c>
      <c r="BA123">
        <v>50</v>
      </c>
      <c r="BB123">
        <v>59</v>
      </c>
      <c r="BC123">
        <v>60</v>
      </c>
      <c r="BD123">
        <v>103</v>
      </c>
      <c r="BE123">
        <v>36</v>
      </c>
      <c r="BF123">
        <v>108</v>
      </c>
      <c r="BG123">
        <v>73</v>
      </c>
      <c r="BH123">
        <v>36</v>
      </c>
      <c r="BI123">
        <v>20</v>
      </c>
      <c r="BJ123">
        <v>599977216</v>
      </c>
      <c r="BK123">
        <v>1088102272</v>
      </c>
      <c r="BL123">
        <v>6956534</v>
      </c>
      <c r="BM123">
        <v>565323136</v>
      </c>
      <c r="BN123">
        <v>2031654784</v>
      </c>
      <c r="BO123">
        <v>584609664</v>
      </c>
      <c r="BP123">
        <v>1894393088</v>
      </c>
      <c r="BQ123">
        <v>2135266816</v>
      </c>
      <c r="BR123">
        <v>781959296</v>
      </c>
      <c r="BS123">
        <v>374490432</v>
      </c>
      <c r="BT123">
        <v>276039424</v>
      </c>
      <c r="BU123">
        <v>687397248</v>
      </c>
      <c r="BV123">
        <v>1131393664</v>
      </c>
      <c r="BW123">
        <v>1634712320</v>
      </c>
      <c r="BX123">
        <v>3317759232</v>
      </c>
      <c r="BY123">
        <v>503522336</v>
      </c>
      <c r="BZ123">
        <v>2656104192</v>
      </c>
      <c r="CA123">
        <v>2583361280</v>
      </c>
      <c r="CB123">
        <v>529417472</v>
      </c>
      <c r="CC123">
        <v>153802112</v>
      </c>
      <c r="CD123" s="17" t="s">
        <v>1219</v>
      </c>
      <c r="CE123" s="21">
        <v>270575584</v>
      </c>
      <c r="CF123" s="21">
        <v>994412160</v>
      </c>
      <c r="CG123" s="19">
        <v>1040009728</v>
      </c>
      <c r="CH123" s="19">
        <v>1498749056</v>
      </c>
      <c r="CI123" s="21">
        <v>1880415488</v>
      </c>
      <c r="CJ123" s="21">
        <v>2631130368</v>
      </c>
      <c r="CK123" s="19">
        <v>1646650112</v>
      </c>
      <c r="CL123" s="19">
        <v>2542003968</v>
      </c>
      <c r="CM123" s="21">
        <v>805666176</v>
      </c>
      <c r="CN123" s="21">
        <v>446045600</v>
      </c>
      <c r="CO123" s="19">
        <v>604730304</v>
      </c>
      <c r="CP123" s="19">
        <v>725434176</v>
      </c>
      <c r="CQ123" s="21">
        <v>958527104</v>
      </c>
      <c r="CR123" s="21">
        <v>805534848</v>
      </c>
      <c r="CS123" s="19">
        <v>352096000</v>
      </c>
      <c r="CT123" s="19">
        <v>513016704</v>
      </c>
      <c r="CU123" s="21">
        <v>1031049280</v>
      </c>
      <c r="CV123" s="21">
        <v>1387517696</v>
      </c>
      <c r="CW123" s="19">
        <v>564101440</v>
      </c>
      <c r="CX123" s="19">
        <v>297446656</v>
      </c>
    </row>
    <row r="124" spans="1:102">
      <c r="A124">
        <v>31034</v>
      </c>
      <c r="B124" t="s">
        <v>213</v>
      </c>
      <c r="C124" t="s">
        <v>1220</v>
      </c>
      <c r="D124" t="s">
        <v>214</v>
      </c>
      <c r="F124" t="s">
        <v>215</v>
      </c>
      <c r="G124">
        <v>911.59299999999996</v>
      </c>
      <c r="H124" t="s">
        <v>104</v>
      </c>
      <c r="I124">
        <v>2</v>
      </c>
      <c r="J124">
        <v>21</v>
      </c>
      <c r="K124">
        <v>0</v>
      </c>
      <c r="L124">
        <v>0</v>
      </c>
      <c r="M124">
        <v>0</v>
      </c>
      <c r="N124">
        <v>-1</v>
      </c>
      <c r="O124">
        <v>16</v>
      </c>
      <c r="P124">
        <v>16</v>
      </c>
      <c r="Q124">
        <v>17</v>
      </c>
      <c r="R124">
        <v>17</v>
      </c>
      <c r="S124">
        <v>17</v>
      </c>
      <c r="T124">
        <v>17</v>
      </c>
      <c r="U124">
        <v>17</v>
      </c>
      <c r="V124">
        <v>14</v>
      </c>
      <c r="W124">
        <v>17</v>
      </c>
      <c r="X124">
        <v>15</v>
      </c>
      <c r="Y124">
        <v>17</v>
      </c>
      <c r="Z124">
        <v>17</v>
      </c>
      <c r="AA124">
        <v>16</v>
      </c>
      <c r="AB124">
        <v>17</v>
      </c>
      <c r="AC124">
        <v>17</v>
      </c>
      <c r="AD124">
        <v>17</v>
      </c>
      <c r="AE124">
        <v>17</v>
      </c>
      <c r="AF124">
        <v>17</v>
      </c>
      <c r="AG124">
        <v>16</v>
      </c>
      <c r="AH124">
        <v>17</v>
      </c>
      <c r="AI124">
        <v>17</v>
      </c>
      <c r="AJ124">
        <v>17</v>
      </c>
      <c r="AK124">
        <v>17</v>
      </c>
      <c r="AL124">
        <v>17</v>
      </c>
      <c r="AM124">
        <v>17</v>
      </c>
      <c r="AN124">
        <v>16</v>
      </c>
      <c r="AO124">
        <v>15</v>
      </c>
      <c r="AP124">
        <v>58</v>
      </c>
      <c r="AQ124">
        <v>47</v>
      </c>
      <c r="AR124">
        <v>4</v>
      </c>
      <c r="AS124">
        <v>46</v>
      </c>
      <c r="AT124">
        <v>61</v>
      </c>
      <c r="AU124">
        <v>34</v>
      </c>
      <c r="AV124">
        <v>55</v>
      </c>
      <c r="AW124">
        <v>55</v>
      </c>
      <c r="AX124">
        <v>45</v>
      </c>
      <c r="AY124">
        <v>37</v>
      </c>
      <c r="AZ124">
        <v>32</v>
      </c>
      <c r="BA124">
        <v>47</v>
      </c>
      <c r="BB124">
        <v>51</v>
      </c>
      <c r="BC124">
        <v>43</v>
      </c>
      <c r="BD124">
        <v>63</v>
      </c>
      <c r="BE124">
        <v>37</v>
      </c>
      <c r="BF124">
        <v>62</v>
      </c>
      <c r="BG124">
        <v>59</v>
      </c>
      <c r="BH124">
        <v>43</v>
      </c>
      <c r="BI124">
        <v>33</v>
      </c>
      <c r="BJ124">
        <v>988169600</v>
      </c>
      <c r="BK124">
        <v>929932480</v>
      </c>
      <c r="BL124">
        <v>4760074</v>
      </c>
      <c r="BM124">
        <v>363692832</v>
      </c>
      <c r="BN124">
        <v>1190149248</v>
      </c>
      <c r="BO124">
        <v>597324992</v>
      </c>
      <c r="BP124">
        <v>1044873088</v>
      </c>
      <c r="BQ124">
        <v>1089652224</v>
      </c>
      <c r="BR124">
        <v>472137408</v>
      </c>
      <c r="BS124">
        <v>371202560</v>
      </c>
      <c r="BT124">
        <v>138965040</v>
      </c>
      <c r="BU124">
        <v>647492544</v>
      </c>
      <c r="BV124">
        <v>823381696</v>
      </c>
      <c r="BW124">
        <v>747493504</v>
      </c>
      <c r="BX124">
        <v>1345113600</v>
      </c>
      <c r="BY124">
        <v>473578240</v>
      </c>
      <c r="BZ124">
        <v>1247809664</v>
      </c>
      <c r="CA124">
        <v>1543158784</v>
      </c>
      <c r="CB124">
        <v>525002656</v>
      </c>
      <c r="CC124">
        <v>412463904</v>
      </c>
      <c r="CD124" s="17" t="s">
        <v>1220</v>
      </c>
      <c r="CE124" s="21">
        <v>513702656</v>
      </c>
      <c r="CF124" s="21">
        <v>699658432</v>
      </c>
      <c r="CG124" s="19">
        <v>753521280</v>
      </c>
      <c r="CH124" s="19">
        <v>1210900608</v>
      </c>
      <c r="CI124" s="21">
        <v>1420254720</v>
      </c>
      <c r="CJ124" s="21">
        <v>2008483712</v>
      </c>
      <c r="CK124" s="19">
        <v>1079842560</v>
      </c>
      <c r="CL124" s="19">
        <v>1692245888</v>
      </c>
      <c r="CM124" s="21">
        <v>545245952</v>
      </c>
      <c r="CN124" s="21">
        <v>464807136</v>
      </c>
      <c r="CO124" s="19">
        <v>619157888</v>
      </c>
      <c r="CP124" s="19">
        <v>592211328</v>
      </c>
      <c r="CQ124" s="21">
        <v>543068160</v>
      </c>
      <c r="CR124" s="21">
        <v>511337344</v>
      </c>
      <c r="CS124" s="19">
        <v>113622944</v>
      </c>
      <c r="CT124" s="19">
        <v>319261600</v>
      </c>
      <c r="CU124" s="21">
        <v>829801536</v>
      </c>
      <c r="CV124" s="21">
        <v>1188964352</v>
      </c>
      <c r="CW124" s="19">
        <v>385955744</v>
      </c>
      <c r="CX124" s="19">
        <v>423615072</v>
      </c>
    </row>
    <row r="125" spans="1:102">
      <c r="A125">
        <v>30942</v>
      </c>
      <c r="B125" t="s">
        <v>374</v>
      </c>
      <c r="C125" t="s">
        <v>1221</v>
      </c>
      <c r="D125" t="s">
        <v>375</v>
      </c>
      <c r="E125" t="s">
        <v>376</v>
      </c>
      <c r="F125" t="s">
        <v>377</v>
      </c>
      <c r="G125">
        <v>421.476</v>
      </c>
      <c r="H125" t="s">
        <v>104</v>
      </c>
      <c r="I125">
        <v>2</v>
      </c>
      <c r="J125">
        <v>20</v>
      </c>
      <c r="K125">
        <v>1</v>
      </c>
      <c r="L125">
        <v>0</v>
      </c>
      <c r="M125">
        <v>0</v>
      </c>
      <c r="N125">
        <v>-1</v>
      </c>
      <c r="O125">
        <v>13</v>
      </c>
      <c r="P125">
        <v>13</v>
      </c>
      <c r="Q125">
        <v>15</v>
      </c>
      <c r="R125">
        <v>15</v>
      </c>
      <c r="S125">
        <v>15</v>
      </c>
      <c r="T125">
        <v>15</v>
      </c>
      <c r="U125">
        <v>15</v>
      </c>
      <c r="V125">
        <v>10</v>
      </c>
      <c r="W125">
        <v>13</v>
      </c>
      <c r="X125">
        <v>10</v>
      </c>
      <c r="Y125">
        <v>15</v>
      </c>
      <c r="Z125">
        <v>15</v>
      </c>
      <c r="AA125">
        <v>15</v>
      </c>
      <c r="AB125">
        <v>15</v>
      </c>
      <c r="AC125">
        <v>15</v>
      </c>
      <c r="AD125">
        <v>15</v>
      </c>
      <c r="AE125">
        <v>15</v>
      </c>
      <c r="AF125">
        <v>15</v>
      </c>
      <c r="AG125">
        <v>15</v>
      </c>
      <c r="AH125">
        <v>15</v>
      </c>
      <c r="AI125">
        <v>15</v>
      </c>
      <c r="AJ125">
        <v>15</v>
      </c>
      <c r="AK125">
        <v>15</v>
      </c>
      <c r="AL125">
        <v>15</v>
      </c>
      <c r="AM125">
        <v>15</v>
      </c>
      <c r="AN125">
        <v>15</v>
      </c>
      <c r="AO125">
        <v>15</v>
      </c>
      <c r="AP125">
        <v>17</v>
      </c>
      <c r="AQ125">
        <v>17</v>
      </c>
      <c r="AR125">
        <v>0</v>
      </c>
      <c r="AS125">
        <v>15</v>
      </c>
      <c r="AT125">
        <v>22</v>
      </c>
      <c r="AU125">
        <v>14</v>
      </c>
      <c r="AV125">
        <v>25</v>
      </c>
      <c r="AW125">
        <v>36</v>
      </c>
      <c r="AX125">
        <v>32</v>
      </c>
      <c r="AY125">
        <v>18</v>
      </c>
      <c r="AZ125">
        <v>12</v>
      </c>
      <c r="BA125">
        <v>11</v>
      </c>
      <c r="BB125">
        <v>20</v>
      </c>
      <c r="BC125">
        <v>29</v>
      </c>
      <c r="BD125">
        <v>49</v>
      </c>
      <c r="BE125">
        <v>13</v>
      </c>
      <c r="BF125">
        <v>55</v>
      </c>
      <c r="BG125">
        <v>41</v>
      </c>
      <c r="BH125">
        <v>27</v>
      </c>
      <c r="BI125">
        <v>11</v>
      </c>
      <c r="BJ125">
        <v>170496384</v>
      </c>
      <c r="BK125">
        <v>186219504</v>
      </c>
      <c r="BL125">
        <v>1396004.25</v>
      </c>
      <c r="BM125">
        <v>111993904</v>
      </c>
      <c r="BN125">
        <v>274882080</v>
      </c>
      <c r="BO125">
        <v>145599632</v>
      </c>
      <c r="BP125">
        <v>330058016</v>
      </c>
      <c r="BQ125">
        <v>875676928</v>
      </c>
      <c r="BR125">
        <v>267183904</v>
      </c>
      <c r="BS125">
        <v>151230528</v>
      </c>
      <c r="BT125">
        <v>44614212</v>
      </c>
      <c r="BU125">
        <v>99728136</v>
      </c>
      <c r="BV125">
        <v>265304240</v>
      </c>
      <c r="BW125">
        <v>423041536</v>
      </c>
      <c r="BX125">
        <v>1180834432</v>
      </c>
      <c r="BY125">
        <v>66979084</v>
      </c>
      <c r="BZ125">
        <v>1224681728</v>
      </c>
      <c r="CA125">
        <v>866463936</v>
      </c>
      <c r="CB125">
        <v>235554816</v>
      </c>
      <c r="CC125">
        <v>60349444</v>
      </c>
      <c r="CD125" s="17" t="s">
        <v>1221</v>
      </c>
      <c r="CE125" s="21">
        <v>122459184</v>
      </c>
      <c r="CF125" s="21">
        <v>215720352</v>
      </c>
      <c r="CG125" s="19">
        <v>238994000</v>
      </c>
      <c r="CH125" s="19">
        <v>283477888</v>
      </c>
      <c r="CI125" s="21">
        <v>231647376</v>
      </c>
      <c r="CJ125" s="21">
        <v>1198403712</v>
      </c>
      <c r="CK125" s="19">
        <v>339661760</v>
      </c>
      <c r="CL125" s="19">
        <v>1128819328</v>
      </c>
      <c r="CM125" s="21">
        <v>286988864</v>
      </c>
      <c r="CN125" s="21">
        <v>223657376</v>
      </c>
      <c r="CO125" s="19">
        <v>106735136</v>
      </c>
      <c r="CP125" s="19">
        <v>91883800</v>
      </c>
      <c r="CQ125" s="21">
        <v>156286432</v>
      </c>
      <c r="CR125" s="21">
        <v>295478240</v>
      </c>
      <c r="CS125" s="19">
        <v>98663304</v>
      </c>
      <c r="CT125" s="19">
        <v>67435392</v>
      </c>
      <c r="CU125" s="21">
        <v>695254784</v>
      </c>
      <c r="CV125" s="21">
        <v>595587648</v>
      </c>
      <c r="CW125" s="19">
        <v>177360848</v>
      </c>
      <c r="CX125" s="19">
        <v>125550936</v>
      </c>
    </row>
    <row r="126" spans="1:102">
      <c r="A126">
        <v>31033</v>
      </c>
      <c r="B126" t="s">
        <v>310</v>
      </c>
      <c r="C126" t="s">
        <v>1222</v>
      </c>
      <c r="D126" t="s">
        <v>311</v>
      </c>
      <c r="F126" t="s">
        <v>312</v>
      </c>
      <c r="G126">
        <v>558.71199999999999</v>
      </c>
      <c r="H126" t="s">
        <v>104</v>
      </c>
      <c r="I126">
        <v>2</v>
      </c>
      <c r="J126">
        <v>21</v>
      </c>
      <c r="K126">
        <v>0</v>
      </c>
      <c r="L126">
        <v>0</v>
      </c>
      <c r="M126">
        <v>0</v>
      </c>
      <c r="N126">
        <v>-1</v>
      </c>
      <c r="O126">
        <v>18</v>
      </c>
      <c r="P126">
        <v>18</v>
      </c>
      <c r="Q126">
        <v>18</v>
      </c>
      <c r="R126">
        <v>18</v>
      </c>
      <c r="S126">
        <v>18</v>
      </c>
      <c r="T126">
        <v>18</v>
      </c>
      <c r="U126">
        <v>18</v>
      </c>
      <c r="V126">
        <v>14</v>
      </c>
      <c r="W126">
        <v>16</v>
      </c>
      <c r="X126">
        <v>14</v>
      </c>
      <c r="Y126">
        <v>18</v>
      </c>
      <c r="Z126">
        <v>18</v>
      </c>
      <c r="AA126">
        <v>17</v>
      </c>
      <c r="AB126">
        <v>18</v>
      </c>
      <c r="AC126">
        <v>18</v>
      </c>
      <c r="AD126">
        <v>18</v>
      </c>
      <c r="AE126">
        <v>18</v>
      </c>
      <c r="AF126">
        <v>18</v>
      </c>
      <c r="AG126">
        <v>18</v>
      </c>
      <c r="AH126">
        <v>18</v>
      </c>
      <c r="AI126">
        <v>18</v>
      </c>
      <c r="AJ126">
        <v>18</v>
      </c>
      <c r="AK126">
        <v>18</v>
      </c>
      <c r="AL126">
        <v>18</v>
      </c>
      <c r="AM126">
        <v>18</v>
      </c>
      <c r="AN126">
        <v>18</v>
      </c>
      <c r="AO126">
        <v>18</v>
      </c>
      <c r="AP126">
        <v>42</v>
      </c>
      <c r="AQ126">
        <v>38</v>
      </c>
      <c r="AR126">
        <v>5</v>
      </c>
      <c r="AS126">
        <v>28</v>
      </c>
      <c r="AT126">
        <v>48</v>
      </c>
      <c r="AU126">
        <v>21</v>
      </c>
      <c r="AV126">
        <v>59</v>
      </c>
      <c r="AW126">
        <v>45</v>
      </c>
      <c r="AX126">
        <v>37</v>
      </c>
      <c r="AY126">
        <v>30</v>
      </c>
      <c r="AZ126">
        <v>25</v>
      </c>
      <c r="BA126">
        <v>23</v>
      </c>
      <c r="BB126">
        <v>34</v>
      </c>
      <c r="BC126">
        <v>39</v>
      </c>
      <c r="BD126">
        <v>65</v>
      </c>
      <c r="BE126">
        <v>26</v>
      </c>
      <c r="BF126">
        <v>58</v>
      </c>
      <c r="BG126">
        <v>46</v>
      </c>
      <c r="BH126">
        <v>25</v>
      </c>
      <c r="BI126">
        <v>19</v>
      </c>
      <c r="BJ126">
        <v>245467840</v>
      </c>
      <c r="BK126">
        <v>321884128</v>
      </c>
      <c r="BL126">
        <v>4552754.5</v>
      </c>
      <c r="BM126">
        <v>208886384</v>
      </c>
      <c r="BN126">
        <v>707070336</v>
      </c>
      <c r="BO126">
        <v>190371664</v>
      </c>
      <c r="BP126">
        <v>884724992</v>
      </c>
      <c r="BQ126">
        <v>904867520</v>
      </c>
      <c r="BR126">
        <v>320757440</v>
      </c>
      <c r="BS126">
        <v>207855888</v>
      </c>
      <c r="BT126">
        <v>96593864</v>
      </c>
      <c r="BU126">
        <v>192583216</v>
      </c>
      <c r="BV126">
        <v>351880352</v>
      </c>
      <c r="BW126">
        <v>652729984</v>
      </c>
      <c r="BX126">
        <v>1275747968</v>
      </c>
      <c r="BY126">
        <v>212964656</v>
      </c>
      <c r="BZ126">
        <v>1133035648</v>
      </c>
      <c r="CA126">
        <v>1255070208</v>
      </c>
      <c r="CB126">
        <v>215857264</v>
      </c>
      <c r="CC126">
        <v>104349872</v>
      </c>
      <c r="CD126" s="17" t="s">
        <v>1222</v>
      </c>
      <c r="CE126" s="21">
        <v>78084944</v>
      </c>
      <c r="CF126" s="21">
        <v>447846496</v>
      </c>
      <c r="CG126" s="19">
        <v>398253152</v>
      </c>
      <c r="CH126" s="19">
        <v>539567616</v>
      </c>
      <c r="CI126" s="21">
        <v>816969408</v>
      </c>
      <c r="CJ126" s="21">
        <v>1292683904</v>
      </c>
      <c r="CK126" s="19">
        <v>995993600</v>
      </c>
      <c r="CL126" s="19">
        <v>1058905664</v>
      </c>
      <c r="CM126" s="21">
        <v>375501504</v>
      </c>
      <c r="CN126" s="21">
        <v>180347040</v>
      </c>
      <c r="CO126" s="19">
        <v>225893456</v>
      </c>
      <c r="CP126" s="19">
        <v>163835760</v>
      </c>
      <c r="CQ126" s="21">
        <v>332875232</v>
      </c>
      <c r="CR126" s="21">
        <v>332907584</v>
      </c>
      <c r="CS126" s="19">
        <v>87085952</v>
      </c>
      <c r="CT126" s="19">
        <v>216751968</v>
      </c>
      <c r="CU126" s="21">
        <v>431801984</v>
      </c>
      <c r="CV126" s="21">
        <v>688564992</v>
      </c>
      <c r="CW126" s="19">
        <v>299085408</v>
      </c>
      <c r="CX126" s="19">
        <v>161521488</v>
      </c>
    </row>
    <row r="127" spans="1:102">
      <c r="A127">
        <v>30916</v>
      </c>
      <c r="B127" t="s">
        <v>347</v>
      </c>
      <c r="C127" t="s">
        <v>1223</v>
      </c>
      <c r="D127" t="s">
        <v>348</v>
      </c>
      <c r="F127" t="s">
        <v>349</v>
      </c>
      <c r="G127">
        <v>454.40800000000002</v>
      </c>
      <c r="H127" t="s">
        <v>104</v>
      </c>
      <c r="I127">
        <v>2</v>
      </c>
      <c r="J127">
        <v>21</v>
      </c>
      <c r="K127">
        <v>0</v>
      </c>
      <c r="L127">
        <v>0</v>
      </c>
      <c r="M127">
        <v>0</v>
      </c>
      <c r="N127">
        <v>-1</v>
      </c>
      <c r="O127">
        <v>18</v>
      </c>
      <c r="P127">
        <v>18</v>
      </c>
      <c r="Q127">
        <v>19</v>
      </c>
      <c r="R127">
        <v>19</v>
      </c>
      <c r="S127">
        <v>19</v>
      </c>
      <c r="T127">
        <v>19</v>
      </c>
      <c r="U127">
        <v>19</v>
      </c>
      <c r="V127">
        <v>11</v>
      </c>
      <c r="W127">
        <v>15</v>
      </c>
      <c r="X127">
        <v>15</v>
      </c>
      <c r="Y127">
        <v>18</v>
      </c>
      <c r="Z127">
        <v>18</v>
      </c>
      <c r="AA127">
        <v>18</v>
      </c>
      <c r="AB127">
        <v>19</v>
      </c>
      <c r="AC127">
        <v>19</v>
      </c>
      <c r="AD127">
        <v>19</v>
      </c>
      <c r="AE127">
        <v>18</v>
      </c>
      <c r="AF127">
        <v>19</v>
      </c>
      <c r="AG127">
        <v>17</v>
      </c>
      <c r="AH127">
        <v>19</v>
      </c>
      <c r="AI127">
        <v>19</v>
      </c>
      <c r="AJ127">
        <v>19</v>
      </c>
      <c r="AK127">
        <v>18</v>
      </c>
      <c r="AL127">
        <v>19</v>
      </c>
      <c r="AM127">
        <v>19</v>
      </c>
      <c r="AN127">
        <v>18</v>
      </c>
      <c r="AO127">
        <v>17</v>
      </c>
      <c r="AP127">
        <v>19</v>
      </c>
      <c r="AQ127">
        <v>20</v>
      </c>
      <c r="AR127">
        <v>3</v>
      </c>
      <c r="AS127">
        <v>22</v>
      </c>
      <c r="AT127">
        <v>29</v>
      </c>
      <c r="AU127">
        <v>16</v>
      </c>
      <c r="AV127">
        <v>47</v>
      </c>
      <c r="AW127">
        <v>71</v>
      </c>
      <c r="AX127">
        <v>32</v>
      </c>
      <c r="AY127">
        <v>19</v>
      </c>
      <c r="AZ127">
        <v>9</v>
      </c>
      <c r="BA127">
        <v>14</v>
      </c>
      <c r="BB127">
        <v>22</v>
      </c>
      <c r="BC127">
        <v>46</v>
      </c>
      <c r="BD127">
        <v>83</v>
      </c>
      <c r="BE127">
        <v>16</v>
      </c>
      <c r="BF127">
        <v>86</v>
      </c>
      <c r="BG127">
        <v>62</v>
      </c>
      <c r="BH127">
        <v>27</v>
      </c>
      <c r="BI127">
        <v>6</v>
      </c>
      <c r="BJ127">
        <v>129224472</v>
      </c>
      <c r="BK127">
        <v>159926480</v>
      </c>
      <c r="BL127">
        <v>4582298</v>
      </c>
      <c r="BM127">
        <v>129875432</v>
      </c>
      <c r="BN127">
        <v>290527200</v>
      </c>
      <c r="BO127">
        <v>132390232</v>
      </c>
      <c r="BP127">
        <v>514530432</v>
      </c>
      <c r="BQ127">
        <v>794340416</v>
      </c>
      <c r="BR127">
        <v>205328400</v>
      </c>
      <c r="BS127">
        <v>91497144</v>
      </c>
      <c r="BT127">
        <v>39059088</v>
      </c>
      <c r="BU127">
        <v>88199664</v>
      </c>
      <c r="BV127">
        <v>219102384</v>
      </c>
      <c r="BW127">
        <v>449185408</v>
      </c>
      <c r="BX127">
        <v>955888576</v>
      </c>
      <c r="BY127">
        <v>81246232</v>
      </c>
      <c r="BZ127">
        <v>892630400</v>
      </c>
      <c r="CA127">
        <v>719396224</v>
      </c>
      <c r="CB127">
        <v>199431744</v>
      </c>
      <c r="CC127">
        <v>28573890</v>
      </c>
      <c r="CD127" s="17" t="s">
        <v>1223</v>
      </c>
      <c r="CE127" s="21">
        <v>105357720</v>
      </c>
      <c r="CF127" s="21">
        <v>217613392</v>
      </c>
      <c r="CG127" s="19">
        <v>294175424</v>
      </c>
      <c r="CH127" s="19">
        <v>290528384</v>
      </c>
      <c r="CI127" s="21">
        <v>409492640</v>
      </c>
      <c r="CJ127" s="21">
        <v>1102346880</v>
      </c>
      <c r="CK127" s="19">
        <v>766828416</v>
      </c>
      <c r="CL127" s="19">
        <v>1024629824</v>
      </c>
      <c r="CM127" s="21">
        <v>265568720</v>
      </c>
      <c r="CN127" s="21">
        <v>153422288</v>
      </c>
      <c r="CO127" s="19">
        <v>118391568</v>
      </c>
      <c r="CP127" s="19">
        <v>135501984</v>
      </c>
      <c r="CQ127" s="21">
        <v>296317120</v>
      </c>
      <c r="CR127" s="21">
        <v>405421408</v>
      </c>
      <c r="CS127" s="19">
        <v>92819584</v>
      </c>
      <c r="CT127" s="19">
        <v>123562424</v>
      </c>
      <c r="CU127" s="21">
        <v>657102144</v>
      </c>
      <c r="CV127" s="21">
        <v>640614080</v>
      </c>
      <c r="CW127" s="19">
        <v>137997168</v>
      </c>
      <c r="CX127" s="19">
        <v>54036352</v>
      </c>
    </row>
    <row r="128" spans="1:102">
      <c r="A128">
        <v>31044</v>
      </c>
      <c r="B128" t="s">
        <v>179</v>
      </c>
      <c r="C128" t="s">
        <v>1224</v>
      </c>
      <c r="D128" t="s">
        <v>180</v>
      </c>
      <c r="F128" t="s">
        <v>181</v>
      </c>
      <c r="G128">
        <v>1064.0840000000001</v>
      </c>
      <c r="H128" t="s">
        <v>104</v>
      </c>
      <c r="I128">
        <v>2</v>
      </c>
      <c r="J128">
        <v>21</v>
      </c>
      <c r="K128">
        <v>0</v>
      </c>
      <c r="L128">
        <v>0</v>
      </c>
      <c r="M128">
        <v>0</v>
      </c>
      <c r="N128">
        <v>-1</v>
      </c>
      <c r="O128">
        <v>30</v>
      </c>
      <c r="P128">
        <v>30</v>
      </c>
      <c r="Q128">
        <v>35</v>
      </c>
      <c r="R128">
        <v>35</v>
      </c>
      <c r="S128">
        <v>35</v>
      </c>
      <c r="T128">
        <v>35</v>
      </c>
      <c r="U128">
        <v>35</v>
      </c>
      <c r="V128">
        <v>28</v>
      </c>
      <c r="W128">
        <v>33</v>
      </c>
      <c r="X128">
        <v>29</v>
      </c>
      <c r="Y128">
        <v>35</v>
      </c>
      <c r="Z128">
        <v>34</v>
      </c>
      <c r="AA128">
        <v>33</v>
      </c>
      <c r="AB128">
        <v>35</v>
      </c>
      <c r="AC128">
        <v>35</v>
      </c>
      <c r="AD128">
        <v>35</v>
      </c>
      <c r="AE128">
        <v>34</v>
      </c>
      <c r="AF128">
        <v>34</v>
      </c>
      <c r="AG128">
        <v>35</v>
      </c>
      <c r="AH128">
        <v>35</v>
      </c>
      <c r="AI128">
        <v>35</v>
      </c>
      <c r="AJ128">
        <v>35</v>
      </c>
      <c r="AK128">
        <v>35</v>
      </c>
      <c r="AL128">
        <v>34</v>
      </c>
      <c r="AM128">
        <v>35</v>
      </c>
      <c r="AN128">
        <v>34</v>
      </c>
      <c r="AO128">
        <v>35</v>
      </c>
      <c r="AP128">
        <v>111</v>
      </c>
      <c r="AQ128">
        <v>147</v>
      </c>
      <c r="AR128">
        <v>11</v>
      </c>
      <c r="AS128">
        <v>143</v>
      </c>
      <c r="AT128">
        <v>176</v>
      </c>
      <c r="AU128">
        <v>83</v>
      </c>
      <c r="AV128">
        <v>191</v>
      </c>
      <c r="AW128">
        <v>183</v>
      </c>
      <c r="AX128">
        <v>124</v>
      </c>
      <c r="AY128">
        <v>99</v>
      </c>
      <c r="AZ128">
        <v>78</v>
      </c>
      <c r="BA128">
        <v>127</v>
      </c>
      <c r="BB128">
        <v>127</v>
      </c>
      <c r="BC128">
        <v>169</v>
      </c>
      <c r="BD128">
        <v>209</v>
      </c>
      <c r="BE128">
        <v>90</v>
      </c>
      <c r="BF128">
        <v>204</v>
      </c>
      <c r="BG128">
        <v>189</v>
      </c>
      <c r="BH128">
        <v>98</v>
      </c>
      <c r="BI128">
        <v>57</v>
      </c>
      <c r="BJ128">
        <v>892925056</v>
      </c>
      <c r="BK128">
        <v>1736916352</v>
      </c>
      <c r="BL128">
        <v>7282495.5</v>
      </c>
      <c r="BM128">
        <v>1198094336</v>
      </c>
      <c r="BN128">
        <v>2684459008</v>
      </c>
      <c r="BO128">
        <v>818049152</v>
      </c>
      <c r="BP128">
        <v>2988259840</v>
      </c>
      <c r="BQ128">
        <v>3491387904</v>
      </c>
      <c r="BR128">
        <v>1096871168</v>
      </c>
      <c r="BS128">
        <v>613758528</v>
      </c>
      <c r="BT128">
        <v>355441600</v>
      </c>
      <c r="BU128">
        <v>1170065152</v>
      </c>
      <c r="BV128">
        <v>1529269248</v>
      </c>
      <c r="BW128">
        <v>2532662784</v>
      </c>
      <c r="BX128">
        <v>4140559104</v>
      </c>
      <c r="BY128">
        <v>717454912</v>
      </c>
      <c r="BZ128">
        <v>3845496320</v>
      </c>
      <c r="CA128">
        <v>3943420416</v>
      </c>
      <c r="CB128">
        <v>739759232</v>
      </c>
      <c r="CC128">
        <v>272582496</v>
      </c>
      <c r="CD128" s="17" t="s">
        <v>1224</v>
      </c>
      <c r="CE128" s="21">
        <v>753583232</v>
      </c>
      <c r="CF128" s="21">
        <v>1522903936</v>
      </c>
      <c r="CG128" s="19">
        <v>1136449664</v>
      </c>
      <c r="CH128" s="19">
        <v>2079052160</v>
      </c>
      <c r="CI128" s="21">
        <v>2449654016</v>
      </c>
      <c r="CJ128" s="21">
        <v>5013210112</v>
      </c>
      <c r="CK128" s="19">
        <v>2919117056</v>
      </c>
      <c r="CL128" s="19">
        <v>4476106240</v>
      </c>
      <c r="CM128" s="21">
        <v>1348897408</v>
      </c>
      <c r="CN128" s="21">
        <v>956006144</v>
      </c>
      <c r="CO128" s="19">
        <v>1033200192</v>
      </c>
      <c r="CP128" s="19">
        <v>966973952</v>
      </c>
      <c r="CQ128" s="21">
        <v>1536231808</v>
      </c>
      <c r="CR128" s="21">
        <v>1780544000</v>
      </c>
      <c r="CS128" s="19">
        <v>633280128</v>
      </c>
      <c r="CT128" s="19">
        <v>709022080</v>
      </c>
      <c r="CU128" s="21">
        <v>3100916480</v>
      </c>
      <c r="CV128" s="21">
        <v>3445466624</v>
      </c>
      <c r="CW128" s="19">
        <v>691617536</v>
      </c>
      <c r="CX128" s="19">
        <v>480514848</v>
      </c>
    </row>
    <row r="129" spans="1:102">
      <c r="A129">
        <v>30998</v>
      </c>
      <c r="B129" t="s">
        <v>510</v>
      </c>
      <c r="C129" t="s">
        <v>1225</v>
      </c>
      <c r="D129" t="s">
        <v>511</v>
      </c>
      <c r="F129" t="s">
        <v>512</v>
      </c>
      <c r="G129">
        <v>174.30500000000001</v>
      </c>
      <c r="H129" t="s">
        <v>104</v>
      </c>
      <c r="I129">
        <v>2</v>
      </c>
      <c r="J129">
        <v>21</v>
      </c>
      <c r="K129">
        <v>0</v>
      </c>
      <c r="L129">
        <v>0</v>
      </c>
      <c r="M129">
        <v>0</v>
      </c>
      <c r="N129">
        <v>-1</v>
      </c>
      <c r="O129">
        <v>11</v>
      </c>
      <c r="P129">
        <v>11</v>
      </c>
      <c r="Q129">
        <v>11</v>
      </c>
      <c r="R129">
        <v>11</v>
      </c>
      <c r="S129">
        <v>11</v>
      </c>
      <c r="T129">
        <v>11</v>
      </c>
      <c r="U129">
        <v>11</v>
      </c>
      <c r="V129">
        <v>9</v>
      </c>
      <c r="W129">
        <v>9</v>
      </c>
      <c r="X129">
        <v>7</v>
      </c>
      <c r="Y129">
        <v>11</v>
      </c>
      <c r="Z129">
        <v>11</v>
      </c>
      <c r="AA129">
        <v>11</v>
      </c>
      <c r="AB129">
        <v>11</v>
      </c>
      <c r="AC129">
        <v>11</v>
      </c>
      <c r="AD129">
        <v>11</v>
      </c>
      <c r="AE129">
        <v>11</v>
      </c>
      <c r="AF129">
        <v>11</v>
      </c>
      <c r="AG129">
        <v>11</v>
      </c>
      <c r="AH129">
        <v>11</v>
      </c>
      <c r="AI129">
        <v>11</v>
      </c>
      <c r="AJ129">
        <v>11</v>
      </c>
      <c r="AK129">
        <v>11</v>
      </c>
      <c r="AL129">
        <v>10</v>
      </c>
      <c r="AM129">
        <v>11</v>
      </c>
      <c r="AN129">
        <v>11</v>
      </c>
      <c r="AO129">
        <v>11</v>
      </c>
      <c r="AP129">
        <v>6</v>
      </c>
      <c r="AQ129">
        <v>7</v>
      </c>
      <c r="AR129">
        <v>2</v>
      </c>
      <c r="AS129">
        <v>8</v>
      </c>
      <c r="AT129">
        <v>16</v>
      </c>
      <c r="AU129">
        <v>7</v>
      </c>
      <c r="AV129">
        <v>16</v>
      </c>
      <c r="AW129">
        <v>15</v>
      </c>
      <c r="AX129">
        <v>12</v>
      </c>
      <c r="AY129">
        <v>7</v>
      </c>
      <c r="AZ129">
        <v>4</v>
      </c>
      <c r="BA129">
        <v>7</v>
      </c>
      <c r="BB129">
        <v>10</v>
      </c>
      <c r="BC129">
        <v>15</v>
      </c>
      <c r="BD129">
        <v>17</v>
      </c>
      <c r="BE129">
        <v>6</v>
      </c>
      <c r="BF129">
        <v>18</v>
      </c>
      <c r="BG129">
        <v>11</v>
      </c>
      <c r="BH129">
        <v>10</v>
      </c>
      <c r="BI129">
        <v>3</v>
      </c>
      <c r="BJ129">
        <v>91218880</v>
      </c>
      <c r="BK129">
        <v>160527152</v>
      </c>
      <c r="BL129">
        <v>1793598.25</v>
      </c>
      <c r="BM129">
        <v>119781416</v>
      </c>
      <c r="BN129">
        <v>335449024</v>
      </c>
      <c r="BO129">
        <v>123678992</v>
      </c>
      <c r="BP129">
        <v>407302176</v>
      </c>
      <c r="BQ129">
        <v>331034592</v>
      </c>
      <c r="BR129">
        <v>179929744</v>
      </c>
      <c r="BS129">
        <v>115107944</v>
      </c>
      <c r="BT129">
        <v>40556016</v>
      </c>
      <c r="BU129">
        <v>88508616</v>
      </c>
      <c r="BV129">
        <v>169223232</v>
      </c>
      <c r="BW129">
        <v>221942352</v>
      </c>
      <c r="BX129">
        <v>470452256</v>
      </c>
      <c r="BY129">
        <v>59058680</v>
      </c>
      <c r="BZ129">
        <v>495380384</v>
      </c>
      <c r="CA129">
        <v>260199856</v>
      </c>
      <c r="CB129">
        <v>107445296</v>
      </c>
      <c r="CC129">
        <v>24027192</v>
      </c>
      <c r="CD129" s="17" t="s">
        <v>1225</v>
      </c>
      <c r="CE129" s="21">
        <v>99778856</v>
      </c>
      <c r="CF129" s="21">
        <v>149495760</v>
      </c>
      <c r="CG129" s="19">
        <v>200280880</v>
      </c>
      <c r="CH129" s="19">
        <v>236967792</v>
      </c>
      <c r="CI129" s="21">
        <v>187776368</v>
      </c>
      <c r="CJ129" s="21">
        <v>319575968</v>
      </c>
      <c r="CK129" s="19">
        <v>200686208</v>
      </c>
      <c r="CL129" s="19">
        <v>285134720</v>
      </c>
      <c r="CM129" s="21">
        <v>261144752</v>
      </c>
      <c r="CN129" s="21">
        <v>198800720</v>
      </c>
      <c r="CO129" s="19">
        <v>66183848</v>
      </c>
      <c r="CP129" s="19">
        <v>74015792</v>
      </c>
      <c r="CQ129" s="21">
        <v>127222544</v>
      </c>
      <c r="CR129" s="21">
        <v>151510368</v>
      </c>
      <c r="CS129" s="19">
        <v>116251240</v>
      </c>
      <c r="CT129" s="19">
        <v>71293208</v>
      </c>
      <c r="CU129" s="21">
        <v>291736416</v>
      </c>
      <c r="CV129" s="21">
        <v>201827152</v>
      </c>
      <c r="CW129" s="19">
        <v>147803360</v>
      </c>
      <c r="CX129" s="19">
        <v>90774288</v>
      </c>
    </row>
    <row r="130" spans="1:102">
      <c r="A130">
        <v>30944</v>
      </c>
      <c r="B130" t="s">
        <v>397</v>
      </c>
      <c r="C130" t="s">
        <v>1226</v>
      </c>
      <c r="D130" t="s">
        <v>398</v>
      </c>
      <c r="F130" t="s">
        <v>399</v>
      </c>
      <c r="G130">
        <v>400.83499999999998</v>
      </c>
      <c r="H130" t="s">
        <v>104</v>
      </c>
      <c r="I130">
        <v>2</v>
      </c>
      <c r="J130">
        <v>19</v>
      </c>
      <c r="K130">
        <v>0</v>
      </c>
      <c r="L130">
        <v>0</v>
      </c>
      <c r="M130">
        <v>0</v>
      </c>
      <c r="N130">
        <v>-1</v>
      </c>
      <c r="O130">
        <v>10</v>
      </c>
      <c r="P130">
        <v>10</v>
      </c>
      <c r="Q130">
        <v>12</v>
      </c>
      <c r="R130">
        <v>12</v>
      </c>
      <c r="S130">
        <v>12</v>
      </c>
      <c r="T130">
        <v>12</v>
      </c>
      <c r="U130">
        <v>12</v>
      </c>
      <c r="V130">
        <v>7</v>
      </c>
      <c r="W130">
        <v>9</v>
      </c>
      <c r="X130">
        <v>10</v>
      </c>
      <c r="Y130">
        <v>12</v>
      </c>
      <c r="Z130">
        <v>12</v>
      </c>
      <c r="AA130">
        <v>12</v>
      </c>
      <c r="AB130">
        <v>12</v>
      </c>
      <c r="AC130">
        <v>12</v>
      </c>
      <c r="AD130">
        <v>12</v>
      </c>
      <c r="AE130">
        <v>12</v>
      </c>
      <c r="AF130">
        <v>11</v>
      </c>
      <c r="AG130">
        <v>11</v>
      </c>
      <c r="AH130">
        <v>12</v>
      </c>
      <c r="AI130">
        <v>12</v>
      </c>
      <c r="AJ130">
        <v>12</v>
      </c>
      <c r="AK130">
        <v>11</v>
      </c>
      <c r="AL130">
        <v>12</v>
      </c>
      <c r="AM130">
        <v>12</v>
      </c>
      <c r="AN130">
        <v>12</v>
      </c>
      <c r="AO130">
        <v>11</v>
      </c>
      <c r="AP130">
        <v>15</v>
      </c>
      <c r="AQ130">
        <v>11</v>
      </c>
      <c r="AR130">
        <v>5</v>
      </c>
      <c r="AS130">
        <v>13</v>
      </c>
      <c r="AT130">
        <v>17</v>
      </c>
      <c r="AU130">
        <v>12</v>
      </c>
      <c r="AV130">
        <v>19</v>
      </c>
      <c r="AW130">
        <v>38</v>
      </c>
      <c r="AX130">
        <v>20</v>
      </c>
      <c r="AY130">
        <v>12</v>
      </c>
      <c r="AZ130">
        <v>10</v>
      </c>
      <c r="BA130">
        <v>12</v>
      </c>
      <c r="BB130">
        <v>13</v>
      </c>
      <c r="BC130">
        <v>25</v>
      </c>
      <c r="BD130">
        <v>44</v>
      </c>
      <c r="BE130">
        <v>9</v>
      </c>
      <c r="BF130">
        <v>40</v>
      </c>
      <c r="BG130">
        <v>35</v>
      </c>
      <c r="BH130">
        <v>23</v>
      </c>
      <c r="BI130">
        <v>9</v>
      </c>
      <c r="BJ130">
        <v>141895504</v>
      </c>
      <c r="BK130">
        <v>120445664</v>
      </c>
      <c r="BL130">
        <v>8590189</v>
      </c>
      <c r="BM130">
        <v>88368928</v>
      </c>
      <c r="BN130">
        <v>165394256</v>
      </c>
      <c r="BO130">
        <v>117418424</v>
      </c>
      <c r="BP130">
        <v>207133616</v>
      </c>
      <c r="BQ130">
        <v>818747776</v>
      </c>
      <c r="BR130">
        <v>234579904</v>
      </c>
      <c r="BS130">
        <v>101102184</v>
      </c>
      <c r="BT130">
        <v>34579220</v>
      </c>
      <c r="BU130">
        <v>80751352</v>
      </c>
      <c r="BV130">
        <v>218421216</v>
      </c>
      <c r="BW130">
        <v>416644288</v>
      </c>
      <c r="BX130">
        <v>946448384</v>
      </c>
      <c r="BY130">
        <v>59961944</v>
      </c>
      <c r="BZ130">
        <v>932241600</v>
      </c>
      <c r="CA130">
        <v>782470912</v>
      </c>
      <c r="CB130">
        <v>220255952</v>
      </c>
      <c r="CC130">
        <v>58808612</v>
      </c>
      <c r="CD130" s="17" t="s">
        <v>1226</v>
      </c>
      <c r="CE130" s="21">
        <v>32680940</v>
      </c>
      <c r="CF130" s="21">
        <v>243331328</v>
      </c>
      <c r="CG130" s="19">
        <v>1854355840</v>
      </c>
      <c r="CH130" s="19">
        <v>207937776</v>
      </c>
      <c r="CI130" s="21">
        <v>156006496</v>
      </c>
      <c r="CJ130" s="21">
        <v>681856320</v>
      </c>
      <c r="CK130" s="19">
        <v>252304480</v>
      </c>
      <c r="CL130" s="19">
        <v>554688576</v>
      </c>
      <c r="CM130" s="21">
        <v>225607536</v>
      </c>
      <c r="CN130" s="21">
        <v>221907856</v>
      </c>
      <c r="CO130" s="19">
        <v>51805260</v>
      </c>
      <c r="CP130" s="19">
        <v>75863224</v>
      </c>
      <c r="CQ130" s="21">
        <v>147273344</v>
      </c>
      <c r="CR130" s="21">
        <v>220607648</v>
      </c>
      <c r="CS130" s="19">
        <v>83850176</v>
      </c>
      <c r="CT130" s="19">
        <v>106777424</v>
      </c>
      <c r="CU130" s="21">
        <v>439173984</v>
      </c>
      <c r="CV130" s="21">
        <v>483518144</v>
      </c>
      <c r="CW130" s="19">
        <v>117740200</v>
      </c>
      <c r="CX130" s="19">
        <v>99235080</v>
      </c>
    </row>
    <row r="131" spans="1:102">
      <c r="A131">
        <v>30991</v>
      </c>
      <c r="B131" t="s">
        <v>206</v>
      </c>
      <c r="C131" t="s">
        <v>1227</v>
      </c>
      <c r="D131" t="s">
        <v>207</v>
      </c>
      <c r="F131" t="s">
        <v>208</v>
      </c>
      <c r="G131">
        <v>933.58299999999997</v>
      </c>
      <c r="H131" t="s">
        <v>104</v>
      </c>
      <c r="I131">
        <v>2</v>
      </c>
      <c r="J131">
        <v>21</v>
      </c>
      <c r="K131">
        <v>0</v>
      </c>
      <c r="L131">
        <v>0</v>
      </c>
      <c r="M131">
        <v>0</v>
      </c>
      <c r="N131">
        <v>-1</v>
      </c>
      <c r="O131">
        <v>22</v>
      </c>
      <c r="P131">
        <v>22</v>
      </c>
      <c r="Q131">
        <v>24</v>
      </c>
      <c r="R131">
        <v>24</v>
      </c>
      <c r="S131">
        <v>24</v>
      </c>
      <c r="T131">
        <v>24</v>
      </c>
      <c r="U131">
        <v>24</v>
      </c>
      <c r="V131">
        <v>14</v>
      </c>
      <c r="W131">
        <v>21</v>
      </c>
      <c r="X131">
        <v>19</v>
      </c>
      <c r="Y131">
        <v>23</v>
      </c>
      <c r="Z131">
        <v>23</v>
      </c>
      <c r="AA131">
        <v>20</v>
      </c>
      <c r="AB131">
        <v>24</v>
      </c>
      <c r="AC131">
        <v>24</v>
      </c>
      <c r="AD131">
        <v>23</v>
      </c>
      <c r="AE131">
        <v>23</v>
      </c>
      <c r="AF131">
        <v>23</v>
      </c>
      <c r="AG131">
        <v>24</v>
      </c>
      <c r="AH131">
        <v>24</v>
      </c>
      <c r="AI131">
        <v>24</v>
      </c>
      <c r="AJ131">
        <v>24</v>
      </c>
      <c r="AK131">
        <v>24</v>
      </c>
      <c r="AL131">
        <v>22</v>
      </c>
      <c r="AM131">
        <v>24</v>
      </c>
      <c r="AN131">
        <v>23</v>
      </c>
      <c r="AO131">
        <v>24</v>
      </c>
      <c r="AP131">
        <v>51</v>
      </c>
      <c r="AQ131">
        <v>78</v>
      </c>
      <c r="AR131">
        <v>5</v>
      </c>
      <c r="AS131">
        <v>75</v>
      </c>
      <c r="AT131">
        <v>125</v>
      </c>
      <c r="AU131">
        <v>37</v>
      </c>
      <c r="AV131">
        <v>125</v>
      </c>
      <c r="AW131">
        <v>96</v>
      </c>
      <c r="AX131">
        <v>70</v>
      </c>
      <c r="AY131">
        <v>62</v>
      </c>
      <c r="AZ131">
        <v>41</v>
      </c>
      <c r="BA131">
        <v>53</v>
      </c>
      <c r="BB131">
        <v>75</v>
      </c>
      <c r="BC131">
        <v>83</v>
      </c>
      <c r="BD131">
        <v>137</v>
      </c>
      <c r="BE131">
        <v>44</v>
      </c>
      <c r="BF131">
        <v>137</v>
      </c>
      <c r="BG131">
        <v>88</v>
      </c>
      <c r="BH131">
        <v>48</v>
      </c>
      <c r="BI131">
        <v>20</v>
      </c>
      <c r="BJ131">
        <v>215737520</v>
      </c>
      <c r="BK131">
        <v>835598208</v>
      </c>
      <c r="BL131">
        <v>4946649</v>
      </c>
      <c r="BM131">
        <v>631852736</v>
      </c>
      <c r="BN131">
        <v>2373391872</v>
      </c>
      <c r="BO131">
        <v>277035232</v>
      </c>
      <c r="BP131">
        <v>2389484544</v>
      </c>
      <c r="BQ131">
        <v>1620535424</v>
      </c>
      <c r="BR131">
        <v>673122624</v>
      </c>
      <c r="BS131">
        <v>417578240</v>
      </c>
      <c r="BT131">
        <v>182824048</v>
      </c>
      <c r="BU131">
        <v>467328416</v>
      </c>
      <c r="BV131">
        <v>996484352</v>
      </c>
      <c r="BW131">
        <v>1120483584</v>
      </c>
      <c r="BX131">
        <v>3291469568</v>
      </c>
      <c r="BY131">
        <v>308598144</v>
      </c>
      <c r="BZ131">
        <v>3371180544</v>
      </c>
      <c r="CA131">
        <v>1650543232</v>
      </c>
      <c r="CB131">
        <v>313304256</v>
      </c>
      <c r="CC131">
        <v>85121816</v>
      </c>
      <c r="CD131" s="17" t="s">
        <v>1227</v>
      </c>
      <c r="CE131" s="21">
        <v>104238880</v>
      </c>
      <c r="CF131" s="21">
        <v>863545088</v>
      </c>
      <c r="CG131" s="19">
        <v>983121856</v>
      </c>
      <c r="CH131" s="19">
        <v>1236778496</v>
      </c>
      <c r="CI131" s="21">
        <v>2259631360</v>
      </c>
      <c r="CJ131" s="21">
        <v>3888710400</v>
      </c>
      <c r="CK131" s="19">
        <v>2210830592</v>
      </c>
      <c r="CL131" s="19">
        <v>3872662528</v>
      </c>
      <c r="CM131" s="21">
        <v>743054656</v>
      </c>
      <c r="CN131" s="21">
        <v>309591776</v>
      </c>
      <c r="CO131" s="19">
        <v>464871552</v>
      </c>
      <c r="CP131" s="19">
        <v>462209120</v>
      </c>
      <c r="CQ131" s="21">
        <v>941157760</v>
      </c>
      <c r="CR131" s="21">
        <v>977677440</v>
      </c>
      <c r="CS131" s="19">
        <v>187382608</v>
      </c>
      <c r="CT131" s="19">
        <v>330496480</v>
      </c>
      <c r="CU131" s="21">
        <v>1587017216</v>
      </c>
      <c r="CV131" s="21">
        <v>1520431872</v>
      </c>
      <c r="CW131" s="19">
        <v>519215360</v>
      </c>
      <c r="CX131" s="19">
        <v>146007120</v>
      </c>
    </row>
    <row r="132" spans="1:102">
      <c r="A132">
        <v>31049</v>
      </c>
      <c r="B132" t="s">
        <v>334</v>
      </c>
      <c r="C132" t="s">
        <v>1228</v>
      </c>
      <c r="D132" t="s">
        <v>335</v>
      </c>
      <c r="F132" t="s">
        <v>336</v>
      </c>
      <c r="G132">
        <v>483.99700000000001</v>
      </c>
      <c r="H132" t="s">
        <v>104</v>
      </c>
      <c r="I132">
        <v>2</v>
      </c>
      <c r="J132">
        <v>5</v>
      </c>
      <c r="K132">
        <v>0</v>
      </c>
      <c r="L132">
        <v>0</v>
      </c>
      <c r="M132">
        <v>0</v>
      </c>
      <c r="N132">
        <v>-1</v>
      </c>
      <c r="O132">
        <v>17</v>
      </c>
      <c r="P132">
        <v>17</v>
      </c>
      <c r="Q132">
        <v>17</v>
      </c>
      <c r="R132">
        <v>17</v>
      </c>
      <c r="S132">
        <v>17</v>
      </c>
      <c r="T132">
        <v>17</v>
      </c>
      <c r="U132">
        <v>17</v>
      </c>
      <c r="V132">
        <v>10</v>
      </c>
      <c r="W132">
        <v>15</v>
      </c>
      <c r="X132">
        <v>13</v>
      </c>
      <c r="Y132">
        <v>17</v>
      </c>
      <c r="Z132">
        <v>17</v>
      </c>
      <c r="AA132">
        <v>16</v>
      </c>
      <c r="AB132">
        <v>17</v>
      </c>
      <c r="AC132">
        <v>17</v>
      </c>
      <c r="AD132">
        <v>17</v>
      </c>
      <c r="AE132">
        <v>17</v>
      </c>
      <c r="AF132">
        <v>17</v>
      </c>
      <c r="AG132">
        <v>17</v>
      </c>
      <c r="AH132">
        <v>17</v>
      </c>
      <c r="AI132">
        <v>17</v>
      </c>
      <c r="AJ132">
        <v>17</v>
      </c>
      <c r="AK132">
        <v>17</v>
      </c>
      <c r="AL132">
        <v>17</v>
      </c>
      <c r="AM132">
        <v>17</v>
      </c>
      <c r="AN132">
        <v>17</v>
      </c>
      <c r="AO132">
        <v>17</v>
      </c>
      <c r="AP132">
        <v>21</v>
      </c>
      <c r="AQ132">
        <v>48</v>
      </c>
      <c r="AR132">
        <v>21</v>
      </c>
      <c r="AS132">
        <v>41</v>
      </c>
      <c r="AT132">
        <v>75</v>
      </c>
      <c r="AU132">
        <v>36</v>
      </c>
      <c r="AV132">
        <v>77</v>
      </c>
      <c r="AW132">
        <v>59</v>
      </c>
      <c r="AX132">
        <v>50</v>
      </c>
      <c r="AY132">
        <v>47</v>
      </c>
      <c r="AZ132">
        <v>25</v>
      </c>
      <c r="BA132">
        <v>37</v>
      </c>
      <c r="BB132">
        <v>41</v>
      </c>
      <c r="BC132">
        <v>39</v>
      </c>
      <c r="BD132">
        <v>89</v>
      </c>
      <c r="BE132">
        <v>48</v>
      </c>
      <c r="BF132">
        <v>98</v>
      </c>
      <c r="BG132">
        <v>67</v>
      </c>
      <c r="BH132">
        <v>32</v>
      </c>
      <c r="BI132">
        <v>28</v>
      </c>
      <c r="BJ132">
        <v>43887564</v>
      </c>
      <c r="BK132">
        <v>152028048</v>
      </c>
      <c r="BL132">
        <v>6968298</v>
      </c>
      <c r="BM132">
        <v>106602632</v>
      </c>
      <c r="BN132">
        <v>445787552</v>
      </c>
      <c r="BO132">
        <v>68695728</v>
      </c>
      <c r="BP132">
        <v>472022720</v>
      </c>
      <c r="BQ132">
        <v>301576576</v>
      </c>
      <c r="BR132">
        <v>114896792</v>
      </c>
      <c r="BS132">
        <v>92516256</v>
      </c>
      <c r="BT132">
        <v>40017984</v>
      </c>
      <c r="BU132">
        <v>97601296</v>
      </c>
      <c r="BV132">
        <v>194385344</v>
      </c>
      <c r="BW132">
        <v>210012704</v>
      </c>
      <c r="BX132">
        <v>717690304</v>
      </c>
      <c r="BY132">
        <v>71587472</v>
      </c>
      <c r="BZ132">
        <v>816035392</v>
      </c>
      <c r="CA132">
        <v>351267456</v>
      </c>
      <c r="CB132">
        <v>76959736</v>
      </c>
      <c r="CC132">
        <v>33645244</v>
      </c>
      <c r="CD132" s="17" t="s">
        <v>1228</v>
      </c>
      <c r="CE132" s="21">
        <v>5858062</v>
      </c>
      <c r="CF132" s="21">
        <v>170553200</v>
      </c>
      <c r="CG132" s="19">
        <v>295211584</v>
      </c>
      <c r="CH132" s="19">
        <v>315396960</v>
      </c>
      <c r="CI132" s="21">
        <v>502548480</v>
      </c>
      <c r="CJ132" s="21">
        <v>688976960</v>
      </c>
      <c r="CK132" s="19">
        <v>408832448</v>
      </c>
      <c r="CL132" s="19">
        <v>769405184</v>
      </c>
      <c r="CM132" s="21">
        <v>134347776</v>
      </c>
      <c r="CN132" s="21">
        <v>72408216</v>
      </c>
      <c r="CO132" s="19">
        <v>120960176</v>
      </c>
      <c r="CP132" s="19">
        <v>116915880</v>
      </c>
      <c r="CQ132" s="21">
        <v>209051712</v>
      </c>
      <c r="CR132" s="21">
        <v>130330304</v>
      </c>
      <c r="CS132" s="19">
        <v>25010608</v>
      </c>
      <c r="CT132" s="19">
        <v>106472952</v>
      </c>
      <c r="CU132" s="21">
        <v>155327504</v>
      </c>
      <c r="CV132" s="21">
        <v>289893344</v>
      </c>
      <c r="CW132" s="19">
        <v>149581520</v>
      </c>
      <c r="CX132" s="19">
        <v>72550888</v>
      </c>
    </row>
    <row r="133" spans="1:102">
      <c r="A133">
        <v>30977</v>
      </c>
      <c r="B133" t="s">
        <v>289</v>
      </c>
      <c r="C133" t="s">
        <v>1229</v>
      </c>
      <c r="D133" t="s">
        <v>290</v>
      </c>
      <c r="E133" t="s">
        <v>291</v>
      </c>
      <c r="F133" t="s">
        <v>292</v>
      </c>
      <c r="G133">
        <v>598.21500000000003</v>
      </c>
      <c r="H133" t="s">
        <v>104</v>
      </c>
      <c r="I133">
        <v>2</v>
      </c>
      <c r="J133">
        <v>14</v>
      </c>
      <c r="K133">
        <v>7</v>
      </c>
      <c r="L133">
        <v>0</v>
      </c>
      <c r="M133">
        <v>0</v>
      </c>
      <c r="N133">
        <v>-1</v>
      </c>
      <c r="O133">
        <v>18</v>
      </c>
      <c r="P133">
        <v>18</v>
      </c>
      <c r="Q133">
        <v>18</v>
      </c>
      <c r="R133">
        <v>18</v>
      </c>
      <c r="S133">
        <v>18</v>
      </c>
      <c r="T133">
        <v>18</v>
      </c>
      <c r="U133">
        <v>18</v>
      </c>
      <c r="V133">
        <v>11</v>
      </c>
      <c r="W133">
        <v>14</v>
      </c>
      <c r="X133">
        <v>13</v>
      </c>
      <c r="Y133">
        <v>18</v>
      </c>
      <c r="Z133">
        <v>18</v>
      </c>
      <c r="AA133">
        <v>14</v>
      </c>
      <c r="AB133">
        <v>18</v>
      </c>
      <c r="AC133">
        <v>16</v>
      </c>
      <c r="AD133">
        <v>18</v>
      </c>
      <c r="AE133">
        <v>18</v>
      </c>
      <c r="AF133">
        <v>18</v>
      </c>
      <c r="AG133">
        <v>18</v>
      </c>
      <c r="AH133">
        <v>18</v>
      </c>
      <c r="AI133">
        <v>18</v>
      </c>
      <c r="AJ133">
        <v>18</v>
      </c>
      <c r="AK133">
        <v>18</v>
      </c>
      <c r="AL133">
        <v>18</v>
      </c>
      <c r="AM133">
        <v>18</v>
      </c>
      <c r="AN133">
        <v>17</v>
      </c>
      <c r="AO133">
        <v>17</v>
      </c>
      <c r="AP133">
        <v>29</v>
      </c>
      <c r="AQ133">
        <v>19</v>
      </c>
      <c r="AR133">
        <v>1</v>
      </c>
      <c r="AS133">
        <v>22</v>
      </c>
      <c r="AT133">
        <v>35</v>
      </c>
      <c r="AU133">
        <v>20</v>
      </c>
      <c r="AV133">
        <v>43</v>
      </c>
      <c r="AW133">
        <v>65</v>
      </c>
      <c r="AX133">
        <v>30</v>
      </c>
      <c r="AY133">
        <v>19</v>
      </c>
      <c r="AZ133">
        <v>12</v>
      </c>
      <c r="BA133">
        <v>18</v>
      </c>
      <c r="BB133">
        <v>23</v>
      </c>
      <c r="BC133">
        <v>34</v>
      </c>
      <c r="BD133">
        <v>79</v>
      </c>
      <c r="BE133">
        <v>12</v>
      </c>
      <c r="BF133">
        <v>87</v>
      </c>
      <c r="BG133">
        <v>56</v>
      </c>
      <c r="BH133">
        <v>24</v>
      </c>
      <c r="BI133">
        <v>10</v>
      </c>
      <c r="BJ133">
        <v>106935696</v>
      </c>
      <c r="BK133">
        <v>141792368</v>
      </c>
      <c r="BL133">
        <v>4084699.25</v>
      </c>
      <c r="BM133">
        <v>125124776</v>
      </c>
      <c r="BN133">
        <v>292614752</v>
      </c>
      <c r="BO133">
        <v>135588000</v>
      </c>
      <c r="BP133">
        <v>434483936</v>
      </c>
      <c r="BQ133">
        <v>1011361984</v>
      </c>
      <c r="BR133">
        <v>275084672</v>
      </c>
      <c r="BS133">
        <v>111491328</v>
      </c>
      <c r="BT133">
        <v>54370188</v>
      </c>
      <c r="BU133">
        <v>95849736</v>
      </c>
      <c r="BV133">
        <v>241713600</v>
      </c>
      <c r="BW133">
        <v>515267040</v>
      </c>
      <c r="BX133">
        <v>1357368192</v>
      </c>
      <c r="BY133">
        <v>69224456</v>
      </c>
      <c r="BZ133">
        <v>1372390656</v>
      </c>
      <c r="CA133">
        <v>950247616</v>
      </c>
      <c r="CB133">
        <v>268918560</v>
      </c>
      <c r="CC133">
        <v>55729084</v>
      </c>
      <c r="CD133" s="17" t="s">
        <v>1229</v>
      </c>
      <c r="CE133" s="21">
        <v>14776913</v>
      </c>
      <c r="CF133" s="21">
        <v>235223248</v>
      </c>
      <c r="CG133" s="19">
        <v>285944096</v>
      </c>
      <c r="CH133" s="19">
        <v>266574192</v>
      </c>
      <c r="CI133" s="21">
        <v>304018240</v>
      </c>
      <c r="CJ133" s="21">
        <v>1567421824</v>
      </c>
      <c r="CK133" s="19">
        <v>571039360</v>
      </c>
      <c r="CL133" s="19">
        <v>1543333888</v>
      </c>
      <c r="CM133" s="21">
        <v>194755216</v>
      </c>
      <c r="CN133" s="21">
        <v>208294320</v>
      </c>
      <c r="CO133" s="19">
        <v>66761632</v>
      </c>
      <c r="CP133" s="19">
        <v>80378400</v>
      </c>
      <c r="CQ133" s="21">
        <v>158647104</v>
      </c>
      <c r="CR133" s="21">
        <v>321134048</v>
      </c>
      <c r="CS133" s="19">
        <v>42807804</v>
      </c>
      <c r="CT133" s="19">
        <v>67093340</v>
      </c>
      <c r="CU133" s="21">
        <v>764498560</v>
      </c>
      <c r="CV133" s="21">
        <v>671179776</v>
      </c>
      <c r="CW133" s="19">
        <v>96411968</v>
      </c>
      <c r="CX133" s="19">
        <v>57236472</v>
      </c>
    </row>
    <row r="134" spans="1:102">
      <c r="A134">
        <v>31022</v>
      </c>
      <c r="B134" t="s">
        <v>282</v>
      </c>
      <c r="C134" t="s">
        <v>1230</v>
      </c>
      <c r="D134" t="s">
        <v>283</v>
      </c>
      <c r="E134" t="s">
        <v>284</v>
      </c>
      <c r="F134" t="s">
        <v>285</v>
      </c>
      <c r="G134">
        <v>622.66300000000001</v>
      </c>
      <c r="H134" t="s">
        <v>104</v>
      </c>
      <c r="I134">
        <v>2</v>
      </c>
      <c r="J134">
        <v>9</v>
      </c>
      <c r="K134">
        <v>10</v>
      </c>
      <c r="L134">
        <v>0</v>
      </c>
      <c r="M134">
        <v>0</v>
      </c>
      <c r="N134">
        <v>-1</v>
      </c>
      <c r="O134">
        <v>16</v>
      </c>
      <c r="P134">
        <v>16</v>
      </c>
      <c r="Q134">
        <v>20</v>
      </c>
      <c r="R134">
        <v>20</v>
      </c>
      <c r="S134">
        <v>20</v>
      </c>
      <c r="T134">
        <v>20</v>
      </c>
      <c r="U134">
        <v>20</v>
      </c>
      <c r="V134">
        <v>16</v>
      </c>
      <c r="W134">
        <v>18</v>
      </c>
      <c r="X134">
        <v>17</v>
      </c>
      <c r="Y134">
        <v>20</v>
      </c>
      <c r="Z134">
        <v>20</v>
      </c>
      <c r="AA134">
        <v>20</v>
      </c>
      <c r="AB134">
        <v>20</v>
      </c>
      <c r="AC134">
        <v>20</v>
      </c>
      <c r="AD134">
        <v>20</v>
      </c>
      <c r="AE134">
        <v>20</v>
      </c>
      <c r="AF134">
        <v>20</v>
      </c>
      <c r="AG134">
        <v>20</v>
      </c>
      <c r="AH134">
        <v>20</v>
      </c>
      <c r="AI134">
        <v>20</v>
      </c>
      <c r="AJ134">
        <v>20</v>
      </c>
      <c r="AK134">
        <v>20</v>
      </c>
      <c r="AL134">
        <v>20</v>
      </c>
      <c r="AM134">
        <v>20</v>
      </c>
      <c r="AN134">
        <v>20</v>
      </c>
      <c r="AO134">
        <v>20</v>
      </c>
      <c r="AP134">
        <v>71</v>
      </c>
      <c r="AQ134">
        <v>49</v>
      </c>
      <c r="AR134">
        <v>2</v>
      </c>
      <c r="AS134">
        <v>39</v>
      </c>
      <c r="AT134">
        <v>62</v>
      </c>
      <c r="AU134">
        <v>51</v>
      </c>
      <c r="AV134">
        <v>61</v>
      </c>
      <c r="AW134">
        <v>68</v>
      </c>
      <c r="AX134">
        <v>53</v>
      </c>
      <c r="AY134">
        <v>45</v>
      </c>
      <c r="AZ134">
        <v>31</v>
      </c>
      <c r="BA134">
        <v>37</v>
      </c>
      <c r="BB134">
        <v>46</v>
      </c>
      <c r="BC134">
        <v>51</v>
      </c>
      <c r="BD134">
        <v>70</v>
      </c>
      <c r="BE134">
        <v>43</v>
      </c>
      <c r="BF134">
        <v>65</v>
      </c>
      <c r="BG134">
        <v>74</v>
      </c>
      <c r="BH134">
        <v>41</v>
      </c>
      <c r="BI134">
        <v>22</v>
      </c>
      <c r="BJ134">
        <v>458806240</v>
      </c>
      <c r="BK134">
        <v>519455872</v>
      </c>
      <c r="BL134">
        <v>4865891.5</v>
      </c>
      <c r="BM134">
        <v>233968288</v>
      </c>
      <c r="BN134">
        <v>689220032</v>
      </c>
      <c r="BO134">
        <v>582087808</v>
      </c>
      <c r="BP134">
        <v>679547968</v>
      </c>
      <c r="BQ134">
        <v>1105044608</v>
      </c>
      <c r="BR134">
        <v>501134496</v>
      </c>
      <c r="BS134">
        <v>458594368</v>
      </c>
      <c r="BT134">
        <v>103753864</v>
      </c>
      <c r="BU134">
        <v>407540640</v>
      </c>
      <c r="BV134">
        <v>467434816</v>
      </c>
      <c r="BW134">
        <v>606189952</v>
      </c>
      <c r="BX134">
        <v>1072494272</v>
      </c>
      <c r="BY134">
        <v>424105920</v>
      </c>
      <c r="BZ134">
        <v>782268672</v>
      </c>
      <c r="CA134">
        <v>1102311936</v>
      </c>
      <c r="CB134">
        <v>366258080</v>
      </c>
      <c r="CC134">
        <v>147889440</v>
      </c>
      <c r="CD134" s="17" t="s">
        <v>1230</v>
      </c>
      <c r="CE134" s="21">
        <v>357061760</v>
      </c>
      <c r="CF134" s="21">
        <v>420787136</v>
      </c>
      <c r="CG134" s="19">
        <v>382090880</v>
      </c>
      <c r="CH134" s="19">
        <v>627305216</v>
      </c>
      <c r="CI134" s="21">
        <v>590557888</v>
      </c>
      <c r="CJ134" s="21">
        <v>1198802944</v>
      </c>
      <c r="CK134" s="19">
        <v>664159040</v>
      </c>
      <c r="CL134" s="19">
        <v>926383488</v>
      </c>
      <c r="CM134" s="21">
        <v>505142624</v>
      </c>
      <c r="CN134" s="21">
        <v>412945088</v>
      </c>
      <c r="CO134" s="19">
        <v>313541664</v>
      </c>
      <c r="CP134" s="19">
        <v>333647456</v>
      </c>
      <c r="CQ134" s="21">
        <v>324576288</v>
      </c>
      <c r="CR134" s="21">
        <v>404127264</v>
      </c>
      <c r="CS134" s="19">
        <v>339432896</v>
      </c>
      <c r="CT134" s="19">
        <v>313655104</v>
      </c>
      <c r="CU134" s="21">
        <v>906272960</v>
      </c>
      <c r="CV134" s="21">
        <v>1083861632</v>
      </c>
      <c r="CW134" s="19">
        <v>373754528</v>
      </c>
      <c r="CX134" s="19">
        <v>215984352</v>
      </c>
    </row>
    <row r="135" spans="1:102">
      <c r="A135">
        <v>31001</v>
      </c>
      <c r="B135" t="s">
        <v>440</v>
      </c>
      <c r="C135" t="s">
        <v>1231</v>
      </c>
      <c r="D135" t="s">
        <v>441</v>
      </c>
      <c r="E135" t="s">
        <v>442</v>
      </c>
      <c r="F135" t="s">
        <v>443</v>
      </c>
      <c r="G135">
        <v>256.21699999999998</v>
      </c>
      <c r="H135" t="s">
        <v>104</v>
      </c>
      <c r="I135">
        <v>2</v>
      </c>
      <c r="J135">
        <v>19</v>
      </c>
      <c r="K135">
        <v>1</v>
      </c>
      <c r="L135">
        <v>0</v>
      </c>
      <c r="M135">
        <v>0</v>
      </c>
      <c r="N135">
        <v>-1</v>
      </c>
      <c r="O135">
        <v>10</v>
      </c>
      <c r="P135">
        <v>10</v>
      </c>
      <c r="Q135">
        <v>10</v>
      </c>
      <c r="R135">
        <v>10</v>
      </c>
      <c r="S135">
        <v>10</v>
      </c>
      <c r="T135">
        <v>10</v>
      </c>
      <c r="U135">
        <v>10</v>
      </c>
      <c r="V135">
        <v>5</v>
      </c>
      <c r="W135">
        <v>9</v>
      </c>
      <c r="X135">
        <v>9</v>
      </c>
      <c r="Y135">
        <v>10</v>
      </c>
      <c r="Z135">
        <v>10</v>
      </c>
      <c r="AA135">
        <v>9</v>
      </c>
      <c r="AB135">
        <v>10</v>
      </c>
      <c r="AC135">
        <v>10</v>
      </c>
      <c r="AD135">
        <v>10</v>
      </c>
      <c r="AE135">
        <v>10</v>
      </c>
      <c r="AF135">
        <v>10</v>
      </c>
      <c r="AG135">
        <v>10</v>
      </c>
      <c r="AH135">
        <v>10</v>
      </c>
      <c r="AI135">
        <v>10</v>
      </c>
      <c r="AJ135">
        <v>10</v>
      </c>
      <c r="AK135">
        <v>10</v>
      </c>
      <c r="AL135">
        <v>10</v>
      </c>
      <c r="AM135">
        <v>10</v>
      </c>
      <c r="AN135">
        <v>10</v>
      </c>
      <c r="AO135">
        <v>10</v>
      </c>
      <c r="AP135">
        <v>14</v>
      </c>
      <c r="AQ135">
        <v>16</v>
      </c>
      <c r="AR135">
        <v>7</v>
      </c>
      <c r="AS135">
        <v>18</v>
      </c>
      <c r="AT135">
        <v>58</v>
      </c>
      <c r="AU135">
        <v>12</v>
      </c>
      <c r="AV135">
        <v>62</v>
      </c>
      <c r="AW135">
        <v>50</v>
      </c>
      <c r="AX135">
        <v>25</v>
      </c>
      <c r="AY135">
        <v>15</v>
      </c>
      <c r="AZ135">
        <v>14</v>
      </c>
      <c r="BA135">
        <v>14</v>
      </c>
      <c r="BB135">
        <v>23</v>
      </c>
      <c r="BC135">
        <v>32</v>
      </c>
      <c r="BD135">
        <v>82</v>
      </c>
      <c r="BE135">
        <v>16</v>
      </c>
      <c r="BF135">
        <v>83</v>
      </c>
      <c r="BG135">
        <v>58</v>
      </c>
      <c r="BH135">
        <v>16</v>
      </c>
      <c r="BI135">
        <v>9</v>
      </c>
      <c r="BJ135">
        <v>64303636</v>
      </c>
      <c r="BK135">
        <v>157152768</v>
      </c>
      <c r="BL135">
        <v>11698107</v>
      </c>
      <c r="BM135">
        <v>149743248</v>
      </c>
      <c r="BN135">
        <v>411051200</v>
      </c>
      <c r="BO135">
        <v>93012296</v>
      </c>
      <c r="BP135">
        <v>428718176</v>
      </c>
      <c r="BQ135">
        <v>402362976</v>
      </c>
      <c r="BR135">
        <v>160583392</v>
      </c>
      <c r="BS135">
        <v>89362952</v>
      </c>
      <c r="BT135">
        <v>66680152</v>
      </c>
      <c r="BU135">
        <v>108679184</v>
      </c>
      <c r="BV135">
        <v>194070048</v>
      </c>
      <c r="BW135">
        <v>252943408</v>
      </c>
      <c r="BX135">
        <v>724152128</v>
      </c>
      <c r="BY135">
        <v>108398288</v>
      </c>
      <c r="BZ135">
        <v>700093824</v>
      </c>
      <c r="CA135">
        <v>561110080</v>
      </c>
      <c r="CB135">
        <v>109791928</v>
      </c>
      <c r="CC135">
        <v>37358404</v>
      </c>
      <c r="CD135" s="17" t="s">
        <v>1231</v>
      </c>
      <c r="CE135" s="21">
        <v>11154298</v>
      </c>
      <c r="CF135" s="21">
        <v>258940208</v>
      </c>
      <c r="CG135" s="19">
        <v>732268544</v>
      </c>
      <c r="CH135" s="19">
        <v>349083264</v>
      </c>
      <c r="CI135" s="21">
        <v>422152800</v>
      </c>
      <c r="CJ135" s="21">
        <v>853118016</v>
      </c>
      <c r="CK135" s="19">
        <v>470191456</v>
      </c>
      <c r="CL135" s="19">
        <v>810752320</v>
      </c>
      <c r="CM135" s="21">
        <v>168665328</v>
      </c>
      <c r="CN135" s="21">
        <v>113613224</v>
      </c>
      <c r="CO135" s="19">
        <v>54456544</v>
      </c>
      <c r="CP135" s="19">
        <v>153158016</v>
      </c>
      <c r="CQ135" s="21">
        <v>216508304</v>
      </c>
      <c r="CR135" s="21">
        <v>164178128</v>
      </c>
      <c r="CS135" s="19">
        <v>58735428</v>
      </c>
      <c r="CT135" s="19">
        <v>151381488</v>
      </c>
      <c r="CU135" s="21">
        <v>242213504</v>
      </c>
      <c r="CV135" s="21">
        <v>401233120</v>
      </c>
      <c r="CW135" s="19">
        <v>143089904</v>
      </c>
      <c r="CX135" s="19">
        <v>67253472</v>
      </c>
    </row>
    <row r="136" spans="1:102">
      <c r="A136">
        <v>30988</v>
      </c>
      <c r="B136" t="s">
        <v>543</v>
      </c>
      <c r="C136" t="s">
        <v>1232</v>
      </c>
      <c r="D136" t="s">
        <v>544</v>
      </c>
      <c r="F136" t="s">
        <v>545</v>
      </c>
      <c r="G136">
        <v>141.23599999999999</v>
      </c>
      <c r="H136" t="s">
        <v>104</v>
      </c>
      <c r="I136">
        <v>2</v>
      </c>
      <c r="J136">
        <v>20</v>
      </c>
      <c r="K136">
        <v>0</v>
      </c>
      <c r="L136">
        <v>0</v>
      </c>
      <c r="M136">
        <v>0</v>
      </c>
      <c r="N136">
        <v>-1</v>
      </c>
      <c r="O136">
        <v>8</v>
      </c>
      <c r="P136">
        <v>8</v>
      </c>
      <c r="Q136">
        <v>8</v>
      </c>
      <c r="R136">
        <v>8</v>
      </c>
      <c r="S136">
        <v>8</v>
      </c>
      <c r="T136">
        <v>8</v>
      </c>
      <c r="U136">
        <v>8</v>
      </c>
      <c r="V136">
        <v>5</v>
      </c>
      <c r="W136">
        <v>6</v>
      </c>
      <c r="X136">
        <v>7</v>
      </c>
      <c r="Y136">
        <v>8</v>
      </c>
      <c r="Z136">
        <v>8</v>
      </c>
      <c r="AA136">
        <v>7</v>
      </c>
      <c r="AB136">
        <v>8</v>
      </c>
      <c r="AC136">
        <v>8</v>
      </c>
      <c r="AD136">
        <v>8</v>
      </c>
      <c r="AE136">
        <v>8</v>
      </c>
      <c r="AF136">
        <v>8</v>
      </c>
      <c r="AG136">
        <v>8</v>
      </c>
      <c r="AH136">
        <v>8</v>
      </c>
      <c r="AI136">
        <v>8</v>
      </c>
      <c r="AJ136">
        <v>8</v>
      </c>
      <c r="AK136">
        <v>8</v>
      </c>
      <c r="AL136">
        <v>8</v>
      </c>
      <c r="AM136">
        <v>8</v>
      </c>
      <c r="AN136">
        <v>8</v>
      </c>
      <c r="AO136">
        <v>8</v>
      </c>
      <c r="AP136">
        <v>20</v>
      </c>
      <c r="AQ136">
        <v>13</v>
      </c>
      <c r="AR136">
        <v>1</v>
      </c>
      <c r="AS136">
        <v>12</v>
      </c>
      <c r="AT136">
        <v>23</v>
      </c>
      <c r="AU136">
        <v>8</v>
      </c>
      <c r="AV136">
        <v>26</v>
      </c>
      <c r="AW136">
        <v>25</v>
      </c>
      <c r="AX136">
        <v>22</v>
      </c>
      <c r="AY136">
        <v>15</v>
      </c>
      <c r="AZ136">
        <v>9</v>
      </c>
      <c r="BA136">
        <v>11</v>
      </c>
      <c r="BB136">
        <v>16</v>
      </c>
      <c r="BC136">
        <v>18</v>
      </c>
      <c r="BD136">
        <v>31</v>
      </c>
      <c r="BE136">
        <v>10</v>
      </c>
      <c r="BF136">
        <v>25</v>
      </c>
      <c r="BG136">
        <v>21</v>
      </c>
      <c r="BH136">
        <v>11</v>
      </c>
      <c r="BI136">
        <v>8</v>
      </c>
      <c r="BJ136">
        <v>215941296</v>
      </c>
      <c r="BK136">
        <v>245322576</v>
      </c>
      <c r="BL136">
        <v>1881544.12</v>
      </c>
      <c r="BM136">
        <v>151701152</v>
      </c>
      <c r="BN136">
        <v>677537088</v>
      </c>
      <c r="BO136">
        <v>193182880</v>
      </c>
      <c r="BP136">
        <v>798653888</v>
      </c>
      <c r="BQ136">
        <v>860209728</v>
      </c>
      <c r="BR136">
        <v>314996800</v>
      </c>
      <c r="BS136">
        <v>143339984</v>
      </c>
      <c r="BT136">
        <v>85956856</v>
      </c>
      <c r="BU136">
        <v>145045712</v>
      </c>
      <c r="BV136">
        <v>374121664</v>
      </c>
      <c r="BW136">
        <v>659342400</v>
      </c>
      <c r="BX136">
        <v>1497997184</v>
      </c>
      <c r="BY136">
        <v>150287776</v>
      </c>
      <c r="BZ136">
        <v>1557723264</v>
      </c>
      <c r="CA136">
        <v>1209350400</v>
      </c>
      <c r="CB136">
        <v>214044528</v>
      </c>
      <c r="CC136">
        <v>102498032</v>
      </c>
      <c r="CD136" s="17" t="s">
        <v>1232</v>
      </c>
      <c r="CE136" s="21">
        <v>69068816</v>
      </c>
      <c r="CF136" s="21">
        <v>293467648</v>
      </c>
      <c r="CG136" s="19">
        <v>473810272</v>
      </c>
      <c r="CH136" s="19">
        <v>448206848</v>
      </c>
      <c r="CI136" s="21">
        <v>582946624</v>
      </c>
      <c r="CJ136" s="21">
        <v>1243383296</v>
      </c>
      <c r="CK136" s="19">
        <v>663383296</v>
      </c>
      <c r="CL136" s="19">
        <v>1104528128</v>
      </c>
      <c r="CM136" s="21">
        <v>397440832</v>
      </c>
      <c r="CN136" s="21">
        <v>256892224</v>
      </c>
      <c r="CO136" s="19">
        <v>110876880</v>
      </c>
      <c r="CP136" s="19">
        <v>122917232</v>
      </c>
      <c r="CQ136" s="21">
        <v>280866016</v>
      </c>
      <c r="CR136" s="21">
        <v>374322016</v>
      </c>
      <c r="CS136" s="19">
        <v>101579240</v>
      </c>
      <c r="CT136" s="19">
        <v>170681920</v>
      </c>
      <c r="CU136" s="21">
        <v>742121280</v>
      </c>
      <c r="CV136" s="21">
        <v>755956672</v>
      </c>
      <c r="CW136" s="19">
        <v>209189936</v>
      </c>
      <c r="CX136" s="19">
        <v>171828720</v>
      </c>
    </row>
    <row r="137" spans="1:102">
      <c r="A137">
        <v>30970</v>
      </c>
      <c r="B137" t="s">
        <v>400</v>
      </c>
      <c r="C137" t="s">
        <v>1233</v>
      </c>
      <c r="D137" t="s">
        <v>401</v>
      </c>
      <c r="F137" t="s">
        <v>402</v>
      </c>
      <c r="G137">
        <v>394.62099999999998</v>
      </c>
      <c r="H137" t="s">
        <v>104</v>
      </c>
      <c r="I137">
        <v>2</v>
      </c>
      <c r="J137">
        <v>20</v>
      </c>
      <c r="K137">
        <v>0</v>
      </c>
      <c r="L137">
        <v>0</v>
      </c>
      <c r="M137">
        <v>0</v>
      </c>
      <c r="N137">
        <v>-1</v>
      </c>
      <c r="O137">
        <v>8</v>
      </c>
      <c r="P137">
        <v>8</v>
      </c>
      <c r="Q137">
        <v>9</v>
      </c>
      <c r="R137">
        <v>9</v>
      </c>
      <c r="S137">
        <v>9</v>
      </c>
      <c r="T137">
        <v>9</v>
      </c>
      <c r="U137">
        <v>9</v>
      </c>
      <c r="V137">
        <v>8</v>
      </c>
      <c r="W137">
        <v>9</v>
      </c>
      <c r="X137">
        <v>7</v>
      </c>
      <c r="Y137">
        <v>9</v>
      </c>
      <c r="Z137">
        <v>9</v>
      </c>
      <c r="AA137">
        <v>8</v>
      </c>
      <c r="AB137">
        <v>9</v>
      </c>
      <c r="AC137">
        <v>9</v>
      </c>
      <c r="AD137">
        <v>9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9</v>
      </c>
      <c r="AL137">
        <v>9</v>
      </c>
      <c r="AM137">
        <v>9</v>
      </c>
      <c r="AN137">
        <v>9</v>
      </c>
      <c r="AO137">
        <v>9</v>
      </c>
      <c r="AP137">
        <v>11</v>
      </c>
      <c r="AQ137">
        <v>14</v>
      </c>
      <c r="AR137">
        <v>1</v>
      </c>
      <c r="AS137">
        <v>16</v>
      </c>
      <c r="AT137">
        <v>23</v>
      </c>
      <c r="AU137">
        <v>14</v>
      </c>
      <c r="AV137">
        <v>31</v>
      </c>
      <c r="AW137">
        <v>20</v>
      </c>
      <c r="AX137">
        <v>18</v>
      </c>
      <c r="AY137">
        <v>15</v>
      </c>
      <c r="AZ137">
        <v>8</v>
      </c>
      <c r="BA137">
        <v>11</v>
      </c>
      <c r="BB137">
        <v>17</v>
      </c>
      <c r="BC137">
        <v>21</v>
      </c>
      <c r="BD137">
        <v>33</v>
      </c>
      <c r="BE137">
        <v>8</v>
      </c>
      <c r="BF137">
        <v>38</v>
      </c>
      <c r="BG137">
        <v>24</v>
      </c>
      <c r="BH137">
        <v>16</v>
      </c>
      <c r="BI137">
        <v>5</v>
      </c>
      <c r="BJ137">
        <v>83006464</v>
      </c>
      <c r="BK137">
        <v>124147064</v>
      </c>
      <c r="BL137">
        <v>1143861.3799999999</v>
      </c>
      <c r="BM137">
        <v>80833528</v>
      </c>
      <c r="BN137">
        <v>347309408</v>
      </c>
      <c r="BO137">
        <v>101530248</v>
      </c>
      <c r="BP137">
        <v>434877664</v>
      </c>
      <c r="BQ137">
        <v>457051328</v>
      </c>
      <c r="BR137">
        <v>163360320</v>
      </c>
      <c r="BS137">
        <v>90511672</v>
      </c>
      <c r="BT137">
        <v>25490976</v>
      </c>
      <c r="BU137">
        <v>65599356</v>
      </c>
      <c r="BV137">
        <v>149157440</v>
      </c>
      <c r="BW137">
        <v>237351616</v>
      </c>
      <c r="BX137">
        <v>773588416</v>
      </c>
      <c r="BY137">
        <v>75812616</v>
      </c>
      <c r="BZ137">
        <v>666228352</v>
      </c>
      <c r="CA137">
        <v>387765824</v>
      </c>
      <c r="CB137">
        <v>140307776</v>
      </c>
      <c r="CC137">
        <v>20081648</v>
      </c>
      <c r="CD137" s="17" t="s">
        <v>1233</v>
      </c>
      <c r="CE137" s="21">
        <v>45848416</v>
      </c>
      <c r="CF137" s="21">
        <v>139226560</v>
      </c>
      <c r="CG137" s="19">
        <v>146571568</v>
      </c>
      <c r="CH137" s="19">
        <v>217496944</v>
      </c>
      <c r="CI137" s="21">
        <v>336710880</v>
      </c>
      <c r="CJ137" s="21">
        <v>714871552</v>
      </c>
      <c r="CK137" s="19">
        <v>438016704</v>
      </c>
      <c r="CL137" s="19">
        <v>611980544</v>
      </c>
      <c r="CM137" s="21">
        <v>178806128</v>
      </c>
      <c r="CN137" s="21">
        <v>146631376</v>
      </c>
      <c r="CO137" s="19">
        <v>108675096</v>
      </c>
      <c r="CP137" s="19">
        <v>64639176</v>
      </c>
      <c r="CQ137" s="21">
        <v>130717368</v>
      </c>
      <c r="CR137" s="21">
        <v>166781616</v>
      </c>
      <c r="CS137" s="19">
        <v>63095328</v>
      </c>
      <c r="CT137" s="19">
        <v>82525480</v>
      </c>
      <c r="CU137" s="21">
        <v>358692000</v>
      </c>
      <c r="CV137" s="21">
        <v>294830720</v>
      </c>
      <c r="CW137" s="19">
        <v>108822944</v>
      </c>
      <c r="CX137" s="19">
        <v>40735848</v>
      </c>
    </row>
    <row r="138" spans="1:102">
      <c r="A138">
        <v>30973</v>
      </c>
      <c r="B138" t="s">
        <v>192</v>
      </c>
      <c r="C138" t="s">
        <v>1234</v>
      </c>
      <c r="D138" t="s">
        <v>193</v>
      </c>
      <c r="F138" t="s">
        <v>194</v>
      </c>
      <c r="G138">
        <v>987.25599999999997</v>
      </c>
      <c r="H138" t="s">
        <v>104</v>
      </c>
      <c r="I138">
        <v>2</v>
      </c>
      <c r="J138">
        <v>21</v>
      </c>
      <c r="K138">
        <v>0</v>
      </c>
      <c r="L138">
        <v>0</v>
      </c>
      <c r="M138">
        <v>0</v>
      </c>
      <c r="N138">
        <v>-1</v>
      </c>
      <c r="O138">
        <v>30</v>
      </c>
      <c r="P138">
        <v>30</v>
      </c>
      <c r="Q138">
        <v>33</v>
      </c>
      <c r="R138">
        <v>33</v>
      </c>
      <c r="S138">
        <v>33</v>
      </c>
      <c r="T138">
        <v>33</v>
      </c>
      <c r="U138">
        <v>33</v>
      </c>
      <c r="V138">
        <v>22</v>
      </c>
      <c r="W138">
        <v>32</v>
      </c>
      <c r="X138">
        <v>26</v>
      </c>
      <c r="Y138">
        <v>32</v>
      </c>
      <c r="Z138">
        <v>33</v>
      </c>
      <c r="AA138">
        <v>29</v>
      </c>
      <c r="AB138">
        <v>33</v>
      </c>
      <c r="AC138">
        <v>33</v>
      </c>
      <c r="AD138">
        <v>33</v>
      </c>
      <c r="AE138">
        <v>33</v>
      </c>
      <c r="AF138">
        <v>33</v>
      </c>
      <c r="AG138">
        <v>33</v>
      </c>
      <c r="AH138">
        <v>33</v>
      </c>
      <c r="AI138">
        <v>33</v>
      </c>
      <c r="AJ138">
        <v>33</v>
      </c>
      <c r="AK138">
        <v>33</v>
      </c>
      <c r="AL138">
        <v>33</v>
      </c>
      <c r="AM138">
        <v>33</v>
      </c>
      <c r="AN138">
        <v>31</v>
      </c>
      <c r="AO138">
        <v>32</v>
      </c>
      <c r="AP138">
        <v>38</v>
      </c>
      <c r="AQ138">
        <v>55</v>
      </c>
      <c r="AR138">
        <v>28</v>
      </c>
      <c r="AS138">
        <v>55</v>
      </c>
      <c r="AT138">
        <v>109</v>
      </c>
      <c r="AU138">
        <v>49</v>
      </c>
      <c r="AV138">
        <v>120</v>
      </c>
      <c r="AW138">
        <v>97</v>
      </c>
      <c r="AX138">
        <v>71</v>
      </c>
      <c r="AY138">
        <v>55</v>
      </c>
      <c r="AZ138">
        <v>38</v>
      </c>
      <c r="BA138">
        <v>43</v>
      </c>
      <c r="BB138">
        <v>59</v>
      </c>
      <c r="BC138">
        <v>65</v>
      </c>
      <c r="BD138">
        <v>144</v>
      </c>
      <c r="BE138">
        <v>45</v>
      </c>
      <c r="BF138">
        <v>151</v>
      </c>
      <c r="BG138">
        <v>87</v>
      </c>
      <c r="BH138">
        <v>45</v>
      </c>
      <c r="BI138">
        <v>26</v>
      </c>
      <c r="BJ138">
        <v>229931200</v>
      </c>
      <c r="BK138">
        <v>809749952</v>
      </c>
      <c r="BL138">
        <v>9661919</v>
      </c>
      <c r="BM138">
        <v>473836448</v>
      </c>
      <c r="BN138">
        <v>1842033664</v>
      </c>
      <c r="BO138">
        <v>259460832</v>
      </c>
      <c r="BP138">
        <v>1997566592</v>
      </c>
      <c r="BQ138">
        <v>1352014592</v>
      </c>
      <c r="BR138">
        <v>492321632</v>
      </c>
      <c r="BS138">
        <v>395851456</v>
      </c>
      <c r="BT138">
        <v>178949696</v>
      </c>
      <c r="BU138">
        <v>362735712</v>
      </c>
      <c r="BV138">
        <v>732613952</v>
      </c>
      <c r="BW138">
        <v>864856384</v>
      </c>
      <c r="BX138">
        <v>2641277952</v>
      </c>
      <c r="BY138">
        <v>284625920</v>
      </c>
      <c r="BZ138">
        <v>2849890816</v>
      </c>
      <c r="CA138">
        <v>1182909184</v>
      </c>
      <c r="CB138">
        <v>301282464</v>
      </c>
      <c r="CC138">
        <v>100349992</v>
      </c>
      <c r="CD138" s="17" t="s">
        <v>1234</v>
      </c>
      <c r="CE138" s="21">
        <v>64559564</v>
      </c>
      <c r="CF138" s="21">
        <v>752714048</v>
      </c>
      <c r="CG138" s="19">
        <v>995421888</v>
      </c>
      <c r="CH138" s="19">
        <v>974124736</v>
      </c>
      <c r="CI138" s="21">
        <v>1754698112</v>
      </c>
      <c r="CJ138" s="21">
        <v>2890986752</v>
      </c>
      <c r="CK138" s="19">
        <v>1711008512</v>
      </c>
      <c r="CL138" s="19">
        <v>3582586112</v>
      </c>
      <c r="CM138" s="21">
        <v>488055200</v>
      </c>
      <c r="CN138" s="21">
        <v>206709728</v>
      </c>
      <c r="CO138" s="19">
        <v>538633984</v>
      </c>
      <c r="CP138" s="19">
        <v>414186432</v>
      </c>
      <c r="CQ138" s="21">
        <v>840094144</v>
      </c>
      <c r="CR138" s="21">
        <v>554127808</v>
      </c>
      <c r="CS138" s="19">
        <v>122521088</v>
      </c>
      <c r="CT138" s="19">
        <v>329700672</v>
      </c>
      <c r="CU138" s="21">
        <v>713503552</v>
      </c>
      <c r="CV138" s="21">
        <v>752144384</v>
      </c>
      <c r="CW138" s="19">
        <v>472267744</v>
      </c>
      <c r="CX138" s="19">
        <v>190961696</v>
      </c>
    </row>
    <row r="139" spans="1:102">
      <c r="A139">
        <v>31002</v>
      </c>
      <c r="B139" t="s">
        <v>415</v>
      </c>
      <c r="C139" t="s">
        <v>1235</v>
      </c>
      <c r="D139" t="s">
        <v>416</v>
      </c>
      <c r="F139" t="s">
        <v>417</v>
      </c>
      <c r="G139">
        <v>343.14</v>
      </c>
      <c r="H139" t="s">
        <v>104</v>
      </c>
      <c r="I139">
        <v>2</v>
      </c>
      <c r="J139">
        <v>20</v>
      </c>
      <c r="K139">
        <v>0</v>
      </c>
      <c r="L139">
        <v>0</v>
      </c>
      <c r="M139">
        <v>0</v>
      </c>
      <c r="N139">
        <v>-1</v>
      </c>
      <c r="O139">
        <v>12</v>
      </c>
      <c r="P139">
        <v>12</v>
      </c>
      <c r="Q139">
        <v>14</v>
      </c>
      <c r="R139">
        <v>14</v>
      </c>
      <c r="S139">
        <v>14</v>
      </c>
      <c r="T139">
        <v>14</v>
      </c>
      <c r="U139">
        <v>14</v>
      </c>
      <c r="V139">
        <v>12</v>
      </c>
      <c r="W139">
        <v>13</v>
      </c>
      <c r="X139">
        <v>13</v>
      </c>
      <c r="Y139">
        <v>13</v>
      </c>
      <c r="Z139">
        <v>13</v>
      </c>
      <c r="AA139">
        <v>13</v>
      </c>
      <c r="AB139">
        <v>14</v>
      </c>
      <c r="AC139">
        <v>14</v>
      </c>
      <c r="AD139">
        <v>14</v>
      </c>
      <c r="AE139">
        <v>14</v>
      </c>
      <c r="AF139">
        <v>14</v>
      </c>
      <c r="AG139">
        <v>14</v>
      </c>
      <c r="AH139">
        <v>14</v>
      </c>
      <c r="AI139">
        <v>14</v>
      </c>
      <c r="AJ139">
        <v>14</v>
      </c>
      <c r="AK139">
        <v>14</v>
      </c>
      <c r="AL139">
        <v>14</v>
      </c>
      <c r="AM139">
        <v>14</v>
      </c>
      <c r="AN139">
        <v>14</v>
      </c>
      <c r="AO139">
        <v>14</v>
      </c>
      <c r="AP139">
        <v>19</v>
      </c>
      <c r="AQ139">
        <v>41</v>
      </c>
      <c r="AR139">
        <v>1</v>
      </c>
      <c r="AS139">
        <v>39</v>
      </c>
      <c r="AT139">
        <v>54</v>
      </c>
      <c r="AU139">
        <v>21</v>
      </c>
      <c r="AV139">
        <v>63</v>
      </c>
      <c r="AW139">
        <v>44</v>
      </c>
      <c r="AX139">
        <v>32</v>
      </c>
      <c r="AY139">
        <v>25</v>
      </c>
      <c r="AZ139">
        <v>23</v>
      </c>
      <c r="BA139">
        <v>27</v>
      </c>
      <c r="BB139">
        <v>35</v>
      </c>
      <c r="BC139">
        <v>35</v>
      </c>
      <c r="BD139">
        <v>60</v>
      </c>
      <c r="BE139">
        <v>22</v>
      </c>
      <c r="BF139">
        <v>67</v>
      </c>
      <c r="BG139">
        <v>36</v>
      </c>
      <c r="BH139">
        <v>20</v>
      </c>
      <c r="BI139">
        <v>12</v>
      </c>
      <c r="BJ139">
        <v>205220832</v>
      </c>
      <c r="BK139">
        <v>382263360</v>
      </c>
      <c r="BL139">
        <v>2224981.25</v>
      </c>
      <c r="BM139">
        <v>334725984</v>
      </c>
      <c r="BN139">
        <v>840731328</v>
      </c>
      <c r="BO139">
        <v>209015264</v>
      </c>
      <c r="BP139">
        <v>1058601216</v>
      </c>
      <c r="BQ139">
        <v>1255549440</v>
      </c>
      <c r="BR139">
        <v>317016576</v>
      </c>
      <c r="BS139">
        <v>157397552</v>
      </c>
      <c r="BT139">
        <v>99123016</v>
      </c>
      <c r="BU139">
        <v>255430048</v>
      </c>
      <c r="BV139">
        <v>416963264</v>
      </c>
      <c r="BW139">
        <v>907693376</v>
      </c>
      <c r="BX139">
        <v>2038633856</v>
      </c>
      <c r="BY139">
        <v>162330464</v>
      </c>
      <c r="BZ139">
        <v>2079564032</v>
      </c>
      <c r="CA139">
        <v>1407931392</v>
      </c>
      <c r="CB139">
        <v>270195776</v>
      </c>
      <c r="CC139">
        <v>84374856</v>
      </c>
      <c r="CD139" s="17" t="s">
        <v>1235</v>
      </c>
      <c r="CE139" s="21">
        <v>69246736</v>
      </c>
      <c r="CF139" s="21">
        <v>552843200</v>
      </c>
      <c r="CG139" s="19">
        <v>533354624</v>
      </c>
      <c r="CH139" s="19">
        <v>599041088</v>
      </c>
      <c r="CI139" s="21">
        <v>849981056</v>
      </c>
      <c r="CJ139" s="21">
        <v>2064525312</v>
      </c>
      <c r="CK139" s="19">
        <v>1126067584</v>
      </c>
      <c r="CL139" s="19">
        <v>2334947840</v>
      </c>
      <c r="CM139" s="21">
        <v>347233376</v>
      </c>
      <c r="CN139" s="21">
        <v>237405232</v>
      </c>
      <c r="CO139" s="19">
        <v>257456496</v>
      </c>
      <c r="CP139" s="19">
        <v>321157632</v>
      </c>
      <c r="CQ139" s="21">
        <v>454585824</v>
      </c>
      <c r="CR139" s="21">
        <v>543820992</v>
      </c>
      <c r="CS139" s="19">
        <v>116813952</v>
      </c>
      <c r="CT139" s="19">
        <v>196519200</v>
      </c>
      <c r="CU139" s="21">
        <v>669898944</v>
      </c>
      <c r="CV139" s="21">
        <v>880040000</v>
      </c>
      <c r="CW139" s="19">
        <v>207658032</v>
      </c>
      <c r="CX139" s="19">
        <v>157198528</v>
      </c>
    </row>
    <row r="140" spans="1:102">
      <c r="A140">
        <v>31057</v>
      </c>
      <c r="B140" t="s">
        <v>660</v>
      </c>
      <c r="C140" t="s">
        <v>1236</v>
      </c>
      <c r="D140" t="s">
        <v>661</v>
      </c>
      <c r="F140" t="s">
        <v>662</v>
      </c>
      <c r="G140">
        <v>42.173000000000002</v>
      </c>
      <c r="H140" t="s">
        <v>104</v>
      </c>
      <c r="I140">
        <v>2</v>
      </c>
      <c r="J140">
        <v>20</v>
      </c>
      <c r="K140">
        <v>0</v>
      </c>
      <c r="L140">
        <v>0</v>
      </c>
      <c r="M140">
        <v>0</v>
      </c>
      <c r="N140">
        <v>-1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  <c r="AN140">
        <v>2</v>
      </c>
      <c r="AO140">
        <v>2</v>
      </c>
      <c r="AP140">
        <v>2</v>
      </c>
      <c r="AQ140">
        <v>3</v>
      </c>
      <c r="AR140">
        <v>0</v>
      </c>
      <c r="AS140">
        <v>3</v>
      </c>
      <c r="AT140">
        <v>4</v>
      </c>
      <c r="AU140">
        <v>5</v>
      </c>
      <c r="AV140">
        <v>4</v>
      </c>
      <c r="AW140">
        <v>4</v>
      </c>
      <c r="AX140">
        <v>3</v>
      </c>
      <c r="AY140">
        <v>4</v>
      </c>
      <c r="AZ140">
        <v>2</v>
      </c>
      <c r="BA140">
        <v>5</v>
      </c>
      <c r="BB140">
        <v>4</v>
      </c>
      <c r="BC140">
        <v>4</v>
      </c>
      <c r="BD140">
        <v>4</v>
      </c>
      <c r="BE140">
        <v>3</v>
      </c>
      <c r="BF140">
        <v>4</v>
      </c>
      <c r="BG140">
        <v>4</v>
      </c>
      <c r="BH140">
        <v>3</v>
      </c>
      <c r="BI140">
        <v>3</v>
      </c>
      <c r="BJ140">
        <v>40184744</v>
      </c>
      <c r="BK140">
        <v>81029976</v>
      </c>
      <c r="BL140">
        <v>99286.62</v>
      </c>
      <c r="BM140">
        <v>27844452</v>
      </c>
      <c r="BN140">
        <v>74186168</v>
      </c>
      <c r="BO140">
        <v>77660560</v>
      </c>
      <c r="BP140">
        <v>52740216</v>
      </c>
      <c r="BQ140">
        <v>59874752</v>
      </c>
      <c r="BR140">
        <v>29572488</v>
      </c>
      <c r="BS140">
        <v>31750456</v>
      </c>
      <c r="BT140">
        <v>8248762.5</v>
      </c>
      <c r="BU140">
        <v>64420380</v>
      </c>
      <c r="BV140">
        <v>51720100</v>
      </c>
      <c r="BW140">
        <v>47969740</v>
      </c>
      <c r="BX140">
        <v>56621540</v>
      </c>
      <c r="BY140">
        <v>61649136</v>
      </c>
      <c r="BZ140">
        <v>50089152</v>
      </c>
      <c r="CA140">
        <v>67389464</v>
      </c>
      <c r="CB140">
        <v>28245616</v>
      </c>
      <c r="CC140">
        <v>16517013</v>
      </c>
      <c r="CD140" s="17" t="s">
        <v>1236</v>
      </c>
      <c r="CE140" s="21">
        <v>2156310.25</v>
      </c>
      <c r="CF140" s="21">
        <v>27144142</v>
      </c>
      <c r="CG140" s="19">
        <v>15767919</v>
      </c>
      <c r="CH140" s="19">
        <v>53219416</v>
      </c>
      <c r="CI140" s="21">
        <v>56667036</v>
      </c>
      <c r="CJ140" s="21">
        <v>61644572</v>
      </c>
      <c r="CK140" s="19">
        <v>42351332</v>
      </c>
      <c r="CL140" s="19">
        <v>52971748</v>
      </c>
      <c r="CM140" s="21">
        <v>27523210</v>
      </c>
      <c r="CN140" s="21">
        <v>30584890</v>
      </c>
      <c r="CO140" s="19">
        <v>8531271</v>
      </c>
      <c r="CP140" s="19">
        <v>46846836</v>
      </c>
      <c r="CQ140" s="21">
        <v>32310110</v>
      </c>
      <c r="CR140" s="21">
        <v>34235108</v>
      </c>
      <c r="CS140" s="19">
        <v>52090176</v>
      </c>
      <c r="CT140" s="19">
        <v>50404672</v>
      </c>
      <c r="CU140" s="21">
        <v>56929588</v>
      </c>
      <c r="CV140" s="21">
        <v>59660408</v>
      </c>
      <c r="CW140" s="19">
        <v>27019688</v>
      </c>
      <c r="CX140" s="19">
        <v>26638240</v>
      </c>
    </row>
    <row r="141" spans="1:102">
      <c r="A141">
        <v>31019</v>
      </c>
      <c r="B141" t="s">
        <v>412</v>
      </c>
      <c r="C141" t="s">
        <v>1237</v>
      </c>
      <c r="D141" t="s">
        <v>413</v>
      </c>
      <c r="F141" t="s">
        <v>414</v>
      </c>
      <c r="G141">
        <v>362.85300000000001</v>
      </c>
      <c r="H141" t="s">
        <v>104</v>
      </c>
      <c r="I141">
        <v>2</v>
      </c>
      <c r="J141">
        <v>18</v>
      </c>
      <c r="K141">
        <v>0</v>
      </c>
      <c r="L141">
        <v>0</v>
      </c>
      <c r="M141">
        <v>0</v>
      </c>
      <c r="N141">
        <v>-1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4</v>
      </c>
      <c r="W141">
        <v>5</v>
      </c>
      <c r="X141">
        <v>6</v>
      </c>
      <c r="Y141">
        <v>7</v>
      </c>
      <c r="Z141">
        <v>6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12</v>
      </c>
      <c r="AQ141">
        <v>32</v>
      </c>
      <c r="AR141">
        <v>2</v>
      </c>
      <c r="AS141">
        <v>28</v>
      </c>
      <c r="AT141">
        <v>41</v>
      </c>
      <c r="AU141">
        <v>10</v>
      </c>
      <c r="AV141">
        <v>43</v>
      </c>
      <c r="AW141">
        <v>30</v>
      </c>
      <c r="AX141">
        <v>26</v>
      </c>
      <c r="AY141">
        <v>23</v>
      </c>
      <c r="AZ141">
        <v>8</v>
      </c>
      <c r="BA141">
        <v>17</v>
      </c>
      <c r="BB141">
        <v>23</v>
      </c>
      <c r="BC141">
        <v>21</v>
      </c>
      <c r="BD141">
        <v>36</v>
      </c>
      <c r="BE141">
        <v>19</v>
      </c>
      <c r="BF141">
        <v>36</v>
      </c>
      <c r="BG141">
        <v>26</v>
      </c>
      <c r="BH141">
        <v>11</v>
      </c>
      <c r="BI141">
        <v>3</v>
      </c>
      <c r="BJ141">
        <v>18998660</v>
      </c>
      <c r="BK141">
        <v>65999768</v>
      </c>
      <c r="BL141">
        <v>1766128.25</v>
      </c>
      <c r="BM141">
        <v>66516356</v>
      </c>
      <c r="BN141">
        <v>263649088</v>
      </c>
      <c r="BO141">
        <v>53559284</v>
      </c>
      <c r="BP141">
        <v>326748096</v>
      </c>
      <c r="BQ141">
        <v>272431264</v>
      </c>
      <c r="BR141">
        <v>111237272</v>
      </c>
      <c r="BS141">
        <v>53524180</v>
      </c>
      <c r="BT141">
        <v>25751020</v>
      </c>
      <c r="BU141">
        <v>63458568</v>
      </c>
      <c r="BV141">
        <v>140153664</v>
      </c>
      <c r="BW141">
        <v>158324464</v>
      </c>
      <c r="BX141">
        <v>502928448</v>
      </c>
      <c r="BY141">
        <v>52186568</v>
      </c>
      <c r="BZ141">
        <v>526069216</v>
      </c>
      <c r="CA141">
        <v>263247584</v>
      </c>
      <c r="CB141">
        <v>60647656</v>
      </c>
      <c r="CC141">
        <v>8641104</v>
      </c>
      <c r="CD141" s="17" t="s">
        <v>1237</v>
      </c>
      <c r="CE141" s="21">
        <v>2349358</v>
      </c>
      <c r="CF141" s="21">
        <v>121259888</v>
      </c>
      <c r="CG141" s="19">
        <v>131671912</v>
      </c>
      <c r="CH141" s="19">
        <v>230140992</v>
      </c>
      <c r="CI141" s="21">
        <v>145325280</v>
      </c>
      <c r="CJ141" s="21">
        <v>645226560</v>
      </c>
      <c r="CK141" s="19">
        <v>268172848</v>
      </c>
      <c r="CL141" s="19">
        <v>717208640</v>
      </c>
      <c r="CM141" s="21">
        <v>102649304</v>
      </c>
      <c r="CN141" s="21">
        <v>77027488</v>
      </c>
      <c r="CO141" s="19">
        <v>24234220</v>
      </c>
      <c r="CP141" s="19">
        <v>77536312</v>
      </c>
      <c r="CQ141" s="21">
        <v>80584024</v>
      </c>
      <c r="CR141" s="21">
        <v>134660352</v>
      </c>
      <c r="CS141" s="19">
        <v>23766600</v>
      </c>
      <c r="CT141" s="19">
        <v>64493920</v>
      </c>
      <c r="CU141" s="21">
        <v>260995088</v>
      </c>
      <c r="CV141" s="21">
        <v>277444800</v>
      </c>
      <c r="CW141" s="19">
        <v>59956668</v>
      </c>
      <c r="CX141" s="19">
        <v>18212424</v>
      </c>
    </row>
    <row r="142" spans="1:102">
      <c r="A142">
        <v>31025</v>
      </c>
      <c r="B142" t="s">
        <v>428</v>
      </c>
      <c r="C142" t="s">
        <v>1238</v>
      </c>
      <c r="D142" t="s">
        <v>429</v>
      </c>
      <c r="F142" t="s">
        <v>430</v>
      </c>
      <c r="G142">
        <v>295.76</v>
      </c>
      <c r="H142" t="s">
        <v>104</v>
      </c>
      <c r="I142">
        <v>2</v>
      </c>
      <c r="J142">
        <v>20</v>
      </c>
      <c r="K142">
        <v>0</v>
      </c>
      <c r="L142">
        <v>0</v>
      </c>
      <c r="M142">
        <v>0</v>
      </c>
      <c r="N142">
        <v>-1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  <c r="U142">
        <v>8</v>
      </c>
      <c r="V142">
        <v>4</v>
      </c>
      <c r="W142">
        <v>6</v>
      </c>
      <c r="X142">
        <v>3</v>
      </c>
      <c r="Y142">
        <v>7</v>
      </c>
      <c r="Z142">
        <v>7</v>
      </c>
      <c r="AA142">
        <v>8</v>
      </c>
      <c r="AB142">
        <v>8</v>
      </c>
      <c r="AC142">
        <v>8</v>
      </c>
      <c r="AD142">
        <v>8</v>
      </c>
      <c r="AE142">
        <v>7</v>
      </c>
      <c r="AF142">
        <v>7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7</v>
      </c>
      <c r="AM142">
        <v>8</v>
      </c>
      <c r="AN142">
        <v>8</v>
      </c>
      <c r="AO142">
        <v>8</v>
      </c>
      <c r="AP142">
        <v>19</v>
      </c>
      <c r="AQ142">
        <v>30</v>
      </c>
      <c r="AR142">
        <v>0</v>
      </c>
      <c r="AS142">
        <v>22</v>
      </c>
      <c r="AT142">
        <v>31</v>
      </c>
      <c r="AU142">
        <v>15</v>
      </c>
      <c r="AV142">
        <v>33</v>
      </c>
      <c r="AW142">
        <v>24</v>
      </c>
      <c r="AX142">
        <v>20</v>
      </c>
      <c r="AY142">
        <v>20</v>
      </c>
      <c r="AZ142">
        <v>13</v>
      </c>
      <c r="BA142">
        <v>19</v>
      </c>
      <c r="BB142">
        <v>21</v>
      </c>
      <c r="BC142">
        <v>24</v>
      </c>
      <c r="BD142">
        <v>38</v>
      </c>
      <c r="BE142">
        <v>19</v>
      </c>
      <c r="BF142">
        <v>40</v>
      </c>
      <c r="BG142">
        <v>33</v>
      </c>
      <c r="BH142">
        <v>15</v>
      </c>
      <c r="BI142">
        <v>10</v>
      </c>
      <c r="BJ142">
        <v>140429680</v>
      </c>
      <c r="BK142">
        <v>265625232</v>
      </c>
      <c r="BL142">
        <v>1089978</v>
      </c>
      <c r="BM142">
        <v>149102640</v>
      </c>
      <c r="BN142">
        <v>490936768</v>
      </c>
      <c r="BO142">
        <v>224872608</v>
      </c>
      <c r="BP142">
        <v>522511552</v>
      </c>
      <c r="BQ142">
        <v>404354272</v>
      </c>
      <c r="BR142">
        <v>207370016</v>
      </c>
      <c r="BS142">
        <v>187365200</v>
      </c>
      <c r="BT142">
        <v>51501228</v>
      </c>
      <c r="BU142">
        <v>161017808</v>
      </c>
      <c r="BV142">
        <v>240542960</v>
      </c>
      <c r="BW142">
        <v>357058208</v>
      </c>
      <c r="BX142">
        <v>812866368</v>
      </c>
      <c r="BY142">
        <v>242855840</v>
      </c>
      <c r="BZ142">
        <v>902833152</v>
      </c>
      <c r="CA142">
        <v>634275072</v>
      </c>
      <c r="CB142">
        <v>111498568</v>
      </c>
      <c r="CC142">
        <v>118332776</v>
      </c>
      <c r="CD142" s="17" t="s">
        <v>1238</v>
      </c>
      <c r="CE142" s="21">
        <v>9466325</v>
      </c>
      <c r="CF142" s="21">
        <v>198664160</v>
      </c>
      <c r="CG142" s="19">
        <v>121915672</v>
      </c>
      <c r="CH142" s="19">
        <v>320299392</v>
      </c>
      <c r="CI142" s="21">
        <v>408203744</v>
      </c>
      <c r="CJ142" s="21">
        <v>972711360</v>
      </c>
      <c r="CK142" s="19">
        <v>534144928</v>
      </c>
      <c r="CL142" s="19">
        <v>985589568</v>
      </c>
      <c r="CM142" s="21">
        <v>224979792</v>
      </c>
      <c r="CN142" s="21">
        <v>103990040</v>
      </c>
      <c r="CO142" s="19">
        <v>112342712</v>
      </c>
      <c r="CP142" s="19">
        <v>130935040</v>
      </c>
      <c r="CQ142" s="21">
        <v>218897632</v>
      </c>
      <c r="CR142" s="21">
        <v>228521584</v>
      </c>
      <c r="CS142" s="19">
        <v>69719232</v>
      </c>
      <c r="CT142" s="19">
        <v>196674784</v>
      </c>
      <c r="CU142" s="21">
        <v>346579360</v>
      </c>
      <c r="CV142" s="21">
        <v>581061376</v>
      </c>
      <c r="CW142" s="19">
        <v>183380224</v>
      </c>
      <c r="CX142" s="19">
        <v>125985320</v>
      </c>
    </row>
    <row r="143" spans="1:102">
      <c r="A143">
        <v>30920</v>
      </c>
      <c r="B143" t="s">
        <v>626</v>
      </c>
      <c r="C143" t="s">
        <v>1239</v>
      </c>
      <c r="D143" t="s">
        <v>627</v>
      </c>
      <c r="F143" t="s">
        <v>628</v>
      </c>
      <c r="G143">
        <v>55.128</v>
      </c>
      <c r="H143" t="s">
        <v>104</v>
      </c>
      <c r="I143">
        <v>2</v>
      </c>
      <c r="J143">
        <v>19</v>
      </c>
      <c r="K143">
        <v>0</v>
      </c>
      <c r="L143">
        <v>0</v>
      </c>
      <c r="M143">
        <v>0</v>
      </c>
      <c r="N143">
        <v>-1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3</v>
      </c>
      <c r="W143">
        <v>5</v>
      </c>
      <c r="X143">
        <v>4</v>
      </c>
      <c r="Y143">
        <v>5</v>
      </c>
      <c r="Z143">
        <v>5</v>
      </c>
      <c r="AA143">
        <v>5</v>
      </c>
      <c r="AB143">
        <v>5</v>
      </c>
      <c r="AC143">
        <v>5</v>
      </c>
      <c r="AD143">
        <v>5</v>
      </c>
      <c r="AE143">
        <v>5</v>
      </c>
      <c r="AF143">
        <v>5</v>
      </c>
      <c r="AG143">
        <v>5</v>
      </c>
      <c r="AH143">
        <v>5</v>
      </c>
      <c r="AI143">
        <v>5</v>
      </c>
      <c r="AJ143">
        <v>5</v>
      </c>
      <c r="AK143">
        <v>5</v>
      </c>
      <c r="AL143">
        <v>5</v>
      </c>
      <c r="AM143">
        <v>5</v>
      </c>
      <c r="AN143">
        <v>5</v>
      </c>
      <c r="AO143">
        <v>5</v>
      </c>
      <c r="AP143">
        <v>7</v>
      </c>
      <c r="AQ143">
        <v>9</v>
      </c>
      <c r="AR143">
        <v>1</v>
      </c>
      <c r="AS143">
        <v>8</v>
      </c>
      <c r="AT143">
        <v>13</v>
      </c>
      <c r="AU143">
        <v>7</v>
      </c>
      <c r="AV143">
        <v>13</v>
      </c>
      <c r="AW143">
        <v>10</v>
      </c>
      <c r="AX143">
        <v>9</v>
      </c>
      <c r="AY143">
        <v>6</v>
      </c>
      <c r="AZ143">
        <v>6</v>
      </c>
      <c r="BA143">
        <v>9</v>
      </c>
      <c r="BB143">
        <v>9</v>
      </c>
      <c r="BC143">
        <v>11</v>
      </c>
      <c r="BD143">
        <v>15</v>
      </c>
      <c r="BE143">
        <v>8</v>
      </c>
      <c r="BF143">
        <v>16</v>
      </c>
      <c r="BG143">
        <v>10</v>
      </c>
      <c r="BH143">
        <v>6</v>
      </c>
      <c r="BI143">
        <v>3</v>
      </c>
      <c r="BJ143">
        <v>66273412</v>
      </c>
      <c r="BK143">
        <v>212349792</v>
      </c>
      <c r="BL143">
        <v>582068.62</v>
      </c>
      <c r="BM143">
        <v>104379944</v>
      </c>
      <c r="BN143">
        <v>258043584</v>
      </c>
      <c r="BO143">
        <v>92112392</v>
      </c>
      <c r="BP143">
        <v>264320096</v>
      </c>
      <c r="BQ143">
        <v>314311648</v>
      </c>
      <c r="BR143">
        <v>115819888</v>
      </c>
      <c r="BS143">
        <v>74450440</v>
      </c>
      <c r="BT143">
        <v>25611348</v>
      </c>
      <c r="BU143">
        <v>124268320</v>
      </c>
      <c r="BV143">
        <v>162158528</v>
      </c>
      <c r="BW143">
        <v>242984128</v>
      </c>
      <c r="BX143">
        <v>447116928</v>
      </c>
      <c r="BY143">
        <v>89807152</v>
      </c>
      <c r="BZ143">
        <v>468916608</v>
      </c>
      <c r="CA143">
        <v>337911232</v>
      </c>
      <c r="CB143">
        <v>83027328</v>
      </c>
      <c r="CC143">
        <v>20696616</v>
      </c>
      <c r="CD143" s="17" t="s">
        <v>1239</v>
      </c>
      <c r="CE143" s="21">
        <v>39162772</v>
      </c>
      <c r="CF143" s="21">
        <v>125220712</v>
      </c>
      <c r="CG143" s="19">
        <v>117576480</v>
      </c>
      <c r="CH143" s="19">
        <v>200301936</v>
      </c>
      <c r="CI143" s="21">
        <v>280671264</v>
      </c>
      <c r="CJ143" s="21">
        <v>367904096</v>
      </c>
      <c r="CK143" s="19">
        <v>273647776</v>
      </c>
      <c r="CL143" s="19">
        <v>425808096</v>
      </c>
      <c r="CM143" s="21">
        <v>143537104</v>
      </c>
      <c r="CN143" s="21">
        <v>90679000</v>
      </c>
      <c r="CO143" s="19">
        <v>170972176</v>
      </c>
      <c r="CP143" s="19">
        <v>129784600</v>
      </c>
      <c r="CQ143" s="21">
        <v>193001584</v>
      </c>
      <c r="CR143" s="21">
        <v>178122464</v>
      </c>
      <c r="CS143" s="19">
        <v>65398988</v>
      </c>
      <c r="CT143" s="19">
        <v>93520560</v>
      </c>
      <c r="CU143" s="21">
        <v>171788752</v>
      </c>
      <c r="CV143" s="21">
        <v>200022384</v>
      </c>
      <c r="CW143" s="19">
        <v>98288488</v>
      </c>
      <c r="CX143" s="19">
        <v>44944412</v>
      </c>
    </row>
    <row r="144" spans="1:102">
      <c r="A144">
        <v>30974</v>
      </c>
      <c r="B144" t="s">
        <v>1098</v>
      </c>
      <c r="C144" t="s">
        <v>1240</v>
      </c>
      <c r="D144" t="s">
        <v>1099</v>
      </c>
      <c r="F144" t="s">
        <v>1100</v>
      </c>
      <c r="G144">
        <v>8.3879999999999999</v>
      </c>
      <c r="H144" t="s">
        <v>104</v>
      </c>
      <c r="I144">
        <v>2</v>
      </c>
      <c r="J144">
        <v>10</v>
      </c>
      <c r="K144">
        <v>0</v>
      </c>
      <c r="L144">
        <v>0</v>
      </c>
      <c r="M144">
        <v>0</v>
      </c>
      <c r="N144">
        <v>-1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W144">
        <v>2</v>
      </c>
      <c r="X144">
        <v>1</v>
      </c>
      <c r="Y144">
        <v>2</v>
      </c>
      <c r="Z144">
        <v>2</v>
      </c>
      <c r="AA144">
        <v>1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1</v>
      </c>
      <c r="AH144">
        <v>2</v>
      </c>
      <c r="AI144">
        <v>2</v>
      </c>
      <c r="AJ144">
        <v>1</v>
      </c>
      <c r="AK144">
        <v>2</v>
      </c>
      <c r="AL144">
        <v>2</v>
      </c>
      <c r="AM144">
        <v>2</v>
      </c>
      <c r="AN144">
        <v>2</v>
      </c>
      <c r="AO144">
        <v>2</v>
      </c>
      <c r="AP144">
        <v>0</v>
      </c>
      <c r="AQ144">
        <v>4</v>
      </c>
      <c r="AR144">
        <v>0</v>
      </c>
      <c r="AS144">
        <v>3</v>
      </c>
      <c r="AT144">
        <v>3</v>
      </c>
      <c r="AU144">
        <v>0</v>
      </c>
      <c r="AV144">
        <v>3</v>
      </c>
      <c r="AW144">
        <v>0</v>
      </c>
      <c r="AX144">
        <v>2</v>
      </c>
      <c r="AY144">
        <v>2</v>
      </c>
      <c r="AZ144">
        <v>0</v>
      </c>
      <c r="BA144">
        <v>1</v>
      </c>
      <c r="BB144">
        <v>2</v>
      </c>
      <c r="BC144">
        <v>1</v>
      </c>
      <c r="BD144">
        <v>1</v>
      </c>
      <c r="BE144">
        <v>1</v>
      </c>
      <c r="BF144">
        <v>1</v>
      </c>
      <c r="BG144">
        <v>2</v>
      </c>
      <c r="BH144">
        <v>1</v>
      </c>
      <c r="BI144">
        <v>0</v>
      </c>
      <c r="BK144">
        <v>1762662.5</v>
      </c>
      <c r="BL144">
        <v>4097.3500000000004</v>
      </c>
      <c r="BM144">
        <v>2701835</v>
      </c>
      <c r="BN144">
        <v>2599122.75</v>
      </c>
      <c r="BO144">
        <v>203234.81</v>
      </c>
      <c r="BP144">
        <v>4082807</v>
      </c>
      <c r="BQ144">
        <v>761131.12</v>
      </c>
      <c r="BR144">
        <v>1860487.88</v>
      </c>
      <c r="BS144">
        <v>1703734.5</v>
      </c>
      <c r="BT144">
        <v>276231.75</v>
      </c>
      <c r="BU144">
        <v>2190965</v>
      </c>
      <c r="BV144">
        <v>2962438</v>
      </c>
      <c r="BW144">
        <v>2262614.25</v>
      </c>
      <c r="BX144">
        <v>2489083</v>
      </c>
      <c r="BY144">
        <v>1272817.8799999999</v>
      </c>
      <c r="BZ144">
        <v>1644337.62</v>
      </c>
      <c r="CA144">
        <v>1349913.75</v>
      </c>
      <c r="CB144">
        <v>605647.43999999994</v>
      </c>
      <c r="CC144">
        <v>698277.25</v>
      </c>
      <c r="CD144" s="17" t="s">
        <v>1240</v>
      </c>
      <c r="CE144" s="21">
        <v>311941.62</v>
      </c>
      <c r="CF144" s="21">
        <v>965979.5</v>
      </c>
      <c r="CG144" s="19">
        <v>759042.81</v>
      </c>
      <c r="CH144" s="19">
        <v>4464177.5</v>
      </c>
      <c r="CI144" s="21">
        <v>1981615.62</v>
      </c>
      <c r="CJ144" s="21">
        <v>1850976</v>
      </c>
      <c r="CK144" s="19">
        <v>3292106</v>
      </c>
      <c r="CL144" s="19">
        <v>1116471.25</v>
      </c>
      <c r="CM144" s="21">
        <v>2151190.5</v>
      </c>
      <c r="CN144" s="21">
        <v>731065.31</v>
      </c>
      <c r="CO144" s="19">
        <v>626150.5</v>
      </c>
      <c r="CP144" s="19">
        <v>944276.81</v>
      </c>
      <c r="CQ144" s="21">
        <v>2813338.75</v>
      </c>
      <c r="CR144" s="21">
        <v>860563.19</v>
      </c>
      <c r="CS144" s="19">
        <v>116303.77</v>
      </c>
      <c r="CT144" s="19">
        <v>748770.88</v>
      </c>
      <c r="CU144" s="21">
        <v>411325.69</v>
      </c>
      <c r="CV144" s="21">
        <v>795254.56</v>
      </c>
      <c r="CW144" s="19">
        <v>1709389.62</v>
      </c>
      <c r="CX144" s="19">
        <v>793405.19</v>
      </c>
    </row>
    <row r="145" spans="1:102">
      <c r="A145">
        <v>30938</v>
      </c>
      <c r="B145" t="s">
        <v>157</v>
      </c>
      <c r="C145" t="s">
        <v>1241</v>
      </c>
      <c r="D145" t="s">
        <v>158</v>
      </c>
      <c r="F145" t="s">
        <v>159</v>
      </c>
      <c r="G145">
        <v>1242.67</v>
      </c>
      <c r="H145" t="s">
        <v>104</v>
      </c>
      <c r="I145">
        <v>2</v>
      </c>
      <c r="J145">
        <v>21</v>
      </c>
      <c r="K145">
        <v>0</v>
      </c>
      <c r="L145">
        <v>0</v>
      </c>
      <c r="M145">
        <v>0</v>
      </c>
      <c r="N145">
        <v>-1</v>
      </c>
      <c r="O145">
        <v>28</v>
      </c>
      <c r="P145">
        <v>28</v>
      </c>
      <c r="Q145">
        <v>34</v>
      </c>
      <c r="R145">
        <v>34</v>
      </c>
      <c r="S145">
        <v>34</v>
      </c>
      <c r="T145">
        <v>34</v>
      </c>
      <c r="U145">
        <v>34</v>
      </c>
      <c r="V145">
        <v>28</v>
      </c>
      <c r="W145">
        <v>30</v>
      </c>
      <c r="X145">
        <v>26</v>
      </c>
      <c r="Y145">
        <v>34</v>
      </c>
      <c r="Z145">
        <v>34</v>
      </c>
      <c r="AA145">
        <v>33</v>
      </c>
      <c r="AB145">
        <v>34</v>
      </c>
      <c r="AC145">
        <v>33</v>
      </c>
      <c r="AD145">
        <v>34</v>
      </c>
      <c r="AE145">
        <v>33</v>
      </c>
      <c r="AF145">
        <v>34</v>
      </c>
      <c r="AG145">
        <v>33</v>
      </c>
      <c r="AH145">
        <v>34</v>
      </c>
      <c r="AI145">
        <v>33</v>
      </c>
      <c r="AJ145">
        <v>34</v>
      </c>
      <c r="AK145">
        <v>33</v>
      </c>
      <c r="AL145">
        <v>34</v>
      </c>
      <c r="AM145">
        <v>34</v>
      </c>
      <c r="AN145">
        <v>32</v>
      </c>
      <c r="AO145">
        <v>33</v>
      </c>
      <c r="AP145">
        <v>64</v>
      </c>
      <c r="AQ145">
        <v>66</v>
      </c>
      <c r="AR145">
        <v>23</v>
      </c>
      <c r="AS145">
        <v>62</v>
      </c>
      <c r="AT145">
        <v>85</v>
      </c>
      <c r="AU145">
        <v>46</v>
      </c>
      <c r="AV145">
        <v>90</v>
      </c>
      <c r="AW145">
        <v>87</v>
      </c>
      <c r="AX145">
        <v>61</v>
      </c>
      <c r="AY145">
        <v>51</v>
      </c>
      <c r="AZ145">
        <v>36</v>
      </c>
      <c r="BA145">
        <v>46</v>
      </c>
      <c r="BB145">
        <v>56</v>
      </c>
      <c r="BC145">
        <v>79</v>
      </c>
      <c r="BD145">
        <v>114</v>
      </c>
      <c r="BE145">
        <v>40</v>
      </c>
      <c r="BF145">
        <v>115</v>
      </c>
      <c r="BG145">
        <v>78</v>
      </c>
      <c r="BH145">
        <v>43</v>
      </c>
      <c r="BI145">
        <v>33</v>
      </c>
      <c r="BJ145">
        <v>412152704</v>
      </c>
      <c r="BK145">
        <v>631882880</v>
      </c>
      <c r="BL145">
        <v>37559368</v>
      </c>
      <c r="BM145">
        <v>523578592</v>
      </c>
      <c r="BN145">
        <v>1533611648</v>
      </c>
      <c r="BO145">
        <v>487001440</v>
      </c>
      <c r="BP145">
        <v>1678594816</v>
      </c>
      <c r="BQ145">
        <v>1887592576</v>
      </c>
      <c r="BR145">
        <v>673039744</v>
      </c>
      <c r="BS145">
        <v>370751424</v>
      </c>
      <c r="BT145">
        <v>207717376</v>
      </c>
      <c r="BU145">
        <v>507652224</v>
      </c>
      <c r="BV145">
        <v>787248576</v>
      </c>
      <c r="BW145">
        <v>1605200000</v>
      </c>
      <c r="BX145">
        <v>2793977344</v>
      </c>
      <c r="BY145">
        <v>374019168</v>
      </c>
      <c r="BZ145">
        <v>2834256384</v>
      </c>
      <c r="CA145">
        <v>1890919936</v>
      </c>
      <c r="CB145">
        <v>482130144</v>
      </c>
      <c r="CC145">
        <v>193057984</v>
      </c>
      <c r="CD145" s="17" t="s">
        <v>1241</v>
      </c>
      <c r="CE145" s="21">
        <v>254115872</v>
      </c>
      <c r="CF145" s="21">
        <v>1407559168</v>
      </c>
      <c r="CG145" s="19">
        <v>1592312448</v>
      </c>
      <c r="CH145" s="19">
        <v>1297628544</v>
      </c>
      <c r="CI145" s="21">
        <v>2239360256</v>
      </c>
      <c r="CJ145" s="21">
        <v>3325283072</v>
      </c>
      <c r="CK145" s="19">
        <v>2596312576</v>
      </c>
      <c r="CL145" s="19">
        <v>3603706880</v>
      </c>
      <c r="CM145" s="21">
        <v>855045952</v>
      </c>
      <c r="CN145" s="21">
        <v>405927904</v>
      </c>
      <c r="CO145" s="19">
        <v>449974880</v>
      </c>
      <c r="CP145" s="19">
        <v>483101728</v>
      </c>
      <c r="CQ145" s="21">
        <v>1016820352</v>
      </c>
      <c r="CR145" s="21">
        <v>867373824</v>
      </c>
      <c r="CS145" s="19">
        <v>292285088</v>
      </c>
      <c r="CT145" s="19">
        <v>405363456</v>
      </c>
      <c r="CU145" s="21">
        <v>1293129600</v>
      </c>
      <c r="CV145" s="21">
        <v>1343116032</v>
      </c>
      <c r="CW145" s="19">
        <v>531640128</v>
      </c>
      <c r="CX145" s="19">
        <v>350963168</v>
      </c>
    </row>
    <row r="146" spans="1:102">
      <c r="A146">
        <v>31021</v>
      </c>
      <c r="B146" t="s">
        <v>137</v>
      </c>
      <c r="C146" t="s">
        <v>1242</v>
      </c>
      <c r="D146" t="s">
        <v>138</v>
      </c>
      <c r="F146" t="s">
        <v>139</v>
      </c>
      <c r="G146">
        <v>1617.6020000000001</v>
      </c>
      <c r="H146" t="s">
        <v>104</v>
      </c>
      <c r="I146">
        <v>2</v>
      </c>
      <c r="J146">
        <v>21</v>
      </c>
      <c r="K146">
        <v>0</v>
      </c>
      <c r="L146">
        <v>0</v>
      </c>
      <c r="M146">
        <v>0</v>
      </c>
      <c r="N146">
        <v>-1</v>
      </c>
      <c r="O146">
        <v>33</v>
      </c>
      <c r="P146">
        <v>33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33</v>
      </c>
      <c r="W146">
        <v>36</v>
      </c>
      <c r="X146">
        <v>33</v>
      </c>
      <c r="Y146">
        <v>39</v>
      </c>
      <c r="Z146">
        <v>40</v>
      </c>
      <c r="AA146">
        <v>37</v>
      </c>
      <c r="AB146">
        <v>40</v>
      </c>
      <c r="AC146">
        <v>39</v>
      </c>
      <c r="AD146">
        <v>40</v>
      </c>
      <c r="AE146">
        <v>39</v>
      </c>
      <c r="AF146">
        <v>40</v>
      </c>
      <c r="AG146">
        <v>38</v>
      </c>
      <c r="AH146">
        <v>40</v>
      </c>
      <c r="AI146">
        <v>39</v>
      </c>
      <c r="AJ146">
        <v>40</v>
      </c>
      <c r="AK146">
        <v>39</v>
      </c>
      <c r="AL146">
        <v>40</v>
      </c>
      <c r="AM146">
        <v>39</v>
      </c>
      <c r="AN146">
        <v>38</v>
      </c>
      <c r="AO146">
        <v>38</v>
      </c>
      <c r="AP146">
        <v>84</v>
      </c>
      <c r="AQ146">
        <v>95</v>
      </c>
      <c r="AR146">
        <v>13</v>
      </c>
      <c r="AS146">
        <v>87</v>
      </c>
      <c r="AT146">
        <v>160</v>
      </c>
      <c r="AU146">
        <v>62</v>
      </c>
      <c r="AV146">
        <v>168</v>
      </c>
      <c r="AW146">
        <v>129</v>
      </c>
      <c r="AX146">
        <v>95</v>
      </c>
      <c r="AY146">
        <v>72</v>
      </c>
      <c r="AZ146">
        <v>64</v>
      </c>
      <c r="BA146">
        <v>69</v>
      </c>
      <c r="BB146">
        <v>99</v>
      </c>
      <c r="BC146">
        <v>115</v>
      </c>
      <c r="BD146">
        <v>191</v>
      </c>
      <c r="BE146">
        <v>66</v>
      </c>
      <c r="BF146">
        <v>171</v>
      </c>
      <c r="BG146">
        <v>135</v>
      </c>
      <c r="BH146">
        <v>72</v>
      </c>
      <c r="BI146">
        <v>40</v>
      </c>
      <c r="BJ146">
        <v>878364416</v>
      </c>
      <c r="BK146">
        <v>1552321664</v>
      </c>
      <c r="BL146">
        <v>15839465</v>
      </c>
      <c r="BM146">
        <v>861609216</v>
      </c>
      <c r="BN146">
        <v>3681659648</v>
      </c>
      <c r="BO146">
        <v>723069184</v>
      </c>
      <c r="BP146">
        <v>3401247232</v>
      </c>
      <c r="BQ146">
        <v>3475923200</v>
      </c>
      <c r="BR146">
        <v>1140605696</v>
      </c>
      <c r="BS146">
        <v>651590912</v>
      </c>
      <c r="BT146">
        <v>432822880</v>
      </c>
      <c r="BU146">
        <v>855937920</v>
      </c>
      <c r="BV146">
        <v>1412451456</v>
      </c>
      <c r="BW146">
        <v>2578777088</v>
      </c>
      <c r="BX146">
        <v>4536558080</v>
      </c>
      <c r="BY146">
        <v>851437376</v>
      </c>
      <c r="BZ146">
        <v>3966178816</v>
      </c>
      <c r="CA146">
        <v>3347494656</v>
      </c>
      <c r="CB146">
        <v>662153280</v>
      </c>
      <c r="CC146">
        <v>371809760</v>
      </c>
      <c r="CD146" s="17" t="s">
        <v>1242</v>
      </c>
      <c r="CE146" s="21">
        <v>554136832</v>
      </c>
      <c r="CF146" s="21">
        <v>2012416000</v>
      </c>
      <c r="CG146" s="19">
        <v>2297650176</v>
      </c>
      <c r="CH146" s="19">
        <v>2014533248</v>
      </c>
      <c r="CI146" s="21">
        <v>3176765184</v>
      </c>
      <c r="CJ146" s="21">
        <v>5384642560</v>
      </c>
      <c r="CK146" s="19">
        <v>3345396224</v>
      </c>
      <c r="CL146" s="19">
        <v>4766512128</v>
      </c>
      <c r="CM146" s="21">
        <v>1454815488</v>
      </c>
      <c r="CN146" s="21">
        <v>836021056</v>
      </c>
      <c r="CO146" s="19">
        <v>764984128</v>
      </c>
      <c r="CP146" s="19">
        <v>778480832</v>
      </c>
      <c r="CQ146" s="21">
        <v>1267756928</v>
      </c>
      <c r="CR146" s="21">
        <v>1562988032</v>
      </c>
      <c r="CS146" s="19">
        <v>508863072</v>
      </c>
      <c r="CT146" s="19">
        <v>776141824</v>
      </c>
      <c r="CU146" s="21">
        <v>2667356928</v>
      </c>
      <c r="CV146" s="21">
        <v>2909552384</v>
      </c>
      <c r="CW146" s="19">
        <v>815334016</v>
      </c>
      <c r="CX146" s="19">
        <v>623463360</v>
      </c>
    </row>
    <row r="147" spans="1:102">
      <c r="A147">
        <v>30937</v>
      </c>
      <c r="B147" t="s">
        <v>228</v>
      </c>
      <c r="C147" t="s">
        <v>1243</v>
      </c>
      <c r="D147" t="s">
        <v>229</v>
      </c>
      <c r="F147" t="s">
        <v>230</v>
      </c>
      <c r="G147">
        <v>874.59100000000001</v>
      </c>
      <c r="H147" t="s">
        <v>104</v>
      </c>
      <c r="I147">
        <v>2</v>
      </c>
      <c r="J147">
        <v>21</v>
      </c>
      <c r="K147">
        <v>0</v>
      </c>
      <c r="L147">
        <v>0</v>
      </c>
      <c r="M147">
        <v>0</v>
      </c>
      <c r="N147">
        <v>-1</v>
      </c>
      <c r="O147">
        <v>22</v>
      </c>
      <c r="P147">
        <v>22</v>
      </c>
      <c r="Q147">
        <v>23</v>
      </c>
      <c r="R147">
        <v>23</v>
      </c>
      <c r="S147">
        <v>23</v>
      </c>
      <c r="T147">
        <v>23</v>
      </c>
      <c r="U147">
        <v>23</v>
      </c>
      <c r="V147">
        <v>16</v>
      </c>
      <c r="W147">
        <v>22</v>
      </c>
      <c r="X147">
        <v>22</v>
      </c>
      <c r="Y147">
        <v>23</v>
      </c>
      <c r="Z147">
        <v>23</v>
      </c>
      <c r="AA147">
        <v>20</v>
      </c>
      <c r="AB147">
        <v>23</v>
      </c>
      <c r="AC147">
        <v>23</v>
      </c>
      <c r="AD147">
        <v>23</v>
      </c>
      <c r="AE147">
        <v>23</v>
      </c>
      <c r="AF147">
        <v>23</v>
      </c>
      <c r="AG147">
        <v>21</v>
      </c>
      <c r="AH147">
        <v>23</v>
      </c>
      <c r="AI147">
        <v>23</v>
      </c>
      <c r="AJ147">
        <v>23</v>
      </c>
      <c r="AK147">
        <v>22</v>
      </c>
      <c r="AL147">
        <v>23</v>
      </c>
      <c r="AM147">
        <v>22</v>
      </c>
      <c r="AN147">
        <v>22</v>
      </c>
      <c r="AO147">
        <v>22</v>
      </c>
      <c r="AP147">
        <v>68</v>
      </c>
      <c r="AQ147">
        <v>61</v>
      </c>
      <c r="AR147">
        <v>5</v>
      </c>
      <c r="AS147">
        <v>54</v>
      </c>
      <c r="AT147">
        <v>74</v>
      </c>
      <c r="AU147">
        <v>50</v>
      </c>
      <c r="AV147">
        <v>76</v>
      </c>
      <c r="AW147">
        <v>80</v>
      </c>
      <c r="AX147">
        <v>63</v>
      </c>
      <c r="AY147">
        <v>53</v>
      </c>
      <c r="AZ147">
        <v>39</v>
      </c>
      <c r="BA147">
        <v>58</v>
      </c>
      <c r="BB147">
        <v>62</v>
      </c>
      <c r="BC147">
        <v>72</v>
      </c>
      <c r="BD147">
        <v>91</v>
      </c>
      <c r="BE147">
        <v>50</v>
      </c>
      <c r="BF147">
        <v>80</v>
      </c>
      <c r="BG147">
        <v>87</v>
      </c>
      <c r="BH147">
        <v>59</v>
      </c>
      <c r="BI147">
        <v>36</v>
      </c>
      <c r="BJ147">
        <v>1266260352</v>
      </c>
      <c r="BK147">
        <v>1454387072</v>
      </c>
      <c r="BL147">
        <v>5134002</v>
      </c>
      <c r="BM147">
        <v>781478400</v>
      </c>
      <c r="BN147">
        <v>2212370176</v>
      </c>
      <c r="BO147">
        <v>1091401088</v>
      </c>
      <c r="BP147">
        <v>2063536128</v>
      </c>
      <c r="BQ147">
        <v>3417594880</v>
      </c>
      <c r="BR147">
        <v>959673984</v>
      </c>
      <c r="BS147">
        <v>759906432</v>
      </c>
      <c r="BT147">
        <v>296476000</v>
      </c>
      <c r="BU147">
        <v>1071548672</v>
      </c>
      <c r="BV147">
        <v>1427898112</v>
      </c>
      <c r="BW147">
        <v>2164471296</v>
      </c>
      <c r="BX147">
        <v>3090122240</v>
      </c>
      <c r="BY147">
        <v>843629312</v>
      </c>
      <c r="BZ147">
        <v>2587642624</v>
      </c>
      <c r="CA147">
        <v>3404346624</v>
      </c>
      <c r="CB147">
        <v>848211584</v>
      </c>
      <c r="CC147">
        <v>417392576</v>
      </c>
      <c r="CD147" s="17" t="s">
        <v>1243</v>
      </c>
      <c r="CE147" s="21">
        <v>1104449536</v>
      </c>
      <c r="CF147" s="21">
        <v>1331836288</v>
      </c>
      <c r="CG147" s="19">
        <v>1059991424</v>
      </c>
      <c r="CH147" s="19">
        <v>1709398016</v>
      </c>
      <c r="CI147" s="21">
        <v>2126836480</v>
      </c>
      <c r="CJ147" s="21">
        <v>3813045248</v>
      </c>
      <c r="CK147" s="19">
        <v>2048495360</v>
      </c>
      <c r="CL147" s="19">
        <v>2895851008</v>
      </c>
      <c r="CM147" s="21">
        <v>1127809536</v>
      </c>
      <c r="CN147" s="21">
        <v>1022631872</v>
      </c>
      <c r="CO147" s="19">
        <v>952339520</v>
      </c>
      <c r="CP147" s="19">
        <v>885070208</v>
      </c>
      <c r="CQ147" s="21">
        <v>1088831872</v>
      </c>
      <c r="CR147" s="21">
        <v>1423989248</v>
      </c>
      <c r="CS147" s="19">
        <v>660420672</v>
      </c>
      <c r="CT147" s="19">
        <v>716983872</v>
      </c>
      <c r="CU147" s="21">
        <v>2544403456</v>
      </c>
      <c r="CV147" s="21">
        <v>2904692992</v>
      </c>
      <c r="CW147" s="19">
        <v>799398848</v>
      </c>
      <c r="CX147" s="19">
        <v>702950592</v>
      </c>
    </row>
    <row r="148" spans="1:102">
      <c r="A148">
        <v>30928</v>
      </c>
      <c r="B148" t="s">
        <v>150</v>
      </c>
      <c r="C148" t="s">
        <v>1244</v>
      </c>
      <c r="D148" t="s">
        <v>151</v>
      </c>
      <c r="E148" t="s">
        <v>152</v>
      </c>
      <c r="F148" t="s">
        <v>153</v>
      </c>
      <c r="G148">
        <v>1277.1600000000001</v>
      </c>
      <c r="H148" t="s">
        <v>104</v>
      </c>
      <c r="I148">
        <v>2</v>
      </c>
      <c r="J148">
        <v>19</v>
      </c>
      <c r="K148">
        <v>1</v>
      </c>
      <c r="L148">
        <v>0</v>
      </c>
      <c r="M148">
        <v>0</v>
      </c>
      <c r="N148">
        <v>-1</v>
      </c>
      <c r="O148">
        <v>17</v>
      </c>
      <c r="P148">
        <v>17</v>
      </c>
      <c r="Q148">
        <v>29</v>
      </c>
      <c r="R148">
        <v>29</v>
      </c>
      <c r="S148">
        <v>29</v>
      </c>
      <c r="T148">
        <v>29</v>
      </c>
      <c r="U148">
        <v>29</v>
      </c>
      <c r="V148">
        <v>21</v>
      </c>
      <c r="W148">
        <v>23</v>
      </c>
      <c r="X148">
        <v>25</v>
      </c>
      <c r="Y148">
        <v>27</v>
      </c>
      <c r="Z148">
        <v>27</v>
      </c>
      <c r="AA148">
        <v>26</v>
      </c>
      <c r="AB148">
        <v>25</v>
      </c>
      <c r="AC148">
        <v>25</v>
      </c>
      <c r="AD148">
        <v>26</v>
      </c>
      <c r="AE148">
        <v>25</v>
      </c>
      <c r="AF148">
        <v>25</v>
      </c>
      <c r="AG148">
        <v>26</v>
      </c>
      <c r="AH148">
        <v>23</v>
      </c>
      <c r="AI148">
        <v>24</v>
      </c>
      <c r="AJ148">
        <v>26</v>
      </c>
      <c r="AK148">
        <v>27</v>
      </c>
      <c r="AL148">
        <v>26</v>
      </c>
      <c r="AM148">
        <v>25</v>
      </c>
      <c r="AN148">
        <v>26</v>
      </c>
      <c r="AO148">
        <v>25</v>
      </c>
      <c r="AP148">
        <v>381</v>
      </c>
      <c r="AQ148">
        <v>385</v>
      </c>
      <c r="AR148">
        <v>222</v>
      </c>
      <c r="AS148">
        <v>330</v>
      </c>
      <c r="AT148">
        <v>370</v>
      </c>
      <c r="AU148">
        <v>391</v>
      </c>
      <c r="AV148">
        <v>345</v>
      </c>
      <c r="AW148">
        <v>358</v>
      </c>
      <c r="AX148">
        <v>279</v>
      </c>
      <c r="AY148">
        <v>269</v>
      </c>
      <c r="AZ148">
        <v>199</v>
      </c>
      <c r="BA148">
        <v>332</v>
      </c>
      <c r="BB148">
        <v>322</v>
      </c>
      <c r="BC148">
        <v>323</v>
      </c>
      <c r="BD148">
        <v>340</v>
      </c>
      <c r="BE148">
        <v>336</v>
      </c>
      <c r="BF148">
        <v>304</v>
      </c>
      <c r="BG148">
        <v>355</v>
      </c>
      <c r="BH148">
        <v>266</v>
      </c>
      <c r="BI148">
        <v>209</v>
      </c>
      <c r="BJ148">
        <v>4832683520</v>
      </c>
      <c r="BK148">
        <v>8871508992</v>
      </c>
      <c r="BL148">
        <v>215053136</v>
      </c>
      <c r="BM148">
        <v>4403608064</v>
      </c>
      <c r="BN148">
        <v>8344840704</v>
      </c>
      <c r="BO148">
        <v>8835284992</v>
      </c>
      <c r="BP148">
        <v>7437335040</v>
      </c>
      <c r="BQ148">
        <v>7706740224</v>
      </c>
      <c r="BR148">
        <v>4714099200</v>
      </c>
      <c r="BS148">
        <v>4838491648</v>
      </c>
      <c r="BT148">
        <v>1749014784</v>
      </c>
      <c r="BU148">
        <v>8011349504</v>
      </c>
      <c r="BV148">
        <v>7327793152</v>
      </c>
      <c r="BW148">
        <v>6275954688</v>
      </c>
      <c r="BX148">
        <v>6937517568</v>
      </c>
      <c r="BY148">
        <v>7456719872</v>
      </c>
      <c r="BZ148">
        <v>6061517312</v>
      </c>
      <c r="CA148">
        <v>8031047168</v>
      </c>
      <c r="CB148">
        <v>4201714944</v>
      </c>
      <c r="CC148">
        <v>3512656384</v>
      </c>
      <c r="CD148" s="17" t="s">
        <v>1244</v>
      </c>
      <c r="CE148" s="21">
        <v>3184531456</v>
      </c>
      <c r="CF148" s="21">
        <v>4281166592</v>
      </c>
      <c r="CG148" s="19">
        <v>80743268352</v>
      </c>
      <c r="CH148" s="19">
        <v>3980090368</v>
      </c>
      <c r="CI148" s="21">
        <v>3440340224</v>
      </c>
      <c r="CJ148" s="21">
        <v>4192891136</v>
      </c>
      <c r="CK148" s="19">
        <v>2948507136</v>
      </c>
      <c r="CL148" s="19">
        <v>3191832064</v>
      </c>
      <c r="CM148" s="21">
        <v>2475919616</v>
      </c>
      <c r="CN148" s="21">
        <v>3503404544</v>
      </c>
      <c r="CO148" s="19">
        <v>2003339392</v>
      </c>
      <c r="CP148" s="19">
        <v>2902129152</v>
      </c>
      <c r="CQ148" s="21">
        <v>2983626496</v>
      </c>
      <c r="CR148" s="21">
        <v>2218664960</v>
      </c>
      <c r="CS148" s="19">
        <v>2984414464</v>
      </c>
      <c r="CT148" s="19">
        <v>3118750208</v>
      </c>
      <c r="CU148" s="21">
        <v>3626652160</v>
      </c>
      <c r="CV148" s="21">
        <v>3634463744</v>
      </c>
      <c r="CW148" s="19">
        <v>2194480128</v>
      </c>
      <c r="CX148" s="19">
        <v>3810688512</v>
      </c>
    </row>
    <row r="149" spans="1:102">
      <c r="A149">
        <v>31083</v>
      </c>
      <c r="B149" t="s">
        <v>237</v>
      </c>
      <c r="C149" t="s">
        <v>1245</v>
      </c>
      <c r="D149" t="s">
        <v>238</v>
      </c>
      <c r="F149" t="s">
        <v>239</v>
      </c>
      <c r="G149">
        <v>798.48199999999997</v>
      </c>
      <c r="H149" t="s">
        <v>104</v>
      </c>
      <c r="I149">
        <v>2</v>
      </c>
      <c r="J149">
        <v>21</v>
      </c>
      <c r="K149">
        <v>0</v>
      </c>
      <c r="L149">
        <v>0</v>
      </c>
      <c r="M149">
        <v>0</v>
      </c>
      <c r="N149">
        <v>-1</v>
      </c>
      <c r="O149">
        <v>20</v>
      </c>
      <c r="P149">
        <v>20</v>
      </c>
      <c r="Q149">
        <v>22</v>
      </c>
      <c r="R149">
        <v>22</v>
      </c>
      <c r="S149">
        <v>22</v>
      </c>
      <c r="T149">
        <v>22</v>
      </c>
      <c r="U149">
        <v>22</v>
      </c>
      <c r="V149">
        <v>20</v>
      </c>
      <c r="W149">
        <v>21</v>
      </c>
      <c r="X149">
        <v>17</v>
      </c>
      <c r="Y149">
        <v>22</v>
      </c>
      <c r="Z149">
        <v>22</v>
      </c>
      <c r="AA149">
        <v>21</v>
      </c>
      <c r="AB149">
        <v>22</v>
      </c>
      <c r="AC149">
        <v>21</v>
      </c>
      <c r="AD149">
        <v>21</v>
      </c>
      <c r="AE149">
        <v>21</v>
      </c>
      <c r="AF149">
        <v>22</v>
      </c>
      <c r="AG149">
        <v>21</v>
      </c>
      <c r="AH149">
        <v>22</v>
      </c>
      <c r="AI149">
        <v>22</v>
      </c>
      <c r="AJ149">
        <v>22</v>
      </c>
      <c r="AK149">
        <v>21</v>
      </c>
      <c r="AL149">
        <v>22</v>
      </c>
      <c r="AM149">
        <v>22</v>
      </c>
      <c r="AN149">
        <v>21</v>
      </c>
      <c r="AO149">
        <v>21</v>
      </c>
      <c r="AP149">
        <v>147</v>
      </c>
      <c r="AQ149">
        <v>157</v>
      </c>
      <c r="AR149">
        <v>83</v>
      </c>
      <c r="AS149">
        <v>121</v>
      </c>
      <c r="AT149">
        <v>143</v>
      </c>
      <c r="AU149">
        <v>163</v>
      </c>
      <c r="AV149">
        <v>159</v>
      </c>
      <c r="AW149">
        <v>199</v>
      </c>
      <c r="AX149">
        <v>128</v>
      </c>
      <c r="AY149">
        <v>116</v>
      </c>
      <c r="AZ149">
        <v>58</v>
      </c>
      <c r="BA149">
        <v>102</v>
      </c>
      <c r="BB149">
        <v>109</v>
      </c>
      <c r="BC149">
        <v>153</v>
      </c>
      <c r="BD149">
        <v>149</v>
      </c>
      <c r="BE149">
        <v>138</v>
      </c>
      <c r="BF149">
        <v>127</v>
      </c>
      <c r="BG149">
        <v>164</v>
      </c>
      <c r="BH149">
        <v>85</v>
      </c>
      <c r="BI149">
        <v>60</v>
      </c>
      <c r="BJ149">
        <v>1438318592</v>
      </c>
      <c r="BK149">
        <v>2552243712</v>
      </c>
      <c r="BL149">
        <v>8194167</v>
      </c>
      <c r="BM149">
        <v>1221065472</v>
      </c>
      <c r="BN149">
        <v>2664327936</v>
      </c>
      <c r="BO149">
        <v>2776089344</v>
      </c>
      <c r="BP149">
        <v>2647150848</v>
      </c>
      <c r="BQ149">
        <v>4015513088</v>
      </c>
      <c r="BR149">
        <v>1272264448</v>
      </c>
      <c r="BS149">
        <v>1292326528</v>
      </c>
      <c r="BT149">
        <v>310803104</v>
      </c>
      <c r="BU149">
        <v>1807395456</v>
      </c>
      <c r="BV149">
        <v>1749422208</v>
      </c>
      <c r="BW149">
        <v>2938155776</v>
      </c>
      <c r="BX149">
        <v>2755915264</v>
      </c>
      <c r="BY149">
        <v>2548159232</v>
      </c>
      <c r="BZ149">
        <v>2351591936</v>
      </c>
      <c r="CA149">
        <v>4036319744</v>
      </c>
      <c r="CB149">
        <v>892251776</v>
      </c>
      <c r="CC149">
        <v>464295712</v>
      </c>
      <c r="CD149" s="17" t="s">
        <v>1245</v>
      </c>
      <c r="CE149" s="21">
        <v>933605376</v>
      </c>
      <c r="CF149" s="21">
        <v>1346199680</v>
      </c>
      <c r="CG149" s="19">
        <v>1264806400</v>
      </c>
      <c r="CH149" s="19">
        <v>2026428800</v>
      </c>
      <c r="CI149" s="21">
        <v>1996707072</v>
      </c>
      <c r="CJ149" s="21">
        <v>3046332672</v>
      </c>
      <c r="CK149" s="19">
        <v>2036006784</v>
      </c>
      <c r="CL149" s="19">
        <v>2291269376</v>
      </c>
      <c r="CM149" s="21">
        <v>1241956736</v>
      </c>
      <c r="CN149" s="21">
        <v>933366272</v>
      </c>
      <c r="CO149" s="19">
        <v>1215963648</v>
      </c>
      <c r="CP149" s="19">
        <v>1408443520</v>
      </c>
      <c r="CQ149" s="21">
        <v>1428756736</v>
      </c>
      <c r="CR149" s="21">
        <v>1824527104</v>
      </c>
      <c r="CS149" s="19">
        <v>1536556800</v>
      </c>
      <c r="CT149" s="19">
        <v>1747811712</v>
      </c>
      <c r="CU149" s="21">
        <v>3133598464</v>
      </c>
      <c r="CV149" s="21">
        <v>3288185600</v>
      </c>
      <c r="CW149" s="19">
        <v>1188462592</v>
      </c>
      <c r="CX149" s="19">
        <v>767244288</v>
      </c>
    </row>
    <row r="150" spans="1:102">
      <c r="A150">
        <v>31080</v>
      </c>
      <c r="B150" t="s">
        <v>584</v>
      </c>
      <c r="C150" t="s">
        <v>1246</v>
      </c>
      <c r="D150" t="s">
        <v>585</v>
      </c>
      <c r="F150" t="s">
        <v>586</v>
      </c>
      <c r="G150">
        <v>94.546999999999997</v>
      </c>
      <c r="H150" t="s">
        <v>104</v>
      </c>
      <c r="I150">
        <v>2</v>
      </c>
      <c r="J150">
        <v>12</v>
      </c>
      <c r="K150">
        <v>0</v>
      </c>
      <c r="L150">
        <v>0</v>
      </c>
      <c r="M150">
        <v>0</v>
      </c>
      <c r="N150">
        <v>-1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Y150">
        <v>3</v>
      </c>
      <c r="Z150">
        <v>3</v>
      </c>
      <c r="AA150">
        <v>3</v>
      </c>
      <c r="AB150">
        <v>3</v>
      </c>
      <c r="AC150">
        <v>3</v>
      </c>
      <c r="AD150">
        <v>3</v>
      </c>
      <c r="AE150">
        <v>3</v>
      </c>
      <c r="AF150">
        <v>3</v>
      </c>
      <c r="AG150">
        <v>2</v>
      </c>
      <c r="AH150">
        <v>3</v>
      </c>
      <c r="AI150">
        <v>3</v>
      </c>
      <c r="AJ150">
        <v>3</v>
      </c>
      <c r="AK150">
        <v>3</v>
      </c>
      <c r="AL150">
        <v>3</v>
      </c>
      <c r="AM150">
        <v>3</v>
      </c>
      <c r="AN150">
        <v>3</v>
      </c>
      <c r="AO150">
        <v>3</v>
      </c>
      <c r="AP150">
        <v>1</v>
      </c>
      <c r="AQ150">
        <v>1</v>
      </c>
      <c r="AR150">
        <v>0</v>
      </c>
      <c r="AS150">
        <v>3</v>
      </c>
      <c r="AT150">
        <v>0</v>
      </c>
      <c r="AU150">
        <v>1</v>
      </c>
      <c r="AV150">
        <v>0</v>
      </c>
      <c r="AW150">
        <v>0</v>
      </c>
      <c r="AX150">
        <v>2</v>
      </c>
      <c r="AY150">
        <v>2</v>
      </c>
      <c r="AZ150">
        <v>0</v>
      </c>
      <c r="BA150">
        <v>0</v>
      </c>
      <c r="BB150">
        <v>0</v>
      </c>
      <c r="BC150">
        <v>3</v>
      </c>
      <c r="BD150">
        <v>0</v>
      </c>
      <c r="BE150">
        <v>2</v>
      </c>
      <c r="BF150">
        <v>0</v>
      </c>
      <c r="BG150">
        <v>0</v>
      </c>
      <c r="BH150">
        <v>2</v>
      </c>
      <c r="BI150">
        <v>2</v>
      </c>
      <c r="BJ150">
        <v>1833953.75</v>
      </c>
      <c r="BK150">
        <v>2956060</v>
      </c>
      <c r="BM150">
        <v>1761907</v>
      </c>
      <c r="BN150">
        <v>1827321</v>
      </c>
      <c r="BO150">
        <v>3015121.75</v>
      </c>
      <c r="BP150">
        <v>2358258</v>
      </c>
      <c r="BQ150">
        <v>1353497.5</v>
      </c>
      <c r="BR150">
        <v>2548998.5</v>
      </c>
      <c r="BS150">
        <v>3830444.75</v>
      </c>
      <c r="BT150">
        <v>542198</v>
      </c>
      <c r="BU150">
        <v>2313236</v>
      </c>
      <c r="BV150">
        <v>1229304.75</v>
      </c>
      <c r="BW150">
        <v>3604098</v>
      </c>
      <c r="BX150">
        <v>1333120</v>
      </c>
      <c r="BY150">
        <v>2274513</v>
      </c>
      <c r="BZ150">
        <v>1916919.5</v>
      </c>
      <c r="CA150">
        <v>1690462.25</v>
      </c>
      <c r="CB150">
        <v>1784286.25</v>
      </c>
      <c r="CC150">
        <v>2455188.75</v>
      </c>
      <c r="CD150" s="17" t="s">
        <v>1246</v>
      </c>
      <c r="CE150" s="21">
        <v>1933593.12</v>
      </c>
      <c r="CF150" s="21">
        <v>1777768.62</v>
      </c>
      <c r="CG150" s="19">
        <v>1861110.38</v>
      </c>
      <c r="CH150" s="19">
        <v>1283283</v>
      </c>
      <c r="CI150" s="21">
        <v>1332533.25</v>
      </c>
      <c r="CJ150" s="21">
        <v>1217353.1200000001</v>
      </c>
      <c r="CK150" s="19">
        <v>1736585.88</v>
      </c>
      <c r="CL150" s="19">
        <v>1774703.25</v>
      </c>
      <c r="CM150" s="21">
        <v>2603360.75</v>
      </c>
      <c r="CN150" s="21">
        <v>2006211</v>
      </c>
      <c r="CO150" s="19">
        <v>1469889.75</v>
      </c>
      <c r="CP150" s="19">
        <v>1699987.38</v>
      </c>
      <c r="CQ150" s="21">
        <v>1931715.75</v>
      </c>
      <c r="CR150" s="21">
        <v>2110816.25</v>
      </c>
      <c r="CS150" s="19">
        <v>1935198.88</v>
      </c>
      <c r="CT150" s="19">
        <v>1649681.25</v>
      </c>
      <c r="CU150" s="21">
        <v>1046584.62</v>
      </c>
      <c r="CV150" s="21">
        <v>1188993.25</v>
      </c>
      <c r="CW150" s="19">
        <v>3054528.5</v>
      </c>
      <c r="CX150" s="19">
        <v>2999605.5</v>
      </c>
    </row>
    <row r="151" spans="1:102">
      <c r="A151">
        <v>30984</v>
      </c>
      <c r="B151" t="s">
        <v>708</v>
      </c>
      <c r="C151" t="s">
        <v>1247</v>
      </c>
      <c r="D151" t="s">
        <v>709</v>
      </c>
      <c r="F151" t="s">
        <v>710</v>
      </c>
      <c r="G151">
        <v>28.087</v>
      </c>
      <c r="H151" t="s">
        <v>104</v>
      </c>
      <c r="I151">
        <v>2</v>
      </c>
      <c r="J151">
        <v>20</v>
      </c>
      <c r="K151">
        <v>0</v>
      </c>
      <c r="L151">
        <v>0</v>
      </c>
      <c r="M151">
        <v>0</v>
      </c>
      <c r="N151">
        <v>-1</v>
      </c>
      <c r="O151">
        <v>3</v>
      </c>
      <c r="P151">
        <v>3</v>
      </c>
      <c r="Q151">
        <v>3</v>
      </c>
      <c r="R151">
        <v>3</v>
      </c>
      <c r="S151">
        <v>3</v>
      </c>
      <c r="T151">
        <v>3</v>
      </c>
      <c r="U151">
        <v>3</v>
      </c>
      <c r="V151">
        <v>3</v>
      </c>
      <c r="W151">
        <v>3</v>
      </c>
      <c r="X151">
        <v>1</v>
      </c>
      <c r="Y151">
        <v>3</v>
      </c>
      <c r="Z151">
        <v>3</v>
      </c>
      <c r="AA151">
        <v>3</v>
      </c>
      <c r="AB151">
        <v>3</v>
      </c>
      <c r="AC151">
        <v>3</v>
      </c>
      <c r="AD151">
        <v>2</v>
      </c>
      <c r="AE151">
        <v>3</v>
      </c>
      <c r="AF151">
        <v>3</v>
      </c>
      <c r="AG151">
        <v>3</v>
      </c>
      <c r="AH151">
        <v>3</v>
      </c>
      <c r="AI151">
        <v>3</v>
      </c>
      <c r="AJ151">
        <v>3</v>
      </c>
      <c r="AK151">
        <v>3</v>
      </c>
      <c r="AL151">
        <v>3</v>
      </c>
      <c r="AM151">
        <v>3</v>
      </c>
      <c r="AN151">
        <v>3</v>
      </c>
      <c r="AO151">
        <v>2</v>
      </c>
      <c r="AP151">
        <v>1</v>
      </c>
      <c r="AQ151">
        <v>2</v>
      </c>
      <c r="AR151">
        <v>0</v>
      </c>
      <c r="AS151">
        <v>1</v>
      </c>
      <c r="AT151">
        <v>3</v>
      </c>
      <c r="AU151">
        <v>3</v>
      </c>
      <c r="AV151">
        <v>1</v>
      </c>
      <c r="AW151">
        <v>2</v>
      </c>
      <c r="AX151">
        <v>1</v>
      </c>
      <c r="AY151">
        <v>0</v>
      </c>
      <c r="AZ151">
        <v>0</v>
      </c>
      <c r="BA151">
        <v>3</v>
      </c>
      <c r="BB151">
        <v>2</v>
      </c>
      <c r="BC151">
        <v>3</v>
      </c>
      <c r="BD151">
        <v>2</v>
      </c>
      <c r="BE151">
        <v>2</v>
      </c>
      <c r="BF151">
        <v>2</v>
      </c>
      <c r="BG151">
        <v>1</v>
      </c>
      <c r="BH151">
        <v>0</v>
      </c>
      <c r="BI151">
        <v>0</v>
      </c>
      <c r="BJ151">
        <v>1348067.5</v>
      </c>
      <c r="BK151">
        <v>2534543</v>
      </c>
      <c r="BL151">
        <v>13268.7</v>
      </c>
      <c r="BM151">
        <v>1002272.12</v>
      </c>
      <c r="BN151">
        <v>2119537.25</v>
      </c>
      <c r="BO151">
        <v>1868716.38</v>
      </c>
      <c r="BP151">
        <v>1685501</v>
      </c>
      <c r="BQ151">
        <v>1909238</v>
      </c>
      <c r="BR151">
        <v>606236.62</v>
      </c>
      <c r="BS151">
        <v>606706.81000000006</v>
      </c>
      <c r="BT151">
        <v>235123.59</v>
      </c>
      <c r="BU151">
        <v>1547700</v>
      </c>
      <c r="BV151">
        <v>1641661</v>
      </c>
      <c r="BW151">
        <v>1625517</v>
      </c>
      <c r="BX151">
        <v>2253626.5</v>
      </c>
      <c r="BY151">
        <v>1165457.5</v>
      </c>
      <c r="BZ151">
        <v>1665288.62</v>
      </c>
      <c r="CA151">
        <v>2294975.75</v>
      </c>
      <c r="CB151">
        <v>653836.68999999994</v>
      </c>
      <c r="CC151">
        <v>182418.81</v>
      </c>
      <c r="CD151" s="17" t="s">
        <v>1247</v>
      </c>
      <c r="CE151" s="21">
        <v>1232980.25</v>
      </c>
      <c r="CF151" s="21">
        <v>812981.25</v>
      </c>
      <c r="CG151" s="19">
        <v>1819508.12</v>
      </c>
      <c r="CH151" s="19">
        <v>1577996.25</v>
      </c>
      <c r="CI151" s="21">
        <v>1548360.38</v>
      </c>
      <c r="CJ151" s="21">
        <v>1992391.25</v>
      </c>
      <c r="CK151" s="19">
        <v>1197641.8799999999</v>
      </c>
      <c r="CL151" s="19">
        <v>1527141</v>
      </c>
      <c r="CM151" s="21">
        <v>622942.75</v>
      </c>
      <c r="CN151" s="21">
        <v>708911.44</v>
      </c>
      <c r="CO151" s="19">
        <v>1346238.88</v>
      </c>
      <c r="CP151" s="19">
        <v>1040780.12</v>
      </c>
      <c r="CQ151" s="21">
        <v>1029935.75</v>
      </c>
      <c r="CR151" s="21">
        <v>937326.75</v>
      </c>
      <c r="CS151" s="19">
        <v>1112689.75</v>
      </c>
      <c r="CT151" s="19">
        <v>865102.75</v>
      </c>
      <c r="CU151" s="21">
        <v>1524562</v>
      </c>
      <c r="CV151" s="21">
        <v>1761377.25</v>
      </c>
      <c r="CW151" s="19">
        <v>521750.5</v>
      </c>
      <c r="CX151" s="19">
        <v>313518.40999999997</v>
      </c>
    </row>
    <row r="152" spans="1:102">
      <c r="A152">
        <v>31060</v>
      </c>
      <c r="B152" t="s">
        <v>257</v>
      </c>
      <c r="C152" t="s">
        <v>1248</v>
      </c>
      <c r="D152" t="s">
        <v>258</v>
      </c>
      <c r="F152" t="s">
        <v>259</v>
      </c>
      <c r="G152">
        <v>720.76199999999994</v>
      </c>
      <c r="H152" t="s">
        <v>104</v>
      </c>
      <c r="I152">
        <v>2</v>
      </c>
      <c r="J152">
        <v>20</v>
      </c>
      <c r="K152">
        <v>0</v>
      </c>
      <c r="L152">
        <v>0</v>
      </c>
      <c r="M152">
        <v>0</v>
      </c>
      <c r="N152">
        <v>-1</v>
      </c>
      <c r="O152">
        <v>14</v>
      </c>
      <c r="P152">
        <v>14</v>
      </c>
      <c r="Q152">
        <v>18</v>
      </c>
      <c r="R152">
        <v>18</v>
      </c>
      <c r="S152">
        <v>18</v>
      </c>
      <c r="T152">
        <v>18</v>
      </c>
      <c r="U152">
        <v>18</v>
      </c>
      <c r="V152">
        <v>17</v>
      </c>
      <c r="W152">
        <v>18</v>
      </c>
      <c r="X152">
        <v>15</v>
      </c>
      <c r="Y152">
        <v>18</v>
      </c>
      <c r="Z152">
        <v>18</v>
      </c>
      <c r="AA152">
        <v>18</v>
      </c>
      <c r="AB152">
        <v>18</v>
      </c>
      <c r="AC152">
        <v>18</v>
      </c>
      <c r="AD152">
        <v>18</v>
      </c>
      <c r="AE152">
        <v>18</v>
      </c>
      <c r="AF152">
        <v>18</v>
      </c>
      <c r="AG152">
        <v>18</v>
      </c>
      <c r="AH152">
        <v>18</v>
      </c>
      <c r="AI152">
        <v>18</v>
      </c>
      <c r="AJ152">
        <v>18</v>
      </c>
      <c r="AK152">
        <v>18</v>
      </c>
      <c r="AL152">
        <v>18</v>
      </c>
      <c r="AM152">
        <v>18</v>
      </c>
      <c r="AN152">
        <v>18</v>
      </c>
      <c r="AO152">
        <v>18</v>
      </c>
      <c r="AP152">
        <v>52</v>
      </c>
      <c r="AQ152">
        <v>82</v>
      </c>
      <c r="AR152">
        <v>1</v>
      </c>
      <c r="AS152">
        <v>54</v>
      </c>
      <c r="AT152">
        <v>41</v>
      </c>
      <c r="AU152">
        <v>88</v>
      </c>
      <c r="AV152">
        <v>72</v>
      </c>
      <c r="AW152">
        <v>32</v>
      </c>
      <c r="AX152">
        <v>57</v>
      </c>
      <c r="AY152">
        <v>55</v>
      </c>
      <c r="AZ152">
        <v>26</v>
      </c>
      <c r="BA152">
        <v>75</v>
      </c>
      <c r="BB152">
        <v>34</v>
      </c>
      <c r="BC152">
        <v>72</v>
      </c>
      <c r="BD152">
        <v>35</v>
      </c>
      <c r="BE152">
        <v>66</v>
      </c>
      <c r="BF152">
        <v>78</v>
      </c>
      <c r="BG152">
        <v>33</v>
      </c>
      <c r="BH152">
        <v>63</v>
      </c>
      <c r="BI152">
        <v>40</v>
      </c>
      <c r="BJ152">
        <v>909091136</v>
      </c>
      <c r="BK152">
        <v>3087929088</v>
      </c>
      <c r="BL152">
        <v>4623303.5</v>
      </c>
      <c r="BM152">
        <v>1062087808</v>
      </c>
      <c r="BN152">
        <v>806237184</v>
      </c>
      <c r="BO152">
        <v>2879053056</v>
      </c>
      <c r="BP152">
        <v>2353159936</v>
      </c>
      <c r="BQ152">
        <v>638813824</v>
      </c>
      <c r="BR152">
        <v>1401944704</v>
      </c>
      <c r="BS152">
        <v>1494429952</v>
      </c>
      <c r="BT152">
        <v>179986336</v>
      </c>
      <c r="BU152">
        <v>2434855680</v>
      </c>
      <c r="BV152">
        <v>591602368</v>
      </c>
      <c r="BW152">
        <v>2043008128</v>
      </c>
      <c r="BX152">
        <v>667624192</v>
      </c>
      <c r="BY152">
        <v>2033697152</v>
      </c>
      <c r="BZ152">
        <v>2167927808</v>
      </c>
      <c r="CA152">
        <v>639390528</v>
      </c>
      <c r="CB152">
        <v>1203148032</v>
      </c>
      <c r="CC152">
        <v>811022976</v>
      </c>
      <c r="CD152" s="17" t="s">
        <v>1248</v>
      </c>
      <c r="CE152" s="21">
        <v>891550976</v>
      </c>
      <c r="CF152" s="21">
        <v>761786880</v>
      </c>
      <c r="CG152" s="19">
        <v>658431232</v>
      </c>
      <c r="CH152" s="19">
        <v>704772352</v>
      </c>
      <c r="CI152" s="21">
        <v>637704256</v>
      </c>
      <c r="CJ152" s="21">
        <v>668324160</v>
      </c>
      <c r="CK152" s="19">
        <v>1796820608</v>
      </c>
      <c r="CL152" s="19">
        <v>2274116864</v>
      </c>
      <c r="CM152" s="21">
        <v>1462559616</v>
      </c>
      <c r="CN152" s="21">
        <v>1495971328</v>
      </c>
      <c r="CO152" s="19">
        <v>1759475456</v>
      </c>
      <c r="CP152" s="19">
        <v>1799193344</v>
      </c>
      <c r="CQ152" s="21">
        <v>1298706048</v>
      </c>
      <c r="CR152" s="21">
        <v>1212205696</v>
      </c>
      <c r="CS152" s="19">
        <v>1814569088</v>
      </c>
      <c r="CT152" s="19">
        <v>1524798208</v>
      </c>
      <c r="CU152" s="21">
        <v>568862848</v>
      </c>
      <c r="CV152" s="21">
        <v>539722880</v>
      </c>
      <c r="CW152" s="19">
        <v>1086944128</v>
      </c>
      <c r="CX152" s="19">
        <v>1332551936</v>
      </c>
    </row>
    <row r="153" spans="1:102">
      <c r="A153">
        <v>31099</v>
      </c>
      <c r="B153" t="s">
        <v>101</v>
      </c>
      <c r="C153" t="s">
        <v>1249</v>
      </c>
      <c r="D153" t="s">
        <v>102</v>
      </c>
      <c r="F153" t="s">
        <v>103</v>
      </c>
      <c r="G153">
        <v>3253.6480000000001</v>
      </c>
      <c r="H153" t="s">
        <v>104</v>
      </c>
      <c r="I153">
        <v>2</v>
      </c>
      <c r="J153">
        <v>3</v>
      </c>
      <c r="K153">
        <v>0</v>
      </c>
      <c r="L153">
        <v>0</v>
      </c>
      <c r="M153">
        <v>0</v>
      </c>
      <c r="N153">
        <v>-1</v>
      </c>
      <c r="O153">
        <v>55</v>
      </c>
      <c r="P153">
        <v>55</v>
      </c>
      <c r="Q153">
        <v>63</v>
      </c>
      <c r="R153">
        <v>63</v>
      </c>
      <c r="S153">
        <v>63</v>
      </c>
      <c r="T153">
        <v>63</v>
      </c>
      <c r="U153">
        <v>63</v>
      </c>
      <c r="V153">
        <v>59</v>
      </c>
      <c r="W153">
        <v>63</v>
      </c>
      <c r="X153">
        <v>55</v>
      </c>
      <c r="Y153">
        <v>63</v>
      </c>
      <c r="Z153">
        <v>62</v>
      </c>
      <c r="AA153">
        <v>63</v>
      </c>
      <c r="AB153">
        <v>62</v>
      </c>
      <c r="AC153">
        <v>63</v>
      </c>
      <c r="AD153">
        <v>63</v>
      </c>
      <c r="AE153">
        <v>63</v>
      </c>
      <c r="AF153">
        <v>62</v>
      </c>
      <c r="AG153">
        <v>63</v>
      </c>
      <c r="AH153">
        <v>63</v>
      </c>
      <c r="AI153">
        <v>63</v>
      </c>
      <c r="AJ153">
        <v>63</v>
      </c>
      <c r="AK153">
        <v>63</v>
      </c>
      <c r="AL153">
        <v>62</v>
      </c>
      <c r="AM153">
        <v>63</v>
      </c>
      <c r="AN153">
        <v>63</v>
      </c>
      <c r="AO153">
        <v>62</v>
      </c>
      <c r="AP153">
        <v>503</v>
      </c>
      <c r="AQ153">
        <v>445</v>
      </c>
      <c r="AR153">
        <v>115</v>
      </c>
      <c r="AS153">
        <v>233</v>
      </c>
      <c r="AT153">
        <v>365</v>
      </c>
      <c r="AU153">
        <v>406</v>
      </c>
      <c r="AV153">
        <v>313</v>
      </c>
      <c r="AW153">
        <v>312</v>
      </c>
      <c r="AX153">
        <v>229</v>
      </c>
      <c r="AY153">
        <v>239</v>
      </c>
      <c r="AZ153">
        <v>153</v>
      </c>
      <c r="BA153">
        <v>292</v>
      </c>
      <c r="BB153">
        <v>294</v>
      </c>
      <c r="BC153">
        <v>261</v>
      </c>
      <c r="BD153">
        <v>290</v>
      </c>
      <c r="BE153">
        <v>293</v>
      </c>
      <c r="BF153">
        <v>256</v>
      </c>
      <c r="BG153">
        <v>299</v>
      </c>
      <c r="BH153">
        <v>221</v>
      </c>
      <c r="BI153">
        <v>184</v>
      </c>
      <c r="BJ153">
        <v>3867881472</v>
      </c>
      <c r="BK153">
        <v>7756794368</v>
      </c>
      <c r="BL153">
        <v>297449344</v>
      </c>
      <c r="BM153">
        <v>3554981632</v>
      </c>
      <c r="BN153">
        <v>7226753024</v>
      </c>
      <c r="BO153">
        <v>7504921600</v>
      </c>
      <c r="BP153">
        <v>5926765568</v>
      </c>
      <c r="BQ153">
        <v>6782410752</v>
      </c>
      <c r="BR153">
        <v>3598043648</v>
      </c>
      <c r="BS153">
        <v>3497448960</v>
      </c>
      <c r="BT153">
        <v>1251458944</v>
      </c>
      <c r="BU153">
        <v>6355807744</v>
      </c>
      <c r="BV153">
        <v>5783006720</v>
      </c>
      <c r="BW153">
        <v>5465459200</v>
      </c>
      <c r="BX153">
        <v>5921390592</v>
      </c>
      <c r="BY153">
        <v>5899318784</v>
      </c>
      <c r="BZ153">
        <v>4891280896</v>
      </c>
      <c r="CA153">
        <v>7358483968</v>
      </c>
      <c r="CB153">
        <v>3349822464</v>
      </c>
      <c r="CC153">
        <v>2722606848</v>
      </c>
      <c r="CD153" s="17" t="s">
        <v>1249</v>
      </c>
      <c r="CE153" s="21">
        <v>5013380608</v>
      </c>
      <c r="CF153" s="21">
        <v>6268612608</v>
      </c>
      <c r="CG153" s="19">
        <v>8268679168</v>
      </c>
      <c r="CH153" s="19">
        <v>8474229760</v>
      </c>
      <c r="CI153" s="21">
        <v>7410031104</v>
      </c>
      <c r="CJ153" s="21">
        <v>8463860736</v>
      </c>
      <c r="CK153" s="19">
        <v>5973911040</v>
      </c>
      <c r="CL153" s="19">
        <v>6738662400</v>
      </c>
      <c r="CM153" s="21">
        <v>4480625152</v>
      </c>
      <c r="CN153" s="21">
        <v>5341062144</v>
      </c>
      <c r="CO153" s="19">
        <v>5900277760</v>
      </c>
      <c r="CP153" s="19">
        <v>6629017600</v>
      </c>
      <c r="CQ153" s="21">
        <v>4966910976</v>
      </c>
      <c r="CR153" s="21">
        <v>4613583872</v>
      </c>
      <c r="CS153" s="19">
        <v>6714483200</v>
      </c>
      <c r="CT153" s="19">
        <v>6102811648</v>
      </c>
      <c r="CU153" s="21">
        <v>7996424704</v>
      </c>
      <c r="CV153" s="21">
        <v>7876606976</v>
      </c>
      <c r="CW153" s="19">
        <v>4379667968</v>
      </c>
      <c r="CX153" s="19">
        <v>5095693312</v>
      </c>
    </row>
    <row r="154" spans="1:102">
      <c r="A154">
        <v>30930</v>
      </c>
      <c r="B154" t="s">
        <v>307</v>
      </c>
      <c r="C154" t="s">
        <v>1250</v>
      </c>
      <c r="D154" t="s">
        <v>308</v>
      </c>
      <c r="F154" t="s">
        <v>309</v>
      </c>
      <c r="G154">
        <v>564.83399999999995</v>
      </c>
      <c r="H154" t="s">
        <v>104</v>
      </c>
      <c r="I154">
        <v>2</v>
      </c>
      <c r="J154">
        <v>21</v>
      </c>
      <c r="K154">
        <v>0</v>
      </c>
      <c r="L154">
        <v>0</v>
      </c>
      <c r="M154">
        <v>0</v>
      </c>
      <c r="N154">
        <v>-1</v>
      </c>
      <c r="O154">
        <v>15</v>
      </c>
      <c r="P154">
        <v>15</v>
      </c>
      <c r="Q154">
        <v>16</v>
      </c>
      <c r="R154">
        <v>16</v>
      </c>
      <c r="S154">
        <v>16</v>
      </c>
      <c r="T154">
        <v>16</v>
      </c>
      <c r="U154">
        <v>16</v>
      </c>
      <c r="V154">
        <v>12</v>
      </c>
      <c r="W154">
        <v>13</v>
      </c>
      <c r="X154">
        <v>12</v>
      </c>
      <c r="Y154">
        <v>16</v>
      </c>
      <c r="Z154">
        <v>15</v>
      </c>
      <c r="AA154">
        <v>15</v>
      </c>
      <c r="AB154">
        <v>15</v>
      </c>
      <c r="AC154">
        <v>16</v>
      </c>
      <c r="AD154">
        <v>14</v>
      </c>
      <c r="AE154">
        <v>16</v>
      </c>
      <c r="AF154">
        <v>15</v>
      </c>
      <c r="AG154">
        <v>16</v>
      </c>
      <c r="AH154">
        <v>15</v>
      </c>
      <c r="AI154">
        <v>15</v>
      </c>
      <c r="AJ154">
        <v>15</v>
      </c>
      <c r="AK154">
        <v>16</v>
      </c>
      <c r="AL154">
        <v>15</v>
      </c>
      <c r="AM154">
        <v>15</v>
      </c>
      <c r="AN154">
        <v>14</v>
      </c>
      <c r="AO154">
        <v>15</v>
      </c>
      <c r="AP154">
        <v>95</v>
      </c>
      <c r="AQ154">
        <v>132</v>
      </c>
      <c r="AR154">
        <v>51</v>
      </c>
      <c r="AS154">
        <v>96</v>
      </c>
      <c r="AT154">
        <v>121</v>
      </c>
      <c r="AU154">
        <v>102</v>
      </c>
      <c r="AV154">
        <v>111</v>
      </c>
      <c r="AW154">
        <v>108</v>
      </c>
      <c r="AX154">
        <v>93</v>
      </c>
      <c r="AY154">
        <v>85</v>
      </c>
      <c r="AZ154">
        <v>63</v>
      </c>
      <c r="BA154">
        <v>120</v>
      </c>
      <c r="BB154">
        <v>103</v>
      </c>
      <c r="BC154">
        <v>99</v>
      </c>
      <c r="BD154">
        <v>102</v>
      </c>
      <c r="BE154">
        <v>105</v>
      </c>
      <c r="BF154">
        <v>93</v>
      </c>
      <c r="BG154">
        <v>104</v>
      </c>
      <c r="BH154">
        <v>86</v>
      </c>
      <c r="BI154">
        <v>75</v>
      </c>
      <c r="BJ154">
        <v>1888169216</v>
      </c>
      <c r="BK154">
        <v>3698551040</v>
      </c>
      <c r="BL154">
        <v>15448966</v>
      </c>
      <c r="BM154">
        <v>1499760768</v>
      </c>
      <c r="BN154">
        <v>3723075584</v>
      </c>
      <c r="BO154">
        <v>1876891008</v>
      </c>
      <c r="BP154">
        <v>2754863104</v>
      </c>
      <c r="BQ154">
        <v>2822549760</v>
      </c>
      <c r="BR154">
        <v>1414064896</v>
      </c>
      <c r="BS154">
        <v>1285414528</v>
      </c>
      <c r="BT154">
        <v>481366016</v>
      </c>
      <c r="BU154">
        <v>3014719744</v>
      </c>
      <c r="BV154">
        <v>2951057408</v>
      </c>
      <c r="BW154">
        <v>2295407616</v>
      </c>
      <c r="BX154">
        <v>2635178240</v>
      </c>
      <c r="BY154">
        <v>1681830784</v>
      </c>
      <c r="BZ154">
        <v>2301730304</v>
      </c>
      <c r="CA154">
        <v>2756587264</v>
      </c>
      <c r="CB154">
        <v>1199929600</v>
      </c>
      <c r="CC154">
        <v>625416704</v>
      </c>
      <c r="CD154" s="17" t="s">
        <v>1250</v>
      </c>
      <c r="CE154" s="21">
        <v>738976832</v>
      </c>
      <c r="CF154" s="21">
        <v>1371135488</v>
      </c>
      <c r="CG154" s="19">
        <v>1557053312</v>
      </c>
      <c r="CH154" s="19">
        <v>2046783360</v>
      </c>
      <c r="CI154" s="21">
        <v>2867885568</v>
      </c>
      <c r="CJ154" s="21">
        <v>2336472064</v>
      </c>
      <c r="CK154" s="19">
        <v>1853213312</v>
      </c>
      <c r="CL154" s="19">
        <v>1709074560</v>
      </c>
      <c r="CM154" s="21">
        <v>821564800</v>
      </c>
      <c r="CN154" s="21">
        <v>1279433600</v>
      </c>
      <c r="CO154" s="19">
        <v>2059043712</v>
      </c>
      <c r="CP154" s="19">
        <v>4454503424</v>
      </c>
      <c r="CQ154" s="21">
        <v>1966386688</v>
      </c>
      <c r="CR154" s="21">
        <v>1259686144</v>
      </c>
      <c r="CS154" s="19">
        <v>1771758592</v>
      </c>
      <c r="CT154" s="19">
        <v>2944584448</v>
      </c>
      <c r="CU154" s="21">
        <v>2748027392</v>
      </c>
      <c r="CV154" s="21">
        <v>2193697024</v>
      </c>
      <c r="CW154" s="19">
        <v>2071211264</v>
      </c>
      <c r="CX154" s="19">
        <v>1469127680</v>
      </c>
    </row>
    <row r="155" spans="1:102">
      <c r="A155">
        <v>31073</v>
      </c>
      <c r="B155" t="s">
        <v>344</v>
      </c>
      <c r="C155" t="s">
        <v>1251</v>
      </c>
      <c r="D155" t="s">
        <v>345</v>
      </c>
      <c r="F155" t="s">
        <v>346</v>
      </c>
      <c r="G155">
        <v>466.03</v>
      </c>
      <c r="H155" t="s">
        <v>104</v>
      </c>
      <c r="I155">
        <v>2</v>
      </c>
      <c r="J155">
        <v>21</v>
      </c>
      <c r="K155">
        <v>0</v>
      </c>
      <c r="L155">
        <v>0</v>
      </c>
      <c r="M155">
        <v>0</v>
      </c>
      <c r="N155">
        <v>-1</v>
      </c>
      <c r="O155">
        <v>8</v>
      </c>
      <c r="P155">
        <v>8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8</v>
      </c>
      <c r="W155">
        <v>9</v>
      </c>
      <c r="X155">
        <v>8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8</v>
      </c>
      <c r="AE155">
        <v>9</v>
      </c>
      <c r="AF155">
        <v>8</v>
      </c>
      <c r="AG155">
        <v>9</v>
      </c>
      <c r="AH155">
        <v>8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8</v>
      </c>
      <c r="AO155">
        <v>9</v>
      </c>
      <c r="AP155">
        <v>137</v>
      </c>
      <c r="AQ155">
        <v>138</v>
      </c>
      <c r="AR155">
        <v>53</v>
      </c>
      <c r="AS155">
        <v>62</v>
      </c>
      <c r="AT155">
        <v>72</v>
      </c>
      <c r="AU155">
        <v>81</v>
      </c>
      <c r="AV155">
        <v>67</v>
      </c>
      <c r="AW155">
        <v>64</v>
      </c>
      <c r="AX155">
        <v>58</v>
      </c>
      <c r="AY155">
        <v>55</v>
      </c>
      <c r="AZ155">
        <v>49</v>
      </c>
      <c r="BA155">
        <v>62</v>
      </c>
      <c r="BB155">
        <v>62</v>
      </c>
      <c r="BC155">
        <v>51</v>
      </c>
      <c r="BD155">
        <v>60</v>
      </c>
      <c r="BE155">
        <v>64</v>
      </c>
      <c r="BF155">
        <v>56</v>
      </c>
      <c r="BG155">
        <v>60</v>
      </c>
      <c r="BH155">
        <v>59</v>
      </c>
      <c r="BI155">
        <v>46</v>
      </c>
      <c r="BJ155">
        <v>1392404608</v>
      </c>
      <c r="BK155">
        <v>2510755840</v>
      </c>
      <c r="BL155">
        <v>30438242</v>
      </c>
      <c r="BM155">
        <v>996020288</v>
      </c>
      <c r="BN155">
        <v>2374362624</v>
      </c>
      <c r="BO155">
        <v>2283794432</v>
      </c>
      <c r="BP155">
        <v>1832974080</v>
      </c>
      <c r="BQ155">
        <v>2292793344</v>
      </c>
      <c r="BR155">
        <v>1087120256</v>
      </c>
      <c r="BS155">
        <v>1004866816</v>
      </c>
      <c r="BT155">
        <v>340666368</v>
      </c>
      <c r="BU155">
        <v>2205245952</v>
      </c>
      <c r="BV155">
        <v>1907362176</v>
      </c>
      <c r="BW155">
        <v>1904201728</v>
      </c>
      <c r="BX155">
        <v>2080349056</v>
      </c>
      <c r="BY155">
        <v>1809533440</v>
      </c>
      <c r="BZ155">
        <v>1738599936</v>
      </c>
      <c r="CA155">
        <v>2685220096</v>
      </c>
      <c r="CB155">
        <v>955473792</v>
      </c>
      <c r="CC155">
        <v>613216640</v>
      </c>
      <c r="CD155" s="17" t="s">
        <v>1251</v>
      </c>
      <c r="CE155" s="21">
        <v>1197881472</v>
      </c>
      <c r="CF155" s="21">
        <v>1471619072</v>
      </c>
      <c r="CG155" s="19">
        <v>1096297984</v>
      </c>
      <c r="CH155" s="19">
        <v>2166368512</v>
      </c>
      <c r="CI155" s="21">
        <v>1982269568</v>
      </c>
      <c r="CJ155" s="21">
        <v>2178124800</v>
      </c>
      <c r="CK155" s="19">
        <v>1711689088</v>
      </c>
      <c r="CL155" s="19">
        <v>1662504832</v>
      </c>
      <c r="CM155" s="21">
        <v>1193653376</v>
      </c>
      <c r="CN155" s="21">
        <v>1247638016</v>
      </c>
      <c r="CO155" s="19">
        <v>1348177664</v>
      </c>
      <c r="CP155" s="19">
        <v>1876956928</v>
      </c>
      <c r="CQ155" s="21">
        <v>1222925056</v>
      </c>
      <c r="CR155" s="21">
        <v>1385916416</v>
      </c>
      <c r="CS155" s="19">
        <v>1817897472</v>
      </c>
      <c r="CT155" s="19">
        <v>1726807424</v>
      </c>
      <c r="CU155" s="21">
        <v>2252346624</v>
      </c>
      <c r="CV155" s="21">
        <v>2292846848</v>
      </c>
      <c r="CW155" s="19">
        <v>1038712832</v>
      </c>
      <c r="CX155" s="19">
        <v>1023561728</v>
      </c>
    </row>
    <row r="156" spans="1:102">
      <c r="A156">
        <v>30996</v>
      </c>
      <c r="B156" t="s">
        <v>506</v>
      </c>
      <c r="C156" t="s">
        <v>1252</v>
      </c>
      <c r="D156" t="s">
        <v>507</v>
      </c>
      <c r="E156" t="s">
        <v>508</v>
      </c>
      <c r="F156" t="s">
        <v>509</v>
      </c>
      <c r="G156">
        <v>174.74100000000001</v>
      </c>
      <c r="H156" t="s">
        <v>104</v>
      </c>
      <c r="I156">
        <v>2</v>
      </c>
      <c r="J156">
        <v>18</v>
      </c>
      <c r="K156">
        <v>2</v>
      </c>
      <c r="L156">
        <v>0</v>
      </c>
      <c r="M156">
        <v>0</v>
      </c>
      <c r="N156">
        <v>-1</v>
      </c>
      <c r="O156">
        <v>6</v>
      </c>
      <c r="P156">
        <v>6</v>
      </c>
      <c r="Q156">
        <v>6</v>
      </c>
      <c r="R156">
        <v>6</v>
      </c>
      <c r="S156">
        <v>6</v>
      </c>
      <c r="T156">
        <v>6</v>
      </c>
      <c r="U156">
        <v>6</v>
      </c>
      <c r="V156">
        <v>6</v>
      </c>
      <c r="W156">
        <v>6</v>
      </c>
      <c r="X156">
        <v>4</v>
      </c>
      <c r="Y156">
        <v>6</v>
      </c>
      <c r="Z156">
        <v>6</v>
      </c>
      <c r="AA156">
        <v>6</v>
      </c>
      <c r="AB156">
        <v>6</v>
      </c>
      <c r="AC156">
        <v>6</v>
      </c>
      <c r="AD156">
        <v>5</v>
      </c>
      <c r="AE156">
        <v>5</v>
      </c>
      <c r="AF156">
        <v>6</v>
      </c>
      <c r="AG156">
        <v>6</v>
      </c>
      <c r="AH156">
        <v>6</v>
      </c>
      <c r="AI156">
        <v>6</v>
      </c>
      <c r="AJ156">
        <v>6</v>
      </c>
      <c r="AK156">
        <v>6</v>
      </c>
      <c r="AL156">
        <v>6</v>
      </c>
      <c r="AM156">
        <v>6</v>
      </c>
      <c r="AN156">
        <v>5</v>
      </c>
      <c r="AO156">
        <v>5</v>
      </c>
      <c r="AP156">
        <v>48</v>
      </c>
      <c r="AQ156">
        <v>81</v>
      </c>
      <c r="AR156">
        <v>58</v>
      </c>
      <c r="AS156">
        <v>51</v>
      </c>
      <c r="AT156">
        <v>52</v>
      </c>
      <c r="AU156">
        <v>45</v>
      </c>
      <c r="AV156">
        <v>45</v>
      </c>
      <c r="AW156">
        <v>53</v>
      </c>
      <c r="AX156">
        <v>47</v>
      </c>
      <c r="AY156">
        <v>45</v>
      </c>
      <c r="AZ156">
        <v>35</v>
      </c>
      <c r="BA156">
        <v>47</v>
      </c>
      <c r="BB156">
        <v>47</v>
      </c>
      <c r="BC156">
        <v>44</v>
      </c>
      <c r="BD156">
        <v>48</v>
      </c>
      <c r="BE156">
        <v>44</v>
      </c>
      <c r="BF156">
        <v>32</v>
      </c>
      <c r="BG156">
        <v>46</v>
      </c>
      <c r="BH156">
        <v>36</v>
      </c>
      <c r="BI156">
        <v>29</v>
      </c>
      <c r="BJ156">
        <v>514093792</v>
      </c>
      <c r="BK156">
        <v>827159744</v>
      </c>
      <c r="BL156">
        <v>13892329</v>
      </c>
      <c r="BM156">
        <v>338464224</v>
      </c>
      <c r="BN156">
        <v>748117184</v>
      </c>
      <c r="BO156">
        <v>330532544</v>
      </c>
      <c r="BP156">
        <v>618289088</v>
      </c>
      <c r="BQ156">
        <v>574984960</v>
      </c>
      <c r="BR156">
        <v>329129792</v>
      </c>
      <c r="BS156">
        <v>221930128</v>
      </c>
      <c r="BT156">
        <v>106354024</v>
      </c>
      <c r="BU156">
        <v>654345984</v>
      </c>
      <c r="BV156">
        <v>620102464</v>
      </c>
      <c r="BW156">
        <v>605845056</v>
      </c>
      <c r="BX156">
        <v>604106624</v>
      </c>
      <c r="BY156">
        <v>344984256</v>
      </c>
      <c r="BZ156">
        <v>559872448</v>
      </c>
      <c r="CA156">
        <v>745456064</v>
      </c>
      <c r="CB156">
        <v>314883712</v>
      </c>
      <c r="CC156">
        <v>209107472</v>
      </c>
      <c r="CD156" s="17" t="s">
        <v>1252</v>
      </c>
      <c r="CE156" s="21">
        <v>542889984</v>
      </c>
      <c r="CF156" s="21">
        <v>467821952</v>
      </c>
      <c r="CG156" s="19">
        <v>420337888</v>
      </c>
      <c r="CH156" s="19">
        <v>645052288</v>
      </c>
      <c r="CI156" s="21">
        <v>639108864</v>
      </c>
      <c r="CJ156" s="21">
        <v>692963392</v>
      </c>
      <c r="CK156" s="19">
        <v>457638656</v>
      </c>
      <c r="CL156" s="19">
        <v>407981472</v>
      </c>
      <c r="CM156" s="21">
        <v>309545568</v>
      </c>
      <c r="CN156" s="21">
        <v>387801856</v>
      </c>
      <c r="CO156" s="19">
        <v>425968736</v>
      </c>
      <c r="CP156" s="19">
        <v>614087872</v>
      </c>
      <c r="CQ156" s="21">
        <v>380070688</v>
      </c>
      <c r="CR156" s="21">
        <v>415945728</v>
      </c>
      <c r="CS156" s="19">
        <v>230277744</v>
      </c>
      <c r="CT156" s="19">
        <v>495121408</v>
      </c>
      <c r="CU156" s="21">
        <v>594867008</v>
      </c>
      <c r="CV156" s="21">
        <v>675851968</v>
      </c>
      <c r="CW156" s="19">
        <v>303837408</v>
      </c>
      <c r="CX156" s="19">
        <v>461340768</v>
      </c>
    </row>
    <row r="157" spans="1:102">
      <c r="A157">
        <v>31089</v>
      </c>
      <c r="B157" t="s">
        <v>293</v>
      </c>
      <c r="C157" t="s">
        <v>1253</v>
      </c>
      <c r="D157" t="s">
        <v>294</v>
      </c>
      <c r="F157" t="s">
        <v>295</v>
      </c>
      <c r="G157">
        <v>590.10699999999997</v>
      </c>
      <c r="H157" t="s">
        <v>104</v>
      </c>
      <c r="I157">
        <v>2</v>
      </c>
      <c r="J157">
        <v>6</v>
      </c>
      <c r="K157">
        <v>0</v>
      </c>
      <c r="L157">
        <v>0</v>
      </c>
      <c r="M157">
        <v>0</v>
      </c>
      <c r="N157">
        <v>-1</v>
      </c>
      <c r="O157">
        <v>16</v>
      </c>
      <c r="P157">
        <v>16</v>
      </c>
      <c r="Q157">
        <v>17</v>
      </c>
      <c r="R157">
        <v>17</v>
      </c>
      <c r="S157">
        <v>17</v>
      </c>
      <c r="T157">
        <v>17</v>
      </c>
      <c r="U157">
        <v>17</v>
      </c>
      <c r="V157">
        <v>11</v>
      </c>
      <c r="W157">
        <v>14</v>
      </c>
      <c r="X157">
        <v>13</v>
      </c>
      <c r="Y157">
        <v>15</v>
      </c>
      <c r="Z157">
        <v>16</v>
      </c>
      <c r="AA157">
        <v>16</v>
      </c>
      <c r="AB157">
        <v>15</v>
      </c>
      <c r="AC157">
        <v>15</v>
      </c>
      <c r="AD157">
        <v>14</v>
      </c>
      <c r="AE157">
        <v>16</v>
      </c>
      <c r="AF157">
        <v>14</v>
      </c>
      <c r="AG157">
        <v>16</v>
      </c>
      <c r="AH157">
        <v>14</v>
      </c>
      <c r="AI157">
        <v>14</v>
      </c>
      <c r="AJ157">
        <v>14</v>
      </c>
      <c r="AK157">
        <v>17</v>
      </c>
      <c r="AL157">
        <v>14</v>
      </c>
      <c r="AM157">
        <v>14</v>
      </c>
      <c r="AN157">
        <v>14</v>
      </c>
      <c r="AO157">
        <v>17</v>
      </c>
      <c r="AP157">
        <v>121</v>
      </c>
      <c r="AQ157">
        <v>110</v>
      </c>
      <c r="AR157">
        <v>12</v>
      </c>
      <c r="AS157">
        <v>75</v>
      </c>
      <c r="AT157">
        <v>103</v>
      </c>
      <c r="AU157">
        <v>66</v>
      </c>
      <c r="AV157">
        <v>90</v>
      </c>
      <c r="AW157">
        <v>96</v>
      </c>
      <c r="AX157">
        <v>73</v>
      </c>
      <c r="AY157">
        <v>56</v>
      </c>
      <c r="AZ157">
        <v>50</v>
      </c>
      <c r="BA157">
        <v>82</v>
      </c>
      <c r="BB157">
        <v>101</v>
      </c>
      <c r="BC157">
        <v>82</v>
      </c>
      <c r="BD157">
        <v>94</v>
      </c>
      <c r="BE157">
        <v>65</v>
      </c>
      <c r="BF157">
        <v>92</v>
      </c>
      <c r="BG157">
        <v>95</v>
      </c>
      <c r="BH157">
        <v>75</v>
      </c>
      <c r="BI157">
        <v>50</v>
      </c>
      <c r="BJ157">
        <v>2573337344</v>
      </c>
      <c r="BK157">
        <v>3984306176</v>
      </c>
      <c r="BL157">
        <v>44195392</v>
      </c>
      <c r="BM157">
        <v>2000495872</v>
      </c>
      <c r="BN157">
        <v>5402999296</v>
      </c>
      <c r="BO157">
        <v>2354055680</v>
      </c>
      <c r="BP157">
        <v>3994764288</v>
      </c>
      <c r="BQ157">
        <v>4534948864</v>
      </c>
      <c r="BR157">
        <v>2932719104</v>
      </c>
      <c r="BS157">
        <v>2171470080</v>
      </c>
      <c r="BT157">
        <v>877776512</v>
      </c>
      <c r="BU157">
        <v>3399249408</v>
      </c>
      <c r="BV157">
        <v>4522183680</v>
      </c>
      <c r="BW157">
        <v>3609679616</v>
      </c>
      <c r="BX157">
        <v>3954317568</v>
      </c>
      <c r="BY157">
        <v>2358163712</v>
      </c>
      <c r="BZ157">
        <v>3721545472</v>
      </c>
      <c r="CA157">
        <v>4697113088</v>
      </c>
      <c r="CB157">
        <v>2128551936</v>
      </c>
      <c r="CC157">
        <v>651017024</v>
      </c>
      <c r="CD157" s="17" t="s">
        <v>1253</v>
      </c>
      <c r="CE157" s="21">
        <v>2145863808</v>
      </c>
      <c r="CF157" s="21">
        <v>3271630336</v>
      </c>
      <c r="CG157" s="19">
        <v>3143889408</v>
      </c>
      <c r="CH157" s="19">
        <v>4761090048</v>
      </c>
      <c r="CI157" s="21">
        <v>4511483904</v>
      </c>
      <c r="CJ157" s="21">
        <v>4359793152</v>
      </c>
      <c r="CK157" s="19">
        <v>3350789632</v>
      </c>
      <c r="CL157" s="19">
        <v>3822102528</v>
      </c>
      <c r="CM157" s="21">
        <v>2546293760</v>
      </c>
      <c r="CN157" s="21">
        <v>2872273664</v>
      </c>
      <c r="CO157" s="19">
        <v>2740934400</v>
      </c>
      <c r="CP157" s="19">
        <v>3118446080</v>
      </c>
      <c r="CQ157" s="21">
        <v>2608362752</v>
      </c>
      <c r="CR157" s="21">
        <v>2359463936</v>
      </c>
      <c r="CS157" s="19">
        <v>1829952256</v>
      </c>
      <c r="CT157" s="19">
        <v>2251120384</v>
      </c>
      <c r="CU157" s="21">
        <v>4310915072</v>
      </c>
      <c r="CV157" s="21">
        <v>4056979712</v>
      </c>
      <c r="CW157" s="19">
        <v>2052813184</v>
      </c>
      <c r="CX157" s="19">
        <v>1400319360</v>
      </c>
    </row>
    <row r="158" spans="1:102">
      <c r="A158">
        <v>30986</v>
      </c>
      <c r="B158" t="s">
        <v>418</v>
      </c>
      <c r="C158" t="s">
        <v>1254</v>
      </c>
      <c r="D158" t="s">
        <v>419</v>
      </c>
      <c r="F158" t="s">
        <v>420</v>
      </c>
      <c r="G158">
        <v>340.59100000000001</v>
      </c>
      <c r="H158" t="s">
        <v>104</v>
      </c>
      <c r="I158">
        <v>2</v>
      </c>
      <c r="J158">
        <v>16</v>
      </c>
      <c r="K158">
        <v>0</v>
      </c>
      <c r="L158">
        <v>0</v>
      </c>
      <c r="M158">
        <v>0</v>
      </c>
      <c r="N158">
        <v>-1</v>
      </c>
      <c r="O158">
        <v>13</v>
      </c>
      <c r="P158">
        <v>4</v>
      </c>
      <c r="Q158">
        <v>13</v>
      </c>
      <c r="R158">
        <v>4</v>
      </c>
      <c r="S158">
        <v>13</v>
      </c>
      <c r="T158">
        <v>4</v>
      </c>
      <c r="U158">
        <v>4</v>
      </c>
      <c r="V158">
        <v>2</v>
      </c>
      <c r="W158">
        <v>4</v>
      </c>
      <c r="X158">
        <v>4</v>
      </c>
      <c r="Y158">
        <v>3</v>
      </c>
      <c r="Z158">
        <v>4</v>
      </c>
      <c r="AA158">
        <v>4</v>
      </c>
      <c r="AB158">
        <v>3</v>
      </c>
      <c r="AC158">
        <v>3</v>
      </c>
      <c r="AD158">
        <v>2</v>
      </c>
      <c r="AE158">
        <v>4</v>
      </c>
      <c r="AF158">
        <v>3</v>
      </c>
      <c r="AG158">
        <v>4</v>
      </c>
      <c r="AH158">
        <v>3</v>
      </c>
      <c r="AI158">
        <v>3</v>
      </c>
      <c r="AJ158">
        <v>2</v>
      </c>
      <c r="AK158">
        <v>4</v>
      </c>
      <c r="AL158">
        <v>3</v>
      </c>
      <c r="AM158">
        <v>3</v>
      </c>
      <c r="AN158">
        <v>2</v>
      </c>
      <c r="AO158">
        <v>4</v>
      </c>
      <c r="AP158">
        <v>24</v>
      </c>
      <c r="AQ158">
        <v>11</v>
      </c>
      <c r="AR158">
        <v>2</v>
      </c>
      <c r="AS158">
        <v>8</v>
      </c>
      <c r="AT158">
        <v>9</v>
      </c>
      <c r="AU158">
        <v>9</v>
      </c>
      <c r="AV158">
        <v>9</v>
      </c>
      <c r="AW158">
        <v>9</v>
      </c>
      <c r="AX158">
        <v>7</v>
      </c>
      <c r="AY158">
        <v>9</v>
      </c>
      <c r="AZ158">
        <v>4</v>
      </c>
      <c r="BA158">
        <v>8</v>
      </c>
      <c r="BB158">
        <v>9</v>
      </c>
      <c r="BC158">
        <v>7</v>
      </c>
      <c r="BD158">
        <v>8</v>
      </c>
      <c r="BE158">
        <v>9</v>
      </c>
      <c r="BF158">
        <v>9</v>
      </c>
      <c r="BG158">
        <v>8</v>
      </c>
      <c r="BH158">
        <v>7</v>
      </c>
      <c r="BI158">
        <v>7</v>
      </c>
      <c r="BJ158">
        <v>441370752</v>
      </c>
      <c r="BK158">
        <v>1024356416</v>
      </c>
      <c r="BL158">
        <v>13803927</v>
      </c>
      <c r="BM158">
        <v>455266880</v>
      </c>
      <c r="BN158">
        <v>1037598080</v>
      </c>
      <c r="BO158">
        <v>660239936</v>
      </c>
      <c r="BP158">
        <v>973382656</v>
      </c>
      <c r="BQ158">
        <v>961903552</v>
      </c>
      <c r="BR158">
        <v>403108512</v>
      </c>
      <c r="BS158">
        <v>450812928</v>
      </c>
      <c r="BT158">
        <v>127939616</v>
      </c>
      <c r="BU158">
        <v>1016849792</v>
      </c>
      <c r="BV158">
        <v>992106624</v>
      </c>
      <c r="BW158">
        <v>889621952</v>
      </c>
      <c r="BX158">
        <v>913752064</v>
      </c>
      <c r="BY158">
        <v>744107072</v>
      </c>
      <c r="BZ158">
        <v>732629056</v>
      </c>
      <c r="CA158">
        <v>1000176192</v>
      </c>
      <c r="CB158">
        <v>353119200</v>
      </c>
      <c r="CC158">
        <v>471705280</v>
      </c>
      <c r="CD158" s="17" t="s">
        <v>1254</v>
      </c>
      <c r="CE158" s="21">
        <v>98984584</v>
      </c>
      <c r="CF158" s="21">
        <v>236242528</v>
      </c>
      <c r="CG158" s="19">
        <v>944608896</v>
      </c>
      <c r="CH158" s="19">
        <v>1020976704</v>
      </c>
      <c r="CI158" s="21">
        <v>773447744</v>
      </c>
      <c r="CJ158" s="21">
        <v>725817152</v>
      </c>
      <c r="CK158" s="19">
        <v>733124352</v>
      </c>
      <c r="CL158" s="19">
        <v>428789632</v>
      </c>
      <c r="CM158" s="21">
        <v>159997040</v>
      </c>
      <c r="CN158" s="21">
        <v>154715248</v>
      </c>
      <c r="CO158" s="19">
        <v>311460064</v>
      </c>
      <c r="CP158" s="19">
        <v>807842048</v>
      </c>
      <c r="CQ158" s="21">
        <v>343382240</v>
      </c>
      <c r="CR158" s="21">
        <v>446039808</v>
      </c>
      <c r="CS158" s="19">
        <v>430474816</v>
      </c>
      <c r="CT158" s="19">
        <v>704069056</v>
      </c>
      <c r="CU158" s="21">
        <v>693425472</v>
      </c>
      <c r="CV158" s="21">
        <v>530011680</v>
      </c>
      <c r="CW158" s="19">
        <v>312690592</v>
      </c>
      <c r="CX158" s="19">
        <v>1038631936</v>
      </c>
    </row>
    <row r="159" spans="1:102">
      <c r="A159">
        <v>30987</v>
      </c>
      <c r="B159" t="s">
        <v>487</v>
      </c>
      <c r="C159" t="s">
        <v>1254</v>
      </c>
      <c r="D159" t="s">
        <v>487</v>
      </c>
      <c r="F159" t="s">
        <v>488</v>
      </c>
      <c r="G159">
        <v>196.226</v>
      </c>
      <c r="H159" t="s">
        <v>104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-1</v>
      </c>
      <c r="O159">
        <v>10</v>
      </c>
      <c r="P159">
        <v>1</v>
      </c>
      <c r="Q159">
        <v>10</v>
      </c>
      <c r="R159">
        <v>1</v>
      </c>
      <c r="S159">
        <v>10</v>
      </c>
      <c r="T159">
        <v>1</v>
      </c>
      <c r="U159">
        <v>1</v>
      </c>
      <c r="V159">
        <v>1</v>
      </c>
      <c r="W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2</v>
      </c>
      <c r="AQ159">
        <v>1</v>
      </c>
      <c r="AR159">
        <v>0</v>
      </c>
      <c r="AS159">
        <v>1</v>
      </c>
      <c r="AT159">
        <v>1</v>
      </c>
      <c r="AU159">
        <v>0</v>
      </c>
      <c r="AV159">
        <v>1</v>
      </c>
      <c r="AW159">
        <v>1</v>
      </c>
      <c r="AX159">
        <v>1</v>
      </c>
      <c r="AY159">
        <v>0</v>
      </c>
      <c r="AZ159">
        <v>0</v>
      </c>
      <c r="BA159">
        <v>0</v>
      </c>
      <c r="BB159">
        <v>1</v>
      </c>
      <c r="BC159">
        <v>1</v>
      </c>
      <c r="BD159">
        <v>1</v>
      </c>
      <c r="BE159">
        <v>0</v>
      </c>
      <c r="BF159">
        <v>1</v>
      </c>
      <c r="BG159">
        <v>1</v>
      </c>
      <c r="BH159">
        <v>1</v>
      </c>
      <c r="BI159">
        <v>0</v>
      </c>
      <c r="BJ159">
        <v>131468008</v>
      </c>
      <c r="BK159">
        <v>410056000</v>
      </c>
      <c r="BL159">
        <v>416738.78</v>
      </c>
      <c r="BM159">
        <v>136999616</v>
      </c>
      <c r="BN159">
        <v>330933600</v>
      </c>
      <c r="BO159">
        <v>252955264</v>
      </c>
      <c r="BP159">
        <v>225131440</v>
      </c>
      <c r="BQ159">
        <v>284255200</v>
      </c>
      <c r="BR159">
        <v>116228392</v>
      </c>
      <c r="BS159">
        <v>152880160</v>
      </c>
      <c r="BT159">
        <v>31600036</v>
      </c>
      <c r="BU159">
        <v>348085376</v>
      </c>
      <c r="BV159">
        <v>213918544</v>
      </c>
      <c r="BW159">
        <v>205221744</v>
      </c>
      <c r="BX159">
        <v>223987424</v>
      </c>
      <c r="BY159">
        <v>296649280</v>
      </c>
      <c r="BZ159">
        <v>197657552</v>
      </c>
      <c r="CA159">
        <v>316760320</v>
      </c>
      <c r="CB159">
        <v>133393200</v>
      </c>
      <c r="CC159">
        <v>107486064</v>
      </c>
      <c r="CD159" s="17" t="s">
        <v>1254</v>
      </c>
      <c r="CE159" s="21">
        <v>623696.5</v>
      </c>
      <c r="CF159" s="21">
        <v>493009.16</v>
      </c>
      <c r="CG159" s="19">
        <v>1861110.38</v>
      </c>
      <c r="CH159" s="19">
        <v>663593.93999999994</v>
      </c>
      <c r="CI159" s="21">
        <v>623696.5</v>
      </c>
      <c r="CJ159" s="21">
        <v>561841.25</v>
      </c>
      <c r="CK159" s="19">
        <v>474213.28</v>
      </c>
      <c r="CL159" s="19">
        <v>551691.88</v>
      </c>
      <c r="CM159" s="21">
        <v>345636.94</v>
      </c>
      <c r="CN159" s="21">
        <v>395464.09</v>
      </c>
      <c r="CO159" s="19">
        <v>627497.12</v>
      </c>
      <c r="CP159" s="19">
        <v>466065.5</v>
      </c>
      <c r="CQ159" s="21">
        <v>354993.28</v>
      </c>
      <c r="CR159" s="21">
        <v>237334.48</v>
      </c>
      <c r="CS159" s="19">
        <v>262481.12</v>
      </c>
      <c r="CT159" s="19">
        <v>151790.39000000001</v>
      </c>
      <c r="CU159" s="21">
        <v>550491.88</v>
      </c>
      <c r="CV159" s="21">
        <v>601977.68999999994</v>
      </c>
      <c r="CW159" s="19">
        <v>276089.88</v>
      </c>
      <c r="CX159" s="19">
        <v>159368.31</v>
      </c>
    </row>
    <row r="160" spans="1:102">
      <c r="A160">
        <v>31009</v>
      </c>
      <c r="B160" t="s">
        <v>444</v>
      </c>
      <c r="C160" t="s">
        <v>1255</v>
      </c>
      <c r="D160" t="s">
        <v>445</v>
      </c>
      <c r="E160" t="s">
        <v>446</v>
      </c>
      <c r="F160" t="s">
        <v>447</v>
      </c>
      <c r="G160">
        <v>255.70500000000001</v>
      </c>
      <c r="H160" t="s">
        <v>104</v>
      </c>
      <c r="I160">
        <v>2</v>
      </c>
      <c r="J160">
        <v>19</v>
      </c>
      <c r="K160">
        <v>2</v>
      </c>
      <c r="L160">
        <v>0</v>
      </c>
      <c r="M160">
        <v>0</v>
      </c>
      <c r="N160">
        <v>-1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7</v>
      </c>
      <c r="W160">
        <v>8</v>
      </c>
      <c r="X160">
        <v>7</v>
      </c>
      <c r="Y160">
        <v>9</v>
      </c>
      <c r="Z160">
        <v>9</v>
      </c>
      <c r="AA160">
        <v>9</v>
      </c>
      <c r="AB160">
        <v>9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56</v>
      </c>
      <c r="AQ160">
        <v>56</v>
      </c>
      <c r="AR160">
        <v>10</v>
      </c>
      <c r="AS160">
        <v>15</v>
      </c>
      <c r="AT160">
        <v>17</v>
      </c>
      <c r="AU160">
        <v>10</v>
      </c>
      <c r="AV160">
        <v>19</v>
      </c>
      <c r="AW160">
        <v>26</v>
      </c>
      <c r="AX160">
        <v>18</v>
      </c>
      <c r="AY160">
        <v>10</v>
      </c>
      <c r="AZ160">
        <v>8</v>
      </c>
      <c r="BA160">
        <v>20</v>
      </c>
      <c r="BB160">
        <v>19</v>
      </c>
      <c r="BC160">
        <v>28</v>
      </c>
      <c r="BD160">
        <v>21</v>
      </c>
      <c r="BE160">
        <v>10</v>
      </c>
      <c r="BF160">
        <v>17</v>
      </c>
      <c r="BG160">
        <v>23</v>
      </c>
      <c r="BH160">
        <v>18</v>
      </c>
      <c r="BI160">
        <v>8</v>
      </c>
      <c r="BJ160">
        <v>541651776</v>
      </c>
      <c r="BK160">
        <v>566936128</v>
      </c>
      <c r="BL160">
        <v>5288938</v>
      </c>
      <c r="BM160">
        <v>361170176</v>
      </c>
      <c r="BN160">
        <v>640353088</v>
      </c>
      <c r="BO160">
        <v>188318560</v>
      </c>
      <c r="BP160">
        <v>695609856</v>
      </c>
      <c r="BQ160">
        <v>1362685696</v>
      </c>
      <c r="BR160">
        <v>461737696</v>
      </c>
      <c r="BS160">
        <v>149479088</v>
      </c>
      <c r="BT160">
        <v>127997872</v>
      </c>
      <c r="BU160">
        <v>483199648</v>
      </c>
      <c r="BV160">
        <v>701270784</v>
      </c>
      <c r="BW160">
        <v>1333334528</v>
      </c>
      <c r="BX160">
        <v>1175503744</v>
      </c>
      <c r="BY160">
        <v>195427712</v>
      </c>
      <c r="BZ160">
        <v>1038759296</v>
      </c>
      <c r="CA160">
        <v>1423828608</v>
      </c>
      <c r="CB160">
        <v>419221408</v>
      </c>
      <c r="CC160">
        <v>132471520</v>
      </c>
      <c r="CD160" s="17" t="s">
        <v>1255</v>
      </c>
      <c r="CE160" s="21">
        <v>242995088</v>
      </c>
      <c r="CF160" s="21">
        <v>570013248</v>
      </c>
      <c r="CG160" s="19">
        <v>1525139200</v>
      </c>
      <c r="CH160" s="19">
        <v>898290048</v>
      </c>
      <c r="CI160" s="21">
        <v>398254944</v>
      </c>
      <c r="CJ160" s="21">
        <v>1543495296</v>
      </c>
      <c r="CK160" s="19">
        <v>621500544</v>
      </c>
      <c r="CL160" s="19">
        <v>874351296</v>
      </c>
      <c r="CM160" s="21">
        <v>607329280</v>
      </c>
      <c r="CN160" s="21">
        <v>734835264</v>
      </c>
      <c r="CO160" s="19">
        <v>181233856</v>
      </c>
      <c r="CP160" s="19">
        <v>469156768</v>
      </c>
      <c r="CQ160" s="21">
        <v>535356800</v>
      </c>
      <c r="CR160" s="21">
        <v>1076665472</v>
      </c>
      <c r="CS160" s="19">
        <v>157843424</v>
      </c>
      <c r="CT160" s="19">
        <v>227979104</v>
      </c>
      <c r="CU160" s="21">
        <v>1747601152</v>
      </c>
      <c r="CV160" s="21">
        <v>1455569920</v>
      </c>
      <c r="CW160" s="19">
        <v>206264768</v>
      </c>
      <c r="CX160" s="19">
        <v>260545360</v>
      </c>
    </row>
    <row r="161" spans="1:102">
      <c r="A161">
        <v>30954</v>
      </c>
      <c r="B161" t="s">
        <v>406</v>
      </c>
      <c r="C161" t="s">
        <v>1256</v>
      </c>
      <c r="D161" t="s">
        <v>407</v>
      </c>
      <c r="F161" t="s">
        <v>408</v>
      </c>
      <c r="G161">
        <v>381.97399999999999</v>
      </c>
      <c r="H161" t="s">
        <v>104</v>
      </c>
      <c r="I161">
        <v>2</v>
      </c>
      <c r="J161">
        <v>19</v>
      </c>
      <c r="K161">
        <v>0</v>
      </c>
      <c r="L161">
        <v>0</v>
      </c>
      <c r="M161">
        <v>0</v>
      </c>
      <c r="N161">
        <v>-1</v>
      </c>
      <c r="O161">
        <v>9</v>
      </c>
      <c r="P161">
        <v>9</v>
      </c>
      <c r="Q161">
        <v>9</v>
      </c>
      <c r="R161">
        <v>9</v>
      </c>
      <c r="S161">
        <v>9</v>
      </c>
      <c r="T161">
        <v>9</v>
      </c>
      <c r="U161">
        <v>9</v>
      </c>
      <c r="V161">
        <v>8</v>
      </c>
      <c r="W161">
        <v>9</v>
      </c>
      <c r="X161">
        <v>9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9</v>
      </c>
      <c r="AG161">
        <v>9</v>
      </c>
      <c r="AH161">
        <v>9</v>
      </c>
      <c r="AI161">
        <v>9</v>
      </c>
      <c r="AJ161">
        <v>9</v>
      </c>
      <c r="AK161">
        <v>9</v>
      </c>
      <c r="AL161">
        <v>8</v>
      </c>
      <c r="AM161">
        <v>8</v>
      </c>
      <c r="AN161">
        <v>9</v>
      </c>
      <c r="AO161">
        <v>9</v>
      </c>
      <c r="AP161">
        <v>63</v>
      </c>
      <c r="AQ161">
        <v>50</v>
      </c>
      <c r="AR161">
        <v>4</v>
      </c>
      <c r="AS161">
        <v>36</v>
      </c>
      <c r="AT161">
        <v>51</v>
      </c>
      <c r="AU161">
        <v>24</v>
      </c>
      <c r="AV161">
        <v>42</v>
      </c>
      <c r="AW161">
        <v>45</v>
      </c>
      <c r="AX161">
        <v>38</v>
      </c>
      <c r="AY161">
        <v>25</v>
      </c>
      <c r="AZ161">
        <v>21</v>
      </c>
      <c r="BA161">
        <v>45</v>
      </c>
      <c r="BB161">
        <v>47</v>
      </c>
      <c r="BC161">
        <v>41</v>
      </c>
      <c r="BD161">
        <v>41</v>
      </c>
      <c r="BE161">
        <v>24</v>
      </c>
      <c r="BF161">
        <v>32</v>
      </c>
      <c r="BG161">
        <v>45</v>
      </c>
      <c r="BH161">
        <v>37</v>
      </c>
      <c r="BI161">
        <v>16</v>
      </c>
      <c r="BJ161">
        <v>818292608</v>
      </c>
      <c r="BK161">
        <v>1133766912</v>
      </c>
      <c r="BL161">
        <v>4769497</v>
      </c>
      <c r="BM161">
        <v>595501632</v>
      </c>
      <c r="BN161">
        <v>1388650112</v>
      </c>
      <c r="BO161">
        <v>286612512</v>
      </c>
      <c r="BP161">
        <v>1415498496</v>
      </c>
      <c r="BQ161">
        <v>1503597568</v>
      </c>
      <c r="BR161">
        <v>731727872</v>
      </c>
      <c r="BS161">
        <v>269768768</v>
      </c>
      <c r="BT161">
        <v>227051728</v>
      </c>
      <c r="BU161">
        <v>988839424</v>
      </c>
      <c r="BV161">
        <v>1429395712</v>
      </c>
      <c r="BW161">
        <v>1221044480</v>
      </c>
      <c r="BX161">
        <v>1458755328</v>
      </c>
      <c r="BY161">
        <v>338614080</v>
      </c>
      <c r="BZ161">
        <v>1168807168</v>
      </c>
      <c r="CA161">
        <v>1606462976</v>
      </c>
      <c r="CB161">
        <v>863801216</v>
      </c>
      <c r="CC161">
        <v>190763328</v>
      </c>
      <c r="CD161" s="17" t="s">
        <v>1256</v>
      </c>
      <c r="CE161" s="21">
        <v>1246807296</v>
      </c>
      <c r="CF161" s="21">
        <v>1453476736</v>
      </c>
      <c r="CG161" s="19">
        <v>1017944384</v>
      </c>
      <c r="CH161" s="19">
        <v>2810232320</v>
      </c>
      <c r="CI161" s="21">
        <v>2207280640</v>
      </c>
      <c r="CJ161" s="21">
        <v>2605455616</v>
      </c>
      <c r="CK161" s="19">
        <v>1937435264</v>
      </c>
      <c r="CL161" s="19">
        <v>1818444160</v>
      </c>
      <c r="CM161" s="21">
        <v>1262664960</v>
      </c>
      <c r="CN161" s="21">
        <v>1508666240</v>
      </c>
      <c r="CO161" s="19">
        <v>1416036352</v>
      </c>
      <c r="CP161" s="19">
        <v>1654722304</v>
      </c>
      <c r="CQ161" s="21">
        <v>1446349056</v>
      </c>
      <c r="CR161" s="21">
        <v>1480960000</v>
      </c>
      <c r="CS161" s="19">
        <v>349627232</v>
      </c>
      <c r="CT161" s="19">
        <v>528058688</v>
      </c>
      <c r="CU161" s="21">
        <v>2642239488</v>
      </c>
      <c r="CV161" s="21">
        <v>2382473728</v>
      </c>
      <c r="CW161" s="19">
        <v>499279360</v>
      </c>
      <c r="CX161" s="19">
        <v>473628288</v>
      </c>
    </row>
    <row r="162" spans="1:102">
      <c r="A162">
        <v>30931</v>
      </c>
      <c r="B162" t="s">
        <v>632</v>
      </c>
      <c r="C162" t="s">
        <v>1257</v>
      </c>
      <c r="D162" t="s">
        <v>633</v>
      </c>
      <c r="F162" t="s">
        <v>634</v>
      </c>
      <c r="G162">
        <v>53.585000000000001</v>
      </c>
      <c r="H162" t="s">
        <v>104</v>
      </c>
      <c r="I162">
        <v>2</v>
      </c>
      <c r="J162">
        <v>21</v>
      </c>
      <c r="K162">
        <v>0</v>
      </c>
      <c r="L162">
        <v>0</v>
      </c>
      <c r="M162">
        <v>0</v>
      </c>
      <c r="N162">
        <v>-1</v>
      </c>
      <c r="O162">
        <v>3</v>
      </c>
      <c r="P162">
        <v>3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2</v>
      </c>
      <c r="W162">
        <v>3</v>
      </c>
      <c r="X162">
        <v>2</v>
      </c>
      <c r="Y162">
        <v>3</v>
      </c>
      <c r="Z162">
        <v>3</v>
      </c>
      <c r="AA162">
        <v>3</v>
      </c>
      <c r="AB162">
        <v>3</v>
      </c>
      <c r="AC162">
        <v>3</v>
      </c>
      <c r="AD162">
        <v>3</v>
      </c>
      <c r="AE162">
        <v>3</v>
      </c>
      <c r="AF162">
        <v>3</v>
      </c>
      <c r="AG162">
        <v>3</v>
      </c>
      <c r="AH162">
        <v>3</v>
      </c>
      <c r="AI162">
        <v>3</v>
      </c>
      <c r="AJ162">
        <v>3</v>
      </c>
      <c r="AK162">
        <v>3</v>
      </c>
      <c r="AL162">
        <v>3</v>
      </c>
      <c r="AM162">
        <v>3</v>
      </c>
      <c r="AN162">
        <v>3</v>
      </c>
      <c r="AO162">
        <v>3</v>
      </c>
      <c r="AP162">
        <v>6</v>
      </c>
      <c r="AQ162">
        <v>8</v>
      </c>
      <c r="AR162">
        <v>0</v>
      </c>
      <c r="AS162">
        <v>7</v>
      </c>
      <c r="AT162">
        <v>6</v>
      </c>
      <c r="AU162">
        <v>4</v>
      </c>
      <c r="AV162">
        <v>5</v>
      </c>
      <c r="AW162">
        <v>5</v>
      </c>
      <c r="AX162">
        <v>5</v>
      </c>
      <c r="AY162">
        <v>5</v>
      </c>
      <c r="AZ162">
        <v>3</v>
      </c>
      <c r="BA162">
        <v>9</v>
      </c>
      <c r="BB162">
        <v>6</v>
      </c>
      <c r="BC162">
        <v>6</v>
      </c>
      <c r="BD162">
        <v>5</v>
      </c>
      <c r="BE162">
        <v>4</v>
      </c>
      <c r="BF162">
        <v>4</v>
      </c>
      <c r="BG162">
        <v>5</v>
      </c>
      <c r="BH162">
        <v>5</v>
      </c>
      <c r="BI162">
        <v>4</v>
      </c>
      <c r="BJ162">
        <v>350960480</v>
      </c>
      <c r="BK162">
        <v>417420992</v>
      </c>
      <c r="BL162">
        <v>1192701.75</v>
      </c>
      <c r="BM162">
        <v>263137648</v>
      </c>
      <c r="BN162">
        <v>673830976</v>
      </c>
      <c r="BO162">
        <v>121897016</v>
      </c>
      <c r="BP162">
        <v>552021632</v>
      </c>
      <c r="BQ162">
        <v>614422592</v>
      </c>
      <c r="BR162">
        <v>317974400</v>
      </c>
      <c r="BS162">
        <v>93806280</v>
      </c>
      <c r="BT162">
        <v>89279944</v>
      </c>
      <c r="BU162">
        <v>363760928</v>
      </c>
      <c r="BV162">
        <v>428408832</v>
      </c>
      <c r="BW162">
        <v>418466976</v>
      </c>
      <c r="BX162">
        <v>609370048</v>
      </c>
      <c r="BY162">
        <v>124966552</v>
      </c>
      <c r="BZ162">
        <v>454460512</v>
      </c>
      <c r="CA162">
        <v>755701632</v>
      </c>
      <c r="CB162">
        <v>252463536</v>
      </c>
      <c r="CC162">
        <v>34951044</v>
      </c>
      <c r="CD162" s="17" t="s">
        <v>1257</v>
      </c>
      <c r="CE162" s="21">
        <v>44102004</v>
      </c>
      <c r="CF162" s="21">
        <v>214130576</v>
      </c>
      <c r="CG162" s="19">
        <v>172063312</v>
      </c>
      <c r="CH162" s="19">
        <v>484864064</v>
      </c>
      <c r="CI162" s="21">
        <v>448842880</v>
      </c>
      <c r="CJ162" s="21">
        <v>271512192</v>
      </c>
      <c r="CK162" s="19">
        <v>279035232</v>
      </c>
      <c r="CL162" s="19">
        <v>157592272</v>
      </c>
      <c r="CM162" s="21">
        <v>161248432</v>
      </c>
      <c r="CN162" s="21">
        <v>510944320</v>
      </c>
      <c r="CO162" s="19">
        <v>211172144</v>
      </c>
      <c r="CP162" s="19">
        <v>668023168</v>
      </c>
      <c r="CQ162" s="21">
        <v>564041792</v>
      </c>
      <c r="CR162" s="21">
        <v>224928496</v>
      </c>
      <c r="CS162" s="19">
        <v>122445384</v>
      </c>
      <c r="CT162" s="19">
        <v>225450848</v>
      </c>
      <c r="CU162" s="21">
        <v>278121056</v>
      </c>
      <c r="CV162" s="21">
        <v>366791040</v>
      </c>
      <c r="CW162" s="19">
        <v>243896976</v>
      </c>
      <c r="CX162" s="19">
        <v>225582096</v>
      </c>
    </row>
    <row r="163" spans="1:102">
      <c r="A163">
        <v>31018</v>
      </c>
      <c r="B163" t="s">
        <v>384</v>
      </c>
      <c r="C163" t="s">
        <v>1258</v>
      </c>
      <c r="D163" t="s">
        <v>385</v>
      </c>
      <c r="F163" t="s">
        <v>386</v>
      </c>
      <c r="G163">
        <v>416.06799999999998</v>
      </c>
      <c r="H163" t="s">
        <v>104</v>
      </c>
      <c r="I163">
        <v>2</v>
      </c>
      <c r="J163">
        <v>20</v>
      </c>
      <c r="K163">
        <v>0</v>
      </c>
      <c r="L163">
        <v>0</v>
      </c>
      <c r="M163">
        <v>0</v>
      </c>
      <c r="N163">
        <v>-1</v>
      </c>
      <c r="O163">
        <v>10</v>
      </c>
      <c r="P163">
        <v>10</v>
      </c>
      <c r="Q163">
        <v>10</v>
      </c>
      <c r="R163">
        <v>10</v>
      </c>
      <c r="S163">
        <v>10</v>
      </c>
      <c r="T163">
        <v>10</v>
      </c>
      <c r="U163">
        <v>10</v>
      </c>
      <c r="V163">
        <v>7</v>
      </c>
      <c r="W163">
        <v>10</v>
      </c>
      <c r="X163">
        <v>8</v>
      </c>
      <c r="Y163">
        <v>10</v>
      </c>
      <c r="Z163">
        <v>10</v>
      </c>
      <c r="AA163">
        <v>9</v>
      </c>
      <c r="AB163">
        <v>10</v>
      </c>
      <c r="AC163">
        <v>8</v>
      </c>
      <c r="AD163">
        <v>10</v>
      </c>
      <c r="AE163">
        <v>10</v>
      </c>
      <c r="AF163">
        <v>10</v>
      </c>
      <c r="AG163">
        <v>10</v>
      </c>
      <c r="AH163">
        <v>10</v>
      </c>
      <c r="AI163">
        <v>8</v>
      </c>
      <c r="AJ163">
        <v>8</v>
      </c>
      <c r="AK163">
        <v>10</v>
      </c>
      <c r="AL163">
        <v>7</v>
      </c>
      <c r="AM163">
        <v>10</v>
      </c>
      <c r="AN163">
        <v>9</v>
      </c>
      <c r="AO163">
        <v>10</v>
      </c>
      <c r="AP163">
        <v>48</v>
      </c>
      <c r="AQ163">
        <v>32</v>
      </c>
      <c r="AR163">
        <v>5</v>
      </c>
      <c r="AS163">
        <v>25</v>
      </c>
      <c r="AT163">
        <v>31</v>
      </c>
      <c r="AU163">
        <v>20</v>
      </c>
      <c r="AV163">
        <v>31</v>
      </c>
      <c r="AW163">
        <v>28</v>
      </c>
      <c r="AX163">
        <v>24</v>
      </c>
      <c r="AY163">
        <v>23</v>
      </c>
      <c r="AZ163">
        <v>16</v>
      </c>
      <c r="BA163">
        <v>25</v>
      </c>
      <c r="BB163">
        <v>27</v>
      </c>
      <c r="BC163">
        <v>24</v>
      </c>
      <c r="BD163">
        <v>27</v>
      </c>
      <c r="BE163">
        <v>21</v>
      </c>
      <c r="BF163">
        <v>21</v>
      </c>
      <c r="BG163">
        <v>29</v>
      </c>
      <c r="BH163">
        <v>20</v>
      </c>
      <c r="BI163">
        <v>17</v>
      </c>
      <c r="BJ163">
        <v>1076310144</v>
      </c>
      <c r="BK163">
        <v>1183112576</v>
      </c>
      <c r="BL163">
        <v>8893456</v>
      </c>
      <c r="BM163">
        <v>926584448</v>
      </c>
      <c r="BN163">
        <v>1194273920</v>
      </c>
      <c r="BO163">
        <v>360353056</v>
      </c>
      <c r="BP163">
        <v>1114592896</v>
      </c>
      <c r="BQ163">
        <v>1615179136</v>
      </c>
      <c r="BR163">
        <v>956393152</v>
      </c>
      <c r="BS163">
        <v>333894592</v>
      </c>
      <c r="BT163">
        <v>422113600</v>
      </c>
      <c r="BU163">
        <v>845204032</v>
      </c>
      <c r="BV163">
        <v>1182925696</v>
      </c>
      <c r="BW163">
        <v>1324359040</v>
      </c>
      <c r="BX163">
        <v>1623979648</v>
      </c>
      <c r="BY163">
        <v>315760960</v>
      </c>
      <c r="BZ163">
        <v>1368562688</v>
      </c>
      <c r="CA163">
        <v>1968612864</v>
      </c>
      <c r="CB163">
        <v>917547200</v>
      </c>
      <c r="CC163">
        <v>358899136</v>
      </c>
      <c r="CD163" s="17" t="s">
        <v>1258</v>
      </c>
      <c r="CE163" s="21">
        <v>546238272</v>
      </c>
      <c r="CF163" s="21">
        <v>927780544</v>
      </c>
      <c r="CG163" s="19">
        <v>1676870784</v>
      </c>
      <c r="CH163" s="19">
        <v>1292272000</v>
      </c>
      <c r="CI163" s="21">
        <v>2384539648</v>
      </c>
      <c r="CJ163" s="21">
        <v>179949984</v>
      </c>
      <c r="CK163" s="19">
        <v>2209065472</v>
      </c>
      <c r="CL163" s="19">
        <v>90820792</v>
      </c>
      <c r="CM163" s="21">
        <v>791948224</v>
      </c>
      <c r="CN163" s="21">
        <v>820200384</v>
      </c>
      <c r="CO163" s="19">
        <v>1578262144</v>
      </c>
      <c r="CP163" s="19">
        <v>1638259328</v>
      </c>
      <c r="CQ163" s="21">
        <v>1140990336</v>
      </c>
      <c r="CR163" s="21">
        <v>140804032</v>
      </c>
      <c r="CS163" s="19">
        <v>605694848</v>
      </c>
      <c r="CT163" s="19">
        <v>827862592</v>
      </c>
      <c r="CU163" s="21">
        <v>263826384</v>
      </c>
      <c r="CV163" s="21">
        <v>1082737152</v>
      </c>
      <c r="CW163" s="19">
        <v>1120056448</v>
      </c>
      <c r="CX163" s="19">
        <v>1336540800</v>
      </c>
    </row>
    <row r="164" spans="1:102">
      <c r="A164">
        <v>31071</v>
      </c>
      <c r="B164" t="s">
        <v>371</v>
      </c>
      <c r="C164" t="s">
        <v>1259</v>
      </c>
      <c r="D164" t="s">
        <v>372</v>
      </c>
      <c r="F164" t="s">
        <v>373</v>
      </c>
      <c r="G164">
        <v>424.17200000000003</v>
      </c>
      <c r="H164" t="s">
        <v>104</v>
      </c>
      <c r="I164">
        <v>2</v>
      </c>
      <c r="J164">
        <v>21</v>
      </c>
      <c r="K164">
        <v>0</v>
      </c>
      <c r="L164">
        <v>0</v>
      </c>
      <c r="M164">
        <v>0</v>
      </c>
      <c r="N164">
        <v>-1</v>
      </c>
      <c r="O164">
        <v>11</v>
      </c>
      <c r="P164">
        <v>11</v>
      </c>
      <c r="Q164">
        <v>13</v>
      </c>
      <c r="R164">
        <v>13</v>
      </c>
      <c r="S164">
        <v>13</v>
      </c>
      <c r="T164">
        <v>13</v>
      </c>
      <c r="U164">
        <v>13</v>
      </c>
      <c r="V164">
        <v>8</v>
      </c>
      <c r="W164">
        <v>10</v>
      </c>
      <c r="X164">
        <v>12</v>
      </c>
      <c r="Y164">
        <v>13</v>
      </c>
      <c r="Z164">
        <v>10</v>
      </c>
      <c r="AA164">
        <v>13</v>
      </c>
      <c r="AB164">
        <v>13</v>
      </c>
      <c r="AC164">
        <v>13</v>
      </c>
      <c r="AD164">
        <v>11</v>
      </c>
      <c r="AE164">
        <v>13</v>
      </c>
      <c r="AF164">
        <v>13</v>
      </c>
      <c r="AG164">
        <v>13</v>
      </c>
      <c r="AH164">
        <v>13</v>
      </c>
      <c r="AI164">
        <v>11</v>
      </c>
      <c r="AJ164">
        <v>11</v>
      </c>
      <c r="AK164">
        <v>13</v>
      </c>
      <c r="AL164">
        <v>11</v>
      </c>
      <c r="AM164">
        <v>13</v>
      </c>
      <c r="AN164">
        <v>13</v>
      </c>
      <c r="AO164">
        <v>13</v>
      </c>
      <c r="AP164">
        <v>136</v>
      </c>
      <c r="AQ164">
        <v>98</v>
      </c>
      <c r="AR164">
        <v>16</v>
      </c>
      <c r="AS164">
        <v>74</v>
      </c>
      <c r="AT164">
        <v>72</v>
      </c>
      <c r="AU164">
        <v>58</v>
      </c>
      <c r="AV164">
        <v>70</v>
      </c>
      <c r="AW164">
        <v>78</v>
      </c>
      <c r="AX164">
        <v>59</v>
      </c>
      <c r="AY164">
        <v>53</v>
      </c>
      <c r="AZ164">
        <v>37</v>
      </c>
      <c r="BA164">
        <v>71</v>
      </c>
      <c r="BB164">
        <v>67</v>
      </c>
      <c r="BC164">
        <v>60</v>
      </c>
      <c r="BD164">
        <v>61</v>
      </c>
      <c r="BE164">
        <v>49</v>
      </c>
      <c r="BF164">
        <v>51</v>
      </c>
      <c r="BG164">
        <v>67</v>
      </c>
      <c r="BH164">
        <v>46</v>
      </c>
      <c r="BI164">
        <v>29</v>
      </c>
      <c r="BJ164">
        <v>723508352</v>
      </c>
      <c r="BK164">
        <v>1205866240</v>
      </c>
      <c r="BL164">
        <v>16293345</v>
      </c>
      <c r="BM164">
        <v>1007684928</v>
      </c>
      <c r="BN164">
        <v>1759603840</v>
      </c>
      <c r="BO164">
        <v>862235328</v>
      </c>
      <c r="BP164">
        <v>1517807744</v>
      </c>
      <c r="BQ164">
        <v>1983862272</v>
      </c>
      <c r="BR164">
        <v>839196096</v>
      </c>
      <c r="BS164">
        <v>655894720</v>
      </c>
      <c r="BT164">
        <v>292280576</v>
      </c>
      <c r="BU164">
        <v>1575909376</v>
      </c>
      <c r="BV164">
        <v>1577449600</v>
      </c>
      <c r="BW164">
        <v>1722130560</v>
      </c>
      <c r="BX164">
        <v>1732738304</v>
      </c>
      <c r="BY164">
        <v>959346560</v>
      </c>
      <c r="BZ164">
        <v>1395825664</v>
      </c>
      <c r="CA164">
        <v>1948169856</v>
      </c>
      <c r="CB164">
        <v>810728960</v>
      </c>
      <c r="CC164">
        <v>428332256</v>
      </c>
      <c r="CD164" s="17" t="s">
        <v>1259</v>
      </c>
      <c r="CE164" s="21">
        <v>528387104</v>
      </c>
      <c r="CF164" s="21">
        <v>1414561024</v>
      </c>
      <c r="CG164" s="19">
        <v>1217813760</v>
      </c>
      <c r="CH164" s="19">
        <v>1910526848</v>
      </c>
      <c r="CI164" s="21">
        <v>1576665984</v>
      </c>
      <c r="CJ164" s="21">
        <v>1774913024</v>
      </c>
      <c r="CK164" s="19">
        <v>1409057280</v>
      </c>
      <c r="CL164" s="19">
        <v>1340027264</v>
      </c>
      <c r="CM164" s="21">
        <v>917684032</v>
      </c>
      <c r="CN164" s="21">
        <v>1189839488</v>
      </c>
      <c r="CO164" s="19">
        <v>588578496</v>
      </c>
      <c r="CP164" s="19">
        <v>1518264320</v>
      </c>
      <c r="CQ164" s="21">
        <v>1348186112</v>
      </c>
      <c r="CR164" s="21">
        <v>1144023040</v>
      </c>
      <c r="CS164" s="19">
        <v>767672000</v>
      </c>
      <c r="CT164" s="19">
        <v>956602880</v>
      </c>
      <c r="CU164" s="21">
        <v>1920206848</v>
      </c>
      <c r="CV164" s="21">
        <v>1755903488</v>
      </c>
      <c r="CW164" s="19">
        <v>794204224</v>
      </c>
      <c r="CX164" s="19">
        <v>839315328</v>
      </c>
    </row>
    <row r="165" spans="1:102">
      <c r="A165">
        <v>30935</v>
      </c>
      <c r="B165" t="s">
        <v>168</v>
      </c>
      <c r="C165" t="s">
        <v>1260</v>
      </c>
      <c r="D165" t="s">
        <v>169</v>
      </c>
      <c r="E165" t="s">
        <v>170</v>
      </c>
      <c r="F165" t="s">
        <v>171</v>
      </c>
      <c r="G165">
        <v>1101.444</v>
      </c>
      <c r="H165" t="s">
        <v>104</v>
      </c>
      <c r="I165">
        <v>2</v>
      </c>
      <c r="J165">
        <v>16</v>
      </c>
      <c r="K165">
        <v>5</v>
      </c>
      <c r="L165">
        <v>0</v>
      </c>
      <c r="M165">
        <v>0</v>
      </c>
      <c r="N165">
        <v>-1</v>
      </c>
      <c r="O165">
        <v>28</v>
      </c>
      <c r="P165">
        <v>28</v>
      </c>
      <c r="Q165">
        <v>32</v>
      </c>
      <c r="R165">
        <v>32</v>
      </c>
      <c r="S165">
        <v>32</v>
      </c>
      <c r="T165">
        <v>32</v>
      </c>
      <c r="U165">
        <v>32</v>
      </c>
      <c r="V165">
        <v>25</v>
      </c>
      <c r="W165">
        <v>29</v>
      </c>
      <c r="X165">
        <v>22</v>
      </c>
      <c r="Y165">
        <v>31</v>
      </c>
      <c r="Z165">
        <v>31</v>
      </c>
      <c r="AA165">
        <v>32</v>
      </c>
      <c r="AB165">
        <v>32</v>
      </c>
      <c r="AC165">
        <v>30</v>
      </c>
      <c r="AD165">
        <v>28</v>
      </c>
      <c r="AE165">
        <v>32</v>
      </c>
      <c r="AF165">
        <v>29</v>
      </c>
      <c r="AG165">
        <v>32</v>
      </c>
      <c r="AH165">
        <v>29</v>
      </c>
      <c r="AI165">
        <v>30</v>
      </c>
      <c r="AJ165">
        <v>30</v>
      </c>
      <c r="AK165">
        <v>32</v>
      </c>
      <c r="AL165">
        <v>30</v>
      </c>
      <c r="AM165">
        <v>31</v>
      </c>
      <c r="AN165">
        <v>29</v>
      </c>
      <c r="AO165">
        <v>32</v>
      </c>
      <c r="AP165">
        <v>236</v>
      </c>
      <c r="AQ165">
        <v>225</v>
      </c>
      <c r="AR165">
        <v>22</v>
      </c>
      <c r="AS165">
        <v>143</v>
      </c>
      <c r="AT165">
        <v>201</v>
      </c>
      <c r="AU165">
        <v>199</v>
      </c>
      <c r="AV165">
        <v>153</v>
      </c>
      <c r="AW165">
        <v>157</v>
      </c>
      <c r="AX165">
        <v>126</v>
      </c>
      <c r="AY165">
        <v>140</v>
      </c>
      <c r="AZ165">
        <v>88</v>
      </c>
      <c r="BA165">
        <v>185</v>
      </c>
      <c r="BB165">
        <v>167</v>
      </c>
      <c r="BC165">
        <v>147</v>
      </c>
      <c r="BD165">
        <v>141</v>
      </c>
      <c r="BE165">
        <v>153</v>
      </c>
      <c r="BF165">
        <v>121</v>
      </c>
      <c r="BG165">
        <v>148</v>
      </c>
      <c r="BH165">
        <v>122</v>
      </c>
      <c r="BI165">
        <v>102</v>
      </c>
      <c r="BJ165">
        <v>2640438528</v>
      </c>
      <c r="BK165">
        <v>4748355072</v>
      </c>
      <c r="BL165">
        <v>34395380</v>
      </c>
      <c r="BM165">
        <v>2277787136</v>
      </c>
      <c r="BN165">
        <v>4814022144</v>
      </c>
      <c r="BO165">
        <v>4275608064</v>
      </c>
      <c r="BP165">
        <v>3861445120</v>
      </c>
      <c r="BQ165">
        <v>4443656704</v>
      </c>
      <c r="BR165">
        <v>2572941312</v>
      </c>
      <c r="BS165">
        <v>2138998912</v>
      </c>
      <c r="BT165">
        <v>832330176</v>
      </c>
      <c r="BU165">
        <v>4424099840</v>
      </c>
      <c r="BV165">
        <v>3806158848</v>
      </c>
      <c r="BW165">
        <v>3756964352</v>
      </c>
      <c r="BX165">
        <v>4095721728</v>
      </c>
      <c r="BY165">
        <v>3369993216</v>
      </c>
      <c r="BZ165">
        <v>3518118656</v>
      </c>
      <c r="CA165">
        <v>4817851392</v>
      </c>
      <c r="CB165">
        <v>2423749120</v>
      </c>
      <c r="CC165">
        <v>1962452096</v>
      </c>
      <c r="CD165" s="17" t="s">
        <v>1260</v>
      </c>
      <c r="CE165" s="21">
        <v>2245234432</v>
      </c>
      <c r="CF165" s="21">
        <v>2758290432</v>
      </c>
      <c r="CG165" s="19">
        <v>2546957824</v>
      </c>
      <c r="CH165" s="19">
        <v>3976673792</v>
      </c>
      <c r="CI165" s="21">
        <v>4281314560</v>
      </c>
      <c r="CJ165" s="21">
        <v>4093142528</v>
      </c>
      <c r="CK165" s="19">
        <v>3194622464</v>
      </c>
      <c r="CL165" s="19">
        <v>3215910912</v>
      </c>
      <c r="CM165" s="21">
        <v>2127165056</v>
      </c>
      <c r="CN165" s="21">
        <v>2726142720</v>
      </c>
      <c r="CO165" s="19">
        <v>3366260992</v>
      </c>
      <c r="CP165" s="19">
        <v>4474907648</v>
      </c>
      <c r="CQ165" s="21">
        <v>2863903488</v>
      </c>
      <c r="CR165" s="21">
        <v>2155058176</v>
      </c>
      <c r="CS165" s="19">
        <v>3551643904</v>
      </c>
      <c r="CT165" s="19">
        <v>3266736128</v>
      </c>
      <c r="CU165" s="21">
        <v>4167531520</v>
      </c>
      <c r="CV165" s="21">
        <v>3865925120</v>
      </c>
      <c r="CW165" s="19">
        <v>2649831680</v>
      </c>
      <c r="CX165" s="19">
        <v>3120096000</v>
      </c>
    </row>
    <row r="166" spans="1:102">
      <c r="A166">
        <v>31027</v>
      </c>
      <c r="B166" t="s">
        <v>378</v>
      </c>
      <c r="C166" t="s">
        <v>1261</v>
      </c>
      <c r="D166" t="s">
        <v>379</v>
      </c>
      <c r="F166" t="s">
        <v>380</v>
      </c>
      <c r="G166">
        <v>418.36700000000002</v>
      </c>
      <c r="H166" t="s">
        <v>104</v>
      </c>
      <c r="I166">
        <v>2</v>
      </c>
      <c r="J166">
        <v>20</v>
      </c>
      <c r="K166">
        <v>0</v>
      </c>
      <c r="L166">
        <v>0</v>
      </c>
      <c r="M166">
        <v>0</v>
      </c>
      <c r="N166">
        <v>-1</v>
      </c>
      <c r="O166">
        <v>10</v>
      </c>
      <c r="P166">
        <v>10</v>
      </c>
      <c r="Q166">
        <v>11</v>
      </c>
      <c r="R166">
        <v>11</v>
      </c>
      <c r="S166">
        <v>11</v>
      </c>
      <c r="T166">
        <v>11</v>
      </c>
      <c r="U166">
        <v>11</v>
      </c>
      <c r="V166">
        <v>8</v>
      </c>
      <c r="W166">
        <v>11</v>
      </c>
      <c r="X166">
        <v>7</v>
      </c>
      <c r="Y166">
        <v>11</v>
      </c>
      <c r="Z166">
        <v>11</v>
      </c>
      <c r="AA166">
        <v>11</v>
      </c>
      <c r="AB166">
        <v>11</v>
      </c>
      <c r="AC166">
        <v>11</v>
      </c>
      <c r="AD166">
        <v>10</v>
      </c>
      <c r="AE166">
        <v>11</v>
      </c>
      <c r="AF166">
        <v>11</v>
      </c>
      <c r="AG166">
        <v>11</v>
      </c>
      <c r="AH166">
        <v>11</v>
      </c>
      <c r="AI166">
        <v>11</v>
      </c>
      <c r="AJ166">
        <v>11</v>
      </c>
      <c r="AK166">
        <v>11</v>
      </c>
      <c r="AL166">
        <v>11</v>
      </c>
      <c r="AM166">
        <v>11</v>
      </c>
      <c r="AN166">
        <v>10</v>
      </c>
      <c r="AO166">
        <v>11</v>
      </c>
      <c r="AP166">
        <v>74</v>
      </c>
      <c r="AQ166">
        <v>88</v>
      </c>
      <c r="AR166">
        <v>1</v>
      </c>
      <c r="AS166">
        <v>65</v>
      </c>
      <c r="AT166">
        <v>75</v>
      </c>
      <c r="AU166">
        <v>26</v>
      </c>
      <c r="AV166">
        <v>68</v>
      </c>
      <c r="AW166">
        <v>62</v>
      </c>
      <c r="AX166">
        <v>60</v>
      </c>
      <c r="AY166">
        <v>41</v>
      </c>
      <c r="AZ166">
        <v>48</v>
      </c>
      <c r="BA166">
        <v>64</v>
      </c>
      <c r="BB166">
        <v>62</v>
      </c>
      <c r="BC166">
        <v>61</v>
      </c>
      <c r="BD166">
        <v>63</v>
      </c>
      <c r="BE166">
        <v>33</v>
      </c>
      <c r="BF166">
        <v>68</v>
      </c>
      <c r="BG166">
        <v>66</v>
      </c>
      <c r="BH166">
        <v>59</v>
      </c>
      <c r="BI166">
        <v>25</v>
      </c>
      <c r="BJ166">
        <v>1008257408</v>
      </c>
      <c r="BK166">
        <v>1207515648</v>
      </c>
      <c r="BL166">
        <v>2427381.75</v>
      </c>
      <c r="BM166">
        <v>738932864</v>
      </c>
      <c r="BN166">
        <v>1745681664</v>
      </c>
      <c r="BO166">
        <v>293298560</v>
      </c>
      <c r="BP166">
        <v>1503154048</v>
      </c>
      <c r="BQ166">
        <v>1567291136</v>
      </c>
      <c r="BR166">
        <v>881629056</v>
      </c>
      <c r="BS166">
        <v>337708192</v>
      </c>
      <c r="BT166">
        <v>253393040</v>
      </c>
      <c r="BU166">
        <v>1178166144</v>
      </c>
      <c r="BV166">
        <v>1458418944</v>
      </c>
      <c r="BW166">
        <v>1462710528</v>
      </c>
      <c r="BX166">
        <v>1721161216</v>
      </c>
      <c r="BY166">
        <v>344979040</v>
      </c>
      <c r="BZ166">
        <v>1389382144</v>
      </c>
      <c r="CA166">
        <v>1728254720</v>
      </c>
      <c r="CB166">
        <v>787966784</v>
      </c>
      <c r="CC166">
        <v>199610480</v>
      </c>
      <c r="CD166" s="17" t="s">
        <v>1261</v>
      </c>
      <c r="CE166" s="21">
        <v>262136880</v>
      </c>
      <c r="CF166" s="21">
        <v>711797376</v>
      </c>
      <c r="CG166" s="19">
        <v>704150400</v>
      </c>
      <c r="CH166" s="19">
        <v>1324492032</v>
      </c>
      <c r="CI166" s="21">
        <v>1575563776</v>
      </c>
      <c r="CJ166" s="21">
        <v>1322457216</v>
      </c>
      <c r="CK166" s="19">
        <v>1118994560</v>
      </c>
      <c r="CL166" s="19">
        <v>1417463552</v>
      </c>
      <c r="CM166" s="21">
        <v>388545184</v>
      </c>
      <c r="CN166" s="21">
        <v>797206528</v>
      </c>
      <c r="CO166" s="19">
        <v>785847552</v>
      </c>
      <c r="CP166" s="19">
        <v>1339822848</v>
      </c>
      <c r="CQ166" s="21">
        <v>1055406592</v>
      </c>
      <c r="CR166" s="21">
        <v>708092928</v>
      </c>
      <c r="CS166" s="19">
        <v>226899728</v>
      </c>
      <c r="CT166" s="19">
        <v>408967584</v>
      </c>
      <c r="CU166" s="21">
        <v>1080177792</v>
      </c>
      <c r="CV166" s="21">
        <v>1235383552</v>
      </c>
      <c r="CW166" s="19">
        <v>474875392</v>
      </c>
      <c r="CX166" s="19">
        <v>471307520</v>
      </c>
    </row>
    <row r="167" spans="1:102">
      <c r="A167">
        <v>30979</v>
      </c>
      <c r="B167" t="s">
        <v>474</v>
      </c>
      <c r="C167" t="s">
        <v>1262</v>
      </c>
      <c r="D167" t="s">
        <v>475</v>
      </c>
      <c r="F167" t="s">
        <v>476</v>
      </c>
      <c r="G167">
        <v>209.22800000000001</v>
      </c>
      <c r="H167" t="s">
        <v>104</v>
      </c>
      <c r="I167">
        <v>2</v>
      </c>
      <c r="J167">
        <v>20</v>
      </c>
      <c r="K167">
        <v>0</v>
      </c>
      <c r="L167">
        <v>0</v>
      </c>
      <c r="M167">
        <v>0</v>
      </c>
      <c r="N167">
        <v>-1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6</v>
      </c>
      <c r="W167">
        <v>6</v>
      </c>
      <c r="X167">
        <v>6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30</v>
      </c>
      <c r="AQ167">
        <v>30</v>
      </c>
      <c r="AR167">
        <v>2</v>
      </c>
      <c r="AS167">
        <v>26</v>
      </c>
      <c r="AT167">
        <v>31</v>
      </c>
      <c r="AU167">
        <v>34</v>
      </c>
      <c r="AV167">
        <v>27</v>
      </c>
      <c r="AW167">
        <v>30</v>
      </c>
      <c r="AX167">
        <v>25</v>
      </c>
      <c r="AY167">
        <v>25</v>
      </c>
      <c r="AZ167">
        <v>16</v>
      </c>
      <c r="BA167">
        <v>28</v>
      </c>
      <c r="BB167">
        <v>24</v>
      </c>
      <c r="BC167">
        <v>25</v>
      </c>
      <c r="BD167">
        <v>27</v>
      </c>
      <c r="BE167">
        <v>26</v>
      </c>
      <c r="BF167">
        <v>27</v>
      </c>
      <c r="BG167">
        <v>34</v>
      </c>
      <c r="BH167">
        <v>26</v>
      </c>
      <c r="BI167">
        <v>16</v>
      </c>
      <c r="BJ167">
        <v>1211461376</v>
      </c>
      <c r="BK167">
        <v>2293570560</v>
      </c>
      <c r="BL167">
        <v>5444335.5</v>
      </c>
      <c r="BM167">
        <v>950573568</v>
      </c>
      <c r="BN167">
        <v>2602565376</v>
      </c>
      <c r="BO167">
        <v>2440269568</v>
      </c>
      <c r="BP167">
        <v>1846242304</v>
      </c>
      <c r="BQ167">
        <v>1947888512</v>
      </c>
      <c r="BR167">
        <v>1498492928</v>
      </c>
      <c r="BS167">
        <v>1002504640</v>
      </c>
      <c r="BT167">
        <v>333691072</v>
      </c>
      <c r="BU167">
        <v>1808755200</v>
      </c>
      <c r="BV167">
        <v>2323523328</v>
      </c>
      <c r="BW167">
        <v>1435412224</v>
      </c>
      <c r="BX167">
        <v>1715199744</v>
      </c>
      <c r="BY167">
        <v>1721921920</v>
      </c>
      <c r="BZ167">
        <v>1468779008</v>
      </c>
      <c r="CA167">
        <v>1975053184</v>
      </c>
      <c r="CB167">
        <v>810727360</v>
      </c>
      <c r="CC167">
        <v>418681696</v>
      </c>
      <c r="CD167" s="17" t="s">
        <v>1262</v>
      </c>
      <c r="CE167" s="21">
        <v>946694464</v>
      </c>
      <c r="CF167" s="21">
        <v>948483648</v>
      </c>
      <c r="CG167" s="19">
        <v>775445120</v>
      </c>
      <c r="CH167" s="19">
        <v>1815802624</v>
      </c>
      <c r="CI167" s="21">
        <v>1779738240</v>
      </c>
      <c r="CJ167" s="21">
        <v>1873720192</v>
      </c>
      <c r="CK167" s="19">
        <v>1332931584</v>
      </c>
      <c r="CL167" s="19">
        <v>1513322752</v>
      </c>
      <c r="CM167" s="21">
        <v>1045517888</v>
      </c>
      <c r="CN167" s="21">
        <v>1134372480</v>
      </c>
      <c r="CO167" s="19">
        <v>1380962816</v>
      </c>
      <c r="CP167" s="19">
        <v>1585324288</v>
      </c>
      <c r="CQ167" s="21">
        <v>1191142144</v>
      </c>
      <c r="CR167" s="21">
        <v>851327488</v>
      </c>
      <c r="CS167" s="19">
        <v>1438543104</v>
      </c>
      <c r="CT167" s="19">
        <v>1429703424</v>
      </c>
      <c r="CU167" s="21">
        <v>2029337856</v>
      </c>
      <c r="CV167" s="21">
        <v>1697396480</v>
      </c>
      <c r="CW167" s="19">
        <v>1007203008</v>
      </c>
      <c r="CX167" s="19">
        <v>698988096</v>
      </c>
    </row>
    <row r="168" spans="1:102">
      <c r="A168">
        <v>31005</v>
      </c>
      <c r="B168" t="s">
        <v>176</v>
      </c>
      <c r="C168" t="s">
        <v>1263</v>
      </c>
      <c r="D168" t="s">
        <v>177</v>
      </c>
      <c r="F168" t="s">
        <v>178</v>
      </c>
      <c r="G168">
        <v>1078.1659999999999</v>
      </c>
      <c r="H168" t="s">
        <v>104</v>
      </c>
      <c r="I168">
        <v>2</v>
      </c>
      <c r="J168">
        <v>20</v>
      </c>
      <c r="K168">
        <v>0</v>
      </c>
      <c r="L168">
        <v>0</v>
      </c>
      <c r="M168">
        <v>0</v>
      </c>
      <c r="N168">
        <v>-1</v>
      </c>
      <c r="O168">
        <v>28</v>
      </c>
      <c r="P168">
        <v>28</v>
      </c>
      <c r="Q168">
        <v>29</v>
      </c>
      <c r="R168">
        <v>29</v>
      </c>
      <c r="S168">
        <v>29</v>
      </c>
      <c r="T168">
        <v>29</v>
      </c>
      <c r="U168">
        <v>29</v>
      </c>
      <c r="V168">
        <v>22</v>
      </c>
      <c r="W168">
        <v>27</v>
      </c>
      <c r="X168">
        <v>20</v>
      </c>
      <c r="Y168">
        <v>28</v>
      </c>
      <c r="Z168">
        <v>29</v>
      </c>
      <c r="AA168">
        <v>29</v>
      </c>
      <c r="AB168">
        <v>28</v>
      </c>
      <c r="AC168">
        <v>28</v>
      </c>
      <c r="AD168">
        <v>26</v>
      </c>
      <c r="AE168">
        <v>29</v>
      </c>
      <c r="AF168">
        <v>27</v>
      </c>
      <c r="AG168">
        <v>29</v>
      </c>
      <c r="AH168">
        <v>27</v>
      </c>
      <c r="AI168">
        <v>27</v>
      </c>
      <c r="AJ168">
        <v>25</v>
      </c>
      <c r="AK168">
        <v>29</v>
      </c>
      <c r="AL168">
        <v>25</v>
      </c>
      <c r="AM168">
        <v>29</v>
      </c>
      <c r="AN168">
        <v>27</v>
      </c>
      <c r="AO168">
        <v>29</v>
      </c>
      <c r="AP168">
        <v>105</v>
      </c>
      <c r="AQ168">
        <v>129</v>
      </c>
      <c r="AR168">
        <v>9</v>
      </c>
      <c r="AS168">
        <v>93</v>
      </c>
      <c r="AT168">
        <v>112</v>
      </c>
      <c r="AU168">
        <v>108</v>
      </c>
      <c r="AV168">
        <v>100</v>
      </c>
      <c r="AW168">
        <v>99</v>
      </c>
      <c r="AX168">
        <v>76</v>
      </c>
      <c r="AY168">
        <v>85</v>
      </c>
      <c r="AZ168">
        <v>58</v>
      </c>
      <c r="BA168">
        <v>109</v>
      </c>
      <c r="BB168">
        <v>93</v>
      </c>
      <c r="BC168">
        <v>86</v>
      </c>
      <c r="BD168">
        <v>85</v>
      </c>
      <c r="BE168">
        <v>88</v>
      </c>
      <c r="BF168">
        <v>85</v>
      </c>
      <c r="BG168">
        <v>96</v>
      </c>
      <c r="BH168">
        <v>73</v>
      </c>
      <c r="BI168">
        <v>72</v>
      </c>
      <c r="BJ168">
        <v>3819982848</v>
      </c>
      <c r="BK168">
        <v>6850032640</v>
      </c>
      <c r="BL168">
        <v>23512800</v>
      </c>
      <c r="BM168">
        <v>2798336512</v>
      </c>
      <c r="BN168">
        <v>6555611648</v>
      </c>
      <c r="BO168">
        <v>3733888512</v>
      </c>
      <c r="BP168">
        <v>5280961536</v>
      </c>
      <c r="BQ168">
        <v>5977761792</v>
      </c>
      <c r="BR168">
        <v>2846112256</v>
      </c>
      <c r="BS168">
        <v>2727472128</v>
      </c>
      <c r="BT168">
        <v>1020267904</v>
      </c>
      <c r="BU168">
        <v>5552967168</v>
      </c>
      <c r="BV168">
        <v>5238943232</v>
      </c>
      <c r="BW168">
        <v>5036166656</v>
      </c>
      <c r="BX168">
        <v>5257507328</v>
      </c>
      <c r="BY168">
        <v>3441475328</v>
      </c>
      <c r="BZ168">
        <v>4634323968</v>
      </c>
      <c r="CA168">
        <v>5849242624</v>
      </c>
      <c r="CB168">
        <v>2586483456</v>
      </c>
      <c r="CC168">
        <v>1939385088</v>
      </c>
      <c r="CD168" s="17" t="s">
        <v>1263</v>
      </c>
      <c r="CE168" s="21">
        <v>3080220928</v>
      </c>
      <c r="CF168" s="21">
        <v>2606143744</v>
      </c>
      <c r="CG168" s="19">
        <v>2716554496</v>
      </c>
      <c r="CH168" s="19">
        <v>4833159680</v>
      </c>
      <c r="CI168" s="21">
        <v>5869347840</v>
      </c>
      <c r="CJ168" s="21">
        <v>4465343488</v>
      </c>
      <c r="CK168" s="19">
        <v>4172035584</v>
      </c>
      <c r="CL168" s="19">
        <v>3669093120</v>
      </c>
      <c r="CM168" s="21">
        <v>1924847616</v>
      </c>
      <c r="CN168" s="21">
        <v>2631199488</v>
      </c>
      <c r="CO168" s="19">
        <v>5031846400</v>
      </c>
      <c r="CP168" s="19">
        <v>6034417152</v>
      </c>
      <c r="CQ168" s="21">
        <v>3080220928</v>
      </c>
      <c r="CR168" s="21">
        <v>2598651648</v>
      </c>
      <c r="CS168" s="19">
        <v>3497617920</v>
      </c>
      <c r="CT168" s="19">
        <v>3946519552</v>
      </c>
      <c r="CU168" s="21">
        <v>4867445248</v>
      </c>
      <c r="CV168" s="21">
        <v>4285830912</v>
      </c>
      <c r="CW168" s="19">
        <v>3193458944</v>
      </c>
      <c r="CX168" s="19">
        <v>4625401344</v>
      </c>
    </row>
    <row r="169" spans="1:102">
      <c r="A169">
        <v>31015</v>
      </c>
      <c r="B169" t="s">
        <v>195</v>
      </c>
      <c r="C169" t="s">
        <v>1264</v>
      </c>
      <c r="D169" t="s">
        <v>196</v>
      </c>
      <c r="F169" t="s">
        <v>197</v>
      </c>
      <c r="G169">
        <v>959.00699999999995</v>
      </c>
      <c r="H169" t="s">
        <v>104</v>
      </c>
      <c r="I169">
        <v>2</v>
      </c>
      <c r="J169">
        <v>21</v>
      </c>
      <c r="K169">
        <v>0</v>
      </c>
      <c r="L169">
        <v>0</v>
      </c>
      <c r="M169">
        <v>0</v>
      </c>
      <c r="N169">
        <v>-1</v>
      </c>
      <c r="O169">
        <v>25</v>
      </c>
      <c r="P169">
        <v>25</v>
      </c>
      <c r="Q169">
        <v>27</v>
      </c>
      <c r="R169">
        <v>27</v>
      </c>
      <c r="S169">
        <v>27</v>
      </c>
      <c r="T169">
        <v>27</v>
      </c>
      <c r="U169">
        <v>27</v>
      </c>
      <c r="V169">
        <v>24</v>
      </c>
      <c r="W169">
        <v>27</v>
      </c>
      <c r="X169">
        <v>18</v>
      </c>
      <c r="Y169">
        <v>27</v>
      </c>
      <c r="Z169">
        <v>27</v>
      </c>
      <c r="AA169">
        <v>27</v>
      </c>
      <c r="AB169">
        <v>27</v>
      </c>
      <c r="AC169">
        <v>27</v>
      </c>
      <c r="AD169">
        <v>24</v>
      </c>
      <c r="AE169">
        <v>27</v>
      </c>
      <c r="AF169">
        <v>26</v>
      </c>
      <c r="AG169">
        <v>27</v>
      </c>
      <c r="AH169">
        <v>26</v>
      </c>
      <c r="AI169">
        <v>25</v>
      </c>
      <c r="AJ169">
        <v>22</v>
      </c>
      <c r="AK169">
        <v>27</v>
      </c>
      <c r="AL169">
        <v>23</v>
      </c>
      <c r="AM169">
        <v>25</v>
      </c>
      <c r="AN169">
        <v>26</v>
      </c>
      <c r="AO169">
        <v>27</v>
      </c>
      <c r="AP169">
        <v>223</v>
      </c>
      <c r="AQ169">
        <v>230</v>
      </c>
      <c r="AR169">
        <v>66</v>
      </c>
      <c r="AS169">
        <v>164</v>
      </c>
      <c r="AT169">
        <v>173</v>
      </c>
      <c r="AU169">
        <v>93</v>
      </c>
      <c r="AV169">
        <v>163</v>
      </c>
      <c r="AW169">
        <v>171</v>
      </c>
      <c r="AX169">
        <v>158</v>
      </c>
      <c r="AY169">
        <v>107</v>
      </c>
      <c r="AZ169">
        <v>107</v>
      </c>
      <c r="BA169">
        <v>153</v>
      </c>
      <c r="BB169">
        <v>164</v>
      </c>
      <c r="BC169">
        <v>155</v>
      </c>
      <c r="BD169">
        <v>164</v>
      </c>
      <c r="BE169">
        <v>95</v>
      </c>
      <c r="BF169">
        <v>130</v>
      </c>
      <c r="BG169">
        <v>152</v>
      </c>
      <c r="BH169">
        <v>146</v>
      </c>
      <c r="BI169">
        <v>84</v>
      </c>
      <c r="BJ169">
        <v>3639123456</v>
      </c>
      <c r="BK169">
        <v>5009141760</v>
      </c>
      <c r="BL169">
        <v>81571216</v>
      </c>
      <c r="BM169">
        <v>2639622912</v>
      </c>
      <c r="BN169">
        <v>5720368640</v>
      </c>
      <c r="BO169">
        <v>1289089152</v>
      </c>
      <c r="BP169">
        <v>4804821504</v>
      </c>
      <c r="BQ169">
        <v>5533213696</v>
      </c>
      <c r="BR169">
        <v>2919664640</v>
      </c>
      <c r="BS169">
        <v>1235888640</v>
      </c>
      <c r="BT169">
        <v>1023145280</v>
      </c>
      <c r="BU169">
        <v>4157945344</v>
      </c>
      <c r="BV169">
        <v>5138020352</v>
      </c>
      <c r="BW169">
        <v>4461125632</v>
      </c>
      <c r="BX169">
        <v>5412697088</v>
      </c>
      <c r="BY169">
        <v>1372819840</v>
      </c>
      <c r="BZ169">
        <v>4576632320</v>
      </c>
      <c r="CA169">
        <v>6276915200</v>
      </c>
      <c r="CB169">
        <v>2852142848</v>
      </c>
      <c r="CC169">
        <v>774614656</v>
      </c>
      <c r="CD169" s="17" t="s">
        <v>1264</v>
      </c>
      <c r="CE169" s="21">
        <v>3649791232</v>
      </c>
      <c r="CF169" s="21">
        <v>4439045632</v>
      </c>
      <c r="CG169" s="19">
        <v>3179481344</v>
      </c>
      <c r="CH169" s="19">
        <v>5980253184</v>
      </c>
      <c r="CI169" s="21">
        <v>5108841984</v>
      </c>
      <c r="CJ169" s="21">
        <v>5454203904</v>
      </c>
      <c r="CK169" s="19">
        <v>4161013248</v>
      </c>
      <c r="CL169" s="19">
        <v>4444670464</v>
      </c>
      <c r="CM169" s="21">
        <v>3097814272</v>
      </c>
      <c r="CN169" s="21">
        <v>3502108928</v>
      </c>
      <c r="CO169" s="19">
        <v>4039991808</v>
      </c>
      <c r="CP169" s="19">
        <v>4302875136</v>
      </c>
      <c r="CQ169" s="21">
        <v>3710651392</v>
      </c>
      <c r="CR169" s="21">
        <v>2964599296</v>
      </c>
      <c r="CS169" s="19">
        <v>1305872000</v>
      </c>
      <c r="CT169" s="19">
        <v>1786459776</v>
      </c>
      <c r="CU169" s="21">
        <v>5161224192</v>
      </c>
      <c r="CV169" s="21">
        <v>5171796480</v>
      </c>
      <c r="CW169" s="19">
        <v>1795945216</v>
      </c>
      <c r="CX169" s="19">
        <v>2003177856</v>
      </c>
    </row>
    <row r="170" spans="1:102">
      <c r="A170">
        <v>31000</v>
      </c>
      <c r="B170" t="s">
        <v>154</v>
      </c>
      <c r="C170" t="s">
        <v>1265</v>
      </c>
      <c r="D170" t="s">
        <v>155</v>
      </c>
      <c r="F170" t="s">
        <v>156</v>
      </c>
      <c r="G170">
        <v>1256.433</v>
      </c>
      <c r="H170" t="s">
        <v>104</v>
      </c>
      <c r="I170">
        <v>2</v>
      </c>
      <c r="J170">
        <v>9</v>
      </c>
      <c r="K170">
        <v>0</v>
      </c>
      <c r="L170">
        <v>0</v>
      </c>
      <c r="M170">
        <v>0</v>
      </c>
      <c r="N170">
        <v>-1</v>
      </c>
      <c r="O170">
        <v>15</v>
      </c>
      <c r="P170">
        <v>15</v>
      </c>
      <c r="Q170">
        <v>22</v>
      </c>
      <c r="R170">
        <v>22</v>
      </c>
      <c r="S170">
        <v>22</v>
      </c>
      <c r="T170">
        <v>22</v>
      </c>
      <c r="U170">
        <v>22</v>
      </c>
      <c r="V170">
        <v>20</v>
      </c>
      <c r="W170">
        <v>21</v>
      </c>
      <c r="X170">
        <v>20</v>
      </c>
      <c r="Y170">
        <v>22</v>
      </c>
      <c r="Z170">
        <v>21</v>
      </c>
      <c r="AA170">
        <v>22</v>
      </c>
      <c r="AB170">
        <v>22</v>
      </c>
      <c r="AC170">
        <v>22</v>
      </c>
      <c r="AD170">
        <v>22</v>
      </c>
      <c r="AE170">
        <v>22</v>
      </c>
      <c r="AF170">
        <v>22</v>
      </c>
      <c r="AG170">
        <v>22</v>
      </c>
      <c r="AH170">
        <v>21</v>
      </c>
      <c r="AI170">
        <v>22</v>
      </c>
      <c r="AJ170">
        <v>21</v>
      </c>
      <c r="AK170">
        <v>22</v>
      </c>
      <c r="AL170">
        <v>22</v>
      </c>
      <c r="AM170">
        <v>22</v>
      </c>
      <c r="AN170">
        <v>22</v>
      </c>
      <c r="AO170">
        <v>22</v>
      </c>
      <c r="AP170">
        <v>114</v>
      </c>
      <c r="AQ170">
        <v>147</v>
      </c>
      <c r="AR170">
        <v>13</v>
      </c>
      <c r="AS170">
        <v>122</v>
      </c>
      <c r="AT170">
        <v>154</v>
      </c>
      <c r="AU170">
        <v>121</v>
      </c>
      <c r="AV170">
        <v>134</v>
      </c>
      <c r="AW170">
        <v>148</v>
      </c>
      <c r="AX170">
        <v>110</v>
      </c>
      <c r="AY170">
        <v>111</v>
      </c>
      <c r="AZ170">
        <v>90</v>
      </c>
      <c r="BA170">
        <v>162</v>
      </c>
      <c r="BB170">
        <v>141</v>
      </c>
      <c r="BC170">
        <v>126</v>
      </c>
      <c r="BD170">
        <v>140</v>
      </c>
      <c r="BE170">
        <v>106</v>
      </c>
      <c r="BF170">
        <v>128</v>
      </c>
      <c r="BG170">
        <v>144</v>
      </c>
      <c r="BH170">
        <v>108</v>
      </c>
      <c r="BI170">
        <v>86</v>
      </c>
      <c r="BJ170">
        <v>4658905600</v>
      </c>
      <c r="BK170">
        <v>7072535040</v>
      </c>
      <c r="BL170">
        <v>18898200</v>
      </c>
      <c r="BM170">
        <v>2930580736</v>
      </c>
      <c r="BN170">
        <v>6990748672</v>
      </c>
      <c r="BO170">
        <v>3695539712</v>
      </c>
      <c r="BP170">
        <v>5497673216</v>
      </c>
      <c r="BQ170">
        <v>5912274944</v>
      </c>
      <c r="BR170">
        <v>3082467328</v>
      </c>
      <c r="BS170">
        <v>3049689088</v>
      </c>
      <c r="BT170">
        <v>1106732160</v>
      </c>
      <c r="BU170">
        <v>5647819264</v>
      </c>
      <c r="BV170">
        <v>5427227136</v>
      </c>
      <c r="BW170">
        <v>4883132928</v>
      </c>
      <c r="BX170">
        <v>5715819520</v>
      </c>
      <c r="BY170">
        <v>3014593280</v>
      </c>
      <c r="BZ170">
        <v>4836628992</v>
      </c>
      <c r="CA170">
        <v>6412374528</v>
      </c>
      <c r="CB170">
        <v>2785848576</v>
      </c>
      <c r="CC170">
        <v>1697135104</v>
      </c>
      <c r="CD170" s="17" t="s">
        <v>1265</v>
      </c>
      <c r="CE170" s="21">
        <v>4630607360</v>
      </c>
      <c r="CF170" s="21">
        <v>4551866368</v>
      </c>
      <c r="CG170" s="19">
        <v>3312129024</v>
      </c>
      <c r="CH170" s="19">
        <v>6568923136</v>
      </c>
      <c r="CI170" s="21">
        <v>6184837632</v>
      </c>
      <c r="CJ170" s="21">
        <v>6000280064</v>
      </c>
      <c r="CK170" s="19">
        <v>4656743424</v>
      </c>
      <c r="CL170" s="19">
        <v>4548311040</v>
      </c>
      <c r="CM170" s="21">
        <v>3192451840</v>
      </c>
      <c r="CN170" s="21">
        <v>3453122304</v>
      </c>
      <c r="CO170" s="19">
        <v>4417575424</v>
      </c>
      <c r="CP170" s="19">
        <v>4981356544</v>
      </c>
      <c r="CQ170" s="21">
        <v>3716751872</v>
      </c>
      <c r="CR170" s="21">
        <v>3120623616</v>
      </c>
      <c r="CS170" s="19">
        <v>2800325376</v>
      </c>
      <c r="CT170" s="19">
        <v>2888553216</v>
      </c>
      <c r="CU170" s="21">
        <v>5740326400</v>
      </c>
      <c r="CV170" s="21">
        <v>5387057152</v>
      </c>
      <c r="CW170" s="19">
        <v>2818400000</v>
      </c>
      <c r="CX170" s="19">
        <v>2256548864</v>
      </c>
    </row>
    <row r="171" spans="1:102">
      <c r="A171">
        <v>30940</v>
      </c>
      <c r="B171" t="s">
        <v>247</v>
      </c>
      <c r="C171" t="s">
        <v>1266</v>
      </c>
      <c r="D171" t="s">
        <v>248</v>
      </c>
      <c r="E171" t="s">
        <v>249</v>
      </c>
      <c r="F171" t="s">
        <v>250</v>
      </c>
      <c r="G171">
        <v>787.19200000000001</v>
      </c>
      <c r="H171" t="s">
        <v>104</v>
      </c>
      <c r="I171">
        <v>2</v>
      </c>
      <c r="J171">
        <v>18</v>
      </c>
      <c r="K171">
        <v>2</v>
      </c>
      <c r="L171">
        <v>0</v>
      </c>
      <c r="M171">
        <v>0</v>
      </c>
      <c r="N171">
        <v>-1</v>
      </c>
      <c r="O171">
        <v>15</v>
      </c>
      <c r="P171">
        <v>15</v>
      </c>
      <c r="Q171">
        <v>20</v>
      </c>
      <c r="R171">
        <v>20</v>
      </c>
      <c r="S171">
        <v>20</v>
      </c>
      <c r="T171">
        <v>20</v>
      </c>
      <c r="U171">
        <v>19</v>
      </c>
      <c r="V171">
        <v>15</v>
      </c>
      <c r="W171">
        <v>16</v>
      </c>
      <c r="X171">
        <v>15</v>
      </c>
      <c r="Y171">
        <v>19</v>
      </c>
      <c r="Z171">
        <v>19</v>
      </c>
      <c r="AA171">
        <v>19</v>
      </c>
      <c r="AB171">
        <v>19</v>
      </c>
      <c r="AC171">
        <v>19</v>
      </c>
      <c r="AD171">
        <v>19</v>
      </c>
      <c r="AE171">
        <v>19</v>
      </c>
      <c r="AF171">
        <v>18</v>
      </c>
      <c r="AG171">
        <v>19</v>
      </c>
      <c r="AH171">
        <v>19</v>
      </c>
      <c r="AI171">
        <v>18</v>
      </c>
      <c r="AJ171">
        <v>18</v>
      </c>
      <c r="AK171">
        <v>19</v>
      </c>
      <c r="AL171">
        <v>17</v>
      </c>
      <c r="AM171">
        <v>17</v>
      </c>
      <c r="AN171">
        <v>18</v>
      </c>
      <c r="AO171">
        <v>19</v>
      </c>
      <c r="AP171">
        <v>142</v>
      </c>
      <c r="AQ171">
        <v>82</v>
      </c>
      <c r="AR171">
        <v>11</v>
      </c>
      <c r="AS171">
        <v>64</v>
      </c>
      <c r="AT171">
        <v>73</v>
      </c>
      <c r="AU171">
        <v>44</v>
      </c>
      <c r="AV171">
        <v>71</v>
      </c>
      <c r="AW171">
        <v>87</v>
      </c>
      <c r="AX171">
        <v>61</v>
      </c>
      <c r="AY171">
        <v>40</v>
      </c>
      <c r="AZ171">
        <v>43</v>
      </c>
      <c r="BA171">
        <v>75</v>
      </c>
      <c r="BB171">
        <v>74</v>
      </c>
      <c r="BC171">
        <v>82</v>
      </c>
      <c r="BD171">
        <v>84</v>
      </c>
      <c r="BE171">
        <v>44</v>
      </c>
      <c r="BF171">
        <v>79</v>
      </c>
      <c r="BG171">
        <v>94</v>
      </c>
      <c r="BH171">
        <v>75</v>
      </c>
      <c r="BI171">
        <v>68</v>
      </c>
      <c r="BJ171">
        <v>1950851456</v>
      </c>
      <c r="BK171">
        <v>1860396928</v>
      </c>
      <c r="BL171">
        <v>15994783</v>
      </c>
      <c r="BM171">
        <v>1101218944</v>
      </c>
      <c r="BN171">
        <v>1741467392</v>
      </c>
      <c r="BO171">
        <v>643410304</v>
      </c>
      <c r="BP171">
        <v>1630334336</v>
      </c>
      <c r="BQ171">
        <v>2808862208</v>
      </c>
      <c r="BR171">
        <v>1254261376</v>
      </c>
      <c r="BS171">
        <v>485871712</v>
      </c>
      <c r="BT171">
        <v>355583648</v>
      </c>
      <c r="BU171">
        <v>1411390336</v>
      </c>
      <c r="BV171">
        <v>1904515072</v>
      </c>
      <c r="BW171">
        <v>2382854144</v>
      </c>
      <c r="BX171">
        <v>2676245504</v>
      </c>
      <c r="BY171">
        <v>613160064</v>
      </c>
      <c r="BZ171">
        <v>2169239296</v>
      </c>
      <c r="CA171">
        <v>3178313984</v>
      </c>
      <c r="CB171">
        <v>1375502976</v>
      </c>
      <c r="CC171">
        <v>622205568</v>
      </c>
      <c r="CD171" s="17" t="s">
        <v>1266</v>
      </c>
      <c r="CE171" s="21">
        <v>1312248192</v>
      </c>
      <c r="CF171" s="21">
        <v>1432475392</v>
      </c>
      <c r="CG171" s="19">
        <v>1518664320</v>
      </c>
      <c r="CH171" s="19">
        <v>2201689088</v>
      </c>
      <c r="CI171" s="21">
        <v>1351402496</v>
      </c>
      <c r="CJ171" s="21">
        <v>2509062400</v>
      </c>
      <c r="CK171" s="19">
        <v>1419028864</v>
      </c>
      <c r="CL171" s="19">
        <v>1675016448</v>
      </c>
      <c r="CM171" s="21">
        <v>1285338752</v>
      </c>
      <c r="CN171" s="21">
        <v>1890258816</v>
      </c>
      <c r="CO171" s="19">
        <v>1041083968</v>
      </c>
      <c r="CP171" s="19">
        <v>1239784704</v>
      </c>
      <c r="CQ171" s="21">
        <v>1279092608</v>
      </c>
      <c r="CR171" s="21">
        <v>1420446080</v>
      </c>
      <c r="CS171" s="19">
        <v>440703424</v>
      </c>
      <c r="CT171" s="19">
        <v>580452672</v>
      </c>
      <c r="CU171" s="21">
        <v>2267856128</v>
      </c>
      <c r="CV171" s="21">
        <v>2527363328</v>
      </c>
      <c r="CW171" s="19">
        <v>589722176</v>
      </c>
      <c r="CX171" s="19">
        <v>1253501568</v>
      </c>
    </row>
    <row r="172" spans="1:102">
      <c r="A172">
        <v>30913</v>
      </c>
      <c r="B172" t="s">
        <v>185</v>
      </c>
      <c r="C172" t="s">
        <v>1267</v>
      </c>
      <c r="D172" t="s">
        <v>186</v>
      </c>
      <c r="F172" t="s">
        <v>187</v>
      </c>
      <c r="G172">
        <v>1019.853</v>
      </c>
      <c r="H172" t="s">
        <v>104</v>
      </c>
      <c r="I172">
        <v>2</v>
      </c>
      <c r="J172">
        <v>21</v>
      </c>
      <c r="K172">
        <v>0</v>
      </c>
      <c r="L172">
        <v>0</v>
      </c>
      <c r="M172">
        <v>0</v>
      </c>
      <c r="N172">
        <v>-1</v>
      </c>
      <c r="O172">
        <v>22</v>
      </c>
      <c r="P172">
        <v>22</v>
      </c>
      <c r="Q172">
        <v>24</v>
      </c>
      <c r="R172">
        <v>24</v>
      </c>
      <c r="S172">
        <v>24</v>
      </c>
      <c r="T172">
        <v>24</v>
      </c>
      <c r="U172">
        <v>24</v>
      </c>
      <c r="V172">
        <v>21</v>
      </c>
      <c r="W172">
        <v>22</v>
      </c>
      <c r="X172">
        <v>18</v>
      </c>
      <c r="Y172">
        <v>24</v>
      </c>
      <c r="Z172">
        <v>24</v>
      </c>
      <c r="AA172">
        <v>23</v>
      </c>
      <c r="AB172">
        <v>23</v>
      </c>
      <c r="AC172">
        <v>22</v>
      </c>
      <c r="AD172">
        <v>21</v>
      </c>
      <c r="AE172">
        <v>24</v>
      </c>
      <c r="AF172">
        <v>22</v>
      </c>
      <c r="AG172">
        <v>24</v>
      </c>
      <c r="AH172">
        <v>23</v>
      </c>
      <c r="AI172">
        <v>22</v>
      </c>
      <c r="AJ172">
        <v>22</v>
      </c>
      <c r="AK172">
        <v>24</v>
      </c>
      <c r="AL172">
        <v>22</v>
      </c>
      <c r="AM172">
        <v>22</v>
      </c>
      <c r="AN172">
        <v>23</v>
      </c>
      <c r="AO172">
        <v>24</v>
      </c>
      <c r="AP172">
        <v>159</v>
      </c>
      <c r="AQ172">
        <v>116</v>
      </c>
      <c r="AR172">
        <v>13</v>
      </c>
      <c r="AS172">
        <v>84</v>
      </c>
      <c r="AT172">
        <v>110</v>
      </c>
      <c r="AU172">
        <v>80</v>
      </c>
      <c r="AV172">
        <v>89</v>
      </c>
      <c r="AW172">
        <v>92</v>
      </c>
      <c r="AX172">
        <v>76</v>
      </c>
      <c r="AY172">
        <v>75</v>
      </c>
      <c r="AZ172">
        <v>55</v>
      </c>
      <c r="BA172">
        <v>102</v>
      </c>
      <c r="BB172">
        <v>94</v>
      </c>
      <c r="BC172">
        <v>82</v>
      </c>
      <c r="BD172">
        <v>89</v>
      </c>
      <c r="BE172">
        <v>81</v>
      </c>
      <c r="BF172">
        <v>85</v>
      </c>
      <c r="BG172">
        <v>99</v>
      </c>
      <c r="BH172">
        <v>76</v>
      </c>
      <c r="BI172">
        <v>55</v>
      </c>
      <c r="BJ172">
        <v>4249940480</v>
      </c>
      <c r="BK172">
        <v>7066850816</v>
      </c>
      <c r="BL172">
        <v>27975392</v>
      </c>
      <c r="BM172">
        <v>3227709184</v>
      </c>
      <c r="BN172">
        <v>7037791232</v>
      </c>
      <c r="BO172">
        <v>3520900864</v>
      </c>
      <c r="BP172">
        <v>6040716800</v>
      </c>
      <c r="BQ172">
        <v>6245046272</v>
      </c>
      <c r="BR172">
        <v>3628585728</v>
      </c>
      <c r="BS172">
        <v>2746401024</v>
      </c>
      <c r="BT172">
        <v>1289771392</v>
      </c>
      <c r="BU172">
        <v>5843748864</v>
      </c>
      <c r="BV172">
        <v>5963763200</v>
      </c>
      <c r="BW172">
        <v>5668506112</v>
      </c>
      <c r="BX172">
        <v>6362288640</v>
      </c>
      <c r="BY172">
        <v>3347022336</v>
      </c>
      <c r="BZ172">
        <v>5655034880</v>
      </c>
      <c r="CA172">
        <v>7215556608</v>
      </c>
      <c r="CB172">
        <v>3621951488</v>
      </c>
      <c r="CC172">
        <v>1709654144</v>
      </c>
      <c r="CD172" s="17" t="s">
        <v>1267</v>
      </c>
      <c r="CE172" s="21">
        <v>3003230720</v>
      </c>
      <c r="CF172" s="21">
        <v>4428805632</v>
      </c>
      <c r="CG172" s="19">
        <v>3302439936</v>
      </c>
      <c r="CH172" s="19">
        <v>7257485312</v>
      </c>
      <c r="CI172" s="21">
        <v>6886319616</v>
      </c>
      <c r="CJ172" s="21">
        <v>6571205632</v>
      </c>
      <c r="CK172" s="19">
        <v>5024984064</v>
      </c>
      <c r="CL172" s="19">
        <v>5223875072</v>
      </c>
      <c r="CM172" s="21">
        <v>3512205824</v>
      </c>
      <c r="CN172" s="21">
        <v>4650246656</v>
      </c>
      <c r="CO172" s="19">
        <v>4373900288</v>
      </c>
      <c r="CP172" s="19">
        <v>6268939776</v>
      </c>
      <c r="CQ172" s="21">
        <v>4383429632</v>
      </c>
      <c r="CR172" s="21">
        <v>3270161920</v>
      </c>
      <c r="CS172" s="19">
        <v>2929388032</v>
      </c>
      <c r="CT172" s="19">
        <v>3343796224</v>
      </c>
      <c r="CU172" s="21">
        <v>5537993216</v>
      </c>
      <c r="CV172" s="21">
        <v>5529906688</v>
      </c>
      <c r="CW172" s="19">
        <v>3441731328</v>
      </c>
      <c r="CX172" s="19">
        <v>2521068800</v>
      </c>
    </row>
    <row r="173" spans="1:102">
      <c r="A173">
        <v>30992</v>
      </c>
      <c r="B173" t="s">
        <v>286</v>
      </c>
      <c r="C173" t="s">
        <v>1268</v>
      </c>
      <c r="D173" t="s">
        <v>287</v>
      </c>
      <c r="F173" t="s">
        <v>288</v>
      </c>
      <c r="G173">
        <v>610.56200000000001</v>
      </c>
      <c r="H173" t="s">
        <v>104</v>
      </c>
      <c r="I173">
        <v>2</v>
      </c>
      <c r="J173">
        <v>21</v>
      </c>
      <c r="K173">
        <v>0</v>
      </c>
      <c r="L173">
        <v>0</v>
      </c>
      <c r="M173">
        <v>0</v>
      </c>
      <c r="N173">
        <v>-1</v>
      </c>
      <c r="O173">
        <v>12</v>
      </c>
      <c r="P173">
        <v>12</v>
      </c>
      <c r="Q173">
        <v>16</v>
      </c>
      <c r="R173">
        <v>16</v>
      </c>
      <c r="S173">
        <v>16</v>
      </c>
      <c r="T173">
        <v>16</v>
      </c>
      <c r="U173">
        <v>16</v>
      </c>
      <c r="V173">
        <v>16</v>
      </c>
      <c r="W173">
        <v>16</v>
      </c>
      <c r="X173">
        <v>14</v>
      </c>
      <c r="Y173">
        <v>16</v>
      </c>
      <c r="Z173">
        <v>16</v>
      </c>
      <c r="AA173">
        <v>16</v>
      </c>
      <c r="AB173">
        <v>16</v>
      </c>
      <c r="AC173">
        <v>16</v>
      </c>
      <c r="AD173">
        <v>16</v>
      </c>
      <c r="AE173">
        <v>16</v>
      </c>
      <c r="AF173">
        <v>16</v>
      </c>
      <c r="AG173">
        <v>16</v>
      </c>
      <c r="AH173">
        <v>16</v>
      </c>
      <c r="AI173">
        <v>16</v>
      </c>
      <c r="AJ173">
        <v>16</v>
      </c>
      <c r="AK173">
        <v>16</v>
      </c>
      <c r="AL173">
        <v>16</v>
      </c>
      <c r="AM173">
        <v>16</v>
      </c>
      <c r="AN173">
        <v>16</v>
      </c>
      <c r="AO173">
        <v>16</v>
      </c>
      <c r="AP173">
        <v>149</v>
      </c>
      <c r="AQ173">
        <v>91</v>
      </c>
      <c r="AR173">
        <v>19</v>
      </c>
      <c r="AS173">
        <v>77</v>
      </c>
      <c r="AT173">
        <v>97</v>
      </c>
      <c r="AU173">
        <v>42</v>
      </c>
      <c r="AV173">
        <v>103</v>
      </c>
      <c r="AW173">
        <v>122</v>
      </c>
      <c r="AX173">
        <v>93</v>
      </c>
      <c r="AY173">
        <v>46</v>
      </c>
      <c r="AZ173">
        <v>72</v>
      </c>
      <c r="BA173">
        <v>76</v>
      </c>
      <c r="BB173">
        <v>117</v>
      </c>
      <c r="BC173">
        <v>117</v>
      </c>
      <c r="BD173">
        <v>130</v>
      </c>
      <c r="BE173">
        <v>39</v>
      </c>
      <c r="BF173">
        <v>143</v>
      </c>
      <c r="BG173">
        <v>127</v>
      </c>
      <c r="BH173">
        <v>97</v>
      </c>
      <c r="BI173">
        <v>44</v>
      </c>
      <c r="BJ173">
        <v>1204140288</v>
      </c>
      <c r="BK173">
        <v>1117704704</v>
      </c>
      <c r="BL173">
        <v>15493821</v>
      </c>
      <c r="BM173">
        <v>649397440</v>
      </c>
      <c r="BN173">
        <v>1376630784</v>
      </c>
      <c r="BO173">
        <v>298608544</v>
      </c>
      <c r="BP173">
        <v>1386436224</v>
      </c>
      <c r="BQ173">
        <v>2084772352</v>
      </c>
      <c r="BR173">
        <v>1226415232</v>
      </c>
      <c r="BS173">
        <v>313997280</v>
      </c>
      <c r="BT173">
        <v>285928640</v>
      </c>
      <c r="BU173">
        <v>841587072</v>
      </c>
      <c r="BV173">
        <v>1614315520</v>
      </c>
      <c r="BW173">
        <v>1825010816</v>
      </c>
      <c r="BX173">
        <v>2250731008</v>
      </c>
      <c r="BY173">
        <v>318852928</v>
      </c>
      <c r="BZ173">
        <v>2091803392</v>
      </c>
      <c r="CA173">
        <v>2288005888</v>
      </c>
      <c r="CB173">
        <v>1028211648</v>
      </c>
      <c r="CC173">
        <v>215944176</v>
      </c>
      <c r="CD173" s="17" t="s">
        <v>1268</v>
      </c>
      <c r="CE173" s="21">
        <v>1368228608</v>
      </c>
      <c r="CF173" s="21">
        <v>1402266624</v>
      </c>
      <c r="CG173" s="19">
        <v>1824158336</v>
      </c>
      <c r="CH173" s="19">
        <v>1839098752</v>
      </c>
      <c r="CI173" s="21">
        <v>1184724096</v>
      </c>
      <c r="CJ173" s="21">
        <v>2282411264</v>
      </c>
      <c r="CK173" s="19">
        <v>1245096192</v>
      </c>
      <c r="CL173" s="19">
        <v>1986593280</v>
      </c>
      <c r="CM173" s="21">
        <v>1494142592</v>
      </c>
      <c r="CN173" s="21">
        <v>1368579200</v>
      </c>
      <c r="CO173" s="19">
        <v>608538496</v>
      </c>
      <c r="CP173" s="19">
        <v>633141184</v>
      </c>
      <c r="CQ173" s="21">
        <v>713405184</v>
      </c>
      <c r="CR173" s="21">
        <v>1122845824</v>
      </c>
      <c r="CS173" s="19">
        <v>205740144</v>
      </c>
      <c r="CT173" s="19">
        <v>277997856</v>
      </c>
      <c r="CU173" s="21">
        <v>1875217280</v>
      </c>
      <c r="CV173" s="21">
        <v>1661330432</v>
      </c>
      <c r="CW173" s="19">
        <v>313539936</v>
      </c>
      <c r="CX173" s="19">
        <v>363417056</v>
      </c>
    </row>
    <row r="174" spans="1:102">
      <c r="A174">
        <v>30918</v>
      </c>
      <c r="B174" t="s">
        <v>320</v>
      </c>
      <c r="C174" t="s">
        <v>1269</v>
      </c>
      <c r="D174" t="s">
        <v>321</v>
      </c>
      <c r="F174" t="s">
        <v>322</v>
      </c>
      <c r="G174">
        <v>539.23400000000004</v>
      </c>
      <c r="H174" t="s">
        <v>104</v>
      </c>
      <c r="I174">
        <v>2</v>
      </c>
      <c r="J174">
        <v>21</v>
      </c>
      <c r="K174">
        <v>0</v>
      </c>
      <c r="L174">
        <v>0</v>
      </c>
      <c r="M174">
        <v>0</v>
      </c>
      <c r="N174">
        <v>-1</v>
      </c>
      <c r="O174">
        <v>15</v>
      </c>
      <c r="P174">
        <v>15</v>
      </c>
      <c r="Q174">
        <v>17</v>
      </c>
      <c r="R174">
        <v>17</v>
      </c>
      <c r="S174">
        <v>17</v>
      </c>
      <c r="T174">
        <v>17</v>
      </c>
      <c r="U174">
        <v>17</v>
      </c>
      <c r="V174">
        <v>14</v>
      </c>
      <c r="W174">
        <v>16</v>
      </c>
      <c r="X174">
        <v>15</v>
      </c>
      <c r="Y174">
        <v>17</v>
      </c>
      <c r="Z174">
        <v>17</v>
      </c>
      <c r="AA174">
        <v>17</v>
      </c>
      <c r="AB174">
        <v>17</v>
      </c>
      <c r="AC174">
        <v>17</v>
      </c>
      <c r="AD174">
        <v>17</v>
      </c>
      <c r="AE174">
        <v>17</v>
      </c>
      <c r="AF174">
        <v>17</v>
      </c>
      <c r="AG174">
        <v>17</v>
      </c>
      <c r="AH174">
        <v>17</v>
      </c>
      <c r="AI174">
        <v>17</v>
      </c>
      <c r="AJ174">
        <v>17</v>
      </c>
      <c r="AK174">
        <v>17</v>
      </c>
      <c r="AL174">
        <v>17</v>
      </c>
      <c r="AM174">
        <v>17</v>
      </c>
      <c r="AN174">
        <v>17</v>
      </c>
      <c r="AO174">
        <v>17</v>
      </c>
      <c r="AP174">
        <v>85</v>
      </c>
      <c r="AQ174">
        <v>101</v>
      </c>
      <c r="AR174">
        <v>9</v>
      </c>
      <c r="AS174">
        <v>82</v>
      </c>
      <c r="AT174">
        <v>98</v>
      </c>
      <c r="AU174">
        <v>62</v>
      </c>
      <c r="AV174">
        <v>94</v>
      </c>
      <c r="AW174">
        <v>95</v>
      </c>
      <c r="AX174">
        <v>85</v>
      </c>
      <c r="AY174">
        <v>78</v>
      </c>
      <c r="AZ174">
        <v>62</v>
      </c>
      <c r="BA174">
        <v>87</v>
      </c>
      <c r="BB174">
        <v>86</v>
      </c>
      <c r="BC174">
        <v>81</v>
      </c>
      <c r="BD174">
        <v>76</v>
      </c>
      <c r="BE174">
        <v>63</v>
      </c>
      <c r="BF174">
        <v>76</v>
      </c>
      <c r="BG174">
        <v>82</v>
      </c>
      <c r="BH174">
        <v>76</v>
      </c>
      <c r="BI174">
        <v>64</v>
      </c>
      <c r="BJ174">
        <v>2351585024</v>
      </c>
      <c r="BK174">
        <v>3674038272</v>
      </c>
      <c r="BL174">
        <v>18372652</v>
      </c>
      <c r="BM174">
        <v>1685775104</v>
      </c>
      <c r="BN174">
        <v>4252983552</v>
      </c>
      <c r="BO174">
        <v>1895272960</v>
      </c>
      <c r="BP174">
        <v>3358581248</v>
      </c>
      <c r="BQ174">
        <v>3430529792</v>
      </c>
      <c r="BR174">
        <v>1996822528</v>
      </c>
      <c r="BS174">
        <v>1550114816</v>
      </c>
      <c r="BT174">
        <v>719924160</v>
      </c>
      <c r="BU174">
        <v>3570660352</v>
      </c>
      <c r="BV174">
        <v>3024541440</v>
      </c>
      <c r="BW174">
        <v>2631427840</v>
      </c>
      <c r="BX174">
        <v>3348535040</v>
      </c>
      <c r="BY174">
        <v>1620396800</v>
      </c>
      <c r="BZ174">
        <v>2814992640</v>
      </c>
      <c r="CA174">
        <v>4222609920</v>
      </c>
      <c r="CB174">
        <v>1882681728</v>
      </c>
      <c r="CC174">
        <v>960915840</v>
      </c>
      <c r="CD174" s="17" t="s">
        <v>1269</v>
      </c>
      <c r="CE174" s="21">
        <v>1456087936</v>
      </c>
      <c r="CF174" s="21">
        <v>1929784448</v>
      </c>
      <c r="CG174" s="19">
        <v>2053669504</v>
      </c>
      <c r="CH174" s="19">
        <v>2575587072</v>
      </c>
      <c r="CI174" s="21">
        <v>3346781440</v>
      </c>
      <c r="CJ174" s="21">
        <v>2294246144</v>
      </c>
      <c r="CK174" s="19">
        <v>2535693312</v>
      </c>
      <c r="CL174" s="19">
        <v>1764762624</v>
      </c>
      <c r="CM174" s="21">
        <v>1456087936</v>
      </c>
      <c r="CN174" s="21">
        <v>1549723648</v>
      </c>
      <c r="CO174" s="19">
        <v>2356259328</v>
      </c>
      <c r="CP174" s="19">
        <v>2915380224</v>
      </c>
      <c r="CQ174" s="21">
        <v>2330985472</v>
      </c>
      <c r="CR174" s="21">
        <v>1229819776</v>
      </c>
      <c r="CS174" s="19">
        <v>1916084480</v>
      </c>
      <c r="CT174" s="19">
        <v>2037958912</v>
      </c>
      <c r="CU174" s="21">
        <v>3329159424</v>
      </c>
      <c r="CV174" s="21">
        <v>1979467904</v>
      </c>
      <c r="CW174" s="19">
        <v>2288176128</v>
      </c>
      <c r="CX174" s="19">
        <v>2121969152</v>
      </c>
    </row>
    <row r="175" spans="1:102">
      <c r="A175">
        <v>31066</v>
      </c>
      <c r="B175" t="s">
        <v>381</v>
      </c>
      <c r="C175" t="s">
        <v>1270</v>
      </c>
      <c r="D175" t="s">
        <v>382</v>
      </c>
      <c r="F175" t="s">
        <v>383</v>
      </c>
      <c r="G175">
        <v>418.11500000000001</v>
      </c>
      <c r="H175" t="s">
        <v>104</v>
      </c>
      <c r="I175">
        <v>2</v>
      </c>
      <c r="J175">
        <v>2</v>
      </c>
      <c r="K175">
        <v>0</v>
      </c>
      <c r="L175">
        <v>0</v>
      </c>
      <c r="M175">
        <v>0</v>
      </c>
      <c r="N175">
        <v>-1</v>
      </c>
      <c r="O175">
        <v>13</v>
      </c>
      <c r="P175">
        <v>13</v>
      </c>
      <c r="Q175">
        <v>13</v>
      </c>
      <c r="R175">
        <v>13</v>
      </c>
      <c r="S175">
        <v>13</v>
      </c>
      <c r="T175">
        <v>13</v>
      </c>
      <c r="U175">
        <v>13</v>
      </c>
      <c r="V175">
        <v>10</v>
      </c>
      <c r="W175">
        <v>13</v>
      </c>
      <c r="X175">
        <v>4</v>
      </c>
      <c r="Y175">
        <v>13</v>
      </c>
      <c r="Z175">
        <v>13</v>
      </c>
      <c r="AA175">
        <v>13</v>
      </c>
      <c r="AB175">
        <v>13</v>
      </c>
      <c r="AC175">
        <v>13</v>
      </c>
      <c r="AD175">
        <v>13</v>
      </c>
      <c r="AE175">
        <v>13</v>
      </c>
      <c r="AF175">
        <v>13</v>
      </c>
      <c r="AG175">
        <v>13</v>
      </c>
      <c r="AH175">
        <v>13</v>
      </c>
      <c r="AI175">
        <v>13</v>
      </c>
      <c r="AJ175">
        <v>13</v>
      </c>
      <c r="AK175">
        <v>13</v>
      </c>
      <c r="AL175">
        <v>13</v>
      </c>
      <c r="AM175">
        <v>13</v>
      </c>
      <c r="AN175">
        <v>13</v>
      </c>
      <c r="AO175">
        <v>13</v>
      </c>
      <c r="AP175">
        <v>12</v>
      </c>
      <c r="AQ175">
        <v>14</v>
      </c>
      <c r="AR175">
        <v>0</v>
      </c>
      <c r="AS175">
        <v>14</v>
      </c>
      <c r="AT175">
        <v>12</v>
      </c>
      <c r="AU175">
        <v>17</v>
      </c>
      <c r="AV175">
        <v>13</v>
      </c>
      <c r="AW175">
        <v>9</v>
      </c>
      <c r="AX175">
        <v>18</v>
      </c>
      <c r="AY175">
        <v>20</v>
      </c>
      <c r="AZ175">
        <v>7</v>
      </c>
      <c r="BA175">
        <v>17</v>
      </c>
      <c r="BB175">
        <v>11</v>
      </c>
      <c r="BC175">
        <v>18</v>
      </c>
      <c r="BD175">
        <v>9</v>
      </c>
      <c r="BE175">
        <v>12</v>
      </c>
      <c r="BF175">
        <v>12</v>
      </c>
      <c r="BG175">
        <v>8</v>
      </c>
      <c r="BH175">
        <v>16</v>
      </c>
      <c r="BI175">
        <v>13</v>
      </c>
      <c r="BJ175">
        <v>26073208</v>
      </c>
      <c r="BK175">
        <v>54237036</v>
      </c>
      <c r="BL175">
        <v>154627.12</v>
      </c>
      <c r="BM175">
        <v>31944658</v>
      </c>
      <c r="BN175">
        <v>28267016</v>
      </c>
      <c r="BO175">
        <v>50350344</v>
      </c>
      <c r="BP175">
        <v>40097204</v>
      </c>
      <c r="BQ175">
        <v>22702836</v>
      </c>
      <c r="BR175">
        <v>48558344</v>
      </c>
      <c r="BS175">
        <v>45662288</v>
      </c>
      <c r="BT175">
        <v>8579276</v>
      </c>
      <c r="BU175">
        <v>43407208</v>
      </c>
      <c r="BV175">
        <v>20437554</v>
      </c>
      <c r="BW175">
        <v>60381920</v>
      </c>
      <c r="BX175">
        <v>21092426</v>
      </c>
      <c r="BY175">
        <v>38721856</v>
      </c>
      <c r="BZ175">
        <v>33054932</v>
      </c>
      <c r="CA175">
        <v>22563486</v>
      </c>
      <c r="CB175">
        <v>44740032</v>
      </c>
      <c r="CC175">
        <v>33552936</v>
      </c>
      <c r="CD175" s="17" t="s">
        <v>1270</v>
      </c>
      <c r="CE175" s="21">
        <v>32920472</v>
      </c>
      <c r="CF175" s="21">
        <v>34688848</v>
      </c>
      <c r="CG175" s="19">
        <v>23227468</v>
      </c>
      <c r="CH175" s="19">
        <v>28749770</v>
      </c>
      <c r="CI175" s="21">
        <v>26054144</v>
      </c>
      <c r="CJ175" s="21">
        <v>28198544</v>
      </c>
      <c r="CK175" s="19">
        <v>37667848</v>
      </c>
      <c r="CL175" s="19">
        <v>41800692</v>
      </c>
      <c r="CM175" s="21">
        <v>59383344</v>
      </c>
      <c r="CN175" s="21">
        <v>62448092</v>
      </c>
      <c r="CO175" s="19">
        <v>37849044</v>
      </c>
      <c r="CP175" s="19">
        <v>40124896</v>
      </c>
      <c r="CQ175" s="21">
        <v>41434420</v>
      </c>
      <c r="CR175" s="21">
        <v>44147076</v>
      </c>
      <c r="CS175" s="19">
        <v>39017204</v>
      </c>
      <c r="CT175" s="19">
        <v>40137032</v>
      </c>
      <c r="CU175" s="21">
        <v>23881424</v>
      </c>
      <c r="CV175" s="21">
        <v>22690690</v>
      </c>
      <c r="CW175" s="19">
        <v>51351748</v>
      </c>
      <c r="CX175" s="19">
        <v>57673024</v>
      </c>
    </row>
    <row r="176" spans="1:102">
      <c r="A176">
        <v>31106</v>
      </c>
      <c r="B176" t="s">
        <v>699</v>
      </c>
      <c r="C176" t="s">
        <v>1271</v>
      </c>
      <c r="D176" t="s">
        <v>700</v>
      </c>
      <c r="F176" t="s">
        <v>701</v>
      </c>
      <c r="G176">
        <v>29.111999999999998</v>
      </c>
      <c r="H176" t="s">
        <v>104</v>
      </c>
      <c r="I176">
        <v>2</v>
      </c>
      <c r="J176">
        <v>3</v>
      </c>
      <c r="K176">
        <v>0</v>
      </c>
      <c r="L176">
        <v>0</v>
      </c>
      <c r="M176">
        <v>0</v>
      </c>
      <c r="N176">
        <v>-1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4</v>
      </c>
      <c r="W176">
        <v>5</v>
      </c>
      <c r="X176">
        <v>2</v>
      </c>
      <c r="Y176">
        <v>5</v>
      </c>
      <c r="Z176">
        <v>3</v>
      </c>
      <c r="AA176">
        <v>5</v>
      </c>
      <c r="AB176">
        <v>5</v>
      </c>
      <c r="AC176">
        <v>5</v>
      </c>
      <c r="AD176">
        <v>5</v>
      </c>
      <c r="AE176">
        <v>5</v>
      </c>
      <c r="AF176">
        <v>5</v>
      </c>
      <c r="AG176">
        <v>5</v>
      </c>
      <c r="AH176">
        <v>3</v>
      </c>
      <c r="AI176">
        <v>5</v>
      </c>
      <c r="AJ176">
        <v>3</v>
      </c>
      <c r="AK176">
        <v>5</v>
      </c>
      <c r="AL176">
        <v>5</v>
      </c>
      <c r="AM176">
        <v>5</v>
      </c>
      <c r="AN176">
        <v>5</v>
      </c>
      <c r="AO176">
        <v>5</v>
      </c>
      <c r="AP176">
        <v>1</v>
      </c>
      <c r="AQ176">
        <v>0</v>
      </c>
      <c r="AR176">
        <v>0</v>
      </c>
      <c r="AS176">
        <v>1</v>
      </c>
      <c r="AT176">
        <v>0</v>
      </c>
      <c r="AU176">
        <v>5</v>
      </c>
      <c r="AV176">
        <v>1</v>
      </c>
      <c r="AW176">
        <v>1</v>
      </c>
      <c r="AX176">
        <v>3</v>
      </c>
      <c r="AY176">
        <v>3</v>
      </c>
      <c r="AZ176">
        <v>0</v>
      </c>
      <c r="BA176">
        <v>1</v>
      </c>
      <c r="BB176">
        <v>0</v>
      </c>
      <c r="BC176">
        <v>2</v>
      </c>
      <c r="BD176">
        <v>0</v>
      </c>
      <c r="BE176">
        <v>0</v>
      </c>
      <c r="BF176">
        <v>1</v>
      </c>
      <c r="BG176">
        <v>0</v>
      </c>
      <c r="BH176">
        <v>2</v>
      </c>
      <c r="BI176">
        <v>2</v>
      </c>
      <c r="BJ176">
        <v>1790806.62</v>
      </c>
      <c r="BK176">
        <v>3087241</v>
      </c>
      <c r="BL176">
        <v>68152.92</v>
      </c>
      <c r="BM176">
        <v>2514453.25</v>
      </c>
      <c r="BN176">
        <v>1143662.1200000001</v>
      </c>
      <c r="BO176">
        <v>3457047.5</v>
      </c>
      <c r="BP176">
        <v>2902807.25</v>
      </c>
      <c r="BQ176">
        <v>1788162.25</v>
      </c>
      <c r="BR176">
        <v>3357203.5</v>
      </c>
      <c r="BS176">
        <v>2925041.5</v>
      </c>
      <c r="BT176">
        <v>565034.75</v>
      </c>
      <c r="BU176">
        <v>3049278.25</v>
      </c>
      <c r="BV176">
        <v>723410.12</v>
      </c>
      <c r="BW176">
        <v>5164838</v>
      </c>
      <c r="BX176">
        <v>938254.5</v>
      </c>
      <c r="BY176">
        <v>2839908</v>
      </c>
      <c r="BZ176">
        <v>1893664.75</v>
      </c>
      <c r="CA176">
        <v>1766254.75</v>
      </c>
      <c r="CB176">
        <v>2924825</v>
      </c>
      <c r="CC176">
        <v>2317452.25</v>
      </c>
      <c r="CD176" s="17" t="s">
        <v>1271</v>
      </c>
      <c r="CE176" s="21">
        <v>2105325.25</v>
      </c>
      <c r="CF176" s="21">
        <v>2387021.25</v>
      </c>
      <c r="CG176" s="19">
        <v>3617683</v>
      </c>
      <c r="CH176" s="19">
        <v>990477.56</v>
      </c>
      <c r="CI176" s="21">
        <v>1176460.6200000001</v>
      </c>
      <c r="CJ176" s="21">
        <v>1242489.6200000001</v>
      </c>
      <c r="CK176" s="19">
        <v>2196618.25</v>
      </c>
      <c r="CL176" s="19">
        <v>1874613.88</v>
      </c>
      <c r="CM176" s="21">
        <v>3316442.5</v>
      </c>
      <c r="CN176" s="21">
        <v>3496818</v>
      </c>
      <c r="CO176" s="19">
        <v>1733258.38</v>
      </c>
      <c r="CP176" s="19">
        <v>2161059.5</v>
      </c>
      <c r="CQ176" s="21">
        <v>2687862.5</v>
      </c>
      <c r="CR176" s="21">
        <v>3225241</v>
      </c>
      <c r="CS176" s="19">
        <v>2125099.75</v>
      </c>
      <c r="CT176" s="19">
        <v>2209269</v>
      </c>
      <c r="CU176" s="21">
        <v>1741478.5</v>
      </c>
      <c r="CV176" s="21">
        <v>1523112.62</v>
      </c>
      <c r="CW176" s="19">
        <v>2610163.25</v>
      </c>
      <c r="CX176" s="19">
        <v>3263551.75</v>
      </c>
    </row>
    <row r="177" spans="1:102">
      <c r="A177">
        <v>30963</v>
      </c>
      <c r="B177" t="s">
        <v>611</v>
      </c>
      <c r="C177" t="s">
        <v>1272</v>
      </c>
      <c r="D177" t="s">
        <v>612</v>
      </c>
      <c r="F177" t="s">
        <v>613</v>
      </c>
      <c r="G177">
        <v>67.947000000000003</v>
      </c>
      <c r="H177" t="s">
        <v>104</v>
      </c>
      <c r="I177">
        <v>2</v>
      </c>
      <c r="J177">
        <v>3</v>
      </c>
      <c r="K177">
        <v>0</v>
      </c>
      <c r="L177">
        <v>0</v>
      </c>
      <c r="M177">
        <v>0</v>
      </c>
      <c r="N177">
        <v>-1</v>
      </c>
      <c r="O177">
        <v>2</v>
      </c>
      <c r="P177">
        <v>2</v>
      </c>
      <c r="Q177">
        <v>2</v>
      </c>
      <c r="R177">
        <v>2</v>
      </c>
      <c r="S177">
        <v>2</v>
      </c>
      <c r="T177">
        <v>2</v>
      </c>
      <c r="U177">
        <v>2</v>
      </c>
      <c r="V177">
        <v>2</v>
      </c>
      <c r="W177">
        <v>2</v>
      </c>
      <c r="Y177">
        <v>2</v>
      </c>
      <c r="Z177">
        <v>2</v>
      </c>
      <c r="AA177">
        <v>2</v>
      </c>
      <c r="AB177">
        <v>2</v>
      </c>
      <c r="AC177">
        <v>2</v>
      </c>
      <c r="AD177">
        <v>2</v>
      </c>
      <c r="AE177">
        <v>1</v>
      </c>
      <c r="AF177">
        <v>2</v>
      </c>
      <c r="AG177">
        <v>2</v>
      </c>
      <c r="AH177">
        <v>2</v>
      </c>
      <c r="AI177">
        <v>2</v>
      </c>
      <c r="AJ177">
        <v>2</v>
      </c>
      <c r="AK177">
        <v>2</v>
      </c>
      <c r="AL177">
        <v>2</v>
      </c>
      <c r="AM177">
        <v>2</v>
      </c>
      <c r="AN177">
        <v>2</v>
      </c>
      <c r="AO177">
        <v>1</v>
      </c>
      <c r="AP177">
        <v>2</v>
      </c>
      <c r="AQ177">
        <v>3</v>
      </c>
      <c r="AR177">
        <v>0</v>
      </c>
      <c r="AS177">
        <v>1</v>
      </c>
      <c r="AT177">
        <v>2</v>
      </c>
      <c r="AU177">
        <v>3</v>
      </c>
      <c r="AV177">
        <v>2</v>
      </c>
      <c r="AW177">
        <v>0</v>
      </c>
      <c r="AX177">
        <v>1</v>
      </c>
      <c r="AY177">
        <v>0</v>
      </c>
      <c r="AZ177">
        <v>0</v>
      </c>
      <c r="BA177">
        <v>2</v>
      </c>
      <c r="BB177">
        <v>3</v>
      </c>
      <c r="BC177">
        <v>1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2139593</v>
      </c>
      <c r="BK177">
        <v>2283091</v>
      </c>
      <c r="BM177">
        <v>550126.88</v>
      </c>
      <c r="BN177">
        <v>2691134.5</v>
      </c>
      <c r="BO177">
        <v>2401600.5</v>
      </c>
      <c r="BP177">
        <v>2416751.5</v>
      </c>
      <c r="BQ177">
        <v>1398522.75</v>
      </c>
      <c r="BR177">
        <v>834715.88</v>
      </c>
      <c r="BS177">
        <v>217356.17</v>
      </c>
      <c r="BT177">
        <v>436025.81</v>
      </c>
      <c r="BU177">
        <v>1758992</v>
      </c>
      <c r="BV177">
        <v>2595551</v>
      </c>
      <c r="BW177">
        <v>1089102</v>
      </c>
      <c r="BX177">
        <v>2701005.25</v>
      </c>
      <c r="BY177">
        <v>2123176</v>
      </c>
      <c r="BZ177">
        <v>1271847.5</v>
      </c>
      <c r="CA177">
        <v>931275.75</v>
      </c>
      <c r="CB177">
        <v>521725.16</v>
      </c>
      <c r="CC177">
        <v>86027.95</v>
      </c>
      <c r="CD177" s="17" t="s">
        <v>1272</v>
      </c>
      <c r="CE177" s="21">
        <v>3384388.25</v>
      </c>
      <c r="CF177" s="21">
        <v>2805679.75</v>
      </c>
      <c r="CG177" s="19">
        <v>1861110.38</v>
      </c>
      <c r="CH177" s="19">
        <v>4358583</v>
      </c>
      <c r="CI177" s="21">
        <v>2839325.25</v>
      </c>
      <c r="CJ177" s="21">
        <v>4404130.5</v>
      </c>
      <c r="CK177" s="19">
        <v>3009288</v>
      </c>
      <c r="CL177" s="19">
        <v>2020099.88</v>
      </c>
      <c r="CM177" s="21">
        <v>1295926.25</v>
      </c>
      <c r="CN177" s="21">
        <v>1080197.25</v>
      </c>
      <c r="CO177" s="19">
        <v>1944292.12</v>
      </c>
      <c r="CP177" s="19">
        <v>1993999.75</v>
      </c>
      <c r="CQ177" s="21">
        <v>966208.75</v>
      </c>
      <c r="CR177" s="21">
        <v>993432.81</v>
      </c>
      <c r="CS177" s="19">
        <v>2568018.5</v>
      </c>
      <c r="CT177" s="19">
        <v>2555894</v>
      </c>
      <c r="CU177" s="21">
        <v>1632428.12</v>
      </c>
      <c r="CV177" s="21">
        <v>870967.62</v>
      </c>
      <c r="CW177" s="19">
        <v>479020.47</v>
      </c>
      <c r="CX177" s="19">
        <v>333334.19</v>
      </c>
    </row>
    <row r="178" spans="1:102">
      <c r="A178">
        <v>30976</v>
      </c>
      <c r="B178" t="s">
        <v>394</v>
      </c>
      <c r="C178" t="s">
        <v>1273</v>
      </c>
      <c r="D178" t="s">
        <v>395</v>
      </c>
      <c r="F178" t="s">
        <v>396</v>
      </c>
      <c r="G178">
        <v>402.65600000000001</v>
      </c>
      <c r="H178" t="s">
        <v>104</v>
      </c>
      <c r="I178">
        <v>2</v>
      </c>
      <c r="J178">
        <v>3</v>
      </c>
      <c r="K178">
        <v>0</v>
      </c>
      <c r="L178">
        <v>0</v>
      </c>
      <c r="M178">
        <v>0</v>
      </c>
      <c r="N178">
        <v>-1</v>
      </c>
      <c r="O178">
        <v>7</v>
      </c>
      <c r="P178">
        <v>7</v>
      </c>
      <c r="Q178">
        <v>9</v>
      </c>
      <c r="R178">
        <v>9</v>
      </c>
      <c r="S178">
        <v>9</v>
      </c>
      <c r="T178">
        <v>9</v>
      </c>
      <c r="U178">
        <v>9</v>
      </c>
      <c r="V178">
        <v>8</v>
      </c>
      <c r="W178">
        <v>8</v>
      </c>
      <c r="X178">
        <v>5</v>
      </c>
      <c r="Y178">
        <v>9</v>
      </c>
      <c r="Z178">
        <v>8</v>
      </c>
      <c r="AA178">
        <v>9</v>
      </c>
      <c r="AB178">
        <v>8</v>
      </c>
      <c r="AC178">
        <v>7</v>
      </c>
      <c r="AD178">
        <v>9</v>
      </c>
      <c r="AE178">
        <v>9</v>
      </c>
      <c r="AF178">
        <v>9</v>
      </c>
      <c r="AG178">
        <v>9</v>
      </c>
      <c r="AH178">
        <v>9</v>
      </c>
      <c r="AI178">
        <v>9</v>
      </c>
      <c r="AJ178">
        <v>8</v>
      </c>
      <c r="AK178">
        <v>9</v>
      </c>
      <c r="AL178">
        <v>9</v>
      </c>
      <c r="AM178">
        <v>9</v>
      </c>
      <c r="AN178">
        <v>9</v>
      </c>
      <c r="AO178">
        <v>9</v>
      </c>
      <c r="AP178">
        <v>15</v>
      </c>
      <c r="AQ178">
        <v>14</v>
      </c>
      <c r="AR178">
        <v>10</v>
      </c>
      <c r="AS178">
        <v>19</v>
      </c>
      <c r="AT178">
        <v>7</v>
      </c>
      <c r="AU178">
        <v>19</v>
      </c>
      <c r="AV178">
        <v>10</v>
      </c>
      <c r="AW178">
        <v>7</v>
      </c>
      <c r="AX178">
        <v>15</v>
      </c>
      <c r="AY178">
        <v>15</v>
      </c>
      <c r="AZ178">
        <v>5</v>
      </c>
      <c r="BA178">
        <v>13</v>
      </c>
      <c r="BB178">
        <v>6</v>
      </c>
      <c r="BC178">
        <v>16</v>
      </c>
      <c r="BD178">
        <v>7</v>
      </c>
      <c r="BE178">
        <v>14</v>
      </c>
      <c r="BF178">
        <v>10</v>
      </c>
      <c r="BG178">
        <v>7</v>
      </c>
      <c r="BH178">
        <v>16</v>
      </c>
      <c r="BI178">
        <v>15</v>
      </c>
      <c r="BJ178">
        <v>36364548</v>
      </c>
      <c r="BK178">
        <v>80660856</v>
      </c>
      <c r="BL178">
        <v>4966251</v>
      </c>
      <c r="BM178">
        <v>90241656</v>
      </c>
      <c r="BN178">
        <v>55920480</v>
      </c>
      <c r="BO178">
        <v>104154792</v>
      </c>
      <c r="BP178">
        <v>90478656</v>
      </c>
      <c r="BQ178">
        <v>53102988</v>
      </c>
      <c r="BR178">
        <v>119734160</v>
      </c>
      <c r="BS178">
        <v>95804744</v>
      </c>
      <c r="BT178">
        <v>18276902</v>
      </c>
      <c r="BU178">
        <v>95657336</v>
      </c>
      <c r="BV178">
        <v>44672812</v>
      </c>
      <c r="BW178">
        <v>164186160</v>
      </c>
      <c r="BX178">
        <v>49754016</v>
      </c>
      <c r="BY178">
        <v>95755344</v>
      </c>
      <c r="BZ178">
        <v>76123784</v>
      </c>
      <c r="CA178">
        <v>59727524</v>
      </c>
      <c r="CB178">
        <v>89606928</v>
      </c>
      <c r="CC178">
        <v>85742184</v>
      </c>
      <c r="CD178" s="17" t="s">
        <v>1273</v>
      </c>
      <c r="CE178" s="21">
        <v>59353584</v>
      </c>
      <c r="CF178" s="21">
        <v>93536608</v>
      </c>
      <c r="CG178" s="19">
        <v>120823800</v>
      </c>
      <c r="CH178" s="19">
        <v>65767184</v>
      </c>
      <c r="CI178" s="21">
        <v>55203832</v>
      </c>
      <c r="CJ178" s="21">
        <v>67298544</v>
      </c>
      <c r="CK178" s="19">
        <v>83555984</v>
      </c>
      <c r="CL178" s="19">
        <v>97429328</v>
      </c>
      <c r="CM178" s="21">
        <v>122455424</v>
      </c>
      <c r="CN178" s="21">
        <v>132275272</v>
      </c>
      <c r="CO178" s="19">
        <v>62808124</v>
      </c>
      <c r="CP178" s="19">
        <v>89431368</v>
      </c>
      <c r="CQ178" s="21">
        <v>108690160</v>
      </c>
      <c r="CR178" s="21">
        <v>129756600</v>
      </c>
      <c r="CS178" s="19">
        <v>86533592</v>
      </c>
      <c r="CT178" s="19">
        <v>89611640</v>
      </c>
      <c r="CU178" s="21">
        <v>63210060</v>
      </c>
      <c r="CV178" s="21">
        <v>63536684</v>
      </c>
      <c r="CW178" s="19">
        <v>111380248</v>
      </c>
      <c r="CX178" s="19">
        <v>161174784</v>
      </c>
    </row>
    <row r="179" spans="1:102">
      <c r="A179">
        <v>31084</v>
      </c>
      <c r="B179" t="s">
        <v>484</v>
      </c>
      <c r="C179" t="s">
        <v>1274</v>
      </c>
      <c r="D179" t="s">
        <v>485</v>
      </c>
      <c r="F179" t="s">
        <v>486</v>
      </c>
      <c r="G179">
        <v>200.102</v>
      </c>
      <c r="H179" t="s">
        <v>104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-1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8</v>
      </c>
      <c r="W179">
        <v>8</v>
      </c>
      <c r="X179">
        <v>2</v>
      </c>
      <c r="Y179">
        <v>9</v>
      </c>
      <c r="Z179">
        <v>9</v>
      </c>
      <c r="AA179">
        <v>9</v>
      </c>
      <c r="AB179">
        <v>8</v>
      </c>
      <c r="AC179">
        <v>9</v>
      </c>
      <c r="AD179">
        <v>2</v>
      </c>
      <c r="AE179">
        <v>2</v>
      </c>
      <c r="AF179">
        <v>9</v>
      </c>
      <c r="AG179">
        <v>9</v>
      </c>
      <c r="AH179">
        <v>9</v>
      </c>
      <c r="AI179">
        <v>9</v>
      </c>
      <c r="AJ179">
        <v>9</v>
      </c>
      <c r="AK179">
        <v>9</v>
      </c>
      <c r="AL179">
        <v>8</v>
      </c>
      <c r="AM179">
        <v>9</v>
      </c>
      <c r="AN179">
        <v>3</v>
      </c>
      <c r="AO179">
        <v>4</v>
      </c>
      <c r="AP179">
        <v>2</v>
      </c>
      <c r="AQ179">
        <v>5</v>
      </c>
      <c r="AR179">
        <v>0</v>
      </c>
      <c r="AS179">
        <v>4</v>
      </c>
      <c r="AT179">
        <v>4</v>
      </c>
      <c r="AU179">
        <v>10</v>
      </c>
      <c r="AV179">
        <v>1</v>
      </c>
      <c r="AW179">
        <v>4</v>
      </c>
      <c r="AX179">
        <v>0</v>
      </c>
      <c r="AY179">
        <v>0</v>
      </c>
      <c r="AZ179">
        <v>2</v>
      </c>
      <c r="BA179">
        <v>7</v>
      </c>
      <c r="BB179">
        <v>2</v>
      </c>
      <c r="BC179">
        <v>4</v>
      </c>
      <c r="BD179">
        <v>3</v>
      </c>
      <c r="BE179">
        <v>6</v>
      </c>
      <c r="BF179">
        <v>1</v>
      </c>
      <c r="BG179">
        <v>5</v>
      </c>
      <c r="BH179">
        <v>0</v>
      </c>
      <c r="BI179">
        <v>0</v>
      </c>
      <c r="BJ179">
        <v>3521886</v>
      </c>
      <c r="BK179">
        <v>8543521</v>
      </c>
      <c r="BL179">
        <v>82464.039999999994</v>
      </c>
      <c r="BM179">
        <v>3445324.5</v>
      </c>
      <c r="BN179">
        <v>4840901.5</v>
      </c>
      <c r="BO179">
        <v>15003824</v>
      </c>
      <c r="BP179">
        <v>2144596</v>
      </c>
      <c r="BQ179">
        <v>7322108</v>
      </c>
      <c r="BR179">
        <v>162857.39000000001</v>
      </c>
      <c r="BS179">
        <v>169986.03</v>
      </c>
      <c r="BT179">
        <v>901834.5</v>
      </c>
      <c r="BU179">
        <v>9010353</v>
      </c>
      <c r="BV179">
        <v>2380089</v>
      </c>
      <c r="BW179">
        <v>7072620</v>
      </c>
      <c r="BX179">
        <v>4135721</v>
      </c>
      <c r="BY179">
        <v>9200004</v>
      </c>
      <c r="BZ179">
        <v>1522940.38</v>
      </c>
      <c r="CA179">
        <v>8623205</v>
      </c>
      <c r="CB179">
        <v>215113.8</v>
      </c>
      <c r="CC179">
        <v>103363.42</v>
      </c>
      <c r="CD179" s="17" t="s">
        <v>1274</v>
      </c>
      <c r="CE179" s="21">
        <v>3647078.25</v>
      </c>
      <c r="CF179" s="21">
        <v>3451953.5</v>
      </c>
      <c r="CG179" s="19">
        <v>5994785</v>
      </c>
      <c r="CH179" s="19">
        <v>2917422.75</v>
      </c>
      <c r="CI179" s="21">
        <v>4338805</v>
      </c>
      <c r="CJ179" s="21">
        <v>4616777.5</v>
      </c>
      <c r="CK179" s="19">
        <v>1991117</v>
      </c>
      <c r="CL179" s="19">
        <v>1831372.88</v>
      </c>
      <c r="CM179" s="21">
        <v>215287.69</v>
      </c>
      <c r="CN179" s="21">
        <v>439003.28</v>
      </c>
      <c r="CO179" s="19">
        <v>5782727</v>
      </c>
      <c r="CP179" s="19">
        <v>7429642.5</v>
      </c>
      <c r="CQ179" s="21">
        <v>4202789.5</v>
      </c>
      <c r="CR179" s="21">
        <v>4536669</v>
      </c>
      <c r="CS179" s="19">
        <v>10358025</v>
      </c>
      <c r="CT179" s="19">
        <v>8084882.5</v>
      </c>
      <c r="CU179" s="21">
        <v>7350495</v>
      </c>
      <c r="CV179" s="21">
        <v>7059853.5</v>
      </c>
      <c r="CW179" s="19">
        <v>477887.88</v>
      </c>
      <c r="CX179" s="19">
        <v>243577.08</v>
      </c>
    </row>
    <row r="180" spans="1:102">
      <c r="A180">
        <v>31026</v>
      </c>
      <c r="B180" t="s">
        <v>527</v>
      </c>
      <c r="C180" t="s">
        <v>1275</v>
      </c>
      <c r="D180" t="s">
        <v>528</v>
      </c>
      <c r="F180" t="s">
        <v>529</v>
      </c>
      <c r="G180">
        <v>160.13499999999999</v>
      </c>
      <c r="H180" t="s">
        <v>104</v>
      </c>
      <c r="I180">
        <v>2</v>
      </c>
      <c r="J180">
        <v>2</v>
      </c>
      <c r="K180">
        <v>0</v>
      </c>
      <c r="L180">
        <v>0</v>
      </c>
      <c r="M180">
        <v>0</v>
      </c>
      <c r="N180">
        <v>-1</v>
      </c>
      <c r="O180">
        <v>6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2</v>
      </c>
      <c r="W180">
        <v>6</v>
      </c>
      <c r="X180">
        <v>2</v>
      </c>
      <c r="Y180">
        <v>6</v>
      </c>
      <c r="Z180">
        <v>5</v>
      </c>
      <c r="AA180">
        <v>6</v>
      </c>
      <c r="AB180">
        <v>1</v>
      </c>
      <c r="AC180">
        <v>6</v>
      </c>
      <c r="AD180">
        <v>1</v>
      </c>
      <c r="AE180">
        <v>2</v>
      </c>
      <c r="AF180">
        <v>6</v>
      </c>
      <c r="AG180">
        <v>6</v>
      </c>
      <c r="AH180">
        <v>3</v>
      </c>
      <c r="AI180">
        <v>6</v>
      </c>
      <c r="AJ180">
        <v>5</v>
      </c>
      <c r="AK180">
        <v>6</v>
      </c>
      <c r="AL180">
        <v>4</v>
      </c>
      <c r="AM180">
        <v>6</v>
      </c>
      <c r="AN180">
        <v>2</v>
      </c>
      <c r="AO180">
        <v>3</v>
      </c>
      <c r="AP180">
        <v>0</v>
      </c>
      <c r="AQ180">
        <v>2</v>
      </c>
      <c r="AR180">
        <v>0</v>
      </c>
      <c r="AS180">
        <v>1</v>
      </c>
      <c r="AT180">
        <v>0</v>
      </c>
      <c r="AU180">
        <v>5</v>
      </c>
      <c r="AV180">
        <v>0</v>
      </c>
      <c r="AW180">
        <v>3</v>
      </c>
      <c r="AX180">
        <v>0</v>
      </c>
      <c r="AY180">
        <v>0</v>
      </c>
      <c r="AZ180">
        <v>0</v>
      </c>
      <c r="BA180">
        <v>4</v>
      </c>
      <c r="BB180">
        <v>0</v>
      </c>
      <c r="BC180">
        <v>4</v>
      </c>
      <c r="BD180">
        <v>0</v>
      </c>
      <c r="BE180">
        <v>4</v>
      </c>
      <c r="BF180">
        <v>0</v>
      </c>
      <c r="BG180">
        <v>3</v>
      </c>
      <c r="BH180">
        <v>0</v>
      </c>
      <c r="BI180">
        <v>0</v>
      </c>
      <c r="BJ180">
        <v>357256.19</v>
      </c>
      <c r="BK180">
        <v>6873202</v>
      </c>
      <c r="BL180">
        <v>62761.72</v>
      </c>
      <c r="BM180">
        <v>14606689</v>
      </c>
      <c r="BN180">
        <v>35367520</v>
      </c>
      <c r="BO180">
        <v>10921965</v>
      </c>
      <c r="BP180">
        <v>16277153</v>
      </c>
      <c r="BQ180">
        <v>34192108</v>
      </c>
      <c r="BR180">
        <v>6664118.5</v>
      </c>
      <c r="BS180">
        <v>6215084.5</v>
      </c>
      <c r="BT180">
        <v>424820.75</v>
      </c>
      <c r="BU180">
        <v>6211980</v>
      </c>
      <c r="BV180">
        <v>1718551.88</v>
      </c>
      <c r="BW180">
        <v>49757744</v>
      </c>
      <c r="BX180">
        <v>54913500</v>
      </c>
      <c r="BY180">
        <v>6983428</v>
      </c>
      <c r="BZ180">
        <v>795075.12</v>
      </c>
      <c r="CA180">
        <v>43621888</v>
      </c>
      <c r="CB180">
        <v>5344482</v>
      </c>
      <c r="CC180">
        <v>465804.88</v>
      </c>
      <c r="CD180" s="17" t="s">
        <v>1275</v>
      </c>
      <c r="CE180" s="21">
        <v>281118.09000000003</v>
      </c>
      <c r="CF180" s="21">
        <v>4217759</v>
      </c>
      <c r="CG180" s="19">
        <v>12133091</v>
      </c>
      <c r="CH180" s="19">
        <v>1893579.25</v>
      </c>
      <c r="CI180" s="21">
        <v>6828156.5</v>
      </c>
      <c r="CJ180" s="21">
        <v>8826038</v>
      </c>
      <c r="CK180" s="19">
        <v>1014783.62</v>
      </c>
      <c r="CL180" s="19">
        <v>2570730.25</v>
      </c>
      <c r="CM180" s="21">
        <v>636170.43999999994</v>
      </c>
      <c r="CN180" s="21">
        <v>1224526.5</v>
      </c>
      <c r="CO180" s="19">
        <v>20226396</v>
      </c>
      <c r="CP180" s="19">
        <v>21919378</v>
      </c>
      <c r="CQ180" s="21">
        <v>16565311</v>
      </c>
      <c r="CR180" s="21">
        <v>17496268</v>
      </c>
      <c r="CS180" s="19">
        <v>30329392</v>
      </c>
      <c r="CT180" s="19">
        <v>25491040</v>
      </c>
      <c r="CU180" s="21">
        <v>28406748</v>
      </c>
      <c r="CV180" s="21">
        <v>32004854</v>
      </c>
      <c r="CW180" s="19">
        <v>1899578.5</v>
      </c>
      <c r="CX180" s="19">
        <v>1064382</v>
      </c>
    </row>
    <row r="181" spans="1:102">
      <c r="A181">
        <v>31129</v>
      </c>
      <c r="B181" t="s">
        <v>1083</v>
      </c>
      <c r="C181" t="s">
        <v>1276</v>
      </c>
      <c r="D181" t="s">
        <v>1084</v>
      </c>
      <c r="F181" t="s">
        <v>1085</v>
      </c>
      <c r="G181">
        <v>10.137</v>
      </c>
      <c r="H181" t="s">
        <v>104</v>
      </c>
      <c r="I181">
        <v>2</v>
      </c>
      <c r="J181">
        <v>2</v>
      </c>
      <c r="K181">
        <v>0</v>
      </c>
      <c r="L181">
        <v>0</v>
      </c>
      <c r="M181">
        <v>0</v>
      </c>
      <c r="N181">
        <v>-1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I181">
        <v>1</v>
      </c>
      <c r="AK181">
        <v>1</v>
      </c>
      <c r="AL181">
        <v>1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202351.09</v>
      </c>
      <c r="BK181">
        <v>515117.06</v>
      </c>
      <c r="BL181">
        <v>33401.11</v>
      </c>
      <c r="BM181">
        <v>334909.75</v>
      </c>
      <c r="BO181">
        <v>300757.75</v>
      </c>
      <c r="BP181">
        <v>367329.56</v>
      </c>
      <c r="BQ181">
        <v>366195.75</v>
      </c>
      <c r="BR181">
        <v>242141.16</v>
      </c>
      <c r="BS181">
        <v>331488.15999999997</v>
      </c>
      <c r="BT181">
        <v>98939.69</v>
      </c>
      <c r="BU181">
        <v>300808.84000000003</v>
      </c>
      <c r="BW181">
        <v>534776.12</v>
      </c>
      <c r="BY181">
        <v>320927.90999999997</v>
      </c>
      <c r="BZ181">
        <v>251000.3</v>
      </c>
      <c r="CB181">
        <v>207232.7</v>
      </c>
      <c r="CC181">
        <v>170924.44</v>
      </c>
      <c r="CD181" s="17" t="s">
        <v>1276</v>
      </c>
      <c r="CE181" s="21">
        <v>202351.09</v>
      </c>
      <c r="CF181" s="21">
        <v>350489.34</v>
      </c>
      <c r="CG181" s="19">
        <v>3845890.75</v>
      </c>
      <c r="CH181" s="19">
        <v>384147.09</v>
      </c>
      <c r="CI181" s="21">
        <v>268122.19</v>
      </c>
      <c r="CJ181" s="21">
        <v>225422.34</v>
      </c>
      <c r="CK181" s="19">
        <v>266619.38</v>
      </c>
      <c r="CL181" s="19">
        <v>236028.28</v>
      </c>
      <c r="CM181" s="21">
        <v>232278.03</v>
      </c>
      <c r="CN181" s="21">
        <v>227319.34</v>
      </c>
      <c r="CO181" s="19">
        <v>278301.84000000003</v>
      </c>
      <c r="CP181" s="19">
        <v>207715.95</v>
      </c>
      <c r="CQ181" s="21">
        <v>347131.19</v>
      </c>
      <c r="CR181" s="21">
        <v>302406.44</v>
      </c>
      <c r="CS181" s="19">
        <v>181609.92</v>
      </c>
      <c r="CT181" s="19">
        <v>234393.34</v>
      </c>
      <c r="CU181" s="21">
        <v>297855.25</v>
      </c>
      <c r="CV181" s="21">
        <v>245732.98</v>
      </c>
      <c r="CW181" s="19">
        <v>280338.84000000003</v>
      </c>
      <c r="CX181" s="19">
        <v>223555.02</v>
      </c>
    </row>
    <row r="182" spans="1:102">
      <c r="A182">
        <v>31085</v>
      </c>
      <c r="B182" t="s">
        <v>696</v>
      </c>
      <c r="C182" t="s">
        <v>1277</v>
      </c>
      <c r="D182" t="s">
        <v>697</v>
      </c>
      <c r="F182" t="s">
        <v>698</v>
      </c>
      <c r="G182">
        <v>29.196999999999999</v>
      </c>
      <c r="H182" t="s">
        <v>104</v>
      </c>
      <c r="I182">
        <v>2</v>
      </c>
      <c r="J182">
        <v>5</v>
      </c>
      <c r="K182">
        <v>0</v>
      </c>
      <c r="L182">
        <v>0</v>
      </c>
      <c r="M182">
        <v>0</v>
      </c>
      <c r="N182">
        <v>-1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2</v>
      </c>
      <c r="AQ182">
        <v>2</v>
      </c>
      <c r="AR182">
        <v>0</v>
      </c>
      <c r="AS182">
        <v>1</v>
      </c>
      <c r="AT182">
        <v>2</v>
      </c>
      <c r="AU182">
        <v>2</v>
      </c>
      <c r="AV182">
        <v>2</v>
      </c>
      <c r="AW182">
        <v>2</v>
      </c>
      <c r="AX182">
        <v>2</v>
      </c>
      <c r="AY182">
        <v>2</v>
      </c>
      <c r="AZ182">
        <v>1</v>
      </c>
      <c r="BA182">
        <v>2</v>
      </c>
      <c r="BB182">
        <v>1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2</v>
      </c>
      <c r="BJ182">
        <v>2034930.38</v>
      </c>
      <c r="BK182">
        <v>3731247.5</v>
      </c>
      <c r="BM182">
        <v>1025635.75</v>
      </c>
      <c r="BN182">
        <v>3911425.25</v>
      </c>
      <c r="BO182">
        <v>3579026.75</v>
      </c>
      <c r="BP182">
        <v>2506832.5</v>
      </c>
      <c r="BQ182">
        <v>2330749.5</v>
      </c>
      <c r="BR182">
        <v>1172952.5</v>
      </c>
      <c r="BS182">
        <v>1048965.5</v>
      </c>
      <c r="BT182">
        <v>418369.06</v>
      </c>
      <c r="BU182">
        <v>3180531.5</v>
      </c>
      <c r="BV182">
        <v>2750689.5</v>
      </c>
      <c r="BW182">
        <v>2267464</v>
      </c>
      <c r="BX182">
        <v>2988263</v>
      </c>
      <c r="BY182">
        <v>2921794.75</v>
      </c>
      <c r="BZ182">
        <v>2351518</v>
      </c>
      <c r="CA182">
        <v>3281915</v>
      </c>
      <c r="CB182">
        <v>1432332.88</v>
      </c>
      <c r="CC182">
        <v>1080009.8799999999</v>
      </c>
      <c r="CD182" s="17" t="s">
        <v>1277</v>
      </c>
      <c r="CE182" s="21">
        <v>2034930.38</v>
      </c>
      <c r="CF182" s="21">
        <v>1482053.38</v>
      </c>
      <c r="CG182" s="19">
        <v>1861110.38</v>
      </c>
      <c r="CH182" s="19">
        <v>2742112.25</v>
      </c>
      <c r="CI182" s="21">
        <v>2851984.75</v>
      </c>
      <c r="CJ182" s="21">
        <v>2825611.5</v>
      </c>
      <c r="CK182" s="19">
        <v>1819538.12</v>
      </c>
      <c r="CL182" s="19">
        <v>2211251.25</v>
      </c>
      <c r="CM182" s="21">
        <v>1125174.6200000001</v>
      </c>
      <c r="CN182" s="21">
        <v>1571166</v>
      </c>
      <c r="CO182" s="19">
        <v>2015877.75</v>
      </c>
      <c r="CP182" s="19">
        <v>2196235.75</v>
      </c>
      <c r="CQ182" s="21">
        <v>1063063</v>
      </c>
      <c r="CR182" s="21">
        <v>1282210.8799999999</v>
      </c>
      <c r="CS182" s="19">
        <v>2161163.75</v>
      </c>
      <c r="CT182" s="19">
        <v>2133966</v>
      </c>
      <c r="CU182" s="21">
        <v>1895778.38</v>
      </c>
      <c r="CV182" s="21">
        <v>2394415.5</v>
      </c>
      <c r="CW182" s="19">
        <v>887107.88</v>
      </c>
      <c r="CX182" s="19">
        <v>1412563.5</v>
      </c>
    </row>
    <row r="183" spans="1:102">
      <c r="A183">
        <v>31014</v>
      </c>
      <c r="B183" t="s">
        <v>557</v>
      </c>
      <c r="C183" t="s">
        <v>1278</v>
      </c>
      <c r="D183" t="s">
        <v>558</v>
      </c>
      <c r="F183" t="s">
        <v>559</v>
      </c>
      <c r="G183">
        <v>117.15300000000001</v>
      </c>
      <c r="H183" t="s">
        <v>104</v>
      </c>
      <c r="I183">
        <v>2</v>
      </c>
      <c r="J183">
        <v>21</v>
      </c>
      <c r="K183">
        <v>0</v>
      </c>
      <c r="L183">
        <v>0</v>
      </c>
      <c r="M183">
        <v>0</v>
      </c>
      <c r="N183">
        <v>-1</v>
      </c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4</v>
      </c>
      <c r="W183">
        <v>4</v>
      </c>
      <c r="X183">
        <v>3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6</v>
      </c>
      <c r="AR183">
        <v>0</v>
      </c>
      <c r="AS183">
        <v>3</v>
      </c>
      <c r="AT183">
        <v>6</v>
      </c>
      <c r="AU183">
        <v>9</v>
      </c>
      <c r="AV183">
        <v>3</v>
      </c>
      <c r="AW183">
        <v>3</v>
      </c>
      <c r="AX183">
        <v>2</v>
      </c>
      <c r="AY183">
        <v>4</v>
      </c>
      <c r="AZ183">
        <v>1</v>
      </c>
      <c r="BA183">
        <v>5</v>
      </c>
      <c r="BB183">
        <v>5</v>
      </c>
      <c r="BC183">
        <v>4</v>
      </c>
      <c r="BD183">
        <v>3</v>
      </c>
      <c r="BE183">
        <v>4</v>
      </c>
      <c r="BF183">
        <v>2</v>
      </c>
      <c r="BG183">
        <v>3</v>
      </c>
      <c r="BH183">
        <v>3</v>
      </c>
      <c r="BI183">
        <v>3</v>
      </c>
      <c r="BJ183">
        <v>16157625</v>
      </c>
      <c r="BK183">
        <v>38801684</v>
      </c>
      <c r="BL183">
        <v>33741.300000000003</v>
      </c>
      <c r="BM183">
        <v>16661074</v>
      </c>
      <c r="BN183">
        <v>48549428</v>
      </c>
      <c r="BO183">
        <v>41493452</v>
      </c>
      <c r="BP183">
        <v>41224112</v>
      </c>
      <c r="BQ183">
        <v>45425596</v>
      </c>
      <c r="BR183">
        <v>19127184</v>
      </c>
      <c r="BS183">
        <v>19009512</v>
      </c>
      <c r="BT183">
        <v>4992162.5</v>
      </c>
      <c r="BU183">
        <v>34816168</v>
      </c>
      <c r="BV183">
        <v>35563828</v>
      </c>
      <c r="BW183">
        <v>36408952</v>
      </c>
      <c r="BX183">
        <v>38858744</v>
      </c>
      <c r="BY183">
        <v>37661460</v>
      </c>
      <c r="BZ183">
        <v>32273386</v>
      </c>
      <c r="CA183">
        <v>47840248</v>
      </c>
      <c r="CB183">
        <v>16031229</v>
      </c>
      <c r="CC183">
        <v>10805646</v>
      </c>
      <c r="CD183" s="17" t="s">
        <v>1278</v>
      </c>
      <c r="CE183" s="21">
        <v>1975100.5</v>
      </c>
      <c r="CF183" s="21">
        <v>17269196</v>
      </c>
      <c r="CG183" s="19">
        <v>8609030</v>
      </c>
      <c r="CH183" s="19">
        <v>36621844</v>
      </c>
      <c r="CI183" s="21">
        <v>32394712</v>
      </c>
      <c r="CJ183" s="21">
        <v>40902180</v>
      </c>
      <c r="CK183" s="19">
        <v>28839962</v>
      </c>
      <c r="CL183" s="19">
        <v>35629168</v>
      </c>
      <c r="CM183" s="21">
        <v>17006660</v>
      </c>
      <c r="CN183" s="21">
        <v>19807438</v>
      </c>
      <c r="CO183" s="19">
        <v>13665520</v>
      </c>
      <c r="CP183" s="19">
        <v>27171478</v>
      </c>
      <c r="CQ183" s="21">
        <v>16649616</v>
      </c>
      <c r="CR183" s="21">
        <v>22895512</v>
      </c>
      <c r="CS183" s="19">
        <v>24046542</v>
      </c>
      <c r="CT183" s="19">
        <v>28778260</v>
      </c>
      <c r="CU183" s="21">
        <v>40576416</v>
      </c>
      <c r="CV183" s="21">
        <v>38595140</v>
      </c>
      <c r="CW183" s="19">
        <v>15198295</v>
      </c>
      <c r="CX183" s="19">
        <v>17984514</v>
      </c>
    </row>
    <row r="184" spans="1:102">
      <c r="A184">
        <v>30993</v>
      </c>
      <c r="B184" t="s">
        <v>448</v>
      </c>
      <c r="C184" t="s">
        <v>1279</v>
      </c>
      <c r="D184" t="s">
        <v>449</v>
      </c>
      <c r="E184" t="s">
        <v>450</v>
      </c>
      <c r="F184" t="s">
        <v>451</v>
      </c>
      <c r="G184">
        <v>235.92500000000001</v>
      </c>
      <c r="H184" t="s">
        <v>104</v>
      </c>
      <c r="I184">
        <v>2</v>
      </c>
      <c r="J184">
        <v>16</v>
      </c>
      <c r="K184">
        <v>5</v>
      </c>
      <c r="L184">
        <v>0</v>
      </c>
      <c r="M184">
        <v>0</v>
      </c>
      <c r="N184">
        <v>-1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2</v>
      </c>
      <c r="Y184">
        <v>10</v>
      </c>
      <c r="Z184">
        <v>9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9</v>
      </c>
      <c r="AK184">
        <v>10</v>
      </c>
      <c r="AL184">
        <v>10</v>
      </c>
      <c r="AM184">
        <v>9</v>
      </c>
      <c r="AN184">
        <v>10</v>
      </c>
      <c r="AO184">
        <v>10</v>
      </c>
      <c r="AP184">
        <v>4</v>
      </c>
      <c r="AQ184">
        <v>7</v>
      </c>
      <c r="AR184">
        <v>0</v>
      </c>
      <c r="AS184">
        <v>8</v>
      </c>
      <c r="AT184">
        <v>3</v>
      </c>
      <c r="AU184">
        <v>11</v>
      </c>
      <c r="AV184">
        <v>5</v>
      </c>
      <c r="AW184">
        <v>3</v>
      </c>
      <c r="AX184">
        <v>8</v>
      </c>
      <c r="AY184">
        <v>10</v>
      </c>
      <c r="AZ184">
        <v>1</v>
      </c>
      <c r="BA184">
        <v>5</v>
      </c>
      <c r="BB184">
        <v>2</v>
      </c>
      <c r="BC184">
        <v>9</v>
      </c>
      <c r="BD184">
        <v>3</v>
      </c>
      <c r="BE184">
        <v>10</v>
      </c>
      <c r="BF184">
        <v>7</v>
      </c>
      <c r="BG184">
        <v>3</v>
      </c>
      <c r="BH184">
        <v>9</v>
      </c>
      <c r="BI184">
        <v>9</v>
      </c>
      <c r="BJ184">
        <v>7672934</v>
      </c>
      <c r="BK184">
        <v>16257698</v>
      </c>
      <c r="BL184">
        <v>35791.879999999997</v>
      </c>
      <c r="BM184">
        <v>12677985</v>
      </c>
      <c r="BN184">
        <v>7630290</v>
      </c>
      <c r="BO184">
        <v>16184248</v>
      </c>
      <c r="BP184">
        <v>12997889</v>
      </c>
      <c r="BQ184">
        <v>7224263</v>
      </c>
      <c r="BR184">
        <v>15560399</v>
      </c>
      <c r="BS184">
        <v>13581194</v>
      </c>
      <c r="BT184">
        <v>2163054.25</v>
      </c>
      <c r="BU184">
        <v>14858416</v>
      </c>
      <c r="BV184">
        <v>6447125.5</v>
      </c>
      <c r="BW184">
        <v>23139696</v>
      </c>
      <c r="BX184">
        <v>6202941.5</v>
      </c>
      <c r="BY184">
        <v>11917937</v>
      </c>
      <c r="BZ184">
        <v>10962773</v>
      </c>
      <c r="CA184">
        <v>7063875</v>
      </c>
      <c r="CB184">
        <v>12691544</v>
      </c>
      <c r="CC184">
        <v>12257241</v>
      </c>
      <c r="CD184" s="17" t="s">
        <v>1279</v>
      </c>
      <c r="CE184" s="21">
        <v>9696333</v>
      </c>
      <c r="CF184" s="21">
        <v>6700149</v>
      </c>
      <c r="CG184" s="19">
        <v>7201239</v>
      </c>
      <c r="CH184" s="19">
        <v>6728421</v>
      </c>
      <c r="CI184" s="21">
        <v>6490418</v>
      </c>
      <c r="CJ184" s="21">
        <v>6838301</v>
      </c>
      <c r="CK184" s="19">
        <v>9696333</v>
      </c>
      <c r="CL184" s="19">
        <v>10798486</v>
      </c>
      <c r="CM184" s="21">
        <v>14444587</v>
      </c>
      <c r="CN184" s="21">
        <v>12664408</v>
      </c>
      <c r="CO184" s="19">
        <v>9430605</v>
      </c>
      <c r="CP184" s="19">
        <v>10324976</v>
      </c>
      <c r="CQ184" s="21">
        <v>12912858</v>
      </c>
      <c r="CR184" s="21">
        <v>12751837</v>
      </c>
      <c r="CS184" s="19">
        <v>9737663</v>
      </c>
      <c r="CT184" s="19">
        <v>9391265</v>
      </c>
      <c r="CU184" s="21">
        <v>6071717</v>
      </c>
      <c r="CV184" s="21">
        <v>5968726.5</v>
      </c>
      <c r="CW184" s="19">
        <v>11310003</v>
      </c>
      <c r="CX184" s="19">
        <v>13718304</v>
      </c>
    </row>
    <row r="185" spans="1:102">
      <c r="A185">
        <v>31086</v>
      </c>
      <c r="B185" t="s">
        <v>119</v>
      </c>
      <c r="C185" t="s">
        <v>1280</v>
      </c>
      <c r="D185" t="s">
        <v>120</v>
      </c>
      <c r="E185" t="s">
        <v>121</v>
      </c>
      <c r="F185" t="s">
        <v>122</v>
      </c>
      <c r="G185">
        <v>2196.877</v>
      </c>
      <c r="H185" t="s">
        <v>104</v>
      </c>
      <c r="I185">
        <v>2</v>
      </c>
      <c r="J185">
        <v>3</v>
      </c>
      <c r="K185">
        <v>7</v>
      </c>
      <c r="L185">
        <v>0</v>
      </c>
      <c r="M185">
        <v>0</v>
      </c>
      <c r="N185">
        <v>-1</v>
      </c>
      <c r="O185">
        <v>52</v>
      </c>
      <c r="P185">
        <v>52</v>
      </c>
      <c r="Q185">
        <v>56</v>
      </c>
      <c r="R185">
        <v>56</v>
      </c>
      <c r="S185">
        <v>56</v>
      </c>
      <c r="T185">
        <v>56</v>
      </c>
      <c r="U185">
        <v>56</v>
      </c>
      <c r="V185">
        <v>54</v>
      </c>
      <c r="W185">
        <v>56</v>
      </c>
      <c r="X185">
        <v>39</v>
      </c>
      <c r="Y185">
        <v>54</v>
      </c>
      <c r="Z185">
        <v>55</v>
      </c>
      <c r="AA185">
        <v>55</v>
      </c>
      <c r="AB185">
        <v>53</v>
      </c>
      <c r="AC185">
        <v>56</v>
      </c>
      <c r="AD185">
        <v>56</v>
      </c>
      <c r="AE185">
        <v>56</v>
      </c>
      <c r="AF185">
        <v>55</v>
      </c>
      <c r="AG185">
        <v>56</v>
      </c>
      <c r="AH185">
        <v>55</v>
      </c>
      <c r="AI185">
        <v>54</v>
      </c>
      <c r="AJ185">
        <v>56</v>
      </c>
      <c r="AK185">
        <v>56</v>
      </c>
      <c r="AL185">
        <v>53</v>
      </c>
      <c r="AM185">
        <v>56</v>
      </c>
      <c r="AN185">
        <v>56</v>
      </c>
      <c r="AO185">
        <v>56</v>
      </c>
      <c r="AP185">
        <v>125</v>
      </c>
      <c r="AQ185">
        <v>89</v>
      </c>
      <c r="AR185">
        <v>5</v>
      </c>
      <c r="AS185">
        <v>46</v>
      </c>
      <c r="AT185">
        <v>82</v>
      </c>
      <c r="AU185">
        <v>71</v>
      </c>
      <c r="AV185">
        <v>61</v>
      </c>
      <c r="AW185">
        <v>82</v>
      </c>
      <c r="AX185">
        <v>84</v>
      </c>
      <c r="AY185">
        <v>101</v>
      </c>
      <c r="AZ185">
        <v>54</v>
      </c>
      <c r="BA185">
        <v>82</v>
      </c>
      <c r="BB185">
        <v>57</v>
      </c>
      <c r="BC185">
        <v>64</v>
      </c>
      <c r="BD185">
        <v>80</v>
      </c>
      <c r="BE185">
        <v>62</v>
      </c>
      <c r="BF185">
        <v>59</v>
      </c>
      <c r="BG185">
        <v>87</v>
      </c>
      <c r="BH185">
        <v>86</v>
      </c>
      <c r="BI185">
        <v>74</v>
      </c>
      <c r="BJ185">
        <v>1196130048</v>
      </c>
      <c r="BK185">
        <v>1504612992</v>
      </c>
      <c r="BL185">
        <v>5871350.5</v>
      </c>
      <c r="BM185">
        <v>489780640</v>
      </c>
      <c r="BN185">
        <v>1455166720</v>
      </c>
      <c r="BO185">
        <v>752661504</v>
      </c>
      <c r="BP185">
        <v>923388480</v>
      </c>
      <c r="BQ185">
        <v>1315982720</v>
      </c>
      <c r="BR185">
        <v>972022592</v>
      </c>
      <c r="BS185">
        <v>861259328</v>
      </c>
      <c r="BT185">
        <v>286537536</v>
      </c>
      <c r="BU185">
        <v>1214601856</v>
      </c>
      <c r="BV185">
        <v>931551296</v>
      </c>
      <c r="BW185">
        <v>864907520</v>
      </c>
      <c r="BX185">
        <v>1203443072</v>
      </c>
      <c r="BY185">
        <v>668440384</v>
      </c>
      <c r="BZ185">
        <v>887730816</v>
      </c>
      <c r="CA185">
        <v>1567938432</v>
      </c>
      <c r="CB185">
        <v>909533056</v>
      </c>
      <c r="CC185">
        <v>702169408</v>
      </c>
      <c r="CD185" s="17" t="s">
        <v>1280</v>
      </c>
      <c r="CE185" s="21">
        <v>1378062208</v>
      </c>
      <c r="CF185" s="21">
        <v>1245730816</v>
      </c>
      <c r="CG185" s="19">
        <v>437835360</v>
      </c>
      <c r="CH185" s="19">
        <v>593030976</v>
      </c>
      <c r="CI185" s="21">
        <v>1122224384</v>
      </c>
      <c r="CJ185" s="21">
        <v>1148539776</v>
      </c>
      <c r="CK185" s="19">
        <v>525719296</v>
      </c>
      <c r="CL185" s="19">
        <v>525843264</v>
      </c>
      <c r="CM185" s="21">
        <v>1185205376</v>
      </c>
      <c r="CN185" s="21">
        <v>1215494784</v>
      </c>
      <c r="CO185" s="19">
        <v>931754944</v>
      </c>
      <c r="CP185" s="19">
        <v>929838272</v>
      </c>
      <c r="CQ185" s="21">
        <v>364838432</v>
      </c>
      <c r="CR185" s="21">
        <v>400885920</v>
      </c>
      <c r="CS185" s="19">
        <v>520908256</v>
      </c>
      <c r="CT185" s="19">
        <v>526549632</v>
      </c>
      <c r="CU185" s="21">
        <v>1194523520</v>
      </c>
      <c r="CV185" s="21">
        <v>1251450752</v>
      </c>
      <c r="CW185" s="19">
        <v>1049312128</v>
      </c>
      <c r="CX185" s="19">
        <v>1356155776</v>
      </c>
    </row>
    <row r="186" spans="1:102">
      <c r="A186">
        <v>30943</v>
      </c>
      <c r="B186" t="s">
        <v>224</v>
      </c>
      <c r="C186" t="s">
        <v>1281</v>
      </c>
      <c r="D186" t="s">
        <v>225</v>
      </c>
      <c r="E186" t="s">
        <v>226</v>
      </c>
      <c r="F186" t="s">
        <v>227</v>
      </c>
      <c r="G186">
        <v>879.44899999999996</v>
      </c>
      <c r="H186" t="s">
        <v>104</v>
      </c>
      <c r="I186">
        <v>2</v>
      </c>
      <c r="J186">
        <v>3</v>
      </c>
      <c r="K186">
        <v>18</v>
      </c>
      <c r="L186">
        <v>0</v>
      </c>
      <c r="M186">
        <v>0</v>
      </c>
      <c r="N186">
        <v>-1</v>
      </c>
      <c r="O186">
        <v>25</v>
      </c>
      <c r="P186">
        <v>25</v>
      </c>
      <c r="Q186">
        <v>25</v>
      </c>
      <c r="R186">
        <v>25</v>
      </c>
      <c r="S186">
        <v>25</v>
      </c>
      <c r="T186">
        <v>25</v>
      </c>
      <c r="U186">
        <v>25</v>
      </c>
      <c r="V186">
        <v>21</v>
      </c>
      <c r="W186">
        <v>23</v>
      </c>
      <c r="X186">
        <v>7</v>
      </c>
      <c r="Y186">
        <v>22</v>
      </c>
      <c r="Z186">
        <v>24</v>
      </c>
      <c r="AA186">
        <v>25</v>
      </c>
      <c r="AB186">
        <v>23</v>
      </c>
      <c r="AC186">
        <v>25</v>
      </c>
      <c r="AD186">
        <v>25</v>
      </c>
      <c r="AE186">
        <v>25</v>
      </c>
      <c r="AF186">
        <v>25</v>
      </c>
      <c r="AG186">
        <v>24</v>
      </c>
      <c r="AH186">
        <v>22</v>
      </c>
      <c r="AI186">
        <v>23</v>
      </c>
      <c r="AJ186">
        <v>24</v>
      </c>
      <c r="AK186">
        <v>24</v>
      </c>
      <c r="AL186">
        <v>20</v>
      </c>
      <c r="AM186">
        <v>24</v>
      </c>
      <c r="AN186">
        <v>24</v>
      </c>
      <c r="AO186">
        <v>23</v>
      </c>
      <c r="AP186">
        <v>32</v>
      </c>
      <c r="AQ186">
        <v>26</v>
      </c>
      <c r="AR186">
        <v>12</v>
      </c>
      <c r="AS186">
        <v>14</v>
      </c>
      <c r="AT186">
        <v>26</v>
      </c>
      <c r="AU186">
        <v>21</v>
      </c>
      <c r="AV186">
        <v>16</v>
      </c>
      <c r="AW186">
        <v>27</v>
      </c>
      <c r="AX186">
        <v>29</v>
      </c>
      <c r="AY186">
        <v>30</v>
      </c>
      <c r="AZ186">
        <v>17</v>
      </c>
      <c r="BA186">
        <v>25</v>
      </c>
      <c r="BB186">
        <v>12</v>
      </c>
      <c r="BC186">
        <v>15</v>
      </c>
      <c r="BD186">
        <v>23</v>
      </c>
      <c r="BE186">
        <v>20</v>
      </c>
      <c r="BF186">
        <v>13</v>
      </c>
      <c r="BG186">
        <v>22</v>
      </c>
      <c r="BH186">
        <v>26</v>
      </c>
      <c r="BI186">
        <v>26</v>
      </c>
      <c r="BJ186">
        <v>77629072</v>
      </c>
      <c r="BK186">
        <v>97038944</v>
      </c>
      <c r="BL186">
        <v>2754688.5</v>
      </c>
      <c r="BM186">
        <v>22340004</v>
      </c>
      <c r="BN186">
        <v>95467232</v>
      </c>
      <c r="BO186">
        <v>53436048</v>
      </c>
      <c r="BP186">
        <v>36290512</v>
      </c>
      <c r="BQ186">
        <v>90994936</v>
      </c>
      <c r="BR186">
        <v>103361984</v>
      </c>
      <c r="BS186">
        <v>97490888</v>
      </c>
      <c r="BT186">
        <v>27429586</v>
      </c>
      <c r="BU186">
        <v>89738568</v>
      </c>
      <c r="BV186">
        <v>33660472</v>
      </c>
      <c r="BW186">
        <v>36918400</v>
      </c>
      <c r="BX186">
        <v>85820904</v>
      </c>
      <c r="BY186">
        <v>43236368</v>
      </c>
      <c r="BZ186">
        <v>33776492</v>
      </c>
      <c r="CA186">
        <v>105480808</v>
      </c>
      <c r="CB186">
        <v>79188464</v>
      </c>
      <c r="CC186">
        <v>68832440</v>
      </c>
      <c r="CD186" s="17" t="s">
        <v>1281</v>
      </c>
      <c r="CE186" s="21">
        <v>133345320</v>
      </c>
      <c r="CF186" s="21">
        <v>145059488</v>
      </c>
      <c r="CG186" s="19">
        <v>37601336</v>
      </c>
      <c r="CH186" s="19">
        <v>52955976</v>
      </c>
      <c r="CI186" s="21">
        <v>111887608</v>
      </c>
      <c r="CJ186" s="21">
        <v>123308264</v>
      </c>
      <c r="CK186" s="19">
        <v>43196500</v>
      </c>
      <c r="CL186" s="19">
        <v>49557724</v>
      </c>
      <c r="CM186" s="21">
        <v>140963120</v>
      </c>
      <c r="CN186" s="21">
        <v>144526640</v>
      </c>
      <c r="CO186" s="19">
        <v>87393392</v>
      </c>
      <c r="CP186" s="19">
        <v>96375616</v>
      </c>
      <c r="CQ186" s="21">
        <v>35361176</v>
      </c>
      <c r="CR186" s="21">
        <v>36115916</v>
      </c>
      <c r="CS186" s="19">
        <v>53807304</v>
      </c>
      <c r="CT186" s="19">
        <v>53653780</v>
      </c>
      <c r="CU186" s="21">
        <v>118114424</v>
      </c>
      <c r="CV186" s="21">
        <v>113641744</v>
      </c>
      <c r="CW186" s="19">
        <v>125154944</v>
      </c>
      <c r="CX186" s="19">
        <v>150267184</v>
      </c>
    </row>
    <row r="187" spans="1:102">
      <c r="A187">
        <v>30912</v>
      </c>
      <c r="B187" t="s">
        <v>233</v>
      </c>
      <c r="C187" t="s">
        <v>1282</v>
      </c>
      <c r="D187" t="s">
        <v>234</v>
      </c>
      <c r="E187" t="s">
        <v>235</v>
      </c>
      <c r="F187" t="s">
        <v>236</v>
      </c>
      <c r="G187">
        <v>800.61199999999997</v>
      </c>
      <c r="H187" t="s">
        <v>104</v>
      </c>
      <c r="I187">
        <v>2</v>
      </c>
      <c r="J187">
        <v>4</v>
      </c>
      <c r="K187">
        <v>17</v>
      </c>
      <c r="L187">
        <v>0</v>
      </c>
      <c r="M187">
        <v>0</v>
      </c>
      <c r="N187">
        <v>-1</v>
      </c>
      <c r="O187">
        <v>28</v>
      </c>
      <c r="P187">
        <v>28</v>
      </c>
      <c r="Q187">
        <v>28</v>
      </c>
      <c r="R187">
        <v>28</v>
      </c>
      <c r="S187">
        <v>28</v>
      </c>
      <c r="T187">
        <v>28</v>
      </c>
      <c r="U187">
        <v>28</v>
      </c>
      <c r="V187">
        <v>28</v>
      </c>
      <c r="W187">
        <v>26</v>
      </c>
      <c r="X187">
        <v>5</v>
      </c>
      <c r="Y187">
        <v>23</v>
      </c>
      <c r="Z187">
        <v>26</v>
      </c>
      <c r="AA187">
        <v>27</v>
      </c>
      <c r="AB187">
        <v>25</v>
      </c>
      <c r="AC187">
        <v>27</v>
      </c>
      <c r="AD187">
        <v>27</v>
      </c>
      <c r="AE187">
        <v>27</v>
      </c>
      <c r="AF187">
        <v>26</v>
      </c>
      <c r="AG187">
        <v>26</v>
      </c>
      <c r="AH187">
        <v>24</v>
      </c>
      <c r="AI187">
        <v>24</v>
      </c>
      <c r="AJ187">
        <v>26</v>
      </c>
      <c r="AK187">
        <v>25</v>
      </c>
      <c r="AL187">
        <v>23</v>
      </c>
      <c r="AM187">
        <v>28</v>
      </c>
      <c r="AN187">
        <v>28</v>
      </c>
      <c r="AO187">
        <v>28</v>
      </c>
      <c r="AP187">
        <v>25</v>
      </c>
      <c r="AQ187">
        <v>9</v>
      </c>
      <c r="AR187">
        <v>0</v>
      </c>
      <c r="AS187">
        <v>3</v>
      </c>
      <c r="AT187">
        <v>16</v>
      </c>
      <c r="AU187">
        <v>6</v>
      </c>
      <c r="AV187">
        <v>13</v>
      </c>
      <c r="AW187">
        <v>14</v>
      </c>
      <c r="AX187">
        <v>17</v>
      </c>
      <c r="AY187">
        <v>8</v>
      </c>
      <c r="AZ187">
        <v>18</v>
      </c>
      <c r="BA187">
        <v>8</v>
      </c>
      <c r="BB187">
        <v>16</v>
      </c>
      <c r="BC187">
        <v>3</v>
      </c>
      <c r="BD187">
        <v>15</v>
      </c>
      <c r="BE187">
        <v>5</v>
      </c>
      <c r="BF187">
        <v>10</v>
      </c>
      <c r="BG187">
        <v>20</v>
      </c>
      <c r="BH187">
        <v>16</v>
      </c>
      <c r="BI187">
        <v>17</v>
      </c>
      <c r="BJ187">
        <v>63121828</v>
      </c>
      <c r="BK187">
        <v>30950594</v>
      </c>
      <c r="BL187">
        <v>134294.95000000001</v>
      </c>
      <c r="BM187">
        <v>5918268.5</v>
      </c>
      <c r="BN187">
        <v>33308994</v>
      </c>
      <c r="BO187">
        <v>17652612</v>
      </c>
      <c r="BP187">
        <v>23091936</v>
      </c>
      <c r="BQ187">
        <v>30744112</v>
      </c>
      <c r="BR187">
        <v>22263084</v>
      </c>
      <c r="BS187">
        <v>16296943</v>
      </c>
      <c r="BT187">
        <v>14524517</v>
      </c>
      <c r="BU187">
        <v>18897636</v>
      </c>
      <c r="BV187">
        <v>19361052</v>
      </c>
      <c r="BW187">
        <v>12506451</v>
      </c>
      <c r="BX187">
        <v>30153518</v>
      </c>
      <c r="BY187">
        <v>13025274</v>
      </c>
      <c r="BZ187">
        <v>16710413</v>
      </c>
      <c r="CA187">
        <v>49512028</v>
      </c>
      <c r="CB187">
        <v>23592762</v>
      </c>
      <c r="CC187">
        <v>22495570</v>
      </c>
      <c r="CD187" s="17" t="s">
        <v>1282</v>
      </c>
      <c r="CE187" s="21">
        <v>65218264</v>
      </c>
      <c r="CF187" s="21">
        <v>53627616</v>
      </c>
      <c r="CG187" s="19">
        <v>18584066</v>
      </c>
      <c r="CH187" s="19">
        <v>19996454</v>
      </c>
      <c r="CI187" s="21">
        <v>24060230</v>
      </c>
      <c r="CJ187" s="21">
        <v>28387878</v>
      </c>
      <c r="CK187" s="19">
        <v>18189826</v>
      </c>
      <c r="CL187" s="19">
        <v>16386978</v>
      </c>
      <c r="CM187" s="21">
        <v>21601412</v>
      </c>
      <c r="CN187" s="21">
        <v>26153492</v>
      </c>
      <c r="CO187" s="19">
        <v>17573964</v>
      </c>
      <c r="CP187" s="19">
        <v>13129428</v>
      </c>
      <c r="CQ187" s="21">
        <v>6588101.5</v>
      </c>
      <c r="CR187" s="21">
        <v>6722919</v>
      </c>
      <c r="CS187" s="19">
        <v>11389461</v>
      </c>
      <c r="CT187" s="19">
        <v>9748432</v>
      </c>
      <c r="CU187" s="21">
        <v>25983208</v>
      </c>
      <c r="CV187" s="21">
        <v>34646868</v>
      </c>
      <c r="CW187" s="19">
        <v>13215063</v>
      </c>
      <c r="CX187" s="19">
        <v>30522414</v>
      </c>
    </row>
    <row r="188" spans="1:102">
      <c r="A188">
        <v>30966</v>
      </c>
      <c r="B188" t="s">
        <v>303</v>
      </c>
      <c r="C188" t="s">
        <v>1283</v>
      </c>
      <c r="D188" t="s">
        <v>304</v>
      </c>
      <c r="E188" t="s">
        <v>305</v>
      </c>
      <c r="F188" t="s">
        <v>306</v>
      </c>
      <c r="G188">
        <v>568.62099999999998</v>
      </c>
      <c r="H188" t="s">
        <v>104</v>
      </c>
      <c r="I188">
        <v>2</v>
      </c>
      <c r="J188">
        <v>6</v>
      </c>
      <c r="K188">
        <v>7</v>
      </c>
      <c r="L188">
        <v>0</v>
      </c>
      <c r="M188">
        <v>0</v>
      </c>
      <c r="N188">
        <v>-1</v>
      </c>
      <c r="O188">
        <v>17</v>
      </c>
      <c r="P188">
        <v>17</v>
      </c>
      <c r="Q188">
        <v>17</v>
      </c>
      <c r="R188">
        <v>17</v>
      </c>
      <c r="S188">
        <v>17</v>
      </c>
      <c r="T188">
        <v>17</v>
      </c>
      <c r="U188">
        <v>17</v>
      </c>
      <c r="V188">
        <v>15</v>
      </c>
      <c r="W188">
        <v>16</v>
      </c>
      <c r="X188">
        <v>5</v>
      </c>
      <c r="Y188">
        <v>17</v>
      </c>
      <c r="Z188">
        <v>16</v>
      </c>
      <c r="AA188">
        <v>16</v>
      </c>
      <c r="AB188">
        <v>17</v>
      </c>
      <c r="AC188">
        <v>17</v>
      </c>
      <c r="AD188">
        <v>17</v>
      </c>
      <c r="AE188">
        <v>16</v>
      </c>
      <c r="AF188">
        <v>17</v>
      </c>
      <c r="AG188">
        <v>16</v>
      </c>
      <c r="AH188">
        <v>17</v>
      </c>
      <c r="AI188">
        <v>17</v>
      </c>
      <c r="AJ188">
        <v>17</v>
      </c>
      <c r="AK188">
        <v>17</v>
      </c>
      <c r="AL188">
        <v>15</v>
      </c>
      <c r="AM188">
        <v>17</v>
      </c>
      <c r="AN188">
        <v>17</v>
      </c>
      <c r="AO188">
        <v>16</v>
      </c>
      <c r="AP188">
        <v>14</v>
      </c>
      <c r="AQ188">
        <v>12</v>
      </c>
      <c r="AR188">
        <v>0</v>
      </c>
      <c r="AS188">
        <v>7</v>
      </c>
      <c r="AT188">
        <v>13</v>
      </c>
      <c r="AU188">
        <v>10</v>
      </c>
      <c r="AV188">
        <v>10</v>
      </c>
      <c r="AW188">
        <v>17</v>
      </c>
      <c r="AX188">
        <v>12</v>
      </c>
      <c r="AY188">
        <v>12</v>
      </c>
      <c r="AZ188">
        <v>8</v>
      </c>
      <c r="BA188">
        <v>14</v>
      </c>
      <c r="BB188">
        <v>10</v>
      </c>
      <c r="BC188">
        <v>13</v>
      </c>
      <c r="BD188">
        <v>13</v>
      </c>
      <c r="BE188">
        <v>8</v>
      </c>
      <c r="BF188">
        <v>9</v>
      </c>
      <c r="BG188">
        <v>17</v>
      </c>
      <c r="BH188">
        <v>12</v>
      </c>
      <c r="BI188">
        <v>11</v>
      </c>
      <c r="BJ188">
        <v>40875300</v>
      </c>
      <c r="BK188">
        <v>31730454</v>
      </c>
      <c r="BL188">
        <v>131188.85999999999</v>
      </c>
      <c r="BM188">
        <v>10855068</v>
      </c>
      <c r="BN188">
        <v>32773242</v>
      </c>
      <c r="BO188">
        <v>13800688</v>
      </c>
      <c r="BP188">
        <v>23076426</v>
      </c>
      <c r="BQ188">
        <v>53349560</v>
      </c>
      <c r="BR188">
        <v>31101662</v>
      </c>
      <c r="BS188">
        <v>22492274</v>
      </c>
      <c r="BT188">
        <v>10608730</v>
      </c>
      <c r="BU188">
        <v>21231750</v>
      </c>
      <c r="BV188">
        <v>14152924</v>
      </c>
      <c r="BW188">
        <v>24929602</v>
      </c>
      <c r="BX188">
        <v>32419524</v>
      </c>
      <c r="BY188">
        <v>14896256</v>
      </c>
      <c r="BZ188">
        <v>15248669</v>
      </c>
      <c r="CA188">
        <v>51665692</v>
      </c>
      <c r="CB188">
        <v>21471022</v>
      </c>
      <c r="CC188">
        <v>13516542</v>
      </c>
      <c r="CD188" s="17" t="s">
        <v>1283</v>
      </c>
      <c r="CE188" s="21">
        <v>40248040</v>
      </c>
      <c r="CF188" s="21">
        <v>37255740</v>
      </c>
      <c r="CG188" s="19">
        <v>14073953</v>
      </c>
      <c r="CH188" s="19">
        <v>14725497</v>
      </c>
      <c r="CI188" s="21">
        <v>22612402</v>
      </c>
      <c r="CJ188" s="21">
        <v>30537646</v>
      </c>
      <c r="CK188" s="19">
        <v>17250242</v>
      </c>
      <c r="CL188" s="19">
        <v>15489822</v>
      </c>
      <c r="CM188" s="21">
        <v>30304590</v>
      </c>
      <c r="CN188" s="21">
        <v>25258180</v>
      </c>
      <c r="CO188" s="19">
        <v>17967198</v>
      </c>
      <c r="CP188" s="19">
        <v>14911774</v>
      </c>
      <c r="CQ188" s="21">
        <v>11867491</v>
      </c>
      <c r="CR188" s="21">
        <v>14605231</v>
      </c>
      <c r="CS188" s="19">
        <v>8299320.5</v>
      </c>
      <c r="CT188" s="19">
        <v>10945320</v>
      </c>
      <c r="CU188" s="21">
        <v>43397624</v>
      </c>
      <c r="CV188" s="21">
        <v>38679100</v>
      </c>
      <c r="CW188" s="19">
        <v>19134836</v>
      </c>
      <c r="CX188" s="19">
        <v>23288236</v>
      </c>
    </row>
    <row r="189" spans="1:102">
      <c r="A189">
        <v>30936</v>
      </c>
      <c r="B189" t="s">
        <v>367</v>
      </c>
      <c r="C189" t="s">
        <v>1284</v>
      </c>
      <c r="D189" t="s">
        <v>368</v>
      </c>
      <c r="E189" t="s">
        <v>369</v>
      </c>
      <c r="F189" t="s">
        <v>370</v>
      </c>
      <c r="G189">
        <v>427.93799999999999</v>
      </c>
      <c r="H189" t="s">
        <v>104</v>
      </c>
      <c r="I189">
        <v>2</v>
      </c>
      <c r="J189">
        <v>7</v>
      </c>
      <c r="K189">
        <v>12</v>
      </c>
      <c r="L189">
        <v>0</v>
      </c>
      <c r="M189">
        <v>0</v>
      </c>
      <c r="N189">
        <v>-1</v>
      </c>
      <c r="O189">
        <v>17</v>
      </c>
      <c r="P189">
        <v>17</v>
      </c>
      <c r="Q189">
        <v>17</v>
      </c>
      <c r="R189">
        <v>17</v>
      </c>
      <c r="S189">
        <v>17</v>
      </c>
      <c r="T189">
        <v>17</v>
      </c>
      <c r="U189">
        <v>17</v>
      </c>
      <c r="V189">
        <v>17</v>
      </c>
      <c r="W189">
        <v>16</v>
      </c>
      <c r="X189">
        <v>7</v>
      </c>
      <c r="Y189">
        <v>17</v>
      </c>
      <c r="Z189">
        <v>17</v>
      </c>
      <c r="AA189">
        <v>17</v>
      </c>
      <c r="AB189">
        <v>17</v>
      </c>
      <c r="AC189">
        <v>17</v>
      </c>
      <c r="AD189">
        <v>17</v>
      </c>
      <c r="AE189">
        <v>17</v>
      </c>
      <c r="AF189">
        <v>17</v>
      </c>
      <c r="AG189">
        <v>17</v>
      </c>
      <c r="AH189">
        <v>17</v>
      </c>
      <c r="AI189">
        <v>17</v>
      </c>
      <c r="AJ189">
        <v>17</v>
      </c>
      <c r="AK189">
        <v>17</v>
      </c>
      <c r="AL189">
        <v>17</v>
      </c>
      <c r="AM189">
        <v>17</v>
      </c>
      <c r="AN189">
        <v>17</v>
      </c>
      <c r="AO189">
        <v>17</v>
      </c>
      <c r="AP189">
        <v>16</v>
      </c>
      <c r="AQ189">
        <v>14</v>
      </c>
      <c r="AR189">
        <v>0</v>
      </c>
      <c r="AS189">
        <v>6</v>
      </c>
      <c r="AT189">
        <v>13</v>
      </c>
      <c r="AU189">
        <v>10</v>
      </c>
      <c r="AV189">
        <v>4</v>
      </c>
      <c r="AW189">
        <v>18</v>
      </c>
      <c r="AX189">
        <v>17</v>
      </c>
      <c r="AY189">
        <v>19</v>
      </c>
      <c r="AZ189">
        <v>8</v>
      </c>
      <c r="BA189">
        <v>14</v>
      </c>
      <c r="BB189">
        <v>9</v>
      </c>
      <c r="BC189">
        <v>10</v>
      </c>
      <c r="BD189">
        <v>15</v>
      </c>
      <c r="BE189">
        <v>13</v>
      </c>
      <c r="BF189">
        <v>7</v>
      </c>
      <c r="BG189">
        <v>14</v>
      </c>
      <c r="BH189">
        <v>17</v>
      </c>
      <c r="BI189">
        <v>12</v>
      </c>
      <c r="BJ189">
        <v>41729432</v>
      </c>
      <c r="BK189">
        <v>54399116</v>
      </c>
      <c r="BL189">
        <v>189670.52</v>
      </c>
      <c r="BM189">
        <v>11857624</v>
      </c>
      <c r="BN189">
        <v>49078224</v>
      </c>
      <c r="BO189">
        <v>28115064</v>
      </c>
      <c r="BP189">
        <v>17948898</v>
      </c>
      <c r="BQ189">
        <v>43987908</v>
      </c>
      <c r="BR189">
        <v>54226592</v>
      </c>
      <c r="BS189">
        <v>51092872</v>
      </c>
      <c r="BT189">
        <v>14073035</v>
      </c>
      <c r="BU189">
        <v>44721152</v>
      </c>
      <c r="BV189">
        <v>13095653</v>
      </c>
      <c r="BW189">
        <v>20932746</v>
      </c>
      <c r="BX189">
        <v>36086780</v>
      </c>
      <c r="BY189">
        <v>22105342</v>
      </c>
      <c r="BZ189">
        <v>16083589</v>
      </c>
      <c r="CA189">
        <v>52056888</v>
      </c>
      <c r="CB189">
        <v>34651016</v>
      </c>
      <c r="CC189">
        <v>29282636</v>
      </c>
      <c r="CD189" s="17" t="s">
        <v>1284</v>
      </c>
      <c r="CE189" s="21">
        <v>51918524</v>
      </c>
      <c r="CF189" s="21">
        <v>46077456</v>
      </c>
      <c r="CG189" s="19">
        <v>24617506</v>
      </c>
      <c r="CH189" s="19">
        <v>20144152</v>
      </c>
      <c r="CI189" s="21">
        <v>47597356</v>
      </c>
      <c r="CJ189" s="21">
        <v>45771900</v>
      </c>
      <c r="CK189" s="19">
        <v>17941014</v>
      </c>
      <c r="CL189" s="19">
        <v>20663352</v>
      </c>
      <c r="CM189" s="21">
        <v>54557580</v>
      </c>
      <c r="CN189" s="21">
        <v>47477468</v>
      </c>
      <c r="CO189" s="19">
        <v>38597580</v>
      </c>
      <c r="CP189" s="19">
        <v>40278692</v>
      </c>
      <c r="CQ189" s="21">
        <v>16424693</v>
      </c>
      <c r="CR189" s="21">
        <v>16701961</v>
      </c>
      <c r="CS189" s="19">
        <v>22474610</v>
      </c>
      <c r="CT189" s="19">
        <v>22055354</v>
      </c>
      <c r="CU189" s="21">
        <v>48985300</v>
      </c>
      <c r="CV189" s="21">
        <v>48755648</v>
      </c>
      <c r="CW189" s="19">
        <v>49113892</v>
      </c>
      <c r="CX189" s="19">
        <v>48756956</v>
      </c>
    </row>
    <row r="190" spans="1:102">
      <c r="A190">
        <v>31091</v>
      </c>
      <c r="B190" t="s">
        <v>209</v>
      </c>
      <c r="C190" t="s">
        <v>1285</v>
      </c>
      <c r="D190" t="s">
        <v>210</v>
      </c>
      <c r="E190" t="s">
        <v>211</v>
      </c>
      <c r="F190" t="s">
        <v>212</v>
      </c>
      <c r="G190">
        <v>926.77200000000005</v>
      </c>
      <c r="H190" t="s">
        <v>104</v>
      </c>
      <c r="I190">
        <v>2</v>
      </c>
      <c r="J190">
        <v>2</v>
      </c>
      <c r="K190">
        <v>1</v>
      </c>
      <c r="L190">
        <v>0</v>
      </c>
      <c r="M190">
        <v>0</v>
      </c>
      <c r="N190">
        <v>-1</v>
      </c>
      <c r="O190">
        <v>27</v>
      </c>
      <c r="P190">
        <v>27</v>
      </c>
      <c r="Q190">
        <v>27</v>
      </c>
      <c r="R190">
        <v>27</v>
      </c>
      <c r="S190">
        <v>27</v>
      </c>
      <c r="T190">
        <v>27</v>
      </c>
      <c r="U190">
        <v>27</v>
      </c>
      <c r="V190">
        <v>26</v>
      </c>
      <c r="W190">
        <v>27</v>
      </c>
      <c r="X190">
        <v>15</v>
      </c>
      <c r="Y190">
        <v>26</v>
      </c>
      <c r="Z190">
        <v>27</v>
      </c>
      <c r="AA190">
        <v>26</v>
      </c>
      <c r="AB190">
        <v>25</v>
      </c>
      <c r="AC190">
        <v>27</v>
      </c>
      <c r="AD190">
        <v>27</v>
      </c>
      <c r="AE190">
        <v>27</v>
      </c>
      <c r="AF190">
        <v>27</v>
      </c>
      <c r="AG190">
        <v>26</v>
      </c>
      <c r="AH190">
        <v>26</v>
      </c>
      <c r="AI190">
        <v>26</v>
      </c>
      <c r="AJ190">
        <v>26</v>
      </c>
      <c r="AK190">
        <v>26</v>
      </c>
      <c r="AL190">
        <v>26</v>
      </c>
      <c r="AM190">
        <v>26</v>
      </c>
      <c r="AN190">
        <v>27</v>
      </c>
      <c r="AO190">
        <v>27</v>
      </c>
      <c r="AP190">
        <v>25</v>
      </c>
      <c r="AQ190">
        <v>22</v>
      </c>
      <c r="AR190">
        <v>5</v>
      </c>
      <c r="AS190">
        <v>13</v>
      </c>
      <c r="AT190">
        <v>26</v>
      </c>
      <c r="AU190">
        <v>17</v>
      </c>
      <c r="AV190">
        <v>14</v>
      </c>
      <c r="AW190">
        <v>23</v>
      </c>
      <c r="AX190">
        <v>23</v>
      </c>
      <c r="AY190">
        <v>26</v>
      </c>
      <c r="AZ190">
        <v>15</v>
      </c>
      <c r="BA190">
        <v>26</v>
      </c>
      <c r="BB190">
        <v>9</v>
      </c>
      <c r="BC190">
        <v>18</v>
      </c>
      <c r="BD190">
        <v>20</v>
      </c>
      <c r="BE190">
        <v>17</v>
      </c>
      <c r="BF190">
        <v>18</v>
      </c>
      <c r="BG190">
        <v>24</v>
      </c>
      <c r="BH190">
        <v>23</v>
      </c>
      <c r="BI190">
        <v>26</v>
      </c>
      <c r="BJ190">
        <v>111393560</v>
      </c>
      <c r="BK190">
        <v>164084480</v>
      </c>
      <c r="BL190">
        <v>3698355.75</v>
      </c>
      <c r="BM190">
        <v>28875854</v>
      </c>
      <c r="BN190">
        <v>139814352</v>
      </c>
      <c r="BO190">
        <v>78828920</v>
      </c>
      <c r="BP190">
        <v>43886940</v>
      </c>
      <c r="BQ190">
        <v>130234080</v>
      </c>
      <c r="BR190">
        <v>122185384</v>
      </c>
      <c r="BS190">
        <v>133339864</v>
      </c>
      <c r="BT190">
        <v>35170816</v>
      </c>
      <c r="BU190">
        <v>135362592</v>
      </c>
      <c r="BV190">
        <v>31330308</v>
      </c>
      <c r="BW190">
        <v>59420700</v>
      </c>
      <c r="BX190">
        <v>107370184</v>
      </c>
      <c r="BY190">
        <v>63951184</v>
      </c>
      <c r="BZ190">
        <v>42075500</v>
      </c>
      <c r="CA190">
        <v>164751744</v>
      </c>
      <c r="CB190">
        <v>94452416</v>
      </c>
      <c r="CC190">
        <v>87920416</v>
      </c>
      <c r="CD190" s="17" t="s">
        <v>1285</v>
      </c>
      <c r="CE190" s="21">
        <v>129786136</v>
      </c>
      <c r="CF190" s="21">
        <v>165355472</v>
      </c>
      <c r="CG190" s="19">
        <v>62619736</v>
      </c>
      <c r="CH190" s="19">
        <v>44683324</v>
      </c>
      <c r="CI190" s="21">
        <v>132718296</v>
      </c>
      <c r="CJ190" s="21">
        <v>139708576</v>
      </c>
      <c r="CK190" s="19">
        <v>44278244</v>
      </c>
      <c r="CL190" s="19">
        <v>55930992</v>
      </c>
      <c r="CM190" s="21">
        <v>161379072</v>
      </c>
      <c r="CN190" s="21">
        <v>150388816</v>
      </c>
      <c r="CO190" s="19">
        <v>109297584</v>
      </c>
      <c r="CP190" s="19">
        <v>125094688</v>
      </c>
      <c r="CQ190" s="21">
        <v>42108268</v>
      </c>
      <c r="CR190" s="21">
        <v>46216292</v>
      </c>
      <c r="CS190" s="19">
        <v>67021784</v>
      </c>
      <c r="CT190" s="19">
        <v>64338648</v>
      </c>
      <c r="CU190" s="21">
        <v>144169760</v>
      </c>
      <c r="CV190" s="21">
        <v>152546160</v>
      </c>
      <c r="CW190" s="19">
        <v>156735216</v>
      </c>
      <c r="CX190" s="19">
        <v>187598400</v>
      </c>
    </row>
    <row r="191" spans="1:102">
      <c r="A191">
        <v>30980</v>
      </c>
      <c r="B191" t="s">
        <v>352</v>
      </c>
      <c r="C191" t="s">
        <v>1286</v>
      </c>
      <c r="D191" t="s">
        <v>353</v>
      </c>
      <c r="E191" t="s">
        <v>354</v>
      </c>
      <c r="F191" t="s">
        <v>355</v>
      </c>
      <c r="G191">
        <v>448.06200000000001</v>
      </c>
      <c r="H191" t="s">
        <v>104</v>
      </c>
      <c r="I191">
        <v>2</v>
      </c>
      <c r="J191">
        <v>19</v>
      </c>
      <c r="K191">
        <v>1</v>
      </c>
      <c r="L191">
        <v>0</v>
      </c>
      <c r="M191">
        <v>0</v>
      </c>
      <c r="N191">
        <v>-1</v>
      </c>
      <c r="O191">
        <v>12</v>
      </c>
      <c r="P191">
        <v>12</v>
      </c>
      <c r="Q191">
        <v>13</v>
      </c>
      <c r="R191">
        <v>13</v>
      </c>
      <c r="S191">
        <v>13</v>
      </c>
      <c r="T191">
        <v>13</v>
      </c>
      <c r="U191">
        <v>13</v>
      </c>
      <c r="V191">
        <v>13</v>
      </c>
      <c r="W191">
        <v>12</v>
      </c>
      <c r="X191">
        <v>8</v>
      </c>
      <c r="Y191">
        <v>13</v>
      </c>
      <c r="Z191">
        <v>12</v>
      </c>
      <c r="AA191">
        <v>13</v>
      </c>
      <c r="AB191">
        <v>12</v>
      </c>
      <c r="AC191">
        <v>13</v>
      </c>
      <c r="AD191">
        <v>13</v>
      </c>
      <c r="AE191">
        <v>13</v>
      </c>
      <c r="AF191">
        <v>13</v>
      </c>
      <c r="AG191">
        <v>13</v>
      </c>
      <c r="AH191">
        <v>13</v>
      </c>
      <c r="AI191">
        <v>13</v>
      </c>
      <c r="AJ191">
        <v>12</v>
      </c>
      <c r="AK191">
        <v>13</v>
      </c>
      <c r="AL191">
        <v>10</v>
      </c>
      <c r="AM191">
        <v>13</v>
      </c>
      <c r="AN191">
        <v>13</v>
      </c>
      <c r="AO191">
        <v>13</v>
      </c>
      <c r="AP191">
        <v>22</v>
      </c>
      <c r="AQ191">
        <v>21</v>
      </c>
      <c r="AR191">
        <v>1</v>
      </c>
      <c r="AS191">
        <v>8</v>
      </c>
      <c r="AT191">
        <v>16</v>
      </c>
      <c r="AU191">
        <v>12</v>
      </c>
      <c r="AV191">
        <v>10</v>
      </c>
      <c r="AW191">
        <v>18</v>
      </c>
      <c r="AX191">
        <v>22</v>
      </c>
      <c r="AY191">
        <v>22</v>
      </c>
      <c r="AZ191">
        <v>12</v>
      </c>
      <c r="BA191">
        <v>18</v>
      </c>
      <c r="BB191">
        <v>10</v>
      </c>
      <c r="BC191">
        <v>11</v>
      </c>
      <c r="BD191">
        <v>15</v>
      </c>
      <c r="BE191">
        <v>14</v>
      </c>
      <c r="BF191">
        <v>9</v>
      </c>
      <c r="BG191">
        <v>15</v>
      </c>
      <c r="BH191">
        <v>18</v>
      </c>
      <c r="BI191">
        <v>18</v>
      </c>
      <c r="BJ191">
        <v>87932448</v>
      </c>
      <c r="BK191">
        <v>104124856</v>
      </c>
      <c r="BL191">
        <v>349552.81</v>
      </c>
      <c r="BM191">
        <v>23621204</v>
      </c>
      <c r="BN191">
        <v>98777136</v>
      </c>
      <c r="BO191">
        <v>54270584</v>
      </c>
      <c r="BP191">
        <v>43143072</v>
      </c>
      <c r="BQ191">
        <v>114211712</v>
      </c>
      <c r="BR191">
        <v>92321376</v>
      </c>
      <c r="BS191">
        <v>84587096</v>
      </c>
      <c r="BT191">
        <v>22612980</v>
      </c>
      <c r="BU191">
        <v>85130424</v>
      </c>
      <c r="BV191">
        <v>38707828</v>
      </c>
      <c r="BW191">
        <v>46482076</v>
      </c>
      <c r="BX191">
        <v>64781684</v>
      </c>
      <c r="BY191">
        <v>39784408</v>
      </c>
      <c r="BZ191">
        <v>34425416</v>
      </c>
      <c r="CA191">
        <v>106839712</v>
      </c>
      <c r="CB191">
        <v>67069560</v>
      </c>
      <c r="CC191">
        <v>53733496</v>
      </c>
      <c r="CD191" s="17" t="s">
        <v>1286</v>
      </c>
      <c r="CE191" s="21">
        <v>114803984</v>
      </c>
      <c r="CF191" s="21">
        <v>104363784</v>
      </c>
      <c r="CG191" s="19">
        <v>33654968</v>
      </c>
      <c r="CH191" s="19">
        <v>40716980</v>
      </c>
      <c r="CI191" s="21">
        <v>84785176</v>
      </c>
      <c r="CJ191" s="21">
        <v>76255120</v>
      </c>
      <c r="CK191" s="19">
        <v>31134962</v>
      </c>
      <c r="CL191" s="19">
        <v>34162712</v>
      </c>
      <c r="CM191" s="21">
        <v>109791304</v>
      </c>
      <c r="CN191" s="21">
        <v>88299928</v>
      </c>
      <c r="CO191" s="19">
        <v>67991952</v>
      </c>
      <c r="CP191" s="19">
        <v>70882232</v>
      </c>
      <c r="CQ191" s="21">
        <v>28520316</v>
      </c>
      <c r="CR191" s="21">
        <v>26708880</v>
      </c>
      <c r="CS191" s="19">
        <v>39078848</v>
      </c>
      <c r="CT191" s="19">
        <v>36014696</v>
      </c>
      <c r="CU191" s="21">
        <v>91417192</v>
      </c>
      <c r="CV191" s="21">
        <v>77795952</v>
      </c>
      <c r="CW191" s="19">
        <v>92128448</v>
      </c>
      <c r="CX191" s="19">
        <v>110617248</v>
      </c>
    </row>
    <row r="192" spans="1:102">
      <c r="A192">
        <v>30925</v>
      </c>
      <c r="B192" t="s">
        <v>133</v>
      </c>
      <c r="C192" t="s">
        <v>1287</v>
      </c>
      <c r="D192" t="s">
        <v>134</v>
      </c>
      <c r="E192" t="s">
        <v>135</v>
      </c>
      <c r="F192" t="s">
        <v>136</v>
      </c>
      <c r="G192">
        <v>1815.2670000000001</v>
      </c>
      <c r="H192" t="s">
        <v>104</v>
      </c>
      <c r="I192">
        <v>2</v>
      </c>
      <c r="J192">
        <v>5</v>
      </c>
      <c r="K192">
        <v>16</v>
      </c>
      <c r="L192">
        <v>0</v>
      </c>
      <c r="M192">
        <v>0</v>
      </c>
      <c r="N192">
        <v>-1</v>
      </c>
      <c r="O192">
        <v>46</v>
      </c>
      <c r="P192">
        <v>46</v>
      </c>
      <c r="Q192">
        <v>47</v>
      </c>
      <c r="R192">
        <v>47</v>
      </c>
      <c r="S192">
        <v>47</v>
      </c>
      <c r="T192">
        <v>47</v>
      </c>
      <c r="U192">
        <v>47</v>
      </c>
      <c r="V192">
        <v>46</v>
      </c>
      <c r="W192">
        <v>47</v>
      </c>
      <c r="X192">
        <v>26</v>
      </c>
      <c r="Y192">
        <v>47</v>
      </c>
      <c r="Z192">
        <v>47</v>
      </c>
      <c r="AA192">
        <v>47</v>
      </c>
      <c r="AB192">
        <v>47</v>
      </c>
      <c r="AC192">
        <v>47</v>
      </c>
      <c r="AD192">
        <v>47</v>
      </c>
      <c r="AE192">
        <v>47</v>
      </c>
      <c r="AF192">
        <v>47</v>
      </c>
      <c r="AG192">
        <v>47</v>
      </c>
      <c r="AH192">
        <v>47</v>
      </c>
      <c r="AI192">
        <v>47</v>
      </c>
      <c r="AJ192">
        <v>47</v>
      </c>
      <c r="AK192">
        <v>47</v>
      </c>
      <c r="AL192">
        <v>47</v>
      </c>
      <c r="AM192">
        <v>47</v>
      </c>
      <c r="AN192">
        <v>47</v>
      </c>
      <c r="AO192">
        <v>47</v>
      </c>
      <c r="AP192">
        <v>64</v>
      </c>
      <c r="AQ192">
        <v>68</v>
      </c>
      <c r="AR192">
        <v>2</v>
      </c>
      <c r="AS192">
        <v>28</v>
      </c>
      <c r="AT192">
        <v>63</v>
      </c>
      <c r="AU192">
        <v>45</v>
      </c>
      <c r="AV192">
        <v>34</v>
      </c>
      <c r="AW192">
        <v>62</v>
      </c>
      <c r="AX192">
        <v>74</v>
      </c>
      <c r="AY192">
        <v>79</v>
      </c>
      <c r="AZ192">
        <v>38</v>
      </c>
      <c r="BA192">
        <v>60</v>
      </c>
      <c r="BB192">
        <v>33</v>
      </c>
      <c r="BC192">
        <v>40</v>
      </c>
      <c r="BD192">
        <v>55</v>
      </c>
      <c r="BE192">
        <v>42</v>
      </c>
      <c r="BF192">
        <v>39</v>
      </c>
      <c r="BG192">
        <v>62</v>
      </c>
      <c r="BH192">
        <v>60</v>
      </c>
      <c r="BI192">
        <v>65</v>
      </c>
      <c r="BJ192">
        <v>188768608</v>
      </c>
      <c r="BK192">
        <v>307875744</v>
      </c>
      <c r="BL192">
        <v>5569511.5</v>
      </c>
      <c r="BM192">
        <v>70957136</v>
      </c>
      <c r="BN192">
        <v>276846432</v>
      </c>
      <c r="BO192">
        <v>146519456</v>
      </c>
      <c r="BP192">
        <v>94229616</v>
      </c>
      <c r="BQ192">
        <v>248148544</v>
      </c>
      <c r="BR192">
        <v>238842112</v>
      </c>
      <c r="BS192">
        <v>258352528</v>
      </c>
      <c r="BT192">
        <v>63183188</v>
      </c>
      <c r="BU192">
        <v>252488288</v>
      </c>
      <c r="BV192">
        <v>79258888</v>
      </c>
      <c r="BW192">
        <v>121788328</v>
      </c>
      <c r="BX192">
        <v>198882912</v>
      </c>
      <c r="BY192">
        <v>124713984</v>
      </c>
      <c r="BZ192">
        <v>87381624</v>
      </c>
      <c r="CA192">
        <v>282374528</v>
      </c>
      <c r="CB192">
        <v>194930896</v>
      </c>
      <c r="CC192">
        <v>199826992</v>
      </c>
      <c r="CD192" s="17" t="s">
        <v>1287</v>
      </c>
      <c r="CE192" s="21">
        <v>246376000</v>
      </c>
      <c r="CF192" s="21">
        <v>288629184</v>
      </c>
      <c r="CG192" s="19">
        <v>111050808</v>
      </c>
      <c r="CH192" s="19">
        <v>105511288</v>
      </c>
      <c r="CI192" s="21">
        <v>258804864</v>
      </c>
      <c r="CJ192" s="21">
        <v>247019216</v>
      </c>
      <c r="CK192" s="19">
        <v>89570064</v>
      </c>
      <c r="CL192" s="19">
        <v>110834440</v>
      </c>
      <c r="CM192" s="21">
        <v>299729056</v>
      </c>
      <c r="CN192" s="21">
        <v>289030208</v>
      </c>
      <c r="CO192" s="19">
        <v>210378640</v>
      </c>
      <c r="CP192" s="19">
        <v>223805680</v>
      </c>
      <c r="CQ192" s="21">
        <v>85732688</v>
      </c>
      <c r="CR192" s="21">
        <v>86401024</v>
      </c>
      <c r="CS192" s="19">
        <v>117396816</v>
      </c>
      <c r="CT192" s="19">
        <v>120148656</v>
      </c>
      <c r="CU192" s="21">
        <v>263958032</v>
      </c>
      <c r="CV192" s="21">
        <v>270079392</v>
      </c>
      <c r="CW192" s="19">
        <v>280509056</v>
      </c>
      <c r="CX192" s="19">
        <v>356674688</v>
      </c>
    </row>
    <row r="193" spans="1:102">
      <c r="A193">
        <v>30932</v>
      </c>
      <c r="B193" t="s">
        <v>220</v>
      </c>
      <c r="C193" t="s">
        <v>1288</v>
      </c>
      <c r="D193" t="s">
        <v>221</v>
      </c>
      <c r="E193" t="s">
        <v>222</v>
      </c>
      <c r="F193" t="s">
        <v>223</v>
      </c>
      <c r="G193">
        <v>880.43299999999999</v>
      </c>
      <c r="H193" t="s">
        <v>104</v>
      </c>
      <c r="I193">
        <v>2</v>
      </c>
      <c r="J193">
        <v>18</v>
      </c>
      <c r="K193">
        <v>3</v>
      </c>
      <c r="L193">
        <v>0</v>
      </c>
      <c r="M193">
        <v>0</v>
      </c>
      <c r="N193">
        <v>-1</v>
      </c>
      <c r="O193">
        <v>22</v>
      </c>
      <c r="P193">
        <v>22</v>
      </c>
      <c r="Q193">
        <v>22</v>
      </c>
      <c r="R193">
        <v>22</v>
      </c>
      <c r="S193">
        <v>22</v>
      </c>
      <c r="T193">
        <v>22</v>
      </c>
      <c r="U193">
        <v>22</v>
      </c>
      <c r="V193">
        <v>20</v>
      </c>
      <c r="W193">
        <v>22</v>
      </c>
      <c r="X193">
        <v>12</v>
      </c>
      <c r="Y193">
        <v>22</v>
      </c>
      <c r="Z193">
        <v>22</v>
      </c>
      <c r="AA193">
        <v>22</v>
      </c>
      <c r="AB193">
        <v>21</v>
      </c>
      <c r="AC193">
        <v>22</v>
      </c>
      <c r="AD193">
        <v>22</v>
      </c>
      <c r="AE193">
        <v>22</v>
      </c>
      <c r="AF193">
        <v>22</v>
      </c>
      <c r="AG193">
        <v>22</v>
      </c>
      <c r="AH193">
        <v>22</v>
      </c>
      <c r="AI193">
        <v>22</v>
      </c>
      <c r="AJ193">
        <v>22</v>
      </c>
      <c r="AK193">
        <v>21</v>
      </c>
      <c r="AL193">
        <v>22</v>
      </c>
      <c r="AM193">
        <v>22</v>
      </c>
      <c r="AN193">
        <v>22</v>
      </c>
      <c r="AO193">
        <v>22</v>
      </c>
      <c r="AP193">
        <v>33</v>
      </c>
      <c r="AQ193">
        <v>27</v>
      </c>
      <c r="AR193">
        <v>3</v>
      </c>
      <c r="AS193">
        <v>17</v>
      </c>
      <c r="AT193">
        <v>33</v>
      </c>
      <c r="AU193">
        <v>24</v>
      </c>
      <c r="AV193">
        <v>15</v>
      </c>
      <c r="AW193">
        <v>29</v>
      </c>
      <c r="AX193">
        <v>27</v>
      </c>
      <c r="AY193">
        <v>33</v>
      </c>
      <c r="AZ193">
        <v>20</v>
      </c>
      <c r="BA193">
        <v>33</v>
      </c>
      <c r="BB193">
        <v>12</v>
      </c>
      <c r="BC193">
        <v>21</v>
      </c>
      <c r="BD193">
        <v>31</v>
      </c>
      <c r="BE193">
        <v>22</v>
      </c>
      <c r="BF193">
        <v>17</v>
      </c>
      <c r="BG193">
        <v>35</v>
      </c>
      <c r="BH193">
        <v>31</v>
      </c>
      <c r="BI193">
        <v>29</v>
      </c>
      <c r="BJ193">
        <v>96033616</v>
      </c>
      <c r="BK193">
        <v>168214144</v>
      </c>
      <c r="BL193">
        <v>1463094.38</v>
      </c>
      <c r="BM193">
        <v>28575322</v>
      </c>
      <c r="BN193">
        <v>131251616</v>
      </c>
      <c r="BO193">
        <v>78707120</v>
      </c>
      <c r="BP193">
        <v>36443540</v>
      </c>
      <c r="BQ193">
        <v>116478712</v>
      </c>
      <c r="BR193">
        <v>111491456</v>
      </c>
      <c r="BS193">
        <v>118226144</v>
      </c>
      <c r="BT193">
        <v>34536592</v>
      </c>
      <c r="BU193">
        <v>135146240</v>
      </c>
      <c r="BV193">
        <v>30089812</v>
      </c>
      <c r="BW193">
        <v>53726604</v>
      </c>
      <c r="BX193">
        <v>98879712</v>
      </c>
      <c r="BY193">
        <v>60368848</v>
      </c>
      <c r="BZ193">
        <v>39554628</v>
      </c>
      <c r="CA193">
        <v>128888296</v>
      </c>
      <c r="CB193">
        <v>93472960</v>
      </c>
      <c r="CC193">
        <v>81104008</v>
      </c>
      <c r="CD193" s="17" t="s">
        <v>1288</v>
      </c>
      <c r="CE193" s="21">
        <v>125117112</v>
      </c>
      <c r="CF193" s="21">
        <v>134620384</v>
      </c>
      <c r="CG193" s="19">
        <v>37185436</v>
      </c>
      <c r="CH193" s="19">
        <v>39687116</v>
      </c>
      <c r="CI193" s="21">
        <v>124350424</v>
      </c>
      <c r="CJ193" s="21">
        <v>121363408</v>
      </c>
      <c r="CK193" s="19">
        <v>35817128</v>
      </c>
      <c r="CL193" s="19">
        <v>49067284</v>
      </c>
      <c r="CM193" s="21">
        <v>138548144</v>
      </c>
      <c r="CN193" s="21">
        <v>134734880</v>
      </c>
      <c r="CO193" s="19">
        <v>115660496</v>
      </c>
      <c r="CP193" s="19">
        <v>113694168</v>
      </c>
      <c r="CQ193" s="21">
        <v>39321372</v>
      </c>
      <c r="CR193" s="21">
        <v>40334856</v>
      </c>
      <c r="CS193" s="19">
        <v>61032792</v>
      </c>
      <c r="CT193" s="19">
        <v>57054828</v>
      </c>
      <c r="CU193" s="21">
        <v>120603600</v>
      </c>
      <c r="CV193" s="21">
        <v>124432456</v>
      </c>
      <c r="CW193" s="19">
        <v>126599216</v>
      </c>
      <c r="CX193" s="19">
        <v>135475136</v>
      </c>
    </row>
    <row r="194" spans="1:102">
      <c r="A194">
        <v>30959</v>
      </c>
      <c r="B194" t="s">
        <v>160</v>
      </c>
      <c r="C194" t="s">
        <v>1289</v>
      </c>
      <c r="D194" t="s">
        <v>161</v>
      </c>
      <c r="E194" t="s">
        <v>162</v>
      </c>
      <c r="F194" t="s">
        <v>163</v>
      </c>
      <c r="G194">
        <v>1226.0139999999999</v>
      </c>
      <c r="H194" t="s">
        <v>104</v>
      </c>
      <c r="I194">
        <v>2</v>
      </c>
      <c r="J194">
        <v>6</v>
      </c>
      <c r="K194">
        <v>14</v>
      </c>
      <c r="L194">
        <v>0</v>
      </c>
      <c r="M194">
        <v>0</v>
      </c>
      <c r="N194">
        <v>-1</v>
      </c>
      <c r="O194">
        <v>40</v>
      </c>
      <c r="P194">
        <v>2</v>
      </c>
      <c r="Q194">
        <v>40</v>
      </c>
      <c r="R194">
        <v>2</v>
      </c>
      <c r="S194">
        <v>40</v>
      </c>
      <c r="T194">
        <v>2</v>
      </c>
      <c r="U194">
        <v>2</v>
      </c>
      <c r="V194">
        <v>1</v>
      </c>
      <c r="W194">
        <v>2</v>
      </c>
      <c r="X194">
        <v>1</v>
      </c>
      <c r="Y194">
        <v>2</v>
      </c>
      <c r="Z194">
        <v>2</v>
      </c>
      <c r="AA194">
        <v>2</v>
      </c>
      <c r="AB194">
        <v>2</v>
      </c>
      <c r="AC194">
        <v>2</v>
      </c>
      <c r="AD194">
        <v>2</v>
      </c>
      <c r="AE194">
        <v>2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>
        <v>2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0</v>
      </c>
      <c r="AS194">
        <v>2</v>
      </c>
      <c r="AT194">
        <v>3</v>
      </c>
      <c r="AU194">
        <v>2</v>
      </c>
      <c r="AV194">
        <v>2</v>
      </c>
      <c r="AW194">
        <v>2</v>
      </c>
      <c r="AX194">
        <v>3</v>
      </c>
      <c r="AY194">
        <v>3</v>
      </c>
      <c r="AZ194">
        <v>2</v>
      </c>
      <c r="BA194">
        <v>2</v>
      </c>
      <c r="BB194">
        <v>2</v>
      </c>
      <c r="BC194">
        <v>1</v>
      </c>
      <c r="BD194">
        <v>2</v>
      </c>
      <c r="BE194">
        <v>2</v>
      </c>
      <c r="BF194">
        <v>2</v>
      </c>
      <c r="BG194">
        <v>2</v>
      </c>
      <c r="BH194">
        <v>2</v>
      </c>
      <c r="BI194">
        <v>1</v>
      </c>
      <c r="BJ194">
        <v>119626352</v>
      </c>
      <c r="BK194">
        <v>88090872</v>
      </c>
      <c r="BL194">
        <v>1503534</v>
      </c>
      <c r="BM194">
        <v>19223582</v>
      </c>
      <c r="BN194">
        <v>90754352</v>
      </c>
      <c r="BO194">
        <v>49432192</v>
      </c>
      <c r="BP194">
        <v>47939312</v>
      </c>
      <c r="BQ194">
        <v>69399160</v>
      </c>
      <c r="BR194">
        <v>66826284</v>
      </c>
      <c r="BS194">
        <v>58368160</v>
      </c>
      <c r="BT194">
        <v>34223588</v>
      </c>
      <c r="BU194">
        <v>54685688</v>
      </c>
      <c r="BV194">
        <v>33775160</v>
      </c>
      <c r="BW194">
        <v>31389184</v>
      </c>
      <c r="BX194">
        <v>86338064</v>
      </c>
      <c r="BY194">
        <v>37054884</v>
      </c>
      <c r="BZ194">
        <v>43210336</v>
      </c>
      <c r="CA194">
        <v>125380736</v>
      </c>
      <c r="CB194">
        <v>64240808</v>
      </c>
      <c r="CC194">
        <v>85399096</v>
      </c>
      <c r="CD194" s="17" t="s">
        <v>1289</v>
      </c>
      <c r="CE194" s="21">
        <v>62083.05</v>
      </c>
      <c r="CF194" s="21">
        <v>8736750</v>
      </c>
      <c r="CG194" s="19">
        <v>5001831.5</v>
      </c>
      <c r="CH194" s="19">
        <v>3274443.75</v>
      </c>
      <c r="CI194" s="21">
        <v>5838983.5</v>
      </c>
      <c r="CJ194" s="21">
        <v>7535351</v>
      </c>
      <c r="CK194" s="19">
        <v>3681985.25</v>
      </c>
      <c r="CL194" s="19">
        <v>3822429</v>
      </c>
      <c r="CM194" s="21">
        <v>5261576.5</v>
      </c>
      <c r="CN194" s="21">
        <v>4763343.5</v>
      </c>
      <c r="CO194" s="19">
        <v>3327896</v>
      </c>
      <c r="CP194" s="19">
        <v>3961630.75</v>
      </c>
      <c r="CQ194" s="21">
        <v>1753414.88</v>
      </c>
      <c r="CR194" s="21">
        <v>1651902.5</v>
      </c>
      <c r="CS194" s="19">
        <v>3283258.5</v>
      </c>
      <c r="CT194" s="19">
        <v>2930241.25</v>
      </c>
      <c r="CU194" s="21">
        <v>5795693.5</v>
      </c>
      <c r="CV194" s="21">
        <v>5523004</v>
      </c>
      <c r="CW194" s="19">
        <v>4924898.5</v>
      </c>
      <c r="CX194" s="19">
        <v>5176642</v>
      </c>
    </row>
    <row r="195" spans="1:102">
      <c r="A195">
        <v>30958</v>
      </c>
      <c r="B195" t="s">
        <v>166</v>
      </c>
      <c r="C195" t="s">
        <v>1289</v>
      </c>
      <c r="D195" t="s">
        <v>166</v>
      </c>
      <c r="F195" t="s">
        <v>167</v>
      </c>
      <c r="G195">
        <v>1179.97</v>
      </c>
      <c r="H195" t="s">
        <v>104</v>
      </c>
      <c r="I195">
        <v>2</v>
      </c>
      <c r="J195">
        <v>1</v>
      </c>
      <c r="K195">
        <v>0</v>
      </c>
      <c r="L195">
        <v>0</v>
      </c>
      <c r="M195">
        <v>0</v>
      </c>
      <c r="N195">
        <v>-1</v>
      </c>
      <c r="O195">
        <v>39</v>
      </c>
      <c r="P195">
        <v>1</v>
      </c>
      <c r="Q195">
        <v>39</v>
      </c>
      <c r="R195">
        <v>1</v>
      </c>
      <c r="S195">
        <v>39</v>
      </c>
      <c r="T195">
        <v>1</v>
      </c>
      <c r="U195">
        <v>1</v>
      </c>
      <c r="V195">
        <v>1</v>
      </c>
      <c r="W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2</v>
      </c>
      <c r="AQ195">
        <v>1</v>
      </c>
      <c r="AR195">
        <v>0</v>
      </c>
      <c r="AS195">
        <v>1</v>
      </c>
      <c r="AT195">
        <v>2</v>
      </c>
      <c r="AU195">
        <v>1</v>
      </c>
      <c r="AV195">
        <v>1</v>
      </c>
      <c r="AW195">
        <v>1</v>
      </c>
      <c r="AX195">
        <v>2</v>
      </c>
      <c r="AY195">
        <v>2</v>
      </c>
      <c r="AZ195">
        <v>1</v>
      </c>
      <c r="BA195">
        <v>1</v>
      </c>
      <c r="BB195">
        <v>1</v>
      </c>
      <c r="BC195">
        <v>0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119626352</v>
      </c>
      <c r="BK195">
        <v>86289712</v>
      </c>
      <c r="BL195">
        <v>1113911</v>
      </c>
      <c r="BM195">
        <v>18726816</v>
      </c>
      <c r="BN195">
        <v>88769752</v>
      </c>
      <c r="BO195">
        <v>47948972</v>
      </c>
      <c r="BP195">
        <v>46701832</v>
      </c>
      <c r="BQ195">
        <v>67159752</v>
      </c>
      <c r="BR195">
        <v>65328960</v>
      </c>
      <c r="BS195">
        <v>56358720</v>
      </c>
      <c r="BT195">
        <v>33595028</v>
      </c>
      <c r="BU195">
        <v>52598240</v>
      </c>
      <c r="BV195">
        <v>32840538</v>
      </c>
      <c r="BW195">
        <v>30270688</v>
      </c>
      <c r="BX195">
        <v>84143952</v>
      </c>
      <c r="BY195">
        <v>35843312</v>
      </c>
      <c r="BZ195">
        <v>42182624</v>
      </c>
      <c r="CA195">
        <v>122680488</v>
      </c>
      <c r="CB195">
        <v>62932240</v>
      </c>
      <c r="CC195">
        <v>83645864</v>
      </c>
      <c r="CD195" s="17" t="s">
        <v>1289</v>
      </c>
      <c r="CE195" s="21">
        <v>2928441</v>
      </c>
      <c r="CF195" s="21">
        <v>2301170.75</v>
      </c>
      <c r="CG195" s="19">
        <v>1861110.38</v>
      </c>
      <c r="CH195" s="19">
        <v>750249.5</v>
      </c>
      <c r="CI195" s="21">
        <v>1631123.88</v>
      </c>
      <c r="CJ195" s="21">
        <v>1768284.75</v>
      </c>
      <c r="CK195" s="19">
        <v>1049878.8799999999</v>
      </c>
      <c r="CL195" s="19">
        <v>974807.62</v>
      </c>
      <c r="CM195" s="21">
        <v>1286581.8799999999</v>
      </c>
      <c r="CN195" s="21">
        <v>1005409.25</v>
      </c>
      <c r="CO195" s="19">
        <v>1106817.3799999999</v>
      </c>
      <c r="CP195" s="19">
        <v>680727.12</v>
      </c>
      <c r="CQ195" s="21">
        <v>396386.44</v>
      </c>
      <c r="CR195" s="21">
        <v>263808.15999999997</v>
      </c>
      <c r="CS195" s="19">
        <v>807315.12</v>
      </c>
      <c r="CT195" s="19">
        <v>621656.81000000006</v>
      </c>
      <c r="CU195" s="21">
        <v>1198678.75</v>
      </c>
      <c r="CV195" s="21">
        <v>936975.81</v>
      </c>
      <c r="CW195" s="19">
        <v>912414.06</v>
      </c>
      <c r="CX195" s="19">
        <v>570714.31000000006</v>
      </c>
    </row>
    <row r="196" spans="1:102">
      <c r="A196">
        <v>31003</v>
      </c>
      <c r="B196" t="s">
        <v>243</v>
      </c>
      <c r="C196" t="s">
        <v>1290</v>
      </c>
      <c r="D196" t="s">
        <v>244</v>
      </c>
      <c r="E196" t="s">
        <v>245</v>
      </c>
      <c r="F196" t="s">
        <v>246</v>
      </c>
      <c r="G196">
        <v>791.4</v>
      </c>
      <c r="H196" t="s">
        <v>104</v>
      </c>
      <c r="I196">
        <v>2</v>
      </c>
      <c r="J196">
        <v>2</v>
      </c>
      <c r="K196">
        <v>1</v>
      </c>
      <c r="L196">
        <v>0</v>
      </c>
      <c r="M196">
        <v>0</v>
      </c>
      <c r="N196">
        <v>-1</v>
      </c>
      <c r="O196">
        <v>27</v>
      </c>
      <c r="P196">
        <v>21</v>
      </c>
      <c r="Q196">
        <v>28</v>
      </c>
      <c r="R196">
        <v>22</v>
      </c>
      <c r="S196">
        <v>28</v>
      </c>
      <c r="T196">
        <v>22</v>
      </c>
      <c r="U196">
        <v>22</v>
      </c>
      <c r="V196">
        <v>20</v>
      </c>
      <c r="W196">
        <v>20</v>
      </c>
      <c r="X196">
        <v>11</v>
      </c>
      <c r="Y196">
        <v>21</v>
      </c>
      <c r="Z196">
        <v>22</v>
      </c>
      <c r="AA196">
        <v>21</v>
      </c>
      <c r="AB196">
        <v>22</v>
      </c>
      <c r="AC196">
        <v>22</v>
      </c>
      <c r="AD196">
        <v>22</v>
      </c>
      <c r="AE196">
        <v>22</v>
      </c>
      <c r="AF196">
        <v>22</v>
      </c>
      <c r="AG196">
        <v>22</v>
      </c>
      <c r="AH196">
        <v>21</v>
      </c>
      <c r="AI196">
        <v>21</v>
      </c>
      <c r="AJ196">
        <v>22</v>
      </c>
      <c r="AK196">
        <v>21</v>
      </c>
      <c r="AL196">
        <v>21</v>
      </c>
      <c r="AM196">
        <v>22</v>
      </c>
      <c r="AN196">
        <v>22</v>
      </c>
      <c r="AO196">
        <v>22</v>
      </c>
      <c r="AP196">
        <v>25</v>
      </c>
      <c r="AQ196">
        <v>21</v>
      </c>
      <c r="AR196">
        <v>0</v>
      </c>
      <c r="AS196">
        <v>16</v>
      </c>
      <c r="AT196">
        <v>27</v>
      </c>
      <c r="AU196">
        <v>23</v>
      </c>
      <c r="AV196">
        <v>19</v>
      </c>
      <c r="AW196">
        <v>25</v>
      </c>
      <c r="AX196">
        <v>30</v>
      </c>
      <c r="AY196">
        <v>27</v>
      </c>
      <c r="AZ196">
        <v>16</v>
      </c>
      <c r="BA196">
        <v>26</v>
      </c>
      <c r="BB196">
        <v>19</v>
      </c>
      <c r="BC196">
        <v>19</v>
      </c>
      <c r="BD196">
        <v>21</v>
      </c>
      <c r="BE196">
        <v>22</v>
      </c>
      <c r="BF196">
        <v>14</v>
      </c>
      <c r="BG196">
        <v>23</v>
      </c>
      <c r="BH196">
        <v>30</v>
      </c>
      <c r="BI196">
        <v>21</v>
      </c>
      <c r="BJ196">
        <v>133149416</v>
      </c>
      <c r="BK196">
        <v>137118672</v>
      </c>
      <c r="BL196">
        <v>577486.62</v>
      </c>
      <c r="BM196">
        <v>29515512</v>
      </c>
      <c r="BN196">
        <v>153942272</v>
      </c>
      <c r="BO196">
        <v>80139944</v>
      </c>
      <c r="BP196">
        <v>70367040</v>
      </c>
      <c r="BQ196">
        <v>117284240</v>
      </c>
      <c r="BR196">
        <v>128789352</v>
      </c>
      <c r="BS196">
        <v>121575336</v>
      </c>
      <c r="BT196">
        <v>30686984</v>
      </c>
      <c r="BU196">
        <v>105931256</v>
      </c>
      <c r="BV196">
        <v>54901012</v>
      </c>
      <c r="BW196">
        <v>56060556</v>
      </c>
      <c r="BX196">
        <v>108435288</v>
      </c>
      <c r="BY196">
        <v>69447480</v>
      </c>
      <c r="BZ196">
        <v>44313188</v>
      </c>
      <c r="CA196">
        <v>118407080</v>
      </c>
      <c r="CB196">
        <v>103960312</v>
      </c>
      <c r="CC196">
        <v>72838296</v>
      </c>
      <c r="CD196" s="17" t="s">
        <v>1290</v>
      </c>
      <c r="CE196" s="21">
        <v>117531704</v>
      </c>
      <c r="CF196" s="21">
        <v>113074304</v>
      </c>
      <c r="CG196" s="19">
        <v>38946100</v>
      </c>
      <c r="CH196" s="19">
        <v>56087032</v>
      </c>
      <c r="CI196" s="21">
        <v>111787168</v>
      </c>
      <c r="CJ196" s="21">
        <v>103212040</v>
      </c>
      <c r="CK196" s="19">
        <v>49776392</v>
      </c>
      <c r="CL196" s="19">
        <v>40278096</v>
      </c>
      <c r="CM196" s="21">
        <v>124272776</v>
      </c>
      <c r="CN196" s="21">
        <v>117452960</v>
      </c>
      <c r="CO196" s="19">
        <v>70878896</v>
      </c>
      <c r="CP196" s="19">
        <v>76434688</v>
      </c>
      <c r="CQ196" s="21">
        <v>31369648</v>
      </c>
      <c r="CR196" s="21">
        <v>33767640</v>
      </c>
      <c r="CS196" s="19">
        <v>50117756</v>
      </c>
      <c r="CT196" s="19">
        <v>46435248</v>
      </c>
      <c r="CU196" s="21">
        <v>98352120</v>
      </c>
      <c r="CV196" s="21">
        <v>88862480</v>
      </c>
      <c r="CW196" s="19">
        <v>103923504</v>
      </c>
      <c r="CX196" s="19">
        <v>85897216</v>
      </c>
    </row>
    <row r="197" spans="1:102">
      <c r="A197">
        <v>31004</v>
      </c>
      <c r="B197" t="s">
        <v>554</v>
      </c>
      <c r="C197" t="s">
        <v>1291</v>
      </c>
      <c r="D197" t="s">
        <v>555</v>
      </c>
      <c r="F197" t="s">
        <v>556</v>
      </c>
      <c r="G197">
        <v>117.684</v>
      </c>
      <c r="H197" t="s">
        <v>104</v>
      </c>
      <c r="I197">
        <v>2</v>
      </c>
      <c r="J197">
        <v>3</v>
      </c>
      <c r="K197">
        <v>0</v>
      </c>
      <c r="L197">
        <v>0</v>
      </c>
      <c r="M197">
        <v>0</v>
      </c>
      <c r="N197">
        <v>-1</v>
      </c>
      <c r="O197">
        <v>7</v>
      </c>
      <c r="P197">
        <v>1</v>
      </c>
      <c r="Q197">
        <v>7</v>
      </c>
      <c r="R197">
        <v>1</v>
      </c>
      <c r="S197">
        <v>7</v>
      </c>
      <c r="T197">
        <v>1</v>
      </c>
      <c r="U197">
        <v>1</v>
      </c>
      <c r="V197">
        <v>1</v>
      </c>
      <c r="W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1</v>
      </c>
      <c r="AY197">
        <v>1</v>
      </c>
      <c r="AZ197">
        <v>0</v>
      </c>
      <c r="BA197">
        <v>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24574188</v>
      </c>
      <c r="BK197">
        <v>26624296</v>
      </c>
      <c r="BL197">
        <v>100159.43</v>
      </c>
      <c r="BM197">
        <v>5267175.5</v>
      </c>
      <c r="BN197">
        <v>30253076</v>
      </c>
      <c r="BO197">
        <v>15822820</v>
      </c>
      <c r="BP197">
        <v>14612435</v>
      </c>
      <c r="BQ197">
        <v>22700120</v>
      </c>
      <c r="BR197">
        <v>22804944</v>
      </c>
      <c r="BS197">
        <v>21963084</v>
      </c>
      <c r="BT197">
        <v>5389874</v>
      </c>
      <c r="BU197">
        <v>18403938</v>
      </c>
      <c r="BV197">
        <v>10795721</v>
      </c>
      <c r="BW197">
        <v>10766088</v>
      </c>
      <c r="BX197">
        <v>21256152</v>
      </c>
      <c r="BY197">
        <v>16973036</v>
      </c>
      <c r="BZ197">
        <v>10207022</v>
      </c>
      <c r="CA197">
        <v>22536746</v>
      </c>
      <c r="CB197">
        <v>18479174</v>
      </c>
      <c r="CC197">
        <v>12644776</v>
      </c>
      <c r="CD197" s="17" t="s">
        <v>1291</v>
      </c>
      <c r="CE197" s="21">
        <v>1209531.5</v>
      </c>
      <c r="CF197" s="21">
        <v>878754.31</v>
      </c>
      <c r="CG197" s="19">
        <v>1861110.38</v>
      </c>
      <c r="CH197" s="19">
        <v>179725.17</v>
      </c>
      <c r="CI197" s="21">
        <v>1458451.75</v>
      </c>
      <c r="CJ197" s="21">
        <v>999270.44</v>
      </c>
      <c r="CK197" s="19">
        <v>1021217.75</v>
      </c>
      <c r="CL197" s="19">
        <v>556826.06000000006</v>
      </c>
      <c r="CM197" s="21">
        <v>1260545</v>
      </c>
      <c r="CN197" s="21">
        <v>817768.88</v>
      </c>
      <c r="CO197" s="19">
        <v>806913.12</v>
      </c>
      <c r="CP197" s="19">
        <v>759526.5</v>
      </c>
      <c r="CQ197" s="21">
        <v>286141.65999999997</v>
      </c>
      <c r="CR197" s="21">
        <v>262462.88</v>
      </c>
      <c r="CS197" s="19">
        <v>660879.25</v>
      </c>
      <c r="CT197" s="19">
        <v>852860.31</v>
      </c>
      <c r="CU197" s="21">
        <v>993238.94</v>
      </c>
      <c r="CV197" s="21">
        <v>786090.56</v>
      </c>
      <c r="CW197" s="19">
        <v>896599.25</v>
      </c>
      <c r="CX197" s="19">
        <v>518941.16</v>
      </c>
    </row>
    <row r="198" spans="1:102">
      <c r="A198">
        <v>30929</v>
      </c>
      <c r="B198" t="s">
        <v>202</v>
      </c>
      <c r="C198" t="s">
        <v>1292</v>
      </c>
      <c r="D198" t="s">
        <v>203</v>
      </c>
      <c r="E198" t="s">
        <v>204</v>
      </c>
      <c r="F198" t="s">
        <v>205</v>
      </c>
      <c r="G198">
        <v>937.697</v>
      </c>
      <c r="H198" t="s">
        <v>104</v>
      </c>
      <c r="I198">
        <v>2</v>
      </c>
      <c r="J198">
        <v>2</v>
      </c>
      <c r="K198">
        <v>18</v>
      </c>
      <c r="L198">
        <v>0</v>
      </c>
      <c r="M198">
        <v>0</v>
      </c>
      <c r="N198">
        <v>-1</v>
      </c>
      <c r="O198">
        <v>34</v>
      </c>
      <c r="P198">
        <v>34</v>
      </c>
      <c r="Q198">
        <v>34</v>
      </c>
      <c r="R198">
        <v>34</v>
      </c>
      <c r="S198">
        <v>34</v>
      </c>
      <c r="T198">
        <v>34</v>
      </c>
      <c r="U198">
        <v>34</v>
      </c>
      <c r="V198">
        <v>30</v>
      </c>
      <c r="W198">
        <v>33</v>
      </c>
      <c r="X198">
        <v>6</v>
      </c>
      <c r="Y198">
        <v>33</v>
      </c>
      <c r="Z198">
        <v>33</v>
      </c>
      <c r="AA198">
        <v>33</v>
      </c>
      <c r="AB198">
        <v>33</v>
      </c>
      <c r="AC198">
        <v>34</v>
      </c>
      <c r="AD198">
        <v>34</v>
      </c>
      <c r="AE198">
        <v>34</v>
      </c>
      <c r="AF198">
        <v>34</v>
      </c>
      <c r="AG198">
        <v>34</v>
      </c>
      <c r="AH198">
        <v>33</v>
      </c>
      <c r="AI198">
        <v>32</v>
      </c>
      <c r="AJ198">
        <v>34</v>
      </c>
      <c r="AK198">
        <v>33</v>
      </c>
      <c r="AL198">
        <v>33</v>
      </c>
      <c r="AM198">
        <v>34</v>
      </c>
      <c r="AN198">
        <v>34</v>
      </c>
      <c r="AO198">
        <v>34</v>
      </c>
      <c r="AP198">
        <v>33</v>
      </c>
      <c r="AQ198">
        <v>32</v>
      </c>
      <c r="AR198">
        <v>0</v>
      </c>
      <c r="AS198">
        <v>13</v>
      </c>
      <c r="AT198">
        <v>31</v>
      </c>
      <c r="AU198">
        <v>25</v>
      </c>
      <c r="AV198">
        <v>17</v>
      </c>
      <c r="AW198">
        <v>33</v>
      </c>
      <c r="AX198">
        <v>32</v>
      </c>
      <c r="AY198">
        <v>33</v>
      </c>
      <c r="AZ198">
        <v>12</v>
      </c>
      <c r="BA198">
        <v>28</v>
      </c>
      <c r="BB198">
        <v>15</v>
      </c>
      <c r="BC198">
        <v>20</v>
      </c>
      <c r="BD198">
        <v>28</v>
      </c>
      <c r="BE198">
        <v>24</v>
      </c>
      <c r="BF198">
        <v>21</v>
      </c>
      <c r="BG198">
        <v>35</v>
      </c>
      <c r="BH198">
        <v>32</v>
      </c>
      <c r="BI198">
        <v>32</v>
      </c>
      <c r="BJ198">
        <v>86454064</v>
      </c>
      <c r="BK198">
        <v>102201440</v>
      </c>
      <c r="BL198">
        <v>313871.44</v>
      </c>
      <c r="BM198">
        <v>21164268</v>
      </c>
      <c r="BN198">
        <v>115526392</v>
      </c>
      <c r="BO198">
        <v>59636492</v>
      </c>
      <c r="BP198">
        <v>47016520</v>
      </c>
      <c r="BQ198">
        <v>98481976</v>
      </c>
      <c r="BR198">
        <v>83045688</v>
      </c>
      <c r="BS198">
        <v>88247208</v>
      </c>
      <c r="BT198">
        <v>20197666</v>
      </c>
      <c r="BU198">
        <v>67610840</v>
      </c>
      <c r="BV198">
        <v>31078266</v>
      </c>
      <c r="BW198">
        <v>49237700</v>
      </c>
      <c r="BX198">
        <v>93647080</v>
      </c>
      <c r="BY198">
        <v>60913972</v>
      </c>
      <c r="BZ198">
        <v>38247352</v>
      </c>
      <c r="CA198">
        <v>105447560</v>
      </c>
      <c r="CB198">
        <v>69080360</v>
      </c>
      <c r="CC198">
        <v>69637128</v>
      </c>
      <c r="CD198" s="17" t="s">
        <v>1292</v>
      </c>
      <c r="CE198" s="21">
        <v>94814336</v>
      </c>
      <c r="CF198" s="21">
        <v>77419640</v>
      </c>
      <c r="CG198" s="19">
        <v>26467146</v>
      </c>
      <c r="CH198" s="19">
        <v>34287744</v>
      </c>
      <c r="CI198" s="21">
        <v>92874440</v>
      </c>
      <c r="CJ198" s="21">
        <v>97755304</v>
      </c>
      <c r="CK198" s="19">
        <v>35478532</v>
      </c>
      <c r="CL198" s="19">
        <v>40562848</v>
      </c>
      <c r="CM198" s="21">
        <v>86899176</v>
      </c>
      <c r="CN198" s="21">
        <v>83225992</v>
      </c>
      <c r="CO198" s="19">
        <v>60109008</v>
      </c>
      <c r="CP198" s="19">
        <v>52672732</v>
      </c>
      <c r="CQ198" s="21">
        <v>24897710</v>
      </c>
      <c r="CR198" s="21">
        <v>31229296</v>
      </c>
      <c r="CS198" s="19">
        <v>39720124</v>
      </c>
      <c r="CT198" s="19">
        <v>49451696</v>
      </c>
      <c r="CU198" s="21">
        <v>91082400</v>
      </c>
      <c r="CV198" s="21">
        <v>85821648</v>
      </c>
      <c r="CW198" s="19">
        <v>81855096</v>
      </c>
      <c r="CX198" s="19">
        <v>92957984</v>
      </c>
    </row>
    <row r="199" spans="1:102">
      <c r="A199">
        <v>30997</v>
      </c>
      <c r="B199" t="s">
        <v>198</v>
      </c>
      <c r="C199" t="s">
        <v>1293</v>
      </c>
      <c r="D199" t="s">
        <v>199</v>
      </c>
      <c r="E199" t="s">
        <v>200</v>
      </c>
      <c r="F199" t="s">
        <v>201</v>
      </c>
      <c r="G199">
        <v>955.31299999999999</v>
      </c>
      <c r="H199" t="s">
        <v>104</v>
      </c>
      <c r="I199">
        <v>2</v>
      </c>
      <c r="J199">
        <v>11</v>
      </c>
      <c r="K199">
        <v>10</v>
      </c>
      <c r="L199">
        <v>0</v>
      </c>
      <c r="M199">
        <v>0</v>
      </c>
      <c r="N199">
        <v>-1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30</v>
      </c>
      <c r="U199">
        <v>30</v>
      </c>
      <c r="V199">
        <v>30</v>
      </c>
      <c r="W199">
        <v>30</v>
      </c>
      <c r="X199">
        <v>8</v>
      </c>
      <c r="Y199">
        <v>29</v>
      </c>
      <c r="Z199">
        <v>30</v>
      </c>
      <c r="AA199">
        <v>30</v>
      </c>
      <c r="AB199">
        <v>30</v>
      </c>
      <c r="AC199">
        <v>30</v>
      </c>
      <c r="AD199">
        <v>30</v>
      </c>
      <c r="AE199">
        <v>30</v>
      </c>
      <c r="AF199">
        <v>30</v>
      </c>
      <c r="AG199">
        <v>30</v>
      </c>
      <c r="AH199">
        <v>29</v>
      </c>
      <c r="AI199">
        <v>30</v>
      </c>
      <c r="AJ199">
        <v>30</v>
      </c>
      <c r="AK199">
        <v>30</v>
      </c>
      <c r="AL199">
        <v>29</v>
      </c>
      <c r="AM199">
        <v>30</v>
      </c>
      <c r="AN199">
        <v>30</v>
      </c>
      <c r="AO199">
        <v>30</v>
      </c>
      <c r="AP199">
        <v>29</v>
      </c>
      <c r="AQ199">
        <v>31</v>
      </c>
      <c r="AR199">
        <v>1</v>
      </c>
      <c r="AS199">
        <v>14</v>
      </c>
      <c r="AT199">
        <v>29</v>
      </c>
      <c r="AU199">
        <v>22</v>
      </c>
      <c r="AV199">
        <v>19</v>
      </c>
      <c r="AW199">
        <v>25</v>
      </c>
      <c r="AX199">
        <v>28</v>
      </c>
      <c r="AY199">
        <v>27</v>
      </c>
      <c r="AZ199">
        <v>16</v>
      </c>
      <c r="BA199">
        <v>23</v>
      </c>
      <c r="BB199">
        <v>16</v>
      </c>
      <c r="BC199">
        <v>14</v>
      </c>
      <c r="BD199">
        <v>23</v>
      </c>
      <c r="BE199">
        <v>20</v>
      </c>
      <c r="BF199">
        <v>16</v>
      </c>
      <c r="BG199">
        <v>29</v>
      </c>
      <c r="BH199">
        <v>27</v>
      </c>
      <c r="BI199">
        <v>24</v>
      </c>
      <c r="BJ199">
        <v>92148248</v>
      </c>
      <c r="BK199">
        <v>98060192</v>
      </c>
      <c r="BL199">
        <v>314577.81</v>
      </c>
      <c r="BM199">
        <v>21651778</v>
      </c>
      <c r="BN199">
        <v>101258536</v>
      </c>
      <c r="BO199">
        <v>58523372</v>
      </c>
      <c r="BP199">
        <v>42675180</v>
      </c>
      <c r="BQ199">
        <v>85136640</v>
      </c>
      <c r="BR199">
        <v>81411136</v>
      </c>
      <c r="BS199">
        <v>95754768</v>
      </c>
      <c r="BT199">
        <v>28678132</v>
      </c>
      <c r="BU199">
        <v>74785456</v>
      </c>
      <c r="BV199">
        <v>30702980</v>
      </c>
      <c r="BW199">
        <v>37694708</v>
      </c>
      <c r="BX199">
        <v>71341408</v>
      </c>
      <c r="BY199">
        <v>52631612</v>
      </c>
      <c r="BZ199">
        <v>37734632</v>
      </c>
      <c r="CA199">
        <v>84749488</v>
      </c>
      <c r="CB199">
        <v>59470856</v>
      </c>
      <c r="CC199">
        <v>61586596</v>
      </c>
      <c r="CD199" s="17" t="s">
        <v>1293</v>
      </c>
      <c r="CE199" s="21">
        <v>111615208</v>
      </c>
      <c r="CF199" s="21">
        <v>113956256</v>
      </c>
      <c r="CG199" s="19">
        <v>27800696</v>
      </c>
      <c r="CH199" s="19">
        <v>39136804</v>
      </c>
      <c r="CI199" s="21">
        <v>95176328</v>
      </c>
      <c r="CJ199" s="21">
        <v>84490440</v>
      </c>
      <c r="CK199" s="19">
        <v>40313504</v>
      </c>
      <c r="CL199" s="19">
        <v>44637380</v>
      </c>
      <c r="CM199" s="21">
        <v>89713744</v>
      </c>
      <c r="CN199" s="21">
        <v>76607024</v>
      </c>
      <c r="CO199" s="19">
        <v>64798280</v>
      </c>
      <c r="CP199" s="19">
        <v>54950536</v>
      </c>
      <c r="CQ199" s="21">
        <v>26443384</v>
      </c>
      <c r="CR199" s="21">
        <v>25904366</v>
      </c>
      <c r="CS199" s="19">
        <v>44940008</v>
      </c>
      <c r="CT199" s="19">
        <v>47921588</v>
      </c>
      <c r="CU199" s="21">
        <v>84768792</v>
      </c>
      <c r="CV199" s="21">
        <v>72103224</v>
      </c>
      <c r="CW199" s="19">
        <v>79922912</v>
      </c>
      <c r="CX199" s="19">
        <v>85151232</v>
      </c>
    </row>
    <row r="200" spans="1:102">
      <c r="A200">
        <v>31051</v>
      </c>
      <c r="B200" t="s">
        <v>313</v>
      </c>
      <c r="C200" t="s">
        <v>1294</v>
      </c>
      <c r="D200" t="s">
        <v>314</v>
      </c>
      <c r="E200" t="s">
        <v>315</v>
      </c>
      <c r="F200" t="s">
        <v>316</v>
      </c>
      <c r="G200">
        <v>555.95899999999995</v>
      </c>
      <c r="H200" t="s">
        <v>104</v>
      </c>
      <c r="I200">
        <v>2</v>
      </c>
      <c r="J200">
        <v>7</v>
      </c>
      <c r="K200">
        <v>1</v>
      </c>
      <c r="L200">
        <v>0</v>
      </c>
      <c r="M200">
        <v>0</v>
      </c>
      <c r="N200">
        <v>-1</v>
      </c>
      <c r="O200">
        <v>16</v>
      </c>
      <c r="P200">
        <v>16</v>
      </c>
      <c r="Q200">
        <v>16</v>
      </c>
      <c r="R200">
        <v>16</v>
      </c>
      <c r="S200">
        <v>16</v>
      </c>
      <c r="T200">
        <v>16</v>
      </c>
      <c r="U200">
        <v>16</v>
      </c>
      <c r="V200">
        <v>16</v>
      </c>
      <c r="W200">
        <v>15</v>
      </c>
      <c r="X200">
        <v>13</v>
      </c>
      <c r="Y200">
        <v>16</v>
      </c>
      <c r="Z200">
        <v>16</v>
      </c>
      <c r="AA200">
        <v>16</v>
      </c>
      <c r="AB200">
        <v>16</v>
      </c>
      <c r="AC200">
        <v>16</v>
      </c>
      <c r="AD200">
        <v>16</v>
      </c>
      <c r="AE200">
        <v>16</v>
      </c>
      <c r="AF200">
        <v>16</v>
      </c>
      <c r="AG200">
        <v>16</v>
      </c>
      <c r="AH200">
        <v>15</v>
      </c>
      <c r="AI200">
        <v>15</v>
      </c>
      <c r="AJ200">
        <v>16</v>
      </c>
      <c r="AK200">
        <v>16</v>
      </c>
      <c r="AL200">
        <v>14</v>
      </c>
      <c r="AM200">
        <v>16</v>
      </c>
      <c r="AN200">
        <v>16</v>
      </c>
      <c r="AO200">
        <v>16</v>
      </c>
      <c r="AP200">
        <v>21</v>
      </c>
      <c r="AQ200">
        <v>16</v>
      </c>
      <c r="AR200">
        <v>1</v>
      </c>
      <c r="AS200">
        <v>10</v>
      </c>
      <c r="AT200">
        <v>17</v>
      </c>
      <c r="AU200">
        <v>13</v>
      </c>
      <c r="AV200">
        <v>12</v>
      </c>
      <c r="AW200">
        <v>17</v>
      </c>
      <c r="AX200">
        <v>24</v>
      </c>
      <c r="AY200">
        <v>21</v>
      </c>
      <c r="AZ200">
        <v>10</v>
      </c>
      <c r="BA200">
        <v>15</v>
      </c>
      <c r="BB200">
        <v>11</v>
      </c>
      <c r="BC200">
        <v>11</v>
      </c>
      <c r="BD200">
        <v>16</v>
      </c>
      <c r="BE200">
        <v>13</v>
      </c>
      <c r="BF200">
        <v>11</v>
      </c>
      <c r="BG200">
        <v>14</v>
      </c>
      <c r="BH200">
        <v>24</v>
      </c>
      <c r="BI200">
        <v>15</v>
      </c>
      <c r="BJ200">
        <v>92899576</v>
      </c>
      <c r="BK200">
        <v>132707800</v>
      </c>
      <c r="BL200">
        <v>662937.75</v>
      </c>
      <c r="BM200">
        <v>26920580</v>
      </c>
      <c r="BN200">
        <v>127883376</v>
      </c>
      <c r="BO200">
        <v>69217736</v>
      </c>
      <c r="BP200">
        <v>39854364</v>
      </c>
      <c r="BQ200">
        <v>113238624</v>
      </c>
      <c r="BR200">
        <v>116775032</v>
      </c>
      <c r="BS200">
        <v>120373192</v>
      </c>
      <c r="BT200">
        <v>28967620</v>
      </c>
      <c r="BU200">
        <v>111467168</v>
      </c>
      <c r="BV200">
        <v>32917504</v>
      </c>
      <c r="BW200">
        <v>48570028</v>
      </c>
      <c r="BX200">
        <v>98828344</v>
      </c>
      <c r="BY200">
        <v>61420488</v>
      </c>
      <c r="BZ200">
        <v>40621716</v>
      </c>
      <c r="CA200">
        <v>117589216</v>
      </c>
      <c r="CB200">
        <v>93435488</v>
      </c>
      <c r="CC200">
        <v>68710928</v>
      </c>
      <c r="CD200" s="17" t="s">
        <v>1294</v>
      </c>
      <c r="CE200" s="21">
        <v>106048400</v>
      </c>
      <c r="CF200" s="21">
        <v>113707152</v>
      </c>
      <c r="CG200" s="19">
        <v>43060660</v>
      </c>
      <c r="CH200" s="19">
        <v>37257988</v>
      </c>
      <c r="CI200" s="21">
        <v>98073728</v>
      </c>
      <c r="CJ200" s="21">
        <v>105369448</v>
      </c>
      <c r="CK200" s="19">
        <v>33036988</v>
      </c>
      <c r="CL200" s="19">
        <v>42936848</v>
      </c>
      <c r="CM200" s="21">
        <v>123652984</v>
      </c>
      <c r="CN200" s="21">
        <v>115418064</v>
      </c>
      <c r="CO200" s="19">
        <v>76455672</v>
      </c>
      <c r="CP200" s="19">
        <v>87638936</v>
      </c>
      <c r="CQ200" s="21">
        <v>30727578</v>
      </c>
      <c r="CR200" s="21">
        <v>31155586</v>
      </c>
      <c r="CS200" s="19">
        <v>47527568</v>
      </c>
      <c r="CT200" s="19">
        <v>50744364</v>
      </c>
      <c r="CU200" s="21">
        <v>96800992</v>
      </c>
      <c r="CV200" s="21">
        <v>100368440</v>
      </c>
      <c r="CW200" s="19">
        <v>112649352</v>
      </c>
      <c r="CX200" s="19">
        <v>98728336</v>
      </c>
    </row>
    <row r="201" spans="1:102">
      <c r="A201">
        <v>31045</v>
      </c>
      <c r="B201" t="s">
        <v>172</v>
      </c>
      <c r="C201" t="s">
        <v>1295</v>
      </c>
      <c r="D201" t="s">
        <v>173</v>
      </c>
      <c r="E201" t="s">
        <v>174</v>
      </c>
      <c r="F201" t="s">
        <v>175</v>
      </c>
      <c r="G201">
        <v>1084.616</v>
      </c>
      <c r="H201" t="s">
        <v>104</v>
      </c>
      <c r="I201">
        <v>2</v>
      </c>
      <c r="J201">
        <v>3</v>
      </c>
      <c r="K201">
        <v>18</v>
      </c>
      <c r="L201">
        <v>0</v>
      </c>
      <c r="M201">
        <v>0</v>
      </c>
      <c r="N201">
        <v>-1</v>
      </c>
      <c r="O201">
        <v>29</v>
      </c>
      <c r="P201">
        <v>29</v>
      </c>
      <c r="Q201">
        <v>29</v>
      </c>
      <c r="R201">
        <v>29</v>
      </c>
      <c r="S201">
        <v>29</v>
      </c>
      <c r="T201">
        <v>29</v>
      </c>
      <c r="U201">
        <v>29</v>
      </c>
      <c r="V201">
        <v>26</v>
      </c>
      <c r="W201">
        <v>28</v>
      </c>
      <c r="X201">
        <v>11</v>
      </c>
      <c r="Y201">
        <v>28</v>
      </c>
      <c r="Z201">
        <v>29</v>
      </c>
      <c r="AA201">
        <v>29</v>
      </c>
      <c r="AB201">
        <v>26</v>
      </c>
      <c r="AC201">
        <v>29</v>
      </c>
      <c r="AD201">
        <v>29</v>
      </c>
      <c r="AE201">
        <v>29</v>
      </c>
      <c r="AF201">
        <v>29</v>
      </c>
      <c r="AG201">
        <v>29</v>
      </c>
      <c r="AH201">
        <v>28</v>
      </c>
      <c r="AI201">
        <v>28</v>
      </c>
      <c r="AJ201">
        <v>29</v>
      </c>
      <c r="AK201">
        <v>28</v>
      </c>
      <c r="AL201">
        <v>27</v>
      </c>
      <c r="AM201">
        <v>29</v>
      </c>
      <c r="AN201">
        <v>29</v>
      </c>
      <c r="AO201">
        <v>29</v>
      </c>
      <c r="AP201">
        <v>29</v>
      </c>
      <c r="AQ201">
        <v>31</v>
      </c>
      <c r="AR201">
        <v>1</v>
      </c>
      <c r="AS201">
        <v>19</v>
      </c>
      <c r="AT201">
        <v>28</v>
      </c>
      <c r="AU201">
        <v>22</v>
      </c>
      <c r="AV201">
        <v>17</v>
      </c>
      <c r="AW201">
        <v>35</v>
      </c>
      <c r="AX201">
        <v>28</v>
      </c>
      <c r="AY201">
        <v>32</v>
      </c>
      <c r="AZ201">
        <v>18</v>
      </c>
      <c r="BA201">
        <v>35</v>
      </c>
      <c r="BB201">
        <v>17</v>
      </c>
      <c r="BC201">
        <v>27</v>
      </c>
      <c r="BD201">
        <v>25</v>
      </c>
      <c r="BE201">
        <v>24</v>
      </c>
      <c r="BF201">
        <v>17</v>
      </c>
      <c r="BG201">
        <v>35</v>
      </c>
      <c r="BH201">
        <v>29</v>
      </c>
      <c r="BI201">
        <v>35</v>
      </c>
      <c r="BJ201">
        <v>90060376</v>
      </c>
      <c r="BK201">
        <v>137017056</v>
      </c>
      <c r="BL201">
        <v>932968.5</v>
      </c>
      <c r="BM201">
        <v>30099308</v>
      </c>
      <c r="BN201">
        <v>84506592</v>
      </c>
      <c r="BO201">
        <v>59970872</v>
      </c>
      <c r="BP201">
        <v>37857860</v>
      </c>
      <c r="BQ201">
        <v>131377968</v>
      </c>
      <c r="BR201">
        <v>85072584</v>
      </c>
      <c r="BS201">
        <v>93249912</v>
      </c>
      <c r="BT201">
        <v>34266520</v>
      </c>
      <c r="BU201">
        <v>105568120</v>
      </c>
      <c r="BV201">
        <v>28497808</v>
      </c>
      <c r="BW201">
        <v>61686076</v>
      </c>
      <c r="BX201">
        <v>67042396</v>
      </c>
      <c r="BY201">
        <v>52914556</v>
      </c>
      <c r="BZ201">
        <v>33747568</v>
      </c>
      <c r="CA201">
        <v>159508864</v>
      </c>
      <c r="CB201">
        <v>57357968</v>
      </c>
      <c r="CC201">
        <v>107548400</v>
      </c>
      <c r="CD201" s="17" t="s">
        <v>1295</v>
      </c>
      <c r="CE201" s="21">
        <v>98065552</v>
      </c>
      <c r="CF201" s="21">
        <v>134381952</v>
      </c>
      <c r="CG201" s="19">
        <v>40637892</v>
      </c>
      <c r="CH201" s="19">
        <v>32891154</v>
      </c>
      <c r="CI201" s="21">
        <v>73933344</v>
      </c>
      <c r="CJ201" s="21">
        <v>73590616</v>
      </c>
      <c r="CK201" s="19">
        <v>32447636</v>
      </c>
      <c r="CL201" s="19">
        <v>39873220</v>
      </c>
      <c r="CM201" s="21">
        <v>92744688</v>
      </c>
      <c r="CN201" s="21">
        <v>77165248</v>
      </c>
      <c r="CO201" s="19">
        <v>88123264</v>
      </c>
      <c r="CP201" s="19">
        <v>88934840</v>
      </c>
      <c r="CQ201" s="21">
        <v>35470732</v>
      </c>
      <c r="CR201" s="21">
        <v>41995588</v>
      </c>
      <c r="CS201" s="19">
        <v>44013176</v>
      </c>
      <c r="CT201" s="19">
        <v>45512228</v>
      </c>
      <c r="CU201" s="21">
        <v>125699320</v>
      </c>
      <c r="CV201" s="21">
        <v>136046752</v>
      </c>
      <c r="CW201" s="19">
        <v>93128088</v>
      </c>
      <c r="CX201" s="19">
        <v>171842960</v>
      </c>
    </row>
    <row r="202" spans="1:102">
      <c r="A202">
        <v>30924</v>
      </c>
      <c r="B202" t="s">
        <v>455</v>
      </c>
      <c r="C202" t="s">
        <v>1296</v>
      </c>
      <c r="D202" t="s">
        <v>456</v>
      </c>
      <c r="E202" t="s">
        <v>457</v>
      </c>
      <c r="F202" t="s">
        <v>458</v>
      </c>
      <c r="G202">
        <v>231.60300000000001</v>
      </c>
      <c r="H202" t="s">
        <v>104</v>
      </c>
      <c r="I202">
        <v>2</v>
      </c>
      <c r="J202">
        <v>20</v>
      </c>
      <c r="K202">
        <v>1</v>
      </c>
      <c r="L202">
        <v>0</v>
      </c>
      <c r="M202">
        <v>0</v>
      </c>
      <c r="N202">
        <v>-1</v>
      </c>
      <c r="O202">
        <v>13</v>
      </c>
      <c r="P202">
        <v>13</v>
      </c>
      <c r="Q202">
        <v>13</v>
      </c>
      <c r="R202">
        <v>13</v>
      </c>
      <c r="S202">
        <v>13</v>
      </c>
      <c r="T202">
        <v>13</v>
      </c>
      <c r="U202">
        <v>13</v>
      </c>
      <c r="V202">
        <v>11</v>
      </c>
      <c r="W202">
        <v>12</v>
      </c>
      <c r="X202">
        <v>1</v>
      </c>
      <c r="Y202">
        <v>9</v>
      </c>
      <c r="Z202">
        <v>13</v>
      </c>
      <c r="AA202">
        <v>13</v>
      </c>
      <c r="AB202">
        <v>13</v>
      </c>
      <c r="AC202">
        <v>13</v>
      </c>
      <c r="AD202">
        <v>13</v>
      </c>
      <c r="AE202">
        <v>13</v>
      </c>
      <c r="AF202">
        <v>13</v>
      </c>
      <c r="AG202">
        <v>13</v>
      </c>
      <c r="AH202">
        <v>13</v>
      </c>
      <c r="AI202">
        <v>10</v>
      </c>
      <c r="AJ202">
        <v>13</v>
      </c>
      <c r="AK202">
        <v>12</v>
      </c>
      <c r="AL202">
        <v>13</v>
      </c>
      <c r="AM202">
        <v>11</v>
      </c>
      <c r="AN202">
        <v>13</v>
      </c>
      <c r="AO202">
        <v>12</v>
      </c>
      <c r="AP202">
        <v>11</v>
      </c>
      <c r="AQ202">
        <v>2</v>
      </c>
      <c r="AR202">
        <v>0</v>
      </c>
      <c r="AS202">
        <v>0</v>
      </c>
      <c r="AT202">
        <v>10</v>
      </c>
      <c r="AU202">
        <v>3</v>
      </c>
      <c r="AV202">
        <v>6</v>
      </c>
      <c r="AW202">
        <v>3</v>
      </c>
      <c r="AX202">
        <v>7</v>
      </c>
      <c r="AY202">
        <v>4</v>
      </c>
      <c r="AZ202">
        <v>4</v>
      </c>
      <c r="BA202">
        <v>1</v>
      </c>
      <c r="BB202">
        <v>2</v>
      </c>
      <c r="BC202">
        <v>0</v>
      </c>
      <c r="BD202">
        <v>8</v>
      </c>
      <c r="BE202">
        <v>5</v>
      </c>
      <c r="BF202">
        <v>6</v>
      </c>
      <c r="BG202">
        <v>2</v>
      </c>
      <c r="BH202">
        <v>5</v>
      </c>
      <c r="BI202">
        <v>3</v>
      </c>
      <c r="BJ202">
        <v>16884706</v>
      </c>
      <c r="BK202">
        <v>5859882</v>
      </c>
      <c r="BL202">
        <v>93213.52</v>
      </c>
      <c r="BM202">
        <v>1007679.06</v>
      </c>
      <c r="BN202">
        <v>16457051</v>
      </c>
      <c r="BO202">
        <v>7577399</v>
      </c>
      <c r="BP202">
        <v>11714208</v>
      </c>
      <c r="BQ202">
        <v>7418118</v>
      </c>
      <c r="BR202">
        <v>10356115</v>
      </c>
      <c r="BS202">
        <v>5735676</v>
      </c>
      <c r="BT202">
        <v>3718301</v>
      </c>
      <c r="BU202">
        <v>5000309</v>
      </c>
      <c r="BV202">
        <v>5729825</v>
      </c>
      <c r="BW202">
        <v>3168335</v>
      </c>
      <c r="BX202">
        <v>12788677</v>
      </c>
      <c r="BY202">
        <v>6971538.5</v>
      </c>
      <c r="BZ202">
        <v>7717647.5</v>
      </c>
      <c r="CA202">
        <v>6152684</v>
      </c>
      <c r="CB202">
        <v>7911997.5</v>
      </c>
      <c r="CC202">
        <v>4405676.5</v>
      </c>
      <c r="CD202" s="17" t="s">
        <v>1296</v>
      </c>
      <c r="CE202" s="21">
        <v>19583230</v>
      </c>
      <c r="CF202" s="21">
        <v>13444296</v>
      </c>
      <c r="CG202" s="19">
        <v>7309987.5</v>
      </c>
      <c r="CH202" s="19">
        <v>5870998.5</v>
      </c>
      <c r="CI202" s="21">
        <v>13038562</v>
      </c>
      <c r="CJ202" s="21">
        <v>12565393</v>
      </c>
      <c r="CK202" s="19">
        <v>8148841</v>
      </c>
      <c r="CL202" s="19">
        <v>6975060</v>
      </c>
      <c r="CM202" s="21">
        <v>10541106</v>
      </c>
      <c r="CN202" s="21">
        <v>8647477</v>
      </c>
      <c r="CO202" s="19">
        <v>3880764.25</v>
      </c>
      <c r="CP202" s="19">
        <v>3561338.75</v>
      </c>
      <c r="CQ202" s="21">
        <v>1268882.75</v>
      </c>
      <c r="CR202" s="21">
        <v>1846937.62</v>
      </c>
      <c r="CS202" s="19">
        <v>4657810.5</v>
      </c>
      <c r="CT202" s="19">
        <v>5460834</v>
      </c>
      <c r="CU202" s="21">
        <v>6263269.5</v>
      </c>
      <c r="CV202" s="21">
        <v>4598259.5</v>
      </c>
      <c r="CW202" s="19">
        <v>4972559.5</v>
      </c>
      <c r="CX202" s="19">
        <v>4888983</v>
      </c>
    </row>
    <row r="203" spans="1:102">
      <c r="A203">
        <v>30949</v>
      </c>
      <c r="B203" t="s">
        <v>330</v>
      </c>
      <c r="C203" t="s">
        <v>1297</v>
      </c>
      <c r="D203" t="s">
        <v>331</v>
      </c>
      <c r="E203" t="s">
        <v>332</v>
      </c>
      <c r="F203" t="s">
        <v>333</v>
      </c>
      <c r="G203">
        <v>502.93299999999999</v>
      </c>
      <c r="H203" t="s">
        <v>104</v>
      </c>
      <c r="I203">
        <v>2</v>
      </c>
      <c r="J203">
        <v>4</v>
      </c>
      <c r="K203">
        <v>17</v>
      </c>
      <c r="L203">
        <v>0</v>
      </c>
      <c r="M203">
        <v>0</v>
      </c>
      <c r="N203">
        <v>-1</v>
      </c>
      <c r="O203">
        <v>20</v>
      </c>
      <c r="P203">
        <v>20</v>
      </c>
      <c r="Q203">
        <v>20</v>
      </c>
      <c r="R203">
        <v>20</v>
      </c>
      <c r="S203">
        <v>20</v>
      </c>
      <c r="T203">
        <v>20</v>
      </c>
      <c r="U203">
        <v>20</v>
      </c>
      <c r="V203">
        <v>19</v>
      </c>
      <c r="W203">
        <v>17</v>
      </c>
      <c r="X203">
        <v>4</v>
      </c>
      <c r="Y203">
        <v>16</v>
      </c>
      <c r="Z203">
        <v>19</v>
      </c>
      <c r="AA203">
        <v>17</v>
      </c>
      <c r="AB203">
        <v>20</v>
      </c>
      <c r="AC203">
        <v>19</v>
      </c>
      <c r="AD203">
        <v>20</v>
      </c>
      <c r="AE203">
        <v>20</v>
      </c>
      <c r="AF203">
        <v>20</v>
      </c>
      <c r="AG203">
        <v>17</v>
      </c>
      <c r="AH203">
        <v>18</v>
      </c>
      <c r="AI203">
        <v>15</v>
      </c>
      <c r="AJ203">
        <v>20</v>
      </c>
      <c r="AK203">
        <v>18</v>
      </c>
      <c r="AL203">
        <v>19</v>
      </c>
      <c r="AM203">
        <v>20</v>
      </c>
      <c r="AN203">
        <v>20</v>
      </c>
      <c r="AO203">
        <v>19</v>
      </c>
      <c r="AP203">
        <v>21</v>
      </c>
      <c r="AQ203">
        <v>11</v>
      </c>
      <c r="AR203">
        <v>0</v>
      </c>
      <c r="AS203">
        <v>4</v>
      </c>
      <c r="AT203">
        <v>13</v>
      </c>
      <c r="AU203">
        <v>10</v>
      </c>
      <c r="AV203">
        <v>14</v>
      </c>
      <c r="AW203">
        <v>9</v>
      </c>
      <c r="AX203">
        <v>14</v>
      </c>
      <c r="AY203">
        <v>11</v>
      </c>
      <c r="AZ203">
        <v>9</v>
      </c>
      <c r="BA203">
        <v>8</v>
      </c>
      <c r="BB203">
        <v>10</v>
      </c>
      <c r="BC203">
        <v>3</v>
      </c>
      <c r="BD203">
        <v>13</v>
      </c>
      <c r="BE203">
        <v>7</v>
      </c>
      <c r="BF203">
        <v>8</v>
      </c>
      <c r="BG203">
        <v>9</v>
      </c>
      <c r="BH203">
        <v>12</v>
      </c>
      <c r="BI203">
        <v>6</v>
      </c>
      <c r="BJ203">
        <v>48513716</v>
      </c>
      <c r="BK203">
        <v>23878116</v>
      </c>
      <c r="BL203">
        <v>185574.88</v>
      </c>
      <c r="BM203">
        <v>4925078</v>
      </c>
      <c r="BN203">
        <v>32138104</v>
      </c>
      <c r="BO203">
        <v>14359791</v>
      </c>
      <c r="BP203">
        <v>22764756</v>
      </c>
      <c r="BQ203">
        <v>18394916</v>
      </c>
      <c r="BR203">
        <v>23764730</v>
      </c>
      <c r="BS203">
        <v>18074442</v>
      </c>
      <c r="BT203">
        <v>13000860</v>
      </c>
      <c r="BU203">
        <v>13277553</v>
      </c>
      <c r="BV203">
        <v>16379006</v>
      </c>
      <c r="BW203">
        <v>8022834.5</v>
      </c>
      <c r="BX203">
        <v>31006814</v>
      </c>
      <c r="BY203">
        <v>11486808</v>
      </c>
      <c r="BZ203">
        <v>19725776</v>
      </c>
      <c r="CA203">
        <v>19293962</v>
      </c>
      <c r="CB203">
        <v>16937812</v>
      </c>
      <c r="CC203">
        <v>15409644</v>
      </c>
      <c r="CD203" s="17" t="s">
        <v>1297</v>
      </c>
      <c r="CE203" s="21">
        <v>57376536</v>
      </c>
      <c r="CF203" s="21">
        <v>48512892</v>
      </c>
      <c r="CG203" s="19">
        <v>21470878</v>
      </c>
      <c r="CH203" s="19">
        <v>17832154</v>
      </c>
      <c r="CI203" s="21">
        <v>24592512</v>
      </c>
      <c r="CJ203" s="21">
        <v>29576044</v>
      </c>
      <c r="CK203" s="19">
        <v>18928290</v>
      </c>
      <c r="CL203" s="19">
        <v>17574964</v>
      </c>
      <c r="CM203" s="21">
        <v>23121932</v>
      </c>
      <c r="CN203" s="21">
        <v>18428746</v>
      </c>
      <c r="CO203" s="19">
        <v>13968824</v>
      </c>
      <c r="CP203" s="19">
        <v>8340691</v>
      </c>
      <c r="CQ203" s="21">
        <v>5606121</v>
      </c>
      <c r="CR203" s="21">
        <v>4257726.5</v>
      </c>
      <c r="CS203" s="19">
        <v>8913547</v>
      </c>
      <c r="CT203" s="19">
        <v>8990916</v>
      </c>
      <c r="CU203" s="21">
        <v>15229958</v>
      </c>
      <c r="CV203" s="21">
        <v>14079722</v>
      </c>
      <c r="CW203" s="19">
        <v>14214790</v>
      </c>
      <c r="CX203" s="19">
        <v>16657822</v>
      </c>
    </row>
    <row r="204" spans="1:102">
      <c r="A204">
        <v>31020</v>
      </c>
      <c r="B204" t="s">
        <v>275</v>
      </c>
      <c r="C204" t="s">
        <v>1298</v>
      </c>
      <c r="D204" t="s">
        <v>276</v>
      </c>
      <c r="F204" t="s">
        <v>277</v>
      </c>
      <c r="G204">
        <v>672.96</v>
      </c>
      <c r="H204" t="s">
        <v>104</v>
      </c>
      <c r="I204">
        <v>2</v>
      </c>
      <c r="J204">
        <v>21</v>
      </c>
      <c r="K204">
        <v>0</v>
      </c>
      <c r="L204">
        <v>0</v>
      </c>
      <c r="M204">
        <v>0</v>
      </c>
      <c r="N204">
        <v>-1</v>
      </c>
      <c r="O204">
        <v>25</v>
      </c>
      <c r="P204">
        <v>25</v>
      </c>
      <c r="Q204">
        <v>25</v>
      </c>
      <c r="R204">
        <v>25</v>
      </c>
      <c r="S204">
        <v>25</v>
      </c>
      <c r="T204">
        <v>25</v>
      </c>
      <c r="U204">
        <v>25</v>
      </c>
      <c r="V204">
        <v>24</v>
      </c>
      <c r="W204">
        <v>25</v>
      </c>
      <c r="X204">
        <v>16</v>
      </c>
      <c r="Y204">
        <v>25</v>
      </c>
      <c r="Z204">
        <v>25</v>
      </c>
      <c r="AA204">
        <v>25</v>
      </c>
      <c r="AB204">
        <v>25</v>
      </c>
      <c r="AC204">
        <v>25</v>
      </c>
      <c r="AD204">
        <v>25</v>
      </c>
      <c r="AE204">
        <v>25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24</v>
      </c>
      <c r="AM204">
        <v>25</v>
      </c>
      <c r="AN204">
        <v>25</v>
      </c>
      <c r="AO204">
        <v>25</v>
      </c>
      <c r="AP204">
        <v>29</v>
      </c>
      <c r="AQ204">
        <v>36</v>
      </c>
      <c r="AR204">
        <v>3</v>
      </c>
      <c r="AS204">
        <v>19</v>
      </c>
      <c r="AT204">
        <v>36</v>
      </c>
      <c r="AU204">
        <v>28</v>
      </c>
      <c r="AV204">
        <v>22</v>
      </c>
      <c r="AW204">
        <v>31</v>
      </c>
      <c r="AX204">
        <v>35</v>
      </c>
      <c r="AY204">
        <v>37</v>
      </c>
      <c r="AZ204">
        <v>24</v>
      </c>
      <c r="BA204">
        <v>33</v>
      </c>
      <c r="BB204">
        <v>22</v>
      </c>
      <c r="BC204">
        <v>24</v>
      </c>
      <c r="BD204">
        <v>34</v>
      </c>
      <c r="BE204">
        <v>25</v>
      </c>
      <c r="BF204">
        <v>18</v>
      </c>
      <c r="BG204">
        <v>36</v>
      </c>
      <c r="BH204">
        <v>33</v>
      </c>
      <c r="BI204">
        <v>30</v>
      </c>
      <c r="BJ204">
        <v>212038080</v>
      </c>
      <c r="BK204">
        <v>349152352</v>
      </c>
      <c r="BL204">
        <v>2206063</v>
      </c>
      <c r="BM204">
        <v>81735496</v>
      </c>
      <c r="BN204">
        <v>303256768</v>
      </c>
      <c r="BO204">
        <v>187299808</v>
      </c>
      <c r="BP204">
        <v>101597696</v>
      </c>
      <c r="BQ204">
        <v>301953760</v>
      </c>
      <c r="BR204">
        <v>295970112</v>
      </c>
      <c r="BS204">
        <v>327071296</v>
      </c>
      <c r="BT204">
        <v>90167976</v>
      </c>
      <c r="BU204">
        <v>342844640</v>
      </c>
      <c r="BV204">
        <v>113296784</v>
      </c>
      <c r="BW204">
        <v>155287504</v>
      </c>
      <c r="BX204">
        <v>236511488</v>
      </c>
      <c r="BY204">
        <v>172823216</v>
      </c>
      <c r="BZ204">
        <v>92172688</v>
      </c>
      <c r="CA204">
        <v>297154656</v>
      </c>
      <c r="CB204">
        <v>215834880</v>
      </c>
      <c r="CC204">
        <v>227896928</v>
      </c>
      <c r="CD204" s="17" t="s">
        <v>1298</v>
      </c>
      <c r="CE204" s="21">
        <v>271289184</v>
      </c>
      <c r="CF204" s="21">
        <v>328270272</v>
      </c>
      <c r="CG204" s="19">
        <v>91801424</v>
      </c>
      <c r="CH204" s="19">
        <v>98619736</v>
      </c>
      <c r="CI204" s="21">
        <v>242694048</v>
      </c>
      <c r="CJ204" s="21">
        <v>245034832</v>
      </c>
      <c r="CK204" s="19">
        <v>85296696</v>
      </c>
      <c r="CL204" s="19">
        <v>104271816</v>
      </c>
      <c r="CM204" s="21">
        <v>304349600</v>
      </c>
      <c r="CN204" s="21">
        <v>255799312</v>
      </c>
      <c r="CO204" s="19">
        <v>231869568</v>
      </c>
      <c r="CP204" s="19">
        <v>240737408</v>
      </c>
      <c r="CQ204" s="21">
        <v>88277576</v>
      </c>
      <c r="CR204" s="21">
        <v>91408760</v>
      </c>
      <c r="CS204" s="19">
        <v>124476320</v>
      </c>
      <c r="CT204" s="19">
        <v>128948896</v>
      </c>
      <c r="CU204" s="21">
        <v>273411360</v>
      </c>
      <c r="CV204" s="21">
        <v>251716128</v>
      </c>
      <c r="CW204" s="19">
        <v>299435904</v>
      </c>
      <c r="CX204" s="19">
        <v>324922816</v>
      </c>
    </row>
    <row r="205" spans="1:102">
      <c r="A205">
        <v>30946</v>
      </c>
      <c r="B205" t="s">
        <v>337</v>
      </c>
      <c r="C205" t="s">
        <v>1299</v>
      </c>
      <c r="D205" t="s">
        <v>338</v>
      </c>
      <c r="E205" t="s">
        <v>339</v>
      </c>
      <c r="F205" t="s">
        <v>340</v>
      </c>
      <c r="G205">
        <v>476.89699999999999</v>
      </c>
      <c r="H205" t="s">
        <v>104</v>
      </c>
      <c r="I205">
        <v>2</v>
      </c>
      <c r="J205">
        <v>15</v>
      </c>
      <c r="K205">
        <v>6</v>
      </c>
      <c r="L205">
        <v>0</v>
      </c>
      <c r="M205">
        <v>0</v>
      </c>
      <c r="N205">
        <v>-1</v>
      </c>
      <c r="O205">
        <v>19</v>
      </c>
      <c r="P205">
        <v>19</v>
      </c>
      <c r="Q205">
        <v>19</v>
      </c>
      <c r="R205">
        <v>19</v>
      </c>
      <c r="S205">
        <v>19</v>
      </c>
      <c r="T205">
        <v>19</v>
      </c>
      <c r="U205">
        <v>19</v>
      </c>
      <c r="V205">
        <v>19</v>
      </c>
      <c r="W205">
        <v>19</v>
      </c>
      <c r="X205">
        <v>4</v>
      </c>
      <c r="Y205">
        <v>18</v>
      </c>
      <c r="Z205">
        <v>19</v>
      </c>
      <c r="AA205">
        <v>19</v>
      </c>
      <c r="AB205">
        <v>19</v>
      </c>
      <c r="AC205">
        <v>19</v>
      </c>
      <c r="AD205">
        <v>19</v>
      </c>
      <c r="AE205">
        <v>19</v>
      </c>
      <c r="AF205">
        <v>19</v>
      </c>
      <c r="AG205">
        <v>19</v>
      </c>
      <c r="AH205">
        <v>19</v>
      </c>
      <c r="AI205">
        <v>19</v>
      </c>
      <c r="AJ205">
        <v>19</v>
      </c>
      <c r="AK205">
        <v>19</v>
      </c>
      <c r="AL205">
        <v>18</v>
      </c>
      <c r="AM205">
        <v>19</v>
      </c>
      <c r="AN205">
        <v>19</v>
      </c>
      <c r="AO205">
        <v>19</v>
      </c>
      <c r="AP205">
        <v>23</v>
      </c>
      <c r="AQ205">
        <v>16</v>
      </c>
      <c r="AR205">
        <v>0</v>
      </c>
      <c r="AS205">
        <v>6</v>
      </c>
      <c r="AT205">
        <v>17</v>
      </c>
      <c r="AU205">
        <v>13</v>
      </c>
      <c r="AV205">
        <v>8</v>
      </c>
      <c r="AW205">
        <v>16</v>
      </c>
      <c r="AX205">
        <v>12</v>
      </c>
      <c r="AY205">
        <v>17</v>
      </c>
      <c r="AZ205">
        <v>8</v>
      </c>
      <c r="BA205">
        <v>11</v>
      </c>
      <c r="BB205">
        <v>2</v>
      </c>
      <c r="BC205">
        <v>9</v>
      </c>
      <c r="BD205">
        <v>13</v>
      </c>
      <c r="BE205">
        <v>12</v>
      </c>
      <c r="BF205">
        <v>5</v>
      </c>
      <c r="BG205">
        <v>19</v>
      </c>
      <c r="BH205">
        <v>16</v>
      </c>
      <c r="BI205">
        <v>14</v>
      </c>
      <c r="BJ205">
        <v>34033360</v>
      </c>
      <c r="BK205">
        <v>39492496</v>
      </c>
      <c r="BL205">
        <v>129777.96</v>
      </c>
      <c r="BM205">
        <v>8745753</v>
      </c>
      <c r="BN205">
        <v>38254012</v>
      </c>
      <c r="BO205">
        <v>23680588</v>
      </c>
      <c r="BP205">
        <v>15903723</v>
      </c>
      <c r="BQ205">
        <v>36610016</v>
      </c>
      <c r="BR205">
        <v>28296392</v>
      </c>
      <c r="BS205">
        <v>30146184</v>
      </c>
      <c r="BT205">
        <v>9074764</v>
      </c>
      <c r="BU205">
        <v>32823080</v>
      </c>
      <c r="BV205">
        <v>10353016</v>
      </c>
      <c r="BW205">
        <v>19050028</v>
      </c>
      <c r="BX205">
        <v>30069566</v>
      </c>
      <c r="BY205">
        <v>20059428</v>
      </c>
      <c r="BZ205">
        <v>13271190</v>
      </c>
      <c r="CA205">
        <v>55496960</v>
      </c>
      <c r="CB205">
        <v>26142690</v>
      </c>
      <c r="CC205">
        <v>20205424</v>
      </c>
      <c r="CD205" s="17" t="s">
        <v>1299</v>
      </c>
      <c r="CE205" s="21">
        <v>35781804</v>
      </c>
      <c r="CF205" s="21">
        <v>32761578</v>
      </c>
      <c r="CG205" s="19">
        <v>13193550</v>
      </c>
      <c r="CH205" s="19">
        <v>10729183</v>
      </c>
      <c r="CI205" s="21">
        <v>30602098</v>
      </c>
      <c r="CJ205" s="21">
        <v>29194992</v>
      </c>
      <c r="CK205" s="19">
        <v>11577146</v>
      </c>
      <c r="CL205" s="19">
        <v>13271607</v>
      </c>
      <c r="CM205" s="21">
        <v>28926268</v>
      </c>
      <c r="CN205" s="21">
        <v>31727552</v>
      </c>
      <c r="CO205" s="19">
        <v>22635904</v>
      </c>
      <c r="CP205" s="19">
        <v>24041534</v>
      </c>
      <c r="CQ205" s="21">
        <v>9164240</v>
      </c>
      <c r="CR205" s="21">
        <v>11153808</v>
      </c>
      <c r="CS205" s="19">
        <v>15261266</v>
      </c>
      <c r="CT205" s="19">
        <v>14820506</v>
      </c>
      <c r="CU205" s="21">
        <v>32555626</v>
      </c>
      <c r="CV205" s="21">
        <v>39350252</v>
      </c>
      <c r="CW205" s="19">
        <v>26850738</v>
      </c>
      <c r="CX205" s="19">
        <v>28336506</v>
      </c>
    </row>
    <row r="206" spans="1:102">
      <c r="A206">
        <v>31069</v>
      </c>
      <c r="B206" t="s">
        <v>143</v>
      </c>
      <c r="C206" t="s">
        <v>1300</v>
      </c>
      <c r="D206" t="s">
        <v>143</v>
      </c>
      <c r="E206" t="s">
        <v>144</v>
      </c>
      <c r="F206" t="s">
        <v>145</v>
      </c>
      <c r="G206">
        <v>1467.79</v>
      </c>
      <c r="H206" t="s">
        <v>104</v>
      </c>
      <c r="I206">
        <v>2</v>
      </c>
      <c r="J206">
        <v>1</v>
      </c>
      <c r="K206">
        <v>2</v>
      </c>
      <c r="L206">
        <v>0</v>
      </c>
      <c r="M206">
        <v>0</v>
      </c>
      <c r="N206">
        <v>-1</v>
      </c>
      <c r="O206">
        <v>44</v>
      </c>
      <c r="P206">
        <v>44</v>
      </c>
      <c r="Q206">
        <v>44</v>
      </c>
      <c r="R206">
        <v>44</v>
      </c>
      <c r="S206">
        <v>44</v>
      </c>
      <c r="T206">
        <v>44</v>
      </c>
      <c r="U206">
        <v>44</v>
      </c>
      <c r="V206">
        <v>43</v>
      </c>
      <c r="W206">
        <v>43</v>
      </c>
      <c r="X206">
        <v>15</v>
      </c>
      <c r="Y206">
        <v>42</v>
      </c>
      <c r="Z206">
        <v>42</v>
      </c>
      <c r="AA206">
        <v>43</v>
      </c>
      <c r="AB206">
        <v>42</v>
      </c>
      <c r="AC206">
        <v>43</v>
      </c>
      <c r="AD206">
        <v>44</v>
      </c>
      <c r="AE206">
        <v>43</v>
      </c>
      <c r="AF206">
        <v>43</v>
      </c>
      <c r="AG206">
        <v>44</v>
      </c>
      <c r="AH206">
        <v>42</v>
      </c>
      <c r="AI206">
        <v>42</v>
      </c>
      <c r="AJ206">
        <v>43</v>
      </c>
      <c r="AK206">
        <v>44</v>
      </c>
      <c r="AL206">
        <v>42</v>
      </c>
      <c r="AM206">
        <v>44</v>
      </c>
      <c r="AN206">
        <v>44</v>
      </c>
      <c r="AO206">
        <v>44</v>
      </c>
      <c r="AP206">
        <v>51</v>
      </c>
      <c r="AQ206">
        <v>31</v>
      </c>
      <c r="AR206">
        <v>0</v>
      </c>
      <c r="AS206">
        <v>23</v>
      </c>
      <c r="AT206">
        <v>42</v>
      </c>
      <c r="AU206">
        <v>33</v>
      </c>
      <c r="AV206">
        <v>32</v>
      </c>
      <c r="AW206">
        <v>43</v>
      </c>
      <c r="AX206">
        <v>47</v>
      </c>
      <c r="AY206">
        <v>43</v>
      </c>
      <c r="AZ206">
        <v>26</v>
      </c>
      <c r="BA206">
        <v>40</v>
      </c>
      <c r="BB206">
        <v>21</v>
      </c>
      <c r="BC206">
        <v>32</v>
      </c>
      <c r="BD206">
        <v>42</v>
      </c>
      <c r="BE206">
        <v>34</v>
      </c>
      <c r="BF206">
        <v>28</v>
      </c>
      <c r="BG206">
        <v>43</v>
      </c>
      <c r="BH206">
        <v>47</v>
      </c>
      <c r="BI206">
        <v>38</v>
      </c>
      <c r="BJ206">
        <v>194474272</v>
      </c>
      <c r="BK206">
        <v>171865520</v>
      </c>
      <c r="BL206">
        <v>1163792.8799999999</v>
      </c>
      <c r="BM206">
        <v>38132020</v>
      </c>
      <c r="BN206">
        <v>185833680</v>
      </c>
      <c r="BO206">
        <v>98380808</v>
      </c>
      <c r="BP206">
        <v>81629152</v>
      </c>
      <c r="BQ206">
        <v>163218192</v>
      </c>
      <c r="BR206">
        <v>149031360</v>
      </c>
      <c r="BS206">
        <v>131879408</v>
      </c>
      <c r="BT206">
        <v>51261516</v>
      </c>
      <c r="BU206">
        <v>124033376</v>
      </c>
      <c r="BV206">
        <v>53925228</v>
      </c>
      <c r="BW206">
        <v>82028264</v>
      </c>
      <c r="BX206">
        <v>145311664</v>
      </c>
      <c r="BY206">
        <v>96306944</v>
      </c>
      <c r="BZ206">
        <v>62010012</v>
      </c>
      <c r="CA206">
        <v>214039008</v>
      </c>
      <c r="CB206">
        <v>128392728</v>
      </c>
      <c r="CC206">
        <v>118631168</v>
      </c>
      <c r="CD206" s="17" t="s">
        <v>1300</v>
      </c>
      <c r="CE206" s="21">
        <v>203275680</v>
      </c>
      <c r="CF206" s="21">
        <v>185355168</v>
      </c>
      <c r="CG206" s="19">
        <v>53159028</v>
      </c>
      <c r="CH206" s="19">
        <v>62110096</v>
      </c>
      <c r="CI206" s="21">
        <v>145039232</v>
      </c>
      <c r="CJ206" s="21">
        <v>151896176</v>
      </c>
      <c r="CK206" s="19">
        <v>68175408</v>
      </c>
      <c r="CL206" s="19">
        <v>65188880</v>
      </c>
      <c r="CM206" s="21">
        <v>156236688</v>
      </c>
      <c r="CN206" s="21">
        <v>145705280</v>
      </c>
      <c r="CO206" s="19">
        <v>104692280</v>
      </c>
      <c r="CP206" s="19">
        <v>92460120</v>
      </c>
      <c r="CQ206" s="21">
        <v>43691872</v>
      </c>
      <c r="CR206" s="21">
        <v>51431516</v>
      </c>
      <c r="CS206" s="19">
        <v>66820240</v>
      </c>
      <c r="CT206" s="19">
        <v>79276768</v>
      </c>
      <c r="CU206" s="21">
        <v>151771696</v>
      </c>
      <c r="CV206" s="21">
        <v>156931648</v>
      </c>
      <c r="CW206" s="19">
        <v>124239400</v>
      </c>
      <c r="CX206" s="19">
        <v>153499280</v>
      </c>
    </row>
    <row r="207" spans="1:102">
      <c r="A207">
        <v>31047</v>
      </c>
      <c r="B207" t="s">
        <v>362</v>
      </c>
      <c r="C207" t="s">
        <v>1301</v>
      </c>
      <c r="D207" t="s">
        <v>362</v>
      </c>
      <c r="E207" t="s">
        <v>363</v>
      </c>
      <c r="F207" t="s">
        <v>364</v>
      </c>
      <c r="G207">
        <v>438.64400000000001</v>
      </c>
      <c r="H207" t="s">
        <v>104</v>
      </c>
      <c r="I207">
        <v>2</v>
      </c>
      <c r="J207">
        <v>1</v>
      </c>
      <c r="K207">
        <v>2</v>
      </c>
      <c r="L207">
        <v>0</v>
      </c>
      <c r="M207">
        <v>0</v>
      </c>
      <c r="N207">
        <v>-1</v>
      </c>
      <c r="O207">
        <v>12</v>
      </c>
      <c r="P207">
        <v>12</v>
      </c>
      <c r="Q207">
        <v>12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6</v>
      </c>
      <c r="Y207">
        <v>12</v>
      </c>
      <c r="Z207">
        <v>12</v>
      </c>
      <c r="AA207">
        <v>12</v>
      </c>
      <c r="AB207">
        <v>11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12</v>
      </c>
      <c r="AI207">
        <v>10</v>
      </c>
      <c r="AJ207">
        <v>11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17</v>
      </c>
      <c r="AQ207">
        <v>18</v>
      </c>
      <c r="AR207">
        <v>0</v>
      </c>
      <c r="AS207">
        <v>9</v>
      </c>
      <c r="AT207">
        <v>13</v>
      </c>
      <c r="AU207">
        <v>15</v>
      </c>
      <c r="AV207">
        <v>11</v>
      </c>
      <c r="AW207">
        <v>12</v>
      </c>
      <c r="AX207">
        <v>16</v>
      </c>
      <c r="AY207">
        <v>16</v>
      </c>
      <c r="AZ207">
        <v>11</v>
      </c>
      <c r="BA207">
        <v>13</v>
      </c>
      <c r="BB207">
        <v>12</v>
      </c>
      <c r="BC207">
        <v>9</v>
      </c>
      <c r="BD207">
        <v>9</v>
      </c>
      <c r="BE207">
        <v>15</v>
      </c>
      <c r="BF207">
        <v>9</v>
      </c>
      <c r="BG207">
        <v>12</v>
      </c>
      <c r="BH207">
        <v>13</v>
      </c>
      <c r="BI207">
        <v>13</v>
      </c>
      <c r="BJ207">
        <v>82663152</v>
      </c>
      <c r="BK207">
        <v>80790376</v>
      </c>
      <c r="BL207">
        <v>176369.81</v>
      </c>
      <c r="BM207">
        <v>16693017</v>
      </c>
      <c r="BN207">
        <v>79873656</v>
      </c>
      <c r="BO207">
        <v>44132288</v>
      </c>
      <c r="BP207">
        <v>29845988</v>
      </c>
      <c r="BQ207">
        <v>61650896</v>
      </c>
      <c r="BR207">
        <v>69334048</v>
      </c>
      <c r="BS207">
        <v>72112936</v>
      </c>
      <c r="BT207">
        <v>21504086</v>
      </c>
      <c r="BU207">
        <v>69173424</v>
      </c>
      <c r="BV207">
        <v>37632140</v>
      </c>
      <c r="BW207">
        <v>24861404</v>
      </c>
      <c r="BX207">
        <v>50832432</v>
      </c>
      <c r="BY207">
        <v>33239360</v>
      </c>
      <c r="BZ207">
        <v>23819046</v>
      </c>
      <c r="CA207">
        <v>69997304</v>
      </c>
      <c r="CB207">
        <v>54346172</v>
      </c>
      <c r="CC207">
        <v>56838128</v>
      </c>
      <c r="CD207" s="17" t="s">
        <v>1301</v>
      </c>
      <c r="CE207" s="21">
        <v>97506288</v>
      </c>
      <c r="CF207" s="21">
        <v>73891312</v>
      </c>
      <c r="CG207" s="19">
        <v>20857418</v>
      </c>
      <c r="CH207" s="19">
        <v>39944668</v>
      </c>
      <c r="CI207" s="21">
        <v>68898896</v>
      </c>
      <c r="CJ207" s="21">
        <v>69035272</v>
      </c>
      <c r="CK207" s="19">
        <v>30196514</v>
      </c>
      <c r="CL207" s="19">
        <v>30292654</v>
      </c>
      <c r="CM207" s="21">
        <v>74291112</v>
      </c>
      <c r="CN207" s="21">
        <v>72728592</v>
      </c>
      <c r="CO207" s="19">
        <v>52277556</v>
      </c>
      <c r="CP207" s="19">
        <v>54349168</v>
      </c>
      <c r="CQ207" s="21">
        <v>20042072</v>
      </c>
      <c r="CR207" s="21">
        <v>20223874</v>
      </c>
      <c r="CS207" s="19">
        <v>30533778</v>
      </c>
      <c r="CT207" s="19">
        <v>27954402</v>
      </c>
      <c r="CU207" s="21">
        <v>59400208</v>
      </c>
      <c r="CV207" s="21">
        <v>58128592</v>
      </c>
      <c r="CW207" s="19">
        <v>63339168</v>
      </c>
      <c r="CX207" s="19">
        <v>82808288</v>
      </c>
    </row>
    <row r="208" spans="1:102">
      <c r="A208">
        <v>30981</v>
      </c>
      <c r="B208" t="s">
        <v>278</v>
      </c>
      <c r="C208" t="s">
        <v>1302</v>
      </c>
      <c r="D208" t="s">
        <v>279</v>
      </c>
      <c r="E208" t="s">
        <v>280</v>
      </c>
      <c r="F208" t="s">
        <v>281</v>
      </c>
      <c r="G208">
        <v>636.77300000000002</v>
      </c>
      <c r="H208" t="s">
        <v>104</v>
      </c>
      <c r="I208">
        <v>2</v>
      </c>
      <c r="J208">
        <v>19</v>
      </c>
      <c r="K208">
        <v>1</v>
      </c>
      <c r="L208">
        <v>0</v>
      </c>
      <c r="M208">
        <v>0</v>
      </c>
      <c r="N208">
        <v>-1</v>
      </c>
      <c r="O208">
        <v>16</v>
      </c>
      <c r="P208">
        <v>16</v>
      </c>
      <c r="Q208">
        <v>16</v>
      </c>
      <c r="R208">
        <v>16</v>
      </c>
      <c r="S208">
        <v>16</v>
      </c>
      <c r="T208">
        <v>16</v>
      </c>
      <c r="U208">
        <v>16</v>
      </c>
      <c r="V208">
        <v>13</v>
      </c>
      <c r="W208">
        <v>16</v>
      </c>
      <c r="X208">
        <v>6</v>
      </c>
      <c r="Y208">
        <v>16</v>
      </c>
      <c r="Z208">
        <v>16</v>
      </c>
      <c r="AA208">
        <v>16</v>
      </c>
      <c r="AB208">
        <v>16</v>
      </c>
      <c r="AC208">
        <v>16</v>
      </c>
      <c r="AD208">
        <v>16</v>
      </c>
      <c r="AE208">
        <v>16</v>
      </c>
      <c r="AF208">
        <v>16</v>
      </c>
      <c r="AG208">
        <v>16</v>
      </c>
      <c r="AH208">
        <v>16</v>
      </c>
      <c r="AI208">
        <v>16</v>
      </c>
      <c r="AJ208">
        <v>16</v>
      </c>
      <c r="AK208">
        <v>16</v>
      </c>
      <c r="AL208">
        <v>15</v>
      </c>
      <c r="AM208">
        <v>16</v>
      </c>
      <c r="AN208">
        <v>16</v>
      </c>
      <c r="AO208">
        <v>16</v>
      </c>
      <c r="AP208">
        <v>15</v>
      </c>
      <c r="AQ208">
        <v>16</v>
      </c>
      <c r="AR208">
        <v>0</v>
      </c>
      <c r="AS208">
        <v>7</v>
      </c>
      <c r="AT208">
        <v>16</v>
      </c>
      <c r="AU208">
        <v>15</v>
      </c>
      <c r="AV208">
        <v>8</v>
      </c>
      <c r="AW208">
        <v>15</v>
      </c>
      <c r="AX208">
        <v>15</v>
      </c>
      <c r="AY208">
        <v>17</v>
      </c>
      <c r="AZ208">
        <v>8</v>
      </c>
      <c r="BA208">
        <v>16</v>
      </c>
      <c r="BB208">
        <v>7</v>
      </c>
      <c r="BC208">
        <v>10</v>
      </c>
      <c r="BD208">
        <v>12</v>
      </c>
      <c r="BE208">
        <v>10</v>
      </c>
      <c r="BF208">
        <v>7</v>
      </c>
      <c r="BG208">
        <v>15</v>
      </c>
      <c r="BH208">
        <v>15</v>
      </c>
      <c r="BI208">
        <v>13</v>
      </c>
      <c r="BJ208">
        <v>38768692</v>
      </c>
      <c r="BK208">
        <v>62399960</v>
      </c>
      <c r="BL208">
        <v>370251.97</v>
      </c>
      <c r="BM208">
        <v>14261569</v>
      </c>
      <c r="BN208">
        <v>55808164</v>
      </c>
      <c r="BO208">
        <v>33419216</v>
      </c>
      <c r="BP208">
        <v>22574600</v>
      </c>
      <c r="BQ208">
        <v>65032464</v>
      </c>
      <c r="BR208">
        <v>60497288</v>
      </c>
      <c r="BS208">
        <v>55791364</v>
      </c>
      <c r="BT208">
        <v>17022752</v>
      </c>
      <c r="BU208">
        <v>58419176</v>
      </c>
      <c r="BV208">
        <v>18123938</v>
      </c>
      <c r="BW208">
        <v>31442678</v>
      </c>
      <c r="BX208">
        <v>48767124</v>
      </c>
      <c r="BY208">
        <v>28746368</v>
      </c>
      <c r="BZ208">
        <v>12785397</v>
      </c>
      <c r="CA208">
        <v>63423076</v>
      </c>
      <c r="CB208">
        <v>40164124</v>
      </c>
      <c r="CC208">
        <v>45204200</v>
      </c>
      <c r="CD208" s="17" t="s">
        <v>1302</v>
      </c>
      <c r="CE208" s="21">
        <v>63725380</v>
      </c>
      <c r="CF208" s="21">
        <v>83884408</v>
      </c>
      <c r="CG208" s="19">
        <v>27577308</v>
      </c>
      <c r="CH208" s="19">
        <v>22994092</v>
      </c>
      <c r="CI208" s="21">
        <v>64457728</v>
      </c>
      <c r="CJ208" s="21">
        <v>54581360</v>
      </c>
      <c r="CK208" s="19">
        <v>21777308</v>
      </c>
      <c r="CL208" s="19">
        <v>20036116</v>
      </c>
      <c r="CM208" s="21">
        <v>85033936</v>
      </c>
      <c r="CN208" s="21">
        <v>57112316</v>
      </c>
      <c r="CO208" s="19">
        <v>56438308</v>
      </c>
      <c r="CP208" s="19">
        <v>61247816</v>
      </c>
      <c r="CQ208" s="21">
        <v>24982034</v>
      </c>
      <c r="CR208" s="21">
        <v>22180064</v>
      </c>
      <c r="CS208" s="19">
        <v>32087538</v>
      </c>
      <c r="CT208" s="19">
        <v>28307072</v>
      </c>
      <c r="CU208" s="21">
        <v>70280568</v>
      </c>
      <c r="CV208" s="21">
        <v>57407956</v>
      </c>
      <c r="CW208" s="19">
        <v>73799840</v>
      </c>
      <c r="CX208" s="19">
        <v>67047260</v>
      </c>
    </row>
    <row r="209" spans="1:102">
      <c r="A209">
        <v>30947</v>
      </c>
      <c r="B209" t="s">
        <v>477</v>
      </c>
      <c r="C209" t="s">
        <v>1303</v>
      </c>
      <c r="D209" t="s">
        <v>477</v>
      </c>
      <c r="F209" t="s">
        <v>478</v>
      </c>
      <c r="G209">
        <v>208.77799999999999</v>
      </c>
      <c r="H209" t="s">
        <v>104</v>
      </c>
      <c r="I209">
        <v>2</v>
      </c>
      <c r="J209">
        <v>1</v>
      </c>
      <c r="K209">
        <v>0</v>
      </c>
      <c r="L209">
        <v>0</v>
      </c>
      <c r="M209">
        <v>0</v>
      </c>
      <c r="N209">
        <v>-1</v>
      </c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  <c r="U209">
        <v>6</v>
      </c>
      <c r="V209">
        <v>6</v>
      </c>
      <c r="W209">
        <v>6</v>
      </c>
      <c r="X209">
        <v>1</v>
      </c>
      <c r="Y209">
        <v>6</v>
      </c>
      <c r="Z209">
        <v>6</v>
      </c>
      <c r="AA209">
        <v>6</v>
      </c>
      <c r="AB209">
        <v>6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5</v>
      </c>
      <c r="AN209">
        <v>6</v>
      </c>
      <c r="AO209">
        <v>6</v>
      </c>
      <c r="AP209">
        <v>4</v>
      </c>
      <c r="AQ209">
        <v>4</v>
      </c>
      <c r="AR209">
        <v>0</v>
      </c>
      <c r="AS209">
        <v>5</v>
      </c>
      <c r="AT209">
        <v>3</v>
      </c>
      <c r="AU209">
        <v>4</v>
      </c>
      <c r="AV209">
        <v>5</v>
      </c>
      <c r="AW209">
        <v>2</v>
      </c>
      <c r="AX209">
        <v>6</v>
      </c>
      <c r="AY209">
        <v>3</v>
      </c>
      <c r="AZ209">
        <v>0</v>
      </c>
      <c r="BA209">
        <v>5</v>
      </c>
      <c r="BB209">
        <v>0</v>
      </c>
      <c r="BC209">
        <v>4</v>
      </c>
      <c r="BD209">
        <v>3</v>
      </c>
      <c r="BE209">
        <v>2</v>
      </c>
      <c r="BF209">
        <v>3</v>
      </c>
      <c r="BG209">
        <v>2</v>
      </c>
      <c r="BH209">
        <v>4</v>
      </c>
      <c r="BI209">
        <v>5</v>
      </c>
      <c r="BJ209">
        <v>3864246.75</v>
      </c>
      <c r="BK209">
        <v>7462239</v>
      </c>
      <c r="BL209">
        <v>10716.3</v>
      </c>
      <c r="BM209">
        <v>5211084.5</v>
      </c>
      <c r="BN209">
        <v>3386814.5</v>
      </c>
      <c r="BO209">
        <v>6947323</v>
      </c>
      <c r="BP209">
        <v>5724993.5</v>
      </c>
      <c r="BQ209">
        <v>2899420.5</v>
      </c>
      <c r="BR209">
        <v>6407278.5</v>
      </c>
      <c r="BS209">
        <v>5525321</v>
      </c>
      <c r="BT209">
        <v>822263.69</v>
      </c>
      <c r="BU209">
        <v>5093033.5</v>
      </c>
      <c r="BV209">
        <v>2761012</v>
      </c>
      <c r="BW209">
        <v>10677235</v>
      </c>
      <c r="BX209">
        <v>2055209.75</v>
      </c>
      <c r="BY209">
        <v>5160140</v>
      </c>
      <c r="BZ209">
        <v>4752770.5</v>
      </c>
      <c r="CA209">
        <v>1927256.25</v>
      </c>
      <c r="CB209">
        <v>5377927</v>
      </c>
      <c r="CC209">
        <v>4433961</v>
      </c>
      <c r="CD209" s="17" t="s">
        <v>1303</v>
      </c>
      <c r="CE209" s="21">
        <v>4205312</v>
      </c>
      <c r="CF209" s="21">
        <v>3034505.5</v>
      </c>
      <c r="CG209" s="19">
        <v>4076393.25</v>
      </c>
      <c r="CH209" s="19">
        <v>2946558.75</v>
      </c>
      <c r="CI209" s="21">
        <v>2419385.5</v>
      </c>
      <c r="CJ209" s="21">
        <v>2128168</v>
      </c>
      <c r="CK209" s="19">
        <v>4150936</v>
      </c>
      <c r="CL209" s="19">
        <v>4494115</v>
      </c>
      <c r="CM209" s="21">
        <v>6110259</v>
      </c>
      <c r="CN209" s="21">
        <v>6505052.5</v>
      </c>
      <c r="CO209" s="19">
        <v>4266369.5</v>
      </c>
      <c r="CP209" s="19">
        <v>3515412.75</v>
      </c>
      <c r="CQ209" s="21">
        <v>5717516.5</v>
      </c>
      <c r="CR209" s="21">
        <v>6459703</v>
      </c>
      <c r="CS209" s="19">
        <v>4074475.25</v>
      </c>
      <c r="CT209" s="19">
        <v>3892308.75</v>
      </c>
      <c r="CU209" s="21">
        <v>2508679.5</v>
      </c>
      <c r="CV209" s="21">
        <v>2138145</v>
      </c>
      <c r="CW209" s="19">
        <v>4421756</v>
      </c>
      <c r="CX209" s="19">
        <v>7949813.5</v>
      </c>
    </row>
    <row r="210" spans="1:102">
      <c r="A210">
        <v>31037</v>
      </c>
      <c r="B210" t="s">
        <v>459</v>
      </c>
      <c r="C210" t="s">
        <v>1304</v>
      </c>
      <c r="D210" t="s">
        <v>460</v>
      </c>
      <c r="E210" t="s">
        <v>461</v>
      </c>
      <c r="F210" t="s">
        <v>462</v>
      </c>
      <c r="G210">
        <v>230.28700000000001</v>
      </c>
      <c r="H210" t="s">
        <v>104</v>
      </c>
      <c r="I210">
        <v>2</v>
      </c>
      <c r="J210">
        <v>6</v>
      </c>
      <c r="K210">
        <v>15</v>
      </c>
      <c r="L210">
        <v>0</v>
      </c>
      <c r="M210">
        <v>0</v>
      </c>
      <c r="N210">
        <v>-1</v>
      </c>
      <c r="O210">
        <v>6</v>
      </c>
      <c r="P210">
        <v>6</v>
      </c>
      <c r="Q210">
        <v>6</v>
      </c>
      <c r="R210">
        <v>6</v>
      </c>
      <c r="S210">
        <v>6</v>
      </c>
      <c r="T210">
        <v>6</v>
      </c>
      <c r="U210">
        <v>6</v>
      </c>
      <c r="V210">
        <v>5</v>
      </c>
      <c r="W210">
        <v>6</v>
      </c>
      <c r="X210">
        <v>2</v>
      </c>
      <c r="Y210">
        <v>6</v>
      </c>
      <c r="Z210">
        <v>6</v>
      </c>
      <c r="AA210">
        <v>6</v>
      </c>
      <c r="AB210">
        <v>6</v>
      </c>
      <c r="AC210">
        <v>6</v>
      </c>
      <c r="AD210">
        <v>6</v>
      </c>
      <c r="AE210">
        <v>6</v>
      </c>
      <c r="AF210">
        <v>6</v>
      </c>
      <c r="AG210">
        <v>6</v>
      </c>
      <c r="AH210">
        <v>6</v>
      </c>
      <c r="AI210">
        <v>6</v>
      </c>
      <c r="AJ210">
        <v>5</v>
      </c>
      <c r="AK210">
        <v>6</v>
      </c>
      <c r="AL210">
        <v>6</v>
      </c>
      <c r="AM210">
        <v>5</v>
      </c>
      <c r="AN210">
        <v>6</v>
      </c>
      <c r="AO210">
        <v>6</v>
      </c>
      <c r="AP210">
        <v>4</v>
      </c>
      <c r="AQ210">
        <v>4</v>
      </c>
      <c r="AR210">
        <v>1</v>
      </c>
      <c r="AS210">
        <v>7</v>
      </c>
      <c r="AT210">
        <v>5</v>
      </c>
      <c r="AU210">
        <v>7</v>
      </c>
      <c r="AV210">
        <v>5</v>
      </c>
      <c r="AW210">
        <v>3</v>
      </c>
      <c r="AX210">
        <v>7</v>
      </c>
      <c r="AY210">
        <v>6</v>
      </c>
      <c r="AZ210">
        <v>3</v>
      </c>
      <c r="BA210">
        <v>5</v>
      </c>
      <c r="BB210">
        <v>3</v>
      </c>
      <c r="BC210">
        <v>9</v>
      </c>
      <c r="BD210">
        <v>4</v>
      </c>
      <c r="BE210">
        <v>7</v>
      </c>
      <c r="BF210">
        <v>6</v>
      </c>
      <c r="BG210">
        <v>4</v>
      </c>
      <c r="BH210">
        <v>4</v>
      </c>
      <c r="BI210">
        <v>4</v>
      </c>
      <c r="BJ210">
        <v>9997207</v>
      </c>
      <c r="BK210">
        <v>19520458</v>
      </c>
      <c r="BL210">
        <v>487505.03</v>
      </c>
      <c r="BM210">
        <v>13731477</v>
      </c>
      <c r="BN210">
        <v>10810252</v>
      </c>
      <c r="BO210">
        <v>17151932</v>
      </c>
      <c r="BP210">
        <v>12857455</v>
      </c>
      <c r="BQ210">
        <v>8768204</v>
      </c>
      <c r="BR210">
        <v>13449592</v>
      </c>
      <c r="BS210">
        <v>14121006</v>
      </c>
      <c r="BT210">
        <v>2745581.5</v>
      </c>
      <c r="BU210">
        <v>14495264</v>
      </c>
      <c r="BV210">
        <v>6612671</v>
      </c>
      <c r="BW210">
        <v>22509184</v>
      </c>
      <c r="BX210">
        <v>6539530</v>
      </c>
      <c r="BY210">
        <v>13021536</v>
      </c>
      <c r="BZ210">
        <v>10201359</v>
      </c>
      <c r="CA210">
        <v>8069538.5</v>
      </c>
      <c r="CB210">
        <v>12482956</v>
      </c>
      <c r="CC210">
        <v>9963492</v>
      </c>
      <c r="CD210" s="17" t="s">
        <v>1304</v>
      </c>
      <c r="CE210" s="21">
        <v>14552147</v>
      </c>
      <c r="CF210" s="21">
        <v>13064467</v>
      </c>
      <c r="CG210" s="19">
        <v>6323067</v>
      </c>
      <c r="CH210" s="19">
        <v>10538148</v>
      </c>
      <c r="CI210" s="21">
        <v>10003372</v>
      </c>
      <c r="CJ210" s="21">
        <v>10352358</v>
      </c>
      <c r="CK210" s="19">
        <v>14987330</v>
      </c>
      <c r="CL210" s="19">
        <v>13310473</v>
      </c>
      <c r="CM210" s="21">
        <v>18766736</v>
      </c>
      <c r="CN210" s="21">
        <v>20841540</v>
      </c>
      <c r="CO210" s="19">
        <v>15168921</v>
      </c>
      <c r="CP210" s="19">
        <v>12848679</v>
      </c>
      <c r="CQ210" s="21">
        <v>19805168</v>
      </c>
      <c r="CR210" s="21">
        <v>18642940</v>
      </c>
      <c r="CS210" s="19">
        <v>15442549</v>
      </c>
      <c r="CT210" s="19">
        <v>13226610</v>
      </c>
      <c r="CU210" s="21">
        <v>9424470</v>
      </c>
      <c r="CV210" s="21">
        <v>8412215</v>
      </c>
      <c r="CW210" s="19">
        <v>17057412</v>
      </c>
      <c r="CX210" s="19">
        <v>24818890</v>
      </c>
    </row>
    <row r="211" spans="1:102">
      <c r="A211">
        <v>30914</v>
      </c>
      <c r="B211" t="s">
        <v>756</v>
      </c>
      <c r="C211" t="s">
        <v>1305</v>
      </c>
      <c r="D211" t="s">
        <v>757</v>
      </c>
      <c r="F211" t="s">
        <v>758</v>
      </c>
      <c r="G211">
        <v>14.025</v>
      </c>
      <c r="H211" t="s">
        <v>104</v>
      </c>
      <c r="I211">
        <v>2</v>
      </c>
      <c r="J211">
        <v>21</v>
      </c>
      <c r="K211">
        <v>0</v>
      </c>
      <c r="L211">
        <v>0</v>
      </c>
      <c r="M211">
        <v>0</v>
      </c>
      <c r="N211">
        <v>-1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1</v>
      </c>
      <c r="W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2</v>
      </c>
      <c r="AE211">
        <v>3</v>
      </c>
      <c r="AF211">
        <v>2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  <c r="AM211">
        <v>3</v>
      </c>
      <c r="AN211">
        <v>3</v>
      </c>
      <c r="AO211">
        <v>3</v>
      </c>
      <c r="AP211">
        <v>0</v>
      </c>
      <c r="AQ211">
        <v>2</v>
      </c>
      <c r="AR211">
        <v>0</v>
      </c>
      <c r="AS211">
        <v>1</v>
      </c>
      <c r="AT211">
        <v>2</v>
      </c>
      <c r="AU211">
        <v>1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2</v>
      </c>
      <c r="BB211">
        <v>1</v>
      </c>
      <c r="BC211">
        <v>0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118432.27</v>
      </c>
      <c r="BK211">
        <v>1972388.5</v>
      </c>
      <c r="BM211">
        <v>810029</v>
      </c>
      <c r="BN211">
        <v>2100452.25</v>
      </c>
      <c r="BO211">
        <v>1888228.5</v>
      </c>
      <c r="BP211">
        <v>1331715</v>
      </c>
      <c r="BQ211">
        <v>1416335.5</v>
      </c>
      <c r="BR211">
        <v>643766.43999999994</v>
      </c>
      <c r="BS211">
        <v>830050.12</v>
      </c>
      <c r="BT211">
        <v>185712.12</v>
      </c>
      <c r="BU211">
        <v>1400581.5</v>
      </c>
      <c r="BV211">
        <v>1272107.8799999999</v>
      </c>
      <c r="BW211">
        <v>1322972.25</v>
      </c>
      <c r="BX211">
        <v>1280577.25</v>
      </c>
      <c r="BY211">
        <v>1463305.38</v>
      </c>
      <c r="BZ211">
        <v>1456614.25</v>
      </c>
      <c r="CA211">
        <v>1861318.88</v>
      </c>
      <c r="CB211">
        <v>769491.31</v>
      </c>
      <c r="CC211">
        <v>473040.62</v>
      </c>
      <c r="CD211" s="17" t="s">
        <v>1305</v>
      </c>
      <c r="CE211" s="21">
        <v>34383.480000000003</v>
      </c>
      <c r="CF211" s="21">
        <v>836934.69</v>
      </c>
      <c r="CG211" s="19">
        <v>1861110.38</v>
      </c>
      <c r="CH211" s="19">
        <v>1333517.25</v>
      </c>
      <c r="CI211" s="21">
        <v>1465031.88</v>
      </c>
      <c r="CJ211" s="21">
        <v>1290780.3799999999</v>
      </c>
      <c r="CK211" s="19">
        <v>960566.56</v>
      </c>
      <c r="CL211" s="19">
        <v>1126221.3799999999</v>
      </c>
      <c r="CM211" s="21">
        <v>731622.25</v>
      </c>
      <c r="CN211" s="21">
        <v>919068.56</v>
      </c>
      <c r="CO211" s="19">
        <v>1162090.1200000001</v>
      </c>
      <c r="CP211" s="19">
        <v>1123760.6200000001</v>
      </c>
      <c r="CQ211" s="21">
        <v>848575.38</v>
      </c>
      <c r="CR211" s="21">
        <v>744271.06</v>
      </c>
      <c r="CS211" s="19">
        <v>1079016.5</v>
      </c>
      <c r="CT211" s="19">
        <v>962695.75</v>
      </c>
      <c r="CU211" s="21">
        <v>1214125.6200000001</v>
      </c>
      <c r="CV211" s="21">
        <v>1325825.6200000001</v>
      </c>
      <c r="CW211" s="19">
        <v>713784.62</v>
      </c>
      <c r="CX211" s="19">
        <v>415616.5</v>
      </c>
    </row>
    <row r="212" spans="1:102">
      <c r="A212">
        <v>30965</v>
      </c>
      <c r="B212" t="s">
        <v>516</v>
      </c>
      <c r="C212" t="s">
        <v>1306</v>
      </c>
      <c r="D212" t="s">
        <v>517</v>
      </c>
      <c r="E212" t="s">
        <v>518</v>
      </c>
      <c r="F212" t="s">
        <v>519</v>
      </c>
      <c r="G212">
        <v>167.62100000000001</v>
      </c>
      <c r="H212" t="s">
        <v>104</v>
      </c>
      <c r="I212">
        <v>2</v>
      </c>
      <c r="J212">
        <v>19</v>
      </c>
      <c r="K212">
        <v>1</v>
      </c>
      <c r="L212">
        <v>0</v>
      </c>
      <c r="M212">
        <v>0</v>
      </c>
      <c r="N212">
        <v>-1</v>
      </c>
      <c r="O212">
        <v>7</v>
      </c>
      <c r="P212">
        <v>7</v>
      </c>
      <c r="Q212">
        <v>7</v>
      </c>
      <c r="R212">
        <v>7</v>
      </c>
      <c r="S212">
        <v>7</v>
      </c>
      <c r="T212">
        <v>7</v>
      </c>
      <c r="U212">
        <v>7</v>
      </c>
      <c r="V212">
        <v>6</v>
      </c>
      <c r="W212">
        <v>7</v>
      </c>
      <c r="Y212">
        <v>7</v>
      </c>
      <c r="Z212">
        <v>7</v>
      </c>
      <c r="AA212">
        <v>7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0</v>
      </c>
      <c r="AQ212">
        <v>5</v>
      </c>
      <c r="AR212">
        <v>0</v>
      </c>
      <c r="AS212">
        <v>5</v>
      </c>
      <c r="AT212">
        <v>2</v>
      </c>
      <c r="AU212">
        <v>7</v>
      </c>
      <c r="AV212">
        <v>3</v>
      </c>
      <c r="AW212">
        <v>2</v>
      </c>
      <c r="AX212">
        <v>6</v>
      </c>
      <c r="AY212">
        <v>7</v>
      </c>
      <c r="AZ212">
        <v>1</v>
      </c>
      <c r="BA212">
        <v>6</v>
      </c>
      <c r="BB212">
        <v>3</v>
      </c>
      <c r="BC212">
        <v>7</v>
      </c>
      <c r="BD212">
        <v>3</v>
      </c>
      <c r="BE212">
        <v>5</v>
      </c>
      <c r="BF212">
        <v>4</v>
      </c>
      <c r="BG212">
        <v>3</v>
      </c>
      <c r="BH212">
        <v>4</v>
      </c>
      <c r="BI212">
        <v>6</v>
      </c>
      <c r="BJ212">
        <v>5080725.5</v>
      </c>
      <c r="BK212">
        <v>9121815</v>
      </c>
      <c r="BM212">
        <v>6140802.5</v>
      </c>
      <c r="BN212">
        <v>4916043.5</v>
      </c>
      <c r="BO212">
        <v>8138648</v>
      </c>
      <c r="BP212">
        <v>6054454</v>
      </c>
      <c r="BQ212">
        <v>4198304.5</v>
      </c>
      <c r="BR212">
        <v>7600150</v>
      </c>
      <c r="BS212">
        <v>6425011</v>
      </c>
      <c r="BT212">
        <v>1216085.5</v>
      </c>
      <c r="BU212">
        <v>6937073</v>
      </c>
      <c r="BV212">
        <v>3950889.5</v>
      </c>
      <c r="BW212">
        <v>12420133</v>
      </c>
      <c r="BX212">
        <v>3622489</v>
      </c>
      <c r="BY212">
        <v>6097363</v>
      </c>
      <c r="BZ212">
        <v>6202334.5</v>
      </c>
      <c r="CA212">
        <v>5113230.5</v>
      </c>
      <c r="CB212">
        <v>6900837</v>
      </c>
      <c r="CC212">
        <v>5312762</v>
      </c>
      <c r="CD212" s="17" t="s">
        <v>1306</v>
      </c>
      <c r="CE212" s="21">
        <v>5051062</v>
      </c>
      <c r="CF212" s="21">
        <v>4055382.5</v>
      </c>
      <c r="CG212" s="19">
        <v>1861110.38</v>
      </c>
      <c r="CH212" s="19">
        <v>4003535.75</v>
      </c>
      <c r="CI212" s="21">
        <v>3641183</v>
      </c>
      <c r="CJ212" s="21">
        <v>3554889.75</v>
      </c>
      <c r="CK212" s="19">
        <v>4403662</v>
      </c>
      <c r="CL212" s="19">
        <v>5777265</v>
      </c>
      <c r="CM212" s="21">
        <v>6903003.5</v>
      </c>
      <c r="CN212" s="21">
        <v>7505652.5</v>
      </c>
      <c r="CO212" s="19">
        <v>5123160</v>
      </c>
      <c r="CP212" s="19">
        <v>5068610</v>
      </c>
      <c r="CQ212" s="21">
        <v>6158085.5</v>
      </c>
      <c r="CR212" s="21">
        <v>7144824</v>
      </c>
      <c r="CS212" s="19">
        <v>4820511.5</v>
      </c>
      <c r="CT212" s="19">
        <v>4417158.5</v>
      </c>
      <c r="CU212" s="21">
        <v>3400248</v>
      </c>
      <c r="CV212" s="21">
        <v>3987753</v>
      </c>
      <c r="CW212" s="19">
        <v>5295721</v>
      </c>
      <c r="CX212" s="19">
        <v>7166928.5</v>
      </c>
    </row>
    <row r="213" spans="1:102">
      <c r="A213">
        <v>31158</v>
      </c>
      <c r="B213" t="s">
        <v>1101</v>
      </c>
      <c r="C213" t="s">
        <v>1307</v>
      </c>
      <c r="D213" t="s">
        <v>1101</v>
      </c>
      <c r="F213" t="s">
        <v>1102</v>
      </c>
      <c r="G213">
        <v>5.7629999999999999</v>
      </c>
      <c r="H213" t="s">
        <v>104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-1</v>
      </c>
      <c r="O213">
        <v>3</v>
      </c>
      <c r="P213">
        <v>3</v>
      </c>
      <c r="Q213">
        <v>3</v>
      </c>
      <c r="R213">
        <v>3</v>
      </c>
      <c r="S213">
        <v>3</v>
      </c>
      <c r="T213">
        <v>3</v>
      </c>
      <c r="U213">
        <v>3</v>
      </c>
      <c r="V213">
        <v>3</v>
      </c>
      <c r="W213">
        <v>3</v>
      </c>
      <c r="X213">
        <v>1</v>
      </c>
      <c r="Y213">
        <v>3</v>
      </c>
      <c r="Z213">
        <v>3</v>
      </c>
      <c r="AA213">
        <v>3</v>
      </c>
      <c r="AB213">
        <v>3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3</v>
      </c>
      <c r="AI213">
        <v>3</v>
      </c>
      <c r="AJ213">
        <v>3</v>
      </c>
      <c r="AK213">
        <v>3</v>
      </c>
      <c r="AL213">
        <v>3</v>
      </c>
      <c r="AM213">
        <v>3</v>
      </c>
      <c r="AN213">
        <v>3</v>
      </c>
      <c r="AO213">
        <v>3</v>
      </c>
      <c r="AP213">
        <v>1</v>
      </c>
      <c r="AQ213">
        <v>0</v>
      </c>
      <c r="AR213">
        <v>0</v>
      </c>
      <c r="AS213">
        <v>0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2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1833300.88</v>
      </c>
      <c r="BK213">
        <v>1924669.5</v>
      </c>
      <c r="BL213">
        <v>22308.55</v>
      </c>
      <c r="BM213">
        <v>685247.38</v>
      </c>
      <c r="BN213">
        <v>2846903</v>
      </c>
      <c r="BO213">
        <v>2452385.5</v>
      </c>
      <c r="BP213">
        <v>1558409.38</v>
      </c>
      <c r="BQ213">
        <v>1434793.5</v>
      </c>
      <c r="BR213">
        <v>1002397.12</v>
      </c>
      <c r="BS213">
        <v>704861</v>
      </c>
      <c r="BT213">
        <v>522783.88</v>
      </c>
      <c r="BU213">
        <v>1747911.25</v>
      </c>
      <c r="BV213">
        <v>2053709.88</v>
      </c>
      <c r="BW213">
        <v>964558.75</v>
      </c>
      <c r="BX213">
        <v>1881213</v>
      </c>
      <c r="BY213">
        <v>1659778</v>
      </c>
      <c r="BZ213">
        <v>1181438.8799999999</v>
      </c>
      <c r="CA213">
        <v>1165145.8799999999</v>
      </c>
      <c r="CB213">
        <v>530823.31000000006</v>
      </c>
      <c r="CC213">
        <v>150759.14000000001</v>
      </c>
      <c r="CD213" s="17" t="s">
        <v>1307</v>
      </c>
      <c r="CE213" s="21">
        <v>1935244.25</v>
      </c>
      <c r="CF213" s="21">
        <v>1650379.88</v>
      </c>
      <c r="CG213" s="19">
        <v>1713342</v>
      </c>
      <c r="CH213" s="19">
        <v>1970277.5</v>
      </c>
      <c r="CI213" s="21">
        <v>2194536.75</v>
      </c>
      <c r="CJ213" s="21">
        <v>1812251.25</v>
      </c>
      <c r="CK213" s="19">
        <v>1156113.8799999999</v>
      </c>
      <c r="CL213" s="19">
        <v>1234699.1200000001</v>
      </c>
      <c r="CM213" s="21">
        <v>954723.44</v>
      </c>
      <c r="CN213" s="21">
        <v>608546.5</v>
      </c>
      <c r="CO213" s="19">
        <v>1065696</v>
      </c>
      <c r="CP213" s="19">
        <v>1397951.12</v>
      </c>
      <c r="CQ213" s="21">
        <v>655489.62</v>
      </c>
      <c r="CR213" s="21">
        <v>578236.12</v>
      </c>
      <c r="CS213" s="19">
        <v>1554262.12</v>
      </c>
      <c r="CT213" s="19">
        <v>1301514</v>
      </c>
      <c r="CU213" s="21">
        <v>1225685.3799999999</v>
      </c>
      <c r="CV213" s="21">
        <v>1012700</v>
      </c>
      <c r="CW213" s="19">
        <v>621388.5</v>
      </c>
      <c r="CX213" s="19">
        <v>212917.89</v>
      </c>
    </row>
    <row r="214" spans="1:102">
      <c r="A214">
        <v>31137</v>
      </c>
      <c r="B214" t="s">
        <v>682</v>
      </c>
      <c r="C214" t="s">
        <v>1308</v>
      </c>
      <c r="D214" t="s">
        <v>683</v>
      </c>
      <c r="F214" t="s">
        <v>684</v>
      </c>
      <c r="G214">
        <v>36.058999999999997</v>
      </c>
      <c r="H214" t="s">
        <v>104</v>
      </c>
      <c r="I214">
        <v>2</v>
      </c>
      <c r="J214">
        <v>3</v>
      </c>
      <c r="K214">
        <v>0</v>
      </c>
      <c r="L214">
        <v>0</v>
      </c>
      <c r="M214">
        <v>0</v>
      </c>
      <c r="N214">
        <v>-1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W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1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1</v>
      </c>
      <c r="BI214">
        <v>0</v>
      </c>
      <c r="BK214">
        <v>211783.16</v>
      </c>
      <c r="BM214">
        <v>182440.83</v>
      </c>
      <c r="BN214">
        <v>613404.43999999994</v>
      </c>
      <c r="BO214">
        <v>532532.75</v>
      </c>
      <c r="BP214">
        <v>610933.38</v>
      </c>
      <c r="BQ214">
        <v>427214.12</v>
      </c>
      <c r="BR214">
        <v>332241.15999999997</v>
      </c>
      <c r="BS214">
        <v>222298.53</v>
      </c>
      <c r="BT214">
        <v>128010.77</v>
      </c>
      <c r="BU214">
        <v>373290.62</v>
      </c>
      <c r="BV214">
        <v>923184.81</v>
      </c>
      <c r="BW214">
        <v>319425.12</v>
      </c>
      <c r="BX214">
        <v>840631.06</v>
      </c>
      <c r="BY214">
        <v>431480.69</v>
      </c>
      <c r="BZ214">
        <v>388286.34</v>
      </c>
      <c r="CA214">
        <v>350198.38</v>
      </c>
      <c r="CB214">
        <v>257046.97</v>
      </c>
      <c r="CC214">
        <v>55248.45</v>
      </c>
      <c r="CD214" s="17" t="s">
        <v>1308</v>
      </c>
      <c r="CE214" s="21">
        <v>311941.62</v>
      </c>
      <c r="CF214" s="21">
        <v>453472.34</v>
      </c>
      <c r="CG214" s="19">
        <v>1861110.38</v>
      </c>
      <c r="CH214" s="19">
        <v>920306.19</v>
      </c>
      <c r="CI214" s="21">
        <v>447258.97</v>
      </c>
      <c r="CJ214" s="21">
        <v>794875.38</v>
      </c>
      <c r="CK214" s="19">
        <v>443434.72</v>
      </c>
      <c r="CL214" s="19">
        <v>365125.28</v>
      </c>
      <c r="CM214" s="21">
        <v>318708</v>
      </c>
      <c r="CN214" s="21">
        <v>281962</v>
      </c>
      <c r="CO214" s="19">
        <v>114419.9</v>
      </c>
      <c r="CP214" s="19">
        <v>257766.41</v>
      </c>
      <c r="CQ214" s="21">
        <v>189098.41</v>
      </c>
      <c r="CR214" s="21">
        <v>180629.28</v>
      </c>
      <c r="CS214" s="19">
        <v>321565.21999999997</v>
      </c>
      <c r="CT214" s="19">
        <v>315136.81</v>
      </c>
      <c r="CU214" s="21">
        <v>347486.22</v>
      </c>
      <c r="CV214" s="21">
        <v>255497.28</v>
      </c>
      <c r="CW214" s="19">
        <v>187997.39</v>
      </c>
      <c r="CX214" s="19">
        <v>72260.41</v>
      </c>
    </row>
    <row r="215" spans="1:102">
      <c r="A215">
        <v>31063</v>
      </c>
      <c r="B215" t="s">
        <v>685</v>
      </c>
      <c r="C215" t="s">
        <v>1309</v>
      </c>
      <c r="D215" t="s">
        <v>686</v>
      </c>
      <c r="F215" t="s">
        <v>687</v>
      </c>
      <c r="G215">
        <v>34.494</v>
      </c>
      <c r="H215" t="s">
        <v>104</v>
      </c>
      <c r="I215">
        <v>2</v>
      </c>
      <c r="J215">
        <v>4</v>
      </c>
      <c r="K215">
        <v>0</v>
      </c>
      <c r="L215">
        <v>0</v>
      </c>
      <c r="M215">
        <v>0</v>
      </c>
      <c r="N215">
        <v>-1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0</v>
      </c>
      <c r="AR215">
        <v>0</v>
      </c>
      <c r="AS215">
        <v>0</v>
      </c>
      <c r="AT215">
        <v>1</v>
      </c>
      <c r="AU215">
        <v>1</v>
      </c>
      <c r="AV215">
        <v>1</v>
      </c>
      <c r="AW215">
        <v>0</v>
      </c>
      <c r="AX215">
        <v>1</v>
      </c>
      <c r="AY215">
        <v>0</v>
      </c>
      <c r="AZ215">
        <v>0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0</v>
      </c>
      <c r="BG215">
        <v>1</v>
      </c>
      <c r="BH215">
        <v>1</v>
      </c>
      <c r="BI215">
        <v>0</v>
      </c>
      <c r="BJ215">
        <v>1089669.25</v>
      </c>
      <c r="BK215">
        <v>1019624.44</v>
      </c>
      <c r="BM215">
        <v>239900.25</v>
      </c>
      <c r="BN215">
        <v>1339424.8799999999</v>
      </c>
      <c r="BO215">
        <v>836666.69</v>
      </c>
      <c r="BP215">
        <v>762893.12</v>
      </c>
      <c r="BQ215">
        <v>587230.25</v>
      </c>
      <c r="BR215">
        <v>461512.84</v>
      </c>
      <c r="BS215">
        <v>329355.28000000003</v>
      </c>
      <c r="BT215">
        <v>177546.03</v>
      </c>
      <c r="BU215">
        <v>686605.31</v>
      </c>
      <c r="BV215">
        <v>975206.12</v>
      </c>
      <c r="BW215">
        <v>527264</v>
      </c>
      <c r="BX215">
        <v>1009079.44</v>
      </c>
      <c r="BY215">
        <v>832260</v>
      </c>
      <c r="BZ215">
        <v>619401.5</v>
      </c>
      <c r="CA215">
        <v>785061.12</v>
      </c>
      <c r="CB215">
        <v>583671.06000000006</v>
      </c>
      <c r="CC215">
        <v>359580.15999999997</v>
      </c>
      <c r="CD215" s="17" t="s">
        <v>1309</v>
      </c>
      <c r="CE215" s="21">
        <v>1089669.25</v>
      </c>
      <c r="CF215" s="21">
        <v>628948.75</v>
      </c>
      <c r="CG215" s="19">
        <v>1861110.38</v>
      </c>
      <c r="CH215" s="19">
        <v>972165.25</v>
      </c>
      <c r="CI215" s="21">
        <v>976630.94</v>
      </c>
      <c r="CJ215" s="21">
        <v>954155.12</v>
      </c>
      <c r="CK215" s="19">
        <v>553731.88</v>
      </c>
      <c r="CL215" s="19">
        <v>582454.56000000006</v>
      </c>
      <c r="CM215" s="21">
        <v>442714.06</v>
      </c>
      <c r="CN215" s="21">
        <v>640245.12</v>
      </c>
      <c r="CO215" s="19">
        <v>550871.62</v>
      </c>
      <c r="CP215" s="19">
        <v>474117.97</v>
      </c>
      <c r="CQ215" s="21">
        <v>248654.64</v>
      </c>
      <c r="CR215" s="21">
        <v>298158.46999999997</v>
      </c>
      <c r="CS215" s="19">
        <v>505213.81</v>
      </c>
      <c r="CT215" s="19">
        <v>607850.5</v>
      </c>
      <c r="CU215" s="21">
        <v>477639.69</v>
      </c>
      <c r="CV215" s="21">
        <v>572763.93999999994</v>
      </c>
      <c r="CW215" s="19">
        <v>278535.06</v>
      </c>
      <c r="CX215" s="19">
        <v>470301.06</v>
      </c>
    </row>
    <row r="216" spans="1:102">
      <c r="A216">
        <v>30972</v>
      </c>
      <c r="B216" t="s">
        <v>759</v>
      </c>
      <c r="C216" t="s">
        <v>1310</v>
      </c>
      <c r="D216" t="s">
        <v>759</v>
      </c>
      <c r="F216" t="s">
        <v>760</v>
      </c>
      <c r="G216">
        <v>13.523</v>
      </c>
      <c r="H216" t="s">
        <v>104</v>
      </c>
      <c r="I216">
        <v>2</v>
      </c>
      <c r="J216">
        <v>1</v>
      </c>
      <c r="K216">
        <v>0</v>
      </c>
      <c r="L216">
        <v>0</v>
      </c>
      <c r="M216">
        <v>0</v>
      </c>
      <c r="N216">
        <v>-1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7039334</v>
      </c>
      <c r="BK216">
        <v>8611651</v>
      </c>
      <c r="BM216">
        <v>1612391.88</v>
      </c>
      <c r="BN216">
        <v>7354818</v>
      </c>
      <c r="BO216">
        <v>4631310.5</v>
      </c>
      <c r="BP216">
        <v>3825559.25</v>
      </c>
      <c r="BQ216">
        <v>7359361.5</v>
      </c>
      <c r="BR216">
        <v>5178222.5</v>
      </c>
      <c r="BS216">
        <v>5818813.5</v>
      </c>
      <c r="BT216">
        <v>2029168.38</v>
      </c>
      <c r="BU216">
        <v>5829912.5</v>
      </c>
      <c r="BV216">
        <v>2789820.5</v>
      </c>
      <c r="BW216">
        <v>3377007</v>
      </c>
      <c r="BX216">
        <v>5778717</v>
      </c>
      <c r="BY216">
        <v>3810278</v>
      </c>
      <c r="BZ216">
        <v>3093300</v>
      </c>
      <c r="CA216">
        <v>8755357</v>
      </c>
      <c r="CB216">
        <v>4072262</v>
      </c>
      <c r="CC216">
        <v>3972023.25</v>
      </c>
      <c r="CD216" s="17" t="s">
        <v>1310</v>
      </c>
      <c r="CE216" s="21">
        <v>7039334</v>
      </c>
      <c r="CF216" s="21">
        <v>7188236.5</v>
      </c>
      <c r="CG216" s="19">
        <v>1861110.38</v>
      </c>
      <c r="CH216" s="19">
        <v>2781121.5</v>
      </c>
      <c r="CI216" s="21">
        <v>5362707</v>
      </c>
      <c r="CJ216" s="21">
        <v>5464180.5</v>
      </c>
      <c r="CK216" s="19">
        <v>2776711.5</v>
      </c>
      <c r="CL216" s="19">
        <v>2908786.25</v>
      </c>
      <c r="CM216" s="21">
        <v>4967298</v>
      </c>
      <c r="CN216" s="21">
        <v>4466978</v>
      </c>
      <c r="CO216" s="19">
        <v>4652609</v>
      </c>
      <c r="CP216" s="19">
        <v>4025698.75</v>
      </c>
      <c r="CQ216" s="21">
        <v>1671230.88</v>
      </c>
      <c r="CR216" s="21">
        <v>1909637.88</v>
      </c>
      <c r="CS216" s="19">
        <v>2796576</v>
      </c>
      <c r="CT216" s="19">
        <v>2782879.75</v>
      </c>
      <c r="CU216" s="21">
        <v>5985936.5</v>
      </c>
      <c r="CV216" s="21">
        <v>6387722.5</v>
      </c>
      <c r="CW216" s="19">
        <v>4920958</v>
      </c>
      <c r="CX216" s="19">
        <v>5195077.5</v>
      </c>
    </row>
    <row r="217" spans="1:102">
      <c r="A217">
        <v>30969</v>
      </c>
      <c r="B217" t="s">
        <v>635</v>
      </c>
      <c r="C217" t="s">
        <v>1311</v>
      </c>
      <c r="D217" t="s">
        <v>636</v>
      </c>
      <c r="F217" t="s">
        <v>637</v>
      </c>
      <c r="G217">
        <v>52.341000000000001</v>
      </c>
      <c r="H217" t="s">
        <v>104</v>
      </c>
      <c r="I217">
        <v>2</v>
      </c>
      <c r="J217">
        <v>20</v>
      </c>
      <c r="K217">
        <v>0</v>
      </c>
      <c r="L217">
        <v>0</v>
      </c>
      <c r="M217">
        <v>0</v>
      </c>
      <c r="N217">
        <v>-1</v>
      </c>
      <c r="O217">
        <v>3</v>
      </c>
      <c r="P217">
        <v>3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3</v>
      </c>
      <c r="W217">
        <v>3</v>
      </c>
      <c r="Y217">
        <v>3</v>
      </c>
      <c r="Z217">
        <v>3</v>
      </c>
      <c r="AA217">
        <v>3</v>
      </c>
      <c r="AB217">
        <v>2</v>
      </c>
      <c r="AC217">
        <v>3</v>
      </c>
      <c r="AD217">
        <v>2</v>
      </c>
      <c r="AE217">
        <v>2</v>
      </c>
      <c r="AF217">
        <v>3</v>
      </c>
      <c r="AG217">
        <v>3</v>
      </c>
      <c r="AH217">
        <v>3</v>
      </c>
      <c r="AI217">
        <v>3</v>
      </c>
      <c r="AJ217">
        <v>3</v>
      </c>
      <c r="AK217">
        <v>3</v>
      </c>
      <c r="AL217">
        <v>3</v>
      </c>
      <c r="AM217">
        <v>3</v>
      </c>
      <c r="AN217">
        <v>3</v>
      </c>
      <c r="AO217">
        <v>2</v>
      </c>
      <c r="AP217">
        <v>0</v>
      </c>
      <c r="AQ217">
        <v>2</v>
      </c>
      <c r="AR217">
        <v>0</v>
      </c>
      <c r="AS217">
        <v>1</v>
      </c>
      <c r="AT217">
        <v>3</v>
      </c>
      <c r="AU217">
        <v>4</v>
      </c>
      <c r="AV217">
        <v>1</v>
      </c>
      <c r="AW217">
        <v>2</v>
      </c>
      <c r="AX217">
        <v>1</v>
      </c>
      <c r="AY217">
        <v>0</v>
      </c>
      <c r="AZ217">
        <v>1</v>
      </c>
      <c r="BA217">
        <v>4</v>
      </c>
      <c r="BB217">
        <v>2</v>
      </c>
      <c r="BC217">
        <v>3</v>
      </c>
      <c r="BD217">
        <v>3</v>
      </c>
      <c r="BE217">
        <v>3</v>
      </c>
      <c r="BF217">
        <v>2</v>
      </c>
      <c r="BG217">
        <v>2</v>
      </c>
      <c r="BH217">
        <v>0</v>
      </c>
      <c r="BI217">
        <v>0</v>
      </c>
      <c r="BJ217">
        <v>981387.06</v>
      </c>
      <c r="BK217">
        <v>2775129</v>
      </c>
      <c r="BM217">
        <v>914981.5</v>
      </c>
      <c r="BN217">
        <v>2425710.25</v>
      </c>
      <c r="BO217">
        <v>2425277.25</v>
      </c>
      <c r="BP217">
        <v>646229.56000000006</v>
      </c>
      <c r="BQ217">
        <v>2013554.12</v>
      </c>
      <c r="BR217">
        <v>532018.43999999994</v>
      </c>
      <c r="BS217">
        <v>336195.06</v>
      </c>
      <c r="BT217">
        <v>360182.44</v>
      </c>
      <c r="BU217">
        <v>2330921</v>
      </c>
      <c r="BV217">
        <v>1169231.75</v>
      </c>
      <c r="BW217">
        <v>1858034</v>
      </c>
      <c r="BX217">
        <v>1785653.25</v>
      </c>
      <c r="BY217">
        <v>1913743.75</v>
      </c>
      <c r="BZ217">
        <v>1216221.5</v>
      </c>
      <c r="CA217">
        <v>1745685.75</v>
      </c>
      <c r="CB217">
        <v>524203.06</v>
      </c>
      <c r="CC217">
        <v>440279.31</v>
      </c>
      <c r="CD217" s="17" t="s">
        <v>1311</v>
      </c>
      <c r="CE217" s="21">
        <v>1822440</v>
      </c>
      <c r="CF217" s="21">
        <v>1977428.25</v>
      </c>
      <c r="CG217" s="19">
        <v>1861110.38</v>
      </c>
      <c r="CH217" s="19">
        <v>1782407.88</v>
      </c>
      <c r="CI217" s="21">
        <v>2922480</v>
      </c>
      <c r="CJ217" s="21">
        <v>2627622.25</v>
      </c>
      <c r="CK217" s="19">
        <v>952104.44</v>
      </c>
      <c r="CL217" s="19">
        <v>1911078.62</v>
      </c>
      <c r="CM217" s="21">
        <v>1078758.6200000001</v>
      </c>
      <c r="CN217" s="21">
        <v>1120300</v>
      </c>
      <c r="CO217" s="19">
        <v>2192910.5</v>
      </c>
      <c r="CP217" s="19">
        <v>2557430.75</v>
      </c>
      <c r="CQ217" s="21">
        <v>1544375.38</v>
      </c>
      <c r="CR217" s="21">
        <v>1841628.25</v>
      </c>
      <c r="CS217" s="19">
        <v>2579375.25</v>
      </c>
      <c r="CT217" s="19">
        <v>2227463.25</v>
      </c>
      <c r="CU217" s="21">
        <v>2506212.75</v>
      </c>
      <c r="CV217" s="21">
        <v>2243432.25</v>
      </c>
      <c r="CW217" s="19">
        <v>669296.88</v>
      </c>
      <c r="CX217" s="19">
        <v>944144.44</v>
      </c>
    </row>
    <row r="218" spans="1:102">
      <c r="A218">
        <v>31017</v>
      </c>
      <c r="B218" t="s">
        <v>761</v>
      </c>
      <c r="C218" t="s">
        <v>1312</v>
      </c>
      <c r="D218" t="s">
        <v>762</v>
      </c>
      <c r="F218" t="s">
        <v>763</v>
      </c>
      <c r="G218">
        <v>12.808999999999999</v>
      </c>
      <c r="H218" t="s">
        <v>104</v>
      </c>
      <c r="I218">
        <v>2</v>
      </c>
      <c r="J218">
        <v>2</v>
      </c>
      <c r="K218">
        <v>0</v>
      </c>
      <c r="L218">
        <v>0</v>
      </c>
      <c r="M218">
        <v>0</v>
      </c>
      <c r="N218">
        <v>-1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0</v>
      </c>
      <c r="AR218">
        <v>0</v>
      </c>
      <c r="AS218">
        <v>0</v>
      </c>
      <c r="AT218">
        <v>0</v>
      </c>
      <c r="AU218">
        <v>1</v>
      </c>
      <c r="AV218">
        <v>1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1</v>
      </c>
      <c r="BE218">
        <v>1</v>
      </c>
      <c r="BF218">
        <v>0</v>
      </c>
      <c r="BG218">
        <v>1</v>
      </c>
      <c r="BH218">
        <v>0</v>
      </c>
      <c r="BI218">
        <v>0</v>
      </c>
      <c r="BJ218">
        <v>681122.19</v>
      </c>
      <c r="BK218">
        <v>808015.12</v>
      </c>
      <c r="BM218">
        <v>157984.95000000001</v>
      </c>
      <c r="BN218">
        <v>1392397.12</v>
      </c>
      <c r="BO218">
        <v>852960.06</v>
      </c>
      <c r="BP218">
        <v>1008603</v>
      </c>
      <c r="BQ218">
        <v>535271.31000000006</v>
      </c>
      <c r="BR218">
        <v>188556.53</v>
      </c>
      <c r="BS218">
        <v>81017.94</v>
      </c>
      <c r="BT218">
        <v>91835.97</v>
      </c>
      <c r="BU218">
        <v>807408.38</v>
      </c>
      <c r="BV218">
        <v>1606760.38</v>
      </c>
      <c r="BW218">
        <v>410334.12</v>
      </c>
      <c r="BX218">
        <v>1272404.8799999999</v>
      </c>
      <c r="BY218">
        <v>633009.81000000006</v>
      </c>
      <c r="BZ218">
        <v>767771.06</v>
      </c>
      <c r="CA218">
        <v>856603.12</v>
      </c>
      <c r="CB218">
        <v>185235.19</v>
      </c>
      <c r="CC218">
        <v>52333.98</v>
      </c>
      <c r="CD218" s="17" t="s">
        <v>1312</v>
      </c>
      <c r="CE218" s="21">
        <v>681122.19</v>
      </c>
      <c r="CF218" s="21">
        <v>325324.75</v>
      </c>
      <c r="CG218" s="19">
        <v>1861110.38</v>
      </c>
      <c r="CH218" s="19">
        <v>1601750.12</v>
      </c>
      <c r="CI218" s="21">
        <v>1015255.25</v>
      </c>
      <c r="CJ218" s="21">
        <v>1203147.75</v>
      </c>
      <c r="CK218" s="19">
        <v>732075.88</v>
      </c>
      <c r="CL218" s="19">
        <v>721973.94</v>
      </c>
      <c r="CM218" s="21">
        <v>180876.06</v>
      </c>
      <c r="CN218" s="21">
        <v>203189.66</v>
      </c>
      <c r="CO218" s="19">
        <v>436545.59</v>
      </c>
      <c r="CP218" s="19">
        <v>557535.43999999994</v>
      </c>
      <c r="CQ218" s="21">
        <v>163750.10999999999</v>
      </c>
      <c r="CR218" s="21">
        <v>232036.7</v>
      </c>
      <c r="CS218" s="19">
        <v>515052.44</v>
      </c>
      <c r="CT218" s="19">
        <v>462325.91</v>
      </c>
      <c r="CU218" s="21">
        <v>435377.47</v>
      </c>
      <c r="CV218" s="21">
        <v>624959.43999999994</v>
      </c>
      <c r="CW218" s="19">
        <v>68516.7</v>
      </c>
      <c r="CX218" s="19">
        <v>68448.509999999995</v>
      </c>
    </row>
    <row r="219" spans="1:102">
      <c r="A219">
        <v>31161</v>
      </c>
      <c r="B219" t="s">
        <v>767</v>
      </c>
      <c r="C219" t="s">
        <v>1313</v>
      </c>
      <c r="D219" t="s">
        <v>767</v>
      </c>
      <c r="F219" t="s">
        <v>768</v>
      </c>
      <c r="G219">
        <v>11.488</v>
      </c>
      <c r="H219" t="s">
        <v>104</v>
      </c>
      <c r="I219">
        <v>2</v>
      </c>
      <c r="J219">
        <v>1</v>
      </c>
      <c r="K219">
        <v>0</v>
      </c>
      <c r="L219">
        <v>0</v>
      </c>
      <c r="M219">
        <v>0</v>
      </c>
      <c r="N219">
        <v>-1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1</v>
      </c>
      <c r="Y219">
        <v>2</v>
      </c>
      <c r="Z219">
        <v>2</v>
      </c>
      <c r="AA219">
        <v>1</v>
      </c>
      <c r="AB219">
        <v>2</v>
      </c>
      <c r="AC219">
        <v>2</v>
      </c>
      <c r="AD219">
        <v>1</v>
      </c>
      <c r="AE219">
        <v>2</v>
      </c>
      <c r="AG219">
        <v>1</v>
      </c>
      <c r="AH219">
        <v>1</v>
      </c>
      <c r="AI219">
        <v>2</v>
      </c>
      <c r="AK219">
        <v>2</v>
      </c>
      <c r="AM219">
        <v>2</v>
      </c>
      <c r="AN219">
        <v>2</v>
      </c>
      <c r="AO219">
        <v>1</v>
      </c>
      <c r="AP219">
        <v>0</v>
      </c>
      <c r="AQ219">
        <v>0</v>
      </c>
      <c r="AR219">
        <v>0</v>
      </c>
      <c r="AS219">
        <v>2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2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475263.97</v>
      </c>
      <c r="BK219">
        <v>333578.31</v>
      </c>
      <c r="BM219">
        <v>1368777.88</v>
      </c>
      <c r="BN219">
        <v>682595.25</v>
      </c>
      <c r="BO219">
        <v>487042.66</v>
      </c>
      <c r="BP219">
        <v>658800.62</v>
      </c>
      <c r="BQ219">
        <v>1025130.06</v>
      </c>
      <c r="BR219">
        <v>245760.89</v>
      </c>
      <c r="BS219">
        <v>714697.44</v>
      </c>
      <c r="BU219">
        <v>312907.12</v>
      </c>
      <c r="BV219">
        <v>115169.28</v>
      </c>
      <c r="BW219">
        <v>1613827.62</v>
      </c>
      <c r="BY219">
        <v>1187230.3799999999</v>
      </c>
      <c r="CA219">
        <v>1018515.44</v>
      </c>
      <c r="CB219">
        <v>344374.12</v>
      </c>
      <c r="CC219">
        <v>39363.980000000003</v>
      </c>
      <c r="CD219" s="17" t="s">
        <v>1313</v>
      </c>
      <c r="CE219" s="21">
        <v>366188.12</v>
      </c>
      <c r="CF219" s="21">
        <v>342208.75</v>
      </c>
      <c r="CG219" s="19">
        <v>1861110.38</v>
      </c>
      <c r="CH219" s="19">
        <v>132205.03</v>
      </c>
      <c r="CI219" s="21">
        <v>450998</v>
      </c>
      <c r="CJ219" s="21">
        <v>225422.34</v>
      </c>
      <c r="CK219" s="19">
        <v>501766.69</v>
      </c>
      <c r="CL219" s="19">
        <v>317038.59000000003</v>
      </c>
      <c r="CM219" s="21">
        <v>123328.78</v>
      </c>
      <c r="CN219" s="21">
        <v>521334.12</v>
      </c>
      <c r="CO219" s="19">
        <v>60047.62</v>
      </c>
      <c r="CP219" s="19">
        <v>118746.3</v>
      </c>
      <c r="CQ219" s="21">
        <v>927112.44</v>
      </c>
      <c r="CR219" s="21">
        <v>1244682.1200000001</v>
      </c>
      <c r="CS219" s="19">
        <v>91575.55</v>
      </c>
      <c r="CT219" s="19">
        <v>1158956.1200000001</v>
      </c>
      <c r="CU219" s="21">
        <v>856778.25</v>
      </c>
      <c r="CV219" s="21">
        <v>1025233.06</v>
      </c>
      <c r="CW219" s="19">
        <v>715520.56</v>
      </c>
      <c r="CX219" s="19">
        <v>58747.97</v>
      </c>
    </row>
    <row r="220" spans="1:102">
      <c r="A220">
        <v>31128</v>
      </c>
      <c r="B220" t="s">
        <v>546</v>
      </c>
      <c r="C220" t="s">
        <v>1314</v>
      </c>
      <c r="D220" t="s">
        <v>547</v>
      </c>
      <c r="F220" t="s">
        <v>548</v>
      </c>
      <c r="G220">
        <v>129.26900000000001</v>
      </c>
      <c r="H220" t="s">
        <v>104</v>
      </c>
      <c r="I220">
        <v>2</v>
      </c>
      <c r="J220">
        <v>2</v>
      </c>
      <c r="K220">
        <v>0</v>
      </c>
      <c r="L220">
        <v>0</v>
      </c>
      <c r="M220">
        <v>0</v>
      </c>
      <c r="N220">
        <v>-1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5</v>
      </c>
      <c r="Y220">
        <v>4</v>
      </c>
      <c r="Z220">
        <v>5</v>
      </c>
      <c r="AA220">
        <v>5</v>
      </c>
      <c r="AB220">
        <v>5</v>
      </c>
      <c r="AC220">
        <v>5</v>
      </c>
      <c r="AD220">
        <v>5</v>
      </c>
      <c r="AE220">
        <v>5</v>
      </c>
      <c r="AF220">
        <v>5</v>
      </c>
      <c r="AG220">
        <v>5</v>
      </c>
      <c r="AH220">
        <v>5</v>
      </c>
      <c r="AI220">
        <v>5</v>
      </c>
      <c r="AJ220">
        <v>5</v>
      </c>
      <c r="AK220">
        <v>5</v>
      </c>
      <c r="AL220">
        <v>5</v>
      </c>
      <c r="AM220">
        <v>5</v>
      </c>
      <c r="AN220">
        <v>5</v>
      </c>
      <c r="AO220">
        <v>5</v>
      </c>
      <c r="AP220">
        <v>1</v>
      </c>
      <c r="AQ220">
        <v>2</v>
      </c>
      <c r="AR220">
        <v>0</v>
      </c>
      <c r="AS220">
        <v>3</v>
      </c>
      <c r="AT220">
        <v>3</v>
      </c>
      <c r="AU220">
        <v>3</v>
      </c>
      <c r="AV220">
        <v>3</v>
      </c>
      <c r="AW220">
        <v>3</v>
      </c>
      <c r="AX220">
        <v>2</v>
      </c>
      <c r="AY220">
        <v>2</v>
      </c>
      <c r="AZ220">
        <v>0</v>
      </c>
      <c r="BA220">
        <v>4</v>
      </c>
      <c r="BB220">
        <v>3</v>
      </c>
      <c r="BC220">
        <v>2</v>
      </c>
      <c r="BD220">
        <v>1</v>
      </c>
      <c r="BE220">
        <v>4</v>
      </c>
      <c r="BF220">
        <v>3</v>
      </c>
      <c r="BG220">
        <v>3</v>
      </c>
      <c r="BH220">
        <v>2</v>
      </c>
      <c r="BI220">
        <v>0</v>
      </c>
      <c r="BJ220">
        <v>2508263.75</v>
      </c>
      <c r="BK220">
        <v>5696427.5</v>
      </c>
      <c r="BM220">
        <v>1524192.5</v>
      </c>
      <c r="BN220">
        <v>4821687</v>
      </c>
      <c r="BO220">
        <v>4803086.5</v>
      </c>
      <c r="BP220">
        <v>3618603.75</v>
      </c>
      <c r="BQ220">
        <v>4187031.5</v>
      </c>
      <c r="BR220">
        <v>1886535.75</v>
      </c>
      <c r="BS220">
        <v>1977551</v>
      </c>
      <c r="BT220">
        <v>504730.72</v>
      </c>
      <c r="BU220">
        <v>4147660</v>
      </c>
      <c r="BV220">
        <v>4430156.5</v>
      </c>
      <c r="BW220">
        <v>3006548</v>
      </c>
      <c r="BX220">
        <v>2986532.5</v>
      </c>
      <c r="BY220">
        <v>3211977</v>
      </c>
      <c r="BZ220">
        <v>2472714.75</v>
      </c>
      <c r="CA220">
        <v>3179407.25</v>
      </c>
      <c r="CB220">
        <v>1117830</v>
      </c>
      <c r="CC220">
        <v>749086.31</v>
      </c>
      <c r="CD220" s="17" t="s">
        <v>1314</v>
      </c>
      <c r="CE220" s="21">
        <v>2548717.25</v>
      </c>
      <c r="CF220" s="21">
        <v>1734496.62</v>
      </c>
      <c r="CG220" s="19">
        <v>1861110.38</v>
      </c>
      <c r="CH220" s="19">
        <v>3986836</v>
      </c>
      <c r="CI220" s="21">
        <v>3478495.25</v>
      </c>
      <c r="CJ220" s="21">
        <v>2921158.5</v>
      </c>
      <c r="CK220" s="19">
        <v>2634359.5</v>
      </c>
      <c r="CL220" s="19">
        <v>2363078</v>
      </c>
      <c r="CM220" s="21">
        <v>1777051.12</v>
      </c>
      <c r="CN220" s="21">
        <v>1210491.8799999999</v>
      </c>
      <c r="CO220" s="19">
        <v>3117465.25</v>
      </c>
      <c r="CP220" s="19">
        <v>2872128.25</v>
      </c>
      <c r="CQ220" s="21">
        <v>1861257.25</v>
      </c>
      <c r="CR220" s="21">
        <v>1707735.5</v>
      </c>
      <c r="CS220" s="19">
        <v>2906774.25</v>
      </c>
      <c r="CT220" s="19">
        <v>2244556.75</v>
      </c>
      <c r="CU220" s="21">
        <v>3559783.75</v>
      </c>
      <c r="CV220" s="21">
        <v>2485142.75</v>
      </c>
      <c r="CW220" s="19">
        <v>1553036.38</v>
      </c>
      <c r="CX220" s="19">
        <v>950933.81</v>
      </c>
    </row>
    <row r="221" spans="1:102">
      <c r="A221">
        <v>31079</v>
      </c>
      <c r="B221" t="s">
        <v>576</v>
      </c>
      <c r="C221" t="s">
        <v>1315</v>
      </c>
      <c r="D221" t="s">
        <v>577</v>
      </c>
      <c r="F221" t="s">
        <v>578</v>
      </c>
      <c r="G221">
        <v>109.71299999999999</v>
      </c>
      <c r="H221" t="s">
        <v>104</v>
      </c>
      <c r="I221">
        <v>2</v>
      </c>
      <c r="J221">
        <v>3</v>
      </c>
      <c r="K221">
        <v>0</v>
      </c>
      <c r="L221">
        <v>0</v>
      </c>
      <c r="M221">
        <v>0</v>
      </c>
      <c r="N221">
        <v>-1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3</v>
      </c>
      <c r="U221">
        <v>3</v>
      </c>
      <c r="V221">
        <v>3</v>
      </c>
      <c r="W221">
        <v>3</v>
      </c>
      <c r="Y221">
        <v>3</v>
      </c>
      <c r="Z221">
        <v>3</v>
      </c>
      <c r="AA221">
        <v>3</v>
      </c>
      <c r="AB221">
        <v>3</v>
      </c>
      <c r="AC221">
        <v>3</v>
      </c>
      <c r="AD221">
        <v>3</v>
      </c>
      <c r="AE221">
        <v>3</v>
      </c>
      <c r="AF221">
        <v>3</v>
      </c>
      <c r="AG221">
        <v>3</v>
      </c>
      <c r="AH221">
        <v>3</v>
      </c>
      <c r="AI221">
        <v>3</v>
      </c>
      <c r="AJ221">
        <v>3</v>
      </c>
      <c r="AK221">
        <v>3</v>
      </c>
      <c r="AL221">
        <v>3</v>
      </c>
      <c r="AM221">
        <v>3</v>
      </c>
      <c r="AN221">
        <v>3</v>
      </c>
      <c r="AO221">
        <v>3</v>
      </c>
      <c r="AP221">
        <v>2</v>
      </c>
      <c r="AQ221">
        <v>3</v>
      </c>
      <c r="AR221">
        <v>0</v>
      </c>
      <c r="AS221">
        <v>2</v>
      </c>
      <c r="AT221">
        <v>2</v>
      </c>
      <c r="AU221">
        <v>3</v>
      </c>
      <c r="AV221">
        <v>3</v>
      </c>
      <c r="AW221">
        <v>2</v>
      </c>
      <c r="AX221">
        <v>2</v>
      </c>
      <c r="AY221">
        <v>0</v>
      </c>
      <c r="AZ221">
        <v>2</v>
      </c>
      <c r="BA221">
        <v>2</v>
      </c>
      <c r="BB221">
        <v>3</v>
      </c>
      <c r="BC221">
        <v>2</v>
      </c>
      <c r="BD221">
        <v>2</v>
      </c>
      <c r="BE221">
        <v>3</v>
      </c>
      <c r="BF221">
        <v>2</v>
      </c>
      <c r="BG221">
        <v>2</v>
      </c>
      <c r="BH221">
        <v>2</v>
      </c>
      <c r="BI221">
        <v>0</v>
      </c>
      <c r="BJ221">
        <v>5284683</v>
      </c>
      <c r="BK221">
        <v>8334641.5</v>
      </c>
      <c r="BM221">
        <v>2268165.5</v>
      </c>
      <c r="BN221">
        <v>11062524</v>
      </c>
      <c r="BO221">
        <v>10770879</v>
      </c>
      <c r="BP221">
        <v>5613055.5</v>
      </c>
      <c r="BQ221">
        <v>3581443.75</v>
      </c>
      <c r="BR221">
        <v>2005468.12</v>
      </c>
      <c r="BS221">
        <v>811749.94</v>
      </c>
      <c r="BT221">
        <v>1085968.25</v>
      </c>
      <c r="BU221">
        <v>5630543</v>
      </c>
      <c r="BV221">
        <v>6953900</v>
      </c>
      <c r="BW221">
        <v>5027789</v>
      </c>
      <c r="BX221">
        <v>7877900</v>
      </c>
      <c r="BY221">
        <v>6913459</v>
      </c>
      <c r="BZ221">
        <v>4884701</v>
      </c>
      <c r="CA221">
        <v>4317744.5</v>
      </c>
      <c r="CB221">
        <v>1921526</v>
      </c>
      <c r="CC221">
        <v>1026504.88</v>
      </c>
      <c r="CD221" s="17" t="s">
        <v>1315</v>
      </c>
      <c r="CE221" s="21">
        <v>6894727</v>
      </c>
      <c r="CF221" s="21">
        <v>4231399.5</v>
      </c>
      <c r="CG221" s="19">
        <v>1861110.38</v>
      </c>
      <c r="CH221" s="19">
        <v>7523936.5</v>
      </c>
      <c r="CI221" s="21">
        <v>8408384</v>
      </c>
      <c r="CJ221" s="21">
        <v>7632729</v>
      </c>
      <c r="CK221" s="19">
        <v>4903697.5</v>
      </c>
      <c r="CL221" s="19">
        <v>4655496</v>
      </c>
      <c r="CM221" s="21">
        <v>2105243</v>
      </c>
      <c r="CN221" s="21">
        <v>2583309.75</v>
      </c>
      <c r="CO221" s="19">
        <v>4274185.5</v>
      </c>
      <c r="CP221" s="19">
        <v>4117715.25</v>
      </c>
      <c r="CQ221" s="21">
        <v>2363738</v>
      </c>
      <c r="CR221" s="21">
        <v>2850121.75</v>
      </c>
      <c r="CS221" s="19">
        <v>6889010.5</v>
      </c>
      <c r="CT221" s="19">
        <v>5292828</v>
      </c>
      <c r="CU221" s="21">
        <v>2885163</v>
      </c>
      <c r="CV221" s="21">
        <v>3105565.75</v>
      </c>
      <c r="CW221" s="19">
        <v>673237.62</v>
      </c>
      <c r="CX221" s="19">
        <v>1054026.5</v>
      </c>
    </row>
    <row r="222" spans="1:102">
      <c r="A222">
        <v>31090</v>
      </c>
      <c r="B222" t="s">
        <v>1095</v>
      </c>
      <c r="C222" t="s">
        <v>1316</v>
      </c>
      <c r="D222" t="s">
        <v>1096</v>
      </c>
      <c r="F222" t="s">
        <v>1097</v>
      </c>
      <c r="G222">
        <v>9.1720000000000006</v>
      </c>
      <c r="H222" t="s">
        <v>104</v>
      </c>
      <c r="I222">
        <v>2</v>
      </c>
      <c r="J222">
        <v>2</v>
      </c>
      <c r="K222">
        <v>0</v>
      </c>
      <c r="L222">
        <v>0</v>
      </c>
      <c r="M222">
        <v>0</v>
      </c>
      <c r="N222">
        <v>-1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P222">
        <v>1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482414.06</v>
      </c>
      <c r="BK222">
        <v>646784.88</v>
      </c>
      <c r="BM222">
        <v>261623.06</v>
      </c>
      <c r="BN222">
        <v>502584.19</v>
      </c>
      <c r="BO222">
        <v>474347.44</v>
      </c>
      <c r="BP222">
        <v>304673.5</v>
      </c>
      <c r="BQ222">
        <v>431928.28</v>
      </c>
      <c r="BR222">
        <v>165690.42000000001</v>
      </c>
      <c r="BT222">
        <v>96893.52</v>
      </c>
      <c r="BU222">
        <v>402900.25</v>
      </c>
      <c r="BV222">
        <v>481761.75</v>
      </c>
      <c r="BW222">
        <v>412416</v>
      </c>
      <c r="BX222">
        <v>423348.22</v>
      </c>
      <c r="BY222">
        <v>430518.84</v>
      </c>
      <c r="BZ222">
        <v>335417.96999999997</v>
      </c>
      <c r="CA222">
        <v>477093.91</v>
      </c>
      <c r="CB222">
        <v>89916.44</v>
      </c>
      <c r="CD222" s="17" t="s">
        <v>1316</v>
      </c>
      <c r="CE222" s="21">
        <v>482414.06</v>
      </c>
      <c r="CF222" s="21">
        <v>343240.88</v>
      </c>
      <c r="CG222" s="19">
        <v>1861110.38</v>
      </c>
      <c r="CH222" s="19">
        <v>480259.53</v>
      </c>
      <c r="CI222" s="21">
        <v>366455.25</v>
      </c>
      <c r="CJ222" s="21">
        <v>400305.31</v>
      </c>
      <c r="CK222" s="19">
        <v>221141.64</v>
      </c>
      <c r="CL222" s="19">
        <v>315410.46999999997</v>
      </c>
      <c r="CM222" s="21">
        <v>158941.35999999999</v>
      </c>
      <c r="CN222" s="21">
        <v>98631.86</v>
      </c>
      <c r="CO222" s="19">
        <v>349437.88</v>
      </c>
      <c r="CP222" s="19">
        <v>278212.59000000003</v>
      </c>
      <c r="CQ222" s="21">
        <v>271170.12</v>
      </c>
      <c r="CR222" s="21">
        <v>233213.97</v>
      </c>
      <c r="CS222" s="19">
        <v>286430.5</v>
      </c>
      <c r="CT222" s="19">
        <v>314434.34000000003</v>
      </c>
      <c r="CU222" s="21">
        <v>351320.62</v>
      </c>
      <c r="CV222" s="21">
        <v>348077.56</v>
      </c>
      <c r="CW222" s="19">
        <v>200247.95</v>
      </c>
      <c r="CX222" s="19">
        <v>113166.88</v>
      </c>
    </row>
    <row r="223" spans="1:102">
      <c r="A223">
        <v>31092</v>
      </c>
      <c r="B223" t="s">
        <v>494</v>
      </c>
      <c r="C223" t="s">
        <v>1317</v>
      </c>
      <c r="D223" t="s">
        <v>495</v>
      </c>
      <c r="F223" t="s">
        <v>496</v>
      </c>
      <c r="G223">
        <v>179.364</v>
      </c>
      <c r="H223" t="s">
        <v>104</v>
      </c>
      <c r="I223">
        <v>2</v>
      </c>
      <c r="J223">
        <v>3</v>
      </c>
      <c r="K223">
        <v>0</v>
      </c>
      <c r="L223">
        <v>0</v>
      </c>
      <c r="M223">
        <v>0</v>
      </c>
      <c r="N223">
        <v>-1</v>
      </c>
      <c r="O223">
        <v>5</v>
      </c>
      <c r="P223">
        <v>5</v>
      </c>
      <c r="Q223">
        <v>5</v>
      </c>
      <c r="R223">
        <v>5</v>
      </c>
      <c r="S223">
        <v>5</v>
      </c>
      <c r="T223">
        <v>5</v>
      </c>
      <c r="U223">
        <v>5</v>
      </c>
      <c r="V223">
        <v>5</v>
      </c>
      <c r="W223">
        <v>4</v>
      </c>
      <c r="X223">
        <v>3</v>
      </c>
      <c r="Y223">
        <v>5</v>
      </c>
      <c r="Z223">
        <v>5</v>
      </c>
      <c r="AA223">
        <v>5</v>
      </c>
      <c r="AB223">
        <v>5</v>
      </c>
      <c r="AC223">
        <v>5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5</v>
      </c>
      <c r="AL223">
        <v>5</v>
      </c>
      <c r="AM223">
        <v>5</v>
      </c>
      <c r="AN223">
        <v>5</v>
      </c>
      <c r="AO223">
        <v>5</v>
      </c>
      <c r="AP223">
        <v>8</v>
      </c>
      <c r="AQ223">
        <v>6</v>
      </c>
      <c r="AR223">
        <v>0</v>
      </c>
      <c r="AS223">
        <v>6</v>
      </c>
      <c r="AT223">
        <v>8</v>
      </c>
      <c r="AU223">
        <v>8</v>
      </c>
      <c r="AV223">
        <v>7</v>
      </c>
      <c r="AW223">
        <v>7</v>
      </c>
      <c r="AX223">
        <v>5</v>
      </c>
      <c r="AY223">
        <v>6</v>
      </c>
      <c r="AZ223">
        <v>4</v>
      </c>
      <c r="BA223">
        <v>7</v>
      </c>
      <c r="BB223">
        <v>8</v>
      </c>
      <c r="BC223">
        <v>7</v>
      </c>
      <c r="BD223">
        <v>7</v>
      </c>
      <c r="BE223">
        <v>9</v>
      </c>
      <c r="BF223">
        <v>7</v>
      </c>
      <c r="BG223">
        <v>6</v>
      </c>
      <c r="BH223">
        <v>6</v>
      </c>
      <c r="BI223">
        <v>5</v>
      </c>
      <c r="BJ223">
        <v>12226333</v>
      </c>
      <c r="BK223">
        <v>31865986</v>
      </c>
      <c r="BL223">
        <v>148312.76999999999</v>
      </c>
      <c r="BM223">
        <v>15090761</v>
      </c>
      <c r="BN223">
        <v>29677780</v>
      </c>
      <c r="BO223">
        <v>35360940</v>
      </c>
      <c r="BP223">
        <v>27173324</v>
      </c>
      <c r="BQ223">
        <v>32923432</v>
      </c>
      <c r="BR223">
        <v>14087568</v>
      </c>
      <c r="BS223">
        <v>16303522</v>
      </c>
      <c r="BT223">
        <v>3870349.5</v>
      </c>
      <c r="BU223">
        <v>31379136</v>
      </c>
      <c r="BV223">
        <v>29851200</v>
      </c>
      <c r="BW223">
        <v>28308272</v>
      </c>
      <c r="BX223">
        <v>28603542</v>
      </c>
      <c r="BY223">
        <v>30218010</v>
      </c>
      <c r="BZ223">
        <v>21064072</v>
      </c>
      <c r="CA223">
        <v>33745816</v>
      </c>
      <c r="CB223">
        <v>13107540</v>
      </c>
      <c r="CC223">
        <v>11874041</v>
      </c>
      <c r="CD223" s="17" t="s">
        <v>1317</v>
      </c>
      <c r="CE223" s="21">
        <v>15283112</v>
      </c>
      <c r="CF223" s="21">
        <v>17416114</v>
      </c>
      <c r="CG223" s="19">
        <v>24368438</v>
      </c>
      <c r="CH223" s="19">
        <v>34347508</v>
      </c>
      <c r="CI223" s="21">
        <v>27104810</v>
      </c>
      <c r="CJ223" s="21">
        <v>32823210</v>
      </c>
      <c r="CK223" s="19">
        <v>23781342</v>
      </c>
      <c r="CL223" s="19">
        <v>24430122</v>
      </c>
      <c r="CM223" s="21">
        <v>14826831</v>
      </c>
      <c r="CN223" s="21">
        <v>17487856</v>
      </c>
      <c r="CO223" s="19">
        <v>24423090</v>
      </c>
      <c r="CP223" s="19">
        <v>25829632</v>
      </c>
      <c r="CQ223" s="21">
        <v>19830884</v>
      </c>
      <c r="CR223" s="21">
        <v>18636254</v>
      </c>
      <c r="CS223" s="19">
        <v>27137686</v>
      </c>
      <c r="CT223" s="19">
        <v>26303500</v>
      </c>
      <c r="CU223" s="21">
        <v>35364372</v>
      </c>
      <c r="CV223" s="21">
        <v>30652972</v>
      </c>
      <c r="CW223" s="19">
        <v>16983316</v>
      </c>
      <c r="CX223" s="19">
        <v>17723832</v>
      </c>
    </row>
    <row r="224" spans="1:102">
      <c r="A224">
        <v>31123</v>
      </c>
      <c r="B224" t="s">
        <v>725</v>
      </c>
      <c r="C224" t="s">
        <v>1318</v>
      </c>
      <c r="D224" t="s">
        <v>725</v>
      </c>
      <c r="F224" t="s">
        <v>726</v>
      </c>
      <c r="G224">
        <v>24.809000000000001</v>
      </c>
      <c r="H224" t="s">
        <v>104</v>
      </c>
      <c r="I224">
        <v>2</v>
      </c>
      <c r="J224">
        <v>1</v>
      </c>
      <c r="K224">
        <v>0</v>
      </c>
      <c r="L224">
        <v>0</v>
      </c>
      <c r="M224">
        <v>0</v>
      </c>
      <c r="N224">
        <v>-1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1</v>
      </c>
      <c r="BF224">
        <v>0</v>
      </c>
      <c r="BG224">
        <v>0</v>
      </c>
      <c r="BH224">
        <v>0</v>
      </c>
      <c r="BI224">
        <v>1</v>
      </c>
      <c r="BJ224">
        <v>601871.88</v>
      </c>
      <c r="BK224">
        <v>1194147.75</v>
      </c>
      <c r="BM224">
        <v>315859.28000000003</v>
      </c>
      <c r="BN224">
        <v>980173.19</v>
      </c>
      <c r="BO224">
        <v>943649.25</v>
      </c>
      <c r="BP224">
        <v>859637.88</v>
      </c>
      <c r="BQ224">
        <v>683035.38</v>
      </c>
      <c r="BR224">
        <v>418679.25</v>
      </c>
      <c r="BS224">
        <v>399355.28</v>
      </c>
      <c r="BT224">
        <v>110657.05</v>
      </c>
      <c r="BU224">
        <v>754679.12</v>
      </c>
      <c r="BV224">
        <v>750936.75</v>
      </c>
      <c r="BW224">
        <v>650213.12</v>
      </c>
      <c r="BX224">
        <v>711862.44</v>
      </c>
      <c r="BY224">
        <v>697963.69</v>
      </c>
      <c r="BZ224">
        <v>642784.88</v>
      </c>
      <c r="CA224">
        <v>898969.75</v>
      </c>
      <c r="CB224">
        <v>365177.88</v>
      </c>
      <c r="CC224">
        <v>386979.59</v>
      </c>
      <c r="CD224" s="17" t="s">
        <v>1318</v>
      </c>
      <c r="CE224" s="21">
        <v>601871.88</v>
      </c>
      <c r="CF224" s="21">
        <v>391997.59</v>
      </c>
      <c r="CG224" s="19">
        <v>1861110.38</v>
      </c>
      <c r="CH224" s="19">
        <v>748595.19</v>
      </c>
      <c r="CI224" s="21">
        <v>714685.43999999994</v>
      </c>
      <c r="CJ224" s="21">
        <v>673115.62</v>
      </c>
      <c r="CK224" s="19">
        <v>623952.25</v>
      </c>
      <c r="CL224" s="19">
        <v>604443.12</v>
      </c>
      <c r="CM224" s="21">
        <v>401625.22</v>
      </c>
      <c r="CN224" s="21">
        <v>400573.81</v>
      </c>
      <c r="CO224" s="19">
        <v>645161.18999999994</v>
      </c>
      <c r="CP224" s="19">
        <v>521124.62</v>
      </c>
      <c r="CQ224" s="21">
        <v>327385.53000000003</v>
      </c>
      <c r="CR224" s="21">
        <v>367684.03</v>
      </c>
      <c r="CS224" s="19">
        <v>569814.25</v>
      </c>
      <c r="CT224" s="19">
        <v>509765.69</v>
      </c>
      <c r="CU224" s="21">
        <v>555565.38</v>
      </c>
      <c r="CV224" s="21">
        <v>655869.25</v>
      </c>
      <c r="CW224" s="19">
        <v>337733.91</v>
      </c>
      <c r="CX224" s="19">
        <v>506137.28</v>
      </c>
    </row>
    <row r="225" spans="1:102">
      <c r="A225">
        <v>31151</v>
      </c>
      <c r="B225" t="s">
        <v>1093</v>
      </c>
      <c r="C225" t="s">
        <v>1319</v>
      </c>
      <c r="D225" t="s">
        <v>1093</v>
      </c>
      <c r="F225" t="s">
        <v>1094</v>
      </c>
      <c r="G225">
        <v>9.6029999999999998</v>
      </c>
      <c r="H225" t="s">
        <v>104</v>
      </c>
      <c r="I225">
        <v>2</v>
      </c>
      <c r="J225">
        <v>1</v>
      </c>
      <c r="K225">
        <v>0</v>
      </c>
      <c r="L225">
        <v>0</v>
      </c>
      <c r="M225">
        <v>0</v>
      </c>
      <c r="N225">
        <v>-1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1</v>
      </c>
      <c r="AV225">
        <v>1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235741.16</v>
      </c>
      <c r="BK225">
        <v>297319.12</v>
      </c>
      <c r="BM225">
        <v>307217.81</v>
      </c>
      <c r="BN225">
        <v>204298.53</v>
      </c>
      <c r="BO225">
        <v>438442</v>
      </c>
      <c r="BP225">
        <v>176450.02</v>
      </c>
      <c r="BQ225">
        <v>117988.71</v>
      </c>
      <c r="BR225">
        <v>353794.28</v>
      </c>
      <c r="BS225">
        <v>385365.53</v>
      </c>
      <c r="BT225">
        <v>47794.23</v>
      </c>
      <c r="BU225">
        <v>331622.28000000003</v>
      </c>
      <c r="BV225">
        <v>223656.44</v>
      </c>
      <c r="BW225">
        <v>683618.75</v>
      </c>
      <c r="BX225">
        <v>109887.74</v>
      </c>
      <c r="BY225">
        <v>185512.83</v>
      </c>
      <c r="BZ225">
        <v>124972.13</v>
      </c>
      <c r="CA225">
        <v>101214.46</v>
      </c>
      <c r="CB225">
        <v>170978.38</v>
      </c>
      <c r="CC225">
        <v>298850.40999999997</v>
      </c>
      <c r="CD225" s="17" t="s">
        <v>1319</v>
      </c>
      <c r="CE225" s="21">
        <v>235741.16</v>
      </c>
      <c r="CF225" s="21">
        <v>169308.89</v>
      </c>
      <c r="CG225" s="19">
        <v>1861110.38</v>
      </c>
      <c r="CH225" s="19">
        <v>222959.03</v>
      </c>
      <c r="CI225" s="21">
        <v>148962.66</v>
      </c>
      <c r="CJ225" s="21">
        <v>103906.54</v>
      </c>
      <c r="CK225" s="19">
        <v>128072.98</v>
      </c>
      <c r="CL225" s="19">
        <v>117517.62</v>
      </c>
      <c r="CM225" s="21">
        <v>339383.19</v>
      </c>
      <c r="CN225" s="21">
        <v>187550.97</v>
      </c>
      <c r="CO225" s="19">
        <v>160632.34</v>
      </c>
      <c r="CP225" s="19">
        <v>228993.39</v>
      </c>
      <c r="CQ225" s="21">
        <v>318428.71999999997</v>
      </c>
      <c r="CR225" s="21">
        <v>386574.34</v>
      </c>
      <c r="CS225" s="19">
        <v>264749.34000000003</v>
      </c>
      <c r="CT225" s="19">
        <v>135491.41</v>
      </c>
      <c r="CU225" s="21">
        <v>95969.33</v>
      </c>
      <c r="CV225" s="21">
        <v>73843.92</v>
      </c>
      <c r="CW225" s="19">
        <v>325902.81</v>
      </c>
      <c r="CX225" s="19">
        <v>390871.59</v>
      </c>
    </row>
    <row r="226" spans="1:102">
      <c r="A226">
        <v>31043</v>
      </c>
      <c r="B226" t="s">
        <v>602</v>
      </c>
      <c r="C226" t="s">
        <v>1320</v>
      </c>
      <c r="D226" t="s">
        <v>603</v>
      </c>
      <c r="F226" t="s">
        <v>604</v>
      </c>
      <c r="G226">
        <v>79.239999999999995</v>
      </c>
      <c r="H226" t="s">
        <v>104</v>
      </c>
      <c r="I226">
        <v>2</v>
      </c>
      <c r="J226">
        <v>3</v>
      </c>
      <c r="K226">
        <v>0</v>
      </c>
      <c r="L226">
        <v>0</v>
      </c>
      <c r="M226">
        <v>0</v>
      </c>
      <c r="N226">
        <v>-1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4</v>
      </c>
      <c r="U226">
        <v>4</v>
      </c>
      <c r="V226">
        <v>3</v>
      </c>
      <c r="W226">
        <v>3</v>
      </c>
      <c r="Y226">
        <v>4</v>
      </c>
      <c r="Z226">
        <v>3</v>
      </c>
      <c r="AA226">
        <v>4</v>
      </c>
      <c r="AB226">
        <v>3</v>
      </c>
      <c r="AC226">
        <v>4</v>
      </c>
      <c r="AD226">
        <v>4</v>
      </c>
      <c r="AE226">
        <v>4</v>
      </c>
      <c r="AF226">
        <v>4</v>
      </c>
      <c r="AG226">
        <v>4</v>
      </c>
      <c r="AH226">
        <v>3</v>
      </c>
      <c r="AI226">
        <v>4</v>
      </c>
      <c r="AJ226">
        <v>4</v>
      </c>
      <c r="AK226">
        <v>4</v>
      </c>
      <c r="AL226">
        <v>3</v>
      </c>
      <c r="AM226">
        <v>4</v>
      </c>
      <c r="AN226">
        <v>4</v>
      </c>
      <c r="AO226">
        <v>4</v>
      </c>
      <c r="AP226">
        <v>1</v>
      </c>
      <c r="AQ226">
        <v>2</v>
      </c>
      <c r="AR226">
        <v>0</v>
      </c>
      <c r="AS226">
        <v>3</v>
      </c>
      <c r="AT226">
        <v>0</v>
      </c>
      <c r="AU226">
        <v>2</v>
      </c>
      <c r="AV226">
        <v>3</v>
      </c>
      <c r="AW226">
        <v>0</v>
      </c>
      <c r="AX226">
        <v>3</v>
      </c>
      <c r="AY226">
        <v>2</v>
      </c>
      <c r="AZ226">
        <v>0</v>
      </c>
      <c r="BA226">
        <v>3</v>
      </c>
      <c r="BB226">
        <v>0</v>
      </c>
      <c r="BC226">
        <v>3</v>
      </c>
      <c r="BD226">
        <v>0</v>
      </c>
      <c r="BE226">
        <v>2</v>
      </c>
      <c r="BF226">
        <v>1</v>
      </c>
      <c r="BG226">
        <v>0</v>
      </c>
      <c r="BH226">
        <v>2</v>
      </c>
      <c r="BI226">
        <v>1</v>
      </c>
      <c r="BJ226">
        <v>991115</v>
      </c>
      <c r="BK226">
        <v>2274504</v>
      </c>
      <c r="BM226">
        <v>1965725.5</v>
      </c>
      <c r="BN226">
        <v>927275.5</v>
      </c>
      <c r="BO226">
        <v>2734986.5</v>
      </c>
      <c r="BP226">
        <v>1549742.62</v>
      </c>
      <c r="BQ226">
        <v>1483077.25</v>
      </c>
      <c r="BR226">
        <v>1758213</v>
      </c>
      <c r="BS226">
        <v>1470886.25</v>
      </c>
      <c r="BT226">
        <v>319629.06</v>
      </c>
      <c r="BU226">
        <v>2313226.75</v>
      </c>
      <c r="BV226">
        <v>743922.31</v>
      </c>
      <c r="BW226">
        <v>3583100.5</v>
      </c>
      <c r="BX226">
        <v>1357572.12</v>
      </c>
      <c r="BY226">
        <v>1951642.12</v>
      </c>
      <c r="BZ226">
        <v>1469311.12</v>
      </c>
      <c r="CA226">
        <v>1681389</v>
      </c>
      <c r="CB226">
        <v>1548604.75</v>
      </c>
      <c r="CC226">
        <v>1147785.5</v>
      </c>
      <c r="CD226" s="17" t="s">
        <v>1320</v>
      </c>
      <c r="CE226" s="21">
        <v>1038569.81</v>
      </c>
      <c r="CF226" s="21">
        <v>1078059.8799999999</v>
      </c>
      <c r="CG226" s="19">
        <v>1861110.38</v>
      </c>
      <c r="CH226" s="19">
        <v>846386.69</v>
      </c>
      <c r="CI226" s="21">
        <v>797221.12</v>
      </c>
      <c r="CJ226" s="21">
        <v>1246256.1200000001</v>
      </c>
      <c r="CK226" s="19">
        <v>1330869.5</v>
      </c>
      <c r="CL226" s="19">
        <v>1613925.75</v>
      </c>
      <c r="CM226" s="21">
        <v>1648441.12</v>
      </c>
      <c r="CN226" s="21">
        <v>1583229</v>
      </c>
      <c r="CO226" s="19">
        <v>1332786.5</v>
      </c>
      <c r="CP226" s="19">
        <v>1532758</v>
      </c>
      <c r="CQ226" s="21">
        <v>1986598</v>
      </c>
      <c r="CR226" s="21">
        <v>2002912.75</v>
      </c>
      <c r="CS226" s="19">
        <v>1595895.75</v>
      </c>
      <c r="CT226" s="19">
        <v>1363709.38</v>
      </c>
      <c r="CU226" s="21">
        <v>1120671.3799999999</v>
      </c>
      <c r="CV226" s="21">
        <v>1154878.5</v>
      </c>
      <c r="CW226" s="19">
        <v>1183058.25</v>
      </c>
      <c r="CX226" s="19">
        <v>1365396.25</v>
      </c>
    </row>
    <row r="227" spans="1:102">
      <c r="A227">
        <v>31142</v>
      </c>
      <c r="B227" t="s">
        <v>1091</v>
      </c>
      <c r="C227" t="s">
        <v>1321</v>
      </c>
      <c r="D227" t="s">
        <v>1091</v>
      </c>
      <c r="F227" t="s">
        <v>1092</v>
      </c>
      <c r="G227">
        <v>9.8379999999999992</v>
      </c>
      <c r="H227" t="s">
        <v>104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-1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0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0</v>
      </c>
      <c r="AY227">
        <v>0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0</v>
      </c>
      <c r="BF227">
        <v>1</v>
      </c>
      <c r="BG227">
        <v>1</v>
      </c>
      <c r="BH227">
        <v>1</v>
      </c>
      <c r="BI227">
        <v>0</v>
      </c>
      <c r="BJ227">
        <v>989588.38</v>
      </c>
      <c r="BK227">
        <v>926307.38</v>
      </c>
      <c r="BM227">
        <v>464441.78</v>
      </c>
      <c r="BN227">
        <v>892598.5</v>
      </c>
      <c r="BO227">
        <v>1292914.8799999999</v>
      </c>
      <c r="BP227">
        <v>547638.25</v>
      </c>
      <c r="BQ227">
        <v>689336.88</v>
      </c>
      <c r="BR227">
        <v>396452.56</v>
      </c>
      <c r="BS227">
        <v>263285.34000000003</v>
      </c>
      <c r="BT227">
        <v>236052.88</v>
      </c>
      <c r="BU227">
        <v>740536.56</v>
      </c>
      <c r="BV227">
        <v>674037.5</v>
      </c>
      <c r="BW227">
        <v>1210019</v>
      </c>
      <c r="BX227">
        <v>562183.43999999994</v>
      </c>
      <c r="BY227">
        <v>875640.88</v>
      </c>
      <c r="BZ227">
        <v>390457.41</v>
      </c>
      <c r="CA227">
        <v>816223.81</v>
      </c>
      <c r="CB227">
        <v>412324.56</v>
      </c>
      <c r="CC227">
        <v>299580.84000000003</v>
      </c>
      <c r="CD227" s="17" t="s">
        <v>1321</v>
      </c>
      <c r="CE227" s="21">
        <v>989588.38</v>
      </c>
      <c r="CF227" s="21">
        <v>836206.56</v>
      </c>
      <c r="CG227" s="19">
        <v>1861110.38</v>
      </c>
      <c r="CH227" s="19">
        <v>671935.75</v>
      </c>
      <c r="CI227" s="21">
        <v>650831.12</v>
      </c>
      <c r="CJ227" s="21">
        <v>531583.68999999994</v>
      </c>
      <c r="CK227" s="19">
        <v>397493.12</v>
      </c>
      <c r="CL227" s="19">
        <v>367166.84</v>
      </c>
      <c r="CM227" s="21">
        <v>380303.88</v>
      </c>
      <c r="CN227" s="21">
        <v>452290.34</v>
      </c>
      <c r="CO227" s="19">
        <v>500455.25</v>
      </c>
      <c r="CP227" s="19">
        <v>511358.81</v>
      </c>
      <c r="CQ227" s="21">
        <v>481390.09</v>
      </c>
      <c r="CR227" s="21">
        <v>684244.38</v>
      </c>
      <c r="CS227" s="19">
        <v>780715.25</v>
      </c>
      <c r="CT227" s="19">
        <v>639534.25</v>
      </c>
      <c r="CU227" s="21">
        <v>560690.88</v>
      </c>
      <c r="CV227" s="21">
        <v>595499.56000000006</v>
      </c>
      <c r="CW227" s="19">
        <v>222659.86</v>
      </c>
      <c r="CX227" s="19">
        <v>391826.94</v>
      </c>
    </row>
    <row r="228" spans="1:102">
      <c r="A228">
        <v>30948</v>
      </c>
      <c r="B228" t="s">
        <v>523</v>
      </c>
      <c r="C228" t="s">
        <v>1322</v>
      </c>
      <c r="D228" t="s">
        <v>524</v>
      </c>
      <c r="E228" t="s">
        <v>525</v>
      </c>
      <c r="F228" t="s">
        <v>526</v>
      </c>
      <c r="G228">
        <v>160.50800000000001</v>
      </c>
      <c r="H228" t="s">
        <v>104</v>
      </c>
      <c r="I228">
        <v>2</v>
      </c>
      <c r="J228">
        <v>3</v>
      </c>
      <c r="K228">
        <v>17</v>
      </c>
      <c r="L228">
        <v>0</v>
      </c>
      <c r="M228">
        <v>0</v>
      </c>
      <c r="N228">
        <v>-1</v>
      </c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3</v>
      </c>
      <c r="Y228">
        <v>4</v>
      </c>
      <c r="Z228">
        <v>5</v>
      </c>
      <c r="AA228">
        <v>5</v>
      </c>
      <c r="AB228">
        <v>5</v>
      </c>
      <c r="AC228">
        <v>4</v>
      </c>
      <c r="AD228">
        <v>5</v>
      </c>
      <c r="AE228">
        <v>4</v>
      </c>
      <c r="AF228">
        <v>4</v>
      </c>
      <c r="AG228">
        <v>4</v>
      </c>
      <c r="AH228">
        <v>5</v>
      </c>
      <c r="AI228">
        <v>4</v>
      </c>
      <c r="AJ228">
        <v>5</v>
      </c>
      <c r="AK228">
        <v>4</v>
      </c>
      <c r="AL228">
        <v>5</v>
      </c>
      <c r="AM228">
        <v>4</v>
      </c>
      <c r="AN228">
        <v>5</v>
      </c>
      <c r="AO228">
        <v>4</v>
      </c>
      <c r="AP228">
        <v>5</v>
      </c>
      <c r="AQ228">
        <v>5</v>
      </c>
      <c r="AR228">
        <v>0</v>
      </c>
      <c r="AS228">
        <v>1</v>
      </c>
      <c r="AT228">
        <v>6</v>
      </c>
      <c r="AU228">
        <v>6</v>
      </c>
      <c r="AV228">
        <v>4</v>
      </c>
      <c r="AW228">
        <v>4</v>
      </c>
      <c r="AX228">
        <v>4</v>
      </c>
      <c r="AY228">
        <v>3</v>
      </c>
      <c r="AZ228">
        <v>2</v>
      </c>
      <c r="BA228">
        <v>5</v>
      </c>
      <c r="BB228">
        <v>5</v>
      </c>
      <c r="BC228">
        <v>3</v>
      </c>
      <c r="BD228">
        <v>6</v>
      </c>
      <c r="BE228">
        <v>5</v>
      </c>
      <c r="BF228">
        <v>2</v>
      </c>
      <c r="BG228">
        <v>3</v>
      </c>
      <c r="BH228">
        <v>2</v>
      </c>
      <c r="BI228">
        <v>1</v>
      </c>
      <c r="BJ228">
        <v>23080574</v>
      </c>
      <c r="BK228">
        <v>18168974</v>
      </c>
      <c r="BL228">
        <v>72086.52</v>
      </c>
      <c r="BM228">
        <v>4913291.5</v>
      </c>
      <c r="BN228">
        <v>20593236</v>
      </c>
      <c r="BO228">
        <v>24756498</v>
      </c>
      <c r="BP228">
        <v>14083978</v>
      </c>
      <c r="BQ228">
        <v>9059081</v>
      </c>
      <c r="BR228">
        <v>10180226</v>
      </c>
      <c r="BS228">
        <v>4663748</v>
      </c>
      <c r="BT228">
        <v>3470091</v>
      </c>
      <c r="BU228">
        <v>11237550</v>
      </c>
      <c r="BV228">
        <v>22307062</v>
      </c>
      <c r="BW228">
        <v>7114439.5</v>
      </c>
      <c r="BX228">
        <v>13565909</v>
      </c>
      <c r="BY228">
        <v>11916631</v>
      </c>
      <c r="BZ228">
        <v>8466244</v>
      </c>
      <c r="CA228">
        <v>8649368</v>
      </c>
      <c r="CB228">
        <v>6614368</v>
      </c>
      <c r="CC228">
        <v>3454295</v>
      </c>
      <c r="CD228" s="17" t="s">
        <v>1322</v>
      </c>
      <c r="CE228" s="21">
        <v>22817244</v>
      </c>
      <c r="CF228" s="21">
        <v>10003981</v>
      </c>
      <c r="CG228" s="19">
        <v>9601544</v>
      </c>
      <c r="CH228" s="19">
        <v>21893924</v>
      </c>
      <c r="CI228" s="21">
        <v>15299678</v>
      </c>
      <c r="CJ228" s="21">
        <v>12980021</v>
      </c>
      <c r="CK228" s="19">
        <v>11122621</v>
      </c>
      <c r="CL228" s="19">
        <v>10074087</v>
      </c>
      <c r="CM228" s="21">
        <v>9566949</v>
      </c>
      <c r="CN228" s="21">
        <v>7987601</v>
      </c>
      <c r="CO228" s="19">
        <v>10780170</v>
      </c>
      <c r="CP228" s="19">
        <v>8288801.5</v>
      </c>
      <c r="CQ228" s="21">
        <v>4267684.5</v>
      </c>
      <c r="CR228" s="21">
        <v>4308302</v>
      </c>
      <c r="CS228" s="19">
        <v>13306951</v>
      </c>
      <c r="CT228" s="19">
        <v>8999798</v>
      </c>
      <c r="CU228" s="21">
        <v>7923821.5</v>
      </c>
      <c r="CV228" s="21">
        <v>7129459.5</v>
      </c>
      <c r="CW228" s="19">
        <v>4069336.5</v>
      </c>
      <c r="CX228" s="19">
        <v>4287620.5</v>
      </c>
    </row>
  </sheetData>
  <autoFilter ref="A1:CX1" xr:uid="{5E851CBB-19DE-4E21-B4D1-DF9DAFCD6480}">
    <sortState xmlns:xlrd2="http://schemas.microsoft.com/office/spreadsheetml/2017/richdata2" ref="A2:CX228">
      <sortCondition sortBy="cellColor" ref="CD1" dxfId="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896BC-A872-4A87-A95A-7575E3ACFF7F}">
  <dimension ref="A1:EC14"/>
  <sheetViews>
    <sheetView tabSelected="1" topLeftCell="DN40" zoomScale="78" zoomScaleNormal="78" workbookViewId="0">
      <selection activeCell="DR91" sqref="DR91"/>
    </sheetView>
  </sheetViews>
  <sheetFormatPr baseColWidth="10" defaultRowHeight="14.25"/>
  <sheetData>
    <row r="1" spans="1:133" s="15" customFormat="1" ht="4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6" t="s">
        <v>2</v>
      </c>
      <c r="CE1" s="23" t="s">
        <v>81</v>
      </c>
      <c r="CF1" s="20" t="s">
        <v>91</v>
      </c>
      <c r="CG1" s="18" t="s">
        <v>83</v>
      </c>
      <c r="CH1" s="18" t="s">
        <v>93</v>
      </c>
      <c r="CI1" s="20" t="s">
        <v>85</v>
      </c>
      <c r="CJ1" s="20" t="s">
        <v>95</v>
      </c>
      <c r="CK1" s="18" t="s">
        <v>87</v>
      </c>
      <c r="CL1" s="18" t="s">
        <v>97</v>
      </c>
      <c r="CM1" s="20" t="s">
        <v>89</v>
      </c>
      <c r="CN1" s="20" t="s">
        <v>99</v>
      </c>
      <c r="CO1" s="18" t="s">
        <v>82</v>
      </c>
      <c r="CP1" s="18" t="s">
        <v>92</v>
      </c>
      <c r="CQ1" s="20" t="s">
        <v>84</v>
      </c>
      <c r="CR1" s="20" t="s">
        <v>94</v>
      </c>
      <c r="CS1" s="18" t="s">
        <v>86</v>
      </c>
      <c r="CT1" s="18" t="s">
        <v>96</v>
      </c>
      <c r="CU1" s="20" t="s">
        <v>88</v>
      </c>
      <c r="CV1" s="20" t="s">
        <v>98</v>
      </c>
      <c r="CW1" s="18" t="s">
        <v>90</v>
      </c>
      <c r="CX1" s="18" t="s">
        <v>100</v>
      </c>
      <c r="CY1" s="16" t="s">
        <v>2</v>
      </c>
      <c r="CZ1" s="15" t="s">
        <v>1323</v>
      </c>
      <c r="DA1" s="15" t="s">
        <v>1324</v>
      </c>
      <c r="DB1" s="15" t="s">
        <v>1325</v>
      </c>
      <c r="DC1" s="15" t="s">
        <v>1326</v>
      </c>
      <c r="DD1" s="15" t="s">
        <v>1327</v>
      </c>
      <c r="DE1" s="15" t="s">
        <v>1328</v>
      </c>
      <c r="DF1" s="15" t="s">
        <v>1329</v>
      </c>
      <c r="DG1" s="15" t="s">
        <v>1330</v>
      </c>
      <c r="DH1" s="15" t="s">
        <v>1331</v>
      </c>
      <c r="DI1" s="15" t="s">
        <v>1332</v>
      </c>
      <c r="DJ1" s="16" t="s">
        <v>2</v>
      </c>
      <c r="DK1" s="26" t="s">
        <v>1333</v>
      </c>
      <c r="DL1" s="26" t="s">
        <v>1334</v>
      </c>
      <c r="DM1" s="26" t="s">
        <v>1335</v>
      </c>
      <c r="DN1" s="26" t="s">
        <v>1336</v>
      </c>
      <c r="DO1" s="26"/>
      <c r="DP1" s="26" t="s">
        <v>1337</v>
      </c>
      <c r="DQ1" s="26" t="s">
        <v>1338</v>
      </c>
      <c r="DR1" s="26" t="s">
        <v>1339</v>
      </c>
      <c r="DS1" s="26" t="s">
        <v>1340</v>
      </c>
      <c r="DU1" s="25" t="s">
        <v>2</v>
      </c>
      <c r="DV1" s="26" t="s">
        <v>1341</v>
      </c>
      <c r="DW1" s="26" t="s">
        <v>1342</v>
      </c>
      <c r="DX1" s="26" t="s">
        <v>1343</v>
      </c>
      <c r="DY1" s="26" t="s">
        <v>1344</v>
      </c>
      <c r="DZ1" s="26" t="s">
        <v>1345</v>
      </c>
      <c r="EA1" s="26" t="s">
        <v>1346</v>
      </c>
      <c r="EB1" s="26" t="s">
        <v>1347</v>
      </c>
      <c r="EC1" s="26" t="s">
        <v>1348</v>
      </c>
    </row>
    <row r="2" spans="1:133">
      <c r="A2">
        <v>31138</v>
      </c>
      <c r="B2" t="s">
        <v>651</v>
      </c>
      <c r="C2" t="s">
        <v>1118</v>
      </c>
      <c r="D2" t="s">
        <v>652</v>
      </c>
      <c r="F2" t="s">
        <v>653</v>
      </c>
      <c r="G2">
        <v>43.905999999999999</v>
      </c>
      <c r="H2" t="s">
        <v>104</v>
      </c>
      <c r="I2">
        <v>2</v>
      </c>
      <c r="J2">
        <v>2</v>
      </c>
      <c r="K2">
        <v>0</v>
      </c>
      <c r="L2">
        <v>0</v>
      </c>
      <c r="M2">
        <v>0</v>
      </c>
      <c r="N2">
        <v>-1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5</v>
      </c>
      <c r="AQ2">
        <v>5</v>
      </c>
      <c r="AR2">
        <v>0</v>
      </c>
      <c r="AS2">
        <v>4</v>
      </c>
      <c r="AT2">
        <v>3</v>
      </c>
      <c r="AU2">
        <v>4</v>
      </c>
      <c r="AV2">
        <v>2</v>
      </c>
      <c r="AW2">
        <v>4</v>
      </c>
      <c r="AX2">
        <v>1</v>
      </c>
      <c r="AY2">
        <v>3</v>
      </c>
      <c r="AZ2">
        <v>2</v>
      </c>
      <c r="BA2">
        <v>5</v>
      </c>
      <c r="BB2">
        <v>3</v>
      </c>
      <c r="BC2">
        <v>4</v>
      </c>
      <c r="BD2">
        <v>3</v>
      </c>
      <c r="BE2">
        <v>5</v>
      </c>
      <c r="BF2">
        <v>2</v>
      </c>
      <c r="BG2">
        <v>3</v>
      </c>
      <c r="BH2">
        <v>1</v>
      </c>
      <c r="BI2">
        <v>2</v>
      </c>
      <c r="BJ2">
        <v>2316672.75</v>
      </c>
      <c r="BK2">
        <v>14524971</v>
      </c>
      <c r="BL2">
        <v>7780.08</v>
      </c>
      <c r="BM2">
        <v>6263374.5</v>
      </c>
      <c r="BN2">
        <v>4416400</v>
      </c>
      <c r="BO2">
        <v>15123855</v>
      </c>
      <c r="BP2">
        <v>3837438.5</v>
      </c>
      <c r="BQ2">
        <v>18150386</v>
      </c>
      <c r="BR2">
        <v>1476759.88</v>
      </c>
      <c r="BS2">
        <v>4142640.75</v>
      </c>
      <c r="BT2">
        <v>1100788.1200000001</v>
      </c>
      <c r="BU2">
        <v>14436614</v>
      </c>
      <c r="BV2">
        <v>4242196</v>
      </c>
      <c r="BW2">
        <v>13312091</v>
      </c>
      <c r="BX2">
        <v>4056161.5</v>
      </c>
      <c r="BY2">
        <v>15046311</v>
      </c>
      <c r="BZ2">
        <v>2648300.25</v>
      </c>
      <c r="CA2">
        <v>19914038</v>
      </c>
      <c r="CB2">
        <v>1210304.1200000001</v>
      </c>
      <c r="CC2">
        <v>1441752.38</v>
      </c>
      <c r="CD2" s="22" t="s">
        <v>1118</v>
      </c>
      <c r="CE2" s="21">
        <v>3113961.5</v>
      </c>
      <c r="CF2" s="21">
        <v>5987649</v>
      </c>
      <c r="CG2" s="19">
        <v>1759498.38</v>
      </c>
      <c r="CH2" s="19">
        <v>6581123</v>
      </c>
      <c r="CI2" s="21">
        <v>4651981.5</v>
      </c>
      <c r="CJ2" s="21">
        <v>6060621.5</v>
      </c>
      <c r="CK2" s="19">
        <v>4272342</v>
      </c>
      <c r="CL2" s="19">
        <v>3776700.25</v>
      </c>
      <c r="CM2" s="21">
        <v>2042832.75</v>
      </c>
      <c r="CN2" s="21">
        <v>2016193.62</v>
      </c>
      <c r="CO2" s="19">
        <v>9779949</v>
      </c>
      <c r="CP2" s="19">
        <v>14255055</v>
      </c>
      <c r="CQ2" s="21">
        <v>9034396</v>
      </c>
      <c r="CR2" s="21">
        <v>12095876</v>
      </c>
      <c r="CS2" s="19">
        <v>13780399</v>
      </c>
      <c r="CT2" s="19">
        <v>16152725</v>
      </c>
      <c r="CU2" s="21">
        <v>20268476</v>
      </c>
      <c r="CV2" s="21">
        <v>22170312</v>
      </c>
      <c r="CW2" s="19">
        <v>5288774.5</v>
      </c>
      <c r="CX2" s="19">
        <v>2982251</v>
      </c>
      <c r="CY2" s="22" t="s">
        <v>1118</v>
      </c>
      <c r="CZ2" s="24">
        <f>AVERAGE(CE2:CF2)</f>
        <v>4550805.25</v>
      </c>
      <c r="DA2" s="24">
        <f>AVERAGE(CG2:CH2)</f>
        <v>4170310.69</v>
      </c>
      <c r="DB2" s="24">
        <f>AVERAGE(CI2:CJ2)</f>
        <v>5356301.5</v>
      </c>
      <c r="DC2" s="24">
        <f>AVERAGE(CK2:CL2)</f>
        <v>4024521.125</v>
      </c>
      <c r="DD2" s="24">
        <f>AVERAGE(CM2:CN2)</f>
        <v>2029513.1850000001</v>
      </c>
      <c r="DE2" s="24">
        <f>AVERAGE(CO2:CP2)</f>
        <v>12017502</v>
      </c>
      <c r="DF2" s="24">
        <f>AVERAGE(CQ2:CR2)</f>
        <v>10565136</v>
      </c>
      <c r="DG2" s="24">
        <f>AVERAGE(CS2:CT2)</f>
        <v>14966562</v>
      </c>
      <c r="DH2" s="24">
        <f>AVERAGE(CU2:CV2)</f>
        <v>21219394</v>
      </c>
      <c r="DI2" s="24">
        <f>AVERAGE(CW2:CX2)</f>
        <v>4135512.75</v>
      </c>
      <c r="DJ2" s="27" t="s">
        <v>1118</v>
      </c>
      <c r="DK2" s="28">
        <f>(CZ2-DD2)/DD2</f>
        <v>1.2423137152469399</v>
      </c>
      <c r="DL2" s="28">
        <f>(DA2-$DD2)/$DD2</f>
        <v>1.0548330115923834</v>
      </c>
      <c r="DM2" s="28">
        <f>(DB2-$DD2)/$DD2</f>
        <v>1.6392050761670709</v>
      </c>
      <c r="DN2" s="28">
        <f>(DC2-$DD2)/$DD2</f>
        <v>0.98299826517264033</v>
      </c>
      <c r="DO2" s="28">
        <f>(DI2-$DI2)/$DI2</f>
        <v>0</v>
      </c>
      <c r="DP2" s="28">
        <f>(DE2-$DI2)/$DI2</f>
        <v>1.9059279287677204</v>
      </c>
      <c r="DQ2" s="28">
        <f t="shared" ref="DQ2:DS14" si="0">(DF2-$DI2)/$DI2</f>
        <v>1.55473423458796</v>
      </c>
      <c r="DR2" s="28">
        <f t="shared" si="0"/>
        <v>2.6190341814325202</v>
      </c>
      <c r="DS2" s="28">
        <f t="shared" si="0"/>
        <v>4.1310188803069217</v>
      </c>
      <c r="DT2" s="24"/>
      <c r="DU2" s="27" t="s">
        <v>1118</v>
      </c>
      <c r="DV2" s="28">
        <f>SQRT(((1/$DD2)*_xlfn.STDEV.S(CE2:CF2))^2+((-(CZ2/($DD2^2)))*_xlfn.STDEV.S($CM2:$CN2))^2)</f>
        <v>1.001443533093529</v>
      </c>
      <c r="DW2" s="28">
        <f t="shared" ref="DW2:DY14" si="1">SQRT(((1/$DD2)*_xlfn.STDEV.S(CF2:CG2))^2+((-(DA2/($DD2^2)))*_xlfn.STDEV.S($CM2:$CN2))^2)</f>
        <v>1.4732619323593459</v>
      </c>
      <c r="DX2" s="28">
        <f t="shared" si="1"/>
        <v>1.6800905364674885</v>
      </c>
      <c r="DY2" s="28">
        <f t="shared" si="1"/>
        <v>0.67238802308240142</v>
      </c>
      <c r="DZ2" s="28">
        <f>SQRT(((1/$DI2)*_xlfn.STDEV.S(CO2:CP2))^2+((-(DE2/($DI2^2)))*_xlfn.STDEV.S($CW2:$CX2))^2)</f>
        <v>1.3780010991079694</v>
      </c>
      <c r="EA2" s="28">
        <f t="shared" ref="EA2:EC14" si="2">SQRT(((1/$DI2)*_xlfn.STDEV.S(CP2:CQ2))^2+((-(DF2/($DI2^2)))*_xlfn.STDEV.S($CW2:$CX2))^2)</f>
        <v>1.3460853362517862</v>
      </c>
      <c r="EB2" s="28">
        <f t="shared" si="2"/>
        <v>1.5202352360770239</v>
      </c>
      <c r="EC2" s="28">
        <f t="shared" si="2"/>
        <v>2.0439604109690013</v>
      </c>
    </row>
    <row r="3" spans="1:133">
      <c r="A3">
        <v>31148</v>
      </c>
      <c r="B3" t="s">
        <v>117</v>
      </c>
      <c r="C3">
        <v>2</v>
      </c>
      <c r="D3" t="s">
        <v>117</v>
      </c>
      <c r="F3" t="s">
        <v>118</v>
      </c>
      <c r="G3">
        <v>2254.69</v>
      </c>
      <c r="H3" t="s">
        <v>104</v>
      </c>
      <c r="I3">
        <v>2</v>
      </c>
      <c r="J3">
        <v>1</v>
      </c>
      <c r="K3">
        <v>0</v>
      </c>
      <c r="L3">
        <v>0</v>
      </c>
      <c r="M3">
        <v>0</v>
      </c>
      <c r="N3">
        <v>-1</v>
      </c>
      <c r="O3">
        <v>53</v>
      </c>
      <c r="P3">
        <v>53</v>
      </c>
      <c r="Q3">
        <v>61</v>
      </c>
      <c r="R3">
        <v>61</v>
      </c>
      <c r="S3">
        <v>61</v>
      </c>
      <c r="T3">
        <v>61</v>
      </c>
      <c r="U3">
        <v>61</v>
      </c>
      <c r="V3">
        <v>50</v>
      </c>
      <c r="W3">
        <v>60</v>
      </c>
      <c r="X3">
        <v>41</v>
      </c>
      <c r="Y3">
        <v>60</v>
      </c>
      <c r="Z3">
        <v>57</v>
      </c>
      <c r="AA3">
        <v>61</v>
      </c>
      <c r="AB3">
        <v>56</v>
      </c>
      <c r="AC3">
        <v>61</v>
      </c>
      <c r="AD3">
        <v>58</v>
      </c>
      <c r="AE3">
        <v>61</v>
      </c>
      <c r="AF3">
        <v>58</v>
      </c>
      <c r="AG3">
        <v>61</v>
      </c>
      <c r="AH3">
        <v>59</v>
      </c>
      <c r="AI3">
        <v>60</v>
      </c>
      <c r="AJ3">
        <v>59</v>
      </c>
      <c r="AK3">
        <v>61</v>
      </c>
      <c r="AL3">
        <v>57</v>
      </c>
      <c r="AM3">
        <v>61</v>
      </c>
      <c r="AN3">
        <v>61</v>
      </c>
      <c r="AO3">
        <v>61</v>
      </c>
      <c r="AP3">
        <v>143</v>
      </c>
      <c r="AQ3">
        <v>170</v>
      </c>
      <c r="AR3">
        <v>13</v>
      </c>
      <c r="AS3">
        <v>97</v>
      </c>
      <c r="AT3">
        <v>64</v>
      </c>
      <c r="AU3">
        <v>135</v>
      </c>
      <c r="AV3">
        <v>63</v>
      </c>
      <c r="AW3">
        <v>122</v>
      </c>
      <c r="AX3">
        <v>90</v>
      </c>
      <c r="AY3">
        <v>145</v>
      </c>
      <c r="AZ3">
        <v>62</v>
      </c>
      <c r="BA3">
        <v>140</v>
      </c>
      <c r="BB3">
        <v>80</v>
      </c>
      <c r="BC3">
        <v>103</v>
      </c>
      <c r="BD3">
        <v>59</v>
      </c>
      <c r="BE3">
        <v>135</v>
      </c>
      <c r="BF3">
        <v>57</v>
      </c>
      <c r="BG3">
        <v>126</v>
      </c>
      <c r="BH3">
        <v>78</v>
      </c>
      <c r="BI3">
        <v>120</v>
      </c>
      <c r="BJ3">
        <v>1258450432</v>
      </c>
      <c r="BK3">
        <v>4023819264</v>
      </c>
      <c r="BL3">
        <v>12090747</v>
      </c>
      <c r="BM3">
        <v>1128080000</v>
      </c>
      <c r="BN3">
        <v>746537280</v>
      </c>
      <c r="BO3">
        <v>2611799552</v>
      </c>
      <c r="BP3">
        <v>687106048</v>
      </c>
      <c r="BQ3">
        <v>2377007104</v>
      </c>
      <c r="BR3">
        <v>891662912</v>
      </c>
      <c r="BS3">
        <v>2354162432</v>
      </c>
      <c r="BT3">
        <v>283382784</v>
      </c>
      <c r="BU3">
        <v>2679485952</v>
      </c>
      <c r="BV3">
        <v>971259904</v>
      </c>
      <c r="BW3">
        <v>1942432128</v>
      </c>
      <c r="BX3">
        <v>595214656</v>
      </c>
      <c r="BY3">
        <v>2370192384</v>
      </c>
      <c r="BZ3">
        <v>597434240</v>
      </c>
      <c r="CA3">
        <v>2527975168</v>
      </c>
      <c r="CB3">
        <v>667660736</v>
      </c>
      <c r="CC3">
        <v>1662050560</v>
      </c>
      <c r="CD3" s="22" t="s">
        <v>117</v>
      </c>
      <c r="CE3" s="21">
        <v>1265352064</v>
      </c>
      <c r="CF3" s="21">
        <v>1319002880</v>
      </c>
      <c r="CG3" s="19">
        <v>1170804352</v>
      </c>
      <c r="CH3" s="19">
        <v>1186384896</v>
      </c>
      <c r="CI3" s="21">
        <v>640762304</v>
      </c>
      <c r="CJ3" s="21">
        <v>747701504</v>
      </c>
      <c r="CK3" s="19">
        <v>581367168</v>
      </c>
      <c r="CL3" s="19">
        <v>696661440</v>
      </c>
      <c r="CM3" s="21">
        <v>1002593920</v>
      </c>
      <c r="CN3" s="21">
        <v>1053445056</v>
      </c>
      <c r="CO3" s="19">
        <v>2141550976</v>
      </c>
      <c r="CP3" s="19">
        <v>2306038272</v>
      </c>
      <c r="CQ3" s="21">
        <v>1419737344</v>
      </c>
      <c r="CR3" s="21">
        <v>1293359744</v>
      </c>
      <c r="CS3" s="19">
        <v>1702780160</v>
      </c>
      <c r="CT3" s="19">
        <v>2118674816</v>
      </c>
      <c r="CU3" s="21">
        <v>2361195520</v>
      </c>
      <c r="CV3" s="21">
        <v>2304044544</v>
      </c>
      <c r="CW3" s="19">
        <v>2459922688</v>
      </c>
      <c r="CX3" s="19">
        <v>3002012672</v>
      </c>
      <c r="CY3" s="22" t="s">
        <v>117</v>
      </c>
      <c r="CZ3" s="24">
        <f t="shared" ref="CZ3:CZ14" si="3">AVERAGE(CE3:CF3)</f>
        <v>1292177472</v>
      </c>
      <c r="DA3" s="24">
        <f t="shared" ref="DA3:DA14" si="4">AVERAGE(CG3:CH3)</f>
        <v>1178594624</v>
      </c>
      <c r="DB3" s="24">
        <f t="shared" ref="DB3:DB14" si="5">AVERAGE(CI3:CJ3)</f>
        <v>694231904</v>
      </c>
      <c r="DC3" s="24">
        <f t="shared" ref="DC3:DC14" si="6">AVERAGE(CK3:CL3)</f>
        <v>639014304</v>
      </c>
      <c r="DD3" s="24">
        <f t="shared" ref="DD3:DD14" si="7">AVERAGE(CM3:CN3)</f>
        <v>1028019488</v>
      </c>
      <c r="DE3" s="24">
        <f t="shared" ref="DE3:DE14" si="8">AVERAGE(CO3:CP3)</f>
        <v>2223794624</v>
      </c>
      <c r="DF3" s="24">
        <f t="shared" ref="DF3:DF14" si="9">AVERAGE(CQ3:CR3)</f>
        <v>1356548544</v>
      </c>
      <c r="DG3" s="24">
        <f t="shared" ref="DG3:DG14" si="10">AVERAGE(CS3:CT3)</f>
        <v>1910727488</v>
      </c>
      <c r="DH3" s="24">
        <f t="shared" ref="DH3:DH14" si="11">AVERAGE(CU3:CV3)</f>
        <v>2332620032</v>
      </c>
      <c r="DI3" s="24">
        <f t="shared" ref="DI3:DI14" si="12">AVERAGE(CW3:CX3)</f>
        <v>2730967680</v>
      </c>
      <c r="DJ3" s="27" t="s">
        <v>1352</v>
      </c>
      <c r="DK3" s="28">
        <f>(CZ3-$DD3)/$DD3</f>
        <v>0.25695814824864488</v>
      </c>
      <c r="DL3" s="28">
        <f t="shared" ref="DL2:DO16" si="13">(DA3-$DD3)/$DD3</f>
        <v>0.14647109102274139</v>
      </c>
      <c r="DM3" s="28">
        <f t="shared" si="13"/>
        <v>-0.3246899381736234</v>
      </c>
      <c r="DN3" s="28">
        <f t="shared" si="13"/>
        <v>-0.37840253861024081</v>
      </c>
      <c r="DO3" s="28">
        <f t="shared" si="13"/>
        <v>0</v>
      </c>
      <c r="DP3" s="28">
        <f>(DE3-$DI3)/$DI3</f>
        <v>-0.18571184848295239</v>
      </c>
      <c r="DQ3" s="28">
        <f t="shared" si="0"/>
        <v>-0.50327184245549184</v>
      </c>
      <c r="DR3" s="28">
        <f t="shared" si="0"/>
        <v>-0.30034782103316582</v>
      </c>
      <c r="DS3" s="28">
        <f t="shared" si="0"/>
        <v>-0.145863186487802</v>
      </c>
      <c r="DT3" s="24"/>
      <c r="DU3" s="27" t="s">
        <v>1352</v>
      </c>
      <c r="DV3" s="28">
        <f>SQRT(((1/$DD3)*_xlfn.STDEV.S(CE3:CF3))^2+((-(CZ3/($DD3^2)))*_xlfn.STDEV.S($CM3:$CN3))^2)</f>
        <v>5.7399692799667758E-2</v>
      </c>
      <c r="DW3" s="28">
        <f t="shared" si="1"/>
        <v>0.10953984942678928</v>
      </c>
      <c r="DX3" s="28">
        <f t="shared" si="1"/>
        <v>2.5937895845373125E-2</v>
      </c>
      <c r="DY3" s="28">
        <f t="shared" si="1"/>
        <v>0.37592702427321711</v>
      </c>
      <c r="DZ3" s="28">
        <f>SQRT(((1/$DI3)*_xlfn.STDEV.S(CO3:CP3))^2+((-(DE3/($DI3^2)))*_xlfn.STDEV.S($CW3:$CX3))^2)</f>
        <v>0.12196982843675254</v>
      </c>
      <c r="EA3" s="28">
        <f t="shared" si="2"/>
        <v>0.23983982448295885</v>
      </c>
      <c r="EB3" s="28">
        <f t="shared" si="2"/>
        <v>0.10351053301475925</v>
      </c>
      <c r="EC3" s="28">
        <f t="shared" si="2"/>
        <v>0.160031974529283</v>
      </c>
    </row>
    <row r="4" spans="1:133">
      <c r="A4">
        <v>31036</v>
      </c>
      <c r="B4" t="s">
        <v>251</v>
      </c>
      <c r="C4" t="s">
        <v>1142</v>
      </c>
      <c r="D4" t="s">
        <v>252</v>
      </c>
      <c r="F4" t="s">
        <v>253</v>
      </c>
      <c r="G4">
        <v>761.42399999999998</v>
      </c>
      <c r="H4" t="s">
        <v>104</v>
      </c>
      <c r="I4">
        <v>2</v>
      </c>
      <c r="J4">
        <v>3</v>
      </c>
      <c r="K4">
        <v>0</v>
      </c>
      <c r="L4">
        <v>0</v>
      </c>
      <c r="M4">
        <v>0</v>
      </c>
      <c r="N4">
        <v>-1</v>
      </c>
      <c r="O4">
        <v>16</v>
      </c>
      <c r="P4">
        <v>16</v>
      </c>
      <c r="Q4">
        <v>16</v>
      </c>
      <c r="R4">
        <v>16</v>
      </c>
      <c r="S4">
        <v>16</v>
      </c>
      <c r="T4">
        <v>16</v>
      </c>
      <c r="U4">
        <v>16</v>
      </c>
      <c r="V4">
        <v>16</v>
      </c>
      <c r="W4">
        <v>16</v>
      </c>
      <c r="X4">
        <v>15</v>
      </c>
      <c r="Y4">
        <v>16</v>
      </c>
      <c r="Z4">
        <v>15</v>
      </c>
      <c r="AA4">
        <v>16</v>
      </c>
      <c r="AB4">
        <v>16</v>
      </c>
      <c r="AC4">
        <v>16</v>
      </c>
      <c r="AD4">
        <v>15</v>
      </c>
      <c r="AE4">
        <v>16</v>
      </c>
      <c r="AF4">
        <v>16</v>
      </c>
      <c r="AG4">
        <v>16</v>
      </c>
      <c r="AH4">
        <v>16</v>
      </c>
      <c r="AI4">
        <v>15</v>
      </c>
      <c r="AJ4">
        <v>16</v>
      </c>
      <c r="AK4">
        <v>16</v>
      </c>
      <c r="AL4">
        <v>16</v>
      </c>
      <c r="AM4">
        <v>16</v>
      </c>
      <c r="AN4">
        <v>16</v>
      </c>
      <c r="AO4">
        <v>16</v>
      </c>
      <c r="AP4">
        <v>35</v>
      </c>
      <c r="AQ4">
        <v>42</v>
      </c>
      <c r="AR4">
        <v>6</v>
      </c>
      <c r="AS4">
        <v>30</v>
      </c>
      <c r="AT4">
        <v>24</v>
      </c>
      <c r="AU4">
        <v>41</v>
      </c>
      <c r="AV4">
        <v>21</v>
      </c>
      <c r="AW4">
        <v>33</v>
      </c>
      <c r="AX4">
        <v>18</v>
      </c>
      <c r="AY4">
        <v>26</v>
      </c>
      <c r="AZ4">
        <v>19</v>
      </c>
      <c r="BA4">
        <v>42</v>
      </c>
      <c r="BB4">
        <v>30</v>
      </c>
      <c r="BC4">
        <v>35</v>
      </c>
      <c r="BD4">
        <v>26</v>
      </c>
      <c r="BE4">
        <v>36</v>
      </c>
      <c r="BF4">
        <v>22</v>
      </c>
      <c r="BG4">
        <v>38</v>
      </c>
      <c r="BH4">
        <v>16</v>
      </c>
      <c r="BI4">
        <v>22</v>
      </c>
      <c r="BJ4">
        <v>173108656</v>
      </c>
      <c r="BK4">
        <v>572205696</v>
      </c>
      <c r="BL4">
        <v>2603802</v>
      </c>
      <c r="BM4">
        <v>160597136</v>
      </c>
      <c r="BN4">
        <v>150859024</v>
      </c>
      <c r="BO4">
        <v>497814880</v>
      </c>
      <c r="BP4">
        <v>109096920</v>
      </c>
      <c r="BQ4">
        <v>331213312</v>
      </c>
      <c r="BR4">
        <v>68413576</v>
      </c>
      <c r="BS4">
        <v>147810544</v>
      </c>
      <c r="BT4">
        <v>60058792</v>
      </c>
      <c r="BU4">
        <v>484097696</v>
      </c>
      <c r="BV4">
        <v>160736720</v>
      </c>
      <c r="BW4">
        <v>304972288</v>
      </c>
      <c r="BX4">
        <v>116131504</v>
      </c>
      <c r="BY4">
        <v>398923712</v>
      </c>
      <c r="BZ4">
        <v>88990048</v>
      </c>
      <c r="CA4">
        <v>343110496</v>
      </c>
      <c r="CB4">
        <v>52355988</v>
      </c>
      <c r="CC4">
        <v>87648480</v>
      </c>
      <c r="CD4" s="22" t="s">
        <v>1142</v>
      </c>
      <c r="CE4" s="21">
        <v>210991952</v>
      </c>
      <c r="CF4" s="21">
        <v>227140048</v>
      </c>
      <c r="CG4" s="19">
        <v>137331696</v>
      </c>
      <c r="CH4" s="19">
        <v>182860336</v>
      </c>
      <c r="CI4" s="21">
        <v>120407480</v>
      </c>
      <c r="CJ4" s="21">
        <v>129748200</v>
      </c>
      <c r="CK4" s="19">
        <v>90779112</v>
      </c>
      <c r="CL4" s="19">
        <v>90485496</v>
      </c>
      <c r="CM4" s="21">
        <v>76768032</v>
      </c>
      <c r="CN4" s="21">
        <v>72460968</v>
      </c>
      <c r="CO4" s="19">
        <v>377243040</v>
      </c>
      <c r="CP4" s="19">
        <v>388273728</v>
      </c>
      <c r="CQ4" s="21">
        <v>185426688</v>
      </c>
      <c r="CR4" s="21">
        <v>207407040</v>
      </c>
      <c r="CS4" s="19">
        <v>336326560</v>
      </c>
      <c r="CT4" s="19">
        <v>369292096</v>
      </c>
      <c r="CU4" s="21">
        <v>312636288</v>
      </c>
      <c r="CV4" s="21">
        <v>327760032</v>
      </c>
      <c r="CW4" s="19">
        <v>138477488</v>
      </c>
      <c r="CX4" s="19">
        <v>151708672</v>
      </c>
      <c r="CY4" s="22" t="s">
        <v>1142</v>
      </c>
      <c r="CZ4" s="24">
        <f t="shared" si="3"/>
        <v>219066000</v>
      </c>
      <c r="DA4" s="24">
        <f t="shared" si="4"/>
        <v>160096016</v>
      </c>
      <c r="DB4" s="24">
        <f t="shared" si="5"/>
        <v>125077840</v>
      </c>
      <c r="DC4" s="24">
        <f t="shared" si="6"/>
        <v>90632304</v>
      </c>
      <c r="DD4" s="24">
        <f t="shared" si="7"/>
        <v>74614500</v>
      </c>
      <c r="DE4" s="24">
        <f t="shared" si="8"/>
        <v>382758384</v>
      </c>
      <c r="DF4" s="24">
        <f t="shared" si="9"/>
        <v>196416864</v>
      </c>
      <c r="DG4" s="24">
        <f t="shared" si="10"/>
        <v>352809328</v>
      </c>
      <c r="DH4" s="24">
        <f t="shared" si="11"/>
        <v>320198160</v>
      </c>
      <c r="DI4" s="24">
        <f t="shared" si="12"/>
        <v>145093080</v>
      </c>
      <c r="DJ4" s="27" t="s">
        <v>1142</v>
      </c>
      <c r="DK4" s="28">
        <f>(CZ4-$DD4)/$DD4</f>
        <v>1.9359708903765354</v>
      </c>
      <c r="DL4" s="28">
        <f t="shared" si="13"/>
        <v>1.1456421473038083</v>
      </c>
      <c r="DM4" s="28">
        <f t="shared" si="13"/>
        <v>0.67632082236026514</v>
      </c>
      <c r="DN4" s="28">
        <f t="shared" si="13"/>
        <v>0.21467414510584404</v>
      </c>
      <c r="DO4" s="28">
        <f t="shared" si="13"/>
        <v>0</v>
      </c>
      <c r="DP4" s="28">
        <f>(DE4-$DI4)/$DI4</f>
        <v>1.6380195664741557</v>
      </c>
      <c r="DQ4" s="28">
        <f t="shared" si="0"/>
        <v>0.35373006073067026</v>
      </c>
      <c r="DR4" s="28">
        <f t="shared" si="0"/>
        <v>1.4316068554061985</v>
      </c>
      <c r="DS4" s="28">
        <f t="shared" si="0"/>
        <v>1.2068465291383985</v>
      </c>
      <c r="DT4" s="24"/>
      <c r="DU4" s="27" t="s">
        <v>1142</v>
      </c>
      <c r="DV4" s="28">
        <f>SQRT(((1/$DD4)*_xlfn.STDEV.S(CE4:CF4))^2+((-(CZ4/($DD4^2)))*_xlfn.STDEV.S($CM4:$CN4))^2)</f>
        <v>0.1943709046811041</v>
      </c>
      <c r="DW4" s="28">
        <f t="shared" si="1"/>
        <v>0.85559004149418372</v>
      </c>
      <c r="DX4" s="28">
        <f t="shared" si="1"/>
        <v>0.43685748539682523</v>
      </c>
      <c r="DY4" s="28">
        <f t="shared" si="1"/>
        <v>0.5939263109035281</v>
      </c>
      <c r="DZ4" s="28">
        <f>SQRT(((1/$DI4)*_xlfn.STDEV.S(CO4:CP4))^2+((-(DE4/($DI4^2)))*_xlfn.STDEV.S($CW4:$CX4))^2)</f>
        <v>0.17839655378268635</v>
      </c>
      <c r="EA4" s="28">
        <f t="shared" si="2"/>
        <v>0.99241539971698789</v>
      </c>
      <c r="EB4" s="28">
        <f t="shared" si="2"/>
        <v>0.1898928225394946</v>
      </c>
      <c r="EC4" s="28">
        <f t="shared" si="2"/>
        <v>0.64419892552738178</v>
      </c>
    </row>
    <row r="5" spans="1:133">
      <c r="A5">
        <v>31067</v>
      </c>
      <c r="B5" t="s">
        <v>123</v>
      </c>
      <c r="C5" t="s">
        <v>1143</v>
      </c>
      <c r="D5" t="s">
        <v>124</v>
      </c>
      <c r="F5" t="s">
        <v>125</v>
      </c>
      <c r="G5">
        <v>2085.5309999999999</v>
      </c>
      <c r="H5" t="s">
        <v>104</v>
      </c>
      <c r="I5">
        <v>2</v>
      </c>
      <c r="J5">
        <v>3</v>
      </c>
      <c r="K5">
        <v>0</v>
      </c>
      <c r="L5">
        <v>0</v>
      </c>
      <c r="M5">
        <v>0</v>
      </c>
      <c r="N5">
        <v>-1</v>
      </c>
      <c r="O5">
        <v>35</v>
      </c>
      <c r="P5">
        <v>35</v>
      </c>
      <c r="Q5">
        <v>53</v>
      </c>
      <c r="R5">
        <v>53</v>
      </c>
      <c r="S5">
        <v>53</v>
      </c>
      <c r="T5">
        <v>53</v>
      </c>
      <c r="U5">
        <v>53</v>
      </c>
      <c r="V5">
        <v>45</v>
      </c>
      <c r="W5">
        <v>53</v>
      </c>
      <c r="X5">
        <v>43</v>
      </c>
      <c r="Y5">
        <v>53</v>
      </c>
      <c r="Z5">
        <v>53</v>
      </c>
      <c r="AA5">
        <v>52</v>
      </c>
      <c r="AB5">
        <v>51</v>
      </c>
      <c r="AC5">
        <v>53</v>
      </c>
      <c r="AD5">
        <v>48</v>
      </c>
      <c r="AE5">
        <v>53</v>
      </c>
      <c r="AF5">
        <v>51</v>
      </c>
      <c r="AG5">
        <v>53</v>
      </c>
      <c r="AH5">
        <v>49</v>
      </c>
      <c r="AI5">
        <v>52</v>
      </c>
      <c r="AJ5">
        <v>50</v>
      </c>
      <c r="AK5">
        <v>53</v>
      </c>
      <c r="AL5">
        <v>51</v>
      </c>
      <c r="AM5">
        <v>53</v>
      </c>
      <c r="AN5">
        <v>52</v>
      </c>
      <c r="AO5">
        <v>51</v>
      </c>
      <c r="AP5">
        <v>107</v>
      </c>
      <c r="AQ5">
        <v>154</v>
      </c>
      <c r="AR5">
        <v>17</v>
      </c>
      <c r="AS5">
        <v>81</v>
      </c>
      <c r="AT5">
        <v>66</v>
      </c>
      <c r="AU5">
        <v>138</v>
      </c>
      <c r="AV5">
        <v>44</v>
      </c>
      <c r="AW5">
        <v>125</v>
      </c>
      <c r="AX5">
        <v>51</v>
      </c>
      <c r="AY5">
        <v>94</v>
      </c>
      <c r="AZ5">
        <v>57</v>
      </c>
      <c r="BA5">
        <v>141</v>
      </c>
      <c r="BB5">
        <v>66</v>
      </c>
      <c r="BC5">
        <v>89</v>
      </c>
      <c r="BD5">
        <v>52</v>
      </c>
      <c r="BE5">
        <v>115</v>
      </c>
      <c r="BF5">
        <v>50</v>
      </c>
      <c r="BG5">
        <v>129</v>
      </c>
      <c r="BH5">
        <v>47</v>
      </c>
      <c r="BI5">
        <v>84</v>
      </c>
      <c r="BJ5">
        <v>796782272</v>
      </c>
      <c r="BK5">
        <v>2421658624</v>
      </c>
      <c r="BL5">
        <v>13723308</v>
      </c>
      <c r="BM5">
        <v>690843712</v>
      </c>
      <c r="BN5">
        <v>557877952</v>
      </c>
      <c r="BO5">
        <v>1663772288</v>
      </c>
      <c r="BP5">
        <v>379964128</v>
      </c>
      <c r="BQ5">
        <v>1453744640</v>
      </c>
      <c r="BR5">
        <v>349144512</v>
      </c>
      <c r="BS5">
        <v>958453440</v>
      </c>
      <c r="BT5">
        <v>198021648</v>
      </c>
      <c r="BU5">
        <v>1765585536</v>
      </c>
      <c r="BV5">
        <v>636396864</v>
      </c>
      <c r="BW5">
        <v>1191844608</v>
      </c>
      <c r="BX5">
        <v>435543648</v>
      </c>
      <c r="BY5">
        <v>1385160448</v>
      </c>
      <c r="BZ5">
        <v>336172960</v>
      </c>
      <c r="CA5">
        <v>1642706048</v>
      </c>
      <c r="CB5">
        <v>278643008</v>
      </c>
      <c r="CC5">
        <v>710181504</v>
      </c>
      <c r="CD5" s="22" t="s">
        <v>1143</v>
      </c>
      <c r="CE5" s="21">
        <v>836292032</v>
      </c>
      <c r="CF5" s="21">
        <v>976082880</v>
      </c>
      <c r="CG5" s="19">
        <v>1279115264</v>
      </c>
      <c r="CH5" s="19">
        <v>718407872</v>
      </c>
      <c r="CI5" s="21">
        <v>502771680</v>
      </c>
      <c r="CJ5" s="21">
        <v>517361248</v>
      </c>
      <c r="CK5" s="19">
        <v>332872800</v>
      </c>
      <c r="CL5" s="19">
        <v>409294336</v>
      </c>
      <c r="CM5" s="21">
        <v>402110208</v>
      </c>
      <c r="CN5" s="21">
        <v>428962688</v>
      </c>
      <c r="CO5" s="19">
        <v>1383574912</v>
      </c>
      <c r="CP5" s="19">
        <v>1457099648</v>
      </c>
      <c r="CQ5" s="21">
        <v>866850112</v>
      </c>
      <c r="CR5" s="21">
        <v>803385600</v>
      </c>
      <c r="CS5" s="19">
        <v>1234200576</v>
      </c>
      <c r="CT5" s="19">
        <v>1223180672</v>
      </c>
      <c r="CU5" s="21">
        <v>1532793088</v>
      </c>
      <c r="CV5" s="21">
        <v>1436340736</v>
      </c>
      <c r="CW5" s="19">
        <v>896739584</v>
      </c>
      <c r="CX5" s="19">
        <v>1168915200</v>
      </c>
      <c r="CY5" s="22" t="s">
        <v>1143</v>
      </c>
      <c r="CZ5" s="24">
        <f t="shared" si="3"/>
        <v>906187456</v>
      </c>
      <c r="DA5" s="24">
        <f t="shared" si="4"/>
        <v>998761568</v>
      </c>
      <c r="DB5" s="24">
        <f t="shared" si="5"/>
        <v>510066464</v>
      </c>
      <c r="DC5" s="24">
        <f t="shared" si="6"/>
        <v>371083568</v>
      </c>
      <c r="DD5" s="24">
        <f t="shared" si="7"/>
        <v>415536448</v>
      </c>
      <c r="DE5" s="24">
        <f t="shared" si="8"/>
        <v>1420337280</v>
      </c>
      <c r="DF5" s="24">
        <f t="shared" si="9"/>
        <v>835117856</v>
      </c>
      <c r="DG5" s="24">
        <f t="shared" si="10"/>
        <v>1228690624</v>
      </c>
      <c r="DH5" s="24">
        <f t="shared" si="11"/>
        <v>1484566912</v>
      </c>
      <c r="DI5" s="24">
        <f t="shared" si="12"/>
        <v>1032827392</v>
      </c>
      <c r="DJ5" s="27" t="s">
        <v>1143</v>
      </c>
      <c r="DK5" s="28">
        <f>(CZ5-$DD5)/$DD5</f>
        <v>1.180765274289489</v>
      </c>
      <c r="DL5" s="28">
        <f t="shared" si="13"/>
        <v>1.4035474452532259</v>
      </c>
      <c r="DM5" s="28">
        <f t="shared" si="13"/>
        <v>0.22748910824785218</v>
      </c>
      <c r="DN5" s="28">
        <f t="shared" si="13"/>
        <v>-0.1069770900096831</v>
      </c>
      <c r="DO5" s="28">
        <f t="shared" si="13"/>
        <v>0</v>
      </c>
      <c r="DP5" s="28">
        <f>(DE5-$DI5)/$DI5</f>
        <v>0.37519327140386299</v>
      </c>
      <c r="DQ5" s="28">
        <f t="shared" si="0"/>
        <v>-0.19142553492616896</v>
      </c>
      <c r="DR5" s="28">
        <f t="shared" si="0"/>
        <v>0.18963791386353937</v>
      </c>
      <c r="DS5" s="28">
        <f t="shared" si="0"/>
        <v>0.4373814283965079</v>
      </c>
      <c r="DT5" s="24"/>
      <c r="DU5" s="27" t="s">
        <v>1143</v>
      </c>
      <c r="DV5" s="28">
        <f>SQRT(((1/$DD5)*_xlfn.STDEV.S(CE5:CF5))^2+((-(CZ5/($DD5^2)))*_xlfn.STDEV.S($CM5:$CN5))^2)</f>
        <v>0.25790654047976441</v>
      </c>
      <c r="DW5" s="28">
        <f t="shared" si="1"/>
        <v>0.52722787189427034</v>
      </c>
      <c r="DX5" s="28">
        <f t="shared" si="1"/>
        <v>0.95578729885502345</v>
      </c>
      <c r="DY5" s="28">
        <f t="shared" si="1"/>
        <v>0.36920403562950366</v>
      </c>
      <c r="DZ5" s="28">
        <f>SQRT(((1/$DI5)*_xlfn.STDEV.S(CO5:CP5))^2+((-(DE5/($DI5^2)))*_xlfn.STDEV.S($CW5:$CX5))^2)</f>
        <v>0.26115097375232915</v>
      </c>
      <c r="EA5" s="28">
        <f t="shared" si="2"/>
        <v>0.4312786569846549</v>
      </c>
      <c r="EB5" s="28">
        <f t="shared" si="2"/>
        <v>0.22589538234567164</v>
      </c>
      <c r="EC5" s="28">
        <f t="shared" si="2"/>
        <v>0.39841515774379421</v>
      </c>
    </row>
    <row r="6" spans="1:133">
      <c r="A6">
        <v>30933</v>
      </c>
      <c r="B6" t="s">
        <v>182</v>
      </c>
      <c r="C6" t="s">
        <v>1173</v>
      </c>
      <c r="D6" t="s">
        <v>183</v>
      </c>
      <c r="F6" t="s">
        <v>184</v>
      </c>
      <c r="G6">
        <v>1054.8399999999999</v>
      </c>
      <c r="H6" t="s">
        <v>104</v>
      </c>
      <c r="I6">
        <v>2</v>
      </c>
      <c r="J6">
        <v>3</v>
      </c>
      <c r="K6">
        <v>0</v>
      </c>
      <c r="L6">
        <v>0</v>
      </c>
      <c r="M6">
        <v>0</v>
      </c>
      <c r="N6">
        <v>-1</v>
      </c>
      <c r="O6">
        <v>21</v>
      </c>
      <c r="P6">
        <v>21</v>
      </c>
      <c r="Q6">
        <v>24</v>
      </c>
      <c r="R6">
        <v>24</v>
      </c>
      <c r="S6">
        <v>24</v>
      </c>
      <c r="T6">
        <v>24</v>
      </c>
      <c r="U6">
        <v>24</v>
      </c>
      <c r="V6">
        <v>23</v>
      </c>
      <c r="W6">
        <v>24</v>
      </c>
      <c r="X6">
        <v>20</v>
      </c>
      <c r="Y6">
        <v>23</v>
      </c>
      <c r="Z6">
        <v>23</v>
      </c>
      <c r="AA6">
        <v>24</v>
      </c>
      <c r="AB6">
        <v>24</v>
      </c>
      <c r="AC6">
        <v>24</v>
      </c>
      <c r="AD6">
        <v>24</v>
      </c>
      <c r="AE6">
        <v>24</v>
      </c>
      <c r="AF6">
        <v>23</v>
      </c>
      <c r="AG6">
        <v>24</v>
      </c>
      <c r="AH6">
        <v>24</v>
      </c>
      <c r="AI6">
        <v>23</v>
      </c>
      <c r="AJ6">
        <v>22</v>
      </c>
      <c r="AK6">
        <v>24</v>
      </c>
      <c r="AL6">
        <v>23</v>
      </c>
      <c r="AM6">
        <v>23</v>
      </c>
      <c r="AN6">
        <v>24</v>
      </c>
      <c r="AO6">
        <v>24</v>
      </c>
      <c r="AP6">
        <v>209</v>
      </c>
      <c r="AQ6">
        <v>135</v>
      </c>
      <c r="AR6">
        <v>43</v>
      </c>
      <c r="AS6">
        <v>70</v>
      </c>
      <c r="AT6">
        <v>67</v>
      </c>
      <c r="AU6">
        <v>106</v>
      </c>
      <c r="AV6">
        <v>73</v>
      </c>
      <c r="AW6">
        <v>80</v>
      </c>
      <c r="AX6">
        <v>112</v>
      </c>
      <c r="AY6">
        <v>196</v>
      </c>
      <c r="AZ6">
        <v>85</v>
      </c>
      <c r="BA6">
        <v>101</v>
      </c>
      <c r="BB6">
        <v>91</v>
      </c>
      <c r="BC6">
        <v>70</v>
      </c>
      <c r="BD6">
        <v>58</v>
      </c>
      <c r="BE6">
        <v>94</v>
      </c>
      <c r="BF6">
        <v>63</v>
      </c>
      <c r="BG6">
        <v>81</v>
      </c>
      <c r="BH6">
        <v>100</v>
      </c>
      <c r="BI6">
        <v>171</v>
      </c>
      <c r="BJ6">
        <v>3023323136</v>
      </c>
      <c r="BK6">
        <v>3647605504</v>
      </c>
      <c r="BL6">
        <v>33143496</v>
      </c>
      <c r="BM6">
        <v>841056448</v>
      </c>
      <c r="BN6">
        <v>1465878016</v>
      </c>
      <c r="BO6">
        <v>2862885632</v>
      </c>
      <c r="BP6">
        <v>1451925376</v>
      </c>
      <c r="BQ6">
        <v>2112053888</v>
      </c>
      <c r="BR6">
        <v>2244013568</v>
      </c>
      <c r="BS6">
        <v>5154114560</v>
      </c>
      <c r="BT6">
        <v>729592960</v>
      </c>
      <c r="BU6">
        <v>2844517120</v>
      </c>
      <c r="BV6">
        <v>2463091712</v>
      </c>
      <c r="BW6">
        <v>1579141248</v>
      </c>
      <c r="BX6">
        <v>1141894656</v>
      </c>
      <c r="BY6">
        <v>2430323456</v>
      </c>
      <c r="BZ6">
        <v>1096978432</v>
      </c>
      <c r="CA6">
        <v>2391769856</v>
      </c>
      <c r="CB6">
        <v>2083243264</v>
      </c>
      <c r="CC6">
        <v>3759643904</v>
      </c>
      <c r="CD6" s="22" t="s">
        <v>1173</v>
      </c>
      <c r="CE6" s="21">
        <v>3350154240</v>
      </c>
      <c r="CF6" s="21">
        <v>2983692544</v>
      </c>
      <c r="CG6" s="19">
        <v>1086837504</v>
      </c>
      <c r="CH6" s="19">
        <v>2650055936</v>
      </c>
      <c r="CI6" s="21">
        <v>1087318912</v>
      </c>
      <c r="CJ6" s="21">
        <v>1154489472</v>
      </c>
      <c r="CK6" s="19">
        <v>1279745280</v>
      </c>
      <c r="CL6" s="19">
        <v>1135707392</v>
      </c>
      <c r="CM6" s="21">
        <v>2498904832</v>
      </c>
      <c r="CN6" s="21">
        <v>2559661824</v>
      </c>
      <c r="CO6" s="19">
        <v>2301503488</v>
      </c>
      <c r="CP6" s="19">
        <v>2458021120</v>
      </c>
      <c r="CQ6" s="21">
        <v>1119537152</v>
      </c>
      <c r="CR6" s="21">
        <v>1067643904</v>
      </c>
      <c r="CS6" s="19">
        <v>2062152960</v>
      </c>
      <c r="CT6" s="19">
        <v>2273685248</v>
      </c>
      <c r="CU6" s="21">
        <v>2203798016</v>
      </c>
      <c r="CV6" s="21">
        <v>2014531328</v>
      </c>
      <c r="CW6" s="19">
        <v>5627723776</v>
      </c>
      <c r="CX6" s="19">
        <v>6491085312</v>
      </c>
      <c r="CY6" s="22" t="s">
        <v>1173</v>
      </c>
      <c r="CZ6" s="24">
        <f t="shared" si="3"/>
        <v>3166923392</v>
      </c>
      <c r="DA6" s="24">
        <f t="shared" si="4"/>
        <v>1868446720</v>
      </c>
      <c r="DB6" s="24">
        <f t="shared" si="5"/>
        <v>1120904192</v>
      </c>
      <c r="DC6" s="24">
        <f t="shared" si="6"/>
        <v>1207726336</v>
      </c>
      <c r="DD6" s="24">
        <f t="shared" si="7"/>
        <v>2529283328</v>
      </c>
      <c r="DE6" s="24">
        <f t="shared" si="8"/>
        <v>2379762304</v>
      </c>
      <c r="DF6" s="24">
        <f t="shared" si="9"/>
        <v>1093590528</v>
      </c>
      <c r="DG6" s="24">
        <f t="shared" si="10"/>
        <v>2167919104</v>
      </c>
      <c r="DH6" s="24">
        <f t="shared" si="11"/>
        <v>2109164672</v>
      </c>
      <c r="DI6" s="24">
        <f t="shared" si="12"/>
        <v>6059404544</v>
      </c>
      <c r="DJ6" s="27" t="s">
        <v>1173</v>
      </c>
      <c r="DK6" s="28">
        <f>(CZ6-$DD6)/$DD6</f>
        <v>0.25210305897370783</v>
      </c>
      <c r="DL6" s="28">
        <f t="shared" si="13"/>
        <v>-0.26127425135979071</v>
      </c>
      <c r="DM6" s="28">
        <f t="shared" si="13"/>
        <v>-0.55682932805857643</v>
      </c>
      <c r="DN6" s="28">
        <f t="shared" si="13"/>
        <v>-0.52250255136303969</v>
      </c>
      <c r="DO6" s="28">
        <f t="shared" si="13"/>
        <v>0</v>
      </c>
      <c r="DP6" s="28">
        <f>(DE6-$DI6)/$DI6</f>
        <v>-0.60726135931022596</v>
      </c>
      <c r="DQ6" s="28">
        <f t="shared" si="0"/>
        <v>-0.81952178303017098</v>
      </c>
      <c r="DR6" s="28">
        <f t="shared" si="0"/>
        <v>-0.64222241834857097</v>
      </c>
      <c r="DS6" s="28">
        <f t="shared" si="0"/>
        <v>-0.65191882194291073</v>
      </c>
      <c r="DT6" s="24"/>
      <c r="DU6" s="27" t="s">
        <v>1173</v>
      </c>
      <c r="DV6" s="28">
        <f>SQRT(((1/$DD6)*_xlfn.STDEV.S(CE6:CF6))^2+((-(CZ6/($DD6^2)))*_xlfn.STDEV.S($CM6:$CN6))^2)</f>
        <v>0.10463519905337232</v>
      </c>
      <c r="DW6" s="28">
        <f t="shared" si="1"/>
        <v>0.53044847460014899</v>
      </c>
      <c r="DX6" s="28">
        <f t="shared" si="1"/>
        <v>0.43709073689732331</v>
      </c>
      <c r="DY6" s="28">
        <f t="shared" si="1"/>
        <v>0.43696660408811444</v>
      </c>
      <c r="DZ6" s="28">
        <f>SQRT(((1/$DI6)*_xlfn.STDEV.S(CO6:CP6))^2+((-(DE6/($DI6^2)))*_xlfn.STDEV.S($CW6:$CX6))^2)</f>
        <v>4.3580813279853775E-2</v>
      </c>
      <c r="EA6" s="28">
        <f t="shared" si="2"/>
        <v>0.15725022664824714</v>
      </c>
      <c r="EB6" s="28">
        <f t="shared" si="2"/>
        <v>3.6551451342169687E-2</v>
      </c>
      <c r="EC6" s="28">
        <f t="shared" si="2"/>
        <v>0.1212378730958987</v>
      </c>
    </row>
    <row r="7" spans="1:133">
      <c r="A7">
        <v>30953</v>
      </c>
      <c r="B7" t="s">
        <v>387</v>
      </c>
      <c r="C7" t="s">
        <v>1174</v>
      </c>
      <c r="D7" t="s">
        <v>388</v>
      </c>
      <c r="F7" t="s">
        <v>389</v>
      </c>
      <c r="G7">
        <v>408.31</v>
      </c>
      <c r="H7" t="s">
        <v>104</v>
      </c>
      <c r="I7">
        <v>2</v>
      </c>
      <c r="J7">
        <v>21</v>
      </c>
      <c r="K7">
        <v>0</v>
      </c>
      <c r="L7">
        <v>0</v>
      </c>
      <c r="M7">
        <v>0</v>
      </c>
      <c r="N7">
        <v>-1</v>
      </c>
      <c r="O7">
        <v>7</v>
      </c>
      <c r="P7">
        <v>7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8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9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37</v>
      </c>
      <c r="AQ7">
        <v>40</v>
      </c>
      <c r="AR7">
        <v>4</v>
      </c>
      <c r="AS7">
        <v>22</v>
      </c>
      <c r="AT7">
        <v>21</v>
      </c>
      <c r="AU7">
        <v>37</v>
      </c>
      <c r="AV7">
        <v>23</v>
      </c>
      <c r="AW7">
        <v>35</v>
      </c>
      <c r="AX7">
        <v>16</v>
      </c>
      <c r="AY7">
        <v>32</v>
      </c>
      <c r="AZ7">
        <v>14</v>
      </c>
      <c r="BA7">
        <v>35</v>
      </c>
      <c r="BB7">
        <v>29</v>
      </c>
      <c r="BC7">
        <v>28</v>
      </c>
      <c r="BD7">
        <v>21</v>
      </c>
      <c r="BE7">
        <v>26</v>
      </c>
      <c r="BF7">
        <v>21</v>
      </c>
      <c r="BG7">
        <v>34</v>
      </c>
      <c r="BH7">
        <v>14</v>
      </c>
      <c r="BI7">
        <v>28</v>
      </c>
      <c r="BJ7">
        <v>384062560</v>
      </c>
      <c r="BK7">
        <v>824519168</v>
      </c>
      <c r="BL7">
        <v>2909982.5</v>
      </c>
      <c r="BM7">
        <v>217960704</v>
      </c>
      <c r="BN7">
        <v>234057520</v>
      </c>
      <c r="BO7">
        <v>582373568</v>
      </c>
      <c r="BP7">
        <v>250283168</v>
      </c>
      <c r="BQ7">
        <v>590348224</v>
      </c>
      <c r="BR7">
        <v>102052784</v>
      </c>
      <c r="BS7">
        <v>462846688</v>
      </c>
      <c r="BT7">
        <v>80983656</v>
      </c>
      <c r="BU7">
        <v>651926080</v>
      </c>
      <c r="BV7">
        <v>429338112</v>
      </c>
      <c r="BW7">
        <v>407349568</v>
      </c>
      <c r="BX7">
        <v>211426496</v>
      </c>
      <c r="BY7">
        <v>463129152</v>
      </c>
      <c r="BZ7">
        <v>176224816</v>
      </c>
      <c r="CA7">
        <v>657804544</v>
      </c>
      <c r="CB7">
        <v>90966560</v>
      </c>
      <c r="CC7">
        <v>302076000</v>
      </c>
      <c r="CD7" s="22" t="s">
        <v>1174</v>
      </c>
      <c r="CE7" s="21">
        <v>385888096</v>
      </c>
      <c r="CF7" s="21">
        <v>299934720</v>
      </c>
      <c r="CG7" s="19">
        <v>400775904</v>
      </c>
      <c r="CH7" s="19">
        <v>524561728</v>
      </c>
      <c r="CI7" s="21">
        <v>176241872</v>
      </c>
      <c r="CJ7" s="21">
        <v>213964960</v>
      </c>
      <c r="CK7" s="19">
        <v>201445600</v>
      </c>
      <c r="CL7" s="19">
        <v>191501488</v>
      </c>
      <c r="CM7" s="21">
        <v>116341576</v>
      </c>
      <c r="CN7" s="21">
        <v>126588400</v>
      </c>
      <c r="CO7" s="19">
        <v>468586464</v>
      </c>
      <c r="CP7" s="19">
        <v>500786560</v>
      </c>
      <c r="CQ7" s="21">
        <v>248152944</v>
      </c>
      <c r="CR7" s="21">
        <v>268632480</v>
      </c>
      <c r="CS7" s="19">
        <v>431063392</v>
      </c>
      <c r="CT7" s="19">
        <v>404231488</v>
      </c>
      <c r="CU7" s="21">
        <v>526747296</v>
      </c>
      <c r="CV7" s="21">
        <v>543572800</v>
      </c>
      <c r="CW7" s="19">
        <v>410813856</v>
      </c>
      <c r="CX7" s="19">
        <v>521410176</v>
      </c>
      <c r="CY7" s="22" t="s">
        <v>1174</v>
      </c>
      <c r="CZ7" s="24">
        <f t="shared" si="3"/>
        <v>342911408</v>
      </c>
      <c r="DA7" s="24">
        <f t="shared" si="4"/>
        <v>462668816</v>
      </c>
      <c r="DB7" s="24">
        <f t="shared" si="5"/>
        <v>195103416</v>
      </c>
      <c r="DC7" s="24">
        <f t="shared" si="6"/>
        <v>196473544</v>
      </c>
      <c r="DD7" s="24">
        <f t="shared" si="7"/>
        <v>121464988</v>
      </c>
      <c r="DE7" s="24">
        <f t="shared" si="8"/>
        <v>484686512</v>
      </c>
      <c r="DF7" s="24">
        <f t="shared" si="9"/>
        <v>258392712</v>
      </c>
      <c r="DG7" s="24">
        <f t="shared" si="10"/>
        <v>417647440</v>
      </c>
      <c r="DH7" s="24">
        <f t="shared" si="11"/>
        <v>535160048</v>
      </c>
      <c r="DI7" s="24">
        <f t="shared" si="12"/>
        <v>466112016</v>
      </c>
      <c r="DJ7" s="27" t="s">
        <v>1174</v>
      </c>
      <c r="DK7" s="28">
        <f>(CZ7-$DD7)/$DD7</f>
        <v>1.823129641275723</v>
      </c>
      <c r="DL7" s="28">
        <f t="shared" si="13"/>
        <v>2.8090714338192666</v>
      </c>
      <c r="DM7" s="28">
        <f t="shared" si="13"/>
        <v>0.60625229716401896</v>
      </c>
      <c r="DN7" s="28">
        <f t="shared" si="13"/>
        <v>0.61753232133032443</v>
      </c>
      <c r="DO7" s="28">
        <f t="shared" si="13"/>
        <v>0</v>
      </c>
      <c r="DP7" s="28">
        <f>(DE7-$DI7)/$DI7</f>
        <v>3.9849854460735461E-2</v>
      </c>
      <c r="DQ7" s="28">
        <f t="shared" si="0"/>
        <v>-0.44564245689817189</v>
      </c>
      <c r="DR7" s="28">
        <f t="shared" si="0"/>
        <v>-0.10397624248330899</v>
      </c>
      <c r="DS7" s="28">
        <f t="shared" si="0"/>
        <v>0.14813613386873081</v>
      </c>
      <c r="DT7" s="24"/>
      <c r="DU7" s="27" t="s">
        <v>1174</v>
      </c>
      <c r="DV7" s="28">
        <f>SQRT(((1/$DD7)*_xlfn.STDEV.S(CE7:CF7))^2+((-(CZ7/($DD7^2)))*_xlfn.STDEV.S($CM7:$CN7))^2)</f>
        <v>0.52795517743876552</v>
      </c>
      <c r="DW7" s="28">
        <f t="shared" si="1"/>
        <v>0.62948425932533492</v>
      </c>
      <c r="DX7" s="28">
        <f t="shared" si="1"/>
        <v>0.72695958299010532</v>
      </c>
      <c r="DY7" s="28">
        <f t="shared" si="1"/>
        <v>2.0300336958588008</v>
      </c>
      <c r="DZ7" s="28">
        <f>SQRT(((1/$DI7)*_xlfn.STDEV.S(CO7:CP7))^2+((-(DE7/($DI7^2)))*_xlfn.STDEV.S($CW7:$CX7))^2)</f>
        <v>0.1811736648484347</v>
      </c>
      <c r="EA7" s="28">
        <f t="shared" si="2"/>
        <v>0.39437766045339884</v>
      </c>
      <c r="EB7" s="28">
        <f t="shared" si="2"/>
        <v>0.15350993021626053</v>
      </c>
      <c r="EC7" s="28">
        <f t="shared" si="2"/>
        <v>0.31277219546099261</v>
      </c>
    </row>
    <row r="8" spans="1:133">
      <c r="A8">
        <v>30985</v>
      </c>
      <c r="B8" t="s">
        <v>109</v>
      </c>
      <c r="C8" t="s">
        <v>1195</v>
      </c>
      <c r="D8" t="s">
        <v>110</v>
      </c>
      <c r="E8" t="s">
        <v>111</v>
      </c>
      <c r="F8" t="s">
        <v>112</v>
      </c>
      <c r="G8">
        <v>2679.2080000000001</v>
      </c>
      <c r="H8" t="s">
        <v>104</v>
      </c>
      <c r="I8">
        <v>2</v>
      </c>
      <c r="J8">
        <v>3</v>
      </c>
      <c r="K8">
        <v>17</v>
      </c>
      <c r="L8">
        <v>0</v>
      </c>
      <c r="M8">
        <v>0</v>
      </c>
      <c r="N8">
        <v>-1</v>
      </c>
      <c r="O8">
        <v>50</v>
      </c>
      <c r="P8">
        <v>50</v>
      </c>
      <c r="Q8">
        <v>70</v>
      </c>
      <c r="R8">
        <v>70</v>
      </c>
      <c r="S8">
        <v>70</v>
      </c>
      <c r="T8">
        <v>70</v>
      </c>
      <c r="U8">
        <v>70</v>
      </c>
      <c r="V8">
        <v>67</v>
      </c>
      <c r="W8">
        <v>69</v>
      </c>
      <c r="X8">
        <v>62</v>
      </c>
      <c r="Y8">
        <v>70</v>
      </c>
      <c r="Z8">
        <v>69</v>
      </c>
      <c r="AA8">
        <v>70</v>
      </c>
      <c r="AB8">
        <v>70</v>
      </c>
      <c r="AC8">
        <v>70</v>
      </c>
      <c r="AD8">
        <v>70</v>
      </c>
      <c r="AE8">
        <v>70</v>
      </c>
      <c r="AF8">
        <v>70</v>
      </c>
      <c r="AG8">
        <v>70</v>
      </c>
      <c r="AH8">
        <v>70</v>
      </c>
      <c r="AI8">
        <v>69</v>
      </c>
      <c r="AJ8">
        <v>68</v>
      </c>
      <c r="AK8">
        <v>70</v>
      </c>
      <c r="AL8">
        <v>70</v>
      </c>
      <c r="AM8">
        <v>70</v>
      </c>
      <c r="AN8">
        <v>70</v>
      </c>
      <c r="AO8">
        <v>70</v>
      </c>
      <c r="AP8">
        <v>258</v>
      </c>
      <c r="AQ8">
        <v>244</v>
      </c>
      <c r="AR8">
        <v>55</v>
      </c>
      <c r="AS8">
        <v>165</v>
      </c>
      <c r="AT8">
        <v>128</v>
      </c>
      <c r="AU8">
        <v>212</v>
      </c>
      <c r="AV8">
        <v>127</v>
      </c>
      <c r="AW8">
        <v>161</v>
      </c>
      <c r="AX8">
        <v>172</v>
      </c>
      <c r="AY8">
        <v>332</v>
      </c>
      <c r="AZ8">
        <v>142</v>
      </c>
      <c r="BA8">
        <v>214</v>
      </c>
      <c r="BB8">
        <v>175</v>
      </c>
      <c r="BC8">
        <v>156</v>
      </c>
      <c r="BD8">
        <v>110</v>
      </c>
      <c r="BE8">
        <v>190</v>
      </c>
      <c r="BF8">
        <v>111</v>
      </c>
      <c r="BG8">
        <v>148</v>
      </c>
      <c r="BH8">
        <v>162</v>
      </c>
      <c r="BI8">
        <v>273</v>
      </c>
      <c r="BJ8">
        <v>4973792256</v>
      </c>
      <c r="BK8">
        <v>7838917632</v>
      </c>
      <c r="BL8">
        <v>44024340</v>
      </c>
      <c r="BM8">
        <v>2357065728</v>
      </c>
      <c r="BN8">
        <v>2467616256</v>
      </c>
      <c r="BO8">
        <v>5516452864</v>
      </c>
      <c r="BP8">
        <v>2432603648</v>
      </c>
      <c r="BQ8">
        <v>3803087360</v>
      </c>
      <c r="BR8">
        <v>3629181184</v>
      </c>
      <c r="BS8">
        <v>8827361280</v>
      </c>
      <c r="BT8">
        <v>1528061184</v>
      </c>
      <c r="BU8">
        <v>5699619840</v>
      </c>
      <c r="BV8">
        <v>4452158464</v>
      </c>
      <c r="BW8">
        <v>3907031040</v>
      </c>
      <c r="BX8">
        <v>2011925376</v>
      </c>
      <c r="BY8">
        <v>4531474432</v>
      </c>
      <c r="BZ8">
        <v>1890153216</v>
      </c>
      <c r="CA8">
        <v>4206892288</v>
      </c>
      <c r="CB8">
        <v>2986504192</v>
      </c>
      <c r="CC8">
        <v>7479626752</v>
      </c>
      <c r="CD8" s="22" t="s">
        <v>1195</v>
      </c>
      <c r="CE8" s="21">
        <v>5032764416</v>
      </c>
      <c r="CF8" s="21">
        <v>6066571776</v>
      </c>
      <c r="CG8" s="19">
        <v>3356788736</v>
      </c>
      <c r="CH8" s="19">
        <v>4445430272</v>
      </c>
      <c r="CI8" s="21">
        <v>1881056640</v>
      </c>
      <c r="CJ8" s="21">
        <v>2113483776</v>
      </c>
      <c r="CK8" s="19">
        <v>1959993344</v>
      </c>
      <c r="CL8" s="19">
        <v>1792435072</v>
      </c>
      <c r="CM8" s="21">
        <v>3670698752</v>
      </c>
      <c r="CN8" s="21">
        <v>3234703872</v>
      </c>
      <c r="CO8" s="19">
        <v>4259844096</v>
      </c>
      <c r="CP8" s="19">
        <v>4151264256</v>
      </c>
      <c r="CQ8" s="21">
        <v>2981152000</v>
      </c>
      <c r="CR8" s="21">
        <v>2503513088</v>
      </c>
      <c r="CS8" s="19">
        <v>3785919744</v>
      </c>
      <c r="CT8" s="19">
        <v>3803616256</v>
      </c>
      <c r="CU8" s="21">
        <v>3467204096</v>
      </c>
      <c r="CV8" s="21">
        <v>3107623680</v>
      </c>
      <c r="CW8" s="19">
        <v>8331904512</v>
      </c>
      <c r="CX8" s="19">
        <v>11243319296</v>
      </c>
      <c r="CY8" s="22" t="s">
        <v>1195</v>
      </c>
      <c r="CZ8" s="24">
        <f t="shared" si="3"/>
        <v>5549668096</v>
      </c>
      <c r="DA8" s="24">
        <f t="shared" si="4"/>
        <v>3901109504</v>
      </c>
      <c r="DB8" s="24">
        <f t="shared" si="5"/>
        <v>1997270208</v>
      </c>
      <c r="DC8" s="24">
        <f t="shared" si="6"/>
        <v>1876214208</v>
      </c>
      <c r="DD8" s="24">
        <f t="shared" si="7"/>
        <v>3452701312</v>
      </c>
      <c r="DE8" s="24">
        <f t="shared" si="8"/>
        <v>4205554176</v>
      </c>
      <c r="DF8" s="24">
        <f t="shared" si="9"/>
        <v>2742332544</v>
      </c>
      <c r="DG8" s="24">
        <f t="shared" si="10"/>
        <v>3794768000</v>
      </c>
      <c r="DH8" s="24">
        <f t="shared" si="11"/>
        <v>3287413888</v>
      </c>
      <c r="DI8" s="24">
        <f t="shared" si="12"/>
        <v>9787611904</v>
      </c>
      <c r="DJ8" s="27" t="s">
        <v>1195</v>
      </c>
      <c r="DK8" s="28">
        <f>(CZ8-$DD8)/$DD8</f>
        <v>0.60734091788128586</v>
      </c>
      <c r="DL8" s="28">
        <f t="shared" si="13"/>
        <v>0.12987170087419367</v>
      </c>
      <c r="DM8" s="28">
        <f t="shared" si="13"/>
        <v>-0.42153403161217323</v>
      </c>
      <c r="DN8" s="28">
        <f t="shared" si="13"/>
        <v>-0.45659527469719341</v>
      </c>
      <c r="DO8" s="28">
        <f t="shared" si="13"/>
        <v>0</v>
      </c>
      <c r="DP8" s="28">
        <f>(DE8-$DI8)/$DI8</f>
        <v>-0.57031866227948058</v>
      </c>
      <c r="DQ8" s="28">
        <f t="shared" si="0"/>
        <v>-0.71981597034111422</v>
      </c>
      <c r="DR8" s="28">
        <f t="shared" si="0"/>
        <v>-0.61228867294491374</v>
      </c>
      <c r="DS8" s="28">
        <f t="shared" si="0"/>
        <v>-0.66412502659034733</v>
      </c>
      <c r="DT8" s="24"/>
      <c r="DU8" s="27" t="s">
        <v>1195</v>
      </c>
      <c r="DV8" s="28">
        <f>SQRT(((1/$DD8)*_xlfn.STDEV.S(CE8:CF8))^2+((-(CZ8/($DD8^2)))*_xlfn.STDEV.S($CM8:$CN8))^2)</f>
        <v>0.2557819355775281</v>
      </c>
      <c r="DW8" s="28">
        <f t="shared" si="1"/>
        <v>0.56405424540068516</v>
      </c>
      <c r="DX8" s="28">
        <f t="shared" si="1"/>
        <v>0.22885670112443315</v>
      </c>
      <c r="DY8" s="28">
        <f t="shared" si="1"/>
        <v>0.52741559377927316</v>
      </c>
      <c r="DZ8" s="28">
        <f>SQRT(((1/$DI8)*_xlfn.STDEV.S(CO8:CP8))^2+((-(DE8/($DI8^2)))*_xlfn.STDEV.S($CW8:$CX8))^2)</f>
        <v>9.0716980296870878E-2</v>
      </c>
      <c r="EA8" s="28">
        <f t="shared" si="2"/>
        <v>0.10304947473762252</v>
      </c>
      <c r="EB8" s="28">
        <f t="shared" si="2"/>
        <v>8.8549668554371991E-2</v>
      </c>
      <c r="EC8" s="28">
        <f t="shared" si="2"/>
        <v>0.11650959054355149</v>
      </c>
    </row>
    <row r="9" spans="1:133">
      <c r="A9">
        <v>31160</v>
      </c>
      <c r="B9" t="s">
        <v>350</v>
      </c>
      <c r="C9" t="s">
        <v>1196</v>
      </c>
      <c r="D9" t="s">
        <v>350</v>
      </c>
      <c r="F9" t="s">
        <v>351</v>
      </c>
      <c r="G9">
        <v>450.03199999999998</v>
      </c>
      <c r="H9" t="s">
        <v>104</v>
      </c>
      <c r="I9">
        <v>2</v>
      </c>
      <c r="J9">
        <v>1</v>
      </c>
      <c r="K9">
        <v>0</v>
      </c>
      <c r="L9">
        <v>0</v>
      </c>
      <c r="M9">
        <v>0</v>
      </c>
      <c r="N9">
        <v>-1</v>
      </c>
      <c r="O9">
        <v>10</v>
      </c>
      <c r="P9">
        <v>10</v>
      </c>
      <c r="Q9">
        <v>13</v>
      </c>
      <c r="R9">
        <v>13</v>
      </c>
      <c r="S9">
        <v>13</v>
      </c>
      <c r="T9">
        <v>13</v>
      </c>
      <c r="U9">
        <v>13</v>
      </c>
      <c r="V9">
        <v>12</v>
      </c>
      <c r="W9">
        <v>12</v>
      </c>
      <c r="X9">
        <v>12</v>
      </c>
      <c r="Y9">
        <v>13</v>
      </c>
      <c r="Z9">
        <v>12</v>
      </c>
      <c r="AA9">
        <v>13</v>
      </c>
      <c r="AB9">
        <v>13</v>
      </c>
      <c r="AC9">
        <v>13</v>
      </c>
      <c r="AD9">
        <v>13</v>
      </c>
      <c r="AE9">
        <v>13</v>
      </c>
      <c r="AF9">
        <v>13</v>
      </c>
      <c r="AG9">
        <v>13</v>
      </c>
      <c r="AH9">
        <v>13</v>
      </c>
      <c r="AI9">
        <v>13</v>
      </c>
      <c r="AJ9">
        <v>13</v>
      </c>
      <c r="AK9">
        <v>13</v>
      </c>
      <c r="AL9">
        <v>13</v>
      </c>
      <c r="AM9">
        <v>13</v>
      </c>
      <c r="AN9">
        <v>13</v>
      </c>
      <c r="AO9">
        <v>13</v>
      </c>
      <c r="AP9">
        <v>75</v>
      </c>
      <c r="AQ9">
        <v>76</v>
      </c>
      <c r="AR9">
        <v>12</v>
      </c>
      <c r="AS9">
        <v>36</v>
      </c>
      <c r="AT9">
        <v>24</v>
      </c>
      <c r="AU9">
        <v>55</v>
      </c>
      <c r="AV9">
        <v>28</v>
      </c>
      <c r="AW9">
        <v>34</v>
      </c>
      <c r="AX9">
        <v>37</v>
      </c>
      <c r="AY9">
        <v>53</v>
      </c>
      <c r="AZ9">
        <v>29</v>
      </c>
      <c r="BA9">
        <v>48</v>
      </c>
      <c r="BB9">
        <v>38</v>
      </c>
      <c r="BC9">
        <v>32</v>
      </c>
      <c r="BD9">
        <v>20</v>
      </c>
      <c r="BE9">
        <v>53</v>
      </c>
      <c r="BF9">
        <v>22</v>
      </c>
      <c r="BG9">
        <v>30</v>
      </c>
      <c r="BH9">
        <v>29</v>
      </c>
      <c r="BI9">
        <v>41</v>
      </c>
      <c r="BJ9">
        <v>933032768</v>
      </c>
      <c r="BK9">
        <v>1642933504</v>
      </c>
      <c r="BL9">
        <v>5278752</v>
      </c>
      <c r="BM9">
        <v>431028384</v>
      </c>
      <c r="BN9">
        <v>360293120</v>
      </c>
      <c r="BO9">
        <v>1573251712</v>
      </c>
      <c r="BP9">
        <v>523805248</v>
      </c>
      <c r="BQ9">
        <v>779330752</v>
      </c>
      <c r="BR9">
        <v>436829920</v>
      </c>
      <c r="BS9">
        <v>680436160</v>
      </c>
      <c r="BT9">
        <v>370091424</v>
      </c>
      <c r="BU9">
        <v>1666769792</v>
      </c>
      <c r="BV9">
        <v>875727040</v>
      </c>
      <c r="BW9">
        <v>946065984</v>
      </c>
      <c r="BX9">
        <v>387054496</v>
      </c>
      <c r="BY9">
        <v>1014910528</v>
      </c>
      <c r="BZ9">
        <v>411540960</v>
      </c>
      <c r="CA9">
        <v>894025472</v>
      </c>
      <c r="CB9">
        <v>416112576</v>
      </c>
      <c r="CC9">
        <v>644805568</v>
      </c>
      <c r="CD9" s="22" t="s">
        <v>1196</v>
      </c>
      <c r="CE9" s="21">
        <v>600432256</v>
      </c>
      <c r="CF9" s="21">
        <v>993098112</v>
      </c>
      <c r="CG9" s="19">
        <v>732220928</v>
      </c>
      <c r="CH9" s="19">
        <v>1014419072</v>
      </c>
      <c r="CI9" s="21">
        <v>276198016</v>
      </c>
      <c r="CJ9" s="21">
        <v>499047808</v>
      </c>
      <c r="CK9" s="19">
        <v>452936224</v>
      </c>
      <c r="CL9" s="19">
        <v>500972000</v>
      </c>
      <c r="CM9" s="21">
        <v>491593056</v>
      </c>
      <c r="CN9" s="21">
        <v>584947904</v>
      </c>
      <c r="CO9" s="19">
        <v>600533312</v>
      </c>
      <c r="CP9" s="19">
        <v>1003702144</v>
      </c>
      <c r="CQ9" s="21">
        <v>472325376</v>
      </c>
      <c r="CR9" s="21">
        <v>667008192</v>
      </c>
      <c r="CS9" s="19">
        <v>736245440</v>
      </c>
      <c r="CT9" s="19">
        <v>978740160</v>
      </c>
      <c r="CU9" s="21">
        <v>836522432</v>
      </c>
      <c r="CV9" s="21">
        <v>734130368</v>
      </c>
      <c r="CW9" s="19">
        <v>766408896</v>
      </c>
      <c r="CX9" s="19">
        <v>1106947840</v>
      </c>
      <c r="CY9" s="22" t="s">
        <v>1196</v>
      </c>
      <c r="CZ9" s="24">
        <f t="shared" si="3"/>
        <v>796765184</v>
      </c>
      <c r="DA9" s="24">
        <f t="shared" si="4"/>
        <v>873320000</v>
      </c>
      <c r="DB9" s="24">
        <f t="shared" si="5"/>
        <v>387622912</v>
      </c>
      <c r="DC9" s="24">
        <f t="shared" si="6"/>
        <v>476954112</v>
      </c>
      <c r="DD9" s="24">
        <f t="shared" si="7"/>
        <v>538270480</v>
      </c>
      <c r="DE9" s="24">
        <f t="shared" si="8"/>
        <v>802117728</v>
      </c>
      <c r="DF9" s="24">
        <f t="shared" si="9"/>
        <v>569666784</v>
      </c>
      <c r="DG9" s="24">
        <f t="shared" si="10"/>
        <v>857492800</v>
      </c>
      <c r="DH9" s="24">
        <f t="shared" si="11"/>
        <v>785326400</v>
      </c>
      <c r="DI9" s="24">
        <f t="shared" si="12"/>
        <v>936678368</v>
      </c>
      <c r="DJ9" s="27" t="s">
        <v>1196</v>
      </c>
      <c r="DK9" s="28">
        <f>(CZ9-$DD9)/$DD9</f>
        <v>0.48023199042979287</v>
      </c>
      <c r="DL9" s="28">
        <f t="shared" si="13"/>
        <v>0.62245568436151277</v>
      </c>
      <c r="DM9" s="28">
        <f t="shared" si="13"/>
        <v>-0.27987336032249066</v>
      </c>
      <c r="DN9" s="28">
        <f t="shared" si="13"/>
        <v>-0.11391367403243069</v>
      </c>
      <c r="DO9" s="28">
        <f t="shared" si="13"/>
        <v>0</v>
      </c>
      <c r="DP9" s="28">
        <f>(DE9-$DI9)/$DI9</f>
        <v>-0.14365725162129506</v>
      </c>
      <c r="DQ9" s="28">
        <f t="shared" si="0"/>
        <v>-0.39182241902697595</v>
      </c>
      <c r="DR9" s="28">
        <f t="shared" si="0"/>
        <v>-8.4538696211248474E-2</v>
      </c>
      <c r="DS9" s="28">
        <f t="shared" si="0"/>
        <v>-0.16158371237201455</v>
      </c>
      <c r="DT9" s="24"/>
      <c r="DU9" s="27" t="s">
        <v>1196</v>
      </c>
      <c r="DV9" s="28">
        <f>SQRT(((1/$DD9)*_xlfn.STDEV.S(CE9:CF9))^2+((-(CZ9/($DD9^2)))*_xlfn.STDEV.S($CM9:$CN9))^2)</f>
        <v>0.54684124011380597</v>
      </c>
      <c r="DW9" s="28">
        <f t="shared" si="1"/>
        <v>0.39627897492380021</v>
      </c>
      <c r="DX9" s="28">
        <f t="shared" si="1"/>
        <v>0.38108792334668323</v>
      </c>
      <c r="DY9" s="28">
        <f t="shared" si="1"/>
        <v>0.97584401680979871</v>
      </c>
      <c r="DZ9" s="28">
        <f>SQRT(((1/$DI9)*_xlfn.STDEV.S(CO9:CP9))^2+((-(DE9/($DI9^2)))*_xlfn.STDEV.S($CW9:$CX9))^2)</f>
        <v>0.37562779966088095</v>
      </c>
      <c r="EA9" s="28">
        <f t="shared" si="2"/>
        <v>0.4305330934276671</v>
      </c>
      <c r="EB9" s="28">
        <f t="shared" si="2"/>
        <v>0.27746325240692815</v>
      </c>
      <c r="EC9" s="28">
        <f t="shared" si="2"/>
        <v>0.22178355373019945</v>
      </c>
    </row>
    <row r="10" spans="1:133">
      <c r="A10">
        <v>31075</v>
      </c>
      <c r="B10" t="s">
        <v>300</v>
      </c>
      <c r="D10" t="s">
        <v>301</v>
      </c>
      <c r="F10" t="s">
        <v>302</v>
      </c>
      <c r="G10">
        <v>588.03499999999997</v>
      </c>
      <c r="H10" t="s">
        <v>104</v>
      </c>
      <c r="I10">
        <v>2</v>
      </c>
      <c r="J10">
        <v>4</v>
      </c>
      <c r="K10">
        <v>0</v>
      </c>
      <c r="L10">
        <v>0</v>
      </c>
      <c r="M10">
        <v>0</v>
      </c>
      <c r="N10">
        <v>-1</v>
      </c>
      <c r="O10">
        <v>16</v>
      </c>
      <c r="P10">
        <v>16</v>
      </c>
      <c r="Q10">
        <v>20</v>
      </c>
      <c r="R10">
        <v>20</v>
      </c>
      <c r="S10">
        <v>20</v>
      </c>
      <c r="T10">
        <v>20</v>
      </c>
      <c r="U10">
        <v>20</v>
      </c>
      <c r="V10">
        <v>16</v>
      </c>
      <c r="W10">
        <v>20</v>
      </c>
      <c r="X10">
        <v>4</v>
      </c>
      <c r="Y10">
        <v>20</v>
      </c>
      <c r="Z10">
        <v>14</v>
      </c>
      <c r="AA10">
        <v>20</v>
      </c>
      <c r="AB10">
        <v>14</v>
      </c>
      <c r="AC10">
        <v>20</v>
      </c>
      <c r="AD10">
        <v>12</v>
      </c>
      <c r="AE10">
        <v>20</v>
      </c>
      <c r="AF10">
        <v>18</v>
      </c>
      <c r="AG10">
        <v>20</v>
      </c>
      <c r="AH10">
        <v>14</v>
      </c>
      <c r="AI10">
        <v>20</v>
      </c>
      <c r="AJ10">
        <v>14</v>
      </c>
      <c r="AK10">
        <v>20</v>
      </c>
      <c r="AL10">
        <v>13</v>
      </c>
      <c r="AM10">
        <v>20</v>
      </c>
      <c r="AN10">
        <v>12</v>
      </c>
      <c r="AO10">
        <v>20</v>
      </c>
      <c r="AP10">
        <v>15</v>
      </c>
      <c r="AQ10">
        <v>35</v>
      </c>
      <c r="AR10">
        <v>0</v>
      </c>
      <c r="AS10">
        <v>21</v>
      </c>
      <c r="AT10">
        <v>8</v>
      </c>
      <c r="AU10">
        <v>23</v>
      </c>
      <c r="AV10">
        <v>3</v>
      </c>
      <c r="AW10">
        <v>35</v>
      </c>
      <c r="AX10">
        <v>1</v>
      </c>
      <c r="AY10">
        <v>13</v>
      </c>
      <c r="AZ10">
        <v>3</v>
      </c>
      <c r="BA10">
        <v>44</v>
      </c>
      <c r="BB10">
        <v>5</v>
      </c>
      <c r="BC10">
        <v>28</v>
      </c>
      <c r="BD10">
        <v>6</v>
      </c>
      <c r="BE10">
        <v>25</v>
      </c>
      <c r="BF10">
        <v>2</v>
      </c>
      <c r="BG10">
        <v>35</v>
      </c>
      <c r="BH10">
        <v>2</v>
      </c>
      <c r="BI10">
        <v>10</v>
      </c>
      <c r="BJ10">
        <v>36119780</v>
      </c>
      <c r="BK10">
        <v>250606048</v>
      </c>
      <c r="BL10">
        <v>580590.38</v>
      </c>
      <c r="BM10">
        <v>88641656</v>
      </c>
      <c r="BN10">
        <v>14793324</v>
      </c>
      <c r="BO10">
        <v>115759568</v>
      </c>
      <c r="BP10">
        <v>7135518.5</v>
      </c>
      <c r="BQ10">
        <v>183978688</v>
      </c>
      <c r="BR10">
        <v>3757344.75</v>
      </c>
      <c r="BS10">
        <v>43957984</v>
      </c>
      <c r="BT10">
        <v>6415481</v>
      </c>
      <c r="BU10">
        <v>210581280</v>
      </c>
      <c r="BV10">
        <v>9760520</v>
      </c>
      <c r="BW10">
        <v>144298640</v>
      </c>
      <c r="BX10">
        <v>11667941</v>
      </c>
      <c r="BY10">
        <v>127821056</v>
      </c>
      <c r="BZ10">
        <v>7391902.5</v>
      </c>
      <c r="CA10">
        <v>203564512</v>
      </c>
      <c r="CB10">
        <v>3377193.75</v>
      </c>
      <c r="CC10">
        <v>25195148</v>
      </c>
      <c r="CD10" s="22" t="s">
        <v>300</v>
      </c>
      <c r="CE10" s="21">
        <v>40208932</v>
      </c>
      <c r="CF10" s="21">
        <v>25451284</v>
      </c>
      <c r="CG10" s="19">
        <v>40656540</v>
      </c>
      <c r="CH10" s="19">
        <v>10824091</v>
      </c>
      <c r="CI10" s="21">
        <v>11534167</v>
      </c>
      <c r="CJ10" s="21">
        <v>13501792</v>
      </c>
      <c r="CK10" s="19">
        <v>6599932.5</v>
      </c>
      <c r="CL10" s="19">
        <v>8654968</v>
      </c>
      <c r="CM10" s="21">
        <v>3905537.75</v>
      </c>
      <c r="CN10" s="21">
        <v>4343627.5</v>
      </c>
      <c r="CO10" s="19">
        <v>153495008</v>
      </c>
      <c r="CP10" s="19">
        <v>177790000</v>
      </c>
      <c r="CQ10" s="21">
        <v>96354272</v>
      </c>
      <c r="CR10" s="21">
        <v>97182112</v>
      </c>
      <c r="CS10" s="19">
        <v>83000232</v>
      </c>
      <c r="CT10" s="19">
        <v>103288936</v>
      </c>
      <c r="CU10" s="21">
        <v>192313408</v>
      </c>
      <c r="CV10" s="21">
        <v>184767344</v>
      </c>
      <c r="CW10" s="19">
        <v>36833200</v>
      </c>
      <c r="CX10" s="19">
        <v>36949876</v>
      </c>
      <c r="CY10" s="22" t="s">
        <v>300</v>
      </c>
      <c r="CZ10" s="24">
        <f t="shared" si="3"/>
        <v>32830108</v>
      </c>
      <c r="DA10" s="24">
        <f t="shared" si="4"/>
        <v>25740315.5</v>
      </c>
      <c r="DB10" s="24">
        <f t="shared" si="5"/>
        <v>12517979.5</v>
      </c>
      <c r="DC10" s="24">
        <f t="shared" si="6"/>
        <v>7627450.25</v>
      </c>
      <c r="DD10" s="24">
        <f t="shared" si="7"/>
        <v>4124582.625</v>
      </c>
      <c r="DE10" s="24">
        <f t="shared" si="8"/>
        <v>165642504</v>
      </c>
      <c r="DF10" s="24">
        <f t="shared" si="9"/>
        <v>96768192</v>
      </c>
      <c r="DG10" s="24">
        <f t="shared" si="10"/>
        <v>93144584</v>
      </c>
      <c r="DH10" s="24">
        <f t="shared" si="11"/>
        <v>188540376</v>
      </c>
      <c r="DI10" s="24">
        <f t="shared" si="12"/>
        <v>36891538</v>
      </c>
      <c r="DJ10" s="27" t="s">
        <v>1350</v>
      </c>
      <c r="DK10" s="28">
        <f>(CZ10-$DD10)/$DD10</f>
        <v>6.9596194293719602</v>
      </c>
      <c r="DL10" s="28">
        <f t="shared" si="13"/>
        <v>5.2407079310236879</v>
      </c>
      <c r="DM10" s="28">
        <f t="shared" si="13"/>
        <v>2.034968780629046</v>
      </c>
      <c r="DN10" s="28">
        <f t="shared" si="13"/>
        <v>0.8492659605770414</v>
      </c>
      <c r="DO10" s="28">
        <f t="shared" si="13"/>
        <v>0</v>
      </c>
      <c r="DP10" s="28">
        <f>(DE10-$DI10)/$DI10</f>
        <v>3.4899864028439258</v>
      </c>
      <c r="DQ10" s="28">
        <f t="shared" si="0"/>
        <v>1.6230457510337466</v>
      </c>
      <c r="DR10" s="28">
        <f t="shared" si="0"/>
        <v>1.524822467417867</v>
      </c>
      <c r="DS10" s="28">
        <f t="shared" si="0"/>
        <v>4.1106672755145093</v>
      </c>
      <c r="DT10" s="24"/>
      <c r="DU10" s="27" t="s">
        <v>1350</v>
      </c>
      <c r="DV10" s="28">
        <f>SQRT(((1/$DD10)*_xlfn.STDEV.S(CE10:CF10))^2+((-(CZ10/($DD10^2)))*_xlfn.STDEV.S($CM10:$CN10))^2)</f>
        <v>2.5996768982388039</v>
      </c>
      <c r="DW10" s="28">
        <f t="shared" si="1"/>
        <v>2.6485490246100678</v>
      </c>
      <c r="DX10" s="28">
        <f t="shared" si="1"/>
        <v>5.1194676697516002</v>
      </c>
      <c r="DY10" s="28">
        <f t="shared" si="1"/>
        <v>0.1846866146936873</v>
      </c>
      <c r="DZ10" s="28">
        <f>SQRT(((1/$DI10)*_xlfn.STDEV.S(CO10:CP10))^2+((-(DE10/($DI10^2)))*_xlfn.STDEV.S($CW10:$CX10))^2)</f>
        <v>0.46577475231204252</v>
      </c>
      <c r="EA10" s="28">
        <f t="shared" si="2"/>
        <v>1.5609043500069919</v>
      </c>
      <c r="EB10" s="28">
        <f t="shared" si="2"/>
        <v>1.6842053459195847E-2</v>
      </c>
      <c r="EC10" s="28">
        <f t="shared" si="2"/>
        <v>0.27206683013238947</v>
      </c>
    </row>
    <row r="11" spans="1:133">
      <c r="A11">
        <v>31031</v>
      </c>
      <c r="B11" t="s">
        <v>188</v>
      </c>
      <c r="C11" t="s">
        <v>1198</v>
      </c>
      <c r="D11" t="s">
        <v>189</v>
      </c>
      <c r="E11" t="s">
        <v>190</v>
      </c>
      <c r="F11" t="s">
        <v>191</v>
      </c>
      <c r="G11">
        <v>992.49300000000005</v>
      </c>
      <c r="H11" t="s">
        <v>104</v>
      </c>
      <c r="I11">
        <v>2</v>
      </c>
      <c r="J11">
        <v>14</v>
      </c>
      <c r="K11">
        <v>4</v>
      </c>
      <c r="L11">
        <v>0</v>
      </c>
      <c r="M11">
        <v>0</v>
      </c>
      <c r="N11">
        <v>-1</v>
      </c>
      <c r="O11">
        <v>22</v>
      </c>
      <c r="P11">
        <v>3</v>
      </c>
      <c r="Q11">
        <v>24</v>
      </c>
      <c r="R11">
        <v>3</v>
      </c>
      <c r="S11">
        <v>24</v>
      </c>
      <c r="T11">
        <v>3</v>
      </c>
      <c r="U11">
        <v>3</v>
      </c>
      <c r="V11">
        <v>3</v>
      </c>
      <c r="W11">
        <v>3</v>
      </c>
      <c r="X11">
        <v>2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3</v>
      </c>
      <c r="AI11">
        <v>3</v>
      </c>
      <c r="AJ11">
        <v>3</v>
      </c>
      <c r="AK11">
        <v>3</v>
      </c>
      <c r="AL11">
        <v>3</v>
      </c>
      <c r="AM11">
        <v>3</v>
      </c>
      <c r="AN11">
        <v>3</v>
      </c>
      <c r="AO11">
        <v>3</v>
      </c>
      <c r="AP11">
        <v>8</v>
      </c>
      <c r="AQ11">
        <v>9</v>
      </c>
      <c r="AR11">
        <v>0</v>
      </c>
      <c r="AS11">
        <v>6</v>
      </c>
      <c r="AT11">
        <v>6</v>
      </c>
      <c r="AU11">
        <v>7</v>
      </c>
      <c r="AV11">
        <v>5</v>
      </c>
      <c r="AW11">
        <v>5</v>
      </c>
      <c r="AX11">
        <v>6</v>
      </c>
      <c r="AY11">
        <v>7</v>
      </c>
      <c r="AZ11">
        <v>2</v>
      </c>
      <c r="BA11">
        <v>8</v>
      </c>
      <c r="BB11">
        <v>6</v>
      </c>
      <c r="BC11">
        <v>7</v>
      </c>
      <c r="BD11">
        <v>5</v>
      </c>
      <c r="BE11">
        <v>7</v>
      </c>
      <c r="BF11">
        <v>5</v>
      </c>
      <c r="BG11">
        <v>6</v>
      </c>
      <c r="BH11">
        <v>5</v>
      </c>
      <c r="BI11">
        <v>7</v>
      </c>
      <c r="BJ11">
        <v>863903360</v>
      </c>
      <c r="BK11">
        <v>2108730624</v>
      </c>
      <c r="BL11">
        <v>5664576</v>
      </c>
      <c r="BM11">
        <v>571742400</v>
      </c>
      <c r="BN11">
        <v>588958848</v>
      </c>
      <c r="BO11">
        <v>1438991872</v>
      </c>
      <c r="BP11">
        <v>472748064</v>
      </c>
      <c r="BQ11">
        <v>1248752512</v>
      </c>
      <c r="BR11">
        <v>412370240</v>
      </c>
      <c r="BS11">
        <v>1077044992</v>
      </c>
      <c r="BT11">
        <v>271090784</v>
      </c>
      <c r="BU11">
        <v>1583726336</v>
      </c>
      <c r="BV11">
        <v>995828928</v>
      </c>
      <c r="BW11">
        <v>1122465024</v>
      </c>
      <c r="BX11">
        <v>559698688</v>
      </c>
      <c r="BY11">
        <v>1208075136</v>
      </c>
      <c r="BZ11">
        <v>385147456</v>
      </c>
      <c r="CA11">
        <v>1321497472</v>
      </c>
      <c r="CB11">
        <v>354370432</v>
      </c>
      <c r="CC11">
        <v>1219758976</v>
      </c>
      <c r="CD11" s="22" t="s">
        <v>1198</v>
      </c>
      <c r="CE11" s="21">
        <v>143727280</v>
      </c>
      <c r="CF11" s="21">
        <v>111715328</v>
      </c>
      <c r="CG11" s="19">
        <v>25165468</v>
      </c>
      <c r="CH11" s="19">
        <v>113690472</v>
      </c>
      <c r="CI11" s="21">
        <v>65743288</v>
      </c>
      <c r="CJ11" s="21">
        <v>63150520</v>
      </c>
      <c r="CK11" s="19">
        <v>51695356</v>
      </c>
      <c r="CL11" s="19">
        <v>49149908</v>
      </c>
      <c r="CM11" s="21">
        <v>41110508</v>
      </c>
      <c r="CN11" s="21">
        <v>48867556</v>
      </c>
      <c r="CO11" s="19">
        <v>175066288</v>
      </c>
      <c r="CP11" s="19">
        <v>150400112</v>
      </c>
      <c r="CQ11" s="21">
        <v>67634392</v>
      </c>
      <c r="CR11" s="21">
        <v>105912672</v>
      </c>
      <c r="CS11" s="19">
        <v>140080352</v>
      </c>
      <c r="CT11" s="19">
        <v>155466672</v>
      </c>
      <c r="CU11" s="21">
        <v>142620288</v>
      </c>
      <c r="CV11" s="21">
        <v>112463920</v>
      </c>
      <c r="CW11" s="19">
        <v>137671648</v>
      </c>
      <c r="CX11" s="19">
        <v>242702352</v>
      </c>
      <c r="CY11" s="22" t="s">
        <v>1198</v>
      </c>
      <c r="CZ11" s="24">
        <f t="shared" si="3"/>
        <v>127721304</v>
      </c>
      <c r="DA11" s="24">
        <f t="shared" si="4"/>
        <v>69427970</v>
      </c>
      <c r="DB11" s="24">
        <f t="shared" si="5"/>
        <v>64446904</v>
      </c>
      <c r="DC11" s="24">
        <f t="shared" si="6"/>
        <v>50422632</v>
      </c>
      <c r="DD11" s="24">
        <f t="shared" si="7"/>
        <v>44989032</v>
      </c>
      <c r="DE11" s="24">
        <f t="shared" si="8"/>
        <v>162733200</v>
      </c>
      <c r="DF11" s="24">
        <f t="shared" si="9"/>
        <v>86773532</v>
      </c>
      <c r="DG11" s="24">
        <f t="shared" si="10"/>
        <v>147773512</v>
      </c>
      <c r="DH11" s="24">
        <f t="shared" si="11"/>
        <v>127542104</v>
      </c>
      <c r="DI11" s="24">
        <f t="shared" si="12"/>
        <v>190187000</v>
      </c>
      <c r="DJ11" s="27" t="s">
        <v>1198</v>
      </c>
      <c r="DK11" s="28">
        <f>(CZ11-$DD11)/$DD11</f>
        <v>1.8389431450758931</v>
      </c>
      <c r="DL11" s="28">
        <f t="shared" si="13"/>
        <v>0.54321991191097418</v>
      </c>
      <c r="DM11" s="28">
        <f t="shared" si="13"/>
        <v>0.43250257084882376</v>
      </c>
      <c r="DN11" s="28">
        <f t="shared" si="13"/>
        <v>0.12077610382903993</v>
      </c>
      <c r="DO11" s="28">
        <f t="shared" si="13"/>
        <v>0</v>
      </c>
      <c r="DP11" s="28">
        <f>(DE11-$DI11)/$DI11</f>
        <v>-0.14435161183466799</v>
      </c>
      <c r="DQ11" s="28">
        <f t="shared" si="0"/>
        <v>-0.54374624974367336</v>
      </c>
      <c r="DR11" s="28">
        <f t="shared" si="0"/>
        <v>-0.22300939601550054</v>
      </c>
      <c r="DS11" s="28">
        <f t="shared" si="0"/>
        <v>-0.32938579398171275</v>
      </c>
      <c r="DT11" s="24"/>
      <c r="DU11" s="27" t="s">
        <v>1198</v>
      </c>
      <c r="DV11" s="28">
        <f>SQRT(((1/$DD11)*_xlfn.STDEV.S(CE11:CF11))^2+((-(CZ11/($DD11^2)))*_xlfn.STDEV.S($CM11:$CN11))^2)</f>
        <v>0.61069920658136156</v>
      </c>
      <c r="DW11" s="28">
        <f t="shared" si="1"/>
        <v>1.3732813571620546</v>
      </c>
      <c r="DX11" s="28">
        <f t="shared" si="1"/>
        <v>1.4022939240229046</v>
      </c>
      <c r="DY11" s="28">
        <f t="shared" si="1"/>
        <v>0.76588922188040931</v>
      </c>
      <c r="DZ11" s="28">
        <f>SQRT(((1/$DI11)*_xlfn.STDEV.S(CO11:CP11))^2+((-(DE11/($DI11^2)))*_xlfn.STDEV.S($CW11:$CX11))^2)</f>
        <v>0.34648712761046568</v>
      </c>
      <c r="EA11" s="28">
        <f t="shared" si="2"/>
        <v>0.3555763848988861</v>
      </c>
      <c r="EB11" s="28">
        <f t="shared" si="2"/>
        <v>0.33513343783953381</v>
      </c>
      <c r="EC11" s="28">
        <f t="shared" si="2"/>
        <v>0.29105989839204943</v>
      </c>
    </row>
    <row r="12" spans="1:133">
      <c r="A12">
        <v>31150</v>
      </c>
      <c r="B12" t="s">
        <v>164</v>
      </c>
      <c r="C12" t="s">
        <v>1199</v>
      </c>
      <c r="D12" t="s">
        <v>164</v>
      </c>
      <c r="F12" t="s">
        <v>165</v>
      </c>
      <c r="G12">
        <v>1198.6079999999999</v>
      </c>
      <c r="H12" t="s">
        <v>104</v>
      </c>
      <c r="I12">
        <v>2</v>
      </c>
      <c r="J12">
        <v>1</v>
      </c>
      <c r="K12">
        <v>0</v>
      </c>
      <c r="L12">
        <v>0</v>
      </c>
      <c r="M12">
        <v>0</v>
      </c>
      <c r="N12">
        <v>-1</v>
      </c>
      <c r="O12">
        <v>28</v>
      </c>
      <c r="P12">
        <v>28</v>
      </c>
      <c r="Q12">
        <v>32</v>
      </c>
      <c r="R12">
        <v>32</v>
      </c>
      <c r="S12">
        <v>32</v>
      </c>
      <c r="T12">
        <v>32</v>
      </c>
      <c r="U12">
        <v>32</v>
      </c>
      <c r="V12">
        <v>29</v>
      </c>
      <c r="W12">
        <v>31</v>
      </c>
      <c r="X12">
        <v>21</v>
      </c>
      <c r="Y12">
        <v>31</v>
      </c>
      <c r="Z12">
        <v>31</v>
      </c>
      <c r="AA12">
        <v>32</v>
      </c>
      <c r="AB12">
        <v>30</v>
      </c>
      <c r="AC12">
        <v>32</v>
      </c>
      <c r="AD12">
        <v>31</v>
      </c>
      <c r="AE12">
        <v>32</v>
      </c>
      <c r="AF12">
        <v>32</v>
      </c>
      <c r="AG12">
        <v>32</v>
      </c>
      <c r="AH12">
        <v>32</v>
      </c>
      <c r="AI12">
        <v>32</v>
      </c>
      <c r="AJ12">
        <v>32</v>
      </c>
      <c r="AK12">
        <v>32</v>
      </c>
      <c r="AL12">
        <v>31</v>
      </c>
      <c r="AM12">
        <v>32</v>
      </c>
      <c r="AN12">
        <v>32</v>
      </c>
      <c r="AO12">
        <v>32</v>
      </c>
      <c r="AP12">
        <v>86</v>
      </c>
      <c r="AQ12">
        <v>92</v>
      </c>
      <c r="AR12">
        <v>2</v>
      </c>
      <c r="AS12">
        <v>57</v>
      </c>
      <c r="AT12">
        <v>41</v>
      </c>
      <c r="AU12">
        <v>76</v>
      </c>
      <c r="AV12">
        <v>42</v>
      </c>
      <c r="AW12">
        <v>76</v>
      </c>
      <c r="AX12">
        <v>51</v>
      </c>
      <c r="AY12">
        <v>79</v>
      </c>
      <c r="AZ12">
        <v>44</v>
      </c>
      <c r="BA12">
        <v>77</v>
      </c>
      <c r="BB12">
        <v>56</v>
      </c>
      <c r="BC12">
        <v>58</v>
      </c>
      <c r="BD12">
        <v>40</v>
      </c>
      <c r="BE12">
        <v>76</v>
      </c>
      <c r="BF12">
        <v>36</v>
      </c>
      <c r="BG12">
        <v>68</v>
      </c>
      <c r="BH12">
        <v>49</v>
      </c>
      <c r="BI12">
        <v>77</v>
      </c>
      <c r="BJ12">
        <v>788704832</v>
      </c>
      <c r="BK12">
        <v>1948919040</v>
      </c>
      <c r="BL12">
        <v>3380802</v>
      </c>
      <c r="BM12">
        <v>560849792</v>
      </c>
      <c r="BN12">
        <v>402890112</v>
      </c>
      <c r="BO12">
        <v>1338638592</v>
      </c>
      <c r="BP12">
        <v>333903168</v>
      </c>
      <c r="BQ12">
        <v>1357616512</v>
      </c>
      <c r="BR12">
        <v>396070144</v>
      </c>
      <c r="BS12">
        <v>1094414208</v>
      </c>
      <c r="BT12">
        <v>203900048</v>
      </c>
      <c r="BU12">
        <v>1490088320</v>
      </c>
      <c r="BV12">
        <v>584075584</v>
      </c>
      <c r="BW12">
        <v>933248320</v>
      </c>
      <c r="BX12">
        <v>332907104</v>
      </c>
      <c r="BY12">
        <v>1236603392</v>
      </c>
      <c r="BZ12">
        <v>275368768</v>
      </c>
      <c r="CA12">
        <v>1592181248</v>
      </c>
      <c r="CB12">
        <v>350308160</v>
      </c>
      <c r="CC12">
        <v>1096442880</v>
      </c>
      <c r="CD12" s="22" t="s">
        <v>1199</v>
      </c>
      <c r="CE12" s="21">
        <v>832800896</v>
      </c>
      <c r="CF12" s="21">
        <v>693636864</v>
      </c>
      <c r="CG12" s="19">
        <v>317036384</v>
      </c>
      <c r="CH12" s="19">
        <v>618968896</v>
      </c>
      <c r="CI12" s="21">
        <v>325894464</v>
      </c>
      <c r="CJ12" s="21">
        <v>359362272</v>
      </c>
      <c r="CK12" s="19">
        <v>258047328</v>
      </c>
      <c r="CL12" s="19">
        <v>287338272</v>
      </c>
      <c r="CM12" s="21">
        <v>442999904</v>
      </c>
      <c r="CN12" s="21">
        <v>433155616</v>
      </c>
      <c r="CO12" s="19">
        <v>1152080256</v>
      </c>
      <c r="CP12" s="19">
        <v>1208977024</v>
      </c>
      <c r="CQ12" s="21">
        <v>609955520</v>
      </c>
      <c r="CR12" s="21">
        <v>614301504</v>
      </c>
      <c r="CS12" s="19">
        <v>897155840</v>
      </c>
      <c r="CT12" s="19">
        <v>1061710016</v>
      </c>
      <c r="CU12" s="21">
        <v>1284736256</v>
      </c>
      <c r="CV12" s="21">
        <v>1269919104</v>
      </c>
      <c r="CW12" s="19">
        <v>1060053504</v>
      </c>
      <c r="CX12" s="19">
        <v>1595874048</v>
      </c>
      <c r="CY12" s="22" t="s">
        <v>1199</v>
      </c>
      <c r="CZ12" s="24">
        <f t="shared" si="3"/>
        <v>763218880</v>
      </c>
      <c r="DA12" s="24">
        <f t="shared" si="4"/>
        <v>468002640</v>
      </c>
      <c r="DB12" s="24">
        <f t="shared" si="5"/>
        <v>342628368</v>
      </c>
      <c r="DC12" s="24">
        <f t="shared" si="6"/>
        <v>272692800</v>
      </c>
      <c r="DD12" s="24">
        <f t="shared" si="7"/>
        <v>438077760</v>
      </c>
      <c r="DE12" s="24">
        <f t="shared" si="8"/>
        <v>1180528640</v>
      </c>
      <c r="DF12" s="24">
        <f t="shared" si="9"/>
        <v>612128512</v>
      </c>
      <c r="DG12" s="24">
        <f t="shared" si="10"/>
        <v>979432928</v>
      </c>
      <c r="DH12" s="24">
        <f t="shared" si="11"/>
        <v>1277327680</v>
      </c>
      <c r="DI12" s="24">
        <f t="shared" si="12"/>
        <v>1327963776</v>
      </c>
      <c r="DJ12" s="27" t="s">
        <v>1199</v>
      </c>
      <c r="DK12" s="28">
        <f>(CZ12-$DD12)/$DD12</f>
        <v>0.74219955836151097</v>
      </c>
      <c r="DL12" s="28">
        <f t="shared" si="13"/>
        <v>6.8309516557060551E-2</v>
      </c>
      <c r="DM12" s="28">
        <f t="shared" si="13"/>
        <v>-0.21788230473055742</v>
      </c>
      <c r="DN12" s="28">
        <f t="shared" si="13"/>
        <v>-0.37752420940063242</v>
      </c>
      <c r="DO12" s="28">
        <f t="shared" si="13"/>
        <v>0</v>
      </c>
      <c r="DP12" s="28">
        <f>(DE12-$DI12)/$DI12</f>
        <v>-0.11102346213395507</v>
      </c>
      <c r="DQ12" s="28">
        <f t="shared" si="0"/>
        <v>-0.53904728196441409</v>
      </c>
      <c r="DR12" s="28">
        <f t="shared" si="0"/>
        <v>-0.26245508672670298</v>
      </c>
      <c r="DS12" s="28">
        <f t="shared" si="0"/>
        <v>-3.8130630454787345E-2</v>
      </c>
      <c r="DT12" s="24"/>
      <c r="DU12" s="27" t="s">
        <v>1199</v>
      </c>
      <c r="DV12" s="28">
        <f>SQRT(((1/$DD12)*_xlfn.STDEV.S(CE12:CF12))^2+((-(CZ12/($DD12^2)))*_xlfn.STDEV.S($CM12:$CN12))^2)</f>
        <v>0.22632582426107004</v>
      </c>
      <c r="DW12" s="28">
        <f t="shared" si="1"/>
        <v>0.60811251030333024</v>
      </c>
      <c r="DX12" s="28">
        <f t="shared" si="1"/>
        <v>0.48751146635932335</v>
      </c>
      <c r="DY12" s="28">
        <f t="shared" si="1"/>
        <v>0.47315849250051784</v>
      </c>
      <c r="DZ12" s="28">
        <f>SQRT(((1/$DI12)*_xlfn.STDEV.S(CO12:CP12))^2+((-(DE12/($DI12^2)))*_xlfn.STDEV.S($CW12:$CX12))^2)</f>
        <v>0.25543755273096197</v>
      </c>
      <c r="EA12" s="28">
        <f t="shared" si="2"/>
        <v>0.34501295759018447</v>
      </c>
      <c r="EB12" s="28">
        <f t="shared" si="2"/>
        <v>0.21044221596436427</v>
      </c>
      <c r="EC12" s="28">
        <f t="shared" si="2"/>
        <v>0.31304461244535475</v>
      </c>
    </row>
    <row r="13" spans="1:133">
      <c r="A13">
        <v>31104</v>
      </c>
      <c r="B13" t="s">
        <v>218</v>
      </c>
      <c r="C13">
        <v>3</v>
      </c>
      <c r="D13" t="s">
        <v>218</v>
      </c>
      <c r="F13" t="s">
        <v>219</v>
      </c>
      <c r="G13">
        <v>896.38599999999997</v>
      </c>
      <c r="H13" t="s">
        <v>104</v>
      </c>
      <c r="I13">
        <v>2</v>
      </c>
      <c r="J13">
        <v>1</v>
      </c>
      <c r="K13">
        <v>0</v>
      </c>
      <c r="L13">
        <v>0</v>
      </c>
      <c r="M13">
        <v>0</v>
      </c>
      <c r="N13">
        <v>-1</v>
      </c>
      <c r="O13">
        <v>22</v>
      </c>
      <c r="P13">
        <v>22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25</v>
      </c>
      <c r="W13">
        <v>26</v>
      </c>
      <c r="X13">
        <v>17</v>
      </c>
      <c r="Y13">
        <v>26</v>
      </c>
      <c r="Z13">
        <v>24</v>
      </c>
      <c r="AA13">
        <v>25</v>
      </c>
      <c r="AB13">
        <v>25</v>
      </c>
      <c r="AC13">
        <v>25</v>
      </c>
      <c r="AD13">
        <v>25</v>
      </c>
      <c r="AE13">
        <v>24</v>
      </c>
      <c r="AF13">
        <v>24</v>
      </c>
      <c r="AG13">
        <v>26</v>
      </c>
      <c r="AH13">
        <v>25</v>
      </c>
      <c r="AI13">
        <v>26</v>
      </c>
      <c r="AJ13">
        <v>25</v>
      </c>
      <c r="AK13">
        <v>25</v>
      </c>
      <c r="AL13">
        <v>25</v>
      </c>
      <c r="AM13">
        <v>26</v>
      </c>
      <c r="AN13">
        <v>25</v>
      </c>
      <c r="AO13">
        <v>25</v>
      </c>
      <c r="AP13">
        <v>65</v>
      </c>
      <c r="AQ13">
        <v>71</v>
      </c>
      <c r="AR13">
        <v>11</v>
      </c>
      <c r="AS13">
        <v>48</v>
      </c>
      <c r="AT13">
        <v>29</v>
      </c>
      <c r="AU13">
        <v>79</v>
      </c>
      <c r="AV13">
        <v>29</v>
      </c>
      <c r="AW13">
        <v>61</v>
      </c>
      <c r="AX13">
        <v>36</v>
      </c>
      <c r="AY13">
        <v>82</v>
      </c>
      <c r="AZ13">
        <v>20</v>
      </c>
      <c r="BA13">
        <v>67</v>
      </c>
      <c r="BB13">
        <v>43</v>
      </c>
      <c r="BC13">
        <v>53</v>
      </c>
      <c r="BD13">
        <v>22</v>
      </c>
      <c r="BE13">
        <v>72</v>
      </c>
      <c r="BF13">
        <v>26</v>
      </c>
      <c r="BG13">
        <v>57</v>
      </c>
      <c r="BH13">
        <v>31</v>
      </c>
      <c r="BI13">
        <v>68</v>
      </c>
      <c r="BJ13">
        <v>225372672</v>
      </c>
      <c r="BK13">
        <v>812177920</v>
      </c>
      <c r="BL13">
        <v>4537581.5</v>
      </c>
      <c r="BM13">
        <v>241412784</v>
      </c>
      <c r="BN13">
        <v>137120208</v>
      </c>
      <c r="BO13">
        <v>646676288</v>
      </c>
      <c r="BP13">
        <v>136564496</v>
      </c>
      <c r="BQ13">
        <v>656029312</v>
      </c>
      <c r="BR13">
        <v>155960544</v>
      </c>
      <c r="BS13">
        <v>615012096</v>
      </c>
      <c r="BT13">
        <v>51385636</v>
      </c>
      <c r="BU13">
        <v>611734400</v>
      </c>
      <c r="BV13">
        <v>236701584</v>
      </c>
      <c r="BW13">
        <v>459828384</v>
      </c>
      <c r="BX13">
        <v>117368536</v>
      </c>
      <c r="BY13">
        <v>681964672</v>
      </c>
      <c r="BZ13">
        <v>125336608</v>
      </c>
      <c r="CA13">
        <v>604862208</v>
      </c>
      <c r="CB13">
        <v>125213808</v>
      </c>
      <c r="CC13">
        <v>433817344</v>
      </c>
      <c r="CD13" s="22" t="s">
        <v>218</v>
      </c>
      <c r="CE13" s="21">
        <v>291229888</v>
      </c>
      <c r="CF13" s="21">
        <v>233225696</v>
      </c>
      <c r="CG13" s="19">
        <v>171435024</v>
      </c>
      <c r="CH13" s="19">
        <v>318796384</v>
      </c>
      <c r="CI13" s="21">
        <v>128554728</v>
      </c>
      <c r="CJ13" s="21">
        <v>149384384</v>
      </c>
      <c r="CK13" s="19">
        <v>129632216</v>
      </c>
      <c r="CL13" s="19">
        <v>156051136</v>
      </c>
      <c r="CM13" s="21">
        <v>201081456</v>
      </c>
      <c r="CN13" s="21">
        <v>200390528</v>
      </c>
      <c r="CO13" s="19">
        <v>501685440</v>
      </c>
      <c r="CP13" s="19">
        <v>517135072</v>
      </c>
      <c r="CQ13" s="21">
        <v>311000896</v>
      </c>
      <c r="CR13" s="21">
        <v>321446432</v>
      </c>
      <c r="CS13" s="19">
        <v>483400160</v>
      </c>
      <c r="CT13" s="19">
        <v>605789184</v>
      </c>
      <c r="CU13" s="21">
        <v>589364800</v>
      </c>
      <c r="CV13" s="21">
        <v>560273792</v>
      </c>
      <c r="CW13" s="19">
        <v>638056384</v>
      </c>
      <c r="CX13" s="19">
        <v>867336832</v>
      </c>
      <c r="CY13" s="22" t="s">
        <v>218</v>
      </c>
      <c r="CZ13" s="24">
        <f t="shared" si="3"/>
        <v>262227792</v>
      </c>
      <c r="DA13" s="24">
        <f t="shared" si="4"/>
        <v>245115704</v>
      </c>
      <c r="DB13" s="24">
        <f t="shared" si="5"/>
        <v>138969556</v>
      </c>
      <c r="DC13" s="24">
        <f t="shared" si="6"/>
        <v>142841676</v>
      </c>
      <c r="DD13" s="24">
        <f t="shared" si="7"/>
        <v>200735992</v>
      </c>
      <c r="DE13" s="24">
        <f t="shared" si="8"/>
        <v>509410256</v>
      </c>
      <c r="DF13" s="24">
        <f t="shared" si="9"/>
        <v>316223664</v>
      </c>
      <c r="DG13" s="24">
        <f t="shared" si="10"/>
        <v>544594672</v>
      </c>
      <c r="DH13" s="24">
        <f t="shared" si="11"/>
        <v>574819296</v>
      </c>
      <c r="DI13" s="24">
        <f t="shared" si="12"/>
        <v>752696608</v>
      </c>
      <c r="DJ13" s="27" t="s">
        <v>1351</v>
      </c>
      <c r="DK13" s="28">
        <f>(CZ13-$DD13)/$DD13</f>
        <v>0.30633171155474698</v>
      </c>
      <c r="DL13" s="28">
        <f t="shared" si="13"/>
        <v>0.22108497613123609</v>
      </c>
      <c r="DM13" s="28">
        <f t="shared" si="13"/>
        <v>-0.30769985683484208</v>
      </c>
      <c r="DN13" s="28">
        <f t="shared" si="13"/>
        <v>-0.28841024184641489</v>
      </c>
      <c r="DO13" s="28">
        <f t="shared" si="13"/>
        <v>0</v>
      </c>
      <c r="DP13" s="28">
        <f>(DE13-$DI13)/$DI13</f>
        <v>-0.32321967365634785</v>
      </c>
      <c r="DQ13" s="28">
        <f t="shared" si="0"/>
        <v>-0.57987898359175283</v>
      </c>
      <c r="DR13" s="28">
        <f t="shared" si="0"/>
        <v>-0.27647518772929025</v>
      </c>
      <c r="DS13" s="28">
        <f t="shared" si="0"/>
        <v>-0.23632006589300319</v>
      </c>
      <c r="DT13" s="24"/>
      <c r="DU13" s="27" t="s">
        <v>1351</v>
      </c>
      <c r="DV13" s="28">
        <f>SQRT(((1/$DD13)*_xlfn.STDEV.S(CE13:CF13))^2+((-(CZ13/($DD13^2)))*_xlfn.STDEV.S($CM13:$CN13))^2)</f>
        <v>0.20434861905055279</v>
      </c>
      <c r="DW13" s="28">
        <f t="shared" si="1"/>
        <v>0.21768231658918857</v>
      </c>
      <c r="DX13" s="28">
        <f t="shared" si="1"/>
        <v>0.51909358577115294</v>
      </c>
      <c r="DY13" s="28">
        <f t="shared" si="1"/>
        <v>0.67014197561940891</v>
      </c>
      <c r="DZ13" s="28">
        <f>SQRT(((1/$DI13)*_xlfn.STDEV.S(CO13:CP13))^2+((-(DE13/($DI13^2)))*_xlfn.STDEV.S($CW13:$CX13))^2)</f>
        <v>0.14649465521399377</v>
      </c>
      <c r="EA13" s="28">
        <f t="shared" si="2"/>
        <v>0.21374882518744096</v>
      </c>
      <c r="EB13" s="28">
        <f t="shared" si="2"/>
        <v>0.15615098778155448</v>
      </c>
      <c r="EC13" s="28">
        <f t="shared" si="2"/>
        <v>0.22406555333336403</v>
      </c>
    </row>
    <row r="14" spans="1:133">
      <c r="A14">
        <v>31016</v>
      </c>
      <c r="B14" t="s">
        <v>341</v>
      </c>
      <c r="C14" t="s">
        <v>341</v>
      </c>
      <c r="D14" t="s">
        <v>341</v>
      </c>
      <c r="E14" t="s">
        <v>342</v>
      </c>
      <c r="F14" t="s">
        <v>343</v>
      </c>
      <c r="G14">
        <v>473.435</v>
      </c>
      <c r="H14" t="s">
        <v>104</v>
      </c>
      <c r="I14">
        <v>2</v>
      </c>
      <c r="J14">
        <v>1</v>
      </c>
      <c r="K14">
        <v>1</v>
      </c>
      <c r="L14">
        <v>0</v>
      </c>
      <c r="M14">
        <v>0</v>
      </c>
      <c r="N14">
        <v>-1</v>
      </c>
      <c r="O14">
        <v>11</v>
      </c>
      <c r="P14">
        <v>11</v>
      </c>
      <c r="Q14">
        <v>12</v>
      </c>
      <c r="R14">
        <v>12</v>
      </c>
      <c r="S14">
        <v>12</v>
      </c>
      <c r="T14">
        <v>12</v>
      </c>
      <c r="U14">
        <v>12</v>
      </c>
      <c r="V14">
        <v>11</v>
      </c>
      <c r="W14">
        <v>12</v>
      </c>
      <c r="X14">
        <v>11</v>
      </c>
      <c r="Y14">
        <v>12</v>
      </c>
      <c r="Z14">
        <v>12</v>
      </c>
      <c r="AA14">
        <v>12</v>
      </c>
      <c r="AB14">
        <v>12</v>
      </c>
      <c r="AC14">
        <v>12</v>
      </c>
      <c r="AD14">
        <v>12</v>
      </c>
      <c r="AE14">
        <v>12</v>
      </c>
      <c r="AF14">
        <v>12</v>
      </c>
      <c r="AG14">
        <v>12</v>
      </c>
      <c r="AH14">
        <v>12</v>
      </c>
      <c r="AI14">
        <v>12</v>
      </c>
      <c r="AJ14">
        <v>12</v>
      </c>
      <c r="AK14">
        <v>12</v>
      </c>
      <c r="AL14">
        <v>12</v>
      </c>
      <c r="AM14">
        <v>12</v>
      </c>
      <c r="AN14">
        <v>12</v>
      </c>
      <c r="AO14">
        <v>11</v>
      </c>
      <c r="AP14">
        <v>19</v>
      </c>
      <c r="AQ14">
        <v>33</v>
      </c>
      <c r="AR14">
        <v>4</v>
      </c>
      <c r="AS14">
        <v>19</v>
      </c>
      <c r="AT14">
        <v>11</v>
      </c>
      <c r="AU14">
        <v>22</v>
      </c>
      <c r="AV14">
        <v>8</v>
      </c>
      <c r="AW14">
        <v>24</v>
      </c>
      <c r="AX14">
        <v>11</v>
      </c>
      <c r="AY14">
        <v>18</v>
      </c>
      <c r="AZ14">
        <v>9</v>
      </c>
      <c r="BA14">
        <v>27</v>
      </c>
      <c r="BB14">
        <v>14</v>
      </c>
      <c r="BC14">
        <v>16</v>
      </c>
      <c r="BD14">
        <v>9</v>
      </c>
      <c r="BE14">
        <v>20</v>
      </c>
      <c r="BF14">
        <v>9</v>
      </c>
      <c r="BG14">
        <v>25</v>
      </c>
      <c r="BH14">
        <v>9</v>
      </c>
      <c r="BI14">
        <v>14</v>
      </c>
      <c r="BJ14">
        <v>116002432</v>
      </c>
      <c r="BK14">
        <v>361385088</v>
      </c>
      <c r="BL14">
        <v>3095702</v>
      </c>
      <c r="BM14">
        <v>105229216</v>
      </c>
      <c r="BN14">
        <v>82103304</v>
      </c>
      <c r="BO14">
        <v>248187056</v>
      </c>
      <c r="BP14">
        <v>68689880</v>
      </c>
      <c r="BQ14">
        <v>336479232</v>
      </c>
      <c r="BR14">
        <v>53769756</v>
      </c>
      <c r="BS14">
        <v>152637968</v>
      </c>
      <c r="BT14">
        <v>27586936</v>
      </c>
      <c r="BU14">
        <v>338496704</v>
      </c>
      <c r="BV14">
        <v>129504568</v>
      </c>
      <c r="BW14">
        <v>143420592</v>
      </c>
      <c r="BX14">
        <v>75999264</v>
      </c>
      <c r="BY14">
        <v>273392288</v>
      </c>
      <c r="BZ14">
        <v>47495824</v>
      </c>
      <c r="CA14">
        <v>293115584</v>
      </c>
      <c r="CB14">
        <v>46040432</v>
      </c>
      <c r="CC14">
        <v>105062984</v>
      </c>
      <c r="CD14" s="22" t="s">
        <v>341</v>
      </c>
      <c r="CE14" s="21">
        <v>102319064</v>
      </c>
      <c r="CF14" s="21">
        <v>117251368</v>
      </c>
      <c r="CG14" s="19">
        <v>113607560</v>
      </c>
      <c r="CH14" s="19">
        <v>159778336</v>
      </c>
      <c r="CI14" s="21">
        <v>75999992</v>
      </c>
      <c r="CJ14" s="21">
        <v>92483848</v>
      </c>
      <c r="CK14" s="19">
        <v>55613428</v>
      </c>
      <c r="CL14" s="19">
        <v>59964100</v>
      </c>
      <c r="CM14" s="21">
        <v>63612048</v>
      </c>
      <c r="CN14" s="21">
        <v>61380796</v>
      </c>
      <c r="CO14" s="19">
        <v>254565408</v>
      </c>
      <c r="CP14" s="19">
        <v>288342816</v>
      </c>
      <c r="CQ14" s="21">
        <v>141698128</v>
      </c>
      <c r="CR14" s="21">
        <v>127852248</v>
      </c>
      <c r="CS14" s="19">
        <v>177405104</v>
      </c>
      <c r="CT14" s="19">
        <v>226332720</v>
      </c>
      <c r="CU14" s="21">
        <v>329435072</v>
      </c>
      <c r="CV14" s="21">
        <v>306698880</v>
      </c>
      <c r="CW14" s="19">
        <v>149581920</v>
      </c>
      <c r="CX14" s="19">
        <v>126882832</v>
      </c>
      <c r="CY14" s="22" t="s">
        <v>341</v>
      </c>
      <c r="CZ14" s="24">
        <f t="shared" si="3"/>
        <v>109785216</v>
      </c>
      <c r="DA14" s="24">
        <f t="shared" si="4"/>
        <v>136692948</v>
      </c>
      <c r="DB14" s="24">
        <f t="shared" si="5"/>
        <v>84241920</v>
      </c>
      <c r="DC14" s="24">
        <f t="shared" si="6"/>
        <v>57788764</v>
      </c>
      <c r="DD14" s="24">
        <f t="shared" si="7"/>
        <v>62496422</v>
      </c>
      <c r="DE14" s="24">
        <f t="shared" si="8"/>
        <v>271454112</v>
      </c>
      <c r="DF14" s="24">
        <f t="shared" si="9"/>
        <v>134775188</v>
      </c>
      <c r="DG14" s="24">
        <f t="shared" si="10"/>
        <v>201868912</v>
      </c>
      <c r="DH14" s="24">
        <f t="shared" si="11"/>
        <v>318066976</v>
      </c>
      <c r="DI14" s="24">
        <f t="shared" si="12"/>
        <v>138232376</v>
      </c>
      <c r="DJ14" s="27" t="s">
        <v>1349</v>
      </c>
      <c r="DK14" s="28">
        <f>(CZ14-$DD14)/$DD14</f>
        <v>0.75666402150190293</v>
      </c>
      <c r="DL14" s="28">
        <f t="shared" si="13"/>
        <v>1.187212381534418</v>
      </c>
      <c r="DM14" s="28">
        <f t="shared" si="13"/>
        <v>0.34794788732065335</v>
      </c>
      <c r="DN14" s="24">
        <f>(DC14-$DD14)/$DD14</f>
        <v>-7.5326840310954116E-2</v>
      </c>
      <c r="DO14" s="28">
        <f t="shared" si="13"/>
        <v>0</v>
      </c>
      <c r="DP14" s="28">
        <f>(DE14-$DI14)/$DI14</f>
        <v>0.96375205183480317</v>
      </c>
      <c r="DQ14" s="24">
        <f>(DF14-$DI14)/$DI14</f>
        <v>-2.5009973061593038E-2</v>
      </c>
      <c r="DR14" s="28">
        <f t="shared" si="0"/>
        <v>0.46035912744493374</v>
      </c>
      <c r="DS14" s="28">
        <f t="shared" si="0"/>
        <v>1.3009586118956675</v>
      </c>
      <c r="DT14" s="24"/>
      <c r="DU14" s="27" t="s">
        <v>1349</v>
      </c>
      <c r="DV14" s="28">
        <f>SQRT(((1/$DD14)*_xlfn.STDEV.S(CE14:CF14))^2+((-(CZ14/($DD14^2)))*_xlfn.STDEV.S($CM14:$CN14))^2)</f>
        <v>0.17467279404476793</v>
      </c>
      <c r="DW14" s="28">
        <f t="shared" si="1"/>
        <v>6.8909820244626399E-2</v>
      </c>
      <c r="DX14" s="28">
        <f t="shared" si="1"/>
        <v>0.52349978144439557</v>
      </c>
      <c r="DY14" s="28">
        <f t="shared" si="1"/>
        <v>0.94818542068540856</v>
      </c>
      <c r="DZ14" s="28">
        <f>SQRT(((1/$DI14)*_xlfn.STDEV.S(CO14:CP14))^2+((-(DE14/($DI14^2)))*_xlfn.STDEV.S($CW14:$CX14))^2)</f>
        <v>0.28608831613178615</v>
      </c>
      <c r="EA14" s="28">
        <f t="shared" si="2"/>
        <v>0.75863330999565581</v>
      </c>
      <c r="EB14" s="28">
        <f t="shared" si="2"/>
        <v>0.18376512667652742</v>
      </c>
      <c r="EC14" s="28">
        <f t="shared" si="2"/>
        <v>0.3682846012674148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Search settings and infos</vt:lpstr>
      <vt:lpstr>Import and filters</vt:lpstr>
      <vt:lpstr>Quant config</vt:lpstr>
      <vt:lpstr>Protein sets</vt:lpstr>
      <vt:lpstr>Protein sets (2)</vt:lpstr>
      <vt:lpstr>histogrammes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Yannick Bernard-Lapeyre</cp:lastModifiedBy>
  <dcterms:created xsi:type="dcterms:W3CDTF">2025-08-11T10:00:27Z</dcterms:created>
  <dcterms:modified xsi:type="dcterms:W3CDTF">2025-08-26T17:24:14Z</dcterms:modified>
</cp:coreProperties>
</file>