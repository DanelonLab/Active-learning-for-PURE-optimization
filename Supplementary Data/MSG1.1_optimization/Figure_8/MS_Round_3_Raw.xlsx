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U:\Thèse\Redaction\Article 1\Data\MSG1.1\Figure 8\"/>
    </mc:Choice>
  </mc:AlternateContent>
  <xr:revisionPtr revIDLastSave="0" documentId="13_ncr:1_{3727CF91-DDDF-4E67-8C3F-C16DE3F4460B}" xr6:coauthVersionLast="47" xr6:coauthVersionMax="47" xr10:uidLastSave="{00000000-0000-0000-0000-000000000000}"/>
  <bookViews>
    <workbookView xWindow="330" yWindow="1095" windowWidth="14400" windowHeight="13425" firstSheet="5" activeTab="6" xr2:uid="{00000000-000D-0000-FFFF-FFFF00000000}"/>
  </bookViews>
  <sheets>
    <sheet name="Search settings and infos" sheetId="1" r:id="rId1"/>
    <sheet name="Import and filters" sheetId="2" r:id="rId2"/>
    <sheet name="Quant config" sheetId="3" r:id="rId3"/>
    <sheet name="Protein sets" sheetId="4" r:id="rId4"/>
    <sheet name="Phage proteins " sheetId="5" r:id="rId5"/>
    <sheet name="E coli proteins" sheetId="6" r:id="rId6"/>
    <sheet name="Histogram" sheetId="7" r:id="rId7"/>
    <sheet name="Error Propagation" sheetId="8" r:id="rId8"/>
  </sheets>
  <definedNames>
    <definedName name="_xlnm._FilterDatabase" localSheetId="5" hidden="1">'E coli proteins'!$A$1:$BD$231</definedName>
    <definedName name="_xlnm._FilterDatabase" localSheetId="4" hidden="1">'Phage proteins '!$A$1:$BD$231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8" l="1"/>
  <c r="D5" i="8"/>
  <c r="C6" i="8"/>
  <c r="D6" i="8"/>
  <c r="C7" i="8"/>
  <c r="D7" i="8"/>
  <c r="C8" i="8"/>
  <c r="D8" i="8"/>
  <c r="C9" i="8"/>
  <c r="D9" i="8"/>
  <c r="C10" i="8"/>
  <c r="D10" i="8"/>
  <c r="C11" i="8"/>
  <c r="D11" i="8"/>
  <c r="C12" i="8"/>
  <c r="D12" i="8"/>
  <c r="C13" i="8"/>
  <c r="D13" i="8"/>
  <c r="C14" i="8"/>
  <c r="D14" i="8"/>
  <c r="C15" i="8"/>
  <c r="D15" i="8"/>
  <c r="C16" i="8"/>
  <c r="D16" i="8"/>
  <c r="C4" i="8"/>
  <c r="D4" i="8"/>
  <c r="O14" i="7"/>
  <c r="O3" i="7"/>
  <c r="O4" i="7"/>
  <c r="O5" i="7"/>
  <c r="O6" i="7"/>
  <c r="O7" i="7"/>
  <c r="O8" i="7"/>
  <c r="O9" i="7"/>
  <c r="O10" i="7"/>
  <c r="O11" i="7"/>
  <c r="O12" i="7"/>
  <c r="O13" i="7"/>
  <c r="O2" i="7"/>
  <c r="N14" i="7"/>
  <c r="N4" i="7"/>
  <c r="N5" i="7"/>
  <c r="N6" i="7"/>
  <c r="N7" i="7"/>
  <c r="N8" i="7"/>
  <c r="N9" i="7"/>
  <c r="N10" i="7"/>
  <c r="N11" i="7"/>
  <c r="N12" i="7"/>
  <c r="N13" i="7"/>
  <c r="N3" i="7"/>
  <c r="N2" i="7"/>
  <c r="M13" i="7"/>
  <c r="M3" i="7"/>
  <c r="M4" i="7"/>
  <c r="M5" i="7"/>
  <c r="M6" i="7"/>
  <c r="M7" i="7"/>
  <c r="M8" i="7"/>
  <c r="M9" i="7"/>
  <c r="M10" i="7"/>
  <c r="M11" i="7"/>
  <c r="M12" i="7"/>
  <c r="M14" i="7"/>
  <c r="M2" i="7"/>
  <c r="J13" i="7"/>
  <c r="J3" i="7"/>
  <c r="J4" i="7"/>
  <c r="J5" i="7"/>
  <c r="J6" i="7"/>
  <c r="J7" i="7"/>
  <c r="J8" i="7"/>
  <c r="J9" i="7"/>
  <c r="J10" i="7"/>
  <c r="J11" i="7"/>
  <c r="J12" i="7"/>
  <c r="J14" i="7"/>
  <c r="J2" i="7"/>
  <c r="G11" i="7"/>
  <c r="G3" i="7"/>
  <c r="G4" i="7"/>
  <c r="G5" i="7"/>
  <c r="G6" i="7"/>
  <c r="G7" i="7"/>
  <c r="G8" i="7"/>
  <c r="G9" i="7"/>
  <c r="G10" i="7"/>
  <c r="G12" i="7"/>
  <c r="G13" i="7"/>
  <c r="G14" i="7"/>
  <c r="G2" i="7"/>
  <c r="D4" i="7"/>
  <c r="D3" i="7"/>
  <c r="D5" i="7"/>
  <c r="D6" i="7"/>
  <c r="D7" i="7"/>
  <c r="D8" i="7"/>
  <c r="D9" i="7"/>
  <c r="D10" i="7"/>
  <c r="D11" i="7"/>
  <c r="D12" i="7"/>
  <c r="D13" i="7"/>
  <c r="D14" i="7"/>
  <c r="D2" i="7"/>
</calcChain>
</file>

<file path=xl/sharedStrings.xml><?xml version="1.0" encoding="utf-8"?>
<sst xmlns="http://schemas.openxmlformats.org/spreadsheetml/2006/main" count="4247" uniqueCount="1212">
  <si>
    <t>protein_set_id</t>
  </si>
  <si>
    <t>accession</t>
  </si>
  <si>
    <t>gene_name</t>
  </si>
  <si>
    <t>samesets_accessions</t>
  </si>
  <si>
    <t>subsets_accessions</t>
  </si>
  <si>
    <t>description</t>
  </si>
  <si>
    <t>protein_set_score</t>
  </si>
  <si>
    <t>is_validated</t>
  </si>
  <si>
    <t>selection_level</t>
  </si>
  <si>
    <t>#sameset_protein_matches</t>
  </si>
  <si>
    <t>#subset_protein_matches</t>
  </si>
  <si>
    <t>coverage</t>
  </si>
  <si>
    <t>MW</t>
  </si>
  <si>
    <t>#observable_peptides</t>
  </si>
  <si>
    <t>#sequences</t>
  </si>
  <si>
    <t>#specific_sequences</t>
  </si>
  <si>
    <t>#peptides</t>
  </si>
  <si>
    <t>#specific_peptides</t>
  </si>
  <si>
    <t>spectral_count</t>
  </si>
  <si>
    <t>specific_spectral_count</t>
  </si>
  <si>
    <t>quantified_peptides_count</t>
  </si>
  <si>
    <t>peptides_count_1_RepA_well_B1</t>
  </si>
  <si>
    <t>peptides_count_2_RepB_well_B9</t>
  </si>
  <si>
    <t>peptides_count_3_RepA_well_I3</t>
  </si>
  <si>
    <t>peptides_count_4_RepB_well_I11</t>
  </si>
  <si>
    <t>peptides_count_5_RepA_well_O2</t>
  </si>
  <si>
    <t>peptides_count_6_RepB_well_O10</t>
  </si>
  <si>
    <t>peptides_count_7_RepA_well_A5</t>
  </si>
  <si>
    <t>peptides_count_8_RepB_well_A13</t>
  </si>
  <si>
    <t>psm_count_1_RepA_well_B1</t>
  </si>
  <si>
    <t>psm_count_2_RepB_well_B9</t>
  </si>
  <si>
    <t>psm_count_3_RepA_well_I3</t>
  </si>
  <si>
    <t>psm_count_4_RepB_well_I11</t>
  </si>
  <si>
    <t>psm_count_5_RepA_well_O2</t>
  </si>
  <si>
    <t>psm_count_6_RepB_well_O10</t>
  </si>
  <si>
    <t>psm_count_7_RepA_well_A5</t>
  </si>
  <si>
    <t>psm_count_8_RepB_well_A13</t>
  </si>
  <si>
    <t>raw_abundance_1_RepA_well_B1</t>
  </si>
  <si>
    <t>raw_abundance_2_RepB_well_B9</t>
  </si>
  <si>
    <t>raw_abundance_3_RepA_well_I3</t>
  </si>
  <si>
    <t>raw_abundance_4_RepB_well_I11</t>
  </si>
  <si>
    <t>raw_abundance_5_RepA_well_O2</t>
  </si>
  <si>
    <t>raw_abundance_6_RepB_well_O10</t>
  </si>
  <si>
    <t>raw_abundance_7_RepA_well_A5</t>
  </si>
  <si>
    <t>raw_abundance_8_RepB_well_A13</t>
  </si>
  <si>
    <t>abundance_1_RepA_well_B1</t>
  </si>
  <si>
    <t>abundance_2_RepB_well_B9</t>
  </si>
  <si>
    <t>abundance_3_RepA_well_I3</t>
  </si>
  <si>
    <t>abundance_4_RepB_well_I11</t>
  </si>
  <si>
    <t>abundance_5_RepA_well_O2</t>
  </si>
  <si>
    <t>abundance_6_RepB_well_O10</t>
  </si>
  <si>
    <t>abundance_7_RepA_well_A5</t>
  </si>
  <si>
    <t>abundance_8_RepB_well_A13</t>
  </si>
  <si>
    <t>EFG_ECO24</t>
  </si>
  <si>
    <t>fusA</t>
  </si>
  <si>
    <t>EFG_ECO24; EFG_ECO27; EFG_ECO45; EFG_ECO55; EFG_ECO57; EFG_ECO5E; EFG_ECO7I; EFG_ECO81; EFG_ECO8A; EFG_ECOBW; EFG_ECODH; EFG_ECOHS; EFG_ECOK1; EFG_ECOL5; EFG_ECOL6; EFG_ECOLC; EFG_ECOLI; EFG_ECOSE; EFG_ECOSM; EFG_ECOUT</t>
  </si>
  <si>
    <t>EFG_ECOLU</t>
  </si>
  <si>
    <t>sp|A7ZSL5|EFG_ECO24 Elongation factor G OS=Escherichia coli O139:H28 (strain E24377A / ETEC) OX=331111 GN=fusA PE=3 SV=1</t>
  </si>
  <si>
    <t>true</t>
  </si>
  <si>
    <t>RS1_ECO57</t>
  </si>
  <si>
    <t>rpsA</t>
  </si>
  <si>
    <t>RS1_ECO57; RS1_ECOL6; RS1_ECOLI</t>
  </si>
  <si>
    <t>sp|P0AG69|RS1_ECO57 30S ribosomal protein S1 OS=Escherichia coli O157:H7 OX=83334 GN=rpsA PE=3 SV=1</t>
  </si>
  <si>
    <t>PLSB_ECOK1</t>
  </si>
  <si>
    <t>plsB</t>
  </si>
  <si>
    <t>PLSB_ECOK1; PLSB_ECOSE; PLSB_ECOUT</t>
  </si>
  <si>
    <t>PLSB_ECO24; PLSB_ECO27; PLSB_ECO45; PLSB_ECO55; PLSB_ECO57; PLSB_ECO5E; PLSB_ECO7I; PLSB_ECO81; PLSB_ECO8A; PLSB_ECOBW; PLSB_ECODH; PLSB_ECOHS; PLSB_ECOL6; PLSB_ECOLC; PLSB_ECOLI; PLSB_ECOLU; PLSB_ECOSM</t>
  </si>
  <si>
    <t>sp|A1AIL8|PLSB_ECOK1 Glycerol-3-phosphate acyltransferase OS=Escherichia coli O1:K1 / APEC OX=405955 GN=plsB PE=3 SV=1</t>
  </si>
  <si>
    <t>DPOL_BPPH2</t>
  </si>
  <si>
    <t>2</t>
  </si>
  <si>
    <t>sp|P03680|DPOL_BPPH2 DNA polymerase OS=Bacillus phage phi29 OX=2884424 GN=2 PE=1 SV=1</t>
  </si>
  <si>
    <t>EFTU1_ECO24</t>
  </si>
  <si>
    <t>tuf1</t>
  </si>
  <si>
    <t>EFTU1_ECO24; EFTU1_ECOHS; EFTU1_ECOK1; EFTU1_ECOL5; EFTU1_ECOLC; EFTU1_ECOLI; EFTU1_ECOUT</t>
  </si>
  <si>
    <t>EFTU2_ECO24; EFTU2_ECOHS; EFTU2_ECOK1; EFTU2_ECOL5; EFTU2_ECOLC; EFTU2_ECOLI; EFTU2_ECOUT; EFTU_ECO57; EFTU_ECOL6</t>
  </si>
  <si>
    <t>sp|A7ZSL4|EFTU1_ECO24 Elongation factor Tu 1 OS=Escherichia coli O139:H28 (strain E24377A / ETEC) OX=331111 GN=tuf1 PE=3 SV=1</t>
  </si>
  <si>
    <t>SYA_ECODH</t>
  </si>
  <si>
    <t>alaS</t>
  </si>
  <si>
    <t>SYA_ECODH; SYA_ECOLC; SYA_ECOLI</t>
  </si>
  <si>
    <t>SYA_ECO24; SYA_ECO57; SYA_ECOHS; SYA_ECOK1; SYA_ECOL5; SYA_ECOSM; SYA_ECOUT</t>
  </si>
  <si>
    <t>sp|B1XCM5|SYA_ECODH Alanine--tRNA ligase OS=Escherichia coli (strain K12 / DH10B) OX=316385 GN=alaS PE=3 SV=1</t>
  </si>
  <si>
    <t>SYGB_ECOBW</t>
  </si>
  <si>
    <t>glyS</t>
  </si>
  <si>
    <t>SYGB_ECOBW; SYGB_ECODH; SYGB_ECOHS; SYGB_ECOLC; SYGB_ECOLI</t>
  </si>
  <si>
    <t>SYGB_ECO24; SYGB_ECO27; SYGB_ECO45; SYGB_ECO55; SYGB_ECO57; SYGB_ECO5E; SYGB_ECO7I; SYGB_ECO81; SYGB_ECO8A; SYGB_ECOK1; SYGB_ECOL5; SYGB_ECOL6; SYGB_ECOLU; SYGB_ECOSE; SYGB_ECOSM; SYGB_ECOUT</t>
  </si>
  <si>
    <t>sp|C4ZXE9|SYGB_ECOBW Glycine--tRNA ligase beta subunit OS=Escherichia coli (strain K12 / MC4100 / BW2952) OX=595496 GN=glyS PE=3 SV=1</t>
  </si>
  <si>
    <t>RL1_ECO24</t>
  </si>
  <si>
    <t>rplA</t>
  </si>
  <si>
    <t>RL1_ECO24; RL1_ECO27; RL1_ECO45; RL1_ECO55; RL1_ECO57; RL1_ECO5E; RL1_ECO7I; RL1_ECO81; RL1_ECO8A; RL1_ECOBW; RL1_ECODH; RL1_ECOHS; RL1_ECOL5; RL1_ECOL6; RL1_ECOLC; RL1_ECOLI; RL1_ECOLU; RL1_ECOSE; RL1_ECOSM; RL1_ECOUT</t>
  </si>
  <si>
    <t>sp|A7ZUJ7|RL1_ECO24 50S ribosomal protein L1 OS=Escherichia coli O139:H28 (strain E24377A / ETEC) OX=331111 GN=rplA PE=3 SV=1</t>
  </si>
  <si>
    <t>IF2_ECO24</t>
  </si>
  <si>
    <t>infB</t>
  </si>
  <si>
    <t>IF2_ECO24; IF2_ECO55; IF2_ECO57; IF2_ECO5E; IF2_ECO7I; IF2_ECO8A; IF2_ECOBW; IF2_ECODH; IF2_ECOHS; IF2_ECOLC; IF2_ECOLI; IF2_ECOLU; IF2_ECOSE</t>
  </si>
  <si>
    <t>IF2_ECO27; IF2_ECO45; IF2_ECO81; IF2_ECOK1; IF2_ECOL5; IF2_ECOL6; IF2_ECOSM; IF2_ECOUT</t>
  </si>
  <si>
    <t>sp|A7ZS65|IF2_ECO24 Translation initiation factor IF-2 OS=Escherichia coli O139:H28 (strain E24377A / ETEC) OX=331111 GN=infB PE=3 SV=1</t>
  </si>
  <si>
    <t>FTSZ_ECO57</t>
  </si>
  <si>
    <t>ftsZ</t>
  </si>
  <si>
    <t>FTSZ_ECO57; FTSZ_ECOL6; FTSZ_ECOLI</t>
  </si>
  <si>
    <t>sp|P0A9A8|FTSZ_ECO57 Cell division protein FtsZ OS=Escherichia coli O157:H7 OX=83334 GN=ftsZ PE=3 SV=1</t>
  </si>
  <si>
    <t>EFTS_ECO24</t>
  </si>
  <si>
    <t>tsf</t>
  </si>
  <si>
    <t>EFTS_ECO24; EFTS_ECO27; EFTS_ECO45; EFTS_ECO55; EFTS_ECO57; EFTS_ECO5E; EFTS_ECO7I; EFTS_ECO81; EFTS_ECO8A; EFTS_ECOBW; EFTS_ECODH; EFTS_ECOHS; EFTS_ECOL5; EFTS_ECOL6; EFTS_ECOLC; EFTS_ECOLI; EFTS_ECOLU; EFTS_ECOSE; EFTS_ECOSM; EFTS_ECOUT</t>
  </si>
  <si>
    <t>sp|A7ZHR0|EFTS_ECO24 Elongation factor Ts OS=Escherichia coli O139:H28 (strain E24377A / ETEC) OX=331111 GN=tsf PE=3 SV=1</t>
  </si>
  <si>
    <t>RS5_ECO24</t>
  </si>
  <si>
    <t>rpsE</t>
  </si>
  <si>
    <t>RS5_ECO24; RS5_ECO57; RS5_ECOHS; RS5_ECOK1; RS5_ECOL5; RS5_ECOL6; RS5_ECOLC; RS5_ECOLI; RS5_ECOUT</t>
  </si>
  <si>
    <t>sp|A7ZSJ2|RS5_ECO24 30S ribosomal protein S5 OS=Escherichia coli O139:H28 (strain E24377A / ETEC) OX=331111 GN=rpsE PE=3 SV=1</t>
  </si>
  <si>
    <t>RS3_ECO24</t>
  </si>
  <si>
    <t>rpsC</t>
  </si>
  <si>
    <t>RS3_ECO24; RS3_ECO27; RS3_ECO45; RS3_ECO55; RS3_ECO57; RS3_ECO5E; RS3_ECO7I; RS3_ECO81; RS3_ECO8A; RS3_ECOBW; RS3_ECOHS; RS3_ECOK1; RS3_ECOL5; RS3_ECOL6; RS3_ECOLC; RS3_ECOLI; RS3_ECOLU; RS3_ECOSE; RS3_ECOSM; RS3_ECOUT</t>
  </si>
  <si>
    <t>sp|A7ZSK3|RS3_ECO24 30S ribosomal protein S3 OS=Escherichia coli O139:H28 (strain E24377A / ETEC) OX=331111 GN=rpsC PE=3 SV=1</t>
  </si>
  <si>
    <t>SYL_ECOBW</t>
  </si>
  <si>
    <t>leuS</t>
  </si>
  <si>
    <t>SYL_ECOBW; SYL_ECOLI</t>
  </si>
  <si>
    <t>SYL_ECO24; SYL_ECO27; SYL_ECO45; SYL_ECO55; SYL_ECO57; SYL_ECO5E; SYL_ECO7I; SYL_ECO81; SYL_ECO8A; SYL_ECOHS; SYL_ECOK1; SYL_ECOL5; SYL_ECOL6; SYL_ECOLC; SYL_ECOLU; SYL_ECOSE; SYL_ECOSM; SYL_ECOUT</t>
  </si>
  <si>
    <t>sp|C4ZWC9|SYL_ECOBW Leucine--tRNA ligase OS=Escherichia coli (strain K12 / MC4100 / BW2952) OX=595496 GN=leuS PE=3 SV=1</t>
  </si>
  <si>
    <t>PSS_ECOLI</t>
  </si>
  <si>
    <t>pssA</t>
  </si>
  <si>
    <t>sp|P23830|PSS_ECOLI CDP-diacylglycerol--serine O-phosphatidyltransferase OS=Escherichia coli (strain K12) OX=83333 GN=pssA PE=1 SV=2</t>
  </si>
  <si>
    <t>SYP_ECOBW</t>
  </si>
  <si>
    <t>proS</t>
  </si>
  <si>
    <t>SYP_ECOBW; SYP_ECODH; SYP_ECOLI</t>
  </si>
  <si>
    <t>SYP_ECO24; SYP_ECO27; SYP_ECO45; SYP_ECO55; SYP_ECO57; SYP_ECO5E; SYP_ECO7I; SYP_ECO81; SYP_ECO8A; SYP_ECOHS; SYP_ECOK1; SYP_ECOL5; SYP_ECOL6; SYP_ECOLC; SYP_ECOLU; SYP_ECOSE; SYP_ECOSM; SYP_ECOUT</t>
  </si>
  <si>
    <t>sp|C4ZRT7|SYP_ECOBW Proline--tRNA ligase OS=Escherichia coli (strain K12 / MC4100 / BW2952) OX=595496 GN=proS PE=3 SV=1</t>
  </si>
  <si>
    <t>SYV_ECO57</t>
  </si>
  <si>
    <t>valS</t>
  </si>
  <si>
    <t>SYV_ECO57; SYV_ECOLI</t>
  </si>
  <si>
    <t>SYV_ECOL6</t>
  </si>
  <si>
    <t>sp|Q8XCB3|SYV_ECO57 Valine--tRNA ligase OS=Escherichia coli O157:H7 OX=83334 GN=valS PE=3 SV=1</t>
  </si>
  <si>
    <t>MIND_ECO57</t>
  </si>
  <si>
    <t>minD</t>
  </si>
  <si>
    <t>MIND_ECO57; MIND_ECOL6; MIND_ECOLI</t>
  </si>
  <si>
    <t>sp|P0AEZ5|MIND_ECO57 Septum site-determining protein MinD OS=Escherichia coli O157:H7 OX=83334 GN=minD PE=3 SV=2</t>
  </si>
  <si>
    <t>RL7_ECO24</t>
  </si>
  <si>
    <t>rplL</t>
  </si>
  <si>
    <t>RL7_ECO24; RL7_ECO27; RL7_ECO45; RL7_ECO55; RL7_ECO57; RL7_ECO5E; RL7_ECO7I; RL7_ECO8A; RL7_ECOBW; RL7_ECODH; RL7_ECOHS; RL7_ECOL5; RL7_ECOL6; RL7_ECOLC; RL7_ECOLI; RL7_ECOLU; RL7_ECOSE; RL7_ECOSM; RL7_ECOUT</t>
  </si>
  <si>
    <t>RL7_ECO81</t>
  </si>
  <si>
    <t>sp|A7ZUK0|RL7_ECO24 50S ribosomal protein L7/L12 OS=Escherichia coli O139:H28 (strain E24377A / ETEC) OX=331111 GN=rplL PE=3 SV=1</t>
  </si>
  <si>
    <t>RS2_ECO27</t>
  </si>
  <si>
    <t>rpsB</t>
  </si>
  <si>
    <t>RS2_ECO27; RS2_ECO45; RS2_ECO57; RS2_ECO5E; RS2_ECO7I; RS2_ECO81; RS2_ECOBW; RS2_ECODH; RS2_ECOK1; RS2_ECOL5; RS2_ECOL6; RS2_ECOLC; RS2_ECOLI; RS2_ECOLU; RS2_ECOSM; RS2_ECOUT</t>
  </si>
  <si>
    <t>RS2_ECO24; RS2_ECO55; RS2_ECO8A; RS2_ECOHS; RS2_ECOSE</t>
  </si>
  <si>
    <t>sp|B7UIL4|RS2_ECO27 30S ribosomal protein S2 OS=Escherichia coli O127:H6 (strain E2348/69 / EPEC) OX=574521 GN=rpsB PE=3 SV=1</t>
  </si>
  <si>
    <t>ODP1_ECO57</t>
  </si>
  <si>
    <t>aceE</t>
  </si>
  <si>
    <t>ODP1_ECO57; ODP1_ECOLI</t>
  </si>
  <si>
    <t>sp|P0AFG9|ODP1_ECO57 Pyruvate dehydrogenase E1 component OS=Escherichia coli O157:H7 OX=83334 GN=aceE PE=1 SV=2</t>
  </si>
  <si>
    <t>TERM_BPPH2</t>
  </si>
  <si>
    <t>3</t>
  </si>
  <si>
    <t>sp|P03681|TERM_BPPH2 Primer terminal protein OS=Bacillus phage phi29 OX=2884424 GN=3 PE=1 SV=1</t>
  </si>
  <si>
    <t>RF3_ECO24</t>
  </si>
  <si>
    <t>prfC</t>
  </si>
  <si>
    <t>RF3_ECO24; RF3_ECO27; RF3_ECO55; RF3_ECO57; RF3_ECO5E; RF3_ECO81; RF3_ECOBW; RF3_ECODH; RF3_ECOHS; RF3_ECOK1; RF3_ECOL6; RF3_ECOLC; RF3_ECOLI; RF3_ECOLU; RF3_ECOSE; RF3_ECOSM; RF3_ECOUT</t>
  </si>
  <si>
    <t>RF3_ECO8A</t>
  </si>
  <si>
    <t>sp|A7ZVR5|RF3_ECO24 Peptide chain release factor 3 OS=Escherichia coli O139:H28 (strain E24377A / ETEC) OX=331111 GN=prfC PE=3 SV=1</t>
  </si>
  <si>
    <t>RS7_ECOBW</t>
  </si>
  <si>
    <t>rpsG</t>
  </si>
  <si>
    <t>RS7_ECOBW; RS7_ECODH; RS7_ECOLI</t>
  </si>
  <si>
    <t>RS7_ECO24; RS7_ECO27; RS7_ECO45; RS7_ECO55; RS7_ECO57; RS7_ECO5E; RS7_ECO7I; RS7_ECO81; RS7_ECO8A; RS7_ECOHS; RS7_ECOK1; RS7_ECOL5; RS7_ECOL6; RS7_ECOLC; RS7_ECOLU; RS7_ECOSE; RS7_ECOSM; RS7_ECOUT</t>
  </si>
  <si>
    <t>sp|C4ZUJ6|RS7_ECOBW 30S ribosomal protein S7 OS=Escherichia coli (strain K12 / MC4100 / BW2952) OX=595496 GN=rpsG PE=3 SV=1</t>
  </si>
  <si>
    <t>RL2_ECO24</t>
  </si>
  <si>
    <t>rplB</t>
  </si>
  <si>
    <t>RL2_ECO24; RL2_ECO27; RL2_ECO45; RL2_ECO55; RL2_ECO57; RL2_ECO5E; RL2_ECO7I; RL2_ECO81; RL2_ECO8A; RL2_ECOBW; RL2_ECODH; RL2_ECOHS; RL2_ECOK1; RL2_ECOL5; RL2_ECOL6; RL2_ECOLC; RL2_ECOLI; RL2_ECOLU; RL2_ECOSE; RL2_ECOSM; RL2_ECOUT</t>
  </si>
  <si>
    <t>sp|A7ZSK6|RL2_ECO24 50S ribosomal protein L2 OS=Escherichia coli O139:H28 (strain E24377A / ETEC) OX=331111 GN=rplB PE=3 SV=1</t>
  </si>
  <si>
    <t>RL5_ECO24</t>
  </si>
  <si>
    <t>rplE</t>
  </si>
  <si>
    <t>RL5_ECO24; RL5_ECO27; RL5_ECO45; RL5_ECO55; RL5_ECO57; RL5_ECO5E; RL5_ECO7I; RL5_ECO81; RL5_ECO8A; RL5_ECOBW; RL5_ECODH; RL5_ECOHS; RL5_ECOK1; RL5_ECOL5; RL5_ECOL6; RL5_ECOLC; RL5_ECOLI; RL5_ECOLU; RL5_ECOSE; RL5_ECOSM; RL5_ECOUT</t>
  </si>
  <si>
    <t>sp|A7ZSJ7|RL5_ECO24 50S ribosomal protein L5 OS=Escherichia coli O139:H28 (strain E24377A / ETEC) OX=331111 GN=rplE PE=3 SV=1</t>
  </si>
  <si>
    <t>RS4_ECO24</t>
  </si>
  <si>
    <t>rpsD</t>
  </si>
  <si>
    <t>RS4_ECO24; RS4_ECO27; RS4_ECO45; RS4_ECO55; RS4_ECO57; RS4_ECO5E; RS4_ECO7I; RS4_ECO81; RS4_ECO8A; RS4_ECOBW; RS4_ECODH; RS4_ECOHS; RS4_ECOK1; RS4_ECOL5; RS4_ECOL6; RS4_ECOLC; RS4_ECOLI; RS4_ECOLU; RS4_ECOSE; RS4_ECOSM; RS4_ECOUT</t>
  </si>
  <si>
    <t>sp|A7ZSI5|RS4_ECO24 30S ribosomal protein S4 OS=Escherichia coli O139:H28 (strain E24377A / ETEC) OX=331111 GN=rpsD PE=3 SV=1</t>
  </si>
  <si>
    <t>SYM_ECO24</t>
  </si>
  <si>
    <t>metG</t>
  </si>
  <si>
    <t>SYM_ECO24; SYM_ECO55; SYM_ECO7I; SYM_ECO81; SYM_ECO8A; SYM_ECOBW; SYM_ECODH; SYM_ECOL5; SYM_ECOLI; SYM_ECOSE; SYM_ECOSM</t>
  </si>
  <si>
    <t>SYM_ECO27; SYM_ECO45; SYM_ECO57; SYM_ECO5E; SYM_ECOHS; SYM_ECOK1; SYM_ECOL6; SYM_ECOLC; SYM_ECOLU; SYM_ECOUT</t>
  </si>
  <si>
    <t>sp|A7ZNT3|SYM_ECO24 Methionine--tRNA ligase OS=Escherichia coli O139:H28 (strain E24377A / ETEC) OX=331111 GN=metG PE=3 SV=1</t>
  </si>
  <si>
    <t>SYC_ECOBW</t>
  </si>
  <si>
    <t>cysS</t>
  </si>
  <si>
    <t>SYC_ECOBW; SYC_ECODH; SYC_ECOLI</t>
  </si>
  <si>
    <t>SYC_ECO24; SYC_ECO27; SYC_ECO45; SYC_ECO55; SYC_ECO57; SYC_ECO5E; SYC_ECO7I; SYC_ECO81; SYC_ECO8A; SYC_ECOHS; SYC_ECOK1; SYC_ECOL5; SYC_ECOL6; SYC_ECOLC; SYC_ECOLU; SYC_ECOSE; SYC_ECOSM; SYC_ECOUT</t>
  </si>
  <si>
    <t>sp|C4ZUX4|SYC_ECOBW Cysteine--tRNA ligase OS=Escherichia coli (strain K12 / MC4100 / BW2952) OX=595496 GN=cysS PE=3 SV=1</t>
  </si>
  <si>
    <t>RRF_ECO24</t>
  </si>
  <si>
    <t>frr</t>
  </si>
  <si>
    <t>RRF_ECO24; RRF_ECO27; RRF_ECO45; RRF_ECO55; RRF_ECO57; RRF_ECO5E; RRF_ECO7I; RRF_ECO81; RRF_ECO8A; RRF_ECOBW; RRF_ECODH; RRF_ECOHS; RRF_ECOL5; RRF_ECOL6; RRF_ECOLC; RRF_ECOLI; RRF_ECOLU; RRF_ECOSE; RRF_ECOSM; RRF_ECOUT</t>
  </si>
  <si>
    <t>sp|A7ZHR2|RRF_ECO24 Ribosome-recycling factor OS=Escherichia coli O139:H28 (strain E24377A / ETEC) OX=331111 GN=frr PE=3 SV=1</t>
  </si>
  <si>
    <t>RL3_ECO24</t>
  </si>
  <si>
    <t>rplC</t>
  </si>
  <si>
    <t>RL3_ECO24; RL3_ECO27; RL3_ECO45; RL3_ECO55; RL3_ECO57; RL3_ECO5E; RL3_ECO7I; RL3_ECO81; RL3_ECO8A; RL3_ECOBW; RL3_ECODH; RL3_ECOHS; RL3_ECOK1; RL3_ECOL5; RL3_ECOL6; RL3_ECOLC; RL3_ECOLI; RL3_ECOLU; RL3_ECOSE; RL3_ECOSM; RL3_ECOUT</t>
  </si>
  <si>
    <t>sp|A7ZSK9|RL3_ECO24 50S ribosomal protein L3 OS=Escherichia coli O139:H28 (strain E24377A / ETEC) OX=331111 GN=rplC PE=3 SV=1</t>
  </si>
  <si>
    <t>SYH_ECO24</t>
  </si>
  <si>
    <t>hisS</t>
  </si>
  <si>
    <t>SYH_ECO24; SYH_ECO45; SYH_ECO55; SYH_ECO57; SYH_ECO5E; SYH_ECO7I; SYH_ECO81; SYH_ECO8A; SYH_ECOBW; SYH_ECODH; SYH_ECOHS; SYH_ECOK1; SYH_ECOL5; SYH_ECOL6; SYH_ECOLC; SYH_ECOLI; SYH_ECOSM; SYH_ECOUT</t>
  </si>
  <si>
    <t>SYH_ECO27; SYH_ECOLU; SYH_ECOSE</t>
  </si>
  <si>
    <t>sp|A7ZPV7|SYH_ECO24 Histidine--tRNA ligase OS=Escherichia coli O139:H28 (strain E24377A / ETEC) OX=331111 GN=hisS PE=3 SV=1</t>
  </si>
  <si>
    <t>RL4_ECO24</t>
  </si>
  <si>
    <t>rplD</t>
  </si>
  <si>
    <t>RL4_ECO24; RL4_ECO27; RL4_ECO45; RL4_ECO55; RL4_ECO57; RL4_ECO5E; RL4_ECO7I; RL4_ECO81; RL4_ECO8A; RL4_ECOBW; RL4_ECODH; RL4_ECOHS; RL4_ECOK1; RL4_ECOL5; RL4_ECOL6; RL4_ECOLC; RL4_ECOLI; RL4_ECOLU; RL4_ECOSE; RL4_ECOSM; RL4_ECOUT</t>
  </si>
  <si>
    <t>sp|A7ZSK8|RL4_ECO24 50S ribosomal protein L4 OS=Escherichia coli O139:H28 (strain E24377A / ETEC) OX=331111 GN=rplD PE=3 SV=1</t>
  </si>
  <si>
    <t>PSD_ECO24</t>
  </si>
  <si>
    <t>psd</t>
  </si>
  <si>
    <t>PSD_ECO24; PSD_ECO57; PSD_ECO5E; PSD_ECO81; PSD_ECO8A; PSD_ECOBW; PSD_ECODH; PSD_ECOL5; PSD_ECOL6; PSD_ECOLC; PSD_ECOLI; PSD_ECOLU; PSD_ECOSE; PSD_ECOSM</t>
  </si>
  <si>
    <t>PSD_ECO27; PSD_ECO45; PSD_ECO55; PSD_ECO7I; PSD_ECOHS; PSD_ECOUT</t>
  </si>
  <si>
    <t>sp|A7ZV31|PSD_ECO24 Phosphatidylserine decarboxylase proenzyme OS=Escherichia coli O139:H28 (strain E24377A / ETEC) OX=331111 GN=psd PE=3 SV=1</t>
  </si>
  <si>
    <t>SYFB_ECOL6</t>
  </si>
  <si>
    <t>pheT</t>
  </si>
  <si>
    <t>SYFB_ECOL6; SYFB_ECOLI</t>
  </si>
  <si>
    <t>SYFB_ECO57</t>
  </si>
  <si>
    <t>sp|P59664|SYFB_ECOL6 Phenylalanine--tRNA ligase beta subunit OS=Escherichia coli O6:H1 (strain CFT073 / ATCC 700928 / UPEC) OX=199310 GN=pheT PE=3 SV=1</t>
  </si>
  <si>
    <t>RF1_ECO24</t>
  </si>
  <si>
    <t>prfA</t>
  </si>
  <si>
    <t>RF1_ECO24; RF1_ECO45; RF1_ECO55; RF1_ECO57; RF1_ECO5E; RF1_ECO7I; RF1_ECO8A; RF1_ECOBW; RF1_ECODH; RF1_ECOHS; RF1_ECOK1; RF1_ECOL5; RF1_ECOL6; RF1_ECOLC; RF1_ECOLI; RF1_ECOLU; RF1_ECOSE; RF1_ECOSM; RF1_ECOUT</t>
  </si>
  <si>
    <t>RF1_ECO27; RF1_ECO81</t>
  </si>
  <si>
    <t>sp|A7ZKY5|RF1_ECO24 Peptide chain release factor 1 OS=Escherichia coli O139:H28 (strain E24377A / ETEC) OX=331111 GN=prfA PE=3 SV=1</t>
  </si>
  <si>
    <t>RF2_ECO27</t>
  </si>
  <si>
    <t>prfB</t>
  </si>
  <si>
    <t>RF2_ECO27; RF2_ECO45; RF2_ECO55; RF2_ECO57; RF2_ECO7I; RF2_ECO81; RF2_ECOBW; RF2_ECODH; RF2_ECOL6; RF2_ECOLC; RF2_ECOLI; RF2_ECOLU; RF2_ECOSM</t>
  </si>
  <si>
    <t>RF2_ECO8A; RF2_ECOHS</t>
  </si>
  <si>
    <t>sp|B7UHU0|RF2_ECO27 Peptide chain release factor 2 OS=Escherichia coli O127:H6 (strain E2348/69 / EPEC) OX=574521 GN=prfB PE=3 SV=1</t>
  </si>
  <si>
    <t>SYY_ECO24</t>
  </si>
  <si>
    <t>tyrS</t>
  </si>
  <si>
    <t>SYY_ECO24; SYY_ECO57; SYY_ECO5E; SYY_ECO7I; SYY_ECOBW; SYY_ECODH; SYY_ECOHS; SYY_ECOLC; SYY_ECOLI; SYY_ECOLU; SYY_ECOSE; SYY_ECOSM</t>
  </si>
  <si>
    <t>SYY_ECO27; SYY_ECO45; SYY_ECO55; SYY_ECO81; SYY_ECO8A; SYY_ECOK1; SYY_ECOL6; SYY_ECOUT</t>
  </si>
  <si>
    <t>sp|A7ZM99|SYY_ECO24 Tyrosine--tRNA ligase OS=Escherichia coli O139:H28 (strain E24377A / ETEC) OX=331111 GN=tyrS PE=3 SV=1</t>
  </si>
  <si>
    <t>SYI_ECO24</t>
  </si>
  <si>
    <t>ileS</t>
  </si>
  <si>
    <t>SYI_ECO24; SYI_ECO55; SYI_ECO7I; SYI_ECO8A; SYI_ECOBW; SYI_ECODH; SYI_ECOHS; SYI_ECOLC; SYI_ECOLI; SYI_ECOLU; SYI_ECOSE; SYI_ECOSM</t>
  </si>
  <si>
    <t>SYI_ECO27; SYI_ECO45; SYI_ECO57; SYI_ECO5E; SYI_ECO81; SYI_ECOK1; SYI_ECOL5; SYI_ECOL6; SYI_ECOUT</t>
  </si>
  <si>
    <t>sp|A7ZHB5|SYI_ECO24 Isoleucine--tRNA ligase OS=Escherichia coli O139:H28 (strain E24377A / ETEC) OX=331111 GN=ileS PE=3 SV=1</t>
  </si>
  <si>
    <t>SYS_ECO24</t>
  </si>
  <si>
    <t>serS</t>
  </si>
  <si>
    <t>SYS_ECO24; SYS_ECO27; SYS_ECO45; SYS_ECO55; SYS_ECO57; SYS_ECO5E; SYS_ECO7I; SYS_ECO81; SYS_ECO8A; SYS_ECOBW; SYS_ECODH; SYS_ECOHS; SYS_ECOK1; SYS_ECOL5; SYS_ECOL6; SYS_ECOLC; SYS_ECOLI; SYS_ECOLU; SYS_ECOSE; SYS_ECOSM; SYS_ECOUT</t>
  </si>
  <si>
    <t>sp|A7ZJW2|SYS_ECO24 Serine--tRNA ligase OS=Escherichia coli O139:H28 (strain E24377A / ETEC) OX=331111 GN=serS PE=3 SV=1</t>
  </si>
  <si>
    <t>SYK1_ECO57</t>
  </si>
  <si>
    <t>lysS</t>
  </si>
  <si>
    <t>SYK1_ECO57; SYK1_ECOL6; SYK1_ECOLI</t>
  </si>
  <si>
    <t>sp|Q8XD57|SYK1_ECO57 Lysine--tRNA ligase OS=Escherichia coli O157:H7 OX=83334 GN=lysS PE=3 SV=3</t>
  </si>
  <si>
    <t>RL6_ECO24</t>
  </si>
  <si>
    <t>rplF</t>
  </si>
  <si>
    <t>RL6_ECO24; RL6_ECO27; RL6_ECO45; RL6_ECO55; RL6_ECO57; RL6_ECO5E; RL6_ECO7I; RL6_ECO81; RL6_ECO8A; RL6_ECOBW; RL6_ECODH; RL6_ECOHS; RL6_ECOK1; RL6_ECOL5; RL6_ECOL6; RL6_ECOLC; RL6_ECOLI; RL6_ECOLU; RL6_ECOSE; RL6_ECOSM; RL6_ECOUT</t>
  </si>
  <si>
    <t>sp|A7ZSJ4|RL6_ECO24 50S ribosomal protein L6 OS=Escherichia coli O139:H28 (strain E24377A / ETEC) OX=331111 GN=rplF PE=3 SV=1</t>
  </si>
  <si>
    <t>RL22_ECO24</t>
  </si>
  <si>
    <t>rplV</t>
  </si>
  <si>
    <t>RL22_ECO24; RL22_ECO27; RL22_ECO45; RL22_ECO55; RL22_ECO57; RL22_ECO5E; RL22_ECO7I; RL22_ECO81; RL22_ECO8A; RL22_ECOBW; RL22_ECODH; RL22_ECOHS; RL22_ECOK1; RL22_ECOL5; RL22_ECOL6; RL22_ECOLC; RL22_ECOLI; RL22_ECOLU; RL22_ECOSE; RL22_ECOSM; RL22_ECOUT</t>
  </si>
  <si>
    <t>sp|A7ZSK4|RL22_ECO24 50S ribosomal protein L22 OS=Escherichia coli O139:H28 (strain E24377A / ETEC) OX=331111 GN=rplV PE=3 SV=1</t>
  </si>
  <si>
    <t>RS6_ECO24</t>
  </si>
  <si>
    <t>rpsF</t>
  </si>
  <si>
    <t>RS6_ECO24; RS6_ECO27; RS6_ECO45; RS6_ECO55; RS6_ECO57; RS6_ECO5E; RS6_ECO7I; RS6_ECO81; RS6_ECO8A; RS6_ECOBW; RS6_ECODH; RS6_ECOHS; RS6_ECOK1; RS6_ECOL6; RS6_ECOLC; RS6_ECOSE; RS6_ECOSM; RS6_ECOUT</t>
  </si>
  <si>
    <t>RS6_ECOLI; RS6_ECOLU</t>
  </si>
  <si>
    <t>sp|A7ZV71|RS6_ECO24 30S ribosomal protein S6 OS=Escherichia coli O139:H28 (strain E24377A / ETEC) OX=331111 GN=rpsF PE=3 SV=1</t>
  </si>
  <si>
    <t>RL16_ECO24</t>
  </si>
  <si>
    <t>rplP</t>
  </si>
  <si>
    <t>RL16_ECO24; RL16_ECO27; RL16_ECO45; RL16_ECO55; RL16_ECO57; RL16_ECO5E; RL16_ECO7I; RL16_ECO81; RL16_ECO8A; RL16_ECOBW; RL16_ECODH; RL16_ECOHS; RL16_ECOK1; RL16_ECOL5; RL16_ECOL6; RL16_ECOLC; RL16_ECOLI; RL16_ECOLU; RL16_ECOSE; RL16_ECOSM; RL16_ECOUT</t>
  </si>
  <si>
    <t>sp|A7ZSK2|RL16_ECO24 50S ribosomal protein L16 OS=Escherichia coli O139:H28 (strain E24377A / ETEC) OX=331111 GN=rplP PE=3 SV=1</t>
  </si>
  <si>
    <t>IF3_ECO27</t>
  </si>
  <si>
    <t>infC</t>
  </si>
  <si>
    <t>IF3_ECO27; IF3_ECO57; IF3_ECOBW; IF3_ECOL6; IF3_ECOLC; IF3_ECOLI</t>
  </si>
  <si>
    <t>sp|B7USA1|IF3_ECO27 Translation initiation factor IF-3 OS=Escherichia coli O127:H6 (strain E2348/69 / EPEC) OX=574521 GN=infC PE=3 SV=1</t>
  </si>
  <si>
    <t>PMT_MYCTU1</t>
  </si>
  <si>
    <t>PMT_MYCTU1; PMT_MYCTU2; PMT_MYCTUmCherry-PMTub-TwinStrep; X5DSL3_ANAMA</t>
  </si>
  <si>
    <t>sp|P9WN05-HIS|PMT_MYCTU1 mCherryNter_TEV_Hisx10_PMTub</t>
  </si>
  <si>
    <t>SYGA_ECO24</t>
  </si>
  <si>
    <t>glyQ</t>
  </si>
  <si>
    <t>SYGA_ECO24; SYGA_ECO27; SYGA_ECO45; SYGA_ECO55; SYGA_ECO57; SYGA_ECO5E; SYGA_ECO7I; SYGA_ECO81; SYGA_ECO8A; SYGA_ECOBW; SYGA_ECOHS; SYGA_ECOK1; SYGA_ECOL5; SYGA_ECOL6; SYGA_ECOLC; SYGA_ECOLU; SYGA_ECOSE; SYGA_ECOSM; SYGA_ECOUT</t>
  </si>
  <si>
    <t>SYGA_ECOLI</t>
  </si>
  <si>
    <t>sp|A7ZTA6|SYGA_ECO24 Glycine--tRNA ligase alpha subunit OS=Escherichia coli O139:H28 (strain E24377A / ETEC) OX=331111 GN=glyQ PE=3 SV=1</t>
  </si>
  <si>
    <t>RL10_ECO24</t>
  </si>
  <si>
    <t>rplJ</t>
  </si>
  <si>
    <t>RL10_ECO24; RL10_ECO27; RL10_ECO45; RL10_ECO55; RL10_ECO57; RL10_ECO5E; RL10_ECO7I; RL10_ECO81; RL10_ECO8A; RL10_ECOBW; RL10_ECODH; RL10_ECOHS; RL10_ECOK1; RL10_ECOL5; RL10_ECOL6; RL10_ECOLC; RL10_ECOLI; RL10_ECOLU; RL10_ECOSE; RL10_ECOSM; RL10_ECOUT</t>
  </si>
  <si>
    <t>sp|A7ZUJ8|RL10_ECO24 50S ribosomal protein L10 OS=Escherichia coli O139:H28 (strain E24377A / ETEC) OX=331111 GN=rplJ PE=3 SV=1</t>
  </si>
  <si>
    <t>FMT_ECO27</t>
  </si>
  <si>
    <t>fmt</t>
  </si>
  <si>
    <t>FMT_ECO27; FMT_ECO55; FMT_ECO7I; FMT_ECOBW; FMT_ECODH; FMT_ECOHS; FMT_ECOLC; FMT_ECOLI; FMT_ECOLU; FMT_ECOSE</t>
  </si>
  <si>
    <t>FMT_ECO24; FMT_ECO45; FMT_ECO57; FMT_ECO5E; FMT_ECO81; FMT_ECO8A; FMT_ECOK1; FMT_ECOL5; FMT_ECOL6; FMT_ECOSM; FMT_ECOUT</t>
  </si>
  <si>
    <t>sp|B7UK11|FMT_ECO27 Methionyl-tRNA formyltransferase OS=Escherichia coli O127:H6 (strain E2348/69 / EPEC) OX=574521 GN=fmt PE=3 SV=1</t>
  </si>
  <si>
    <t>RS8_ECO24</t>
  </si>
  <si>
    <t>rpsH</t>
  </si>
  <si>
    <t>RS8_ECO24; RS8_ECO27; RS8_ECO45; RS8_ECO55; RS8_ECO57; RS8_ECO5E; RS8_ECO7I; RS8_ECO81; RS8_ECO8A; RS8_ECOBW; RS8_ECODH; RS8_ECOHS; RS8_ECOK1; RS8_ECOL5; RS8_ECOL6; RS8_ECOLC; RS8_ECOLI; RS8_ECOLU; RS8_ECOSE; RS8_ECOSM; RS8_ECOUT</t>
  </si>
  <si>
    <t>sp|A7ZSJ5|RS8_ECO24 30S ribosomal protein S8 OS=Escherichia coli O139:H28 (strain E24377A / ETEC) OX=331111 GN=rpsH PE=3 SV=1</t>
  </si>
  <si>
    <t>RL9_ECO24</t>
  </si>
  <si>
    <t>rplI</t>
  </si>
  <si>
    <t>RL9_ECO24; RL9_ECO27; RL9_ECO45; RL9_ECO55; RL9_ECO57; RL9_ECO5E; RL9_ECO7I; RL9_ECO81; RL9_ECO8A; RL9_ECOBW; RL9_ECODH; RL9_ECOHS; RL9_ECOK1; RL9_ECOL5; RL9_ECOL6; RL9_ECOLC; RL9_ECOLI; RL9_ECOLU; RL9_ECOSE; RL9_ECOSM; RL9_ECOUT</t>
  </si>
  <si>
    <t>sp|A7ZV74|RL9_ECO24 50S ribosomal protein L9 OS=Escherichia coli O139:H28 (strain E24377A / ETEC) OX=331111 GN=rplI PE=3 SV=1</t>
  </si>
  <si>
    <t>SYN_ECO24</t>
  </si>
  <si>
    <t>asnS</t>
  </si>
  <si>
    <t>SYN_ECO24; SYN_ECOHS; SYN_ECOL5; SYN_ECOL6; SYN_ECOLC; SYN_ECOLI; SYN_ECOUT</t>
  </si>
  <si>
    <t>SYN_ECO57</t>
  </si>
  <si>
    <t>sp|A7ZK21|SYN_ECO24 Asparagine--tRNA ligase OS=Escherichia coli O139:H28 (strain E24377A / ETEC) OX=331111 GN=asnS PE=3 SV=1</t>
  </si>
  <si>
    <t>RS13_ECO57</t>
  </si>
  <si>
    <t>rpsM</t>
  </si>
  <si>
    <t>RS13_ECO57; RS13_ECOK1; RS13_ECOL5; RS13_ECOL6; RS13_ECOLI; RS13_ECOUT</t>
  </si>
  <si>
    <t>sp|P0A7T1|RS13_ECO57 30S ribosomal protein S13 OS=Escherichia coli O157:H7 OX=83334 GN=rpsM PE=3 SV=2</t>
  </si>
  <si>
    <t>RHLE_ECOLI</t>
  </si>
  <si>
    <t>rhlE</t>
  </si>
  <si>
    <t>sp|P25888|RHLE_ECOLI ATP-dependent RNA helicase RhlE OS=Escherichia coli (strain K12) OX=83333 GN=rhlE PE=1 SV=3</t>
  </si>
  <si>
    <t>FTSA_ECO57</t>
  </si>
  <si>
    <t>ftsA</t>
  </si>
  <si>
    <t>FTSA_ECO57; FTSA_ECOL6; FTSA_ECOLI</t>
  </si>
  <si>
    <t>sp|P0ABH2|FTSA_ECO57 Cell division protein FtsA OS=Escherichia coli O157:H7 OX=83334 GN=ftsA PE=3 SV=1</t>
  </si>
  <si>
    <t>RS10_ECO24</t>
  </si>
  <si>
    <t>rpsJ</t>
  </si>
  <si>
    <t>RS10_ECO24; RS10_ECO27; RS10_ECO45; RS10_ECO55; RS10_ECO57; RS10_ECO5E; RS10_ECO7I; RS10_ECO81; RS10_ECO8A; RS10_ECOBW; RS10_ECODH; RS10_ECOHS; RS10_ECOK1; RS10_ECOL5; RS10_ECOL6; RS10_ECOLC; RS10_ECOLI; RS10_ECOLU; RS10_ECOSE; RS10_ECOSM; RS10_ECOUT</t>
  </si>
  <si>
    <t>sp|A7ZSL0|RS10_ECO24 30S ribosomal protein S10 OS=Escherichia coli O139:H28 (strain E24377A / ETEC) OX=331111 GN=rpsJ PE=3 SV=1</t>
  </si>
  <si>
    <t>PTH_ECO24</t>
  </si>
  <si>
    <t>pth</t>
  </si>
  <si>
    <t>PTH_ECO24; PTH_ECO27; PTH_ECO45; PTH_ECO55; PTH_ECO57; PTH_ECO5E; PTH_ECO7I; PTH_ECO81; PTH_ECO8A; PTH_ECOBW; PTH_ECODH; PTH_ECOHS; PTH_ECOL5; PTH_ECOL6; PTH_ECOLC; PTH_ECOLI; PTH_ECOSE; PTH_ECOSM; PTH_ECOUT</t>
  </si>
  <si>
    <t>PTH_ECOLU</t>
  </si>
  <si>
    <t>sp|A7ZKX7|PTH_ECO24 Peptidyl-tRNA hydrolase OS=Escherichia coli O139:H28 (strain E24377A / ETEC) OX=331111 GN=pth PE=3 SV=1</t>
  </si>
  <si>
    <t>RL15_ECOBW</t>
  </si>
  <si>
    <t>rplO</t>
  </si>
  <si>
    <t>RL15_ECOBW; RL15_ECODH; RL15_ECOHS; RL15_ECOLC; RL15_ECOLI</t>
  </si>
  <si>
    <t>RL15_ECO24; RL15_ECO27; RL15_ECO45; RL15_ECO55; RL15_ECO57; RL15_ECO5E; RL15_ECO7I; RL15_ECO81; RL15_ECO8A; RL15_ECOK1; RL15_ECOL5; RL15_ECOL6; RL15_ECOLU; RL15_ECOSE; RL15_ECOSM; RL15_ECOUT</t>
  </si>
  <si>
    <t>sp|C4ZUF6|RL15_ECOBW 50S ribosomal protein L15 OS=Escherichia coli (strain K12 / MC4100 / BW2952) OX=595496 GN=rplO PE=3 SV=1</t>
  </si>
  <si>
    <t>RL18_ECO24</t>
  </si>
  <si>
    <t>rplR</t>
  </si>
  <si>
    <t>RL18_ECO24; RL18_ECO27; RL18_ECO45; RL18_ECO55; RL18_ECO57; RL18_ECO5E; RL18_ECO7I; RL18_ECO81; RL18_ECO8A; RL18_ECOBW; RL18_ECODH; RL18_ECOHS; RL18_ECOK1; RL18_ECOL5; RL18_ECOL6; RL18_ECOLC; RL18_ECOLI; RL18_ECOLU; RL18_ECOSE; RL18_ECOSM; RL18_ECOUT</t>
  </si>
  <si>
    <t>sp|A7ZSJ3|RL18_ECO24 50S ribosomal protein L18 OS=Escherichia coli O139:H28 (strain E24377A / ETEC) OX=331111 GN=rplR PE=3 SV=1</t>
  </si>
  <si>
    <t>RL11_ECO24</t>
  </si>
  <si>
    <t>rplK</t>
  </si>
  <si>
    <t>RL11_ECO24; RL11_ECO27; RL11_ECO45; RL11_ECO55; RL11_ECO57; RL11_ECO5E; RL11_ECO7I; RL11_ECO81; RL11_ECO8A; RL11_ECOBW; RL11_ECODH; RL11_ECOHS; RL11_ECOL5; RL11_ECOL6; RL11_ECOLC; RL11_ECOLI; RL11_ECOLU; RL11_ECOSE; RL11_ECOSM; RL11_ECOUT</t>
  </si>
  <si>
    <t>sp|A7ZUJ6|RL11_ECO24 50S ribosomal protein L11 OS=Escherichia coli O139:H28 (strain E24377A / ETEC) OX=331111 GN=rplK PE=3 SV=1</t>
  </si>
  <si>
    <t>HIS7_ECOL6</t>
  </si>
  <si>
    <t>hisB</t>
  </si>
  <si>
    <t>HIS7_ECO57</t>
  </si>
  <si>
    <t>sp|Q8FG50|HIS7_ECOL6 Histidine biosynthesis bifunctional protein HisB OS=Escherichia coli O6:H1 (strain CFT073 / ATCC 700928 / UPEC) OX=199310 GN=hisB PE=3 SV=2</t>
  </si>
  <si>
    <t>RS9_ECO24</t>
  </si>
  <si>
    <t>rpsI</t>
  </si>
  <si>
    <t>RS9_ECO24; RS9_ECO27; RS9_ECO45; RS9_ECO55; RS9_ECO57; RS9_ECO5E; RS9_ECO7I; RS9_ECO81; RS9_ECO8A; RS9_ECOBW; RS9_ECODH; RS9_ECOHS; RS9_ECOK1; RS9_ECOL5; RS9_ECOL6; RS9_ECOLC; RS9_ECOLI; RS9_ECOLU; RS9_ECOSE; RS9_ECOSM; RS9_ECOUT</t>
  </si>
  <si>
    <t>sp|A7ZSC4|RS9_ECO24 30S ribosomal protein S9 OS=Escherichia coli O139:H28 (strain E24377A / ETEC) OX=331111 GN=rpsI PE=3 SV=1</t>
  </si>
  <si>
    <t>SYFA_ECO24</t>
  </si>
  <si>
    <t>pheS</t>
  </si>
  <si>
    <t>SYFA_ECO24; SYFA_ECO8A; SYFA_ECOBW; SYFA_ECODH; SYFA_ECOHS; SYFA_ECOLC; SYFA_ECOLI</t>
  </si>
  <si>
    <t>SYFA_ECO27; SYFA_ECO45; SYFA_ECO55; SYFA_ECO57; SYFA_ECO5E; SYFA_ECO7I; SYFA_ECO81; SYFA_ECOL5; SYFA_ECOL6; SYFA_ECOLU; SYFA_ECOSE; SYFA_ECOSM</t>
  </si>
  <si>
    <t>sp|A7ZMI2|SYFA_ECO24 Phenylalanine--tRNA ligase alpha subunit OS=Escherichia coli O139:H28 (strain E24377A / ETEC) OX=331111 GN=pheS PE=3 SV=1</t>
  </si>
  <si>
    <t>SYW_ECOLI</t>
  </si>
  <si>
    <t>trpS</t>
  </si>
  <si>
    <t>SYW_ECO57; SYW_ECOL6</t>
  </si>
  <si>
    <t>sp|P00954|SYW_ECOLI Tryptophan--tRNA ligase OS=Escherichia coli (strain K12) OX=83333 GN=trpS PE=1 SV=3</t>
  </si>
  <si>
    <t>RL25_ECO24</t>
  </si>
  <si>
    <t>rplY</t>
  </si>
  <si>
    <t>RL25_ECO24; RL25_ECO55; RL25_ECO8A; RL25_ECOBW; RL25_ECODH; RL25_ECOHS; RL25_ECOLC; RL25_ECOLI; RL25_ECOSE</t>
  </si>
  <si>
    <t>RL25_ECO27; RL25_ECO45; RL25_ECO57; RL25_ECO5E; RL25_ECO7I; RL25_ECO81; RL25_ECOL5; RL25_ECOL6; RL25_ECOLU; RL25_ECOSM</t>
  </si>
  <si>
    <t>sp|A7ZP09|RL25_ECO24 50S ribosomal protein L25 OS=Escherichia coli O139:H28 (strain E24377A / ETEC) OX=331111 GN=rplY PE=3 SV=1</t>
  </si>
  <si>
    <t>RSMI_ECO57</t>
  </si>
  <si>
    <t>rsmI</t>
  </si>
  <si>
    <t>RSMI_ECO57; RSMI_ECOLI</t>
  </si>
  <si>
    <t>sp|P67088|RSMI_ECO57 Ribosomal RNA small subunit methyltransferase I OS=Escherichia coli O157:H7 OX=83334 GN=rsmI PE=3 SV=1</t>
  </si>
  <si>
    <t>RL19_ECO24</t>
  </si>
  <si>
    <t>rplS</t>
  </si>
  <si>
    <t>RL19_ECO24; RL19_ECO27; RL19_ECO45; RL19_ECO55; RL19_ECO57; RL19_ECO5E; RL19_ECO7I; RL19_ECO81; RL19_ECO8A; RL19_ECOBW; RL19_ECODH; RL19_ECOHS; RL19_ECOK1; RL19_ECOL5; RL19_ECOL6; RL19_ECOLC; RL19_ECOLI; RL19_ECOLU; RL19_ECOSE; RL19_ECOSM; RL19_ECOUT</t>
  </si>
  <si>
    <t>sp|A7ZQ46|RL19_ECO24 50S ribosomal protein L19 OS=Escherichia coli O139:H28 (strain E24377A / ETEC) OX=331111 GN=rplS PE=3 SV=1</t>
  </si>
  <si>
    <t>RS11_ECO24</t>
  </si>
  <si>
    <t>rpsK</t>
  </si>
  <si>
    <t>RS11_ECO24; RS11_ECO27; RS11_ECO45; RS11_ECO55; RS11_ECO57; RS11_ECO5E; RS11_ECO7I; RS11_ECO81; RS11_ECO8A; RS11_ECOBW; RS11_ECODH; RS11_ECOHS; RS11_ECOK1; RS11_ECOL5; RS11_ECOL6; RS11_ECOLC; RS11_ECOLI; RS11_ECOLU; RS11_ECOSE; RS11_ECOSM; RS11_ECOUT</t>
  </si>
  <si>
    <t>sp|A7ZSI6|RS11_ECO24 30S ribosomal protein S11 OS=Escherichia coli O139:H28 (strain E24377A / ETEC) OX=331111 GN=rpsK PE=3 SV=1</t>
  </si>
  <si>
    <t>PLSC_ECOLI</t>
  </si>
  <si>
    <t>plsC</t>
  </si>
  <si>
    <t>sp|P26647|PLSC_ECOLI 1-acyl-sn-glycerol-3-phosphate acyltransferase OS=Escherichia coli (strain K12) OX=83333 GN=plsC PE=1 SV=1</t>
  </si>
  <si>
    <t>GRCA_ECO24</t>
  </si>
  <si>
    <t>grcA</t>
  </si>
  <si>
    <t>GRCA_ECO24; GRCA_ECO55; GRCA_ECO57; GRCA_ECO5E; GRCA_ECO81; GRCA_ECO8A; GRCA_ECOBW; GRCA_ECODH; GRCA_ECOHS; GRCA_ECOLC; GRCA_ECOLI; GRCA_ECOSE</t>
  </si>
  <si>
    <t>GRCA_ECO27; GRCA_ECO45; GRCA_ECO7I; GRCA_ECOK1; GRCA_ECOL5; GRCA_ECOL6; GRCA_ECOLU; GRCA_ECOSM</t>
  </si>
  <si>
    <t>sp|A7ZQ24|GRCA_ECO24 Autonomous glycyl radical cofactor OS=Escherichia coli O139:H28 (strain E24377A / ETEC) OX=331111 GN=grcA PE=3 SV=1</t>
  </si>
  <si>
    <t>SYT_ECO27</t>
  </si>
  <si>
    <t>thrS</t>
  </si>
  <si>
    <t>SYT_ECO27; SYT_ECO45; SYT_ECO57; SYT_ECO5E; SYT_ECO7I; SYT_ECO81; SYT_ECOBW; SYT_ECODH; SYT_ECOK1; SYT_ECOL5; SYT_ECOL6; SYT_ECOLI; SYT_ECOLU; SYT_ECOSM; SYT_ECOUT</t>
  </si>
  <si>
    <t>SYT_ECO24; SYT_ECO55; SYT_ECO8A; SYT_ECOHS; SYT_ECOLC; SYT_ECOSE</t>
  </si>
  <si>
    <t>sp|B7USA2|SYT_ECO27 Threonine--tRNA ligase OS=Escherichia coli O127:H6 (strain E2348/69 / EPEC) OX=574521 GN=thrS PE=3 SV=1</t>
  </si>
  <si>
    <t>RS19_ECO24</t>
  </si>
  <si>
    <t>rpsS</t>
  </si>
  <si>
    <t>RS19_ECO24; RS19_ECO27; RS19_ECO45; RS19_ECO55; RS19_ECO57; RS19_ECO5E; RS19_ECO7I; RS19_ECO81; RS19_ECO8A; RS19_ECOBW; RS19_ECODH; RS19_ECOHS; RS19_ECOK1; RS19_ECOL5; RS19_ECOL6; RS19_ECOLC; RS19_ECOLI; RS19_ECOLU; RS19_ECOSE; RS19_ECOSM; RS19_ECOUT</t>
  </si>
  <si>
    <t>sp|A7ZSK5|RS19_ECO24 30S ribosomal protein S19 OS=Escherichia coli O139:H28 (strain E24377A / ETEC) OX=331111 GN=rpsS PE=3 SV=1</t>
  </si>
  <si>
    <t>MINE_ECO24</t>
  </si>
  <si>
    <t>minE</t>
  </si>
  <si>
    <t>MINE_ECO24; MINE_ECO27; MINE_ECO45; MINE_ECO55; MINE_ECO57; MINE_ECO5E; MINE_ECO7I; MINE_ECO81; MINE_ECO8A; MINE_ECOBW; MINE_ECODH; MINE_ECOHS; MINE_ECOK1; MINE_ECOL5; MINE_ECOL6; MINE_ECOLC; MINE_ECOLI; MINE_ECOLU; MINE_ECOSE; MINE_ECOSM; MINE_ECOUT</t>
  </si>
  <si>
    <t>sp|A7ZKU5|MINE_ECO24 Cell division topological specificity factor OS=Escherichia coli O139:H28 (strain E24377A / ETEC) OX=331111 GN=minE PE=3 SV=1</t>
  </si>
  <si>
    <t>HIS7_ECOLI</t>
  </si>
  <si>
    <t>sp|P06987|HIS7_ECOLI Histidine biosynthesis bifunctional protein HisB OS=Escherichia coli (strain K12) OX=83333 GN=hisB PE=1 SV=1</t>
  </si>
  <si>
    <t>RS20_ECO24</t>
  </si>
  <si>
    <t>rpsT</t>
  </si>
  <si>
    <t>RS20_ECO24; RS20_ECO27; RS20_ECO45; RS20_ECO55; RS20_ECO57; RS20_ECO5E; RS20_ECO7I; RS20_ECO81; RS20_ECO8A; RS20_ECOBW; RS20_ECODH; RS20_ECOHS; RS20_ECOL5; RS20_ECOL6; RS20_ECOLC; RS20_ECOLI; RS20_ECOLU; RS20_ECOSE; RS20_ECOSM; RS20_ECOUT</t>
  </si>
  <si>
    <t>sp|A7ZHB2|RS20_ECO24 30S ribosomal protein S20 OS=Escherichia coli O139:H28 (strain E24377A / ETEC) OX=331111 GN=rpsT PE=3 SV=1</t>
  </si>
  <si>
    <t>UPI001D0F4A03_Aequorea</t>
  </si>
  <si>
    <t>A0A059PIR9_AEQVI</t>
  </si>
  <si>
    <t>sp|UPI001D0F4A03|UPI001D0F4A03_Aequorea Aequorea victoria mVenus UniParc</t>
  </si>
  <si>
    <t>RL13_ECO24</t>
  </si>
  <si>
    <t>rplM</t>
  </si>
  <si>
    <t>RL13_ECO24; RL13_ECO27; RL13_ECO45; RL13_ECO55; RL13_ECO57; RL13_ECO5E; RL13_ECO7I; RL13_ECO81; RL13_ECO8A; RL13_ECOBW; RL13_ECODH; RL13_ECOHS; RL13_ECOK1; RL13_ECOL5; RL13_ECOL6; RL13_ECOLC; RL13_ECOLI; RL13_ECOLU; RL13_ECOSE; RL13_ECOSM; RL13_ECOUT</t>
  </si>
  <si>
    <t>sp|A7ZSC5|RL13_ECO24 50S ribosomal protein L13 OS=Escherichia coli O139:H28 (strain E24377A / ETEC) OX=331111 GN=rplM PE=3 SV=1</t>
  </si>
  <si>
    <t>DNAK_ECO24</t>
  </si>
  <si>
    <t>dnaK</t>
  </si>
  <si>
    <t>DNAK_ECO24; DNAK_ECO57; DNAK_ECOHS; DNAK_ECOK1; DNAK_ECOL5; DNAK_ECOL6; DNAK_ECOLC; DNAK_ECOLI; DNAK_ECOUT</t>
  </si>
  <si>
    <t>sp|A7ZHA4|DNAK_ECO24 Chaperone protein DnaK OS=Escherichia coli O139:H28 (strain E24377A / ETEC) OX=331111 GN=dnaK PE=3 SV=1</t>
  </si>
  <si>
    <t>CMPDT_ECO57</t>
  </si>
  <si>
    <t>pheA</t>
  </si>
  <si>
    <t>CMPDT_ECO57; CMPDT_ECOLI</t>
  </si>
  <si>
    <t>sp|P0A9J9|CMPDT_ECO57 Bifunctional chorismate mutase/prephenate dehydratase OS=Escherichia coli O157:H7 OX=83334 GN=pheA PE=3 SV=1</t>
  </si>
  <si>
    <t>SYR_ECO27</t>
  </si>
  <si>
    <t>argS</t>
  </si>
  <si>
    <t>SYR_ECO27; SYR_ECO7I; SYR_ECOBW; SYR_ECODH; SYR_ECOL6; SYR_ECOLC; SYR_ECOLI; SYR_ECOLU; SYR_ECOSE; SYR_ECOSM</t>
  </si>
  <si>
    <t>SYR_ECO24; SYR_ECO45; SYR_ECO55; SYR_ECO57; SYR_ECO5E; SYR_ECO81; SYR_ECO8A; SYR_ECOHS; SYR_ECOK1; SYR_ECOL5; SYR_ECOUT</t>
  </si>
  <si>
    <t>sp|B7USQ3|SYR_ECO27 Arginine--tRNA ligase OS=Escherichia coli O127:H6 (strain E2348/69 / EPEC) OX=574521 GN=argS PE=3 SV=1</t>
  </si>
  <si>
    <t>ODO1_ECO57</t>
  </si>
  <si>
    <t>sucA</t>
  </si>
  <si>
    <t>ODO1_ECO57; ODO1_ECOL6; ODO1_ECOLI</t>
  </si>
  <si>
    <t>sp|P0AFG5|ODO1_ECO57 2-oxoglutarate dehydrogenase E1 component OS=Escherichia coli O157:H7 OX=83334 GN=sucA PE=3 SV=1</t>
  </si>
  <si>
    <t>RS16_ECO24</t>
  </si>
  <si>
    <t>rpsP</t>
  </si>
  <si>
    <t>RS16_ECO24; RS16_ECO27; RS16_ECO45; RS16_ECO55; RS16_ECO57; RS16_ECO5E; RS16_ECO7I; RS16_ECO81; RS16_ECO8A; RS16_ECOBW; RS16_ECODH; RS16_ECOHS; RS16_ECOL5; RS16_ECOL6; RS16_ECOLC; RS16_ECOLI; RS16_ECOLU; RS16_ECOSE; RS16_ECOSM</t>
  </si>
  <si>
    <t>sp|A7ZQ49|RS16_ECO24 30S ribosomal protein S16 OS=Escherichia coli O139:H28 (strain E24377A / ETEC) OX=331111 GN=rpsP PE=3 SV=1</t>
  </si>
  <si>
    <t>SYE_ECO24</t>
  </si>
  <si>
    <t>gltX</t>
  </si>
  <si>
    <t>SYE_ECO24; SYE_ECODH; SYE_ECOHS; SYE_ECOK1; SYE_ECOL6; SYE_ECOLC; SYE_ECOLI; SYE_ECOSE; SYE_ECOSM; SYE_ECOUT</t>
  </si>
  <si>
    <t>SYE_ECO57; SYE_ECO5E; SYE_ECOL5</t>
  </si>
  <si>
    <t>sp|A7ZPK7|SYE_ECO24 Glutamate--tRNA ligase OS=Escherichia coli O139:H28 (strain E24377A / ETEC) OX=331111 GN=gltX PE=3 SV=1</t>
  </si>
  <si>
    <t>NDK_ECO24</t>
  </si>
  <si>
    <t>ndk</t>
  </si>
  <si>
    <t>NDK_ECO24; NDK_ECO55; NDK_ECO57; NDK_ECO5E; NDK_ECO8A; NDK_ECOBW; NDK_ECODH; NDK_ECOHS; NDK_ECOLC; NDK_ECOLI; NDK_ECOLU; NDK_ECOSE</t>
  </si>
  <si>
    <t>NDK_ECO27; NDK_ECO45; NDK_ECO7I; NDK_ECO81; NDK_ECOK1; NDK_ECOL5; NDK_ECOL6; NDK_ECOSM; NDK_ECOUT</t>
  </si>
  <si>
    <t>sp|A7ZPW1|NDK_ECO24 Nucleoside diphosphate kinase OS=Escherichia coli O139:H28 (strain E24377A / ETEC) OX=331111 GN=ndk PE=3 SV=1</t>
  </si>
  <si>
    <t>RS18_ECO24</t>
  </si>
  <si>
    <t>rpsR</t>
  </si>
  <si>
    <t>RS18_ECO24; RS18_ECO27; RS18_ECO45; RS18_ECO55; RS18_ECO57; RS18_ECO5E; RS18_ECO7I; RS18_ECO81; RS18_ECO8A; RS18_ECOBW; RS18_ECODH; RS18_ECOHS; RS18_ECOL5; RS18_ECOL6; RS18_ECOLC; RS18_ECOLI; RS18_ECOLU; RS18_ECOSE; RS18_ECOSM; RS18_ECOUT</t>
  </si>
  <si>
    <t>sp|A7ZV73|RS18_ECO24 30S ribosomal protein S18 OS=Escherichia coli O139:H28 (strain E24377A / ETEC) OX=331111 GN=rpsR PE=3 SV=1</t>
  </si>
  <si>
    <t>RS14_ECO24</t>
  </si>
  <si>
    <t>rpsN</t>
  </si>
  <si>
    <t>RS14_ECO24; RS14_ECO45; RS14_ECO57; RS14_ECO5E; RS14_ECO7I; RS14_ECODH; RS14_ECOHS; RS14_ECOK1; RS14_ECOL5; RS14_ECOL6; RS14_ECOLC; RS14_ECOLI; RS14_ECOLU; RS14_ECOSE; RS14_ECOSM; RS14_ECOUT</t>
  </si>
  <si>
    <t>sp|A7ZSJ6|RS14_ECO24 30S ribosomal protein S14 OS=Escherichia coli O139:H28 (strain E24377A / ETEC) OX=331111 GN=rpsN PE=3 SV=1</t>
  </si>
  <si>
    <t>STHA_ECO24</t>
  </si>
  <si>
    <t>sthA</t>
  </si>
  <si>
    <t>STHA_ECO24; STHA_ECO27; STHA_ECO45; STHA_ECO55; STHA_ECO5E; STHA_ECO7I; STHA_ECO81; STHA_ECO8A; STHA_ECOBW; STHA_ECODH; STHA_ECOHS; STHA_ECOK1; STHA_ECOL6; STHA_ECOLC; STHA_ECOLI; STHA_ECOLU; STHA_ECOSE; STHA_ECOSM; STHA_ECOUT</t>
  </si>
  <si>
    <t>STHA_ECO57; STHA_ECOL5</t>
  </si>
  <si>
    <t>sp|A7ZUI2|STHA_ECO24 Soluble pyridine nucleotide transhydrogenase OS=Escherichia coli O139:H28 (strain E24377A / ETEC) OX=331111 GN=sthA PE=3 SV=1</t>
  </si>
  <si>
    <t>RBFA_ECO24</t>
  </si>
  <si>
    <t>rbfA</t>
  </si>
  <si>
    <t>RBFA_ECO24; RBFA_ECO27; RBFA_ECO45; RBFA_ECO55; RBFA_ECO57; RBFA_ECO5E; RBFA_ECO7I; RBFA_ECO81; RBFA_ECO8A; RBFA_ECOBW; RBFA_ECODH; RBFA_ECOHS; RBFA_ECOK1; RBFA_ECOL5; RBFA_ECOL6; RBFA_ECOLC; RBFA_ECOLI; RBFA_ECOLU; RBFA_ECOSE; RBFA_ECOSM; RBFA_ECOUT</t>
  </si>
  <si>
    <t>sp|A7ZS64|RBFA_ECO24 Ribosome-binding factor A OS=Escherichia coli O139:H28 (strain E24377A / ETEC) OX=331111 GN=rbfA PE=3 SV=1</t>
  </si>
  <si>
    <t>THID_ECOLI</t>
  </si>
  <si>
    <t>thiD</t>
  </si>
  <si>
    <t>sp|P76422|THID_ECOLI Hydroxymethylpyrimidine/phosphomethylpyrimidine kinase OS=Escherichia coli (strain K12) OX=83333 GN=thiD PE=1 SV=1</t>
  </si>
  <si>
    <t>AROG_ECO57</t>
  </si>
  <si>
    <t>aroG</t>
  </si>
  <si>
    <t>AROG_ECO57; AROG_ECOLI</t>
  </si>
  <si>
    <t>AROF_ECOLI</t>
  </si>
  <si>
    <t>sp|P0AB92|AROG_ECO57 Phospho-2-dehydro-3-deoxyheptonate aldolase, Phe-sensitive OS=Escherichia coli O157:H7 OX=83334 GN=aroG PE=3 SV=1</t>
  </si>
  <si>
    <t>THIM_ECO24</t>
  </si>
  <si>
    <t>thiM</t>
  </si>
  <si>
    <t>THIM_ECO24; THIM_ECOBW; THIM_ECODH; THIM_ECOHS; THIM_ECOLC; THIM_ECOLI</t>
  </si>
  <si>
    <t>THIM_ECO27; THIM_ECO45; THIM_ECO55; THIM_ECO57; THIM_ECO5E; THIM_ECO7I; THIM_ECO81; THIM_ECO8A; THIM_ECOK1; THIM_ECOL5; THIM_ECOL6; THIM_ECOLU; THIM_ECOSE; THIM_ECOSM; THIM_ECOUT</t>
  </si>
  <si>
    <t>sp|A7ZNS3|THIM_ECO24 Hydroxyethylthiazole kinase OS=Escherichia coli O139:H28 (strain E24377A / ETEC) OX=331111 GN=thiM PE=3 SV=1</t>
  </si>
  <si>
    <t>CON__TRYP_PIG</t>
  </si>
  <si>
    <t>sp|P00761|CON__TRYP_PIG Trypsin OS=Sus scrofa OX=9823 PE=1 SV=1</t>
  </si>
  <si>
    <t>RL14_ECO24</t>
  </si>
  <si>
    <t>rplN</t>
  </si>
  <si>
    <t>RL14_ECO24; RL14_ECO27; RL14_ECO45; RL14_ECO55; RL14_ECO57; RL14_ECO5E; RL14_ECO7I; RL14_ECO81; RL14_ECO8A; RL14_ECOBW; RL14_ECODH; RL14_ECOHS; RL14_ECOK1; RL14_ECOL5; RL14_ECOL6; RL14_ECOLC; RL14_ECOLI; RL14_ECOLU; RL14_ECOSE; RL14_ECOSM; RL14_ECOUT</t>
  </si>
  <si>
    <t>sp|A7ZSJ9|RL14_ECO24 50S ribosomal protein L14 OS=Escherichia coli O139:H28 (strain E24377A / ETEC) OX=331111 GN=rplN PE=3 SV=1</t>
  </si>
  <si>
    <t>SLYD_ECO57</t>
  </si>
  <si>
    <t>slyD</t>
  </si>
  <si>
    <t>SLYD_ECO57; SLYD_ECOL6; SLYD_ECOLI</t>
  </si>
  <si>
    <t>sp|P0A9L1|SLYD_ECO57 FKBP-type peptidyl-prolyl cis-trans isomerase SlyD OS=Escherichia coli O157:H7 OX=83334 GN=slyD PE=3 SV=1</t>
  </si>
  <si>
    <t>FUR_ECO57</t>
  </si>
  <si>
    <t>fur</t>
  </si>
  <si>
    <t>FUR_ECO57; FUR_ECOL6; FUR_ECOLI</t>
  </si>
  <si>
    <t>sp|P0A9B1|FUR_ECO57 Ferric uptake regulation protein OS=Escherichia coli O157:H7 OX=83334 GN=fur PE=3 SV=1</t>
  </si>
  <si>
    <t>RL29_ECO24</t>
  </si>
  <si>
    <t>rpmC</t>
  </si>
  <si>
    <t>RL29_ECO24; RL29_ECO27; RL29_ECO45; RL29_ECO55; RL29_ECO57; RL29_ECO5E; RL29_ECO7I; RL29_ECO81; RL29_ECO8A; RL29_ECOBW; RL29_ECODH; RL29_ECOHS; RL29_ECOL5; RL29_ECOL6; RL29_ECOLC; RL29_ECOLI; RL29_ECOLU; RL29_ECOSE; RL29_ECOSM; RL29_ECOUT</t>
  </si>
  <si>
    <t>sp|A7ZSK1|RL29_ECO24 50S ribosomal protein L29 OS=Escherichia coli O139:H28 (strain E24377A / ETEC) OX=331111 GN=rpmC PE=3 SV=1</t>
  </si>
  <si>
    <t>RL24_ECO24</t>
  </si>
  <si>
    <t>rplX</t>
  </si>
  <si>
    <t>RL24_ECO24; RL24_ECO55; RL24_ECO57; RL24_ECO5E; RL24_ECO7I; RL24_ECO8A; RL24_ECOBW; RL24_ECODH; RL24_ECOHS; RL24_ECOLC; RL24_ECOLI; RL24_ECOLU; RL24_ECOSE; RL24_ECOSM</t>
  </si>
  <si>
    <t>RL24_ECO27; RL24_ECO45; RL24_ECO81; RL24_ECOK1; RL24_ECOL5; RL24_ECOL6; RL24_ECOUT</t>
  </si>
  <si>
    <t>sp|A7ZSJ8|RL24_ECO24 50S ribosomal protein L24 OS=Escherichia coli O139:H28 (strain E24377A / ETEC) OX=331111 GN=rplX PE=3 SV=1</t>
  </si>
  <si>
    <t>RL30_ECO24</t>
  </si>
  <si>
    <t>rpmD</t>
  </si>
  <si>
    <t>RL30_ECO24; RL30_ECO27; RL30_ECO45; RL30_ECO55; RL30_ECO57; RL30_ECO5E; RL30_ECO7I; RL30_ECO81; RL30_ECO8A; RL30_ECOBW; RL30_ECODH; RL30_ECOHS; RL30_ECOL5; RL30_ECOL6; RL30_ECOLC; RL30_ECOLI; RL30_ECOLU; RL30_ECOSE; RL30_ECOSM; RL30_ECOUT</t>
  </si>
  <si>
    <t>sp|A7ZSJ1|RL30_ECO24 50S ribosomal protein L30 OS=Escherichia coli O139:H28 (strain E24377A / ETEC) OX=331111 GN=rpmD PE=3 SV=1</t>
  </si>
  <si>
    <t>RS12_ECO24</t>
  </si>
  <si>
    <t>rpsL</t>
  </si>
  <si>
    <t>RS12_ECO24; RS12_ECO27; RS12_ECO45; RS12_ECO55; RS12_ECO57; RS12_ECO5E; RS12_ECO7I; RS12_ECO81; RS12_ECO8A; RS12_ECOHS; RS12_ECOK1; RS12_ECOL6; RS12_ECOLC; RS12_ECOLI; RS12_ECOLU; RS12_ECOSE; RS12_ECOSM; RS12_ECOUT</t>
  </si>
  <si>
    <t>RS12_ECOBW; RS12_ECOL5</t>
  </si>
  <si>
    <t>sp|A7ZSL7|RS12_ECO24 30S ribosomal protein S12 OS=Escherichia coli O139:H28 (strain E24377A / ETEC) OX=331111 GN=rpsL PE=3 SV=1</t>
  </si>
  <si>
    <t>FLAV_ECO57</t>
  </si>
  <si>
    <t>fldA</t>
  </si>
  <si>
    <t>FLAV_ECO57; FLAV_ECOL6; FLAV_ECOLI</t>
  </si>
  <si>
    <t>sp|P61951|FLAV_ECO57 Flavodoxin 1 OS=Escherichia coli O157:H7 OX=83334 GN=fldA PE=3 SV=2</t>
  </si>
  <si>
    <t>IF1_ECO24</t>
  </si>
  <si>
    <t>infA</t>
  </si>
  <si>
    <t>IF1_ECO24; IF1_ECO57; IF1_ECOHS; IF1_ECOL5; IF1_ECOL6; IF1_ECOLI; IF1_ECOUT</t>
  </si>
  <si>
    <t>sp|A7ZJV1|IF1_ECO24 Translation initiation factor IF-1 OS=Escherichia coli O139:H28 (strain E24377A / ETEC) OX=331111 GN=infA PE=3 SV=1</t>
  </si>
  <si>
    <t>CON__SAV_STRAV</t>
  </si>
  <si>
    <t>sp|P22629|CON__SAV_STRAV Streptavidin OS=Streptomyces avidinii OX=1895 PE=1 SV=1 [Streptavidin (S.avidinii)]</t>
  </si>
  <si>
    <t>RS21_ECO24</t>
  </si>
  <si>
    <t>rpsU</t>
  </si>
  <si>
    <t>RS21_ECO24; RS21_ECO27; RS21_ECO45; RS21_ECO55; RS21_ECO57; RS21_ECO5E; RS21_ECO7I; RS21_ECO81; RS21_ECO8A; RS21_ECOBW; RS21_ECODH; RS21_ECOHS; RS21_ECOL5; RS21_ECOL6; RS21_ECOLC; RS21_ECOLI; RS21_ECOLU; RS21_ECOSE; RS21_ECOSM; RS21_ECOUT</t>
  </si>
  <si>
    <t>sp|A7ZRU7|RS21_ECO24 30S ribosomal protein S21 OS=Escherichia coli O139:H28 (strain E24377A / ETEC) OX=331111 GN=rpsU PE=3 SV=1</t>
  </si>
  <si>
    <t>RS14_ECO8A</t>
  </si>
  <si>
    <t>sp|B7M1M1|RS14_ECO8A 30S ribosomal protein S14 OS=Escherichia coli O8 (strain IAI1) OX=585034 GN=rpsN PE=3 SV=1</t>
  </si>
  <si>
    <t>RL23_ECO57</t>
  </si>
  <si>
    <t>rplW</t>
  </si>
  <si>
    <t>RL23_ECO57; RL23_ECOL5; RL23_ECOL6; RL23_ECOLI; RL23_ECOUT</t>
  </si>
  <si>
    <t>sp|P0ADZ2|RL23_ECO57 50S ribosomal protein L23 OS=Escherichia coli O157:H7 OX=83334 GN=rplW PE=3 SV=1</t>
  </si>
  <si>
    <t>SYD_ECOBW</t>
  </si>
  <si>
    <t>aspS</t>
  </si>
  <si>
    <t>SYD_ECOBW; SYD_ECODH; SYD_ECOHS; SYD_ECOLI</t>
  </si>
  <si>
    <t>SYD_ECO24; SYD_ECO27; SYD_ECO45; SYD_ECO55; SYD_ECO57; SYD_ECO5E; SYD_ECO7I; SYD_ECO81; SYD_ECO8A; SYD_ECOK1; SYD_ECOL5; SYD_ECOL6; SYD_ECOLC; SYD_ECOLU; SYD_ECOSE; SYD_ECOSM; SYD_ECOUT</t>
  </si>
  <si>
    <t>sp|C4ZQF0|SYD_ECOBW Aspartate--tRNA ligase OS=Escherichia coli (strain K12 / MC4100 / BW2952) OX=595496 GN=aspS PE=3 SV=1</t>
  </si>
  <si>
    <t>CAN_ECOLI</t>
  </si>
  <si>
    <t>can</t>
  </si>
  <si>
    <t>sp|P61517|CAN_ECOLI Carbonic anhydrase 2 OS=Escherichia coli (strain K12) OX=83333 GN=can PE=1 SV=1</t>
  </si>
  <si>
    <t>RS15_ECO24</t>
  </si>
  <si>
    <t>rpsO</t>
  </si>
  <si>
    <t>RS15_ECO24; RS15_ECO27; RS15_ECO45; RS15_ECO55; RS15_ECO7I; RS15_ECO81; RS15_ECO8A; RS15_ECOBW; RS15_ECODH; RS15_ECOHS; RS15_ECOK1; RS15_ECOL5; RS15_ECOL6; RS15_ECOLC; RS15_ECOLI; RS15_ECOLU; RS15_ECOSE; RS15_ECOSM; RS15_ECOUT</t>
  </si>
  <si>
    <t>RS15_ECO57; RS15_ECO5E</t>
  </si>
  <si>
    <t>sp|A7ZS62|RS15_ECO24 30S ribosomal protein S15 OS=Escherichia coli O139:H28 (strain E24377A / ETEC) OX=331111 GN=rpsO PE=3 SV=1</t>
  </si>
  <si>
    <t>RL33_ECO24</t>
  </si>
  <si>
    <t>rpmG</t>
  </si>
  <si>
    <t>RL33_ECO24; RL33_ECO27; RL33_ECO45; RL33_ECO55; RL33_ECO57; RL33_ECO5E; RL33_ECO7I; RL33_ECO81; RL33_ECO8A; RL33_ECOBW; RL33_ECODH; RL33_ECOHS; RL33_ECOL5; RL33_ECOL6; RL33_ECOLC; RL33_ECOLI; RL33_ECOLU; RL33_ECOSE; RL33_ECOSM; RL33_ECOUT</t>
  </si>
  <si>
    <t>sp|A7ZTI7|RL33_ECO24 50S ribosomal protein L33 OS=Escherichia coli O139:H28 (strain E24377A / ETEC) OX=331111 GN=rpmG PE=3 SV=1</t>
  </si>
  <si>
    <t>RL17_ECO24</t>
  </si>
  <si>
    <t>rplQ</t>
  </si>
  <si>
    <t>RL17_ECO24; RL17_ECO27; RL17_ECO45; RL17_ECO55; RL17_ECO57; RL17_ECO5E; RL17_ECO7I; RL17_ECO8A; RL17_ECOBW; RL17_ECODH; RL17_ECOHS; RL17_ECOK1; RL17_ECOL5; RL17_ECOL6; RL17_ECOLC; RL17_ECOLI; RL17_ECOLU; RL17_ECOSE; RL17_ECOSM; RL17_ECOUT</t>
  </si>
  <si>
    <t>RL17_ECO81</t>
  </si>
  <si>
    <t>sp|A7ZSI3|RL17_ECO24 50S ribosomal protein L17 OS=Escherichia coli O139:H28 (strain E24377A / ETEC) OX=331111 GN=rplQ PE=3 SV=1</t>
  </si>
  <si>
    <t>TRMD_ECO24</t>
  </si>
  <si>
    <t>trmD</t>
  </si>
  <si>
    <t>TRMD_ECO24; TRMD_ECO27; TRMD_ECO45; TRMD_ECO55; TRMD_ECO57; TRMD_ECO5E; TRMD_ECO7I; TRMD_ECO81; TRMD_ECO8A; TRMD_ECOBW; TRMD_ECODH; TRMD_ECOHS; TRMD_ECOL5; TRMD_ECOL6; TRMD_ECOLC; TRMD_ECOLI; TRMD_ECOLU; TRMD_ECOSE; TRMD_ECOSM; TRMD_ECOUT</t>
  </si>
  <si>
    <t>sp|A7ZQ47|TRMD_ECO24 tRNA (guanine-N(1)-)-methyltransferase OS=Escherichia coli O139:H28 (strain E24377A / ETEC) OX=331111 GN=trmD PE=3 SV=1</t>
  </si>
  <si>
    <t>LPP_ECO57</t>
  </si>
  <si>
    <t>lpp</t>
  </si>
  <si>
    <t>LPP_ECO57; LPP_ECOL6; LPP_ECOLI</t>
  </si>
  <si>
    <t>sp|P69778|LPP_ECO57 Major outer membrane lipoprotein Lpp OS=Escherichia coli O157:H7 OX=83334 GN=lpp PE=3 SV=1</t>
  </si>
  <si>
    <t>RL20_ECO24</t>
  </si>
  <si>
    <t>rplT</t>
  </si>
  <si>
    <t>RL20_ECO24; RL20_ECO27; RL20_ECO45; RL20_ECO55; RL20_ECO57; RL20_ECO5E; RL20_ECO7I; RL20_ECO81; RL20_ECO8A; RL20_ECOBW; RL20_ECODH; RL20_ECOHS; RL20_ECOK1; RL20_ECOL5; RL20_ECOL6; RL20_ECOLC; RL20_ECOLI; RL20_ECOLU; RL20_ECOSE; RL20_ECOSM; RL20_ECOUT</t>
  </si>
  <si>
    <t>sp|A7ZMI4|RL20_ECO24 50S ribosomal protein L20 OS=Escherichia coli O139:H28 (strain E24377A / ETEC) OX=331111 GN=rplT PE=3 SV=1</t>
  </si>
  <si>
    <t>ZAPB_ECO5E</t>
  </si>
  <si>
    <t>zapB</t>
  </si>
  <si>
    <t>ZAPB_ECO5E; ZAPB_ECOLC; ZAPB_ECOSE</t>
  </si>
  <si>
    <t>ZAPB_ECO24; ZAPB_ECO27; ZAPB_ECO45; ZAPB_ECO55; ZAPB_ECO57; ZAPB_ECO7I; ZAPB_ECO81; ZAPB_ECO8A; ZAPB_ECOBW; ZAPB_ECODH; ZAPB_ECOHS; ZAPB_ECOL5; ZAPB_ECOL6; ZAPB_ECOLI; ZAPB_ECOLU; ZAPB_ECOSM; ZAPB_ECOUT</t>
  </si>
  <si>
    <t>sp|B5YZ66|ZAPB_ECO5E Cell division protein ZapB OS=Escherichia coli O157:H7 (strain EC4115 / EHEC) OX=444450 GN=zapB PE=3 SV=1</t>
  </si>
  <si>
    <t>YFIA_ECO57</t>
  </si>
  <si>
    <t>yfiA</t>
  </si>
  <si>
    <t>YFIA_ECO57; YFIA_ECOL6; YFIA_ECOLI</t>
  </si>
  <si>
    <t>sp|P0AD51|YFIA_ECO57 Ribosome-associated factor Y OS=Escherichia coli O157:H7 OX=83334 GN=yfiA PE=3 SV=2</t>
  </si>
  <si>
    <t>RL32_ECO27</t>
  </si>
  <si>
    <t>rpmF</t>
  </si>
  <si>
    <t>RL32_ECO27; RL32_ECO45; RL32_ECO55; RL32_ECO57; RL32_ECO5E; RL32_ECO7I; RL32_ECO81; RL32_ECO8A; RL32_ECOBW; RL32_ECODH; RL32_ECOHS; RL32_ECOL5; RL32_ECOLC; RL32_ECOLI; RL32_ECOLU; RL32_ECOSE; RL32_ECOSM; RL32_ECOUT</t>
  </si>
  <si>
    <t>sp|B7UPA5|RL32_ECO27 50S ribosomal protein L32 OS=Escherichia coli O127:H6 (strain E2348/69 / EPEC) OX=574521 GN=rpmF PE=3 SV=1</t>
  </si>
  <si>
    <t>GALR_ECOLI</t>
  </si>
  <si>
    <t>galR</t>
  </si>
  <si>
    <t>sp|P03024|GALR_ECOLI HTH-type transcriptional regulator GalR OS=Escherichia coli (strain K12) OX=83333 GN=galR PE=1 SV=1</t>
  </si>
  <si>
    <t>RL21_ECO24</t>
  </si>
  <si>
    <t>rplU</t>
  </si>
  <si>
    <t>RL21_ECO24; RL21_ECO27; RL21_ECO45; RL21_ECO55; RL21_ECO57; RL21_ECO5E; RL21_ECO7I; RL21_ECO81; RL21_ECO8A; RL21_ECOBW; RL21_ECODH; RL21_ECOHS; RL21_ECOL5; RL21_ECOLC; RL21_ECOLI; RL21_ECOLU; RL21_ECOSE; RL21_ECOSM; RL21_ECOUT</t>
  </si>
  <si>
    <t>sp|A7ZS83|RL21_ECO24 50S ribosomal protein L21 OS=Escherichia coli O139:H28 (strain E24377A / ETEC) OX=331111 GN=rplU PE=3 SV=1</t>
  </si>
  <si>
    <t>OXYR_ECO57</t>
  </si>
  <si>
    <t>oxyR</t>
  </si>
  <si>
    <t>OXYR_ECO57; OXYR_ECOL6; OXYR_ECOLI</t>
  </si>
  <si>
    <t>sp|P0ACQ6|OXYR_ECO57 Hydrogen peroxide-inducible genes activator OS=Escherichia coli O157:H7 OX=83334 GN=oxyR PE=3 SV=1</t>
  </si>
  <si>
    <t>HSLV_ECO24</t>
  </si>
  <si>
    <t>hslV</t>
  </si>
  <si>
    <t>HSLV_ECO24; HSLV_ECO27; HSLV_ECO45; HSLV_ECO55; HSLV_ECO57; HSLV_ECO5E; HSLV_ECO7I; HSLV_ECO81; HSLV_ECO8A; HSLV_ECOBW; HSLV_ECODH; HSLV_ECOHS; HSLV_ECOK1; HSLV_ECOL5; HSLV_ECOL6; HSLV_ECOLC; HSLV_ECOLI; HSLV_ECOLU; HSLV_ECOSE; HSLV_ECOSM; HSLV_ECOUT</t>
  </si>
  <si>
    <t>RPIR_ECOL6; RPIR_ECOLI</t>
  </si>
  <si>
    <t>sp|A7ZUE7|HSLV_ECO24 ATP-dependent protease subunit HslV OS=Escherichia coli O139:H28 (strain E24377A / ETEC) OX=331111 GN=hslV PE=3 SV=1</t>
  </si>
  <si>
    <t>ODO2_ECO57</t>
  </si>
  <si>
    <t>sucB</t>
  </si>
  <si>
    <t>ODO2_ECO57; ODO2_ECOLI</t>
  </si>
  <si>
    <t>sp|P0AFG7|ODO2_ECO57 Dihydrolipoyllysine-residue succinyltransferase component of 2-oxoglutarate dehydrogenase complex OS=Escherichia coli O157:H7 OX=83334 GN=sucB PE=1 SV=2</t>
  </si>
  <si>
    <t>AHPF_ECOLI</t>
  </si>
  <si>
    <t>ahpF</t>
  </si>
  <si>
    <t>sp|P35340|AHPF_ECOLI Alkyl hydroperoxide reductase subunit F OS=Escherichia coli (strain K12) OX=83333 GN=ahpF PE=1 SV=2</t>
  </si>
  <si>
    <t>SDHA_ECO57</t>
  </si>
  <si>
    <t>sdhA</t>
  </si>
  <si>
    <t>SDHA_ECO57; SDHA_ECOL6; SDHA_ECOLI</t>
  </si>
  <si>
    <t>sp|P0AC43|SDHA_ECO57 Succinate dehydrogenase flavoprotein subunit OS=Escherichia coli O157:H7 OX=83334 GN=sdhA PE=3 SV=1</t>
  </si>
  <si>
    <t>SYK2_ECO57</t>
  </si>
  <si>
    <t>lysU</t>
  </si>
  <si>
    <t>SYK2_ECO57; SYK2_ECOL6; SYK2_ECOLI</t>
  </si>
  <si>
    <t>sp|P0A8N6|SYK2_ECO57 Lysine--tRNA ligase, heat inducible OS=Escherichia coli O157:H7 OX=83334 GN=lysU PE=3 SV=2</t>
  </si>
  <si>
    <t>CRA_ECO57</t>
  </si>
  <si>
    <t>cra</t>
  </si>
  <si>
    <t>CRA_ECO57; CRA_ECOL6; CRA_ECOLI</t>
  </si>
  <si>
    <t>sp|P0ACP3|CRA_ECO57 Catabolite repressor/activator OS=Escherichia coli O157:H7 OX=83334 GN=cra PE=3 SV=1</t>
  </si>
  <si>
    <t>OMPC_ECOLI</t>
  </si>
  <si>
    <t>ompC</t>
  </si>
  <si>
    <t>OMPC_ECO57; OMPC_ECOL5; OMPC_ECOL6; OMPN_ECOLI; YDDL_ECOLI; YEDS_ECOLI</t>
  </si>
  <si>
    <t>sp|P06996|OMPC_ECOLI Outer membrane porin C OS=Escherichia coli (strain K12) OX=83333 GN=ompC PE=1 SV=1</t>
  </si>
  <si>
    <t>RL27_ECO24</t>
  </si>
  <si>
    <t>rpmA</t>
  </si>
  <si>
    <t>RL27_ECO24; RL27_ECO27; RL27_ECO45; RL27_ECO55; RL27_ECO57; RL27_ECO5E; RL27_ECO7I; RL27_ECO81; RL27_ECO8A; RL27_ECOBW; RL27_ECODH; RL27_ECOHS; RL27_ECOL6; RL27_ECOLC; RL27_ECOLI; RL27_ECOLU; RL27_ECOSE; RL27_ECOSM; RL27_ECOUT</t>
  </si>
  <si>
    <t>RL27_ECOL5</t>
  </si>
  <si>
    <t>sp|A7ZS81|RL27_ECO24 50S ribosomal protein L27 OS=Escherichia coli O139:H28 (strain E24377A / ETEC) OX=331111 GN=rpmA PE=3 SV=1</t>
  </si>
  <si>
    <t>HNS_ECO57</t>
  </si>
  <si>
    <t>hns</t>
  </si>
  <si>
    <t>HNS_ECO57; HNS_ECOL6; HNS_ECOLI</t>
  </si>
  <si>
    <t>sp|P0ACG0|HNS_ECO57 DNA-binding protein H-NS OS=Escherichia coli O157:H7 OX=83334 GN=hns PE=3 SV=2</t>
  </si>
  <si>
    <t>RLMG_ECO57</t>
  </si>
  <si>
    <t>rlmG</t>
  </si>
  <si>
    <t>RLMG_ECO57; RLMG_ECO5E; RLMG_ECODH; RLMG_ECOK1; RLMG_ECOL5; RLMG_ECOL6; RLMG_ECOLC; RLMG_ECOLI; RLMG_ECOSM; RLMG_ECOUT</t>
  </si>
  <si>
    <t>RLMG_ECO24; RLMG_ECOHS</t>
  </si>
  <si>
    <t>sp|Q8XAK8|RLMG_ECO57 Ribosomal RNA large subunit methyltransferase G OS=Escherichia coli O157:H7 OX=83334 GN=rlmG PE=3 SV=3</t>
  </si>
  <si>
    <t>DPO3X_ECOLI</t>
  </si>
  <si>
    <t>dnaX</t>
  </si>
  <si>
    <t>sp|P06710|DPO3X_ECOLI DNA polymerase III subunit tau OS=Escherichia coli (strain K12) OX=83333 GN=dnaX PE=1 SV=1</t>
  </si>
  <si>
    <t>ALAC_ECOLI</t>
  </si>
  <si>
    <t>alaC</t>
  </si>
  <si>
    <t>sp|P77434|ALAC_ECOLI Glutamate-pyruvate aminotransferase AlaC OS=Escherichia coli (strain K12) OX=83333 GN=alaC PE=1 SV=1</t>
  </si>
  <si>
    <t>RL28_ECO24</t>
  </si>
  <si>
    <t>rpmB</t>
  </si>
  <si>
    <t>RL28_ECO24; RL28_ECO27; RL28_ECO45; RL28_ECO55; RL28_ECO57; RL28_ECO5E; RL28_ECO7I; RL28_ECO81; RL28_ECO8A; RL28_ECOBW; RL28_ECODH; RL28_ECOHS; RL28_ECOL5; RL28_ECOL6; RL28_ECOLC; RL28_ECOLI; RL28_ECOLU; RL28_ECOSE; RL28_ECOSM; RL28_ECOUT</t>
  </si>
  <si>
    <t>sp|A7ZTI8|RL28_ECO24 50S ribosomal protein L28 OS=Escherichia coli O139:H28 (strain E24377A / ETEC) OX=331111 GN=rpmB PE=3 SV=1</t>
  </si>
  <si>
    <t>SSRP_ECO24</t>
  </si>
  <si>
    <t>smpB</t>
  </si>
  <si>
    <t>SSRP_ECO24; SSRP_ECO27; SSRP_ECO45; SSRP_ECO55; SSRP_ECO57; SSRP_ECO5E; SSRP_ECO7I; SSRP_ECO81; SSRP_ECO8A; SSRP_ECOBW; SSRP_ECODH; SSRP_ECOHS; SSRP_ECOK1; SSRP_ECOL6; SSRP_ECOLC; SSRP_ECOLI; SSRP_ECOLU; SSRP_ECOSE; SSRP_ECOSM; SSRP_ECOUT</t>
  </si>
  <si>
    <t>SSRP_ECOL5</t>
  </si>
  <si>
    <t>sp|A7ZQ60|SSRP_ECO24 SsrA-binding protein OS=Escherichia coli O139:H28 (strain E24377A / ETEC) OX=331111 GN=smpB PE=3 SV=1</t>
  </si>
  <si>
    <t>YIID_ECO57</t>
  </si>
  <si>
    <t>yiiD</t>
  </si>
  <si>
    <t>YIID_ECO57; YIID_ECOL6; YIID_ECOLI</t>
  </si>
  <si>
    <t>sp|P0ADQ4|YIID_ECO57 Uncharacterized protein YiiD OS=Escherichia coli O157:H7 OX=83334 GN=yiiD PE=4 SV=1</t>
  </si>
  <si>
    <t>ILVI_ECOLI</t>
  </si>
  <si>
    <t>ilvI</t>
  </si>
  <si>
    <t>sp|P00893|ILVI_ECOLI Acetolactate synthase isozyme 3 large subunit OS=Escherichia coli (strain K12) OX=83333 GN=ilvI PE=1 SV=2</t>
  </si>
  <si>
    <t>GLPR_ECOLI</t>
  </si>
  <si>
    <t>glpR</t>
  </si>
  <si>
    <t>sp|P0ACL0|GLPR_ECOLI Glycerol-3-phosphate regulon repressor OS=Escherichia coli (strain K12) OX=83333 GN=glpR PE=1 SV=1</t>
  </si>
  <si>
    <t>RS17_ECO24</t>
  </si>
  <si>
    <t>rpsQ</t>
  </si>
  <si>
    <t>RS17_ECO24; RS17_ECO27; RS17_ECO45; RS17_ECO55; RS17_ECO57; RS17_ECO5E; RS17_ECO7I; RS17_ECO81; RS17_ECO8A; RS17_ECOBW; RS17_ECODH; RS17_ECOHS; RS17_ECOK1; RS17_ECOL5; RS17_ECOL6; RS17_ECOLC; RS17_ECOLI; RS17_ECOLU; RS17_ECOSE; RS17_ECOSM; RS17_ECOUT</t>
  </si>
  <si>
    <t>sp|A7ZSK0|RS17_ECO24 30S ribosomal protein S17 OS=Escherichia coli O139:H28 (strain E24377A / ETEC) OX=331111 GN=rpsQ PE=3 SV=1</t>
  </si>
  <si>
    <t>ICLR_ECOLI</t>
  </si>
  <si>
    <t>iclR</t>
  </si>
  <si>
    <t>sp|P16528|ICLR_ECOLI Transcriptional repressor IclR OS=Escherichia coli (strain K12) OX=83333 GN=iclR PE=1 SV=1</t>
  </si>
  <si>
    <t>SYQ_ECO24</t>
  </si>
  <si>
    <t>glnS</t>
  </si>
  <si>
    <t>SYQ_ECO24; SYQ_ECO27; SYQ_ECO45; SYQ_ECO55; SYQ_ECO7I; SYQ_ECO81; SYQ_ECO8A; SYQ_ECOBW; SYQ_ECODH; SYQ_ECOHS; SYQ_ECOK1; SYQ_ECOL5; SYQ_ECOL6; SYQ_ECOLC; SYQ_ECOLI; SYQ_ECOLU; SYQ_ECOSE; SYQ_ECOSM; SYQ_ECOUT</t>
  </si>
  <si>
    <t>SYQ_ECO57; SYQ_ECO5E</t>
  </si>
  <si>
    <t>sp|A7ZJ63|SYQ_ECO24 Glutamine--tRNA ligase OS=Escherichia coli O139:H28 (strain E24377A / ETEC) OX=331111 GN=glnS PE=3 SV=1</t>
  </si>
  <si>
    <t>CON__K2C1_HUMAN</t>
  </si>
  <si>
    <t>KRT1</t>
  </si>
  <si>
    <t>CON__G3N0V2_BOVIN; CON__K22E_HUMAN; CON__K2C1B_HUMAN; CON__K2C1B_MOUSE; CON__K2C71_MOUSE; CON__K2C73_MOUSE</t>
  </si>
  <si>
    <t>sp|P04264|CON__K2C1_HUMAN Keratin, type II cytoskeletal 1 OS=Homo sapiens OX=9606 GN=KRT1 PE=1 SV=6</t>
  </si>
  <si>
    <t>LAST_ECOLI</t>
  </si>
  <si>
    <t>lasT</t>
  </si>
  <si>
    <t>sp|P37005|LAST_ECOLI Uncharacterized tRNA/rRNA methyltransferase LasT OS=Escherichia coli (strain K12) OX=83333 GN=lasT PE=3 SV=2</t>
  </si>
  <si>
    <t>MURC_ECO24</t>
  </si>
  <si>
    <t>murC</t>
  </si>
  <si>
    <t>MURC_ECO24; MURC_ECO27; MURC_ECO45; MURC_ECO55; MURC_ECO57; MURC_ECO5E; MURC_ECO81; MURC_ECO8A; MURC_ECOBW; MURC_ECODH; MURC_ECOHS; MURC_ECOK1; MURC_ECOL6; MURC_ECOLC; MURC_ECOLI; MURC_ECOSE; MURC_ECOSM; MURC_ECOUT</t>
  </si>
  <si>
    <t>MURC_ECO7I; MURC_ECOL5; MURC_ECOLU</t>
  </si>
  <si>
    <t>sp|A7ZHI2|MURC_ECO24 UDP-N-acetylmuramate--L-alanine ligase OS=Escherichia coli O139:H28 (strain E24377A / ETEC) OX=331111 GN=murC PE=3 SV=1</t>
  </si>
  <si>
    <t>YCHF_ECO57</t>
  </si>
  <si>
    <t>ychF</t>
  </si>
  <si>
    <t>YCHF_ECO57; YCHF_ECOLI</t>
  </si>
  <si>
    <t>sp|P0ABU3|YCHF_ECO57 Ribosome-binding ATPase YchF OS=Escherichia coli O157:H7 OX=83334 GN=ychF PE=3 SV=2</t>
  </si>
  <si>
    <t>ABGA_ECOLI</t>
  </si>
  <si>
    <t>abgA</t>
  </si>
  <si>
    <t>sp|P77357|ABGA_ECOLI p-aminobenzoyl-glutamate hydrolase subunit A OS=Escherichia coli (strain K12) OX=83333 GN=abgA PE=1 SV=2</t>
  </si>
  <si>
    <t>ASPG1_ECO57</t>
  </si>
  <si>
    <t>ansA</t>
  </si>
  <si>
    <t>ASPG1_ECO57; ASPG1_ECOLI</t>
  </si>
  <si>
    <t>sp|P0A963|ASPG1_ECO57 L-asparaginase 1 OS=Escherichia coli O157:H7 OX=83334 GN=ansA PE=3 SV=1</t>
  </si>
  <si>
    <t>YDFZ_ECO57</t>
  </si>
  <si>
    <t>ydfZ</t>
  </si>
  <si>
    <t>YDFZ_ECO57; YDFZ_ECOL6; YDFZ_ECOLI</t>
  </si>
  <si>
    <t>sp|P64465|YDFZ_ECO57 Putative selenoprotein YdfZ OS=Escherichia coli O157:H7 OX=83334 GN=ydfZ PE=3 SV=1</t>
  </si>
  <si>
    <t>DNAJ_ECO24</t>
  </si>
  <si>
    <t>dnaJ</t>
  </si>
  <si>
    <t>DNAJ_ECO24; DNAJ_ECO27; DNAJ_ECO45; DNAJ_ECO55; DNAJ_ECO57; DNAJ_ECO5E; DNAJ_ECO7I; DNAJ_ECO81; DNAJ_ECO8A; DNAJ_ECOBW; DNAJ_ECODH; DNAJ_ECOHS; DNAJ_ECOL6; DNAJ_ECOLC; DNAJ_ECOLI; DNAJ_ECOLU; DNAJ_ECOSE; DNAJ_ECOSM; DNAJ_ECOUT</t>
  </si>
  <si>
    <t>sp|A7ZHA5|DNAJ_ECO24 Chaperone protein DnaJ OS=Escherichia coli O139:H28 (strain E24377A / ETEC) OX=331111 GN=dnaJ PE=3 SV=1</t>
  </si>
  <si>
    <t>ACP_ECO24</t>
  </si>
  <si>
    <t>acpP</t>
  </si>
  <si>
    <t>ACP_ECO24; ACP_ECO27; ACP_ECO45; ACP_ECO55; ACP_ECO57; ACP_ECO7I; ACP_ECO81; ACP_ECO8A; ACP_ECOBW; ACP_ECODH; ACP_ECOHS; ACP_ECOL5; ACP_ECOL6; ACP_ECOLC; ACP_ECOLI; ACP_ECOSE; ACP_ECOSM; ACP_ECOUT</t>
  </si>
  <si>
    <t>sp|A7ZKJ7|ACP_ECO24 Acyl carrier protein OS=Escherichia coli O139:H28 (strain E24377A / ETEC) OX=331111 GN=acpP PE=3 SV=1</t>
  </si>
  <si>
    <t>PGK_ECO24</t>
  </si>
  <si>
    <t>pgk</t>
  </si>
  <si>
    <t>PGK_ECO24; PGK_ECO57; PGK_ECOHS; PGK_ECOK1; PGK_ECOL5; PGK_ECOL6; PGK_ECOLC; PGK_ECOLI</t>
  </si>
  <si>
    <t>sp|A7ZR34|PGK_ECO24 Phosphoglycerate kinase OS=Escherichia coli O139:H28 (strain E24377A / ETEC) OX=331111 GN=pgk PE=3 SV=1</t>
  </si>
  <si>
    <t>ECNB_ECO57</t>
  </si>
  <si>
    <t>ecnB</t>
  </si>
  <si>
    <t>ECNB_ECO57; ECNB_ECOL6; ECNB_ECOLI</t>
  </si>
  <si>
    <t>sp|P0ADB9|ECNB_ECO57 Entericidin B OS=Escherichia coli O157:H7 OX=83334 GN=ecnB PE=3 SV=1</t>
  </si>
  <si>
    <t>GNSB_ECOLI</t>
  </si>
  <si>
    <t>gnsB</t>
  </si>
  <si>
    <t>GNSA_ECOL6; GNSA_ECOLI</t>
  </si>
  <si>
    <t>sp|P77695|GNSB_ECOLI Protein GnsB OS=Escherichia coli (strain K12) OX=83333 GN=gnsB PE=3 SV=2</t>
  </si>
  <si>
    <t>RL34_ECO24</t>
  </si>
  <si>
    <t>rpmH</t>
  </si>
  <si>
    <t>RL34_ECO24; RL34_ECO27; RL34_ECO45; RL34_ECO55; RL34_ECO57; RL34_ECO5E; RL34_ECO7I; RL34_ECO81; RL34_ECO8A; RL34_ECOBW; RL34_ECODH; RL34_ECOHS; RL34_ECOL6; RL34_ECOLC; RL34_ECOLI; RL34_ECOLU; RL34_ECOSE; RL34_ECOSM; RL34_ECOUT</t>
  </si>
  <si>
    <t>sp|A7ZTQ9|RL34_ECO24 50S ribosomal protein L34 OS=Escherichia coli O139:H28 (strain E24377A / ETEC) OX=331111 GN=rpmH PE=3 SV=1</t>
  </si>
  <si>
    <t>FIMA1_ECOLI</t>
  </si>
  <si>
    <t>fimA</t>
  </si>
  <si>
    <t>FIMA1_ECOLI; FIMA1_ECOLX</t>
  </si>
  <si>
    <t>sp|P04128|FIMA1_ECOLI Type-1 fimbrial protein, A chain OS=Escherichia coli (strain K12) OX=83333 GN=fimA PE=1 SV=2</t>
  </si>
  <si>
    <t>USPF_ECOLI</t>
  </si>
  <si>
    <t>uspF</t>
  </si>
  <si>
    <t>USPF_ECO57; USPF_ECOL5; USPF_ECOL6</t>
  </si>
  <si>
    <t>sp|P37903|USPF_ECOLI Universal stress protein F OS=Escherichia coli (strain K12) OX=83333 GN=uspF PE=1 SV=2</t>
  </si>
  <si>
    <t>TIG_ECO24</t>
  </si>
  <si>
    <t>tig</t>
  </si>
  <si>
    <t>TIG_ECO24; TIG_ECO27; TIG_ECO45; TIG_ECO55; TIG_ECO57; TIG_ECO5E; TIG_ECO7I; TIG_ECO81; TIG_ECO8A; TIG_ECOBW; TIG_ECODH; TIG_ECOHS; TIG_ECOK1; TIG_ECOL5; TIG_ECOL6; TIG_ECOLC; TIG_ECOLI; TIG_ECOLU; TIG_ECOSE; TIG_ECOSM; TIG_ECOUT</t>
  </si>
  <si>
    <t>sp|A7ZIJ4|TIG_ECO24 Trigger factor OS=Escherichia coli O139:H28 (strain E24377A / ETEC) OX=331111 GN=tig PE=3 SV=1</t>
  </si>
  <si>
    <t>ARNA_ECO24</t>
  </si>
  <si>
    <t>arnA</t>
  </si>
  <si>
    <t>ARNA_ECO24; ARNA_ECO27; ARNA_ECO45; ARNA_ECO55; ARNA_ECO57; ARNA_ECO5E; ARNA_ECO81; ARNA_ECO8A; ARNA_ECOBW; ARNA_ECODH; ARNA_ECOHS; ARNA_ECOK1; ARNA_ECOL5; ARNA_ECOL6; ARNA_ECOLC; ARNA_ECOLI; ARNA_ECOSE; ARNA_ECOUT</t>
  </si>
  <si>
    <t>ARNA_ECO7I; ARNA_ECOLU; ARNA_ECOSM</t>
  </si>
  <si>
    <t>sp|A7ZP73|ARNA_ECO24 Bifunctional polymyxin resistance protein ArnA OS=Escherichia coli O139:H28 (strain E24377A / ETEC) OX=331111 GN=arnA PE=3 SV=1</t>
  </si>
  <si>
    <t>PFLB_ECOLI</t>
  </si>
  <si>
    <t>pflB</t>
  </si>
  <si>
    <t>sp|P09373|PFLB_ECOLI Formate acetyltransferase 1 OS=Escherichia coli (strain K12) OX=83333 GN=pflB PE=1 SV=2</t>
  </si>
  <si>
    <t>DBHB_ECO57</t>
  </si>
  <si>
    <t>hupB</t>
  </si>
  <si>
    <t>DBHB_ECO57; DBHB_ECOL6; DBHB_ECOLI</t>
  </si>
  <si>
    <t>sp|P0ACF6|DBHB_ECO57 DNA-binding protein HU-beta OS=Escherichia coli O157:H7 OX=83334 GN=hupB PE=3 SV=1</t>
  </si>
  <si>
    <t>CON__K1C9_HUMAN</t>
  </si>
  <si>
    <t>KRT9</t>
  </si>
  <si>
    <t>sp|P35527|CON__K1C9_HUMAN Keratin, type I cytoskeletal 9 OS=Homo sapiens OX=9606 GN=KRT9 PE=1 SV=3</t>
  </si>
  <si>
    <t>PUR8_ECOL6</t>
  </si>
  <si>
    <t>purB</t>
  </si>
  <si>
    <t>PUR8_ECOL6; PUR8_ECOLI</t>
  </si>
  <si>
    <t>sp|P0AB90|PUR8_ECOL6 Adenylosuccinate lyase OS=Escherichia coli O6:H1 (strain CFT073 / ATCC 700928 / UPEC) OX=199310 GN=purB PE=3 SV=1</t>
  </si>
  <si>
    <t>HSLO_ECO27</t>
  </si>
  <si>
    <t>hslO</t>
  </si>
  <si>
    <t>HSLO_ECO27; HSLO_ECO45; HSLO_ECO55; HSLO_ECO57; HSLO_ECO7I; HSLO_ECO81; HSLO_ECO8A; HSLO_ECOBW; HSLO_ECODH; HSLO_ECOL6; HSLO_ECOLI; HSLO_ECOLU; HSLO_ECOSM</t>
  </si>
  <si>
    <t>sp|B7UKA5|HSLO_ECO27 33 kDa chaperonin OS=Escherichia coli O127:H6 (strain E2348/69 / EPEC) OX=574521 GN=hslO PE=3 SV=1</t>
  </si>
  <si>
    <t>CSPE_ECO57</t>
  </si>
  <si>
    <t>cspE</t>
  </si>
  <si>
    <t>CSPE_ECO57; CSPE_ECOL6; CSPE_ECOLI; CSPE_ECOLW</t>
  </si>
  <si>
    <t>sp|P0A974|CSPE_ECO57 Cold shock-like protein CspE OS=Escherichia coli O157:H7 OX=83334 GN=cspE PE=3 SV=2</t>
  </si>
  <si>
    <t>SRA_ECO57</t>
  </si>
  <si>
    <t>sra</t>
  </si>
  <si>
    <t>SRA_ECO57; SRA_ECOL5; SRA_ECOL6; SRA_ECOLI; SRA_ECOUT</t>
  </si>
  <si>
    <t>sp|P68193|SRA_ECO57 Stationary-phase-induced ribosome-associated protein OS=Escherichia coli O157:H7 OX=83334 GN=sra PE=3 SV=1</t>
  </si>
  <si>
    <t>MPL_ECOLI</t>
  </si>
  <si>
    <t>mpl</t>
  </si>
  <si>
    <t>sp|P37773|MPL_ECOLI UDP-N-acetylmuramate--L-alanyl-gamma-D-glutamyl-meso-2,6-diaminoheptandioate ligase OS=Escherichia coli (strain K12) OX=83333 GN=mpl PE=1 SV=3</t>
  </si>
  <si>
    <t>EX7S_ECO24</t>
  </si>
  <si>
    <t>xseB</t>
  </si>
  <si>
    <t>EX7S_ECO24; EX7S_ECO27; EX7S_ECO45; EX7S_ECO55; EX7S_ECO57; EX7S_ECO5E; EX7S_ECO7I; EX7S_ECO81; EX7S_ECO8A; EX7S_ECOBW; EX7S_ECODH; EX7S_ECOHS; EX7S_ECOL5; EX7S_ECOL6; EX7S_ECOLC; EX7S_ECOLI; EX7S_ECOLU; EX7S_ECOSE; EX7S_ECOSM; EX7S_ECOUT</t>
  </si>
  <si>
    <t>sp|A7ZIH5|EX7S_ECO24 Exodeoxyribonuclease 7 small subunit OS=Escherichia coli O139:H28 (strain E24377A / ETEC) OX=331111 GN=xseB PE=3 SV=1</t>
  </si>
  <si>
    <t>DPS_ECO24</t>
  </si>
  <si>
    <t>dps</t>
  </si>
  <si>
    <t>DPS_ECO24; DPS_ECO27; DPS_ECO45; DPS_ECO55; DPS_ECO57; DPS_ECO5E; DPS_ECO7I; DPS_ECO81; DPS_ECO8A; DPS_ECOBW; DPS_ECODH; DPS_ECOHS; DPS_ECOL5; DPS_ECOL6; DPS_ECOLC; DPS_ECOLI; DPS_ECOLU; DPS_ECOSE; DPS_ECOSM; DPS_ECOUT</t>
  </si>
  <si>
    <t>sp|A7ZJM7|DPS_ECO24 DNA protection during starvation protein OS=Escherichia coli O139:H28 (strain E24377A / ETEC) OX=331111 GN=dps PE=3 SV=1</t>
  </si>
  <si>
    <t>ADHE_ECO57</t>
  </si>
  <si>
    <t>adhE</t>
  </si>
  <si>
    <t>ADHE_ECO57; ADHE_ECOLI</t>
  </si>
  <si>
    <t>sp|P0A9Q8|ADHE_ECO57 Aldehyde-alcohol dehydrogenase OS=Escherichia coli O157:H7 OX=83334 GN=adhE PE=3 SV=2</t>
  </si>
  <si>
    <t>PT1_ECOLI</t>
  </si>
  <si>
    <t>ptsI</t>
  </si>
  <si>
    <t>sp|P08839|PT1_ECOLI Phosphoenolpyruvate-protein phosphotransferase OS=Escherichia coli (strain K12) OX=83333 GN=ptsI PE=1 SV=1</t>
  </si>
  <si>
    <t>KPPR_ECOLI</t>
  </si>
  <si>
    <t>prkB</t>
  </si>
  <si>
    <t>sp|P0AEX5|KPPR_ECOLI Probable phosphoribulokinase OS=Escherichia coli (strain K12) OX=83333 GN=prkB PE=3 SV=1</t>
  </si>
  <si>
    <t>YJDM_ECO57</t>
  </si>
  <si>
    <t>yjdM</t>
  </si>
  <si>
    <t>YJDM_ECO57; YJDM_ECOL6; YJDM_ECOLI</t>
  </si>
  <si>
    <t>sp|P0AFJ3|YJDM_ECO57 Protein YjdM OS=Escherichia coli O157:H7 OX=83334 GN=yjdM PE=3 SV=1</t>
  </si>
  <si>
    <t>OBG_ECODH</t>
  </si>
  <si>
    <t>obg</t>
  </si>
  <si>
    <t>OBG_ECODH; OBG_ECOLI</t>
  </si>
  <si>
    <t>sp|B1XHF9|OBG_ECODH GTPase Obg OS=Escherichia coli (strain K12 / DH10B) OX=316385 GN=obg PE=3 SV=1</t>
  </si>
  <si>
    <t>GLMS_ECO57</t>
  </si>
  <si>
    <t>glmS</t>
  </si>
  <si>
    <t>GLMS_ECO57; GLMS_ECOL6; GLMS_ECOLI</t>
  </si>
  <si>
    <t>sp|Q8XEG2|GLMS_ECO57 Glutamine--fructose-6-phosphate aminotransferase [isomerizing] OS=Escherichia coli O157:H7 OX=83334 GN=glmS PE=3 SV=3</t>
  </si>
  <si>
    <t>RL35_ECO27</t>
  </si>
  <si>
    <t>rpmI</t>
  </si>
  <si>
    <t>RL35_ECO27; RL35_ECO45; RL35_ECO55; RL35_ECO57; RL35_ECO5E; RL35_ECO7I; RL35_ECO81; RL35_ECO8A; RL35_ECOBW; RL35_ECODH; RL35_ECOHS; RL35_ECOL5; RL35_ECOLC; RL35_ECOLI; RL35_ECOLU; RL35_ECOSE; RL35_ECOSM; RL35_ECOUT</t>
  </si>
  <si>
    <t>sp|B7USA0|RL35_ECO27 50S ribosomal protein L35 OS=Escherichia coli O127:H6 (strain E2348/69 / EPEC) OX=574521 GN=rpmI PE=3 SV=1</t>
  </si>
  <si>
    <t>JAYE_ECOLI</t>
  </si>
  <si>
    <t>jayE</t>
  </si>
  <si>
    <t>sp|P75981|JAYE_ECOLI Putative protein JayE OS=Escherichia coli (strain K12) OX=83333 GN=jayE PE=5 SV=1</t>
  </si>
  <si>
    <t>CBPA_ECO24</t>
  </si>
  <si>
    <t>cbpA</t>
  </si>
  <si>
    <t>CBPA_ECO24; CBPA_ECO27; CBPA_ECO45; CBPA_ECO55; CBPA_ECO57; CBPA_ECO5E; CBPA_ECO7I; CBPA_ECO81; CBPA_ECO8A; CBPA_ECOBW; CBPA_ECODH; CBPA_ECOHS; CBPA_ECOK1; CBPA_ECOL5; CBPA_ECOL6; CBPA_ECOLC; CBPA_ECOLI; CBPA_ECOLU; CBPA_ECOSE; CBPA_ECOSM; CBPA_ECOUT</t>
  </si>
  <si>
    <t>sp|A7ZKA5|CBPA_ECO24 Curved DNA-binding protein OS=Escherichia coli O139:H28 (strain E24377A / ETEC) OX=331111 GN=cbpA PE=3 SV=1</t>
  </si>
  <si>
    <t>OMPA_ECO57</t>
  </si>
  <si>
    <t>ompA</t>
  </si>
  <si>
    <t>OMPA_ECO57; OMPA_ECOLI</t>
  </si>
  <si>
    <t>sp|P0A911|OMPA_ECO57 Outer membrane protein A OS=Escherichia coli O157:H7 OX=83334 GN=ompA PE=3 SV=1</t>
  </si>
  <si>
    <t>YBED_ECO24</t>
  </si>
  <si>
    <t>ybeD</t>
  </si>
  <si>
    <t>YBED_ECO24; YBED_ECO27; YBED_ECO45; YBED_ECO55; YBED_ECO57; YBED_ECO5E; YBED_ECO7I; YBED_ECO81; YBED_ECO8A; YBED_ECOBW; YBED_ECOHS; YBED_ECOK1; YBED_ECOL5; YBED_ECOL6; YBED_ECOLC; YBED_ECOLI; YBED_ECOLU; YBED_ECOSE; YBED_ECOSM; YBED_ECOUT</t>
  </si>
  <si>
    <t>sp|A7ZJ19|YBED_ECO24 UPF0250 protein YbeD OS=Escherichia coli O139:H28 (strain E24377A / ETEC) OX=331111 GN=ybeD PE=3 SV=1</t>
  </si>
  <si>
    <t>DEAD_ECO57</t>
  </si>
  <si>
    <t>deaD</t>
  </si>
  <si>
    <t>DEAD_ECO57; DEAD_ECOL6; DEAD_ECOLI</t>
  </si>
  <si>
    <t>sp|Q8XA87|DEAD_ECO57 ATP-dependent RNA helicase DeaD OS=Escherichia coli O157:H7 OX=83334 GN=deaD PE=3 SV=3</t>
  </si>
  <si>
    <t>SKP_ECO57</t>
  </si>
  <si>
    <t>skp</t>
  </si>
  <si>
    <t>SKP_ECO57; SKP_ECOL6; SKP_ECOLI</t>
  </si>
  <si>
    <t>sp|P0AEU9|SKP_ECO57 Chaperone protein Skp OS=Escherichia coli O157:H7 OX=83334 GN=skp PE=3 SV=1</t>
  </si>
  <si>
    <t>PPK1_ECO57</t>
  </si>
  <si>
    <t>ppk</t>
  </si>
  <si>
    <t>PPK1_ECO57; PPK1_ECOL6; PPK1_ECOLI</t>
  </si>
  <si>
    <t>sp|P0A7B2|PPK1_ECO57 Polyphosphate kinase OS=Escherichia coli O157:H7 OX=83334 GN=ppk PE=3 SV=2</t>
  </si>
  <si>
    <t>ATDA_ECO57</t>
  </si>
  <si>
    <t>speG</t>
  </si>
  <si>
    <t>ATDA_ECO57; ATDA_ECOLI</t>
  </si>
  <si>
    <t>sp|P0A952|ATDA_ECO57 Spermidine N(1)-acetyltransferase OS=Escherichia coli O157:H7 OX=83334 GN=speG PE=3 SV=2</t>
  </si>
  <si>
    <t>PFKA_ECO24</t>
  </si>
  <si>
    <t>pfkA</t>
  </si>
  <si>
    <t>PFKA_ECO24; PFKA_ECO27; PFKA_ECO45; PFKA_ECO55; PFKA_ECO57; PFKA_ECO5E; PFKA_ECO7I; PFKA_ECO81; PFKA_ECO8A; PFKA_ECOBW; PFKA_ECODH; PFKA_ECOHS; PFKA_ECOL5; PFKA_ECOL6; PFKA_ECOLC; PFKA_ECOLI; PFKA_ECOLU; PFKA_ECOSE; PFKA_ECOSM</t>
  </si>
  <si>
    <t>sp|A7ZUC9|PFKA_ECO24 ATP-dependent 6-phosphofructokinase isozyme 1 OS=Escherichia coli O139:H28 (strain E24377A / ETEC) OX=331111 GN=pfkA PE=3 SV=1</t>
  </si>
  <si>
    <t>HTPG_ECO24</t>
  </si>
  <si>
    <t>htpG</t>
  </si>
  <si>
    <t>HTPG_ECO24; HTPG_ECO57; HTPG_ECOHS; HTPG_ECOK1; HTPG_ECOL5; HTPG_ECOL6; HTPG_ECOLC; HTPG_ECOLI; HTPG_ECOUT</t>
  </si>
  <si>
    <t>sp|A7ZIN3|HTPG_ECO24 Chaperone protein HtpG OS=Escherichia coli O139:H28 (strain E24377A / ETEC) OX=331111 GN=htpG PE=3 SV=1</t>
  </si>
  <si>
    <t>RL31_ECO24</t>
  </si>
  <si>
    <t>rpmE</t>
  </si>
  <si>
    <t>RL31_ECO24; RL31_ECO27; RL31_ECO45; RL31_ECO55; RL31_ECO57; RL31_ECO5E; RL31_ECO7I; RL31_ECO81; RL31_ECO8A; RL31_ECOBW; RL31_ECODH; RL31_ECOHS; RL31_ECOL5; RL31_ECOL6; RL31_ECOLC; RL31_ECOLI; RL31_ECOLU; RL31_ECOSE; RL31_ECOSM; RL31_ECOUT</t>
  </si>
  <si>
    <t>sp|A7ZUF1|RL31_ECO24 50S ribosomal protein L31 OS=Escherichia coli O139:H28 (strain E24377A / ETEC) OX=331111 GN=rpmE PE=3 SV=1</t>
  </si>
  <si>
    <t>CDSA_ECO57</t>
  </si>
  <si>
    <t>cdsA</t>
  </si>
  <si>
    <t>CDSA_ECO57; CDSA_ECOLI</t>
  </si>
  <si>
    <t>sp|P0ABG2|CDSA_ECO57 Phosphatidate cytidylyltransferase OS=Escherichia coli O157:H7 OX=83334 GN=cdsA PE=3 SV=2</t>
  </si>
  <si>
    <t>RIMM_ECO24</t>
  </si>
  <si>
    <t>rimM</t>
  </si>
  <si>
    <t>RIMM_ECO24; RIMM_ECO27; RIMM_ECO45; RIMM_ECO55; RIMM_ECO57; RIMM_ECO5E; RIMM_ECO7I; RIMM_ECO81; RIMM_ECO8A; RIMM_ECOBW; RIMM_ECODH; RIMM_ECOHS; RIMM_ECOK1; RIMM_ECOL5; RIMM_ECOL6; RIMM_ECOLC; RIMM_ECOLI; RIMM_ECOLU; RIMM_ECOSE; RIMM_ECOSM; RIMM_ECOUT</t>
  </si>
  <si>
    <t>sp|A7ZQ48|RIMM_ECO24 Ribosome maturation factor RimM OS=Escherichia coli O139:H28 (strain E24377A / ETEC) OX=331111 GN=rimM PE=3 SV=1</t>
  </si>
  <si>
    <t>YEGQ_ECOLI</t>
  </si>
  <si>
    <t>yegQ</t>
  </si>
  <si>
    <t>sp|P76403|YEGQ_ECOLI Uncharacterized protease YegQ OS=Escherichia coli (strain K12) OX=83333 GN=yegQ PE=3 SV=1</t>
  </si>
  <si>
    <t>PFLA_ECO57</t>
  </si>
  <si>
    <t>pflA</t>
  </si>
  <si>
    <t>PFLA_ECO57; PFLA_ECOL6; PFLA_ECOLI</t>
  </si>
  <si>
    <t>sp|P0A9N6|PFLA_ECO57 Pyruvate formate-lyase 1-activating enzyme OS=Escherichia coli O157:H7 OX=83334 GN=pflA PE=3 SV=2</t>
  </si>
  <si>
    <t>GNGF_ECO57</t>
  </si>
  <si>
    <t>ybhK</t>
  </si>
  <si>
    <t>GNGF_ECO57; GNGF_ECOLI</t>
  </si>
  <si>
    <t>sp|P58585|GNGF_ECO57 Putative gluconeogenesis factor OS=Escherichia coli O157:H7 OX=83334 GN=ybhK PE=3 SV=1</t>
  </si>
  <si>
    <t>RRAA_ECO24</t>
  </si>
  <si>
    <t>rraA</t>
  </si>
  <si>
    <t>RRAA_ECO24; RRAA_ECO27; RRAA_ECO45; RRAA_ECO55; RRAA_ECO57; RRAA_ECO5E; RRAA_ECO7I; RRAA_ECO81; RRAA_ECO8A; RRAA_ECOBW; RRAA_ECODH; RRAA_ECOHS; RRAA_ECOL5; RRAA_ECOL6; RRAA_ECOLC; RRAA_ECOLI; RRAA_ECOLU; RRAA_ECOSE; RRAA_ECOSM; RRAA_ECOUT</t>
  </si>
  <si>
    <t>sp|A7ZUE4|RRAA_ECO24 Regulator of ribonuclease activity A OS=Escherichia coli O139:H28 (strain E24377A / ETEC) OX=331111 GN=rraA PE=3 SV=1</t>
  </si>
  <si>
    <t>HEM4_ECOLI</t>
  </si>
  <si>
    <t>hemD</t>
  </si>
  <si>
    <t>sp|P09126|HEM4_ECOLI Uroporphyrinogen-III synthase OS=Escherichia coli (strain K12) OX=83333 GN=hemD PE=3 SV=1</t>
  </si>
  <si>
    <t>GATD_ECO57</t>
  </si>
  <si>
    <t>gatD</t>
  </si>
  <si>
    <t>GATD_ECO57; GATD_ECOLI</t>
  </si>
  <si>
    <t>sp|P0A9S4|GATD_ECO57 Galactitol 1-phosphate 5-dehydrogenase OS=Escherichia coli O157:H7 OX=83334 GN=gatD PE=3 SV=1</t>
  </si>
  <si>
    <t>RECA_ECO24</t>
  </si>
  <si>
    <t>recA</t>
  </si>
  <si>
    <t>RECA_ECO24; RECA_ECO27; RECA_ECO45; RECA_ECO55; RECA_ECO57; RECA_ECO5E; RECA_ECO7I; RECA_ECO81; RECA_ECO8A; RECA_ECOBW; RECA_ECOHS; RECA_ECOL5; RECA_ECOL6; RECA_ECOLC; RECA_ECOLI; RECA_ECOLU; RECA_ECOSE; RECA_ECOSM; RECA_ECOUT</t>
  </si>
  <si>
    <t>sp|A7ZQC8|RECA_ECO24 Protein RecA OS=Escherichia coli O139:H28 (strain E24377A / ETEC) OX=331111 GN=recA PE=3 SV=1</t>
  </si>
  <si>
    <t>ARGE_ECO24</t>
  </si>
  <si>
    <t>argE</t>
  </si>
  <si>
    <t>ARGE_ECO24; ARGE_ECO27; ARGE_ECO45; ARGE_ECO55; ARGE_ECO57; ARGE_ECO5E; ARGE_ECO7I; ARGE_ECO81; ARGE_ECO8A; ARGE_ECOBW; ARGE_ECODH; ARGE_ECOHS; ARGE_ECOL5; ARGE_ECOL6; ARGE_ECOLC; ARGE_ECOLI; ARGE_ECOLU; ARGE_ECOSE; ARGE_ECOSM</t>
  </si>
  <si>
    <t>sp|A7ZUH5|ARGE_ECO24 Acetylornithine deacetylase OS=Escherichia coli O139:H28 (strain E24377A / ETEC) OX=331111 GN=argE PE=3 SV=1</t>
  </si>
  <si>
    <t>CH601_ECOK1</t>
  </si>
  <si>
    <t>groL1</t>
  </si>
  <si>
    <t>CH601_ECOK1; CH602_ECOK1; CH60_ECO24; CH60_ECO27; CH60_ECO45; CH60_ECO55; CH60_ECO57; CH60_ECO5E; CH60_ECO7I; CH60_ECO81; CH60_ECO8A; CH60_ECOBW; CH60_ECODH; CH60_ECOHS; CH60_ECOL5; CH60_ECOL6; CH60_ECOLC; CH60_ECOLI; CH60_ECOLU; CH60_ECOSE; CH60_ECOSM; CH60_ECOUT</t>
  </si>
  <si>
    <t>sp|A1AJ51|CH601_ECOK1 60 kDa chaperonin 1 OS=Escherichia coli O1:K1 / APEC OX=405955 GN=groL1 PE=3 SV=1</t>
  </si>
  <si>
    <t>VIOB_ECOLX</t>
  </si>
  <si>
    <t>vioB</t>
  </si>
  <si>
    <t>sp|Q9XCW3|VIOB_ECOLX dTDP-4-amino-4,6-dideoxy-D-glucose acyltransferase OS=Escherichia coli OX=562 GN=vioB PE=1 SV=1</t>
  </si>
  <si>
    <t>DCEB_ECO57</t>
  </si>
  <si>
    <t>gadB</t>
  </si>
  <si>
    <t>DCEB_ECO57; DCEB_ECOL6; DCEB_ECOLI</t>
  </si>
  <si>
    <t>sp|P69911|DCEB_ECO57 Glutamate decarboxylase beta OS=Escherichia coli O157:H7 OX=83334 GN=gadB PE=3 SV=1</t>
  </si>
  <si>
    <t>DEOR_ECO57</t>
  </si>
  <si>
    <t>deoR</t>
  </si>
  <si>
    <t>DEOR_ECO57; DEOR_ECOL6; DEOR_ECOLI</t>
  </si>
  <si>
    <t>sp|P0ACK7|DEOR_ECO57 Deoxyribose operon repressor OS=Escherichia coli O157:H7 OX=83334 GN=deoR PE=3 SV=1</t>
  </si>
  <si>
    <t>KATG1_ECO57</t>
  </si>
  <si>
    <t>katG1</t>
  </si>
  <si>
    <t>KATG1_ECO57; KATG_ECO24; KATG_ECODH; KATG_ECOHS; KATG_ECOK1; KATG_ECOL5; KATG_ECOL6; KATG_ECOLC; KATG_ECOLI; KATG_ECOSM; KATG_ECOUT</t>
  </si>
  <si>
    <t>sp|Q7A978|KATG1_ECO57 Catalase-peroxidase 1 OS=Escherichia coli O157:H7 OX=83334 GN=katG1 PE=3 SV=1</t>
  </si>
  <si>
    <t>PTRA_ECO57</t>
  </si>
  <si>
    <t>ptrA</t>
  </si>
  <si>
    <t>PTRA_ECO57; PTRA_ECOL6; PTRA_ECOLI</t>
  </si>
  <si>
    <t>sp|Q8X6M8|PTRA_ECO57 Protease 3 OS=Escherichia coli O157:H7 OX=83334 GN=ptrA PE=3 SV=1</t>
  </si>
  <si>
    <t>GLYA_ECO24</t>
  </si>
  <si>
    <t>glyA</t>
  </si>
  <si>
    <t>GLYA_ECO24; GLYA_ECO27; GLYA_ECO45; GLYA_ECO55; GLYA_ECO57; GLYA_ECO5E; GLYA_ECO7I; GLYA_ECO81; GLYA_ECO8A; GLYA_ECOBW; GLYA_ECODH; GLYA_ECOHS; GLYA_ECOK1; GLYA_ECOL5; GLYA_ECOL6; GLYA_ECOLC; GLYA_ECOLI; GLYA_ECOLU; GLYA_ECOSE; GLYA_ECOSM; GLYA_ECOUT</t>
  </si>
  <si>
    <t>sp|A7ZPZ4|GLYA_ECO24 Serine hydroxymethyltransferase OS=Escherichia coli O139:H28 (strain E24377A / ETEC) OX=331111 GN=glyA PE=3 SV=1</t>
  </si>
  <si>
    <t>GUTQ_ECO57</t>
  </si>
  <si>
    <t>gutQ</t>
  </si>
  <si>
    <t>GUTQ_ECO57; GUTQ_ECOL6; GUTQ_ECOLI</t>
  </si>
  <si>
    <t>sp|Q8X4S5|GUTQ_ECO57 Arabinose 5-phosphate isomerase GutQ OS=Escherichia coli O157:H7 OX=83334 GN=gutQ PE=3 SV=3</t>
  </si>
  <si>
    <t>EX7L_ECO55</t>
  </si>
  <si>
    <t>xseA</t>
  </si>
  <si>
    <t>EX7L_ECO55; EX7L_ECO57; EX7L_ECO5E; EX7L_ECO8A; EX7L_ECOBW; EX7L_ECODH; EX7L_ECOHS; EX7L_ECOLC; EX7L_ECOLI; EX7L_ECOSE</t>
  </si>
  <si>
    <t>sp|B7LCP9|EX7L_ECO55 Exodeoxyribonuclease 7 large subunit OS=Escherichia coli (strain 55989 / EAEC) OX=585055 GN=xseA PE=3 SV=1</t>
  </si>
  <si>
    <t>COAA_ECO24</t>
  </si>
  <si>
    <t>coaA</t>
  </si>
  <si>
    <t>COAA_ECO24; COAA_ECO27; COAA_ECO45; COAA_ECO55; COAA_ECO57; COAA_ECO7I; COAA_ECO81; COAA_ECO8A; COAA_ECOBW; COAA_ECODH; COAA_ECOHS; COAA_ECOK1; COAA_ECOL5; COAA_ECOL6; COAA_ECOLI; COAA_ECOLU; COAA_ECOSM; COAA_ECOUT</t>
  </si>
  <si>
    <t>sp|A7ZUJ0|COAA_ECO24 Pantothenate kinase OS=Escherichia coli O139:H28 (strain E24377A / ETEC) OX=331111 GN=coaA PE=3 SV=1</t>
  </si>
  <si>
    <t>G3P1_ECO57</t>
  </si>
  <si>
    <t>gapA</t>
  </si>
  <si>
    <t>G3P1_ECO57; G3P1_ECOLI; G3P_ECOL6</t>
  </si>
  <si>
    <t>G3P2_ECO57</t>
  </si>
  <si>
    <t>sp|P0A9B4|G3P1_ECO57 Glyceraldehyde-3-phosphate dehydrogenase A OS=Escherichia coli O157:H7 OX=83334 GN=gapA PE=3 SV=2</t>
  </si>
  <si>
    <t>DPO3A_ECO57</t>
  </si>
  <si>
    <t>dnaE</t>
  </si>
  <si>
    <t>DPO3A_ECO57; DPO3A_ECOL6; DPO3A_ECOLI</t>
  </si>
  <si>
    <t>sp|Q8X8X5|DPO3A_ECO57 DNA polymerase III subunit alpha OS=Escherichia coli O157:H7 OX=83334 GN=dnaE PE=3 SV=1</t>
  </si>
  <si>
    <t>YHBY_ECO57</t>
  </si>
  <si>
    <t>yhbY</t>
  </si>
  <si>
    <t>YHBY_ECO57; YHBY_ECOL6; YHBY_ECOLI</t>
  </si>
  <si>
    <t>sp|P0AGK6|YHBY_ECO57 RNA-binding protein YhbY OS=Escherichia coli O157:H7 OX=83334 GN=yhbY PE=4 SV=1</t>
  </si>
  <si>
    <t>BETB_ECO24</t>
  </si>
  <si>
    <t>betB</t>
  </si>
  <si>
    <t>BETB_ECO24; BETB_ECO27; BETB_ECO45; BETB_ECO55; BETB_ECO57; BETB_ECO5E; BETB_ECO7I; BETB_ECO8A; BETB_ECODH; BETB_ECOHS; BETB_ECOL5; BETB_ECOL6; BETB_ECOLC; BETB_ECOLI; BETB_ECOLU; BETB_ECOSE; BETB_ECOSM</t>
  </si>
  <si>
    <t>sp|A7ZI51|BETB_ECO24 NAD/NADP-dependent betaine aldehyde dehydrogenase OS=Escherichia coli O139:H28 (strain E24377A / ETEC) OX=331111 GN=betB PE=3 SV=1</t>
  </si>
  <si>
    <t>CLPB_ECO57</t>
  </si>
  <si>
    <t>clpB</t>
  </si>
  <si>
    <t>CLPB_ECO57; CLPB_ECOL6; CLPB_ECOLI</t>
  </si>
  <si>
    <t>sp|P63285|CLPB_ECO57 Chaperone protein ClpB OS=Escherichia coli O157:H7 OX=83334 GN=clpB PE=3 SV=1</t>
  </si>
  <si>
    <t>PYRI_ECO24</t>
  </si>
  <si>
    <t>pyrI</t>
  </si>
  <si>
    <t>PYRI_ECO24; PYRI_ECO27; PYRI_ECO45; PYRI_ECO55; PYRI_ECO57; PYRI_ECO5E; PYRI_ECO7I; PYRI_ECO81; PYRI_ECO8A; PYRI_ECOBW; PYRI_ECODH; PYRI_ECOHS; PYRI_ECOK1; PYRI_ECOL5; PYRI_ECOL6; PYRI_ECOLC; PYRI_ECOLI; PYRI_ECOLU; PYRI_ECOSE; PYRI_ECOSM; PYRI_ECOUT</t>
  </si>
  <si>
    <t>sp|A7ZVC6|PYRI_ECO24 Aspartate carbamoyltransferase regulatory chain OS=Escherichia coli O139:H28 (strain E24377A / ETEC) OX=331111 GN=pyrI PE=3 SV=1</t>
  </si>
  <si>
    <t>TYPA_ECO27</t>
  </si>
  <si>
    <t>typA</t>
  </si>
  <si>
    <t>TYPA_ECO27; TYPA_ECO57; TYPA_ECOL6; TYPA_ECOLI</t>
  </si>
  <si>
    <t>sp|P0A3B2|TYPA_ECO27 GTP-binding protein TypA/BipA OS=Escherichia coli O127:H6 (strain E2348/69 / EPEC) OX=574521 GN=typA PE=3 SV=1</t>
  </si>
  <si>
    <t>YHJA_ECOLI</t>
  </si>
  <si>
    <t>yhjA</t>
  </si>
  <si>
    <t>sp|P37197|YHJA_ECOLI Probable cytochrome c peroxidase OS=Escherichia coli (strain K12) OX=83333 GN=yhjA PE=4 SV=1</t>
  </si>
  <si>
    <t>R31B1_ECO57</t>
  </si>
  <si>
    <t>rpmE2-1</t>
  </si>
  <si>
    <t>R31B1_ECO57; R31B2_ECO57; RL31B_ECO27; RL31B_ECO45; RL31B_ECO55; RL31B_ECO7I; RL31B_ECO8A; RL31B_ECODH; RL31B_ECOHS; RL31B_ECOL6; RL31B_ECOLI; RL31B_ECOLU; RL31B_ECOSE; RL31B_ECOSM; RL31B_ECOUT</t>
  </si>
  <si>
    <t>sp|P0A7N3|R31B1_ECO57 50S ribosomal protein L31 type B 1 OS=Escherichia coli O157:H7 OX=83334 GN=rpmE2-1 PE=3 SV=1</t>
  </si>
  <si>
    <t>OPPD_ECOLI</t>
  </si>
  <si>
    <t>oppD</t>
  </si>
  <si>
    <t>sp|P76027|OPPD_ECOLI Oligopeptide transport ATP-binding protein OppD OS=Escherichia coli (strain K12) OX=83333 GN=oppD PE=1 SV=2</t>
  </si>
  <si>
    <t>UVRA_ECO57</t>
  </si>
  <si>
    <t>uvrA</t>
  </si>
  <si>
    <t>UVRA_ECO57; UVRA_ECOL6; UVRA_ECOLI</t>
  </si>
  <si>
    <t>sp|Q8X5U9|UVRA_ECO57 UvrABC system protein A OS=Escherichia coli O157:H7 OX=83334 GN=uvrA PE=3 SV=1</t>
  </si>
  <si>
    <t>IOJAP_ECOL6</t>
  </si>
  <si>
    <t>rsfS</t>
  </si>
  <si>
    <t>IOJAP_ECOL6; IOJAP_ECOLI</t>
  </si>
  <si>
    <t>sp|P0AAT7|IOJAP_ECOL6 Ribosomal silencing factor RsfS OS=Escherichia coli O6:H1 (strain CFT073 / ATCC 700928 / UPEC) OX=199310 GN=rsfS PE=3 SV=1</t>
  </si>
  <si>
    <t>ATPB_ECO24</t>
  </si>
  <si>
    <t>atpD</t>
  </si>
  <si>
    <t>ATPB_ECO24; ATPB_ECO27; ATPB_ECO45; ATPB_ECO55; ATPB_ECO57; ATPB_ECO5E; ATPB_ECO7I; ATPB_ECO81; ATPB_ECO8A; ATPB_ECOBW; ATPB_ECODH; ATPB_ECOHS; ATPB_ECOK1; ATPB_ECOL5; ATPB_ECOL6; ATPB_ECOLC; ATPB_ECOLI; ATPB_ECOLU; ATPB_ECOSE; ATPB_ECOSM; ATPB_ECOUT</t>
  </si>
  <si>
    <t>sp|A7ZTU4|ATPB_ECO24 ATP synthase subunit beta OS=Escherichia coli O139:H28 (strain E24377A / ETEC) OX=331111 GN=atpD PE=3 SV=1</t>
  </si>
  <si>
    <t>MRR_ECOLI</t>
  </si>
  <si>
    <t>mrr</t>
  </si>
  <si>
    <t>sp|P24202|MRR_ECOLI Mrr restriction system protein OS=Escherichia coli (strain K12) OX=83333 GN=mrr PE=1 SV=1</t>
  </si>
  <si>
    <t>GRPE_ECO24</t>
  </si>
  <si>
    <t>grpE</t>
  </si>
  <si>
    <t>GRPE_ECO24; GRPE_ECO27; GRPE_ECO45; GRPE_ECO55; GRPE_ECO57; GRPE_ECO5E; GRPE_ECO7I; GRPE_ECO81; GRPE_ECO8A; GRPE_ECOBW; GRPE_ECODH; GRPE_ECOHS; GRPE_ECOL5; GRPE_ECOL6; GRPE_ECOLC; GRPE_ECOLI; GRPE_ECOLU; GRPE_ECOSE; GRPE_ECOSM; GRPE_ECOUT</t>
  </si>
  <si>
    <t>sp|A7ZQ54|GRPE_ECO24 Protein GrpE OS=Escherichia coli O139:H28 (strain E24377A / ETEC) OX=331111 GN=grpE PE=3 SV=1</t>
  </si>
  <si>
    <t>project_name</t>
  </si>
  <si>
    <t>Christophe Danelon</t>
  </si>
  <si>
    <t>quant_channel_name</t>
  </si>
  <si>
    <t>1_RepA_well_B1</t>
  </si>
  <si>
    <t>2_RepB_well_B9</t>
  </si>
  <si>
    <t>3_RepA_well_I3</t>
  </si>
  <si>
    <t>4_RepB_well_I11</t>
  </si>
  <si>
    <t>5_RepA_well_O2</t>
  </si>
  <si>
    <t>6_RepB_well_O10</t>
  </si>
  <si>
    <t>7_RepA_well_A5</t>
  </si>
  <si>
    <t>8_RepB_well_A13</t>
  </si>
  <si>
    <t>result_set_name</t>
  </si>
  <si>
    <t>AJS Christophe Danelon 130625 [Mascot] QEAJS250606_02.raw.mgf</t>
  </si>
  <si>
    <t>AJS Christophe Danelon 130625 [Mascot] QEAJS250606_04.raw.mgf</t>
  </si>
  <si>
    <t>AJS Christophe Danelon 130625 [Mascot] QEAJS250606_06.raw.mgf</t>
  </si>
  <si>
    <t>AJS Christophe Danelon 130625 [Mascot] QEAJS250606_08.raw.mgf</t>
  </si>
  <si>
    <t>AJS Christophe Danelon 130625 [Mascot] QEAJS250606_10.raw.mgf</t>
  </si>
  <si>
    <t>AJS Christophe Danelon 130625 [Mascot] QEAJS250606_12.raw.mgf</t>
  </si>
  <si>
    <t>AJS Christophe Danelon 130625 [Mascot] QEAJS250606_14.raw.mgf</t>
  </si>
  <si>
    <t>AJS Christophe Danelon 130625 [Mascot] QEAJS250606_16.raw.mgf</t>
  </si>
  <si>
    <t>search_title</t>
  </si>
  <si>
    <t>search_date</t>
  </si>
  <si>
    <t>2025:06:10 11:17:24</t>
  </si>
  <si>
    <t>2025:06:10 11:18:00</t>
  </si>
  <si>
    <t>2025:06:10 11:19:31</t>
  </si>
  <si>
    <t>2025:06:10 11:19:27</t>
  </si>
  <si>
    <t>2025:06:10 11:19:26</t>
  </si>
  <si>
    <t>2025:06:10 11:19:25</t>
  </si>
  <si>
    <t>2025:06:10 11:22:32</t>
  </si>
  <si>
    <t>2025:06:10 11:22:48</t>
  </si>
  <si>
    <t>raw_file_name</t>
  </si>
  <si>
    <t>QEAJS250606_02</t>
  </si>
  <si>
    <t>QEAJS250606_04</t>
  </si>
  <si>
    <t>QEAJS250606_06</t>
  </si>
  <si>
    <t>QEAJS250606_08</t>
  </si>
  <si>
    <t>QEAJS250606_10</t>
  </si>
  <si>
    <t>QEAJS250606_12</t>
  </si>
  <si>
    <t>QEAJS250606_14</t>
  </si>
  <si>
    <t>QEAJS250606_16</t>
  </si>
  <si>
    <t>peaklist_file_path</t>
  </si>
  <si>
    <t>QEAJS250606_02.raw.mgf</t>
  </si>
  <si>
    <t>QEAJS250606_04.raw.mgf</t>
  </si>
  <si>
    <t>QEAJS250606_06.raw.mgf</t>
  </si>
  <si>
    <t>QEAJS250606_08.raw.mgf</t>
  </si>
  <si>
    <t>QEAJS250606_10.raw.mgf</t>
  </si>
  <si>
    <t>QEAJS250606_12.raw.mgf</t>
  </si>
  <si>
    <t>QEAJS250606_14.raw.mgf</t>
  </si>
  <si>
    <t>QEAJS250606_16.raw.mgf</t>
  </si>
  <si>
    <t>result_file_name</t>
  </si>
  <si>
    <t>F148210.dat</t>
  </si>
  <si>
    <t>F148211.dat</t>
  </si>
  <si>
    <t>F148212.dat</t>
  </si>
  <si>
    <t>F148213.dat</t>
  </si>
  <si>
    <t>F148214.dat</t>
  </si>
  <si>
    <t>F148215.dat</t>
  </si>
  <si>
    <t>F148216.dat</t>
  </si>
  <si>
    <t>F148217.dat</t>
  </si>
  <si>
    <t>result_file_directory</t>
  </si>
  <si>
    <t>G:\Mascot\data\20250610</t>
  </si>
  <si>
    <t>job_number</t>
  </si>
  <si>
    <t>user_name</t>
  </si>
  <si>
    <t>stella</t>
  </si>
  <si>
    <t>user_email</t>
  </si>
  <si>
    <t>queries_count</t>
  </si>
  <si>
    <t>searched_sequences_count</t>
  </si>
  <si>
    <t>software_name</t>
  </si>
  <si>
    <t>Mascot</t>
  </si>
  <si>
    <t>software_version</t>
  </si>
  <si>
    <t>2.8.3</t>
  </si>
  <si>
    <t>instrument_config</t>
  </si>
  <si>
    <t>Q-EXACTIVE (A1=FTMS F=HCD A2=FTMS)</t>
  </si>
  <si>
    <t>database_names</t>
  </si>
  <si>
    <t>D:/Sequences/Alexandre/current/Alex_20191003.fasta; D:/Sequences/contaminants/current/contaminants_20220223.fasta; D:/Sequences/Sprot_Ecoli/current/Sprot_Ecoli_20191105.fasta</t>
  </si>
  <si>
    <t>database_releases</t>
  </si>
  <si>
    <t>2024:11:19 15:07:18; 2025:01:20 16:08:51; 2025:01:20 16:08:51</t>
  </si>
  <si>
    <t>database_sequences_count</t>
  </si>
  <si>
    <t>29; 364; 23135</t>
  </si>
  <si>
    <t>taxonomy</t>
  </si>
  <si>
    <t>All entries</t>
  </si>
  <si>
    <t>enzymes</t>
  </si>
  <si>
    <t>Trypsin/P</t>
  </si>
  <si>
    <t>max_missed_cleavages</t>
  </si>
  <si>
    <t>fixed_ptms</t>
  </si>
  <si>
    <t>Carbamidomethyl (C)</t>
  </si>
  <si>
    <t>variable_ptms</t>
  </si>
  <si>
    <t>Oxidation (M)</t>
  </si>
  <si>
    <t>peptide_charge_states</t>
  </si>
  <si>
    <t>2+ and 3+</t>
  </si>
  <si>
    <t>peptide_mass_error_tolerance</t>
  </si>
  <si>
    <t>10.0 ppm</t>
  </si>
  <si>
    <t>fragment_mass_error_tolerance</t>
  </si>
  <si>
    <t>20.0 mmu</t>
  </si>
  <si>
    <t>is_decoy</t>
  </si>
  <si>
    <t>false</t>
  </si>
  <si>
    <t>RDGC_ECO24</t>
  </si>
  <si>
    <t>rdgC</t>
  </si>
  <si>
    <t>RDGC_ECO24; RDGC_ECO27; RDGC_ECO45; RDGC_ECO55; RDGC_ECO57; RDGC_ECO5E; RDGC_ECO7I; RDGC_ECO81; RDGC_ECO8A; RDGC_ECOBW; RDGC_ECODH; RDGC_ECOHS; RDGC_ECOL5; RDGC_ECOL6; RDGC_ECOLC; RDGC_ECOLI; RDGC_ECOLU; RDGC_ECOSE; RDGC_ECOSM</t>
  </si>
  <si>
    <t>sp|A7ZIE2|RDGC_ECO24 Recombination-associated protein RdgC OS=Escherichia coli O139:H28 (strain E24377A / ETEC) OX=331111 GN=rdgC PE=3 SV=1</t>
  </si>
  <si>
    <t>YCBK_ECO57</t>
  </si>
  <si>
    <t>ycbK</t>
  </si>
  <si>
    <t>YCBK_ECO57; YCBK_ECOL6; YCBK_ECOLI</t>
  </si>
  <si>
    <t>sp|P0AB08|YCBK_ECO57 Uncharacterized protein YcbK OS=Escherichia coli O157:H7 OX=83334 GN=ycbK PE=3 SV=1</t>
  </si>
  <si>
    <t>CARB_ECO57</t>
  </si>
  <si>
    <t>carB</t>
  </si>
  <si>
    <t>CARB_ECO57; CARB_ECOL6; CARB_ECOLI</t>
  </si>
  <si>
    <t>sp|P63737|CARB_ECO57 Carbamoyl-phosphate synthase large chain OS=Escherichia coli O157:H7 OX=83334 GN=carB PE=3 SV=2</t>
  </si>
  <si>
    <t>PCNB_ECO57</t>
  </si>
  <si>
    <t>pcnB</t>
  </si>
  <si>
    <t>PCNB_ECO57; PCNB_ECOL6; PCNB_ECOLI</t>
  </si>
  <si>
    <t>sp|P0ABF3|PCNB_ECO57 Poly(A) polymerase I OS=Escherichia coli O157:H7 OX=83334 GN=pcnB PE=3 SV=2</t>
  </si>
  <si>
    <t>RLMKL_ECO24</t>
  </si>
  <si>
    <t>rlmL</t>
  </si>
  <si>
    <t>RLMKL_ECO24; RLMKL_ECO57; RLMKL_ECO5E; RLMKL_ECODH; RLMKL_ECOHS; RLMKL_ECOK1; RLMKL_ECOL5; RLMKL_ECOL6; RLMKL_ECOLC; RLMKL_ECOLI; RLMKL_ECOSM; RLMKL_ECOUT</t>
  </si>
  <si>
    <t>sp|A7ZK52|RLMKL_ECO24 Ribosomal RNA large subunit methyltransferase K/L OS=Escherichia coli O139:H28 (strain E24377A / ETEC) OX=331111 GN=rlmL PE=3 SV=1</t>
  </si>
  <si>
    <t>DADA_ECO24</t>
  </si>
  <si>
    <t>dadA</t>
  </si>
  <si>
    <t>DADA_ECO24; DADA_ECO27; DADA_ECO45; DADA_ECO55; DADA_ECO57; DADA_ECO7I; DADA_ECO81; DADA_ECO8A; DADA_ECOBW; DADA_ECODH; DADA_ECOHS; DADA_ECOL5; DADA_ECOL6; DADA_ECOLC; DADA_ECOLI; DADA_ECOLU; DADA_ECOSE</t>
  </si>
  <si>
    <t>sp|A7ZKW0|DADA_ECO24 D-amino acid dehydrogenase OS=Escherichia coli O139:H28 (strain E24377A / ETEC) OX=331111 GN=dadA PE=3 SV=1</t>
  </si>
  <si>
    <t>MCHF_ECOLX</t>
  </si>
  <si>
    <t>mchF</t>
  </si>
  <si>
    <t>CVAB_ECOLX</t>
  </si>
  <si>
    <t>sp|Q9EXN5|MCHF_ECOLX Probable microcin-H47 secretion/processing ATP-binding protein MchF OS=Escherichia coli OX=562 GN=mchF PE=3 SV=1</t>
  </si>
  <si>
    <t>HISX_ECOL6</t>
  </si>
  <si>
    <t>hisD</t>
  </si>
  <si>
    <t>HISX_ECOL6; HISX_ECOLI</t>
  </si>
  <si>
    <t>HISX_ECO57</t>
  </si>
  <si>
    <t>sp|Q8FG52|HISX_ECOL6 Histidinol dehydrogenase OS=Escherichia coli O6:H1 (strain CFT073 / ATCC 700928 / UPEC) OX=199310 GN=hisD PE=3 SV=3</t>
  </si>
  <si>
    <t>SPOT_ECO57</t>
  </si>
  <si>
    <t>spoT</t>
  </si>
  <si>
    <t>SPOT_ECO57; SPOT_ECOLI</t>
  </si>
  <si>
    <t>sp|P0AG25|SPOT_ECO57 Guanosine-3',5'-bis(diphosphate) 3'-pyrophosphohydrolase OS=Escherichia coli O157:H7 OX=83334 GN=spoT PE=3 SV=1</t>
  </si>
  <si>
    <t>CON__CO3_BOVIN</t>
  </si>
  <si>
    <t>C3</t>
  </si>
  <si>
    <t>sp|Q2UVX4|CON__CO3_BOVIN Complement C3 OS=Bos taurus OX=9913 GN=C3 PE=1 SV=2</t>
  </si>
  <si>
    <t>-</t>
  </si>
  <si>
    <t>DATASET_IdentSummary_Id116</t>
  </si>
  <si>
    <t>import_params</t>
  </si>
  <si>
    <t>Target-Decoy Mode: SEPARATED</t>
  </si>
  <si>
    <t>psm_filter_expected_fdr</t>
  </si>
  <si>
    <t>psm_filter_1</t>
  </si>
  <si>
    <t>PSM FILTER: PRETTY_RANK; Description: peptide match rank filter; Properties: [threshold_value=1]</t>
  </si>
  <si>
    <t>psm_filter_2</t>
  </si>
  <si>
    <t>PSM FILTER: PEP_SEQ_LENGTH; Description: peptide sequence length filter; Properties: [threshold_value=7]</t>
  </si>
  <si>
    <t>psm_filter_3</t>
  </si>
  <si>
    <t>PSM FILTER: MASCOT_ADJUSTED_EVALUE; Description: peptide match mascot adjusted e-value filter; Properties: [threshold_value=0.5231568398233847]</t>
  </si>
  <si>
    <t>PSM FILTER: MASCOT_ADJUSTED_EVALUE; Description: peptide match mascot adjusted e-value filter; Properties: [threshold_value=0.8193028091992917]</t>
  </si>
  <si>
    <t>PSM FILTER: MASCOT_ADJUSTED_EVALUE; Description: peptide match mascot adjusted e-value filter; Properties: [threshold_value=1.0293072545932158]</t>
  </si>
  <si>
    <t>PSM FILTER: MASCOT_ADJUSTED_EVALUE; Description: peptide match mascot adjusted e-value filter; Properties: [threshold_value=0.9452792249428005]</t>
  </si>
  <si>
    <t>PSM FILTER: MASCOT_ADJUSTED_EVALUE; Description: peptide match mascot adjusted e-value filter; Properties: [threshold_value=2.049831441909368]</t>
  </si>
  <si>
    <t>PSM FILTER: MASCOT_ADJUSTED_EVALUE; Description: peptide match mascot adjusted e-value filter; Properties: [threshold_value=0.9912132705799337]</t>
  </si>
  <si>
    <t>PSM FILTER: MASCOT_ADJUSTED_EVALUE; Description: peptide match mascot adjusted e-value filter; Properties: [threshold_value=1.4138530042152913]</t>
  </si>
  <si>
    <t>PSM FILTER: MASCOT_ADJUSTED_EVALUE; Description: peptide match mascot adjusted e-value filter; Properties: [threshold_value=0.9052594910445766]</t>
  </si>
  <si>
    <t>prot_filter_expected_fdr</t>
  </si>
  <si>
    <t>import_prot_filter_1</t>
  </si>
  <si>
    <t>Protein FILTER: SPECIFIC_PEP; Description: protein set filter on specific peptide (protein set context); Properties: [threshold_value=1]</t>
  </si>
  <si>
    <t>import_prot_filter_2</t>
  </si>
  <si>
    <t>Protein FILTER: SCORE; Description: protein set score filter; Properties: [rule_1_threshold_value=18.856495, rule_2_threshold_value=0.0]</t>
  </si>
  <si>
    <t>Protein FILTER: SCORE; Description: protein set score filter; Properties: [rule_1_threshold_value=18.64037, rule_2_threshold_value=1.2684593]</t>
  </si>
  <si>
    <t>Protein FILTER: SCORE; Description: protein set score filter; Properties: [rule_1_threshold_value=1.3242222, rule_2_threshold_value=0.1]</t>
  </si>
  <si>
    <t>Protein FILTER: SCORE; Description: protein set score filter; Properties: [rule_1_threshold_value=5.3283973, rule_2_threshold_value=0.0]</t>
  </si>
  <si>
    <t>Protein FILTER: SCORE; Description: protein set score filter; Properties: [rule_1_threshold_value=2.8799996, rule_2_threshold_value=0.0]</t>
  </si>
  <si>
    <t>Protein FILTER: SCORE; Description: protein set score filter; Properties: [rule_1_threshold_value=3.5935931, rule_2_threshold_value=0.0]</t>
  </si>
  <si>
    <t>Protein FILTER: SCORE; Description: protein set score filter; Properties: [rule_1_threshold_value=1.9599997, rule_2_threshold_value=0.0]</t>
  </si>
  <si>
    <t>Protein FILTER: SCORE; Description: protein set score filter; Properties: [rule_1_threshold_value=2.2408805, rule_2_threshold_value=0.0]</t>
  </si>
  <si>
    <t>import_prot_filter_3</t>
  </si>
  <si>
    <t>version</t>
  </si>
  <si>
    <t>2.0</t>
  </si>
  <si>
    <t>use last peakel detection</t>
  </si>
  <si>
    <t>detection method name</t>
  </si>
  <si>
    <t>DETECT_PEAKELS</t>
  </si>
  <si>
    <t>alignment smoothing method window size</t>
  </si>
  <si>
    <t>50</t>
  </si>
  <si>
    <t>alignment smoothing method window overlap</t>
  </si>
  <si>
    <t>alignment smoothing method min window landmarks</t>
  </si>
  <si>
    <t>alignment smoothing method name</t>
  </si>
  <si>
    <t>LANDMARK_RANGE</t>
  </si>
  <si>
    <t>alignment method max iterations</t>
  </si>
  <si>
    <t>alignment method mass interval</t>
  </si>
  <si>
    <t>20000</t>
  </si>
  <si>
    <t>alignment method name</t>
  </si>
  <si>
    <t>ITERATIVE</t>
  </si>
  <si>
    <t>alignment ignore errors</t>
  </si>
  <si>
    <t>alignment feature mapping method time tolerance</t>
  </si>
  <si>
    <t>600</t>
  </si>
  <si>
    <t>alignment feature mapping method moz tolerance</t>
  </si>
  <si>
    <t>5 ppm</t>
  </si>
  <si>
    <t>alignment feature mapping method name</t>
  </si>
  <si>
    <t>PEPTIDE_IDENTITY</t>
  </si>
  <si>
    <t>cross assignment restrain to reliable features</t>
  </si>
  <si>
    <t>cross assignment method name</t>
  </si>
  <si>
    <t>BETWEEN_ALL_RUNS</t>
  </si>
  <si>
    <t>cross assignment feature filter operator</t>
  </si>
  <si>
    <t>GT</t>
  </si>
  <si>
    <t>cross assignment feature filter value</t>
  </si>
  <si>
    <t>0</t>
  </si>
  <si>
    <t>cross assignment feature filter name</t>
  </si>
  <si>
    <t>INTENSITY</t>
  </si>
  <si>
    <t>cross assignment feature mapping time tolerance</t>
  </si>
  <si>
    <t>60</t>
  </si>
  <si>
    <t>cross assignment feature mapping moz tolerance</t>
  </si>
  <si>
    <t>extraction moz tolerance</t>
  </si>
  <si>
    <t>detection start from validated peptides</t>
  </si>
  <si>
    <t>detection isotope matching moz tolerance</t>
  </si>
  <si>
    <t>detection min peakel duration</t>
  </si>
  <si>
    <t>15</t>
  </si>
  <si>
    <t>detection psm matching moz tolerance</t>
  </si>
  <si>
    <t>clustering time computation</t>
  </si>
  <si>
    <t>MOST_INTENSE</t>
  </si>
  <si>
    <t>clustering time tolerance</t>
  </si>
  <si>
    <t>clustering moz tolerance</t>
  </si>
  <si>
    <t>clustering intensity computation</t>
  </si>
  <si>
    <t>discard peptides sharing peakels</t>
  </si>
  <si>
    <t>use only specific peptides</t>
  </si>
  <si>
    <t>peptide stat apply miss val inference</t>
  </si>
  <si>
    <t>peptide stat min psm count per ratio</t>
  </si>
  <si>
    <t>peptide stat min zscore</t>
  </si>
  <si>
    <t>0.04</t>
  </si>
  <si>
    <t>peptide stat stat tests alpha</t>
  </si>
  <si>
    <t>0.01</t>
  </si>
  <si>
    <t>peptide stat apply ttest</t>
  </si>
  <si>
    <t>peptide stat apply variance correction</t>
  </si>
  <si>
    <t>peptide stat apply ztest</t>
  </si>
  <si>
    <t>peptide stat apply normalization</t>
  </si>
  <si>
    <t>peptide stat miss val inference method</t>
  </si>
  <si>
    <t>GAUSSIAN_MODEL</t>
  </si>
  <si>
    <t>discard missed cleaved peptides</t>
  </si>
  <si>
    <t>oxidized peptide filtering method</t>
  </si>
  <si>
    <t>DISCARD_ALL_FORMS</t>
  </si>
  <si>
    <t>apply profile clustering</t>
  </si>
  <si>
    <t>protein stat apply miss val inference</t>
  </si>
  <si>
    <t>protein stat min psm count per ratio</t>
  </si>
  <si>
    <t>protein stat min zscore</t>
  </si>
  <si>
    <t>protein stat stat tests alpha</t>
  </si>
  <si>
    <t>protein stat apply ttest</t>
  </si>
  <si>
    <t>protein stat apply variance correction</t>
  </si>
  <si>
    <t>protein stat miss val inference noise percentile</t>
  </si>
  <si>
    <t>5</t>
  </si>
  <si>
    <t>protein stat apply ztest</t>
  </si>
  <si>
    <t>protein stat apply normalization</t>
  </si>
  <si>
    <t>protein stat miss val inference method</t>
  </si>
  <si>
    <t>PERCENTILE</t>
  </si>
  <si>
    <t>abundance summarizer method</t>
  </si>
  <si>
    <t>LFQ</t>
  </si>
  <si>
    <t>miss cleaved peptide filtering method</t>
  </si>
  <si>
    <t>discard oxidized peptides</t>
  </si>
  <si>
    <t>summarizing based on</t>
  </si>
  <si>
    <t>QUANT_PEPTIDE_IONS</t>
  </si>
  <si>
    <t>profile clustering method</t>
  </si>
  <si>
    <t>QUANT_PROFILE</t>
  </si>
  <si>
    <t>X5DSL3</t>
  </si>
  <si>
    <t>DPOL</t>
  </si>
  <si>
    <t>TERM</t>
  </si>
  <si>
    <t>mVenus</t>
  </si>
  <si>
    <t>mCherry</t>
  </si>
  <si>
    <t>TOP 0.1 nM</t>
  </si>
  <si>
    <t>REF 0.1 nM</t>
  </si>
  <si>
    <t>TOP 1 nM</t>
  </si>
  <si>
    <t>REF 1 nM</t>
  </si>
  <si>
    <t>Mean</t>
  </si>
  <si>
    <t>0.1 nM (TOP-REF)/REF</t>
  </si>
  <si>
    <t>1 nM (TOP-REF)/REF</t>
  </si>
  <si>
    <t>Delta R</t>
  </si>
  <si>
    <t>0.1nM</t>
  </si>
  <si>
    <t>1nM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</si>
</sst>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i/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3" fillId="2" borderId="0" xfId="0" applyFont="1" applyFill="1"/>
    <xf numFmtId="0" fontId="4" fillId="2" borderId="0" xfId="0" applyFont="1" applyFill="1"/>
    <xf numFmtId="11" fontId="4" fillId="3" borderId="0" xfId="0" applyNumberFormat="1" applyFont="1" applyFill="1"/>
    <xf numFmtId="11" fontId="0" fillId="3" borderId="0" xfId="0" applyNumberFormat="1" applyFill="1"/>
    <xf numFmtId="11" fontId="1" fillId="3" borderId="0" xfId="0" applyNumberFormat="1" applyFont="1" applyFill="1"/>
    <xf numFmtId="11" fontId="4" fillId="4" borderId="0" xfId="0" applyNumberFormat="1" applyFont="1" applyFill="1"/>
    <xf numFmtId="11" fontId="0" fillId="4" borderId="0" xfId="0" applyNumberFormat="1" applyFill="1"/>
    <xf numFmtId="11" fontId="4" fillId="5" borderId="0" xfId="0" applyNumberFormat="1" applyFont="1" applyFill="1"/>
    <xf numFmtId="11" fontId="0" fillId="5" borderId="0" xfId="0" applyNumberFormat="1" applyFill="1"/>
    <xf numFmtId="11" fontId="4" fillId="6" borderId="0" xfId="0" applyNumberFormat="1" applyFont="1" applyFill="1"/>
    <xf numFmtId="11" fontId="0" fillId="6" borderId="0" xfId="0" applyNumberFormat="1" applyFill="1"/>
    <xf numFmtId="0" fontId="5" fillId="0" borderId="0" xfId="0" applyFont="1"/>
    <xf numFmtId="11" fontId="5" fillId="3" borderId="0" xfId="0" applyNumberFormat="1" applyFont="1" applyFill="1"/>
    <xf numFmtId="11" fontId="5" fillId="4" borderId="0" xfId="0" applyNumberFormat="1" applyFont="1" applyFill="1"/>
    <xf numFmtId="11" fontId="5" fillId="5" borderId="0" xfId="0" applyNumberFormat="1" applyFont="1" applyFill="1"/>
    <xf numFmtId="11" fontId="5" fillId="6" borderId="0" xfId="0" applyNumberFormat="1" applyFont="1" applyFill="1"/>
    <xf numFmtId="0" fontId="6" fillId="0" borderId="0" xfId="0" applyFont="1"/>
    <xf numFmtId="11" fontId="1" fillId="4" borderId="0" xfId="0" applyNumberFormat="1" applyFont="1" applyFill="1"/>
    <xf numFmtId="11" fontId="1" fillId="5" borderId="0" xfId="0" applyNumberFormat="1" applyFont="1" applyFill="1"/>
    <xf numFmtId="11" fontId="1" fillId="6" borderId="0" xfId="0" applyNumberFormat="1" applyFont="1" applyFill="1"/>
    <xf numFmtId="11" fontId="0" fillId="0" borderId="1" xfId="0" applyNumberFormat="1" applyBorder="1"/>
    <xf numFmtId="11" fontId="0" fillId="0" borderId="2" xfId="0" applyNumberFormat="1" applyBorder="1"/>
    <xf numFmtId="11" fontId="0" fillId="0" borderId="3" xfId="0" applyNumberFormat="1" applyBorder="1"/>
    <xf numFmtId="11" fontId="0" fillId="0" borderId="4" xfId="0" applyNumberFormat="1" applyBorder="1"/>
    <xf numFmtId="11" fontId="1" fillId="0" borderId="5" xfId="0" applyNumberFormat="1" applyFont="1" applyFill="1" applyBorder="1"/>
    <xf numFmtId="11" fontId="1" fillId="0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'Phage proteins '!$C$23</c:f>
              <c:strCache>
                <c:ptCount val="1"/>
                <c:pt idx="0">
                  <c:v>TERM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'!$AT$23:$BD$23</c:f>
              <c:numCache>
                <c:formatCode>0.00E+00</c:formatCode>
                <c:ptCount val="11"/>
                <c:pt idx="0">
                  <c:v>505644512</c:v>
                </c:pt>
                <c:pt idx="1">
                  <c:v>426261984</c:v>
                </c:pt>
                <c:pt idx="3">
                  <c:v>711247872</c:v>
                </c:pt>
                <c:pt idx="4">
                  <c:v>695637120</c:v>
                </c:pt>
                <c:pt idx="6">
                  <c:v>250216752</c:v>
                </c:pt>
                <c:pt idx="7">
                  <c:v>256954240</c:v>
                </c:pt>
                <c:pt idx="9">
                  <c:v>713439168</c:v>
                </c:pt>
                <c:pt idx="10">
                  <c:v>780376960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4-49E9-9B41-ABDD79ECDA9A}"/>
            </c:ext>
          </c:extLst>
        </c:ser>
        <c:ser>
          <c:idx val="1"/>
          <c:order val="1"/>
          <c:tx>
            <c:strRef>
              <c:f>'Phage proteins '!$C$24</c:f>
              <c:strCache>
                <c:ptCount val="1"/>
                <c:pt idx="0">
                  <c:v>prfC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'!$AT$24:$BD$24</c:f>
            </c:numRef>
          </c:val>
          <c:extLst>
            <c:ext xmlns:c16="http://schemas.microsoft.com/office/drawing/2014/chart" uri="{C3380CC4-5D6E-409C-BE32-E72D297353CC}">
              <c16:uniqueId val="{00000001-5874-49E9-9B41-ABDD79ECDA9A}"/>
            </c:ext>
          </c:extLst>
        </c:ser>
        <c:ser>
          <c:idx val="2"/>
          <c:order val="2"/>
          <c:tx>
            <c:strRef>
              <c:f>'Phage proteins '!$C$25</c:f>
              <c:strCache>
                <c:ptCount val="1"/>
                <c:pt idx="0">
                  <c:v>rpsG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'!$AT$25:$BD$25</c:f>
            </c:numRef>
          </c:val>
          <c:extLst>
            <c:ext xmlns:c16="http://schemas.microsoft.com/office/drawing/2014/chart" uri="{C3380CC4-5D6E-409C-BE32-E72D297353CC}">
              <c16:uniqueId val="{00000002-5874-49E9-9B41-ABDD79ECDA9A}"/>
            </c:ext>
          </c:extLst>
        </c:ser>
        <c:ser>
          <c:idx val="3"/>
          <c:order val="3"/>
          <c:tx>
            <c:strRef>
              <c:f>'Phage proteins '!$C$26</c:f>
              <c:strCache>
                <c:ptCount val="1"/>
                <c:pt idx="0">
                  <c:v>rplB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'!$AT$26:$BD$26</c:f>
            </c:numRef>
          </c:val>
          <c:extLst>
            <c:ext xmlns:c16="http://schemas.microsoft.com/office/drawing/2014/chart" uri="{C3380CC4-5D6E-409C-BE32-E72D297353CC}">
              <c16:uniqueId val="{00000003-5874-49E9-9B41-ABDD79ECDA9A}"/>
            </c:ext>
          </c:extLst>
        </c:ser>
        <c:ser>
          <c:idx val="4"/>
          <c:order val="4"/>
          <c:tx>
            <c:strRef>
              <c:f>'Phage proteins '!$C$27</c:f>
              <c:strCache>
                <c:ptCount val="1"/>
                <c:pt idx="0">
                  <c:v>rplE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'!$AT$27:$BD$27</c:f>
            </c:numRef>
          </c:val>
          <c:extLst>
            <c:ext xmlns:c16="http://schemas.microsoft.com/office/drawing/2014/chart" uri="{C3380CC4-5D6E-409C-BE32-E72D297353CC}">
              <c16:uniqueId val="{00000004-5874-49E9-9B41-ABDD79ECDA9A}"/>
            </c:ext>
          </c:extLst>
        </c:ser>
        <c:ser>
          <c:idx val="5"/>
          <c:order val="5"/>
          <c:tx>
            <c:strRef>
              <c:f>'Phage proteins '!$C$28</c:f>
              <c:strCache>
                <c:ptCount val="1"/>
                <c:pt idx="0">
                  <c:v>rpsD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'!$AT$28:$BD$28</c:f>
            </c:numRef>
          </c:val>
          <c:extLst>
            <c:ext xmlns:c16="http://schemas.microsoft.com/office/drawing/2014/chart" uri="{C3380CC4-5D6E-409C-BE32-E72D297353CC}">
              <c16:uniqueId val="{00000005-5874-49E9-9B41-ABDD79ECDA9A}"/>
            </c:ext>
          </c:extLst>
        </c:ser>
        <c:ser>
          <c:idx val="6"/>
          <c:order val="6"/>
          <c:tx>
            <c:strRef>
              <c:f>'Phage proteins '!$C$29</c:f>
              <c:strCache>
                <c:ptCount val="1"/>
                <c:pt idx="0">
                  <c:v>metG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'!$AT$29:$BD$29</c:f>
            </c:numRef>
          </c:val>
          <c:extLst>
            <c:ext xmlns:c16="http://schemas.microsoft.com/office/drawing/2014/chart" uri="{C3380CC4-5D6E-409C-BE32-E72D297353CC}">
              <c16:uniqueId val="{00000006-5874-49E9-9B41-ABDD79ECDA9A}"/>
            </c:ext>
          </c:extLst>
        </c:ser>
        <c:ser>
          <c:idx val="7"/>
          <c:order val="7"/>
          <c:tx>
            <c:strRef>
              <c:f>'Phage proteins '!$C$30</c:f>
              <c:strCache>
                <c:ptCount val="1"/>
                <c:pt idx="0">
                  <c:v>cysS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'!$AT$30:$BD$30</c:f>
            </c:numRef>
          </c:val>
          <c:extLst>
            <c:ext xmlns:c16="http://schemas.microsoft.com/office/drawing/2014/chart" uri="{C3380CC4-5D6E-409C-BE32-E72D297353CC}">
              <c16:uniqueId val="{00000007-5874-49E9-9B41-ABDD79ECDA9A}"/>
            </c:ext>
          </c:extLst>
        </c:ser>
        <c:ser>
          <c:idx val="8"/>
          <c:order val="8"/>
          <c:tx>
            <c:strRef>
              <c:f>'Phage proteins '!$C$31</c:f>
              <c:strCache>
                <c:ptCount val="1"/>
                <c:pt idx="0">
                  <c:v>frr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'!$AT$31:$BD$31</c:f>
            </c:numRef>
          </c:val>
          <c:extLst>
            <c:ext xmlns:c16="http://schemas.microsoft.com/office/drawing/2014/chart" uri="{C3380CC4-5D6E-409C-BE32-E72D297353CC}">
              <c16:uniqueId val="{00000008-5874-49E9-9B41-ABDD79ECDA9A}"/>
            </c:ext>
          </c:extLst>
        </c:ser>
        <c:ser>
          <c:idx val="9"/>
          <c:order val="9"/>
          <c:tx>
            <c:strRef>
              <c:f>'Phage proteins '!$C$32</c:f>
              <c:strCache>
                <c:ptCount val="1"/>
                <c:pt idx="0">
                  <c:v>rplC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'!$AT$32:$BD$32</c:f>
            </c:numRef>
          </c:val>
          <c:extLst>
            <c:ext xmlns:c16="http://schemas.microsoft.com/office/drawing/2014/chart" uri="{C3380CC4-5D6E-409C-BE32-E72D297353CC}">
              <c16:uniqueId val="{00000009-5874-49E9-9B41-ABDD79ECDA9A}"/>
            </c:ext>
          </c:extLst>
        </c:ser>
        <c:ser>
          <c:idx val="10"/>
          <c:order val="10"/>
          <c:tx>
            <c:strRef>
              <c:f>'Phage proteins '!$C$33</c:f>
              <c:strCache>
                <c:ptCount val="1"/>
                <c:pt idx="0">
                  <c:v>hisS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'!$AT$33:$BD$33</c:f>
            </c:numRef>
          </c:val>
          <c:extLst>
            <c:ext xmlns:c16="http://schemas.microsoft.com/office/drawing/2014/chart" uri="{C3380CC4-5D6E-409C-BE32-E72D297353CC}">
              <c16:uniqueId val="{0000000A-5874-49E9-9B41-ABDD79ECDA9A}"/>
            </c:ext>
          </c:extLst>
        </c:ser>
        <c:ser>
          <c:idx val="11"/>
          <c:order val="11"/>
          <c:tx>
            <c:strRef>
              <c:f>'Phage proteins '!$C$34</c:f>
              <c:strCache>
                <c:ptCount val="1"/>
                <c:pt idx="0">
                  <c:v>rplD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'!$AT$34:$BD$34</c:f>
            </c:numRef>
          </c:val>
          <c:extLst>
            <c:ext xmlns:c16="http://schemas.microsoft.com/office/drawing/2014/chart" uri="{C3380CC4-5D6E-409C-BE32-E72D297353CC}">
              <c16:uniqueId val="{0000000B-5874-49E9-9B41-ABDD79ECDA9A}"/>
            </c:ext>
          </c:extLst>
        </c:ser>
        <c:ser>
          <c:idx val="12"/>
          <c:order val="12"/>
          <c:tx>
            <c:strRef>
              <c:f>'Phage proteins '!$C$35</c:f>
              <c:strCache>
                <c:ptCount val="1"/>
                <c:pt idx="0">
                  <c:v>psd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'!$AT$35:$BD$35</c:f>
            </c:numRef>
          </c:val>
          <c:extLst>
            <c:ext xmlns:c16="http://schemas.microsoft.com/office/drawing/2014/chart" uri="{C3380CC4-5D6E-409C-BE32-E72D297353CC}">
              <c16:uniqueId val="{0000000C-5874-49E9-9B41-ABDD79ECDA9A}"/>
            </c:ext>
          </c:extLst>
        </c:ser>
        <c:ser>
          <c:idx val="13"/>
          <c:order val="13"/>
          <c:tx>
            <c:strRef>
              <c:f>'Phage proteins '!$C$36</c:f>
              <c:strCache>
                <c:ptCount val="1"/>
                <c:pt idx="0">
                  <c:v>pheT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'!$AT$36:$BD$36</c:f>
            </c:numRef>
          </c:val>
          <c:extLst>
            <c:ext xmlns:c16="http://schemas.microsoft.com/office/drawing/2014/chart" uri="{C3380CC4-5D6E-409C-BE32-E72D297353CC}">
              <c16:uniqueId val="{0000000D-5874-49E9-9B41-ABDD79ECDA9A}"/>
            </c:ext>
          </c:extLst>
        </c:ser>
        <c:ser>
          <c:idx val="14"/>
          <c:order val="14"/>
          <c:tx>
            <c:strRef>
              <c:f>'Phage proteins '!$C$37</c:f>
              <c:strCache>
                <c:ptCount val="1"/>
                <c:pt idx="0">
                  <c:v>prfA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'!$AT$37:$BD$37</c:f>
            </c:numRef>
          </c:val>
          <c:extLst>
            <c:ext xmlns:c16="http://schemas.microsoft.com/office/drawing/2014/chart" uri="{C3380CC4-5D6E-409C-BE32-E72D297353CC}">
              <c16:uniqueId val="{0000000E-5874-49E9-9B41-ABDD79ECDA9A}"/>
            </c:ext>
          </c:extLst>
        </c:ser>
        <c:ser>
          <c:idx val="15"/>
          <c:order val="15"/>
          <c:tx>
            <c:strRef>
              <c:f>'Phage proteins '!$C$38</c:f>
              <c:strCache>
                <c:ptCount val="1"/>
                <c:pt idx="0">
                  <c:v>prfB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'!$AT$38:$BD$38</c:f>
            </c:numRef>
          </c:val>
          <c:extLst>
            <c:ext xmlns:c16="http://schemas.microsoft.com/office/drawing/2014/chart" uri="{C3380CC4-5D6E-409C-BE32-E72D297353CC}">
              <c16:uniqueId val="{0000000F-5874-49E9-9B41-ABDD79ECDA9A}"/>
            </c:ext>
          </c:extLst>
        </c:ser>
        <c:ser>
          <c:idx val="16"/>
          <c:order val="16"/>
          <c:tx>
            <c:strRef>
              <c:f>'Phage proteins '!$C$39</c:f>
              <c:strCache>
                <c:ptCount val="1"/>
                <c:pt idx="0">
                  <c:v>tyrS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'!$AT$39:$BD$39</c:f>
            </c:numRef>
          </c:val>
          <c:extLst>
            <c:ext xmlns:c16="http://schemas.microsoft.com/office/drawing/2014/chart" uri="{C3380CC4-5D6E-409C-BE32-E72D297353CC}">
              <c16:uniqueId val="{00000010-5874-49E9-9B41-ABDD79ECDA9A}"/>
            </c:ext>
          </c:extLst>
        </c:ser>
        <c:ser>
          <c:idx val="17"/>
          <c:order val="17"/>
          <c:tx>
            <c:strRef>
              <c:f>'Phage proteins '!$C$40</c:f>
              <c:strCache>
                <c:ptCount val="1"/>
                <c:pt idx="0">
                  <c:v>ileS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'!$AT$40:$BD$40</c:f>
            </c:numRef>
          </c:val>
          <c:extLst>
            <c:ext xmlns:c16="http://schemas.microsoft.com/office/drawing/2014/chart" uri="{C3380CC4-5D6E-409C-BE32-E72D297353CC}">
              <c16:uniqueId val="{00000011-5874-49E9-9B41-ABDD79ECDA9A}"/>
            </c:ext>
          </c:extLst>
        </c:ser>
        <c:ser>
          <c:idx val="18"/>
          <c:order val="18"/>
          <c:tx>
            <c:strRef>
              <c:f>'Phage proteins '!$C$41</c:f>
              <c:strCache>
                <c:ptCount val="1"/>
                <c:pt idx="0">
                  <c:v>serS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'!$AT$41:$BD$41</c:f>
            </c:numRef>
          </c:val>
          <c:extLst>
            <c:ext xmlns:c16="http://schemas.microsoft.com/office/drawing/2014/chart" uri="{C3380CC4-5D6E-409C-BE32-E72D297353CC}">
              <c16:uniqueId val="{00000012-5874-49E9-9B41-ABDD79ECDA9A}"/>
            </c:ext>
          </c:extLst>
        </c:ser>
        <c:ser>
          <c:idx val="19"/>
          <c:order val="19"/>
          <c:tx>
            <c:strRef>
              <c:f>'Phage proteins '!$C$42</c:f>
              <c:strCache>
                <c:ptCount val="1"/>
                <c:pt idx="0">
                  <c:v>lysS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'!$AT$42:$BD$42</c:f>
            </c:numRef>
          </c:val>
          <c:extLst>
            <c:ext xmlns:c16="http://schemas.microsoft.com/office/drawing/2014/chart" uri="{C3380CC4-5D6E-409C-BE32-E72D297353CC}">
              <c16:uniqueId val="{00000013-5874-49E9-9B41-ABDD79ECDA9A}"/>
            </c:ext>
          </c:extLst>
        </c:ser>
        <c:ser>
          <c:idx val="20"/>
          <c:order val="20"/>
          <c:tx>
            <c:strRef>
              <c:f>'Phage proteins '!$C$43</c:f>
              <c:strCache>
                <c:ptCount val="1"/>
                <c:pt idx="0">
                  <c:v>rplF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'!$AT$43:$BD$43</c:f>
            </c:numRef>
          </c:val>
          <c:extLst>
            <c:ext xmlns:c16="http://schemas.microsoft.com/office/drawing/2014/chart" uri="{C3380CC4-5D6E-409C-BE32-E72D297353CC}">
              <c16:uniqueId val="{00000014-5874-49E9-9B41-ABDD79ECDA9A}"/>
            </c:ext>
          </c:extLst>
        </c:ser>
        <c:ser>
          <c:idx val="21"/>
          <c:order val="21"/>
          <c:tx>
            <c:strRef>
              <c:f>'Phage proteins '!$C$44</c:f>
              <c:strCache>
                <c:ptCount val="1"/>
                <c:pt idx="0">
                  <c:v>rplV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'!$AT$44:$BD$44</c:f>
            </c:numRef>
          </c:val>
          <c:extLst>
            <c:ext xmlns:c16="http://schemas.microsoft.com/office/drawing/2014/chart" uri="{C3380CC4-5D6E-409C-BE32-E72D297353CC}">
              <c16:uniqueId val="{00000015-5874-49E9-9B41-ABDD79ECDA9A}"/>
            </c:ext>
          </c:extLst>
        </c:ser>
        <c:ser>
          <c:idx val="22"/>
          <c:order val="22"/>
          <c:tx>
            <c:strRef>
              <c:f>'Phage proteins '!$C$45</c:f>
              <c:strCache>
                <c:ptCount val="1"/>
                <c:pt idx="0">
                  <c:v>rpsF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'!$AT$45:$BD$45</c:f>
            </c:numRef>
          </c:val>
          <c:extLst>
            <c:ext xmlns:c16="http://schemas.microsoft.com/office/drawing/2014/chart" uri="{C3380CC4-5D6E-409C-BE32-E72D297353CC}">
              <c16:uniqueId val="{00000016-5874-49E9-9B41-ABDD79ECDA9A}"/>
            </c:ext>
          </c:extLst>
        </c:ser>
        <c:ser>
          <c:idx val="23"/>
          <c:order val="23"/>
          <c:tx>
            <c:strRef>
              <c:f>'Phage proteins '!$C$46</c:f>
              <c:strCache>
                <c:ptCount val="1"/>
                <c:pt idx="0">
                  <c:v>rplP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'!$AT$46:$BD$46</c:f>
            </c:numRef>
          </c:val>
          <c:extLst>
            <c:ext xmlns:c16="http://schemas.microsoft.com/office/drawing/2014/chart" uri="{C3380CC4-5D6E-409C-BE32-E72D297353CC}">
              <c16:uniqueId val="{00000017-5874-49E9-9B41-ABDD79ECDA9A}"/>
            </c:ext>
          </c:extLst>
        </c:ser>
        <c:ser>
          <c:idx val="24"/>
          <c:order val="24"/>
          <c:tx>
            <c:strRef>
              <c:f>'Phage proteins '!$C$47</c:f>
              <c:strCache>
                <c:ptCount val="1"/>
                <c:pt idx="0">
                  <c:v>infC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'!$AT$47:$BD$47</c:f>
            </c:numRef>
          </c:val>
          <c:extLst>
            <c:ext xmlns:c16="http://schemas.microsoft.com/office/drawing/2014/chart" uri="{C3380CC4-5D6E-409C-BE32-E72D297353CC}">
              <c16:uniqueId val="{00000018-5874-49E9-9B41-ABDD79ECDA9A}"/>
            </c:ext>
          </c:extLst>
        </c:ser>
        <c:ser>
          <c:idx val="25"/>
          <c:order val="25"/>
          <c:tx>
            <c:strRef>
              <c:f>'Phage proteins '!$C$48</c:f>
              <c:strCache>
                <c:ptCount val="1"/>
                <c:pt idx="0">
                  <c:v>X5DSL3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'Phage proteins 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'Phage proteins '!$AT$48:$BD$48</c:f>
              <c:numCache>
                <c:formatCode>0.00E+00</c:formatCode>
                <c:ptCount val="11"/>
                <c:pt idx="0">
                  <c:v>215185360</c:v>
                </c:pt>
                <c:pt idx="1">
                  <c:v>276508224</c:v>
                </c:pt>
                <c:pt idx="3">
                  <c:v>207125008</c:v>
                </c:pt>
                <c:pt idx="4">
                  <c:v>167305872</c:v>
                </c:pt>
                <c:pt idx="6">
                  <c:v>8091876.5</c:v>
                </c:pt>
                <c:pt idx="7">
                  <c:v>16174679</c:v>
                </c:pt>
                <c:pt idx="9">
                  <c:v>57765840</c:v>
                </c:pt>
                <c:pt idx="10">
                  <c:v>49816444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874-49E9-9B41-ABDD79ECD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882672"/>
        <c:axId val="464866352"/>
      </c:barChart>
      <c:catAx>
        <c:axId val="46488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66352"/>
        <c:crosses val="autoZero"/>
        <c:auto val="1"/>
        <c:lblAlgn val="ctr"/>
        <c:lblOffset val="100"/>
        <c:noMultiLvlLbl val="0"/>
      </c:catAx>
      <c:valAx>
        <c:axId val="46486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8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 coli proteins'!$C$16</c:f>
              <c:strCache>
                <c:ptCount val="1"/>
                <c:pt idx="0">
                  <c:v>pssA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 coli proteins'!$AT$1:$BD$1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'E coli proteins'!$AT$16:$BD$16</c:f>
              <c:numCache>
                <c:formatCode>0.00E+00</c:formatCode>
                <c:ptCount val="11"/>
                <c:pt idx="0">
                  <c:v>764708160</c:v>
                </c:pt>
                <c:pt idx="1">
                  <c:v>842193728</c:v>
                </c:pt>
                <c:pt idx="3">
                  <c:v>885238464</c:v>
                </c:pt>
                <c:pt idx="4">
                  <c:v>875286592</c:v>
                </c:pt>
                <c:pt idx="6">
                  <c:v>359320576</c:v>
                </c:pt>
                <c:pt idx="7">
                  <c:v>345878272</c:v>
                </c:pt>
                <c:pt idx="9">
                  <c:v>790283648</c:v>
                </c:pt>
                <c:pt idx="10">
                  <c:v>802509760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C-4DA3-938A-B0B0B538E407}"/>
            </c:ext>
          </c:extLst>
        </c:ser>
        <c:ser>
          <c:idx val="1"/>
          <c:order val="1"/>
          <c:tx>
            <c:strRef>
              <c:f>'E coli proteins'!$C$17</c:f>
              <c:strCache>
                <c:ptCount val="1"/>
                <c:pt idx="0">
                  <c:v>proS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 coli proteins'!$AT$1:$BD$1</c:f>
              <c:strCache>
                <c:ptCount val="11"/>
                <c:pt idx="0">
                  <c:v>abundance_1_RepA_well_B1</c:v>
                </c:pt>
                <c:pt idx="1">
                  <c:v>abundance_2_RepB_well_B9</c:v>
                </c:pt>
                <c:pt idx="3">
                  <c:v>abundance_3_RepA_well_I3</c:v>
                </c:pt>
                <c:pt idx="4">
                  <c:v>abundance_4_RepB_well_I11</c:v>
                </c:pt>
                <c:pt idx="6">
                  <c:v>abundance_5_RepA_well_O2</c:v>
                </c:pt>
                <c:pt idx="7">
                  <c:v>abundance_6_RepB_well_O10</c:v>
                </c:pt>
                <c:pt idx="9">
                  <c:v>abundance_7_RepA_well_A5</c:v>
                </c:pt>
                <c:pt idx="10">
                  <c:v>abundance_8_RepB_well_A13</c:v>
                </c:pt>
              </c:strCache>
            </c:strRef>
          </c:cat>
          <c:val>
            <c:numRef>
              <c:f>'E coli proteins'!$AT$17:$BD$17</c:f>
            </c:numRef>
          </c:val>
          <c:extLst>
            <c:ext xmlns:c16="http://schemas.microsoft.com/office/drawing/2014/chart" uri="{C3380CC4-5D6E-409C-BE32-E72D297353CC}">
              <c16:uniqueId val="{00000001-00EC-4DA3-938A-B0B0B538E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854832"/>
        <c:axId val="464862992"/>
      </c:barChart>
      <c:catAx>
        <c:axId val="46485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62992"/>
        <c:crosses val="autoZero"/>
        <c:auto val="1"/>
        <c:lblAlgn val="ctr"/>
        <c:lblOffset val="100"/>
        <c:noMultiLvlLbl val="0"/>
      </c:catAx>
      <c:valAx>
        <c:axId val="4648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5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Histogram!$D$2:$D$14</c:f>
              <c:numCache>
                <c:formatCode>0.00E+00</c:formatCode>
                <c:ptCount val="13"/>
                <c:pt idx="0">
                  <c:v>5078430720</c:v>
                </c:pt>
                <c:pt idx="1">
                  <c:v>532001728</c:v>
                </c:pt>
                <c:pt idx="2">
                  <c:v>803450944</c:v>
                </c:pt>
                <c:pt idx="3">
                  <c:v>5341141760</c:v>
                </c:pt>
                <c:pt idx="4">
                  <c:v>423831568</c:v>
                </c:pt>
                <c:pt idx="5">
                  <c:v>4798450.25</c:v>
                </c:pt>
                <c:pt idx="6">
                  <c:v>677640128</c:v>
                </c:pt>
                <c:pt idx="7">
                  <c:v>202414656</c:v>
                </c:pt>
                <c:pt idx="8">
                  <c:v>191020.21500000003</c:v>
                </c:pt>
                <c:pt idx="9">
                  <c:v>2857575808</c:v>
                </c:pt>
                <c:pt idx="10">
                  <c:v>465953248</c:v>
                </c:pt>
                <c:pt idx="11">
                  <c:v>245846792</c:v>
                </c:pt>
                <c:pt idx="12">
                  <c:v>139604000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A-BC40-BDCF-535C76A12163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Histogram!$G$2:$G$14</c:f>
              <c:numCache>
                <c:formatCode>0.00E+00</c:formatCode>
                <c:ptCount val="13"/>
                <c:pt idx="0">
                  <c:v>5391890432</c:v>
                </c:pt>
                <c:pt idx="1">
                  <c:v>828561216</c:v>
                </c:pt>
                <c:pt idx="2">
                  <c:v>880262528</c:v>
                </c:pt>
                <c:pt idx="3">
                  <c:v>2526400768</c:v>
                </c:pt>
                <c:pt idx="4">
                  <c:v>517794592</c:v>
                </c:pt>
                <c:pt idx="5">
                  <c:v>82396484</c:v>
                </c:pt>
                <c:pt idx="6">
                  <c:v>662082176</c:v>
                </c:pt>
                <c:pt idx="7">
                  <c:v>191012680</c:v>
                </c:pt>
                <c:pt idx="8">
                  <c:v>2184675.4550000001</c:v>
                </c:pt>
                <c:pt idx="9">
                  <c:v>3239924480</c:v>
                </c:pt>
                <c:pt idx="10">
                  <c:v>703442496</c:v>
                </c:pt>
                <c:pt idx="11">
                  <c:v>187215440</c:v>
                </c:pt>
                <c:pt idx="12">
                  <c:v>121319480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CA-BC40-BDCF-535C76A12163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Histogram!$J$2:$J$14</c:f>
              <c:numCache>
                <c:formatCode>0.00E+00</c:formatCode>
                <c:ptCount val="13"/>
                <c:pt idx="0">
                  <c:v>2351199360</c:v>
                </c:pt>
                <c:pt idx="1">
                  <c:v>297494112</c:v>
                </c:pt>
                <c:pt idx="2">
                  <c:v>352599424</c:v>
                </c:pt>
                <c:pt idx="3">
                  <c:v>1899080384</c:v>
                </c:pt>
                <c:pt idx="4">
                  <c:v>145771768</c:v>
                </c:pt>
                <c:pt idx="5">
                  <c:v>27068906</c:v>
                </c:pt>
                <c:pt idx="6">
                  <c:v>213074904</c:v>
                </c:pt>
                <c:pt idx="7">
                  <c:v>55708582</c:v>
                </c:pt>
                <c:pt idx="8">
                  <c:v>264222.30499999999</c:v>
                </c:pt>
                <c:pt idx="9">
                  <c:v>1499406400</c:v>
                </c:pt>
                <c:pt idx="10">
                  <c:v>253585496</c:v>
                </c:pt>
                <c:pt idx="11">
                  <c:v>12133277.75</c:v>
                </c:pt>
                <c:pt idx="12">
                  <c:v>34136125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CA-BC40-BDCF-535C76A12163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Histogram!$M$2:$M$14</c:f>
              <c:numCache>
                <c:formatCode>0.00E+00</c:formatCode>
                <c:ptCount val="13"/>
                <c:pt idx="0">
                  <c:v>11602338816</c:v>
                </c:pt>
                <c:pt idx="1">
                  <c:v>629043488</c:v>
                </c:pt>
                <c:pt idx="2">
                  <c:v>796396704</c:v>
                </c:pt>
                <c:pt idx="3">
                  <c:v>5348896512</c:v>
                </c:pt>
                <c:pt idx="4">
                  <c:v>519188400</c:v>
                </c:pt>
                <c:pt idx="5">
                  <c:v>80025864</c:v>
                </c:pt>
                <c:pt idx="6">
                  <c:v>420492176</c:v>
                </c:pt>
                <c:pt idx="7">
                  <c:v>139680240</c:v>
                </c:pt>
                <c:pt idx="8">
                  <c:v>1857077.94</c:v>
                </c:pt>
                <c:pt idx="9">
                  <c:v>2983247232</c:v>
                </c:pt>
                <c:pt idx="10">
                  <c:v>746908064</c:v>
                </c:pt>
                <c:pt idx="11">
                  <c:v>53791142</c:v>
                </c:pt>
                <c:pt idx="12">
                  <c:v>86728284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CA-BC40-BDCF-535C76A12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25127583"/>
        <c:axId val="1725162527"/>
      </c:barChart>
      <c:catAx>
        <c:axId val="172512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162527"/>
        <c:crosses val="autoZero"/>
        <c:auto val="1"/>
        <c:lblAlgn val="ctr"/>
        <c:lblOffset val="100"/>
        <c:noMultiLvlLbl val="0"/>
      </c:catAx>
      <c:valAx>
        <c:axId val="1725162527"/>
        <c:scaling>
          <c:logBase val="10"/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12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vs REF 0.1 nM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24392603274671704"/>
                  <c:y val="0.140326288161348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Histogram!$J$2:$J$14</c:f>
              <c:numCache>
                <c:formatCode>0.00E+00</c:formatCode>
                <c:ptCount val="13"/>
                <c:pt idx="0">
                  <c:v>2351199360</c:v>
                </c:pt>
                <c:pt idx="1">
                  <c:v>297494112</c:v>
                </c:pt>
                <c:pt idx="2">
                  <c:v>352599424</c:v>
                </c:pt>
                <c:pt idx="3">
                  <c:v>1899080384</c:v>
                </c:pt>
                <c:pt idx="4">
                  <c:v>145771768</c:v>
                </c:pt>
                <c:pt idx="5">
                  <c:v>27068906</c:v>
                </c:pt>
                <c:pt idx="6">
                  <c:v>213074904</c:v>
                </c:pt>
                <c:pt idx="7">
                  <c:v>55708582</c:v>
                </c:pt>
                <c:pt idx="8">
                  <c:v>264222.30499999999</c:v>
                </c:pt>
                <c:pt idx="9">
                  <c:v>1499406400</c:v>
                </c:pt>
                <c:pt idx="10">
                  <c:v>253585496</c:v>
                </c:pt>
                <c:pt idx="11">
                  <c:v>12133277.75</c:v>
                </c:pt>
                <c:pt idx="12">
                  <c:v>34136125</c:v>
                </c:pt>
              </c:numCache>
            </c:numRef>
          </c:xVal>
          <c:yVal>
            <c:numRef>
              <c:f>Histogram!$D$2:$D$14</c:f>
              <c:numCache>
                <c:formatCode>0.00E+00</c:formatCode>
                <c:ptCount val="13"/>
                <c:pt idx="0">
                  <c:v>5078430720</c:v>
                </c:pt>
                <c:pt idx="1">
                  <c:v>532001728</c:v>
                </c:pt>
                <c:pt idx="2">
                  <c:v>803450944</c:v>
                </c:pt>
                <c:pt idx="3">
                  <c:v>5341141760</c:v>
                </c:pt>
                <c:pt idx="4">
                  <c:v>423831568</c:v>
                </c:pt>
                <c:pt idx="5">
                  <c:v>4798450.25</c:v>
                </c:pt>
                <c:pt idx="6">
                  <c:v>677640128</c:v>
                </c:pt>
                <c:pt idx="7">
                  <c:v>202414656</c:v>
                </c:pt>
                <c:pt idx="8">
                  <c:v>191020.21500000003</c:v>
                </c:pt>
                <c:pt idx="9">
                  <c:v>2857575808</c:v>
                </c:pt>
                <c:pt idx="10">
                  <c:v>465953248</c:v>
                </c:pt>
                <c:pt idx="11">
                  <c:v>245846792</c:v>
                </c:pt>
                <c:pt idx="12">
                  <c:v>139604000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BB-9B42-AEA9-801254FB5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105871"/>
        <c:axId val="1736299391"/>
      </c:scatterChart>
      <c:valAx>
        <c:axId val="1736105871"/>
        <c:scaling>
          <c:orientation val="minMax"/>
          <c:min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299391"/>
        <c:crosses val="autoZero"/>
        <c:crossBetween val="midCat"/>
      </c:valAx>
      <c:valAx>
        <c:axId val="1736299391"/>
        <c:scaling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105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vs REF 1 nM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24392603274671704"/>
                  <c:y val="0.140326288161348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Histogram!$M$2:$M$14</c:f>
              <c:numCache>
                <c:formatCode>0.00E+00</c:formatCode>
                <c:ptCount val="13"/>
                <c:pt idx="0">
                  <c:v>11602338816</c:v>
                </c:pt>
                <c:pt idx="1">
                  <c:v>629043488</c:v>
                </c:pt>
                <c:pt idx="2">
                  <c:v>796396704</c:v>
                </c:pt>
                <c:pt idx="3">
                  <c:v>5348896512</c:v>
                </c:pt>
                <c:pt idx="4">
                  <c:v>519188400</c:v>
                </c:pt>
                <c:pt idx="5">
                  <c:v>80025864</c:v>
                </c:pt>
                <c:pt idx="6">
                  <c:v>420492176</c:v>
                </c:pt>
                <c:pt idx="7">
                  <c:v>139680240</c:v>
                </c:pt>
                <c:pt idx="8">
                  <c:v>1857077.94</c:v>
                </c:pt>
                <c:pt idx="9">
                  <c:v>2983247232</c:v>
                </c:pt>
                <c:pt idx="10">
                  <c:v>746908064</c:v>
                </c:pt>
                <c:pt idx="11">
                  <c:v>53791142</c:v>
                </c:pt>
                <c:pt idx="12">
                  <c:v>86728284</c:v>
                </c:pt>
              </c:numCache>
            </c:numRef>
          </c:xVal>
          <c:yVal>
            <c:numRef>
              <c:f>Histogram!$G$2:$G$14</c:f>
              <c:numCache>
                <c:formatCode>0.00E+00</c:formatCode>
                <c:ptCount val="13"/>
                <c:pt idx="0">
                  <c:v>5391890432</c:v>
                </c:pt>
                <c:pt idx="1">
                  <c:v>828561216</c:v>
                </c:pt>
                <c:pt idx="2">
                  <c:v>880262528</c:v>
                </c:pt>
                <c:pt idx="3">
                  <c:v>2526400768</c:v>
                </c:pt>
                <c:pt idx="4">
                  <c:v>517794592</c:v>
                </c:pt>
                <c:pt idx="5">
                  <c:v>82396484</c:v>
                </c:pt>
                <c:pt idx="6">
                  <c:v>662082176</c:v>
                </c:pt>
                <c:pt idx="7">
                  <c:v>191012680</c:v>
                </c:pt>
                <c:pt idx="8">
                  <c:v>2184675.4550000001</c:v>
                </c:pt>
                <c:pt idx="9">
                  <c:v>3239924480</c:v>
                </c:pt>
                <c:pt idx="10">
                  <c:v>703442496</c:v>
                </c:pt>
                <c:pt idx="11">
                  <c:v>187215440</c:v>
                </c:pt>
                <c:pt idx="12">
                  <c:v>121319480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60-F84F-B871-12E6AE696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105871"/>
        <c:axId val="1736299391"/>
      </c:scatterChart>
      <c:valAx>
        <c:axId val="1736105871"/>
        <c:scaling>
          <c:orientation val="minMax"/>
          <c:min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299391"/>
        <c:crosses val="autoZero"/>
        <c:crossBetween val="midCat"/>
      </c:valAx>
      <c:valAx>
        <c:axId val="1736299391"/>
        <c:scaling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105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0.1 nM (TOP-REF)/REF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Histogram!$N$2:$N$14</c:f>
              <c:numCache>
                <c:formatCode>0.00E+00</c:formatCode>
                <c:ptCount val="13"/>
                <c:pt idx="0">
                  <c:v>1.1599319931764527</c:v>
                </c:pt>
                <c:pt idx="1">
                  <c:v>0.78827649536808309</c:v>
                </c:pt>
                <c:pt idx="2">
                  <c:v>1.2786507558219948</c:v>
                </c:pt>
                <c:pt idx="3">
                  <c:v>1.8124885102283275</c:v>
                </c:pt>
                <c:pt idx="4">
                  <c:v>1.9075010464303348</c:v>
                </c:pt>
                <c:pt idx="5">
                  <c:v>-0.82273202138276291</c:v>
                </c:pt>
                <c:pt idx="6">
                  <c:v>2.1802906643571691</c:v>
                </c:pt>
                <c:pt idx="7">
                  <c:v>2.6334555419127343</c:v>
                </c:pt>
                <c:pt idx="8">
                  <c:v>-0.2770473522286469</c:v>
                </c:pt>
                <c:pt idx="9">
                  <c:v>0.9058047291248057</c:v>
                </c:pt>
                <c:pt idx="10">
                  <c:v>0.83746016767457399</c:v>
                </c:pt>
                <c:pt idx="11">
                  <c:v>19.262191063746151</c:v>
                </c:pt>
                <c:pt idx="12">
                  <c:v>3.0896264587735134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F-AE4C-9042-EF3066E41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5099855"/>
        <c:axId val="1765337391"/>
      </c:barChart>
      <c:catAx>
        <c:axId val="1765099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337391"/>
        <c:crosses val="autoZero"/>
        <c:auto val="1"/>
        <c:lblAlgn val="ctr"/>
        <c:lblOffset val="100"/>
        <c:noMultiLvlLbl val="0"/>
      </c:catAx>
      <c:valAx>
        <c:axId val="176533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09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 nM (TOP-REF)/REF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Histogram!$O$2:$O$14</c:f>
              <c:numCache>
                <c:formatCode>0.00E+00</c:formatCode>
                <c:ptCount val="13"/>
                <c:pt idx="0">
                  <c:v>-0.53527555801383697</c:v>
                </c:pt>
                <c:pt idx="1">
                  <c:v>0.31717636666799098</c:v>
                </c:pt>
                <c:pt idx="2">
                  <c:v>0.10530659353406867</c:v>
                </c:pt>
                <c:pt idx="3">
                  <c:v>-0.5276781365404738</c:v>
                </c:pt>
                <c:pt idx="4">
                  <c:v>-2.6845900255090447E-3</c:v>
                </c:pt>
                <c:pt idx="5">
                  <c:v>2.9623172828224634E-2</c:v>
                </c:pt>
                <c:pt idx="6">
                  <c:v>0.57454101119826784</c:v>
                </c:pt>
                <c:pt idx="7">
                  <c:v>0.36749965492613701</c:v>
                </c:pt>
                <c:pt idx="8">
                  <c:v>0.17640482822169551</c:v>
                </c:pt>
                <c:pt idx="9">
                  <c:v>8.6039549537408236E-2</c:v>
                </c:pt>
                <c:pt idx="10">
                  <c:v>-5.8194000165460794E-2</c:v>
                </c:pt>
                <c:pt idx="11">
                  <c:v>2.4804139313495148</c:v>
                </c:pt>
                <c:pt idx="12">
                  <c:v>0.39884561765340587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6-C244-9D44-4F1248A60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8000655"/>
        <c:axId val="1753846927"/>
      </c:barChart>
      <c:catAx>
        <c:axId val="1788000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846927"/>
        <c:crosses val="autoZero"/>
        <c:auto val="1"/>
        <c:lblAlgn val="ctr"/>
        <c:lblOffset val="100"/>
        <c:noMultiLvlLbl val="0"/>
      </c:catAx>
      <c:valAx>
        <c:axId val="1753846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00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'Error Propagation'!$C$3</c:f>
              <c:strCache>
                <c:ptCount val="1"/>
                <c:pt idx="0">
                  <c:v>0.1nM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Propagation'!$B$4:$B$16</c:f>
              <c:strCache>
                <c:ptCount val="13"/>
                <c:pt idx="0">
                  <c:v>plsB</c:v>
                </c:pt>
                <c:pt idx="1">
                  <c:v>ftsZ</c:v>
                </c:pt>
                <c:pt idx="2">
                  <c:v>pssA</c:v>
                </c:pt>
                <c:pt idx="3">
                  <c:v>minD</c:v>
                </c:pt>
                <c:pt idx="4">
                  <c:v>psd</c:v>
                </c:pt>
                <c:pt idx="5">
                  <c:v>ftsA</c:v>
                </c:pt>
                <c:pt idx="6">
                  <c:v>plsC</c:v>
                </c:pt>
                <c:pt idx="7">
                  <c:v>minE</c:v>
                </c:pt>
                <c:pt idx="8">
                  <c:v>cdsA</c:v>
                </c:pt>
                <c:pt idx="9">
                  <c:v>DPOL</c:v>
                </c:pt>
                <c:pt idx="10">
                  <c:v>TERM</c:v>
                </c:pt>
                <c:pt idx="11">
                  <c:v>mCherry</c:v>
                </c:pt>
                <c:pt idx="12">
                  <c:v>mVenus</c:v>
                </c:pt>
              </c:strCache>
            </c:strRef>
          </c:cat>
          <c:val>
            <c:numRef>
              <c:f>'Error Propagation'!$C$4:$C$16</c:f>
              <c:numCache>
                <c:formatCode>General</c:formatCode>
                <c:ptCount val="13"/>
                <c:pt idx="0">
                  <c:v>0.12071678617569544</c:v>
                </c:pt>
                <c:pt idx="1">
                  <c:v>0.41503358439007887</c:v>
                </c:pt>
                <c:pt idx="2">
                  <c:v>0.16709093435124533</c:v>
                </c:pt>
                <c:pt idx="3">
                  <c:v>6.7428884278075266E-2</c:v>
                </c:pt>
                <c:pt idx="4">
                  <c:v>0.12442619177285805</c:v>
                </c:pt>
                <c:pt idx="5">
                  <c:v>7.5855582431999025E-2</c:v>
                </c:pt>
                <c:pt idx="6">
                  <c:v>0.13092929471234938</c:v>
                </c:pt>
                <c:pt idx="7">
                  <c:v>0.70963682499362857</c:v>
                </c:pt>
                <c:pt idx="8">
                  <c:v>0.21894619712247929</c:v>
                </c:pt>
                <c:pt idx="9">
                  <c:v>7.6162558197561972E-2</c:v>
                </c:pt>
                <c:pt idx="10">
                  <c:v>0.22402865039597572</c:v>
                </c:pt>
                <c:pt idx="11">
                  <c:v>10.191679563691178</c:v>
                </c:pt>
                <c:pt idx="12">
                  <c:v>0.19140477655072399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9-4FBF-BE7C-E834DBB43744}"/>
            </c:ext>
          </c:extLst>
        </c:ser>
        <c:ser>
          <c:idx val="1"/>
          <c:order val="1"/>
          <c:tx>
            <c:strRef>
              <c:f>'Error Propagation'!$D$3</c:f>
              <c:strCache>
                <c:ptCount val="1"/>
                <c:pt idx="0">
                  <c:v>1nM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'Error Propagation'!$B$4:$B$16</c:f>
              <c:strCache>
                <c:ptCount val="13"/>
                <c:pt idx="0">
                  <c:v>plsB</c:v>
                </c:pt>
                <c:pt idx="1">
                  <c:v>ftsZ</c:v>
                </c:pt>
                <c:pt idx="2">
                  <c:v>pssA</c:v>
                </c:pt>
                <c:pt idx="3">
                  <c:v>minD</c:v>
                </c:pt>
                <c:pt idx="4">
                  <c:v>psd</c:v>
                </c:pt>
                <c:pt idx="5">
                  <c:v>ftsA</c:v>
                </c:pt>
                <c:pt idx="6">
                  <c:v>plsC</c:v>
                </c:pt>
                <c:pt idx="7">
                  <c:v>minE</c:v>
                </c:pt>
                <c:pt idx="8">
                  <c:v>cdsA</c:v>
                </c:pt>
                <c:pt idx="9">
                  <c:v>DPOL</c:v>
                </c:pt>
                <c:pt idx="10">
                  <c:v>TERM</c:v>
                </c:pt>
                <c:pt idx="11">
                  <c:v>mCherry</c:v>
                </c:pt>
                <c:pt idx="12">
                  <c:v>mVenus</c:v>
                </c:pt>
              </c:strCache>
            </c:strRef>
          </c:cat>
          <c:val>
            <c:numRef>
              <c:f>'Error Propagation'!$D$4:$D$16</c:f>
              <c:numCache>
                <c:formatCode>General</c:formatCode>
                <c:ptCount val="13"/>
                <c:pt idx="0">
                  <c:v>7.6594069327141315E-2</c:v>
                </c:pt>
                <c:pt idx="1">
                  <c:v>5.4146438766797457E-2</c:v>
                </c:pt>
                <c:pt idx="2">
                  <c:v>1.4901019316113394E-2</c:v>
                </c:pt>
                <c:pt idx="3">
                  <c:v>9.2646579171153626E-2</c:v>
                </c:pt>
                <c:pt idx="4">
                  <c:v>8.709644785076405E-2</c:v>
                </c:pt>
                <c:pt idx="5">
                  <c:v>3.8705716654910134E-2</c:v>
                </c:pt>
                <c:pt idx="6">
                  <c:v>0.36430678729355892</c:v>
                </c:pt>
                <c:pt idx="7">
                  <c:v>4.8035596798322595E-2</c:v>
                </c:pt>
                <c:pt idx="8">
                  <c:v>1.38593323099517</c:v>
                </c:pt>
                <c:pt idx="9">
                  <c:v>0.23316546200928442</c:v>
                </c:pt>
                <c:pt idx="10">
                  <c:v>6.1485580956204072E-2</c:v>
                </c:pt>
                <c:pt idx="11">
                  <c:v>0.63738811595997302</c:v>
                </c:pt>
                <c:pt idx="12">
                  <c:v>0.20948837826734248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49-4FBF-BE7C-E834DBB43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239263"/>
        <c:axId val="212220127"/>
      </c:barChart>
      <c:catAx>
        <c:axId val="21223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20127"/>
        <c:crosses val="autoZero"/>
        <c:auto val="1"/>
        <c:lblAlgn val="ctr"/>
        <c:lblOffset val="100"/>
        <c:noMultiLvlLbl val="0"/>
      </c:catAx>
      <c:valAx>
        <c:axId val="21222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3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1308100</xdr:colOff>
      <xdr:row>233</xdr:row>
      <xdr:rowOff>165100</xdr:rowOff>
    </xdr:from>
    <xdr:to>
      <xdr:col>54</xdr:col>
      <xdr:colOff>1651000</xdr:colOff>
      <xdr:row>272</xdr:row>
      <xdr:rowOff>139700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B2350A73-6E63-2444-F84B-005209AF6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618067</xdr:colOff>
      <xdr:row>233</xdr:row>
      <xdr:rowOff>127705</xdr:rowOff>
    </xdr:from>
    <xdr:to>
      <xdr:col>53</xdr:col>
      <xdr:colOff>1876073</xdr:colOff>
      <xdr:row>254</xdr:row>
      <xdr:rowOff>12700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FB79FEF5-D06A-1EBB-4013-81764F9BA6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1219200</xdr:colOff>
      <xdr:row>15</xdr:row>
      <xdr:rowOff>120650</xdr:rowOff>
    </xdr:from>
    <xdr:to>
      <xdr:col>11</xdr:col>
      <xdr:colOff>977900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6D8D96-596D-E88A-BF17-935BD8BE3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615950</xdr:colOff>
      <xdr:row>45</xdr:row>
      <xdr:rowOff>152400</xdr:rowOff>
    </xdr:from>
    <xdr:to>
      <xdr:col>7</xdr:col>
      <xdr:colOff>1066800</xdr:colOff>
      <xdr:row>64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B05B80-AABD-DFA3-C774-D856C4039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482600</xdr:colOff>
      <xdr:row>45</xdr:row>
      <xdr:rowOff>139700</xdr:rowOff>
    </xdr:from>
    <xdr:to>
      <xdr:col>11</xdr:col>
      <xdr:colOff>869950</xdr:colOff>
      <xdr:row>64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BFC6AB-51DC-3043-B3D4-008CEA54E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171450</xdr:colOff>
      <xdr:row>17</xdr:row>
      <xdr:rowOff>146050</xdr:rowOff>
    </xdr:from>
    <xdr:to>
      <xdr:col>16</xdr:col>
      <xdr:colOff>31750</xdr:colOff>
      <xdr:row>32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F2988A-C082-46AF-A9E0-F79E06FA0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1225550</xdr:colOff>
      <xdr:row>33</xdr:row>
      <xdr:rowOff>120650</xdr:rowOff>
    </xdr:from>
    <xdr:to>
      <xdr:col>15</xdr:col>
      <xdr:colOff>628650</xdr:colOff>
      <xdr:row>48</xdr:row>
      <xdr:rowOff>6350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28C576-B769-A8F9-E567-026A6D13C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271462</xdr:colOff>
      <xdr:row>19</xdr:row>
      <xdr:rowOff>114300</xdr:rowOff>
    </xdr:from>
    <xdr:to>
      <xdr:col>6</xdr:col>
      <xdr:colOff>652462</xdr:colOff>
      <xdr:row>34</xdr:row>
      <xdr:rowOff>142875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DBA15D0-1306-48CB-A9C4-486F84F4D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workbookViewId="0"/>
  </sheetViews>
  <sheetFormatPr baseColWidth="10" defaultColWidth="8.625" defaultRowHeight="14.25"/>
  <cols>
    <col min="1" max="1" width="30" customWidth="1"/>
    <col min="2" max="9" width="175" customWidth="1"/>
  </cols>
  <sheetData>
    <row r="1" spans="1:9" ht="15">
      <c r="A1" s="1" t="s">
        <v>948</v>
      </c>
      <c r="B1" s="3" t="s">
        <v>949</v>
      </c>
      <c r="C1" s="3" t="s">
        <v>949</v>
      </c>
      <c r="D1" s="3" t="s">
        <v>949</v>
      </c>
      <c r="E1" s="3" t="s">
        <v>949</v>
      </c>
      <c r="F1" s="3" t="s">
        <v>949</v>
      </c>
      <c r="G1" s="3" t="s">
        <v>949</v>
      </c>
      <c r="H1" s="3" t="s">
        <v>949</v>
      </c>
      <c r="I1" s="3" t="s">
        <v>949</v>
      </c>
    </row>
    <row r="2" spans="1:9" ht="15">
      <c r="A2" s="2" t="s">
        <v>950</v>
      </c>
      <c r="B2" s="4" t="s">
        <v>951</v>
      </c>
      <c r="C2" s="4" t="s">
        <v>952</v>
      </c>
      <c r="D2" s="4" t="s">
        <v>953</v>
      </c>
      <c r="E2" s="4" t="s">
        <v>954</v>
      </c>
      <c r="F2" s="4" t="s">
        <v>955</v>
      </c>
      <c r="G2" s="4" t="s">
        <v>956</v>
      </c>
      <c r="H2" s="4" t="s">
        <v>957</v>
      </c>
      <c r="I2" s="4" t="s">
        <v>958</v>
      </c>
    </row>
    <row r="3" spans="1:9" ht="15">
      <c r="A3" s="1" t="s">
        <v>959</v>
      </c>
      <c r="B3" s="3" t="s">
        <v>960</v>
      </c>
      <c r="C3" s="3" t="s">
        <v>961</v>
      </c>
      <c r="D3" s="3" t="s">
        <v>962</v>
      </c>
      <c r="E3" s="3" t="s">
        <v>963</v>
      </c>
      <c r="F3" s="3" t="s">
        <v>964</v>
      </c>
      <c r="G3" s="3" t="s">
        <v>965</v>
      </c>
      <c r="H3" s="3" t="s">
        <v>966</v>
      </c>
      <c r="I3" s="3" t="s">
        <v>967</v>
      </c>
    </row>
    <row r="4" spans="1:9" ht="15">
      <c r="A4" s="2" t="s">
        <v>968</v>
      </c>
      <c r="B4" s="4" t="s">
        <v>960</v>
      </c>
      <c r="C4" s="4" t="s">
        <v>961</v>
      </c>
      <c r="D4" s="4" t="s">
        <v>962</v>
      </c>
      <c r="E4" s="4" t="s">
        <v>963</v>
      </c>
      <c r="F4" s="4" t="s">
        <v>964</v>
      </c>
      <c r="G4" s="4" t="s">
        <v>965</v>
      </c>
      <c r="H4" s="4" t="s">
        <v>966</v>
      </c>
      <c r="I4" s="4" t="s">
        <v>967</v>
      </c>
    </row>
    <row r="5" spans="1:9" ht="15">
      <c r="A5" s="1" t="s">
        <v>969</v>
      </c>
      <c r="B5" s="3" t="s">
        <v>970</v>
      </c>
      <c r="C5" s="3" t="s">
        <v>971</v>
      </c>
      <c r="D5" s="3" t="s">
        <v>972</v>
      </c>
      <c r="E5" s="3" t="s">
        <v>973</v>
      </c>
      <c r="F5" s="3" t="s">
        <v>974</v>
      </c>
      <c r="G5" s="3" t="s">
        <v>975</v>
      </c>
      <c r="H5" s="3" t="s">
        <v>976</v>
      </c>
      <c r="I5" s="3" t="s">
        <v>977</v>
      </c>
    </row>
    <row r="6" spans="1:9" ht="15">
      <c r="A6" s="2" t="s">
        <v>978</v>
      </c>
      <c r="B6" s="4" t="s">
        <v>979</v>
      </c>
      <c r="C6" s="4" t="s">
        <v>980</v>
      </c>
      <c r="D6" s="4" t="s">
        <v>981</v>
      </c>
      <c r="E6" s="4" t="s">
        <v>982</v>
      </c>
      <c r="F6" s="4" t="s">
        <v>983</v>
      </c>
      <c r="G6" s="4" t="s">
        <v>984</v>
      </c>
      <c r="H6" s="4" t="s">
        <v>985</v>
      </c>
      <c r="I6" s="4" t="s">
        <v>986</v>
      </c>
    </row>
    <row r="7" spans="1:9" ht="15">
      <c r="A7" s="1" t="s">
        <v>987</v>
      </c>
      <c r="B7" s="3" t="s">
        <v>988</v>
      </c>
      <c r="C7" s="3" t="s">
        <v>989</v>
      </c>
      <c r="D7" s="3" t="s">
        <v>990</v>
      </c>
      <c r="E7" s="3" t="s">
        <v>991</v>
      </c>
      <c r="F7" s="3" t="s">
        <v>992</v>
      </c>
      <c r="G7" s="3" t="s">
        <v>993</v>
      </c>
      <c r="H7" s="3" t="s">
        <v>994</v>
      </c>
      <c r="I7" s="3" t="s">
        <v>995</v>
      </c>
    </row>
    <row r="8" spans="1:9" ht="15">
      <c r="A8" s="2" t="s">
        <v>996</v>
      </c>
      <c r="B8" s="4" t="s">
        <v>997</v>
      </c>
      <c r="C8" s="4" t="s">
        <v>998</v>
      </c>
      <c r="D8" s="4" t="s">
        <v>999</v>
      </c>
      <c r="E8" s="4" t="s">
        <v>1000</v>
      </c>
      <c r="F8" s="4" t="s">
        <v>1001</v>
      </c>
      <c r="G8" s="4" t="s">
        <v>1002</v>
      </c>
      <c r="H8" s="4" t="s">
        <v>1003</v>
      </c>
      <c r="I8" s="4" t="s">
        <v>1004</v>
      </c>
    </row>
    <row r="9" spans="1:9" ht="15">
      <c r="A9" s="1" t="s">
        <v>1005</v>
      </c>
      <c r="B9" s="3" t="s">
        <v>1006</v>
      </c>
      <c r="C9" s="3" t="s">
        <v>1006</v>
      </c>
      <c r="D9" s="3" t="s">
        <v>1006</v>
      </c>
      <c r="E9" s="3" t="s">
        <v>1006</v>
      </c>
      <c r="F9" s="3" t="s">
        <v>1006</v>
      </c>
      <c r="G9" s="3" t="s">
        <v>1006</v>
      </c>
      <c r="H9" s="3" t="s">
        <v>1006</v>
      </c>
      <c r="I9" s="3" t="s">
        <v>1006</v>
      </c>
    </row>
    <row r="10" spans="1:9" ht="15">
      <c r="A10" s="2" t="s">
        <v>1007</v>
      </c>
      <c r="B10" s="4">
        <v>148210</v>
      </c>
      <c r="C10" s="4">
        <v>148211</v>
      </c>
      <c r="D10" s="4">
        <v>148212</v>
      </c>
      <c r="E10" s="4">
        <v>148213</v>
      </c>
      <c r="F10" s="4">
        <v>148214</v>
      </c>
      <c r="G10" s="4">
        <v>148215</v>
      </c>
      <c r="H10" s="4">
        <v>148216</v>
      </c>
      <c r="I10" s="4">
        <v>148217</v>
      </c>
    </row>
    <row r="11" spans="1:9" ht="15">
      <c r="A11" s="1" t="s">
        <v>1008</v>
      </c>
      <c r="B11" s="3" t="s">
        <v>1009</v>
      </c>
      <c r="C11" s="3" t="s">
        <v>1009</v>
      </c>
      <c r="D11" s="3" t="s">
        <v>1009</v>
      </c>
      <c r="E11" s="3" t="s">
        <v>1009</v>
      </c>
      <c r="F11" s="3" t="s">
        <v>1009</v>
      </c>
      <c r="G11" s="3" t="s">
        <v>1009</v>
      </c>
      <c r="H11" s="3" t="s">
        <v>1009</v>
      </c>
      <c r="I11" s="3" t="s">
        <v>1009</v>
      </c>
    </row>
    <row r="12" spans="1:9" ht="15">
      <c r="A12" s="2" t="s">
        <v>1010</v>
      </c>
      <c r="B12" s="4"/>
      <c r="C12" s="4"/>
      <c r="D12" s="4"/>
      <c r="E12" s="4"/>
      <c r="F12" s="4"/>
      <c r="G12" s="4"/>
      <c r="H12" s="4"/>
      <c r="I12" s="4"/>
    </row>
    <row r="13" spans="1:9" ht="15">
      <c r="A13" s="1" t="s">
        <v>1011</v>
      </c>
      <c r="B13" s="3">
        <v>23333</v>
      </c>
      <c r="C13" s="3">
        <v>24098</v>
      </c>
      <c r="D13" s="3">
        <v>26686</v>
      </c>
      <c r="E13" s="3">
        <v>26878</v>
      </c>
      <c r="F13" s="3">
        <v>25495</v>
      </c>
      <c r="G13" s="3">
        <v>25847</v>
      </c>
      <c r="H13" s="3">
        <v>26904</v>
      </c>
      <c r="I13" s="3">
        <v>26867</v>
      </c>
    </row>
    <row r="14" spans="1:9" ht="15">
      <c r="A14" s="2" t="s">
        <v>1012</v>
      </c>
      <c r="B14" s="4">
        <v>23530</v>
      </c>
      <c r="C14" s="4">
        <v>23530</v>
      </c>
      <c r="D14" s="4">
        <v>23530</v>
      </c>
      <c r="E14" s="4">
        <v>23530</v>
      </c>
      <c r="F14" s="4">
        <v>23530</v>
      </c>
      <c r="G14" s="4">
        <v>23530</v>
      </c>
      <c r="H14" s="4">
        <v>23530</v>
      </c>
      <c r="I14" s="4">
        <v>23530</v>
      </c>
    </row>
    <row r="15" spans="1:9" ht="15">
      <c r="A15" s="1" t="s">
        <v>1013</v>
      </c>
      <c r="B15" s="3" t="s">
        <v>1014</v>
      </c>
      <c r="C15" s="3" t="s">
        <v>1014</v>
      </c>
      <c r="D15" s="3" t="s">
        <v>1014</v>
      </c>
      <c r="E15" s="3" t="s">
        <v>1014</v>
      </c>
      <c r="F15" s="3" t="s">
        <v>1014</v>
      </c>
      <c r="G15" s="3" t="s">
        <v>1014</v>
      </c>
      <c r="H15" s="3" t="s">
        <v>1014</v>
      </c>
      <c r="I15" s="3" t="s">
        <v>1014</v>
      </c>
    </row>
    <row r="16" spans="1:9" ht="15">
      <c r="A16" s="2" t="s">
        <v>1015</v>
      </c>
      <c r="B16" s="4" t="s">
        <v>1016</v>
      </c>
      <c r="C16" s="4" t="s">
        <v>1016</v>
      </c>
      <c r="D16" s="4" t="s">
        <v>1016</v>
      </c>
      <c r="E16" s="4" t="s">
        <v>1016</v>
      </c>
      <c r="F16" s="4" t="s">
        <v>1016</v>
      </c>
      <c r="G16" s="4" t="s">
        <v>1016</v>
      </c>
      <c r="H16" s="4" t="s">
        <v>1016</v>
      </c>
      <c r="I16" s="4" t="s">
        <v>1016</v>
      </c>
    </row>
    <row r="17" spans="1:9" ht="15">
      <c r="A17" s="1" t="s">
        <v>1017</v>
      </c>
      <c r="B17" s="3" t="s">
        <v>1018</v>
      </c>
      <c r="C17" s="3" t="s">
        <v>1018</v>
      </c>
      <c r="D17" s="3" t="s">
        <v>1018</v>
      </c>
      <c r="E17" s="3" t="s">
        <v>1018</v>
      </c>
      <c r="F17" s="3" t="s">
        <v>1018</v>
      </c>
      <c r="G17" s="3" t="s">
        <v>1018</v>
      </c>
      <c r="H17" s="3" t="s">
        <v>1018</v>
      </c>
      <c r="I17" s="3" t="s">
        <v>1018</v>
      </c>
    </row>
    <row r="18" spans="1:9" ht="15">
      <c r="A18" s="2" t="s">
        <v>1019</v>
      </c>
      <c r="B18" s="4" t="s">
        <v>1020</v>
      </c>
      <c r="C18" s="4" t="s">
        <v>1020</v>
      </c>
      <c r="D18" s="4" t="s">
        <v>1020</v>
      </c>
      <c r="E18" s="4" t="s">
        <v>1020</v>
      </c>
      <c r="F18" s="4" t="s">
        <v>1020</v>
      </c>
      <c r="G18" s="4" t="s">
        <v>1020</v>
      </c>
      <c r="H18" s="4" t="s">
        <v>1020</v>
      </c>
      <c r="I18" s="4" t="s">
        <v>1020</v>
      </c>
    </row>
    <row r="19" spans="1:9" ht="15">
      <c r="A19" s="1" t="s">
        <v>1021</v>
      </c>
      <c r="B19" s="3" t="s">
        <v>1022</v>
      </c>
      <c r="C19" s="3" t="s">
        <v>1022</v>
      </c>
      <c r="D19" s="3" t="s">
        <v>1022</v>
      </c>
      <c r="E19" s="3" t="s">
        <v>1022</v>
      </c>
      <c r="F19" s="3" t="s">
        <v>1022</v>
      </c>
      <c r="G19" s="3" t="s">
        <v>1022</v>
      </c>
      <c r="H19" s="3" t="s">
        <v>1022</v>
      </c>
      <c r="I19" s="3" t="s">
        <v>1022</v>
      </c>
    </row>
    <row r="20" spans="1:9" ht="15">
      <c r="A20" s="2" t="s">
        <v>1023</v>
      </c>
      <c r="B20" s="4" t="s">
        <v>1024</v>
      </c>
      <c r="C20" s="4" t="s">
        <v>1024</v>
      </c>
      <c r="D20" s="4" t="s">
        <v>1024</v>
      </c>
      <c r="E20" s="4" t="s">
        <v>1024</v>
      </c>
      <c r="F20" s="4" t="s">
        <v>1024</v>
      </c>
      <c r="G20" s="4" t="s">
        <v>1024</v>
      </c>
      <c r="H20" s="4" t="s">
        <v>1024</v>
      </c>
      <c r="I20" s="4" t="s">
        <v>1024</v>
      </c>
    </row>
    <row r="21" spans="1:9" ht="15">
      <c r="A21" s="1" t="s">
        <v>1025</v>
      </c>
      <c r="B21" s="3" t="s">
        <v>1026</v>
      </c>
      <c r="C21" s="3" t="s">
        <v>1026</v>
      </c>
      <c r="D21" s="3" t="s">
        <v>1026</v>
      </c>
      <c r="E21" s="3" t="s">
        <v>1026</v>
      </c>
      <c r="F21" s="3" t="s">
        <v>1026</v>
      </c>
      <c r="G21" s="3" t="s">
        <v>1026</v>
      </c>
      <c r="H21" s="3" t="s">
        <v>1026</v>
      </c>
      <c r="I21" s="3" t="s">
        <v>1026</v>
      </c>
    </row>
    <row r="22" spans="1:9" ht="15">
      <c r="A22" s="2" t="s">
        <v>1027</v>
      </c>
      <c r="B22" s="4" t="s">
        <v>1028</v>
      </c>
      <c r="C22" s="4" t="s">
        <v>1028</v>
      </c>
      <c r="D22" s="4" t="s">
        <v>1028</v>
      </c>
      <c r="E22" s="4" t="s">
        <v>1028</v>
      </c>
      <c r="F22" s="4" t="s">
        <v>1028</v>
      </c>
      <c r="G22" s="4" t="s">
        <v>1028</v>
      </c>
      <c r="H22" s="4" t="s">
        <v>1028</v>
      </c>
      <c r="I22" s="4" t="s">
        <v>1028</v>
      </c>
    </row>
    <row r="23" spans="1:9" ht="15">
      <c r="A23" s="1" t="s">
        <v>1029</v>
      </c>
      <c r="B23" s="3">
        <v>2</v>
      </c>
      <c r="C23" s="3">
        <v>2</v>
      </c>
      <c r="D23" s="3">
        <v>2</v>
      </c>
      <c r="E23" s="3">
        <v>2</v>
      </c>
      <c r="F23" s="3">
        <v>2</v>
      </c>
      <c r="G23" s="3">
        <v>2</v>
      </c>
      <c r="H23" s="3">
        <v>2</v>
      </c>
      <c r="I23" s="3">
        <v>2</v>
      </c>
    </row>
    <row r="24" spans="1:9" ht="15">
      <c r="A24" s="2" t="s">
        <v>1030</v>
      </c>
      <c r="B24" s="4" t="s">
        <v>1031</v>
      </c>
      <c r="C24" s="4" t="s">
        <v>1031</v>
      </c>
      <c r="D24" s="4" t="s">
        <v>1031</v>
      </c>
      <c r="E24" s="4" t="s">
        <v>1031</v>
      </c>
      <c r="F24" s="4" t="s">
        <v>1031</v>
      </c>
      <c r="G24" s="4" t="s">
        <v>1031</v>
      </c>
      <c r="H24" s="4" t="s">
        <v>1031</v>
      </c>
      <c r="I24" s="4" t="s">
        <v>1031</v>
      </c>
    </row>
    <row r="25" spans="1:9" ht="15">
      <c r="A25" s="1" t="s">
        <v>1032</v>
      </c>
      <c r="B25" s="3" t="s">
        <v>1033</v>
      </c>
      <c r="C25" s="3" t="s">
        <v>1033</v>
      </c>
      <c r="D25" s="3" t="s">
        <v>1033</v>
      </c>
      <c r="E25" s="3" t="s">
        <v>1033</v>
      </c>
      <c r="F25" s="3" t="s">
        <v>1033</v>
      </c>
      <c r="G25" s="3" t="s">
        <v>1033</v>
      </c>
      <c r="H25" s="3" t="s">
        <v>1033</v>
      </c>
      <c r="I25" s="3" t="s">
        <v>1033</v>
      </c>
    </row>
    <row r="26" spans="1:9" ht="15">
      <c r="A26" s="2" t="s">
        <v>1034</v>
      </c>
      <c r="B26" s="4" t="s">
        <v>1035</v>
      </c>
      <c r="C26" s="4" t="s">
        <v>1035</v>
      </c>
      <c r="D26" s="4" t="s">
        <v>1035</v>
      </c>
      <c r="E26" s="4" t="s">
        <v>1035</v>
      </c>
      <c r="F26" s="4" t="s">
        <v>1035</v>
      </c>
      <c r="G26" s="4" t="s">
        <v>1035</v>
      </c>
      <c r="H26" s="4" t="s">
        <v>1035</v>
      </c>
      <c r="I26" s="4" t="s">
        <v>1035</v>
      </c>
    </row>
    <row r="27" spans="1:9" ht="15">
      <c r="A27" s="1" t="s">
        <v>1036</v>
      </c>
      <c r="B27" s="3" t="s">
        <v>1037</v>
      </c>
      <c r="C27" s="3" t="s">
        <v>1037</v>
      </c>
      <c r="D27" s="3" t="s">
        <v>1037</v>
      </c>
      <c r="E27" s="3" t="s">
        <v>1037</v>
      </c>
      <c r="F27" s="3" t="s">
        <v>1037</v>
      </c>
      <c r="G27" s="3" t="s">
        <v>1037</v>
      </c>
      <c r="H27" s="3" t="s">
        <v>1037</v>
      </c>
      <c r="I27" s="3" t="s">
        <v>1037</v>
      </c>
    </row>
    <row r="28" spans="1:9" ht="15">
      <c r="A28" s="2" t="s">
        <v>1038</v>
      </c>
      <c r="B28" s="4" t="s">
        <v>1039</v>
      </c>
      <c r="C28" s="4" t="s">
        <v>1039</v>
      </c>
      <c r="D28" s="4" t="s">
        <v>1039</v>
      </c>
      <c r="E28" s="4" t="s">
        <v>1039</v>
      </c>
      <c r="F28" s="4" t="s">
        <v>1039</v>
      </c>
      <c r="G28" s="4" t="s">
        <v>1039</v>
      </c>
      <c r="H28" s="4" t="s">
        <v>1039</v>
      </c>
      <c r="I28" s="4" t="s">
        <v>1039</v>
      </c>
    </row>
    <row r="29" spans="1:9" ht="15">
      <c r="A29" s="1" t="s">
        <v>1040</v>
      </c>
      <c r="B29" s="3" t="s">
        <v>1041</v>
      </c>
      <c r="C29" s="3" t="s">
        <v>1041</v>
      </c>
      <c r="D29" s="3" t="s">
        <v>1041</v>
      </c>
      <c r="E29" s="3" t="s">
        <v>1041</v>
      </c>
      <c r="F29" s="3" t="s">
        <v>1041</v>
      </c>
      <c r="G29" s="3" t="s">
        <v>1041</v>
      </c>
      <c r="H29" s="3" t="s">
        <v>1041</v>
      </c>
      <c r="I29" s="3" t="s">
        <v>1041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/>
  </sheetViews>
  <sheetFormatPr baseColWidth="10" defaultColWidth="8.625" defaultRowHeight="14.25"/>
  <cols>
    <col min="1" max="1" width="25" customWidth="1"/>
    <col min="2" max="2" width="27" customWidth="1"/>
    <col min="3" max="6" width="144" customWidth="1"/>
    <col min="7" max="7" width="143" customWidth="1"/>
    <col min="8" max="10" width="144" customWidth="1"/>
  </cols>
  <sheetData>
    <row r="1" spans="1:10" ht="15">
      <c r="A1" s="5" t="s">
        <v>950</v>
      </c>
      <c r="B1" s="3" t="s">
        <v>1082</v>
      </c>
      <c r="C1" s="3" t="s">
        <v>951</v>
      </c>
      <c r="D1" s="3" t="s">
        <v>952</v>
      </c>
      <c r="E1" s="3" t="s">
        <v>953</v>
      </c>
      <c r="F1" s="3" t="s">
        <v>954</v>
      </c>
      <c r="G1" s="3" t="s">
        <v>955</v>
      </c>
      <c r="H1" s="3" t="s">
        <v>956</v>
      </c>
      <c r="I1" s="3" t="s">
        <v>957</v>
      </c>
      <c r="J1" s="3" t="s">
        <v>958</v>
      </c>
    </row>
    <row r="2" spans="1:10" ht="15">
      <c r="A2" s="6" t="s">
        <v>996</v>
      </c>
      <c r="B2" s="4" t="s">
        <v>1083</v>
      </c>
      <c r="C2" s="4" t="s">
        <v>997</v>
      </c>
      <c r="D2" s="4" t="s">
        <v>998</v>
      </c>
      <c r="E2" s="4" t="s">
        <v>999</v>
      </c>
      <c r="F2" s="4" t="s">
        <v>1000</v>
      </c>
      <c r="G2" s="4" t="s">
        <v>1001</v>
      </c>
      <c r="H2" s="4" t="s">
        <v>1002</v>
      </c>
      <c r="I2" s="4" t="s">
        <v>1003</v>
      </c>
      <c r="J2" s="4" t="s">
        <v>1004</v>
      </c>
    </row>
    <row r="3" spans="1:10" ht="15">
      <c r="A3" s="5" t="s">
        <v>1084</v>
      </c>
      <c r="B3" s="3"/>
      <c r="C3" s="3" t="s">
        <v>1085</v>
      </c>
      <c r="D3" s="3" t="s">
        <v>1085</v>
      </c>
      <c r="E3" s="3" t="s">
        <v>1085</v>
      </c>
      <c r="F3" s="3" t="s">
        <v>1085</v>
      </c>
      <c r="G3" s="3" t="s">
        <v>1085</v>
      </c>
      <c r="H3" s="3" t="s">
        <v>1085</v>
      </c>
      <c r="I3" s="3" t="s">
        <v>1085</v>
      </c>
      <c r="J3" s="3" t="s">
        <v>1085</v>
      </c>
    </row>
    <row r="4" spans="1:10" ht="15">
      <c r="A4" s="6" t="s">
        <v>1086</v>
      </c>
      <c r="B4" s="4" t="s">
        <v>1082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</row>
    <row r="5" spans="1:10" ht="15">
      <c r="A5" s="5" t="s">
        <v>1087</v>
      </c>
      <c r="B5" s="3"/>
      <c r="C5" s="3" t="s">
        <v>1088</v>
      </c>
      <c r="D5" s="3" t="s">
        <v>1088</v>
      </c>
      <c r="E5" s="3" t="s">
        <v>1088</v>
      </c>
      <c r="F5" s="3" t="s">
        <v>1088</v>
      </c>
      <c r="G5" s="3" t="s">
        <v>1088</v>
      </c>
      <c r="H5" s="3" t="s">
        <v>1088</v>
      </c>
      <c r="I5" s="3" t="s">
        <v>1088</v>
      </c>
      <c r="J5" s="3" t="s">
        <v>1088</v>
      </c>
    </row>
    <row r="6" spans="1:10" ht="15">
      <c r="A6" s="6" t="s">
        <v>1089</v>
      </c>
      <c r="B6" s="4"/>
      <c r="C6" s="4" t="s">
        <v>1090</v>
      </c>
      <c r="D6" s="4" t="s">
        <v>1090</v>
      </c>
      <c r="E6" s="4" t="s">
        <v>1090</v>
      </c>
      <c r="F6" s="4" t="s">
        <v>1090</v>
      </c>
      <c r="G6" s="4" t="s">
        <v>1090</v>
      </c>
      <c r="H6" s="4" t="s">
        <v>1090</v>
      </c>
      <c r="I6" s="4" t="s">
        <v>1090</v>
      </c>
      <c r="J6" s="4" t="s">
        <v>1090</v>
      </c>
    </row>
    <row r="7" spans="1:10" ht="15">
      <c r="A7" s="5" t="s">
        <v>1091</v>
      </c>
      <c r="B7" s="3"/>
      <c r="C7" s="3" t="s">
        <v>1092</v>
      </c>
      <c r="D7" s="3" t="s">
        <v>1093</v>
      </c>
      <c r="E7" s="3" t="s">
        <v>1094</v>
      </c>
      <c r="F7" s="3" t="s">
        <v>1095</v>
      </c>
      <c r="G7" s="3" t="s">
        <v>1096</v>
      </c>
      <c r="H7" s="3" t="s">
        <v>1097</v>
      </c>
      <c r="I7" s="3" t="s">
        <v>1098</v>
      </c>
      <c r="J7" s="3" t="s">
        <v>1099</v>
      </c>
    </row>
    <row r="8" spans="1:10" ht="15">
      <c r="A8" s="6" t="s">
        <v>1100</v>
      </c>
      <c r="B8" s="4" t="s">
        <v>1082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</row>
    <row r="9" spans="1:10" ht="15">
      <c r="A9" s="5" t="s">
        <v>1101</v>
      </c>
      <c r="B9" s="3"/>
      <c r="C9" s="3" t="s">
        <v>1102</v>
      </c>
      <c r="D9" s="3" t="s">
        <v>1102</v>
      </c>
      <c r="E9" s="3" t="s">
        <v>1102</v>
      </c>
      <c r="F9" s="3" t="s">
        <v>1102</v>
      </c>
      <c r="G9" s="3" t="s">
        <v>1102</v>
      </c>
      <c r="H9" s="3" t="s">
        <v>1102</v>
      </c>
      <c r="I9" s="3" t="s">
        <v>1102</v>
      </c>
      <c r="J9" s="3" t="s">
        <v>1102</v>
      </c>
    </row>
    <row r="10" spans="1:10" ht="15">
      <c r="A10" s="6" t="s">
        <v>1103</v>
      </c>
      <c r="B10" s="4"/>
      <c r="C10" s="4" t="s">
        <v>1104</v>
      </c>
      <c r="D10" s="4" t="s">
        <v>1105</v>
      </c>
      <c r="E10" s="4" t="s">
        <v>1106</v>
      </c>
      <c r="F10" s="4" t="s">
        <v>1107</v>
      </c>
      <c r="G10" s="4" t="s">
        <v>1108</v>
      </c>
      <c r="H10" s="4" t="s">
        <v>1109</v>
      </c>
      <c r="I10" s="4" t="s">
        <v>1110</v>
      </c>
      <c r="J10" s="4" t="s">
        <v>1111</v>
      </c>
    </row>
    <row r="11" spans="1:10" ht="15">
      <c r="A11" s="5" t="s">
        <v>1112</v>
      </c>
      <c r="B11" s="3"/>
      <c r="C11" s="3"/>
      <c r="D11" s="3"/>
      <c r="E11" s="3"/>
      <c r="F11" s="3"/>
      <c r="G11" s="3"/>
      <c r="H11" s="3"/>
      <c r="I11" s="3"/>
      <c r="J1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9"/>
  <sheetViews>
    <sheetView workbookViewId="0"/>
  </sheetViews>
  <sheetFormatPr baseColWidth="10" defaultColWidth="8.625" defaultRowHeight="14.25"/>
  <cols>
    <col min="1" max="1" width="49" customWidth="1"/>
    <col min="2" max="2" width="19" customWidth="1"/>
  </cols>
  <sheetData>
    <row r="1" spans="1:2" ht="15">
      <c r="A1" s="7" t="s">
        <v>1113</v>
      </c>
      <c r="B1" s="3" t="s">
        <v>1114</v>
      </c>
    </row>
    <row r="2" spans="1:2" ht="15">
      <c r="A2" s="8" t="s">
        <v>1115</v>
      </c>
      <c r="B2" s="4" t="s">
        <v>1041</v>
      </c>
    </row>
    <row r="3" spans="1:2" ht="15">
      <c r="A3" s="7" t="s">
        <v>1116</v>
      </c>
      <c r="B3" s="3" t="s">
        <v>1117</v>
      </c>
    </row>
    <row r="4" spans="1:2" ht="15">
      <c r="A4" s="8" t="s">
        <v>1118</v>
      </c>
      <c r="B4" s="4" t="s">
        <v>1119</v>
      </c>
    </row>
    <row r="5" spans="1:2" ht="15">
      <c r="A5" s="7" t="s">
        <v>1120</v>
      </c>
      <c r="B5" s="3" t="s">
        <v>1119</v>
      </c>
    </row>
    <row r="6" spans="1:2" ht="15">
      <c r="A6" s="8" t="s">
        <v>1121</v>
      </c>
      <c r="B6" s="4" t="s">
        <v>1119</v>
      </c>
    </row>
    <row r="7" spans="1:2" ht="15">
      <c r="A7" s="7" t="s">
        <v>1122</v>
      </c>
      <c r="B7" s="3" t="s">
        <v>1123</v>
      </c>
    </row>
    <row r="8" spans="1:2" ht="15">
      <c r="A8" s="8" t="s">
        <v>1124</v>
      </c>
      <c r="B8" s="4" t="s">
        <v>148</v>
      </c>
    </row>
    <row r="9" spans="1:2" ht="15">
      <c r="A9" s="7" t="s">
        <v>1125</v>
      </c>
      <c r="B9" s="3" t="s">
        <v>1126</v>
      </c>
    </row>
    <row r="10" spans="1:2" ht="15">
      <c r="A10" s="8" t="s">
        <v>1127</v>
      </c>
      <c r="B10" s="4" t="s">
        <v>1128</v>
      </c>
    </row>
    <row r="11" spans="1:2" ht="15">
      <c r="A11" s="7" t="s">
        <v>1129</v>
      </c>
      <c r="B11" s="3" t="s">
        <v>1041</v>
      </c>
    </row>
    <row r="12" spans="1:2" ht="15">
      <c r="A12" s="8" t="s">
        <v>1130</v>
      </c>
      <c r="B12" s="4" t="s">
        <v>1131</v>
      </c>
    </row>
    <row r="13" spans="1:2" ht="15">
      <c r="A13" s="7" t="s">
        <v>1132</v>
      </c>
      <c r="B13" s="3" t="s">
        <v>1133</v>
      </c>
    </row>
    <row r="14" spans="1:2" ht="15">
      <c r="A14" s="8" t="s">
        <v>1134</v>
      </c>
      <c r="B14" s="4" t="s">
        <v>1135</v>
      </c>
    </row>
    <row r="15" spans="1:2" ht="15">
      <c r="A15" s="7" t="s">
        <v>1136</v>
      </c>
      <c r="B15" s="3" t="s">
        <v>1041</v>
      </c>
    </row>
    <row r="16" spans="1:2" ht="15">
      <c r="A16" s="8" t="s">
        <v>1137</v>
      </c>
      <c r="B16" s="4" t="s">
        <v>1138</v>
      </c>
    </row>
    <row r="17" spans="1:2" ht="15">
      <c r="A17" s="7" t="s">
        <v>1139</v>
      </c>
      <c r="B17" s="3" t="s">
        <v>1140</v>
      </c>
    </row>
    <row r="18" spans="1:2" ht="15">
      <c r="A18" s="8" t="s">
        <v>1141</v>
      </c>
      <c r="B18" s="4" t="s">
        <v>1142</v>
      </c>
    </row>
    <row r="19" spans="1:2" ht="15">
      <c r="A19" s="7" t="s">
        <v>1143</v>
      </c>
      <c r="B19" s="3" t="s">
        <v>1144</v>
      </c>
    </row>
    <row r="20" spans="1:2" ht="15">
      <c r="A20" s="8" t="s">
        <v>1145</v>
      </c>
      <c r="B20" s="4" t="s">
        <v>1146</v>
      </c>
    </row>
    <row r="21" spans="1:2" ht="15">
      <c r="A21" s="7" t="s">
        <v>1147</v>
      </c>
      <c r="B21" s="3" t="s">
        <v>1133</v>
      </c>
    </row>
    <row r="22" spans="1:2" ht="15">
      <c r="A22" s="8" t="s">
        <v>1148</v>
      </c>
      <c r="B22" s="4" t="s">
        <v>1133</v>
      </c>
    </row>
    <row r="23" spans="1:2" ht="15">
      <c r="A23" s="7" t="s">
        <v>1149</v>
      </c>
      <c r="B23" s="3" t="s">
        <v>1041</v>
      </c>
    </row>
    <row r="24" spans="1:2" ht="15">
      <c r="A24" s="8" t="s">
        <v>1150</v>
      </c>
      <c r="B24" s="4" t="s">
        <v>1133</v>
      </c>
    </row>
    <row r="25" spans="1:2" ht="15">
      <c r="A25" s="7" t="s">
        <v>1151</v>
      </c>
      <c r="B25" s="3" t="s">
        <v>1152</v>
      </c>
    </row>
    <row r="26" spans="1:2" ht="15">
      <c r="A26" s="8" t="s">
        <v>1153</v>
      </c>
      <c r="B26" s="4" t="s">
        <v>1133</v>
      </c>
    </row>
    <row r="27" spans="1:2" ht="15">
      <c r="A27" s="7" t="s">
        <v>1154</v>
      </c>
      <c r="B27" s="3" t="s">
        <v>1155</v>
      </c>
    </row>
    <row r="28" spans="1:2" ht="15">
      <c r="A28" s="8" t="s">
        <v>1156</v>
      </c>
      <c r="B28" s="4" t="s">
        <v>1152</v>
      </c>
    </row>
    <row r="29" spans="1:2" ht="15">
      <c r="A29" s="7" t="s">
        <v>1157</v>
      </c>
      <c r="B29" s="3" t="s">
        <v>1133</v>
      </c>
    </row>
    <row r="30" spans="1:2" ht="15">
      <c r="A30" s="8" t="s">
        <v>1158</v>
      </c>
      <c r="B30" s="4" t="s">
        <v>1155</v>
      </c>
    </row>
    <row r="31" spans="1:2" ht="15">
      <c r="A31" s="7" t="s">
        <v>1159</v>
      </c>
      <c r="B31" s="3" t="s">
        <v>1041</v>
      </c>
    </row>
    <row r="32" spans="1:2" ht="15">
      <c r="A32" s="8" t="s">
        <v>1160</v>
      </c>
      <c r="B32" s="4" t="s">
        <v>58</v>
      </c>
    </row>
    <row r="33" spans="1:2" ht="15">
      <c r="A33" s="7" t="s">
        <v>1161</v>
      </c>
      <c r="B33" s="3" t="s">
        <v>1041</v>
      </c>
    </row>
    <row r="34" spans="1:2" ht="15">
      <c r="A34" s="8" t="s">
        <v>1162</v>
      </c>
      <c r="B34" s="4" t="s">
        <v>1142</v>
      </c>
    </row>
    <row r="35" spans="1:2" ht="15">
      <c r="A35" s="7" t="s">
        <v>1163</v>
      </c>
      <c r="B35" s="3" t="s">
        <v>1164</v>
      </c>
    </row>
    <row r="36" spans="1:2" ht="15">
      <c r="A36" s="8" t="s">
        <v>1165</v>
      </c>
      <c r="B36" s="4" t="s">
        <v>1166</v>
      </c>
    </row>
    <row r="37" spans="1:2" ht="15">
      <c r="A37" s="7" t="s">
        <v>1167</v>
      </c>
      <c r="B37" s="3" t="s">
        <v>58</v>
      </c>
    </row>
    <row r="38" spans="1:2" ht="15">
      <c r="A38" s="8" t="s">
        <v>1168</v>
      </c>
      <c r="B38" s="4" t="s">
        <v>1041</v>
      </c>
    </row>
    <row r="39" spans="1:2" ht="15">
      <c r="A39" s="7" t="s">
        <v>1169</v>
      </c>
      <c r="B39" s="3" t="s">
        <v>58</v>
      </c>
    </row>
    <row r="40" spans="1:2" ht="15">
      <c r="A40" s="8" t="s">
        <v>1170</v>
      </c>
      <c r="B40" s="4" t="s">
        <v>58</v>
      </c>
    </row>
    <row r="41" spans="1:2" ht="15">
      <c r="A41" s="7" t="s">
        <v>1171</v>
      </c>
      <c r="B41" s="3" t="s">
        <v>1172</v>
      </c>
    </row>
    <row r="42" spans="1:2" ht="15">
      <c r="A42" s="8" t="s">
        <v>1173</v>
      </c>
      <c r="B42" s="4" t="s">
        <v>1041</v>
      </c>
    </row>
    <row r="43" spans="1:2" ht="15">
      <c r="A43" s="7" t="s">
        <v>1174</v>
      </c>
      <c r="B43" s="3" t="s">
        <v>1175</v>
      </c>
    </row>
    <row r="44" spans="1:2" ht="15">
      <c r="A44" s="8" t="s">
        <v>1176</v>
      </c>
      <c r="B44" s="4" t="s">
        <v>1041</v>
      </c>
    </row>
    <row r="45" spans="1:2" ht="15">
      <c r="A45" s="7" t="s">
        <v>1177</v>
      </c>
      <c r="B45" s="3" t="s">
        <v>58</v>
      </c>
    </row>
    <row r="46" spans="1:2" ht="15">
      <c r="A46" s="8" t="s">
        <v>1178</v>
      </c>
      <c r="B46" s="4" t="s">
        <v>1142</v>
      </c>
    </row>
    <row r="47" spans="1:2" ht="15">
      <c r="A47" s="7" t="s">
        <v>1179</v>
      </c>
      <c r="B47" s="3" t="s">
        <v>1164</v>
      </c>
    </row>
    <row r="48" spans="1:2" ht="15">
      <c r="A48" s="8" t="s">
        <v>1180</v>
      </c>
      <c r="B48" s="4" t="s">
        <v>1166</v>
      </c>
    </row>
    <row r="49" spans="1:2" ht="15">
      <c r="A49" s="7" t="s">
        <v>1181</v>
      </c>
      <c r="B49" s="3" t="s">
        <v>58</v>
      </c>
    </row>
    <row r="50" spans="1:2" ht="15">
      <c r="A50" s="8" t="s">
        <v>1182</v>
      </c>
      <c r="B50" s="4" t="s">
        <v>1041</v>
      </c>
    </row>
    <row r="51" spans="1:2" ht="15">
      <c r="A51" s="7" t="s">
        <v>1183</v>
      </c>
      <c r="B51" s="3" t="s">
        <v>1184</v>
      </c>
    </row>
    <row r="52" spans="1:2" ht="15">
      <c r="A52" s="8" t="s">
        <v>1185</v>
      </c>
      <c r="B52" s="4" t="s">
        <v>58</v>
      </c>
    </row>
    <row r="53" spans="1:2" ht="15">
      <c r="A53" s="7" t="s">
        <v>1186</v>
      </c>
      <c r="B53" s="3" t="s">
        <v>58</v>
      </c>
    </row>
    <row r="54" spans="1:2" ht="15">
      <c r="A54" s="8" t="s">
        <v>1187</v>
      </c>
      <c r="B54" s="4" t="s">
        <v>1188</v>
      </c>
    </row>
    <row r="55" spans="1:2" ht="15">
      <c r="A55" s="7" t="s">
        <v>1189</v>
      </c>
      <c r="B55" s="3" t="s">
        <v>1190</v>
      </c>
    </row>
    <row r="56" spans="1:2" ht="15">
      <c r="A56" s="8" t="s">
        <v>1191</v>
      </c>
      <c r="B56" s="4" t="s">
        <v>1175</v>
      </c>
    </row>
    <row r="57" spans="1:2" ht="15">
      <c r="A57" s="7" t="s">
        <v>1192</v>
      </c>
      <c r="B57" s="3" t="s">
        <v>1041</v>
      </c>
    </row>
    <row r="58" spans="1:2" ht="15">
      <c r="A58" s="8" t="s">
        <v>1193</v>
      </c>
      <c r="B58" s="4" t="s">
        <v>1194</v>
      </c>
    </row>
    <row r="59" spans="1:2" ht="15">
      <c r="A59" s="7" t="s">
        <v>1195</v>
      </c>
      <c r="B59" s="3" t="s">
        <v>1196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231"/>
  <sheetViews>
    <sheetView workbookViewId="0"/>
  </sheetViews>
  <sheetFormatPr baseColWidth="10" defaultColWidth="8.625" defaultRowHeight="14.25"/>
  <cols>
    <col min="1" max="1" width="15" customWidth="1"/>
    <col min="2" max="2" width="23" customWidth="1"/>
    <col min="3" max="3" width="10" customWidth="1"/>
    <col min="4" max="6" width="31" customWidth="1"/>
    <col min="7" max="7" width="18" customWidth="1"/>
    <col min="8" max="8" width="13" customWidth="1"/>
    <col min="9" max="9" width="16" customWidth="1"/>
    <col min="10" max="10" width="25" customWidth="1"/>
    <col min="11" max="11" width="24" customWidth="1"/>
    <col min="12" max="13" width="13" customWidth="1"/>
    <col min="14" max="14" width="21" customWidth="1"/>
    <col min="15" max="15" width="13" customWidth="1"/>
    <col min="16" max="16" width="20" customWidth="1"/>
    <col min="17" max="17" width="13" customWidth="1"/>
    <col min="18" max="18" width="19" customWidth="1"/>
    <col min="19" max="19" width="15" customWidth="1"/>
    <col min="20" max="20" width="24" customWidth="1"/>
    <col min="21" max="21" width="26" customWidth="1"/>
    <col min="22" max="24" width="30" customWidth="1"/>
    <col min="25" max="25" width="31" customWidth="1"/>
    <col min="26" max="26" width="30" customWidth="1"/>
    <col min="27" max="27" width="31" customWidth="1"/>
    <col min="28" max="28" width="30" customWidth="1"/>
    <col min="29" max="29" width="31" customWidth="1"/>
    <col min="30" max="32" width="25" customWidth="1"/>
    <col min="33" max="33" width="26" customWidth="1"/>
    <col min="34" max="34" width="25" customWidth="1"/>
    <col min="35" max="35" width="26" customWidth="1"/>
    <col min="36" max="36" width="25" customWidth="1"/>
    <col min="37" max="37" width="26" customWidth="1"/>
    <col min="38" max="40" width="29" customWidth="1"/>
    <col min="41" max="41" width="30" customWidth="1"/>
    <col min="42" max="42" width="29" customWidth="1"/>
    <col min="43" max="43" width="30" customWidth="1"/>
    <col min="44" max="44" width="29" customWidth="1"/>
    <col min="45" max="45" width="30" customWidth="1"/>
    <col min="46" max="48" width="25" customWidth="1"/>
    <col min="49" max="49" width="26" customWidth="1"/>
    <col min="50" max="50" width="25" customWidth="1"/>
    <col min="51" max="51" width="26" customWidth="1"/>
    <col min="52" max="52" width="25" customWidth="1"/>
    <col min="53" max="53" width="26" customWidth="1"/>
  </cols>
  <sheetData>
    <row r="1" spans="1:53" ht="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</row>
    <row r="2" spans="1:53">
      <c r="A2">
        <v>16786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>
        <v>3169.0309999999999</v>
      </c>
      <c r="H2" t="s">
        <v>58</v>
      </c>
      <c r="I2">
        <v>2</v>
      </c>
      <c r="J2">
        <v>20</v>
      </c>
      <c r="K2">
        <v>1</v>
      </c>
      <c r="L2">
        <v>81.680000000000007</v>
      </c>
      <c r="M2">
        <v>77580</v>
      </c>
      <c r="N2">
        <v>43</v>
      </c>
      <c r="O2">
        <v>57</v>
      </c>
      <c r="P2">
        <v>57</v>
      </c>
      <c r="Q2">
        <v>65</v>
      </c>
      <c r="R2">
        <v>65</v>
      </c>
      <c r="S2">
        <v>5383</v>
      </c>
      <c r="T2">
        <v>5383</v>
      </c>
      <c r="U2">
        <v>65</v>
      </c>
      <c r="V2">
        <v>47</v>
      </c>
      <c r="W2">
        <v>51</v>
      </c>
      <c r="X2">
        <v>57</v>
      </c>
      <c r="Y2">
        <v>63</v>
      </c>
      <c r="Z2">
        <v>60</v>
      </c>
      <c r="AA2">
        <v>60</v>
      </c>
      <c r="AB2">
        <v>60</v>
      </c>
      <c r="AC2">
        <v>59</v>
      </c>
      <c r="AD2">
        <v>392</v>
      </c>
      <c r="AE2">
        <v>360</v>
      </c>
      <c r="AF2">
        <v>785</v>
      </c>
      <c r="AG2">
        <v>835</v>
      </c>
      <c r="AH2">
        <v>792</v>
      </c>
      <c r="AI2">
        <v>817</v>
      </c>
      <c r="AJ2">
        <v>615</v>
      </c>
      <c r="AK2">
        <v>787</v>
      </c>
      <c r="AL2">
        <v>2182097152</v>
      </c>
      <c r="AM2">
        <v>1865604480</v>
      </c>
      <c r="AN2">
        <v>5362102272</v>
      </c>
      <c r="AO2">
        <v>8320054784</v>
      </c>
      <c r="AP2">
        <v>4089943296</v>
      </c>
      <c r="AQ2">
        <v>4664014848</v>
      </c>
      <c r="AR2">
        <v>3693956096</v>
      </c>
      <c r="AS2">
        <v>4848675840</v>
      </c>
      <c r="AT2">
        <v>1638980992</v>
      </c>
      <c r="AU2">
        <v>1337588736</v>
      </c>
      <c r="AV2">
        <v>2799779840</v>
      </c>
      <c r="AW2">
        <v>3695418112</v>
      </c>
      <c r="AX2">
        <v>3152617728</v>
      </c>
      <c r="AY2">
        <v>3273308928</v>
      </c>
      <c r="AZ2">
        <v>2702001920</v>
      </c>
      <c r="BA2">
        <v>3069323776</v>
      </c>
    </row>
    <row r="3" spans="1:53">
      <c r="A3">
        <v>16829</v>
      </c>
      <c r="B3" t="s">
        <v>59</v>
      </c>
      <c r="C3" t="s">
        <v>60</v>
      </c>
      <c r="D3" t="s">
        <v>61</v>
      </c>
      <c r="F3" t="s">
        <v>62</v>
      </c>
      <c r="G3">
        <v>3150.3739999999998</v>
      </c>
      <c r="H3" t="s">
        <v>58</v>
      </c>
      <c r="I3">
        <v>2</v>
      </c>
      <c r="J3">
        <v>3</v>
      </c>
      <c r="K3">
        <v>0</v>
      </c>
      <c r="L3">
        <v>76.12</v>
      </c>
      <c r="M3">
        <v>61157</v>
      </c>
      <c r="N3">
        <v>35</v>
      </c>
      <c r="O3">
        <v>55</v>
      </c>
      <c r="P3">
        <v>55</v>
      </c>
      <c r="Q3">
        <v>58</v>
      </c>
      <c r="R3">
        <v>58</v>
      </c>
      <c r="S3">
        <v>9288</v>
      </c>
      <c r="T3">
        <v>9288</v>
      </c>
      <c r="U3">
        <v>58</v>
      </c>
      <c r="V3">
        <v>48</v>
      </c>
      <c r="W3">
        <v>49</v>
      </c>
      <c r="X3">
        <v>54</v>
      </c>
      <c r="Y3">
        <v>55</v>
      </c>
      <c r="Z3">
        <v>56</v>
      </c>
      <c r="AA3">
        <v>57</v>
      </c>
      <c r="AB3">
        <v>57</v>
      </c>
      <c r="AC3">
        <v>56</v>
      </c>
      <c r="AD3">
        <v>924</v>
      </c>
      <c r="AE3">
        <v>989</v>
      </c>
      <c r="AF3">
        <v>1333</v>
      </c>
      <c r="AG3">
        <v>1427</v>
      </c>
      <c r="AH3">
        <v>1413</v>
      </c>
      <c r="AI3">
        <v>1335</v>
      </c>
      <c r="AJ3">
        <v>1037</v>
      </c>
      <c r="AK3">
        <v>829</v>
      </c>
      <c r="AL3">
        <v>5071682048</v>
      </c>
      <c r="AM3">
        <v>4869823488</v>
      </c>
      <c r="AN3">
        <v>9463989248</v>
      </c>
      <c r="AO3">
        <v>11447007232</v>
      </c>
      <c r="AP3">
        <v>6379252736</v>
      </c>
      <c r="AQ3">
        <v>6611609088</v>
      </c>
      <c r="AR3">
        <v>6586499584</v>
      </c>
      <c r="AS3">
        <v>5490465280</v>
      </c>
      <c r="AT3">
        <v>4292909568</v>
      </c>
      <c r="AU3">
        <v>4611912704</v>
      </c>
      <c r="AV3">
        <v>5316688896</v>
      </c>
      <c r="AW3">
        <v>4718388736</v>
      </c>
      <c r="AX3">
        <v>4811970048</v>
      </c>
      <c r="AY3">
        <v>4409207808</v>
      </c>
      <c r="AZ3">
        <v>4280950272</v>
      </c>
      <c r="BA3">
        <v>3152657408</v>
      </c>
    </row>
    <row r="4" spans="1:53">
      <c r="A4">
        <v>16721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>
        <v>2651.1570000000002</v>
      </c>
      <c r="H4" t="s">
        <v>58</v>
      </c>
      <c r="I4">
        <v>2</v>
      </c>
      <c r="J4">
        <v>3</v>
      </c>
      <c r="K4">
        <v>17</v>
      </c>
      <c r="L4">
        <v>62.64</v>
      </c>
      <c r="M4">
        <v>93695</v>
      </c>
      <c r="N4">
        <v>51</v>
      </c>
      <c r="O4">
        <v>49</v>
      </c>
      <c r="P4">
        <v>49</v>
      </c>
      <c r="Q4">
        <v>62</v>
      </c>
      <c r="R4">
        <v>62</v>
      </c>
      <c r="S4">
        <v>7522</v>
      </c>
      <c r="T4">
        <v>7522</v>
      </c>
      <c r="U4">
        <v>62</v>
      </c>
      <c r="V4">
        <v>50</v>
      </c>
      <c r="W4">
        <v>54</v>
      </c>
      <c r="X4">
        <v>57</v>
      </c>
      <c r="Y4">
        <v>60</v>
      </c>
      <c r="Z4">
        <v>55</v>
      </c>
      <c r="AA4">
        <v>56</v>
      </c>
      <c r="AB4">
        <v>62</v>
      </c>
      <c r="AC4">
        <v>62</v>
      </c>
      <c r="AD4">
        <v>598</v>
      </c>
      <c r="AE4">
        <v>663</v>
      </c>
      <c r="AF4">
        <v>1054</v>
      </c>
      <c r="AG4">
        <v>892</v>
      </c>
      <c r="AH4">
        <v>542</v>
      </c>
      <c r="AI4">
        <v>526</v>
      </c>
      <c r="AJ4">
        <v>1520</v>
      </c>
      <c r="AK4">
        <v>1727</v>
      </c>
      <c r="AL4">
        <v>7062929408</v>
      </c>
      <c r="AM4">
        <v>6096701952</v>
      </c>
      <c r="AN4">
        <v>12136049664</v>
      </c>
      <c r="AO4">
        <v>13151027200</v>
      </c>
      <c r="AP4">
        <v>3762981120</v>
      </c>
      <c r="AQ4">
        <v>4052071424</v>
      </c>
      <c r="AR4">
        <v>18020900864</v>
      </c>
      <c r="AS4">
        <v>21608833024</v>
      </c>
      <c r="AT4">
        <v>5277456896</v>
      </c>
      <c r="AU4">
        <v>4879404544</v>
      </c>
      <c r="AV4">
        <v>5952979456</v>
      </c>
      <c r="AW4">
        <v>4830801408</v>
      </c>
      <c r="AX4">
        <v>2339232512</v>
      </c>
      <c r="AY4">
        <v>2363166208</v>
      </c>
      <c r="AZ4">
        <v>10993537024</v>
      </c>
      <c r="BA4">
        <v>12211140608</v>
      </c>
    </row>
    <row r="5" spans="1:53">
      <c r="A5">
        <v>16871</v>
      </c>
      <c r="B5" t="s">
        <v>68</v>
      </c>
      <c r="C5" t="s">
        <v>69</v>
      </c>
      <c r="D5" t="s">
        <v>68</v>
      </c>
      <c r="F5" t="s">
        <v>70</v>
      </c>
      <c r="G5">
        <v>2082.4810000000002</v>
      </c>
      <c r="H5" t="s">
        <v>58</v>
      </c>
      <c r="I5">
        <v>2</v>
      </c>
      <c r="J5">
        <v>1</v>
      </c>
      <c r="K5">
        <v>0</v>
      </c>
      <c r="L5">
        <v>70.61</v>
      </c>
      <c r="M5">
        <v>66713</v>
      </c>
      <c r="N5">
        <v>40</v>
      </c>
      <c r="O5">
        <v>46</v>
      </c>
      <c r="P5">
        <v>46</v>
      </c>
      <c r="Q5">
        <v>47</v>
      </c>
      <c r="R5">
        <v>47</v>
      </c>
      <c r="S5">
        <v>4323</v>
      </c>
      <c r="T5">
        <v>4323</v>
      </c>
      <c r="U5">
        <v>47</v>
      </c>
      <c r="V5">
        <v>36</v>
      </c>
      <c r="W5">
        <v>38</v>
      </c>
      <c r="X5">
        <v>45</v>
      </c>
      <c r="Y5">
        <v>47</v>
      </c>
      <c r="Z5">
        <v>42</v>
      </c>
      <c r="AA5">
        <v>45</v>
      </c>
      <c r="AB5">
        <v>47</v>
      </c>
      <c r="AC5">
        <v>45</v>
      </c>
      <c r="AD5">
        <v>501</v>
      </c>
      <c r="AE5">
        <v>516</v>
      </c>
      <c r="AF5">
        <v>745</v>
      </c>
      <c r="AG5">
        <v>646</v>
      </c>
      <c r="AH5">
        <v>398</v>
      </c>
      <c r="AI5">
        <v>372</v>
      </c>
      <c r="AJ5">
        <v>588</v>
      </c>
      <c r="AK5">
        <v>557</v>
      </c>
      <c r="AL5">
        <v>3875154688</v>
      </c>
      <c r="AM5">
        <v>3359524096</v>
      </c>
      <c r="AN5">
        <v>6278807040</v>
      </c>
      <c r="AO5">
        <v>7675360256</v>
      </c>
      <c r="AP5">
        <v>2221802752</v>
      </c>
      <c r="AQ5">
        <v>2413990912</v>
      </c>
      <c r="AR5">
        <v>5120246272</v>
      </c>
      <c r="AS5">
        <v>4226421248</v>
      </c>
      <c r="AT5">
        <v>2918830592</v>
      </c>
      <c r="AU5">
        <v>2796321024</v>
      </c>
      <c r="AV5">
        <v>3361662208</v>
      </c>
      <c r="AW5">
        <v>3118186752</v>
      </c>
      <c r="AX5">
        <v>1527015040</v>
      </c>
      <c r="AY5">
        <v>1471797760</v>
      </c>
      <c r="AZ5">
        <v>3422046208</v>
      </c>
      <c r="BA5">
        <v>2544448256</v>
      </c>
    </row>
    <row r="6" spans="1:53">
      <c r="A6">
        <v>16664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>
        <v>2047.42</v>
      </c>
      <c r="H6" t="s">
        <v>58</v>
      </c>
      <c r="I6">
        <v>2</v>
      </c>
      <c r="J6">
        <v>7</v>
      </c>
      <c r="K6">
        <v>9</v>
      </c>
      <c r="L6">
        <v>81.73</v>
      </c>
      <c r="M6">
        <v>43283</v>
      </c>
      <c r="N6">
        <v>26</v>
      </c>
      <c r="O6">
        <v>33</v>
      </c>
      <c r="P6">
        <v>33</v>
      </c>
      <c r="Q6">
        <v>39</v>
      </c>
      <c r="R6">
        <v>39</v>
      </c>
      <c r="S6">
        <v>9323</v>
      </c>
      <c r="T6">
        <v>9323</v>
      </c>
      <c r="U6">
        <v>39</v>
      </c>
      <c r="V6">
        <v>27</v>
      </c>
      <c r="W6">
        <v>27</v>
      </c>
      <c r="X6">
        <v>36</v>
      </c>
      <c r="Y6">
        <v>38</v>
      </c>
      <c r="Z6">
        <v>38</v>
      </c>
      <c r="AA6">
        <v>39</v>
      </c>
      <c r="AB6">
        <v>38</v>
      </c>
      <c r="AC6">
        <v>39</v>
      </c>
      <c r="AD6">
        <v>703</v>
      </c>
      <c r="AE6">
        <v>764</v>
      </c>
      <c r="AF6">
        <v>1188</v>
      </c>
      <c r="AG6">
        <v>1406</v>
      </c>
      <c r="AH6">
        <v>1297</v>
      </c>
      <c r="AI6">
        <v>1349</v>
      </c>
      <c r="AJ6">
        <v>1312</v>
      </c>
      <c r="AK6">
        <v>1304</v>
      </c>
      <c r="AL6">
        <v>4193328128</v>
      </c>
      <c r="AM6">
        <v>3974820352</v>
      </c>
      <c r="AN6">
        <v>9674161152</v>
      </c>
      <c r="AO6">
        <v>12910504960</v>
      </c>
      <c r="AP6">
        <v>7836724224</v>
      </c>
      <c r="AQ6">
        <v>9476875264</v>
      </c>
      <c r="AR6">
        <v>7780093952</v>
      </c>
      <c r="AS6">
        <v>9225899008</v>
      </c>
      <c r="AT6">
        <v>3003825152</v>
      </c>
      <c r="AU6">
        <v>2798942464</v>
      </c>
      <c r="AV6">
        <v>5597512192</v>
      </c>
      <c r="AW6">
        <v>6589564416</v>
      </c>
      <c r="AX6">
        <v>5849209856</v>
      </c>
      <c r="AY6">
        <v>6594433536</v>
      </c>
      <c r="AZ6">
        <v>5191266816</v>
      </c>
      <c r="BA6">
        <v>5928875520</v>
      </c>
    </row>
    <row r="7" spans="1:53">
      <c r="A7">
        <v>16819</v>
      </c>
      <c r="B7" t="s">
        <v>76</v>
      </c>
      <c r="C7" t="s">
        <v>77</v>
      </c>
      <c r="D7" t="s">
        <v>78</v>
      </c>
      <c r="E7" t="s">
        <v>79</v>
      </c>
      <c r="F7" t="s">
        <v>80</v>
      </c>
      <c r="G7">
        <v>2030.7819999999999</v>
      </c>
      <c r="H7" t="s">
        <v>58</v>
      </c>
      <c r="I7">
        <v>2</v>
      </c>
      <c r="J7">
        <v>3</v>
      </c>
      <c r="K7">
        <v>7</v>
      </c>
      <c r="L7">
        <v>61.3</v>
      </c>
      <c r="M7">
        <v>96031</v>
      </c>
      <c r="N7">
        <v>59</v>
      </c>
      <c r="O7">
        <v>49</v>
      </c>
      <c r="P7">
        <v>49</v>
      </c>
      <c r="Q7">
        <v>50</v>
      </c>
      <c r="R7">
        <v>50</v>
      </c>
      <c r="S7">
        <v>956</v>
      </c>
      <c r="T7">
        <v>956</v>
      </c>
      <c r="U7">
        <v>50</v>
      </c>
      <c r="V7">
        <v>33</v>
      </c>
      <c r="W7">
        <v>39</v>
      </c>
      <c r="X7">
        <v>42</v>
      </c>
      <c r="Y7">
        <v>47</v>
      </c>
      <c r="Z7">
        <v>49</v>
      </c>
      <c r="AA7">
        <v>50</v>
      </c>
      <c r="AB7">
        <v>49</v>
      </c>
      <c r="AC7">
        <v>49</v>
      </c>
      <c r="AD7">
        <v>102</v>
      </c>
      <c r="AE7">
        <v>104</v>
      </c>
      <c r="AF7">
        <v>88</v>
      </c>
      <c r="AG7">
        <v>101</v>
      </c>
      <c r="AH7">
        <v>142</v>
      </c>
      <c r="AI7">
        <v>167</v>
      </c>
      <c r="AJ7">
        <v>107</v>
      </c>
      <c r="AK7">
        <v>144</v>
      </c>
      <c r="AL7">
        <v>623074048</v>
      </c>
      <c r="AM7">
        <v>2080943744</v>
      </c>
      <c r="AN7">
        <v>2611674112</v>
      </c>
      <c r="AO7">
        <v>1457060480</v>
      </c>
      <c r="AP7">
        <v>2189307904</v>
      </c>
      <c r="AQ7">
        <v>2495125760</v>
      </c>
      <c r="AR7">
        <v>1141066752</v>
      </c>
      <c r="AS7">
        <v>2398300928</v>
      </c>
      <c r="AT7">
        <v>927420672</v>
      </c>
      <c r="AU7">
        <v>1079577472</v>
      </c>
      <c r="AV7">
        <v>890225280</v>
      </c>
      <c r="AW7">
        <v>936472960</v>
      </c>
      <c r="AX7">
        <v>1327956480</v>
      </c>
      <c r="AY7">
        <v>1536904064</v>
      </c>
      <c r="AZ7">
        <v>1101986944</v>
      </c>
      <c r="BA7">
        <v>1236866048</v>
      </c>
    </row>
    <row r="8" spans="1:53">
      <c r="A8">
        <v>16667</v>
      </c>
      <c r="B8" t="s">
        <v>81</v>
      </c>
      <c r="C8" t="s">
        <v>82</v>
      </c>
      <c r="D8" t="s">
        <v>83</v>
      </c>
      <c r="E8" t="s">
        <v>84</v>
      </c>
      <c r="F8" t="s">
        <v>85</v>
      </c>
      <c r="G8">
        <v>1888.3420000000001</v>
      </c>
      <c r="H8" t="s">
        <v>58</v>
      </c>
      <c r="I8">
        <v>2</v>
      </c>
      <c r="J8">
        <v>5</v>
      </c>
      <c r="K8">
        <v>16</v>
      </c>
      <c r="L8">
        <v>69.52</v>
      </c>
      <c r="M8">
        <v>76812</v>
      </c>
      <c r="N8">
        <v>46</v>
      </c>
      <c r="O8">
        <v>46</v>
      </c>
      <c r="P8">
        <v>46</v>
      </c>
      <c r="Q8">
        <v>47</v>
      </c>
      <c r="R8">
        <v>47</v>
      </c>
      <c r="S8">
        <v>609</v>
      </c>
      <c r="T8">
        <v>609</v>
      </c>
      <c r="U8">
        <v>47</v>
      </c>
      <c r="V8">
        <v>34</v>
      </c>
      <c r="W8">
        <v>32</v>
      </c>
      <c r="X8">
        <v>41</v>
      </c>
      <c r="Y8">
        <v>46</v>
      </c>
      <c r="Z8">
        <v>44</v>
      </c>
      <c r="AA8">
        <v>46</v>
      </c>
      <c r="AB8">
        <v>46</v>
      </c>
      <c r="AC8">
        <v>47</v>
      </c>
      <c r="AD8">
        <v>47</v>
      </c>
      <c r="AE8">
        <v>49</v>
      </c>
      <c r="AF8">
        <v>65</v>
      </c>
      <c r="AG8">
        <v>70</v>
      </c>
      <c r="AH8">
        <v>88</v>
      </c>
      <c r="AI8">
        <v>97</v>
      </c>
      <c r="AJ8">
        <v>87</v>
      </c>
      <c r="AK8">
        <v>106</v>
      </c>
      <c r="AL8">
        <v>207593584</v>
      </c>
      <c r="AM8">
        <v>208713840</v>
      </c>
      <c r="AN8">
        <v>420518688</v>
      </c>
      <c r="AO8">
        <v>596326976</v>
      </c>
      <c r="AP8">
        <v>467637760</v>
      </c>
      <c r="AQ8">
        <v>594142720</v>
      </c>
      <c r="AR8">
        <v>497052320</v>
      </c>
      <c r="AS8">
        <v>584335232</v>
      </c>
      <c r="AT8">
        <v>223580400</v>
      </c>
      <c r="AU8">
        <v>230065840</v>
      </c>
      <c r="AV8">
        <v>226611184</v>
      </c>
      <c r="AW8">
        <v>221647296</v>
      </c>
      <c r="AX8">
        <v>326966400</v>
      </c>
      <c r="AY8">
        <v>367050080</v>
      </c>
      <c r="AZ8">
        <v>315216608</v>
      </c>
      <c r="BA8">
        <v>315204544</v>
      </c>
    </row>
    <row r="9" spans="1:53">
      <c r="A9">
        <v>16788</v>
      </c>
      <c r="B9" t="s">
        <v>86</v>
      </c>
      <c r="C9" t="s">
        <v>87</v>
      </c>
      <c r="D9" t="s">
        <v>88</v>
      </c>
      <c r="F9" t="s">
        <v>89</v>
      </c>
      <c r="G9">
        <v>1675.183</v>
      </c>
      <c r="H9" t="s">
        <v>58</v>
      </c>
      <c r="I9">
        <v>2</v>
      </c>
      <c r="J9">
        <v>20</v>
      </c>
      <c r="K9">
        <v>0</v>
      </c>
      <c r="L9">
        <v>84.19</v>
      </c>
      <c r="M9">
        <v>24729</v>
      </c>
      <c r="N9">
        <v>15</v>
      </c>
      <c r="O9">
        <v>26</v>
      </c>
      <c r="P9">
        <v>26</v>
      </c>
      <c r="Q9">
        <v>31</v>
      </c>
      <c r="R9">
        <v>31</v>
      </c>
      <c r="S9">
        <v>6701</v>
      </c>
      <c r="T9">
        <v>6701</v>
      </c>
      <c r="U9">
        <v>31</v>
      </c>
      <c r="V9">
        <v>26</v>
      </c>
      <c r="W9">
        <v>26</v>
      </c>
      <c r="X9">
        <v>27</v>
      </c>
      <c r="Y9">
        <v>31</v>
      </c>
      <c r="Z9">
        <v>29</v>
      </c>
      <c r="AA9">
        <v>30</v>
      </c>
      <c r="AB9">
        <v>29</v>
      </c>
      <c r="AC9">
        <v>30</v>
      </c>
      <c r="AD9">
        <v>606</v>
      </c>
      <c r="AE9">
        <v>694</v>
      </c>
      <c r="AF9">
        <v>902</v>
      </c>
      <c r="AG9">
        <v>965</v>
      </c>
      <c r="AH9">
        <v>970</v>
      </c>
      <c r="AI9">
        <v>945</v>
      </c>
      <c r="AJ9">
        <v>861</v>
      </c>
      <c r="AK9">
        <v>758</v>
      </c>
      <c r="AL9">
        <v>7322373632</v>
      </c>
      <c r="AM9">
        <v>7181896192</v>
      </c>
      <c r="AN9">
        <v>10766523392</v>
      </c>
      <c r="AO9">
        <v>12166329344</v>
      </c>
      <c r="AP9">
        <v>7214319616</v>
      </c>
      <c r="AQ9">
        <v>7423108096</v>
      </c>
      <c r="AR9">
        <v>7313180160</v>
      </c>
      <c r="AS9">
        <v>6373597696</v>
      </c>
      <c r="AT9">
        <v>6671104512</v>
      </c>
      <c r="AU9">
        <v>6961717248</v>
      </c>
      <c r="AV9">
        <v>5638069248</v>
      </c>
      <c r="AW9">
        <v>5438311936</v>
      </c>
      <c r="AX9">
        <v>5638650880</v>
      </c>
      <c r="AY9">
        <v>5492911616</v>
      </c>
      <c r="AZ9">
        <v>4987500544</v>
      </c>
      <c r="BA9">
        <v>4077285888</v>
      </c>
    </row>
    <row r="10" spans="1:53">
      <c r="A10">
        <v>16766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>
        <v>1619.625</v>
      </c>
      <c r="H10" t="s">
        <v>58</v>
      </c>
      <c r="I10">
        <v>2</v>
      </c>
      <c r="J10">
        <v>13</v>
      </c>
      <c r="K10">
        <v>8</v>
      </c>
      <c r="L10">
        <v>55.17</v>
      </c>
      <c r="M10">
        <v>97348</v>
      </c>
      <c r="N10">
        <v>59</v>
      </c>
      <c r="O10">
        <v>41</v>
      </c>
      <c r="P10">
        <v>41</v>
      </c>
      <c r="Q10">
        <v>41</v>
      </c>
      <c r="R10">
        <v>41</v>
      </c>
      <c r="S10">
        <v>652</v>
      </c>
      <c r="T10">
        <v>652</v>
      </c>
      <c r="U10">
        <v>41</v>
      </c>
      <c r="V10">
        <v>34</v>
      </c>
      <c r="W10">
        <v>33</v>
      </c>
      <c r="X10">
        <v>38</v>
      </c>
      <c r="Y10">
        <v>37</v>
      </c>
      <c r="Z10">
        <v>39</v>
      </c>
      <c r="AA10">
        <v>40</v>
      </c>
      <c r="AB10">
        <v>38</v>
      </c>
      <c r="AC10">
        <v>37</v>
      </c>
      <c r="AD10">
        <v>133</v>
      </c>
      <c r="AE10">
        <v>121</v>
      </c>
      <c r="AF10">
        <v>86</v>
      </c>
      <c r="AG10">
        <v>78</v>
      </c>
      <c r="AH10">
        <v>74</v>
      </c>
      <c r="AI10">
        <v>63</v>
      </c>
      <c r="AJ10">
        <v>48</v>
      </c>
      <c r="AK10">
        <v>48</v>
      </c>
      <c r="AL10">
        <v>581290432</v>
      </c>
      <c r="AM10">
        <v>516910976</v>
      </c>
      <c r="AN10">
        <v>531270656</v>
      </c>
      <c r="AO10">
        <v>592395008</v>
      </c>
      <c r="AP10">
        <v>297187072</v>
      </c>
      <c r="AQ10">
        <v>333520288</v>
      </c>
      <c r="AR10">
        <v>287584064</v>
      </c>
      <c r="AS10">
        <v>292437632</v>
      </c>
      <c r="AT10">
        <v>548881408</v>
      </c>
      <c r="AU10">
        <v>545138496</v>
      </c>
      <c r="AV10">
        <v>294084576</v>
      </c>
      <c r="AW10">
        <v>271499200</v>
      </c>
      <c r="AX10">
        <v>230618848</v>
      </c>
      <c r="AY10">
        <v>211535152</v>
      </c>
      <c r="AZ10">
        <v>205311712</v>
      </c>
      <c r="BA10">
        <v>192700416</v>
      </c>
    </row>
    <row r="11" spans="1:53">
      <c r="A11">
        <v>16799</v>
      </c>
      <c r="B11" t="s">
        <v>95</v>
      </c>
      <c r="C11" t="s">
        <v>96</v>
      </c>
      <c r="D11" t="s">
        <v>97</v>
      </c>
      <c r="F11" t="s">
        <v>98</v>
      </c>
      <c r="G11">
        <v>1453.809</v>
      </c>
      <c r="H11" t="s">
        <v>58</v>
      </c>
      <c r="I11">
        <v>2</v>
      </c>
      <c r="J11">
        <v>3</v>
      </c>
      <c r="K11">
        <v>0</v>
      </c>
      <c r="L11">
        <v>85.64</v>
      </c>
      <c r="M11">
        <v>40323</v>
      </c>
      <c r="N11">
        <v>24</v>
      </c>
      <c r="O11">
        <v>25</v>
      </c>
      <c r="P11">
        <v>25</v>
      </c>
      <c r="Q11">
        <v>26</v>
      </c>
      <c r="R11">
        <v>26</v>
      </c>
      <c r="S11">
        <v>1197</v>
      </c>
      <c r="T11">
        <v>1197</v>
      </c>
      <c r="U11">
        <v>26</v>
      </c>
      <c r="V11">
        <v>23</v>
      </c>
      <c r="W11">
        <v>23</v>
      </c>
      <c r="X11">
        <v>26</v>
      </c>
      <c r="Y11">
        <v>26</v>
      </c>
      <c r="Z11">
        <v>26</v>
      </c>
      <c r="AA11">
        <v>24</v>
      </c>
      <c r="AB11">
        <v>24</v>
      </c>
      <c r="AC11">
        <v>25</v>
      </c>
      <c r="AD11">
        <v>132</v>
      </c>
      <c r="AE11">
        <v>158</v>
      </c>
      <c r="AF11">
        <v>220</v>
      </c>
      <c r="AG11">
        <v>190</v>
      </c>
      <c r="AH11">
        <v>68</v>
      </c>
      <c r="AI11">
        <v>70</v>
      </c>
      <c r="AJ11">
        <v>185</v>
      </c>
      <c r="AK11">
        <v>174</v>
      </c>
      <c r="AL11">
        <v>544774144</v>
      </c>
      <c r="AM11">
        <v>591065472</v>
      </c>
      <c r="AN11">
        <v>1467126272</v>
      </c>
      <c r="AO11">
        <v>2038535040</v>
      </c>
      <c r="AP11">
        <v>387915936</v>
      </c>
      <c r="AQ11">
        <v>436069088</v>
      </c>
      <c r="AR11">
        <v>965568960</v>
      </c>
      <c r="AS11">
        <v>1174204672</v>
      </c>
      <c r="AT11">
        <v>444778304</v>
      </c>
      <c r="AU11">
        <v>619225152</v>
      </c>
      <c r="AV11">
        <v>809379392</v>
      </c>
      <c r="AW11">
        <v>847743040</v>
      </c>
      <c r="AX11">
        <v>299623520</v>
      </c>
      <c r="AY11">
        <v>295364704</v>
      </c>
      <c r="AZ11">
        <v>640100608</v>
      </c>
      <c r="BA11">
        <v>617986368</v>
      </c>
    </row>
    <row r="12" spans="1:53">
      <c r="A12">
        <v>16662</v>
      </c>
      <c r="B12" t="s">
        <v>99</v>
      </c>
      <c r="C12" t="s">
        <v>100</v>
      </c>
      <c r="D12" t="s">
        <v>101</v>
      </c>
      <c r="F12" t="s">
        <v>102</v>
      </c>
      <c r="G12">
        <v>1408.4290000000001</v>
      </c>
      <c r="H12" t="s">
        <v>58</v>
      </c>
      <c r="I12">
        <v>2</v>
      </c>
      <c r="J12">
        <v>20</v>
      </c>
      <c r="K12">
        <v>0</v>
      </c>
      <c r="L12">
        <v>79.510000000000005</v>
      </c>
      <c r="M12">
        <v>30422</v>
      </c>
      <c r="N12">
        <v>22</v>
      </c>
      <c r="O12">
        <v>29</v>
      </c>
      <c r="P12">
        <v>29</v>
      </c>
      <c r="Q12">
        <v>32</v>
      </c>
      <c r="R12">
        <v>32</v>
      </c>
      <c r="S12">
        <v>2188</v>
      </c>
      <c r="T12">
        <v>2188</v>
      </c>
      <c r="U12">
        <v>32</v>
      </c>
      <c r="V12">
        <v>19</v>
      </c>
      <c r="W12">
        <v>21</v>
      </c>
      <c r="X12">
        <v>25</v>
      </c>
      <c r="Y12">
        <v>30</v>
      </c>
      <c r="Z12">
        <v>31</v>
      </c>
      <c r="AA12">
        <v>32</v>
      </c>
      <c r="AB12">
        <v>32</v>
      </c>
      <c r="AC12">
        <v>30</v>
      </c>
      <c r="AD12">
        <v>113</v>
      </c>
      <c r="AE12">
        <v>123</v>
      </c>
      <c r="AF12">
        <v>307</v>
      </c>
      <c r="AG12">
        <v>320</v>
      </c>
      <c r="AH12">
        <v>300</v>
      </c>
      <c r="AI12">
        <v>301</v>
      </c>
      <c r="AJ12">
        <v>352</v>
      </c>
      <c r="AK12">
        <v>372</v>
      </c>
      <c r="AL12">
        <v>1642401664</v>
      </c>
      <c r="AM12">
        <v>1692480896</v>
      </c>
      <c r="AN12">
        <v>4594163712</v>
      </c>
      <c r="AO12">
        <v>6371596288</v>
      </c>
      <c r="AP12">
        <v>3258672128</v>
      </c>
      <c r="AQ12">
        <v>3650570496</v>
      </c>
      <c r="AR12">
        <v>2917267712</v>
      </c>
      <c r="AS12">
        <v>3569909504</v>
      </c>
      <c r="AT12">
        <v>732026432</v>
      </c>
      <c r="AU12">
        <v>996123264</v>
      </c>
      <c r="AV12">
        <v>1849008384</v>
      </c>
      <c r="AW12">
        <v>2474083328</v>
      </c>
      <c r="AX12">
        <v>2178059008</v>
      </c>
      <c r="AY12">
        <v>2500052480</v>
      </c>
      <c r="AZ12">
        <v>2241334528</v>
      </c>
      <c r="BA12">
        <v>2165370624</v>
      </c>
    </row>
    <row r="13" spans="1:53">
      <c r="A13">
        <v>16737</v>
      </c>
      <c r="B13" t="s">
        <v>103</v>
      </c>
      <c r="C13" t="s">
        <v>104</v>
      </c>
      <c r="D13" t="s">
        <v>105</v>
      </c>
      <c r="F13" t="s">
        <v>106</v>
      </c>
      <c r="G13">
        <v>1252.1369999999999</v>
      </c>
      <c r="H13" t="s">
        <v>58</v>
      </c>
      <c r="I13">
        <v>2</v>
      </c>
      <c r="J13">
        <v>9</v>
      </c>
      <c r="K13">
        <v>0</v>
      </c>
      <c r="L13">
        <v>89.22</v>
      </c>
      <c r="M13">
        <v>17603</v>
      </c>
      <c r="N13">
        <v>13</v>
      </c>
      <c r="O13">
        <v>18</v>
      </c>
      <c r="P13">
        <v>18</v>
      </c>
      <c r="Q13">
        <v>23</v>
      </c>
      <c r="R13">
        <v>23</v>
      </c>
      <c r="S13">
        <v>4797</v>
      </c>
      <c r="T13">
        <v>4797</v>
      </c>
      <c r="U13">
        <v>23</v>
      </c>
      <c r="V13">
        <v>19</v>
      </c>
      <c r="W13">
        <v>18</v>
      </c>
      <c r="X13">
        <v>22</v>
      </c>
      <c r="Y13">
        <v>22</v>
      </c>
      <c r="Z13">
        <v>21</v>
      </c>
      <c r="AA13">
        <v>22</v>
      </c>
      <c r="AB13">
        <v>22</v>
      </c>
      <c r="AC13">
        <v>21</v>
      </c>
      <c r="AD13">
        <v>523</v>
      </c>
      <c r="AE13">
        <v>549</v>
      </c>
      <c r="AF13">
        <v>644</v>
      </c>
      <c r="AG13">
        <v>561</v>
      </c>
      <c r="AH13">
        <v>621</v>
      </c>
      <c r="AI13">
        <v>642</v>
      </c>
      <c r="AJ13">
        <v>656</v>
      </c>
      <c r="AK13">
        <v>601</v>
      </c>
      <c r="AL13">
        <v>7071316992</v>
      </c>
      <c r="AM13">
        <v>6641914368</v>
      </c>
      <c r="AN13">
        <v>8185460224</v>
      </c>
      <c r="AO13">
        <v>9775966208</v>
      </c>
      <c r="AP13">
        <v>6440173056</v>
      </c>
      <c r="AQ13">
        <v>6412802048</v>
      </c>
      <c r="AR13">
        <v>6046216704</v>
      </c>
      <c r="AS13">
        <v>5565711360</v>
      </c>
      <c r="AT13">
        <v>6280121344</v>
      </c>
      <c r="AU13">
        <v>6161567744</v>
      </c>
      <c r="AV13">
        <v>5487814656</v>
      </c>
      <c r="AW13">
        <v>5186496000</v>
      </c>
      <c r="AX13">
        <v>5156470272</v>
      </c>
      <c r="AY13">
        <v>4752842752</v>
      </c>
      <c r="AZ13">
        <v>4428551168</v>
      </c>
      <c r="BA13">
        <v>3464333824</v>
      </c>
    </row>
    <row r="14" spans="1:53">
      <c r="A14">
        <v>16742</v>
      </c>
      <c r="B14" t="s">
        <v>107</v>
      </c>
      <c r="C14" t="s">
        <v>108</v>
      </c>
      <c r="D14" t="s">
        <v>109</v>
      </c>
      <c r="F14" t="s">
        <v>110</v>
      </c>
      <c r="G14">
        <v>1217.0840000000001</v>
      </c>
      <c r="H14" t="s">
        <v>58</v>
      </c>
      <c r="I14">
        <v>2</v>
      </c>
      <c r="J14">
        <v>20</v>
      </c>
      <c r="K14">
        <v>0</v>
      </c>
      <c r="L14">
        <v>88.84</v>
      </c>
      <c r="M14">
        <v>25982</v>
      </c>
      <c r="N14">
        <v>16</v>
      </c>
      <c r="O14">
        <v>34</v>
      </c>
      <c r="P14">
        <v>34</v>
      </c>
      <c r="Q14">
        <v>35</v>
      </c>
      <c r="R14">
        <v>35</v>
      </c>
      <c r="S14">
        <v>3561</v>
      </c>
      <c r="T14">
        <v>3561</v>
      </c>
      <c r="U14">
        <v>35</v>
      </c>
      <c r="V14">
        <v>21</v>
      </c>
      <c r="W14">
        <v>20</v>
      </c>
      <c r="X14">
        <v>31</v>
      </c>
      <c r="Y14">
        <v>34</v>
      </c>
      <c r="Z14">
        <v>31</v>
      </c>
      <c r="AA14">
        <v>32</v>
      </c>
      <c r="AB14">
        <v>34</v>
      </c>
      <c r="AC14">
        <v>31</v>
      </c>
      <c r="AD14">
        <v>404</v>
      </c>
      <c r="AE14">
        <v>373</v>
      </c>
      <c r="AF14">
        <v>536</v>
      </c>
      <c r="AG14">
        <v>483</v>
      </c>
      <c r="AH14">
        <v>490</v>
      </c>
      <c r="AI14">
        <v>462</v>
      </c>
      <c r="AJ14">
        <v>466</v>
      </c>
      <c r="AK14">
        <v>347</v>
      </c>
      <c r="AL14">
        <v>5245452800</v>
      </c>
      <c r="AM14">
        <v>4679107072</v>
      </c>
      <c r="AN14">
        <v>6963904512</v>
      </c>
      <c r="AO14">
        <v>8632132608</v>
      </c>
      <c r="AP14">
        <v>5210189824</v>
      </c>
      <c r="AQ14">
        <v>5380754432</v>
      </c>
      <c r="AR14">
        <v>5292330496</v>
      </c>
      <c r="AS14">
        <v>4930893312</v>
      </c>
      <c r="AT14">
        <v>3480246784</v>
      </c>
      <c r="AU14">
        <v>2969474560</v>
      </c>
      <c r="AV14">
        <v>4303929856</v>
      </c>
      <c r="AW14">
        <v>4888607744</v>
      </c>
      <c r="AX14">
        <v>4095766784</v>
      </c>
      <c r="AY14">
        <v>3790770176</v>
      </c>
      <c r="AZ14">
        <v>4220770560</v>
      </c>
      <c r="BA14">
        <v>3097070336</v>
      </c>
    </row>
    <row r="15" spans="1:53">
      <c r="A15">
        <v>16671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>
        <v>1202.3019999999999</v>
      </c>
      <c r="H15" t="s">
        <v>58</v>
      </c>
      <c r="I15">
        <v>2</v>
      </c>
      <c r="J15">
        <v>2</v>
      </c>
      <c r="K15">
        <v>18</v>
      </c>
      <c r="L15">
        <v>48.37</v>
      </c>
      <c r="M15">
        <v>97232</v>
      </c>
      <c r="N15">
        <v>52</v>
      </c>
      <c r="O15">
        <v>34</v>
      </c>
      <c r="P15">
        <v>34</v>
      </c>
      <c r="Q15">
        <v>34</v>
      </c>
      <c r="R15">
        <v>34</v>
      </c>
      <c r="S15">
        <v>254</v>
      </c>
      <c r="T15">
        <v>254</v>
      </c>
      <c r="U15">
        <v>34</v>
      </c>
      <c r="V15">
        <v>26</v>
      </c>
      <c r="W15">
        <v>26</v>
      </c>
      <c r="X15">
        <v>31</v>
      </c>
      <c r="Y15">
        <v>33</v>
      </c>
      <c r="Z15">
        <v>33</v>
      </c>
      <c r="AA15">
        <v>33</v>
      </c>
      <c r="AB15">
        <v>33</v>
      </c>
      <c r="AC15">
        <v>33</v>
      </c>
      <c r="AD15">
        <v>27</v>
      </c>
      <c r="AE15">
        <v>25</v>
      </c>
      <c r="AF15">
        <v>24</v>
      </c>
      <c r="AG15">
        <v>29</v>
      </c>
      <c r="AH15">
        <v>33</v>
      </c>
      <c r="AI15">
        <v>42</v>
      </c>
      <c r="AJ15">
        <v>36</v>
      </c>
      <c r="AK15">
        <v>38</v>
      </c>
      <c r="AL15">
        <v>109123688</v>
      </c>
      <c r="AM15">
        <v>89564744</v>
      </c>
      <c r="AN15">
        <v>153752624</v>
      </c>
      <c r="AO15">
        <v>230466688</v>
      </c>
      <c r="AP15">
        <v>194136800</v>
      </c>
      <c r="AQ15">
        <v>237017424</v>
      </c>
      <c r="AR15">
        <v>176371696</v>
      </c>
      <c r="AS15">
        <v>243219632</v>
      </c>
      <c r="AT15">
        <v>95918464</v>
      </c>
      <c r="AU15">
        <v>95487064</v>
      </c>
      <c r="AV15">
        <v>80871112</v>
      </c>
      <c r="AW15">
        <v>85934120</v>
      </c>
      <c r="AX15">
        <v>135479568</v>
      </c>
      <c r="AY15">
        <v>147728016</v>
      </c>
      <c r="AZ15">
        <v>101923416</v>
      </c>
      <c r="BA15">
        <v>132912184</v>
      </c>
    </row>
    <row r="16" spans="1:53">
      <c r="A16">
        <v>16872</v>
      </c>
      <c r="B16" t="s">
        <v>116</v>
      </c>
      <c r="C16" t="s">
        <v>117</v>
      </c>
      <c r="D16" t="s">
        <v>116</v>
      </c>
      <c r="F16" t="s">
        <v>118</v>
      </c>
      <c r="G16">
        <v>1173.1669999999999</v>
      </c>
      <c r="H16" t="s">
        <v>58</v>
      </c>
      <c r="I16">
        <v>2</v>
      </c>
      <c r="J16">
        <v>1</v>
      </c>
      <c r="K16">
        <v>0</v>
      </c>
      <c r="L16">
        <v>63.41</v>
      </c>
      <c r="M16">
        <v>52801</v>
      </c>
      <c r="N16">
        <v>29</v>
      </c>
      <c r="O16">
        <v>25</v>
      </c>
      <c r="P16">
        <v>25</v>
      </c>
      <c r="Q16">
        <v>26</v>
      </c>
      <c r="R16">
        <v>26</v>
      </c>
      <c r="S16">
        <v>1362</v>
      </c>
      <c r="T16">
        <v>1362</v>
      </c>
      <c r="U16">
        <v>26</v>
      </c>
      <c r="V16">
        <v>21</v>
      </c>
      <c r="W16">
        <v>21</v>
      </c>
      <c r="X16">
        <v>23</v>
      </c>
      <c r="Y16">
        <v>26</v>
      </c>
      <c r="Z16">
        <v>25</v>
      </c>
      <c r="AA16">
        <v>22</v>
      </c>
      <c r="AB16">
        <v>26</v>
      </c>
      <c r="AC16">
        <v>26</v>
      </c>
      <c r="AD16">
        <v>141</v>
      </c>
      <c r="AE16">
        <v>183</v>
      </c>
      <c r="AF16">
        <v>236</v>
      </c>
      <c r="AG16">
        <v>170</v>
      </c>
      <c r="AH16">
        <v>109</v>
      </c>
      <c r="AI16">
        <v>102</v>
      </c>
      <c r="AJ16">
        <v>197</v>
      </c>
      <c r="AK16">
        <v>224</v>
      </c>
      <c r="AL16">
        <v>838305728</v>
      </c>
      <c r="AM16">
        <v>837583744</v>
      </c>
      <c r="AN16">
        <v>1681263232</v>
      </c>
      <c r="AO16">
        <v>2051321088</v>
      </c>
      <c r="AP16">
        <v>522160192</v>
      </c>
      <c r="AQ16">
        <v>554441728</v>
      </c>
      <c r="AR16">
        <v>1360577152</v>
      </c>
      <c r="AS16">
        <v>1502067456</v>
      </c>
      <c r="AT16">
        <v>764708160</v>
      </c>
      <c r="AU16">
        <v>842193728</v>
      </c>
      <c r="AV16">
        <v>885238464</v>
      </c>
      <c r="AW16">
        <v>875286592</v>
      </c>
      <c r="AX16">
        <v>359320576</v>
      </c>
      <c r="AY16">
        <v>345878272</v>
      </c>
      <c r="AZ16">
        <v>790283648</v>
      </c>
      <c r="BA16">
        <v>802509760</v>
      </c>
    </row>
    <row r="17" spans="1:53">
      <c r="A17">
        <v>16779</v>
      </c>
      <c r="B17" t="s">
        <v>119</v>
      </c>
      <c r="C17" t="s">
        <v>120</v>
      </c>
      <c r="D17" t="s">
        <v>121</v>
      </c>
      <c r="E17" t="s">
        <v>122</v>
      </c>
      <c r="F17" t="s">
        <v>123</v>
      </c>
      <c r="G17">
        <v>1142.5889999999999</v>
      </c>
      <c r="H17" t="s">
        <v>58</v>
      </c>
      <c r="I17">
        <v>2</v>
      </c>
      <c r="J17">
        <v>3</v>
      </c>
      <c r="K17">
        <v>18</v>
      </c>
      <c r="L17">
        <v>60.84</v>
      </c>
      <c r="M17">
        <v>63691</v>
      </c>
      <c r="N17">
        <v>33</v>
      </c>
      <c r="O17">
        <v>26</v>
      </c>
      <c r="P17">
        <v>26</v>
      </c>
      <c r="Q17">
        <v>26</v>
      </c>
      <c r="R17">
        <v>26</v>
      </c>
      <c r="S17">
        <v>245</v>
      </c>
      <c r="T17">
        <v>245</v>
      </c>
      <c r="U17">
        <v>26</v>
      </c>
      <c r="V17">
        <v>20</v>
      </c>
      <c r="W17">
        <v>20</v>
      </c>
      <c r="X17">
        <v>22</v>
      </c>
      <c r="Y17">
        <v>26</v>
      </c>
      <c r="Z17">
        <v>26</v>
      </c>
      <c r="AA17">
        <v>26</v>
      </c>
      <c r="AB17">
        <v>26</v>
      </c>
      <c r="AC17">
        <v>25</v>
      </c>
      <c r="AD17">
        <v>24</v>
      </c>
      <c r="AE17">
        <v>21</v>
      </c>
      <c r="AF17">
        <v>19</v>
      </c>
      <c r="AG17">
        <v>25</v>
      </c>
      <c r="AH17">
        <v>39</v>
      </c>
      <c r="AI17">
        <v>40</v>
      </c>
      <c r="AJ17">
        <v>36</v>
      </c>
      <c r="AK17">
        <v>40</v>
      </c>
      <c r="AL17">
        <v>101240480</v>
      </c>
      <c r="AM17">
        <v>98601432</v>
      </c>
      <c r="AN17">
        <v>171332816</v>
      </c>
      <c r="AO17">
        <v>230267088</v>
      </c>
      <c r="AP17">
        <v>222598512</v>
      </c>
      <c r="AQ17">
        <v>262031712</v>
      </c>
      <c r="AR17">
        <v>210467728</v>
      </c>
      <c r="AS17">
        <v>262177824</v>
      </c>
      <c r="AT17">
        <v>104659480</v>
      </c>
      <c r="AU17">
        <v>100922568</v>
      </c>
      <c r="AV17">
        <v>85363408</v>
      </c>
      <c r="AW17">
        <v>85854120</v>
      </c>
      <c r="AX17">
        <v>152305568</v>
      </c>
      <c r="AY17">
        <v>162252400</v>
      </c>
      <c r="AZ17">
        <v>121819408</v>
      </c>
      <c r="BA17">
        <v>146981344</v>
      </c>
    </row>
    <row r="18" spans="1:53">
      <c r="A18">
        <v>16801</v>
      </c>
      <c r="B18" t="s">
        <v>124</v>
      </c>
      <c r="C18" t="s">
        <v>125</v>
      </c>
      <c r="D18" t="s">
        <v>126</v>
      </c>
      <c r="E18" t="s">
        <v>127</v>
      </c>
      <c r="F18" t="s">
        <v>128</v>
      </c>
      <c r="G18">
        <v>1091.8800000000001</v>
      </c>
      <c r="H18" t="s">
        <v>58</v>
      </c>
      <c r="I18">
        <v>2</v>
      </c>
      <c r="J18">
        <v>2</v>
      </c>
      <c r="K18">
        <v>1</v>
      </c>
      <c r="L18">
        <v>37.43</v>
      </c>
      <c r="M18">
        <v>108177</v>
      </c>
      <c r="N18">
        <v>64</v>
      </c>
      <c r="O18">
        <v>31</v>
      </c>
      <c r="P18">
        <v>31</v>
      </c>
      <c r="Q18">
        <v>31</v>
      </c>
      <c r="R18">
        <v>31</v>
      </c>
      <c r="S18">
        <v>276</v>
      </c>
      <c r="T18">
        <v>276</v>
      </c>
      <c r="U18">
        <v>31</v>
      </c>
      <c r="V18">
        <v>24</v>
      </c>
      <c r="W18">
        <v>23</v>
      </c>
      <c r="X18">
        <v>28</v>
      </c>
      <c r="Y18">
        <v>31</v>
      </c>
      <c r="Z18">
        <v>28</v>
      </c>
      <c r="AA18">
        <v>31</v>
      </c>
      <c r="AB18">
        <v>30</v>
      </c>
      <c r="AC18">
        <v>31</v>
      </c>
      <c r="AD18">
        <v>26</v>
      </c>
      <c r="AE18">
        <v>18</v>
      </c>
      <c r="AF18">
        <v>31</v>
      </c>
      <c r="AG18">
        <v>41</v>
      </c>
      <c r="AH18">
        <v>39</v>
      </c>
      <c r="AI18">
        <v>43</v>
      </c>
      <c r="AJ18">
        <v>35</v>
      </c>
      <c r="AK18">
        <v>43</v>
      </c>
      <c r="AL18">
        <v>156814736</v>
      </c>
      <c r="AM18">
        <v>153096832</v>
      </c>
      <c r="AN18">
        <v>237295184</v>
      </c>
      <c r="AO18">
        <v>331544288</v>
      </c>
      <c r="AP18">
        <v>257720736</v>
      </c>
      <c r="AQ18">
        <v>317166336</v>
      </c>
      <c r="AR18">
        <v>255095568</v>
      </c>
      <c r="AS18">
        <v>312434016</v>
      </c>
      <c r="AT18">
        <v>159970832</v>
      </c>
      <c r="AU18">
        <v>163451408</v>
      </c>
      <c r="AV18">
        <v>113508192</v>
      </c>
      <c r="AW18">
        <v>124947224</v>
      </c>
      <c r="AX18">
        <v>164180672</v>
      </c>
      <c r="AY18">
        <v>187702000</v>
      </c>
      <c r="AZ18">
        <v>143508816</v>
      </c>
      <c r="BA18">
        <v>161858832</v>
      </c>
    </row>
    <row r="19" spans="1:53">
      <c r="A19">
        <v>16676</v>
      </c>
      <c r="B19" t="s">
        <v>129</v>
      </c>
      <c r="C19" t="s">
        <v>130</v>
      </c>
      <c r="D19" t="s">
        <v>131</v>
      </c>
      <c r="F19" t="s">
        <v>132</v>
      </c>
      <c r="G19">
        <v>1057.3620000000001</v>
      </c>
      <c r="H19" t="s">
        <v>58</v>
      </c>
      <c r="I19">
        <v>2</v>
      </c>
      <c r="J19">
        <v>3</v>
      </c>
      <c r="K19">
        <v>0</v>
      </c>
      <c r="L19">
        <v>62.96</v>
      </c>
      <c r="M19">
        <v>29613</v>
      </c>
      <c r="N19">
        <v>16</v>
      </c>
      <c r="O19">
        <v>20</v>
      </c>
      <c r="P19">
        <v>20</v>
      </c>
      <c r="Q19">
        <v>22</v>
      </c>
      <c r="R19">
        <v>22</v>
      </c>
      <c r="S19">
        <v>4057</v>
      </c>
      <c r="T19">
        <v>4057</v>
      </c>
      <c r="U19">
        <v>22</v>
      </c>
      <c r="V19">
        <v>19</v>
      </c>
      <c r="W19">
        <v>21</v>
      </c>
      <c r="X19">
        <v>20</v>
      </c>
      <c r="Y19">
        <v>21</v>
      </c>
      <c r="Z19">
        <v>21</v>
      </c>
      <c r="AA19">
        <v>21</v>
      </c>
      <c r="AB19">
        <v>22</v>
      </c>
      <c r="AC19">
        <v>22</v>
      </c>
      <c r="AD19">
        <v>450</v>
      </c>
      <c r="AE19">
        <v>460</v>
      </c>
      <c r="AF19">
        <v>450</v>
      </c>
      <c r="AG19">
        <v>421</v>
      </c>
      <c r="AH19">
        <v>376</v>
      </c>
      <c r="AI19">
        <v>387</v>
      </c>
      <c r="AJ19">
        <v>754</v>
      </c>
      <c r="AK19">
        <v>759</v>
      </c>
      <c r="AL19">
        <v>6125257216</v>
      </c>
      <c r="AM19">
        <v>5309486080</v>
      </c>
      <c r="AN19">
        <v>5856991232</v>
      </c>
      <c r="AO19">
        <v>5914333696</v>
      </c>
      <c r="AP19">
        <v>3023700992</v>
      </c>
      <c r="AQ19">
        <v>3240923904</v>
      </c>
      <c r="AR19">
        <v>7933167616</v>
      </c>
      <c r="AS19">
        <v>8054853120</v>
      </c>
      <c r="AT19">
        <v>5361149440</v>
      </c>
      <c r="AU19">
        <v>5321134080</v>
      </c>
      <c r="AV19">
        <v>2874567168</v>
      </c>
      <c r="AW19">
        <v>2178234368</v>
      </c>
      <c r="AX19">
        <v>1930479232</v>
      </c>
      <c r="AY19">
        <v>1867681536</v>
      </c>
      <c r="AZ19">
        <v>5432747008</v>
      </c>
      <c r="BA19">
        <v>5265046016</v>
      </c>
    </row>
    <row r="20" spans="1:53">
      <c r="A20">
        <v>16669</v>
      </c>
      <c r="B20" t="s">
        <v>133</v>
      </c>
      <c r="C20" t="s">
        <v>134</v>
      </c>
      <c r="D20" t="s">
        <v>135</v>
      </c>
      <c r="E20" t="s">
        <v>136</v>
      </c>
      <c r="F20" t="s">
        <v>137</v>
      </c>
      <c r="G20">
        <v>1027.7650000000001</v>
      </c>
      <c r="H20" t="s">
        <v>58</v>
      </c>
      <c r="I20">
        <v>2</v>
      </c>
      <c r="J20">
        <v>19</v>
      </c>
      <c r="K20">
        <v>1</v>
      </c>
      <c r="L20">
        <v>87.6</v>
      </c>
      <c r="M20">
        <v>12295</v>
      </c>
      <c r="N20">
        <v>8</v>
      </c>
      <c r="O20">
        <v>14</v>
      </c>
      <c r="P20">
        <v>14</v>
      </c>
      <c r="Q20">
        <v>18</v>
      </c>
      <c r="R20">
        <v>18</v>
      </c>
      <c r="S20">
        <v>5597</v>
      </c>
      <c r="T20">
        <v>5597</v>
      </c>
      <c r="U20">
        <v>18</v>
      </c>
      <c r="V20">
        <v>13</v>
      </c>
      <c r="W20">
        <v>13</v>
      </c>
      <c r="X20">
        <v>17</v>
      </c>
      <c r="Y20">
        <v>16</v>
      </c>
      <c r="Z20">
        <v>17</v>
      </c>
      <c r="AA20">
        <v>17</v>
      </c>
      <c r="AB20">
        <v>18</v>
      </c>
      <c r="AC20">
        <v>18</v>
      </c>
      <c r="AD20">
        <v>512</v>
      </c>
      <c r="AE20">
        <v>649</v>
      </c>
      <c r="AF20">
        <v>794</v>
      </c>
      <c r="AG20">
        <v>737</v>
      </c>
      <c r="AH20">
        <v>739</v>
      </c>
      <c r="AI20">
        <v>747</v>
      </c>
      <c r="AJ20">
        <v>759</v>
      </c>
      <c r="AK20">
        <v>660</v>
      </c>
      <c r="AL20">
        <v>5575203328</v>
      </c>
      <c r="AM20">
        <v>5414010368</v>
      </c>
      <c r="AN20">
        <v>7386821120</v>
      </c>
      <c r="AO20">
        <v>8355008000</v>
      </c>
      <c r="AP20">
        <v>5672336384</v>
      </c>
      <c r="AQ20">
        <v>5816019968</v>
      </c>
      <c r="AR20">
        <v>5833744896</v>
      </c>
      <c r="AS20">
        <v>4962781696</v>
      </c>
      <c r="AT20">
        <v>1867452032</v>
      </c>
      <c r="AU20">
        <v>2663020800</v>
      </c>
      <c r="AV20">
        <v>4525495296</v>
      </c>
      <c r="AW20">
        <v>4177560576</v>
      </c>
      <c r="AX20">
        <v>6347730432</v>
      </c>
      <c r="AY20">
        <v>4584872448</v>
      </c>
      <c r="AZ20">
        <v>5313876480</v>
      </c>
      <c r="BA20">
        <v>3311430144</v>
      </c>
    </row>
    <row r="21" spans="1:53">
      <c r="A21">
        <v>16678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>
        <v>1023.016</v>
      </c>
      <c r="H21" t="s">
        <v>58</v>
      </c>
      <c r="I21">
        <v>2</v>
      </c>
      <c r="J21">
        <v>16</v>
      </c>
      <c r="K21">
        <v>5</v>
      </c>
      <c r="L21">
        <v>80.08</v>
      </c>
      <c r="M21">
        <v>26743</v>
      </c>
      <c r="N21">
        <v>14</v>
      </c>
      <c r="O21">
        <v>22</v>
      </c>
      <c r="P21">
        <v>22</v>
      </c>
      <c r="Q21">
        <v>26</v>
      </c>
      <c r="R21">
        <v>26</v>
      </c>
      <c r="S21">
        <v>5426</v>
      </c>
      <c r="T21">
        <v>5426</v>
      </c>
      <c r="U21">
        <v>26</v>
      </c>
      <c r="V21">
        <v>20</v>
      </c>
      <c r="W21">
        <v>21</v>
      </c>
      <c r="X21">
        <v>24</v>
      </c>
      <c r="Y21">
        <v>25</v>
      </c>
      <c r="Z21">
        <v>24</v>
      </c>
      <c r="AA21">
        <v>25</v>
      </c>
      <c r="AB21">
        <v>26</v>
      </c>
      <c r="AC21">
        <v>25</v>
      </c>
      <c r="AD21">
        <v>589</v>
      </c>
      <c r="AE21">
        <v>595</v>
      </c>
      <c r="AF21">
        <v>719</v>
      </c>
      <c r="AG21">
        <v>688</v>
      </c>
      <c r="AH21">
        <v>756</v>
      </c>
      <c r="AI21">
        <v>730</v>
      </c>
      <c r="AJ21">
        <v>701</v>
      </c>
      <c r="AK21">
        <v>648</v>
      </c>
      <c r="AL21">
        <v>4586444288</v>
      </c>
      <c r="AM21">
        <v>3979266560</v>
      </c>
      <c r="AN21">
        <v>6100925952</v>
      </c>
      <c r="AO21">
        <v>7539854848</v>
      </c>
      <c r="AP21">
        <v>4474926592</v>
      </c>
      <c r="AQ21">
        <v>4432740352</v>
      </c>
      <c r="AR21">
        <v>4074432768</v>
      </c>
      <c r="AS21">
        <v>3596506112</v>
      </c>
      <c r="AT21">
        <v>3584189696</v>
      </c>
      <c r="AU21">
        <v>3338498304</v>
      </c>
      <c r="AV21">
        <v>3536885760</v>
      </c>
      <c r="AW21">
        <v>3542478336</v>
      </c>
      <c r="AX21">
        <v>3013306112</v>
      </c>
      <c r="AY21">
        <v>2943471872</v>
      </c>
      <c r="AZ21">
        <v>2841422080</v>
      </c>
      <c r="BA21">
        <v>2072940672</v>
      </c>
    </row>
    <row r="22" spans="1:53">
      <c r="A22">
        <v>16855</v>
      </c>
      <c r="B22" t="s">
        <v>143</v>
      </c>
      <c r="C22" t="s">
        <v>144</v>
      </c>
      <c r="D22" t="s">
        <v>145</v>
      </c>
      <c r="F22" t="s">
        <v>146</v>
      </c>
      <c r="G22">
        <v>1010.318</v>
      </c>
      <c r="H22" t="s">
        <v>58</v>
      </c>
      <c r="I22">
        <v>2</v>
      </c>
      <c r="J22">
        <v>2</v>
      </c>
      <c r="K22">
        <v>0</v>
      </c>
      <c r="L22">
        <v>45.21</v>
      </c>
      <c r="M22">
        <v>99667</v>
      </c>
      <c r="N22">
        <v>55</v>
      </c>
      <c r="O22">
        <v>33</v>
      </c>
      <c r="P22">
        <v>33</v>
      </c>
      <c r="Q22">
        <v>33</v>
      </c>
      <c r="R22">
        <v>33</v>
      </c>
      <c r="S22">
        <v>206</v>
      </c>
      <c r="T22">
        <v>206</v>
      </c>
      <c r="U22">
        <v>33</v>
      </c>
      <c r="V22">
        <v>26</v>
      </c>
      <c r="W22">
        <v>23</v>
      </c>
      <c r="X22">
        <v>32</v>
      </c>
      <c r="Y22">
        <v>33</v>
      </c>
      <c r="Z22">
        <v>33</v>
      </c>
      <c r="AA22">
        <v>31</v>
      </c>
      <c r="AB22">
        <v>32</v>
      </c>
      <c r="AC22">
        <v>32</v>
      </c>
      <c r="AD22">
        <v>18</v>
      </c>
      <c r="AE22">
        <v>11</v>
      </c>
      <c r="AF22">
        <v>35</v>
      </c>
      <c r="AG22">
        <v>32</v>
      </c>
      <c r="AH22">
        <v>29</v>
      </c>
      <c r="AI22">
        <v>28</v>
      </c>
      <c r="AJ22">
        <v>24</v>
      </c>
      <c r="AK22">
        <v>29</v>
      </c>
      <c r="AL22">
        <v>75328600</v>
      </c>
      <c r="AM22">
        <v>57794212</v>
      </c>
      <c r="AN22">
        <v>254824096</v>
      </c>
      <c r="AO22">
        <v>306221056</v>
      </c>
      <c r="AP22">
        <v>143047744</v>
      </c>
      <c r="AQ22">
        <v>147530512</v>
      </c>
      <c r="AR22">
        <v>136003472</v>
      </c>
      <c r="AS22">
        <v>147875792</v>
      </c>
      <c r="AT22">
        <v>76201464</v>
      </c>
      <c r="AU22">
        <v>58752148</v>
      </c>
      <c r="AV22">
        <v>128482800</v>
      </c>
      <c r="AW22">
        <v>108234560</v>
      </c>
      <c r="AX22">
        <v>90895928</v>
      </c>
      <c r="AY22">
        <v>87472816</v>
      </c>
      <c r="AZ22">
        <v>75445088</v>
      </c>
      <c r="BA22">
        <v>73674112</v>
      </c>
    </row>
    <row r="23" spans="1:53">
      <c r="A23">
        <v>16834</v>
      </c>
      <c r="B23" t="s">
        <v>147</v>
      </c>
      <c r="C23" t="s">
        <v>148</v>
      </c>
      <c r="D23" t="s">
        <v>147</v>
      </c>
      <c r="F23" t="s">
        <v>149</v>
      </c>
      <c r="G23">
        <v>989.62599999999998</v>
      </c>
      <c r="H23" t="s">
        <v>58</v>
      </c>
      <c r="I23">
        <v>2</v>
      </c>
      <c r="J23">
        <v>1</v>
      </c>
      <c r="K23">
        <v>0</v>
      </c>
      <c r="L23">
        <v>72.56</v>
      </c>
      <c r="M23">
        <v>31048</v>
      </c>
      <c r="N23">
        <v>16</v>
      </c>
      <c r="O23">
        <v>20</v>
      </c>
      <c r="P23">
        <v>20</v>
      </c>
      <c r="Q23">
        <v>20</v>
      </c>
      <c r="R23">
        <v>20</v>
      </c>
      <c r="S23">
        <v>1059</v>
      </c>
      <c r="T23">
        <v>1059</v>
      </c>
      <c r="U23">
        <v>20</v>
      </c>
      <c r="V23">
        <v>16</v>
      </c>
      <c r="W23">
        <v>16</v>
      </c>
      <c r="X23">
        <v>19</v>
      </c>
      <c r="Y23">
        <v>20</v>
      </c>
      <c r="Z23">
        <v>18</v>
      </c>
      <c r="AA23">
        <v>19</v>
      </c>
      <c r="AB23">
        <v>20</v>
      </c>
      <c r="AC23">
        <v>20</v>
      </c>
      <c r="AD23">
        <v>121</v>
      </c>
      <c r="AE23">
        <v>117</v>
      </c>
      <c r="AF23">
        <v>195</v>
      </c>
      <c r="AG23">
        <v>133</v>
      </c>
      <c r="AH23">
        <v>82</v>
      </c>
      <c r="AI23">
        <v>74</v>
      </c>
      <c r="AJ23">
        <v>154</v>
      </c>
      <c r="AK23">
        <v>183</v>
      </c>
      <c r="AL23">
        <v>690151168</v>
      </c>
      <c r="AM23">
        <v>571848384</v>
      </c>
      <c r="AN23">
        <v>1476163584</v>
      </c>
      <c r="AO23">
        <v>1554743552</v>
      </c>
      <c r="AP23">
        <v>345881856</v>
      </c>
      <c r="AQ23">
        <v>369629120</v>
      </c>
      <c r="AR23">
        <v>1031865280</v>
      </c>
      <c r="AS23">
        <v>1257675520</v>
      </c>
      <c r="AT23">
        <v>505644512</v>
      </c>
      <c r="AU23">
        <v>426261984</v>
      </c>
      <c r="AV23">
        <v>711247872</v>
      </c>
      <c r="AW23">
        <v>695637120</v>
      </c>
      <c r="AX23">
        <v>250216752</v>
      </c>
      <c r="AY23">
        <v>256954240</v>
      </c>
      <c r="AZ23">
        <v>713439168</v>
      </c>
      <c r="BA23">
        <v>780376960</v>
      </c>
    </row>
    <row r="24" spans="1:53">
      <c r="A24">
        <v>16677</v>
      </c>
      <c r="B24" t="s">
        <v>150</v>
      </c>
      <c r="C24" t="s">
        <v>151</v>
      </c>
      <c r="D24" t="s">
        <v>152</v>
      </c>
      <c r="E24" t="s">
        <v>153</v>
      </c>
      <c r="F24" t="s">
        <v>154</v>
      </c>
      <c r="G24">
        <v>988.24599999999998</v>
      </c>
      <c r="H24" t="s">
        <v>58</v>
      </c>
      <c r="I24">
        <v>2</v>
      </c>
      <c r="J24">
        <v>17</v>
      </c>
      <c r="K24">
        <v>1</v>
      </c>
      <c r="L24">
        <v>44.23</v>
      </c>
      <c r="M24">
        <v>59589</v>
      </c>
      <c r="N24">
        <v>28</v>
      </c>
      <c r="O24">
        <v>22</v>
      </c>
      <c r="P24">
        <v>22</v>
      </c>
      <c r="Q24">
        <v>22</v>
      </c>
      <c r="R24">
        <v>22</v>
      </c>
      <c r="S24">
        <v>408</v>
      </c>
      <c r="T24">
        <v>408</v>
      </c>
      <c r="U24">
        <v>22</v>
      </c>
      <c r="V24">
        <v>16</v>
      </c>
      <c r="W24">
        <v>16</v>
      </c>
      <c r="X24">
        <v>20</v>
      </c>
      <c r="Y24">
        <v>22</v>
      </c>
      <c r="Z24">
        <v>20</v>
      </c>
      <c r="AA24">
        <v>21</v>
      </c>
      <c r="AB24">
        <v>21</v>
      </c>
      <c r="AC24">
        <v>21</v>
      </c>
      <c r="AD24">
        <v>24</v>
      </c>
      <c r="AE24">
        <v>29</v>
      </c>
      <c r="AF24">
        <v>59</v>
      </c>
      <c r="AG24">
        <v>84</v>
      </c>
      <c r="AH24">
        <v>68</v>
      </c>
      <c r="AI24">
        <v>60</v>
      </c>
      <c r="AJ24">
        <v>37</v>
      </c>
      <c r="AK24">
        <v>47</v>
      </c>
      <c r="AL24">
        <v>119175520</v>
      </c>
      <c r="AM24">
        <v>90142552</v>
      </c>
      <c r="AN24">
        <v>429323392</v>
      </c>
      <c r="AO24">
        <v>579661824</v>
      </c>
      <c r="AP24">
        <v>233436576</v>
      </c>
      <c r="AQ24">
        <v>268165440</v>
      </c>
      <c r="AR24">
        <v>211990432</v>
      </c>
      <c r="AS24">
        <v>254826256</v>
      </c>
      <c r="AT24">
        <v>124415016</v>
      </c>
      <c r="AU24">
        <v>98738352</v>
      </c>
      <c r="AV24">
        <v>242593008</v>
      </c>
      <c r="AW24">
        <v>275027456</v>
      </c>
      <c r="AX24">
        <v>224534000</v>
      </c>
      <c r="AY24">
        <v>235998368</v>
      </c>
      <c r="AZ24">
        <v>167764048</v>
      </c>
      <c r="BA24">
        <v>190418848</v>
      </c>
    </row>
    <row r="25" spans="1:53">
      <c r="A25">
        <v>16655</v>
      </c>
      <c r="B25" t="s">
        <v>155</v>
      </c>
      <c r="C25" t="s">
        <v>156</v>
      </c>
      <c r="D25" t="s">
        <v>157</v>
      </c>
      <c r="E25" t="s">
        <v>158</v>
      </c>
      <c r="F25" t="s">
        <v>159</v>
      </c>
      <c r="G25">
        <v>963.72900000000004</v>
      </c>
      <c r="H25" t="s">
        <v>58</v>
      </c>
      <c r="I25">
        <v>2</v>
      </c>
      <c r="J25">
        <v>3</v>
      </c>
      <c r="K25">
        <v>18</v>
      </c>
      <c r="L25">
        <v>83.24</v>
      </c>
      <c r="M25">
        <v>20018</v>
      </c>
      <c r="N25">
        <v>14</v>
      </c>
      <c r="O25">
        <v>24</v>
      </c>
      <c r="P25">
        <v>24</v>
      </c>
      <c r="Q25">
        <v>26</v>
      </c>
      <c r="R25">
        <v>26</v>
      </c>
      <c r="S25">
        <v>4721</v>
      </c>
      <c r="T25">
        <v>4721</v>
      </c>
      <c r="U25">
        <v>26</v>
      </c>
      <c r="V25">
        <v>19</v>
      </c>
      <c r="W25">
        <v>22</v>
      </c>
      <c r="X25">
        <v>24</v>
      </c>
      <c r="Y25">
        <v>26</v>
      </c>
      <c r="Z25">
        <v>25</v>
      </c>
      <c r="AA25">
        <v>24</v>
      </c>
      <c r="AB25">
        <v>26</v>
      </c>
      <c r="AC25">
        <v>24</v>
      </c>
      <c r="AD25">
        <v>486</v>
      </c>
      <c r="AE25">
        <v>503</v>
      </c>
      <c r="AF25">
        <v>595</v>
      </c>
      <c r="AG25">
        <v>667</v>
      </c>
      <c r="AH25">
        <v>667</v>
      </c>
      <c r="AI25">
        <v>616</v>
      </c>
      <c r="AJ25">
        <v>612</v>
      </c>
      <c r="AK25">
        <v>575</v>
      </c>
      <c r="AL25">
        <v>5470430720</v>
      </c>
      <c r="AM25">
        <v>5260189696</v>
      </c>
      <c r="AN25">
        <v>6626149376</v>
      </c>
      <c r="AO25">
        <v>8417418240</v>
      </c>
      <c r="AP25">
        <v>5165466624</v>
      </c>
      <c r="AQ25">
        <v>5470114816</v>
      </c>
      <c r="AR25">
        <v>5073891840</v>
      </c>
      <c r="AS25">
        <v>5231333376</v>
      </c>
      <c r="AT25">
        <v>4026620160</v>
      </c>
      <c r="AU25">
        <v>3849208064</v>
      </c>
      <c r="AV25">
        <v>3760369152</v>
      </c>
      <c r="AW25">
        <v>4424702976</v>
      </c>
      <c r="AX25">
        <v>4026620160</v>
      </c>
      <c r="AY25">
        <v>3735573760</v>
      </c>
      <c r="AZ25">
        <v>3784062976</v>
      </c>
      <c r="BA25">
        <v>3198250240</v>
      </c>
    </row>
    <row r="26" spans="1:53">
      <c r="A26">
        <v>16778</v>
      </c>
      <c r="B26" t="s">
        <v>160</v>
      </c>
      <c r="C26" t="s">
        <v>161</v>
      </c>
      <c r="D26" t="s">
        <v>162</v>
      </c>
      <c r="F26" t="s">
        <v>163</v>
      </c>
      <c r="G26">
        <v>949.52099999999996</v>
      </c>
      <c r="H26" t="s">
        <v>58</v>
      </c>
      <c r="I26">
        <v>2</v>
      </c>
      <c r="J26">
        <v>21</v>
      </c>
      <c r="K26">
        <v>0</v>
      </c>
      <c r="L26">
        <v>75.819999999999993</v>
      </c>
      <c r="M26">
        <v>29860</v>
      </c>
      <c r="N26">
        <v>18</v>
      </c>
      <c r="O26">
        <v>26</v>
      </c>
      <c r="P26">
        <v>26</v>
      </c>
      <c r="Q26">
        <v>27</v>
      </c>
      <c r="R26">
        <v>27</v>
      </c>
      <c r="S26">
        <v>1600</v>
      </c>
      <c r="T26">
        <v>1600</v>
      </c>
      <c r="U26">
        <v>27</v>
      </c>
      <c r="V26">
        <v>20</v>
      </c>
      <c r="W26">
        <v>21</v>
      </c>
      <c r="X26">
        <v>21</v>
      </c>
      <c r="Y26">
        <v>25</v>
      </c>
      <c r="Z26">
        <v>23</v>
      </c>
      <c r="AA26">
        <v>22</v>
      </c>
      <c r="AB26">
        <v>25</v>
      </c>
      <c r="AC26">
        <v>26</v>
      </c>
      <c r="AD26">
        <v>252</v>
      </c>
      <c r="AE26">
        <v>271</v>
      </c>
      <c r="AF26">
        <v>171</v>
      </c>
      <c r="AG26">
        <v>189</v>
      </c>
      <c r="AH26">
        <v>193</v>
      </c>
      <c r="AI26">
        <v>202</v>
      </c>
      <c r="AJ26">
        <v>166</v>
      </c>
      <c r="AK26">
        <v>156</v>
      </c>
      <c r="AL26">
        <v>1225583744</v>
      </c>
      <c r="AM26">
        <v>1618680704</v>
      </c>
      <c r="AN26">
        <v>1366115072</v>
      </c>
      <c r="AO26">
        <v>2040406656</v>
      </c>
      <c r="AP26">
        <v>918845248</v>
      </c>
      <c r="AQ26">
        <v>1290439808</v>
      </c>
      <c r="AR26">
        <v>1267096576</v>
      </c>
      <c r="AS26">
        <v>998277312</v>
      </c>
      <c r="AT26">
        <v>1290060416</v>
      </c>
      <c r="AU26">
        <v>1734891776</v>
      </c>
      <c r="AV26">
        <v>663920384</v>
      </c>
      <c r="AW26">
        <v>960637376</v>
      </c>
      <c r="AX26">
        <v>734403968</v>
      </c>
      <c r="AY26">
        <v>884093376</v>
      </c>
      <c r="AZ26">
        <v>889290368</v>
      </c>
      <c r="BA26">
        <v>661069952</v>
      </c>
    </row>
    <row r="27" spans="1:53">
      <c r="A27">
        <v>16757</v>
      </c>
      <c r="B27" t="s">
        <v>164</v>
      </c>
      <c r="C27" t="s">
        <v>165</v>
      </c>
      <c r="D27" t="s">
        <v>166</v>
      </c>
      <c r="F27" t="s">
        <v>167</v>
      </c>
      <c r="G27">
        <v>947.81200000000001</v>
      </c>
      <c r="H27" t="s">
        <v>58</v>
      </c>
      <c r="I27">
        <v>2</v>
      </c>
      <c r="J27">
        <v>21</v>
      </c>
      <c r="K27">
        <v>0</v>
      </c>
      <c r="L27">
        <v>87.15</v>
      </c>
      <c r="M27">
        <v>20301</v>
      </c>
      <c r="N27">
        <v>13</v>
      </c>
      <c r="O27">
        <v>21</v>
      </c>
      <c r="P27">
        <v>21</v>
      </c>
      <c r="Q27">
        <v>22</v>
      </c>
      <c r="R27">
        <v>22</v>
      </c>
      <c r="S27">
        <v>1113</v>
      </c>
      <c r="T27">
        <v>1113</v>
      </c>
      <c r="U27">
        <v>22</v>
      </c>
      <c r="V27">
        <v>17</v>
      </c>
      <c r="W27">
        <v>17</v>
      </c>
      <c r="X27">
        <v>17</v>
      </c>
      <c r="Y27">
        <v>22</v>
      </c>
      <c r="Z27">
        <v>21</v>
      </c>
      <c r="AA27">
        <v>20</v>
      </c>
      <c r="AB27">
        <v>21</v>
      </c>
      <c r="AC27">
        <v>20</v>
      </c>
      <c r="AD27">
        <v>236</v>
      </c>
      <c r="AE27">
        <v>252</v>
      </c>
      <c r="AF27">
        <v>76</v>
      </c>
      <c r="AG27">
        <v>112</v>
      </c>
      <c r="AH27">
        <v>116</v>
      </c>
      <c r="AI27">
        <v>127</v>
      </c>
      <c r="AJ27">
        <v>105</v>
      </c>
      <c r="AK27">
        <v>89</v>
      </c>
      <c r="AL27">
        <v>1191142528</v>
      </c>
      <c r="AM27">
        <v>1033377536</v>
      </c>
      <c r="AN27">
        <v>832164864</v>
      </c>
      <c r="AO27">
        <v>1331694976</v>
      </c>
      <c r="AP27">
        <v>919053440</v>
      </c>
      <c r="AQ27">
        <v>1114256768</v>
      </c>
      <c r="AR27">
        <v>1035159232</v>
      </c>
      <c r="AS27">
        <v>881934016</v>
      </c>
      <c r="AT27">
        <v>966216192</v>
      </c>
      <c r="AU27">
        <v>1021637248</v>
      </c>
      <c r="AV27">
        <v>489213568</v>
      </c>
      <c r="AW27">
        <v>622743104</v>
      </c>
      <c r="AX27">
        <v>719437312</v>
      </c>
      <c r="AY27">
        <v>767552064</v>
      </c>
      <c r="AZ27">
        <v>700527616</v>
      </c>
      <c r="BA27">
        <v>538257984</v>
      </c>
    </row>
    <row r="28" spans="1:53">
      <c r="A28">
        <v>16750</v>
      </c>
      <c r="B28" t="s">
        <v>168</v>
      </c>
      <c r="C28" t="s">
        <v>169</v>
      </c>
      <c r="D28" t="s">
        <v>170</v>
      </c>
      <c r="F28" t="s">
        <v>171</v>
      </c>
      <c r="G28">
        <v>908.49400000000003</v>
      </c>
      <c r="H28" t="s">
        <v>58</v>
      </c>
      <c r="I28">
        <v>2</v>
      </c>
      <c r="J28">
        <v>21</v>
      </c>
      <c r="K28">
        <v>0</v>
      </c>
      <c r="L28">
        <v>80.58</v>
      </c>
      <c r="M28">
        <v>23468</v>
      </c>
      <c r="N28">
        <v>14</v>
      </c>
      <c r="O28">
        <v>22</v>
      </c>
      <c r="P28">
        <v>22</v>
      </c>
      <c r="Q28">
        <v>24</v>
      </c>
      <c r="R28">
        <v>24</v>
      </c>
      <c r="S28">
        <v>3694</v>
      </c>
      <c r="T28">
        <v>3694</v>
      </c>
      <c r="U28">
        <v>24</v>
      </c>
      <c r="V28">
        <v>17</v>
      </c>
      <c r="W28">
        <v>17</v>
      </c>
      <c r="X28">
        <v>24</v>
      </c>
      <c r="Y28">
        <v>24</v>
      </c>
      <c r="Z28">
        <v>24</v>
      </c>
      <c r="AA28">
        <v>24</v>
      </c>
      <c r="AB28">
        <v>23</v>
      </c>
      <c r="AC28">
        <v>22</v>
      </c>
      <c r="AD28">
        <v>455</v>
      </c>
      <c r="AE28">
        <v>490</v>
      </c>
      <c r="AF28">
        <v>466</v>
      </c>
      <c r="AG28">
        <v>468</v>
      </c>
      <c r="AH28">
        <v>473</v>
      </c>
      <c r="AI28">
        <v>468</v>
      </c>
      <c r="AJ28">
        <v>383</v>
      </c>
      <c r="AK28">
        <v>491</v>
      </c>
      <c r="AL28">
        <v>8129657856</v>
      </c>
      <c r="AM28">
        <v>7942187520</v>
      </c>
      <c r="AN28">
        <v>7326640640</v>
      </c>
      <c r="AO28">
        <v>9000622080</v>
      </c>
      <c r="AP28">
        <v>4889567744</v>
      </c>
      <c r="AQ28">
        <v>4931318784</v>
      </c>
      <c r="AR28">
        <v>4019471360</v>
      </c>
      <c r="AS28">
        <v>5554583552</v>
      </c>
      <c r="AT28">
        <v>8084281344</v>
      </c>
      <c r="AU28">
        <v>7500784128</v>
      </c>
      <c r="AV28">
        <v>3716151296</v>
      </c>
      <c r="AW28">
        <v>4107075072</v>
      </c>
      <c r="AX28">
        <v>3662341120</v>
      </c>
      <c r="AY28">
        <v>3166458112</v>
      </c>
      <c r="AZ28">
        <v>2509748736</v>
      </c>
      <c r="BA28">
        <v>2923160064</v>
      </c>
    </row>
    <row r="29" spans="1:53">
      <c r="A29">
        <v>16734</v>
      </c>
      <c r="B29" t="s">
        <v>172</v>
      </c>
      <c r="C29" t="s">
        <v>173</v>
      </c>
      <c r="D29" t="s">
        <v>174</v>
      </c>
      <c r="E29" t="s">
        <v>175</v>
      </c>
      <c r="F29" t="s">
        <v>176</v>
      </c>
      <c r="G29">
        <v>898.19299999999998</v>
      </c>
      <c r="H29" t="s">
        <v>58</v>
      </c>
      <c r="I29">
        <v>2</v>
      </c>
      <c r="J29">
        <v>11</v>
      </c>
      <c r="K29">
        <v>10</v>
      </c>
      <c r="L29">
        <v>43.87</v>
      </c>
      <c r="M29">
        <v>76239</v>
      </c>
      <c r="N29">
        <v>41</v>
      </c>
      <c r="O29">
        <v>25</v>
      </c>
      <c r="P29">
        <v>25</v>
      </c>
      <c r="Q29">
        <v>25</v>
      </c>
      <c r="R29">
        <v>25</v>
      </c>
      <c r="S29">
        <v>173</v>
      </c>
      <c r="T29">
        <v>173</v>
      </c>
      <c r="U29">
        <v>25</v>
      </c>
      <c r="V29">
        <v>18</v>
      </c>
      <c r="W29">
        <v>18</v>
      </c>
      <c r="X29">
        <v>22</v>
      </c>
      <c r="Y29">
        <v>24</v>
      </c>
      <c r="Z29">
        <v>24</v>
      </c>
      <c r="AA29">
        <v>24</v>
      </c>
      <c r="AB29">
        <v>24</v>
      </c>
      <c r="AC29">
        <v>24</v>
      </c>
      <c r="AD29">
        <v>14</v>
      </c>
      <c r="AE29">
        <v>13</v>
      </c>
      <c r="AF29">
        <v>14</v>
      </c>
      <c r="AG29">
        <v>21</v>
      </c>
      <c r="AH29">
        <v>28</v>
      </c>
      <c r="AI29">
        <v>29</v>
      </c>
      <c r="AJ29">
        <v>26</v>
      </c>
      <c r="AK29">
        <v>28</v>
      </c>
      <c r="AL29">
        <v>86954968</v>
      </c>
      <c r="AM29">
        <v>65090004</v>
      </c>
      <c r="AN29">
        <v>119472984</v>
      </c>
      <c r="AO29">
        <v>177192640</v>
      </c>
      <c r="AP29">
        <v>158512992</v>
      </c>
      <c r="AQ29">
        <v>201945104</v>
      </c>
      <c r="AR29">
        <v>150822896</v>
      </c>
      <c r="AS29">
        <v>195734496</v>
      </c>
      <c r="AT29">
        <v>96694328</v>
      </c>
      <c r="AU29">
        <v>81769120</v>
      </c>
      <c r="AV29">
        <v>64925888</v>
      </c>
      <c r="AW29">
        <v>65452608</v>
      </c>
      <c r="AX29">
        <v>101273544</v>
      </c>
      <c r="AY29">
        <v>119423672</v>
      </c>
      <c r="AZ29">
        <v>88231032</v>
      </c>
      <c r="BA29">
        <v>99981312</v>
      </c>
    </row>
    <row r="30" spans="1:53">
      <c r="A30">
        <v>16684</v>
      </c>
      <c r="B30" t="s">
        <v>177</v>
      </c>
      <c r="C30" t="s">
        <v>178</v>
      </c>
      <c r="D30" t="s">
        <v>179</v>
      </c>
      <c r="E30" t="s">
        <v>180</v>
      </c>
      <c r="F30" t="s">
        <v>181</v>
      </c>
      <c r="G30">
        <v>871.63900000000001</v>
      </c>
      <c r="H30" t="s">
        <v>58</v>
      </c>
      <c r="I30">
        <v>2</v>
      </c>
      <c r="J30">
        <v>3</v>
      </c>
      <c r="K30">
        <v>18</v>
      </c>
      <c r="L30">
        <v>55.75</v>
      </c>
      <c r="M30">
        <v>52201</v>
      </c>
      <c r="N30">
        <v>25</v>
      </c>
      <c r="O30">
        <v>21</v>
      </c>
      <c r="P30">
        <v>21</v>
      </c>
      <c r="Q30">
        <v>21</v>
      </c>
      <c r="R30">
        <v>21</v>
      </c>
      <c r="S30">
        <v>264</v>
      </c>
      <c r="T30">
        <v>264</v>
      </c>
      <c r="U30">
        <v>21</v>
      </c>
      <c r="V30">
        <v>16</v>
      </c>
      <c r="W30">
        <v>17</v>
      </c>
      <c r="X30">
        <v>19</v>
      </c>
      <c r="Y30">
        <v>20</v>
      </c>
      <c r="Z30">
        <v>20</v>
      </c>
      <c r="AA30">
        <v>21</v>
      </c>
      <c r="AB30">
        <v>20</v>
      </c>
      <c r="AC30">
        <v>21</v>
      </c>
      <c r="AD30">
        <v>27</v>
      </c>
      <c r="AE30">
        <v>25</v>
      </c>
      <c r="AF30">
        <v>25</v>
      </c>
      <c r="AG30">
        <v>28</v>
      </c>
      <c r="AH30">
        <v>37</v>
      </c>
      <c r="AI30">
        <v>42</v>
      </c>
      <c r="AJ30">
        <v>40</v>
      </c>
      <c r="AK30">
        <v>40</v>
      </c>
      <c r="AL30">
        <v>122426048</v>
      </c>
      <c r="AM30">
        <v>118409304</v>
      </c>
      <c r="AN30">
        <v>210657648</v>
      </c>
      <c r="AO30">
        <v>286984320</v>
      </c>
      <c r="AP30">
        <v>221586944</v>
      </c>
      <c r="AQ30">
        <v>267526416</v>
      </c>
      <c r="AR30">
        <v>239209984</v>
      </c>
      <c r="AS30">
        <v>264647424</v>
      </c>
      <c r="AT30">
        <v>131149536</v>
      </c>
      <c r="AU30">
        <v>119454624</v>
      </c>
      <c r="AV30">
        <v>106470216</v>
      </c>
      <c r="AW30">
        <v>98273496</v>
      </c>
      <c r="AX30">
        <v>150098368</v>
      </c>
      <c r="AY30">
        <v>170119440</v>
      </c>
      <c r="AZ30">
        <v>142651472</v>
      </c>
      <c r="BA30">
        <v>138664992</v>
      </c>
    </row>
    <row r="31" spans="1:53">
      <c r="A31">
        <v>16794</v>
      </c>
      <c r="B31" t="s">
        <v>182</v>
      </c>
      <c r="C31" t="s">
        <v>183</v>
      </c>
      <c r="D31" t="s">
        <v>184</v>
      </c>
      <c r="F31" t="s">
        <v>185</v>
      </c>
      <c r="G31">
        <v>869.39700000000005</v>
      </c>
      <c r="H31" t="s">
        <v>58</v>
      </c>
      <c r="I31">
        <v>2</v>
      </c>
      <c r="J31">
        <v>20</v>
      </c>
      <c r="K31">
        <v>0</v>
      </c>
      <c r="L31">
        <v>65.41</v>
      </c>
      <c r="M31">
        <v>20638</v>
      </c>
      <c r="N31">
        <v>14</v>
      </c>
      <c r="O31">
        <v>18</v>
      </c>
      <c r="P31">
        <v>18</v>
      </c>
      <c r="Q31">
        <v>22</v>
      </c>
      <c r="R31">
        <v>22</v>
      </c>
      <c r="S31">
        <v>2308</v>
      </c>
      <c r="T31">
        <v>2308</v>
      </c>
      <c r="U31">
        <v>22</v>
      </c>
      <c r="V31">
        <v>20</v>
      </c>
      <c r="W31">
        <v>20</v>
      </c>
      <c r="X31">
        <v>21</v>
      </c>
      <c r="Y31">
        <v>22</v>
      </c>
      <c r="Z31">
        <v>21</v>
      </c>
      <c r="AA31">
        <v>22</v>
      </c>
      <c r="AB31">
        <v>21</v>
      </c>
      <c r="AC31">
        <v>21</v>
      </c>
      <c r="AD31">
        <v>204</v>
      </c>
      <c r="AE31">
        <v>188</v>
      </c>
      <c r="AF31">
        <v>353</v>
      </c>
      <c r="AG31">
        <v>328</v>
      </c>
      <c r="AH31">
        <v>311</v>
      </c>
      <c r="AI31">
        <v>337</v>
      </c>
      <c r="AJ31">
        <v>287</v>
      </c>
      <c r="AK31">
        <v>300</v>
      </c>
      <c r="AL31">
        <v>1703096960</v>
      </c>
      <c r="AM31">
        <v>1500184320</v>
      </c>
      <c r="AN31">
        <v>5738438144</v>
      </c>
      <c r="AO31">
        <v>6905111040</v>
      </c>
      <c r="AP31">
        <v>3309444608</v>
      </c>
      <c r="AQ31">
        <v>3634151680</v>
      </c>
      <c r="AR31">
        <v>3136047360</v>
      </c>
      <c r="AS31">
        <v>3305489920</v>
      </c>
      <c r="AT31">
        <v>1476009216</v>
      </c>
      <c r="AU31">
        <v>1301302784</v>
      </c>
      <c r="AV31">
        <v>2981579008</v>
      </c>
      <c r="AW31">
        <v>2507820800</v>
      </c>
      <c r="AX31">
        <v>2302728960</v>
      </c>
      <c r="AY31">
        <v>2246641408</v>
      </c>
      <c r="AZ31">
        <v>1875733376</v>
      </c>
      <c r="BA31">
        <v>1707115776</v>
      </c>
    </row>
    <row r="32" spans="1:53">
      <c r="A32">
        <v>16710</v>
      </c>
      <c r="B32" t="s">
        <v>186</v>
      </c>
      <c r="C32" t="s">
        <v>187</v>
      </c>
      <c r="D32" t="s">
        <v>188</v>
      </c>
      <c r="F32" t="s">
        <v>189</v>
      </c>
      <c r="G32">
        <v>868.697</v>
      </c>
      <c r="H32" t="s">
        <v>58</v>
      </c>
      <c r="I32">
        <v>2</v>
      </c>
      <c r="J32">
        <v>21</v>
      </c>
      <c r="K32">
        <v>0</v>
      </c>
      <c r="L32">
        <v>75.599999999999994</v>
      </c>
      <c r="M32">
        <v>22243</v>
      </c>
      <c r="N32">
        <v>16</v>
      </c>
      <c r="O32">
        <v>23</v>
      </c>
      <c r="P32">
        <v>23</v>
      </c>
      <c r="Q32">
        <v>24</v>
      </c>
      <c r="R32">
        <v>24</v>
      </c>
      <c r="S32">
        <v>1007</v>
      </c>
      <c r="T32">
        <v>1007</v>
      </c>
      <c r="U32">
        <v>24</v>
      </c>
      <c r="V32">
        <v>21</v>
      </c>
      <c r="W32">
        <v>18</v>
      </c>
      <c r="X32">
        <v>21</v>
      </c>
      <c r="Y32">
        <v>24</v>
      </c>
      <c r="Z32">
        <v>23</v>
      </c>
      <c r="AA32">
        <v>22</v>
      </c>
      <c r="AB32">
        <v>21</v>
      </c>
      <c r="AC32">
        <v>22</v>
      </c>
      <c r="AD32">
        <v>186</v>
      </c>
      <c r="AE32">
        <v>209</v>
      </c>
      <c r="AF32">
        <v>88</v>
      </c>
      <c r="AG32">
        <v>95</v>
      </c>
      <c r="AH32">
        <v>117</v>
      </c>
      <c r="AI32">
        <v>114</v>
      </c>
      <c r="AJ32">
        <v>109</v>
      </c>
      <c r="AK32">
        <v>89</v>
      </c>
      <c r="AL32">
        <v>900094336</v>
      </c>
      <c r="AM32">
        <v>936051840</v>
      </c>
      <c r="AN32">
        <v>630087040</v>
      </c>
      <c r="AO32">
        <v>915666880</v>
      </c>
      <c r="AP32">
        <v>650995968</v>
      </c>
      <c r="AQ32">
        <v>560314176</v>
      </c>
      <c r="AR32">
        <v>518146528</v>
      </c>
      <c r="AS32">
        <v>599881152</v>
      </c>
      <c r="AT32">
        <v>889682368</v>
      </c>
      <c r="AU32">
        <v>890345984</v>
      </c>
      <c r="AV32">
        <v>463822208</v>
      </c>
      <c r="AW32">
        <v>478901472</v>
      </c>
      <c r="AX32">
        <v>576887488</v>
      </c>
      <c r="AY32">
        <v>524078688</v>
      </c>
      <c r="AZ32">
        <v>488045440</v>
      </c>
      <c r="BA32">
        <v>384132416</v>
      </c>
    </row>
    <row r="33" spans="1:53">
      <c r="A33">
        <v>16675</v>
      </c>
      <c r="B33" t="s">
        <v>190</v>
      </c>
      <c r="C33" t="s">
        <v>191</v>
      </c>
      <c r="D33" t="s">
        <v>192</v>
      </c>
      <c r="E33" t="s">
        <v>193</v>
      </c>
      <c r="F33" t="s">
        <v>194</v>
      </c>
      <c r="G33">
        <v>828.03499999999997</v>
      </c>
      <c r="H33" t="s">
        <v>58</v>
      </c>
      <c r="I33">
        <v>2</v>
      </c>
      <c r="J33">
        <v>18</v>
      </c>
      <c r="K33">
        <v>3</v>
      </c>
      <c r="L33">
        <v>57.31</v>
      </c>
      <c r="M33">
        <v>47028</v>
      </c>
      <c r="N33">
        <v>29</v>
      </c>
      <c r="O33">
        <v>20</v>
      </c>
      <c r="P33">
        <v>20</v>
      </c>
      <c r="Q33">
        <v>20</v>
      </c>
      <c r="R33">
        <v>20</v>
      </c>
      <c r="S33">
        <v>264</v>
      </c>
      <c r="T33">
        <v>264</v>
      </c>
      <c r="U33">
        <v>20</v>
      </c>
      <c r="V33">
        <v>18</v>
      </c>
      <c r="W33">
        <v>17</v>
      </c>
      <c r="X33">
        <v>18</v>
      </c>
      <c r="Y33">
        <v>20</v>
      </c>
      <c r="Z33">
        <v>20</v>
      </c>
      <c r="AA33">
        <v>20</v>
      </c>
      <c r="AB33">
        <v>20</v>
      </c>
      <c r="AC33">
        <v>20</v>
      </c>
      <c r="AD33">
        <v>23</v>
      </c>
      <c r="AE33">
        <v>23</v>
      </c>
      <c r="AF33">
        <v>34</v>
      </c>
      <c r="AG33">
        <v>27</v>
      </c>
      <c r="AH33">
        <v>40</v>
      </c>
      <c r="AI33">
        <v>40</v>
      </c>
      <c r="AJ33">
        <v>38</v>
      </c>
      <c r="AK33">
        <v>39</v>
      </c>
      <c r="AL33">
        <v>122627664</v>
      </c>
      <c r="AM33">
        <v>122738840</v>
      </c>
      <c r="AN33">
        <v>203514896</v>
      </c>
      <c r="AO33">
        <v>319699456</v>
      </c>
      <c r="AP33">
        <v>238356512</v>
      </c>
      <c r="AQ33">
        <v>276944544</v>
      </c>
      <c r="AR33">
        <v>257921328</v>
      </c>
      <c r="AS33">
        <v>292392256</v>
      </c>
      <c r="AT33">
        <v>119050800</v>
      </c>
      <c r="AU33">
        <v>122989912</v>
      </c>
      <c r="AV33">
        <v>115215736</v>
      </c>
      <c r="AW33">
        <v>128647920</v>
      </c>
      <c r="AX33">
        <v>167511760</v>
      </c>
      <c r="AY33">
        <v>185030304</v>
      </c>
      <c r="AZ33">
        <v>158609552</v>
      </c>
      <c r="BA33">
        <v>158355248</v>
      </c>
    </row>
    <row r="34" spans="1:53">
      <c r="A34">
        <v>16681</v>
      </c>
      <c r="B34" t="s">
        <v>195</v>
      </c>
      <c r="C34" t="s">
        <v>196</v>
      </c>
      <c r="D34" t="s">
        <v>197</v>
      </c>
      <c r="F34" t="s">
        <v>198</v>
      </c>
      <c r="G34">
        <v>827.34900000000005</v>
      </c>
      <c r="H34" t="s">
        <v>58</v>
      </c>
      <c r="I34">
        <v>2</v>
      </c>
      <c r="J34">
        <v>21</v>
      </c>
      <c r="K34">
        <v>0</v>
      </c>
      <c r="L34">
        <v>85.07</v>
      </c>
      <c r="M34">
        <v>22086</v>
      </c>
      <c r="N34">
        <v>13</v>
      </c>
      <c r="O34">
        <v>23</v>
      </c>
      <c r="P34">
        <v>23</v>
      </c>
      <c r="Q34">
        <v>23</v>
      </c>
      <c r="R34">
        <v>23</v>
      </c>
      <c r="S34">
        <v>1090</v>
      </c>
      <c r="T34">
        <v>1090</v>
      </c>
      <c r="U34">
        <v>23</v>
      </c>
      <c r="V34">
        <v>19</v>
      </c>
      <c r="W34">
        <v>14</v>
      </c>
      <c r="X34">
        <v>18</v>
      </c>
      <c r="Y34">
        <v>22</v>
      </c>
      <c r="Z34">
        <v>22</v>
      </c>
      <c r="AA34">
        <v>22</v>
      </c>
      <c r="AB34">
        <v>22</v>
      </c>
      <c r="AC34">
        <v>22</v>
      </c>
      <c r="AD34">
        <v>144</v>
      </c>
      <c r="AE34">
        <v>171</v>
      </c>
      <c r="AF34">
        <v>104</v>
      </c>
      <c r="AG34">
        <v>102</v>
      </c>
      <c r="AH34">
        <v>150</v>
      </c>
      <c r="AI34">
        <v>175</v>
      </c>
      <c r="AJ34">
        <v>139</v>
      </c>
      <c r="AK34">
        <v>105</v>
      </c>
      <c r="AL34">
        <v>656609408</v>
      </c>
      <c r="AM34">
        <v>752035136</v>
      </c>
      <c r="AN34">
        <v>630178048</v>
      </c>
      <c r="AO34">
        <v>904934848</v>
      </c>
      <c r="AP34">
        <v>487044576</v>
      </c>
      <c r="AQ34">
        <v>703154048</v>
      </c>
      <c r="AR34">
        <v>652245056</v>
      </c>
      <c r="AS34">
        <v>542568768</v>
      </c>
      <c r="AT34">
        <v>619550592</v>
      </c>
      <c r="AU34">
        <v>545093312</v>
      </c>
      <c r="AV34">
        <v>305419360</v>
      </c>
      <c r="AW34">
        <v>330738176</v>
      </c>
      <c r="AX34">
        <v>438251136</v>
      </c>
      <c r="AY34">
        <v>498701152</v>
      </c>
      <c r="AZ34">
        <v>448053376</v>
      </c>
      <c r="BA34">
        <v>334860064</v>
      </c>
    </row>
    <row r="35" spans="1:53">
      <c r="A35">
        <v>16767</v>
      </c>
      <c r="B35" t="s">
        <v>199</v>
      </c>
      <c r="C35" t="s">
        <v>200</v>
      </c>
      <c r="D35" t="s">
        <v>201</v>
      </c>
      <c r="E35" t="s">
        <v>202</v>
      </c>
      <c r="F35" t="s">
        <v>203</v>
      </c>
      <c r="G35">
        <v>792.82100000000003</v>
      </c>
      <c r="H35" t="s">
        <v>58</v>
      </c>
      <c r="I35">
        <v>2</v>
      </c>
      <c r="J35">
        <v>14</v>
      </c>
      <c r="K35">
        <v>6</v>
      </c>
      <c r="L35">
        <v>73.290000000000006</v>
      </c>
      <c r="M35">
        <v>35933</v>
      </c>
      <c r="N35">
        <v>16</v>
      </c>
      <c r="O35">
        <v>19</v>
      </c>
      <c r="P35">
        <v>19</v>
      </c>
      <c r="Q35">
        <v>19</v>
      </c>
      <c r="R35">
        <v>19</v>
      </c>
      <c r="S35">
        <v>680</v>
      </c>
      <c r="T35">
        <v>680</v>
      </c>
      <c r="U35">
        <v>19</v>
      </c>
      <c r="V35">
        <v>14</v>
      </c>
      <c r="W35">
        <v>15</v>
      </c>
      <c r="X35">
        <v>17</v>
      </c>
      <c r="Y35">
        <v>19</v>
      </c>
      <c r="Z35">
        <v>16</v>
      </c>
      <c r="AA35">
        <v>17</v>
      </c>
      <c r="AB35">
        <v>19</v>
      </c>
      <c r="AC35">
        <v>19</v>
      </c>
      <c r="AD35">
        <v>80</v>
      </c>
      <c r="AE35">
        <v>89</v>
      </c>
      <c r="AF35">
        <v>137</v>
      </c>
      <c r="AG35">
        <v>110</v>
      </c>
      <c r="AH35">
        <v>28</v>
      </c>
      <c r="AI35">
        <v>25</v>
      </c>
      <c r="AJ35">
        <v>92</v>
      </c>
      <c r="AK35">
        <v>119</v>
      </c>
      <c r="AL35">
        <v>516288576</v>
      </c>
      <c r="AM35">
        <v>457125344</v>
      </c>
      <c r="AN35">
        <v>969326464</v>
      </c>
      <c r="AO35">
        <v>1180957952</v>
      </c>
      <c r="AP35">
        <v>217027392</v>
      </c>
      <c r="AQ35">
        <v>249056128</v>
      </c>
      <c r="AR35">
        <v>868298176</v>
      </c>
      <c r="AS35">
        <v>936133760</v>
      </c>
      <c r="AT35">
        <v>420957920</v>
      </c>
      <c r="AU35">
        <v>426705216</v>
      </c>
      <c r="AV35">
        <v>549725632</v>
      </c>
      <c r="AW35">
        <v>485863552</v>
      </c>
      <c r="AX35">
        <v>141472784</v>
      </c>
      <c r="AY35">
        <v>150070752</v>
      </c>
      <c r="AZ35">
        <v>520868832</v>
      </c>
      <c r="BA35">
        <v>517507968</v>
      </c>
    </row>
    <row r="36" spans="1:53">
      <c r="A36">
        <v>16823</v>
      </c>
      <c r="B36" t="s">
        <v>204</v>
      </c>
      <c r="C36" t="s">
        <v>205</v>
      </c>
      <c r="D36" t="s">
        <v>206</v>
      </c>
      <c r="E36" t="s">
        <v>207</v>
      </c>
      <c r="F36" t="s">
        <v>208</v>
      </c>
      <c r="G36">
        <v>778.428</v>
      </c>
      <c r="H36" t="s">
        <v>58</v>
      </c>
      <c r="I36">
        <v>2</v>
      </c>
      <c r="J36">
        <v>2</v>
      </c>
      <c r="K36">
        <v>1</v>
      </c>
      <c r="L36">
        <v>37.61</v>
      </c>
      <c r="M36">
        <v>87361</v>
      </c>
      <c r="N36">
        <v>44</v>
      </c>
      <c r="O36">
        <v>25</v>
      </c>
      <c r="P36">
        <v>25</v>
      </c>
      <c r="Q36">
        <v>25</v>
      </c>
      <c r="R36">
        <v>25</v>
      </c>
      <c r="S36">
        <v>201</v>
      </c>
      <c r="T36">
        <v>201</v>
      </c>
      <c r="U36">
        <v>25</v>
      </c>
      <c r="V36">
        <v>17</v>
      </c>
      <c r="W36">
        <v>21</v>
      </c>
      <c r="X36">
        <v>23</v>
      </c>
      <c r="Y36">
        <v>24</v>
      </c>
      <c r="Z36">
        <v>25</v>
      </c>
      <c r="AA36">
        <v>24</v>
      </c>
      <c r="AB36">
        <v>25</v>
      </c>
      <c r="AC36">
        <v>25</v>
      </c>
      <c r="AD36">
        <v>21</v>
      </c>
      <c r="AE36">
        <v>16</v>
      </c>
      <c r="AF36">
        <v>23</v>
      </c>
      <c r="AG36">
        <v>26</v>
      </c>
      <c r="AH36">
        <v>34</v>
      </c>
      <c r="AI36">
        <v>32</v>
      </c>
      <c r="AJ36">
        <v>24</v>
      </c>
      <c r="AK36">
        <v>25</v>
      </c>
      <c r="AL36">
        <v>97841216</v>
      </c>
      <c r="AM36">
        <v>92632136</v>
      </c>
      <c r="AN36">
        <v>189294736</v>
      </c>
      <c r="AO36">
        <v>267710160</v>
      </c>
      <c r="AP36">
        <v>231859104</v>
      </c>
      <c r="AQ36">
        <v>262369712</v>
      </c>
      <c r="AR36">
        <v>262106256</v>
      </c>
      <c r="AS36">
        <v>283406336</v>
      </c>
      <c r="AT36">
        <v>111968344</v>
      </c>
      <c r="AU36">
        <v>107032896</v>
      </c>
      <c r="AV36">
        <v>100618184</v>
      </c>
      <c r="AW36">
        <v>98029096</v>
      </c>
      <c r="AX36">
        <v>156376800</v>
      </c>
      <c r="AY36">
        <v>163572128</v>
      </c>
      <c r="AZ36">
        <v>140308784</v>
      </c>
      <c r="BA36">
        <v>136645552</v>
      </c>
    </row>
    <row r="37" spans="1:53">
      <c r="A37">
        <v>16797</v>
      </c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>
        <v>745.08299999999997</v>
      </c>
      <c r="H37" t="s">
        <v>58</v>
      </c>
      <c r="I37">
        <v>2</v>
      </c>
      <c r="J37">
        <v>19</v>
      </c>
      <c r="K37">
        <v>2</v>
      </c>
      <c r="L37">
        <v>55.56</v>
      </c>
      <c r="M37">
        <v>40516</v>
      </c>
      <c r="N37">
        <v>25</v>
      </c>
      <c r="O37">
        <v>19</v>
      </c>
      <c r="P37">
        <v>19</v>
      </c>
      <c r="Q37">
        <v>19</v>
      </c>
      <c r="R37">
        <v>19</v>
      </c>
      <c r="S37">
        <v>384</v>
      </c>
      <c r="T37">
        <v>384</v>
      </c>
      <c r="U37">
        <v>19</v>
      </c>
      <c r="V37">
        <v>17</v>
      </c>
      <c r="W37">
        <v>18</v>
      </c>
      <c r="X37">
        <v>19</v>
      </c>
      <c r="Y37">
        <v>19</v>
      </c>
      <c r="Z37">
        <v>19</v>
      </c>
      <c r="AA37">
        <v>19</v>
      </c>
      <c r="AB37">
        <v>19</v>
      </c>
      <c r="AC37">
        <v>19</v>
      </c>
      <c r="AD37">
        <v>50</v>
      </c>
      <c r="AE37">
        <v>37</v>
      </c>
      <c r="AF37">
        <v>59</v>
      </c>
      <c r="AG37">
        <v>55</v>
      </c>
      <c r="AH37">
        <v>47</v>
      </c>
      <c r="AI37">
        <v>52</v>
      </c>
      <c r="AJ37">
        <v>42</v>
      </c>
      <c r="AK37">
        <v>42</v>
      </c>
      <c r="AL37">
        <v>190306752</v>
      </c>
      <c r="AM37">
        <v>163852192</v>
      </c>
      <c r="AN37">
        <v>857176128</v>
      </c>
      <c r="AO37">
        <v>949921024</v>
      </c>
      <c r="AP37">
        <v>433843360</v>
      </c>
      <c r="AQ37">
        <v>482306016</v>
      </c>
      <c r="AR37">
        <v>435015872</v>
      </c>
      <c r="AS37">
        <v>463481504</v>
      </c>
      <c r="AT37">
        <v>190217376</v>
      </c>
      <c r="AU37">
        <v>172384192</v>
      </c>
      <c r="AV37">
        <v>448740800</v>
      </c>
      <c r="AW37">
        <v>364812992</v>
      </c>
      <c r="AX37">
        <v>293536896</v>
      </c>
      <c r="AY37">
        <v>305062496</v>
      </c>
      <c r="AZ37">
        <v>242038320</v>
      </c>
      <c r="BA37">
        <v>236576048</v>
      </c>
    </row>
    <row r="38" spans="1:53">
      <c r="A38">
        <v>16668</v>
      </c>
      <c r="B38" t="s">
        <v>214</v>
      </c>
      <c r="C38" t="s">
        <v>215</v>
      </c>
      <c r="D38" t="s">
        <v>216</v>
      </c>
      <c r="E38" t="s">
        <v>217</v>
      </c>
      <c r="F38" t="s">
        <v>218</v>
      </c>
      <c r="G38">
        <v>739.2</v>
      </c>
      <c r="H38" t="s">
        <v>58</v>
      </c>
      <c r="I38">
        <v>2</v>
      </c>
      <c r="J38">
        <v>13</v>
      </c>
      <c r="K38">
        <v>2</v>
      </c>
      <c r="L38">
        <v>51.78</v>
      </c>
      <c r="M38">
        <v>41220</v>
      </c>
      <c r="N38">
        <v>21</v>
      </c>
      <c r="O38">
        <v>19</v>
      </c>
      <c r="P38">
        <v>19</v>
      </c>
      <c r="Q38">
        <v>19</v>
      </c>
      <c r="R38">
        <v>19</v>
      </c>
      <c r="S38">
        <v>206</v>
      </c>
      <c r="T38">
        <v>206</v>
      </c>
      <c r="U38">
        <v>19</v>
      </c>
      <c r="V38">
        <v>15</v>
      </c>
      <c r="W38">
        <v>15</v>
      </c>
      <c r="X38">
        <v>19</v>
      </c>
      <c r="Y38">
        <v>19</v>
      </c>
      <c r="Z38">
        <v>19</v>
      </c>
      <c r="AA38">
        <v>19</v>
      </c>
      <c r="AB38">
        <v>19</v>
      </c>
      <c r="AC38">
        <v>19</v>
      </c>
      <c r="AD38">
        <v>17</v>
      </c>
      <c r="AE38">
        <v>14</v>
      </c>
      <c r="AF38">
        <v>39</v>
      </c>
      <c r="AG38">
        <v>39</v>
      </c>
      <c r="AH38">
        <v>24</v>
      </c>
      <c r="AI38">
        <v>28</v>
      </c>
      <c r="AJ38">
        <v>22</v>
      </c>
      <c r="AK38">
        <v>23</v>
      </c>
      <c r="AL38">
        <v>148694592</v>
      </c>
      <c r="AM38">
        <v>138331168</v>
      </c>
      <c r="AN38">
        <v>655185472</v>
      </c>
      <c r="AO38">
        <v>702209472</v>
      </c>
      <c r="AP38">
        <v>325740064</v>
      </c>
      <c r="AQ38">
        <v>367741408</v>
      </c>
      <c r="AR38">
        <v>299380448</v>
      </c>
      <c r="AS38">
        <v>302445056</v>
      </c>
      <c r="AT38">
        <v>145689600</v>
      </c>
      <c r="AU38">
        <v>122465224</v>
      </c>
      <c r="AV38">
        <v>299210368</v>
      </c>
      <c r="AW38">
        <v>246892144</v>
      </c>
      <c r="AX38">
        <v>221551328</v>
      </c>
      <c r="AY38">
        <v>225319408</v>
      </c>
      <c r="AZ38">
        <v>174883328</v>
      </c>
      <c r="BA38">
        <v>169167856</v>
      </c>
    </row>
    <row r="39" spans="1:53">
      <c r="A39">
        <v>16719</v>
      </c>
      <c r="B39" t="s">
        <v>219</v>
      </c>
      <c r="C39" t="s">
        <v>220</v>
      </c>
      <c r="D39" t="s">
        <v>221</v>
      </c>
      <c r="E39" t="s">
        <v>222</v>
      </c>
      <c r="F39" t="s">
        <v>223</v>
      </c>
      <c r="G39">
        <v>736.49099999999999</v>
      </c>
      <c r="H39" t="s">
        <v>58</v>
      </c>
      <c r="I39">
        <v>2</v>
      </c>
      <c r="J39">
        <v>12</v>
      </c>
      <c r="K39">
        <v>8</v>
      </c>
      <c r="L39">
        <v>43.63</v>
      </c>
      <c r="M39">
        <v>47526</v>
      </c>
      <c r="N39">
        <v>18</v>
      </c>
      <c r="O39">
        <v>14</v>
      </c>
      <c r="P39">
        <v>14</v>
      </c>
      <c r="Q39">
        <v>14</v>
      </c>
      <c r="R39">
        <v>14</v>
      </c>
      <c r="S39">
        <v>127</v>
      </c>
      <c r="T39">
        <v>127</v>
      </c>
      <c r="U39">
        <v>14</v>
      </c>
      <c r="V39">
        <v>8</v>
      </c>
      <c r="W39">
        <v>10</v>
      </c>
      <c r="X39">
        <v>11</v>
      </c>
      <c r="Y39">
        <v>13</v>
      </c>
      <c r="Z39">
        <v>12</v>
      </c>
      <c r="AA39">
        <v>13</v>
      </c>
      <c r="AB39">
        <v>12</v>
      </c>
      <c r="AC39">
        <v>13</v>
      </c>
      <c r="AD39">
        <v>5</v>
      </c>
      <c r="AE39">
        <v>11</v>
      </c>
      <c r="AF39">
        <v>12</v>
      </c>
      <c r="AG39">
        <v>17</v>
      </c>
      <c r="AH39">
        <v>21</v>
      </c>
      <c r="AI39">
        <v>25</v>
      </c>
      <c r="AJ39">
        <v>19</v>
      </c>
      <c r="AK39">
        <v>17</v>
      </c>
      <c r="AL39">
        <v>38033520</v>
      </c>
      <c r="AM39">
        <v>46154576</v>
      </c>
      <c r="AN39">
        <v>61492700</v>
      </c>
      <c r="AO39">
        <v>97263528</v>
      </c>
      <c r="AP39">
        <v>76370936</v>
      </c>
      <c r="AQ39">
        <v>96568496</v>
      </c>
      <c r="AR39">
        <v>90893000</v>
      </c>
      <c r="AS39">
        <v>104705560</v>
      </c>
      <c r="AT39">
        <v>22540424</v>
      </c>
      <c r="AU39">
        <v>41271940</v>
      </c>
      <c r="AV39">
        <v>40950716</v>
      </c>
      <c r="AW39">
        <v>49067524</v>
      </c>
      <c r="AX39">
        <v>68442144</v>
      </c>
      <c r="AY39">
        <v>79106120</v>
      </c>
      <c r="AZ39">
        <v>76352280</v>
      </c>
      <c r="BA39">
        <v>81159640</v>
      </c>
    </row>
    <row r="40" spans="1:53">
      <c r="A40">
        <v>16698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>
        <v>720.82</v>
      </c>
      <c r="H40" t="s">
        <v>58</v>
      </c>
      <c r="I40">
        <v>2</v>
      </c>
      <c r="J40">
        <v>12</v>
      </c>
      <c r="K40">
        <v>9</v>
      </c>
      <c r="L40">
        <v>32.520000000000003</v>
      </c>
      <c r="M40">
        <v>104279</v>
      </c>
      <c r="N40">
        <v>58</v>
      </c>
      <c r="O40">
        <v>25</v>
      </c>
      <c r="P40">
        <v>25</v>
      </c>
      <c r="Q40">
        <v>25</v>
      </c>
      <c r="R40">
        <v>25</v>
      </c>
      <c r="S40">
        <v>173</v>
      </c>
      <c r="T40">
        <v>173</v>
      </c>
      <c r="U40">
        <v>24</v>
      </c>
      <c r="V40">
        <v>20</v>
      </c>
      <c r="W40">
        <v>18</v>
      </c>
      <c r="X40">
        <v>22</v>
      </c>
      <c r="Y40">
        <v>22</v>
      </c>
      <c r="Z40">
        <v>24</v>
      </c>
      <c r="AA40">
        <v>24</v>
      </c>
      <c r="AB40">
        <v>24</v>
      </c>
      <c r="AC40">
        <v>24</v>
      </c>
      <c r="AD40">
        <v>21</v>
      </c>
      <c r="AE40">
        <v>15</v>
      </c>
      <c r="AF40">
        <v>12</v>
      </c>
      <c r="AG40">
        <v>14</v>
      </c>
      <c r="AH40">
        <v>29</v>
      </c>
      <c r="AI40">
        <v>35</v>
      </c>
      <c r="AJ40">
        <v>21</v>
      </c>
      <c r="AK40">
        <v>25</v>
      </c>
      <c r="AL40">
        <v>65374448</v>
      </c>
      <c r="AM40">
        <v>61350344</v>
      </c>
      <c r="AN40">
        <v>91100016</v>
      </c>
      <c r="AO40">
        <v>115957816</v>
      </c>
      <c r="AP40">
        <v>112903968</v>
      </c>
      <c r="AQ40">
        <v>152571248</v>
      </c>
      <c r="AR40">
        <v>110143440</v>
      </c>
      <c r="AS40">
        <v>142765104</v>
      </c>
      <c r="AT40">
        <v>64713792</v>
      </c>
      <c r="AU40">
        <v>66100204</v>
      </c>
      <c r="AV40">
        <v>46021460</v>
      </c>
      <c r="AW40">
        <v>42693428</v>
      </c>
      <c r="AX40">
        <v>75235160</v>
      </c>
      <c r="AY40">
        <v>92659560</v>
      </c>
      <c r="AZ40">
        <v>65655864</v>
      </c>
      <c r="BA40">
        <v>76897896</v>
      </c>
    </row>
    <row r="41" spans="1:53">
      <c r="A41">
        <v>16756</v>
      </c>
      <c r="B41" t="s">
        <v>229</v>
      </c>
      <c r="C41" t="s">
        <v>230</v>
      </c>
      <c r="D41" t="s">
        <v>231</v>
      </c>
      <c r="F41" t="s">
        <v>232</v>
      </c>
      <c r="G41">
        <v>713.99800000000005</v>
      </c>
      <c r="H41" t="s">
        <v>58</v>
      </c>
      <c r="I41">
        <v>2</v>
      </c>
      <c r="J41">
        <v>21</v>
      </c>
      <c r="K41">
        <v>0</v>
      </c>
      <c r="L41">
        <v>54.42</v>
      </c>
      <c r="M41">
        <v>48413</v>
      </c>
      <c r="N41">
        <v>28</v>
      </c>
      <c r="O41">
        <v>22</v>
      </c>
      <c r="P41">
        <v>22</v>
      </c>
      <c r="Q41">
        <v>22</v>
      </c>
      <c r="R41">
        <v>22</v>
      </c>
      <c r="S41">
        <v>315</v>
      </c>
      <c r="T41">
        <v>315</v>
      </c>
      <c r="U41">
        <v>22</v>
      </c>
      <c r="V41">
        <v>16</v>
      </c>
      <c r="W41">
        <v>19</v>
      </c>
      <c r="X41">
        <v>19</v>
      </c>
      <c r="Y41">
        <v>21</v>
      </c>
      <c r="Z41">
        <v>22</v>
      </c>
      <c r="AA41">
        <v>22</v>
      </c>
      <c r="AB41">
        <v>22</v>
      </c>
      <c r="AC41">
        <v>22</v>
      </c>
      <c r="AD41">
        <v>31</v>
      </c>
      <c r="AE41">
        <v>24</v>
      </c>
      <c r="AF41">
        <v>33</v>
      </c>
      <c r="AG41">
        <v>38</v>
      </c>
      <c r="AH41">
        <v>53</v>
      </c>
      <c r="AI41">
        <v>60</v>
      </c>
      <c r="AJ41">
        <v>35</v>
      </c>
      <c r="AK41">
        <v>41</v>
      </c>
      <c r="AL41">
        <v>232997456</v>
      </c>
      <c r="AM41">
        <v>243817680</v>
      </c>
      <c r="AN41">
        <v>426837280</v>
      </c>
      <c r="AO41">
        <v>542140864</v>
      </c>
      <c r="AP41">
        <v>515652000</v>
      </c>
      <c r="AQ41">
        <v>613203008</v>
      </c>
      <c r="AR41">
        <v>501194208</v>
      </c>
      <c r="AS41">
        <v>542066880</v>
      </c>
      <c r="AT41">
        <v>241727728</v>
      </c>
      <c r="AU41">
        <v>241443376</v>
      </c>
      <c r="AV41">
        <v>209115168</v>
      </c>
      <c r="AW41">
        <v>203048496</v>
      </c>
      <c r="AX41">
        <v>319924256</v>
      </c>
      <c r="AY41">
        <v>362103008</v>
      </c>
      <c r="AZ41">
        <v>277608256</v>
      </c>
      <c r="BA41">
        <v>273027296</v>
      </c>
    </row>
    <row r="42" spans="1:53">
      <c r="A42">
        <v>16741</v>
      </c>
      <c r="B42" t="s">
        <v>233</v>
      </c>
      <c r="C42" t="s">
        <v>234</v>
      </c>
      <c r="D42" t="s">
        <v>235</v>
      </c>
      <c r="F42" t="s">
        <v>236</v>
      </c>
      <c r="G42">
        <v>694.01199999999994</v>
      </c>
      <c r="H42" t="s">
        <v>58</v>
      </c>
      <c r="I42">
        <v>2</v>
      </c>
      <c r="J42">
        <v>3</v>
      </c>
      <c r="K42">
        <v>0</v>
      </c>
      <c r="L42">
        <v>55.25</v>
      </c>
      <c r="M42">
        <v>57630</v>
      </c>
      <c r="N42">
        <v>32</v>
      </c>
      <c r="O42">
        <v>23</v>
      </c>
      <c r="P42">
        <v>17</v>
      </c>
      <c r="Q42">
        <v>23</v>
      </c>
      <c r="R42">
        <v>17</v>
      </c>
      <c r="S42">
        <v>219</v>
      </c>
      <c r="T42">
        <v>185</v>
      </c>
      <c r="U42">
        <v>17</v>
      </c>
      <c r="V42">
        <v>13</v>
      </c>
      <c r="W42">
        <v>15</v>
      </c>
      <c r="X42">
        <v>14</v>
      </c>
      <c r="Y42">
        <v>16</v>
      </c>
      <c r="Z42">
        <v>16</v>
      </c>
      <c r="AA42">
        <v>16</v>
      </c>
      <c r="AB42">
        <v>16</v>
      </c>
      <c r="AC42">
        <v>16</v>
      </c>
      <c r="AD42">
        <v>18</v>
      </c>
      <c r="AE42">
        <v>20</v>
      </c>
      <c r="AF42">
        <v>19</v>
      </c>
      <c r="AG42">
        <v>21</v>
      </c>
      <c r="AH42">
        <v>28</v>
      </c>
      <c r="AI42">
        <v>29</v>
      </c>
      <c r="AJ42">
        <v>25</v>
      </c>
      <c r="AK42">
        <v>25</v>
      </c>
      <c r="AL42">
        <v>113751888</v>
      </c>
      <c r="AM42">
        <v>111027024</v>
      </c>
      <c r="AN42">
        <v>162775696</v>
      </c>
      <c r="AO42">
        <v>262913488</v>
      </c>
      <c r="AP42">
        <v>208736736</v>
      </c>
      <c r="AQ42">
        <v>257197808</v>
      </c>
      <c r="AR42">
        <v>220937696</v>
      </c>
      <c r="AS42">
        <v>260999088</v>
      </c>
      <c r="AT42">
        <v>79528872</v>
      </c>
      <c r="AU42">
        <v>81235184</v>
      </c>
      <c r="AV42">
        <v>62085916</v>
      </c>
      <c r="AW42">
        <v>65781392</v>
      </c>
      <c r="AX42">
        <v>95008704</v>
      </c>
      <c r="AY42">
        <v>107158272</v>
      </c>
      <c r="AZ42">
        <v>85891832</v>
      </c>
      <c r="BA42">
        <v>93996960</v>
      </c>
    </row>
    <row r="43" spans="1:53">
      <c r="A43">
        <v>16680</v>
      </c>
      <c r="B43" t="s">
        <v>237</v>
      </c>
      <c r="C43" t="s">
        <v>238</v>
      </c>
      <c r="D43" t="s">
        <v>239</v>
      </c>
      <c r="F43" t="s">
        <v>240</v>
      </c>
      <c r="G43">
        <v>676.43100000000004</v>
      </c>
      <c r="H43" t="s">
        <v>58</v>
      </c>
      <c r="I43">
        <v>2</v>
      </c>
      <c r="J43">
        <v>21</v>
      </c>
      <c r="K43">
        <v>0</v>
      </c>
      <c r="L43">
        <v>63.84</v>
      </c>
      <c r="M43">
        <v>18903</v>
      </c>
      <c r="N43">
        <v>10</v>
      </c>
      <c r="O43">
        <v>13</v>
      </c>
      <c r="P43">
        <v>13</v>
      </c>
      <c r="Q43">
        <v>14</v>
      </c>
      <c r="R43">
        <v>14</v>
      </c>
      <c r="S43">
        <v>1708</v>
      </c>
      <c r="T43">
        <v>1708</v>
      </c>
      <c r="U43">
        <v>14</v>
      </c>
      <c r="V43">
        <v>12</v>
      </c>
      <c r="W43">
        <v>13</v>
      </c>
      <c r="X43">
        <v>13</v>
      </c>
      <c r="Y43">
        <v>13</v>
      </c>
      <c r="Z43">
        <v>13</v>
      </c>
      <c r="AA43">
        <v>13</v>
      </c>
      <c r="AB43">
        <v>13</v>
      </c>
      <c r="AC43">
        <v>13</v>
      </c>
      <c r="AD43">
        <v>220</v>
      </c>
      <c r="AE43">
        <v>255</v>
      </c>
      <c r="AF43">
        <v>194</v>
      </c>
      <c r="AG43">
        <v>162</v>
      </c>
      <c r="AH43">
        <v>212</v>
      </c>
      <c r="AI43">
        <v>208</v>
      </c>
      <c r="AJ43">
        <v>234</v>
      </c>
      <c r="AK43">
        <v>223</v>
      </c>
      <c r="AL43">
        <v>2220992000</v>
      </c>
      <c r="AM43">
        <v>2355230464</v>
      </c>
      <c r="AN43">
        <v>2086898048</v>
      </c>
      <c r="AO43">
        <v>2676498688</v>
      </c>
      <c r="AP43">
        <v>1752514688</v>
      </c>
      <c r="AQ43">
        <v>1912764288</v>
      </c>
      <c r="AR43">
        <v>1924401408</v>
      </c>
      <c r="AS43">
        <v>1675879936</v>
      </c>
      <c r="AT43">
        <v>2046972544</v>
      </c>
      <c r="AU43">
        <v>2208443904</v>
      </c>
      <c r="AV43">
        <v>1031051712</v>
      </c>
      <c r="AW43">
        <v>1124198528</v>
      </c>
      <c r="AX43">
        <v>1233377408</v>
      </c>
      <c r="AY43">
        <v>1246224384</v>
      </c>
      <c r="AZ43">
        <v>1177793536</v>
      </c>
      <c r="BA43">
        <v>1015671296</v>
      </c>
    </row>
    <row r="44" spans="1:53">
      <c r="A44">
        <v>16728</v>
      </c>
      <c r="B44" t="s">
        <v>241</v>
      </c>
      <c r="C44" t="s">
        <v>242</v>
      </c>
      <c r="D44" t="s">
        <v>243</v>
      </c>
      <c r="F44" t="s">
        <v>244</v>
      </c>
      <c r="G44">
        <v>671.81299999999999</v>
      </c>
      <c r="H44" t="s">
        <v>58</v>
      </c>
      <c r="I44">
        <v>2</v>
      </c>
      <c r="J44">
        <v>21</v>
      </c>
      <c r="K44">
        <v>0</v>
      </c>
      <c r="L44">
        <v>77.27</v>
      </c>
      <c r="M44">
        <v>12226</v>
      </c>
      <c r="N44">
        <v>7</v>
      </c>
      <c r="O44">
        <v>16</v>
      </c>
      <c r="P44">
        <v>16</v>
      </c>
      <c r="Q44">
        <v>17</v>
      </c>
      <c r="R44">
        <v>17</v>
      </c>
      <c r="S44">
        <v>565</v>
      </c>
      <c r="T44">
        <v>565</v>
      </c>
      <c r="U44">
        <v>17</v>
      </c>
      <c r="V44">
        <v>13</v>
      </c>
      <c r="W44">
        <v>14</v>
      </c>
      <c r="X44">
        <v>12</v>
      </c>
      <c r="Y44">
        <v>17</v>
      </c>
      <c r="Z44">
        <v>16</v>
      </c>
      <c r="AA44">
        <v>15</v>
      </c>
      <c r="AB44">
        <v>17</v>
      </c>
      <c r="AC44">
        <v>16</v>
      </c>
      <c r="AD44">
        <v>90</v>
      </c>
      <c r="AE44">
        <v>112</v>
      </c>
      <c r="AF44">
        <v>40</v>
      </c>
      <c r="AG44">
        <v>81</v>
      </c>
      <c r="AH44">
        <v>62</v>
      </c>
      <c r="AI44">
        <v>58</v>
      </c>
      <c r="AJ44">
        <v>64</v>
      </c>
      <c r="AK44">
        <v>58</v>
      </c>
      <c r="AL44">
        <v>578875904</v>
      </c>
      <c r="AM44">
        <v>663820608</v>
      </c>
      <c r="AN44">
        <v>412764640</v>
      </c>
      <c r="AO44">
        <v>765846080</v>
      </c>
      <c r="AP44">
        <v>492290496</v>
      </c>
      <c r="AQ44">
        <v>611754496</v>
      </c>
      <c r="AR44">
        <v>517076736</v>
      </c>
      <c r="AS44">
        <v>419047712</v>
      </c>
      <c r="AT44">
        <v>547265088</v>
      </c>
      <c r="AU44">
        <v>713675072</v>
      </c>
      <c r="AV44">
        <v>215819296</v>
      </c>
      <c r="AW44">
        <v>364837856</v>
      </c>
      <c r="AX44">
        <v>398513120</v>
      </c>
      <c r="AY44">
        <v>443743136</v>
      </c>
      <c r="AZ44">
        <v>396651616</v>
      </c>
      <c r="BA44">
        <v>311046912</v>
      </c>
    </row>
    <row r="45" spans="1:53">
      <c r="A45">
        <v>16682</v>
      </c>
      <c r="B45" t="s">
        <v>245</v>
      </c>
      <c r="C45" t="s">
        <v>246</v>
      </c>
      <c r="D45" t="s">
        <v>247</v>
      </c>
      <c r="E45" t="s">
        <v>248</v>
      </c>
      <c r="F45" t="s">
        <v>249</v>
      </c>
      <c r="G45">
        <v>640.25599999999997</v>
      </c>
      <c r="H45" t="s">
        <v>58</v>
      </c>
      <c r="I45">
        <v>2</v>
      </c>
      <c r="J45">
        <v>18</v>
      </c>
      <c r="K45">
        <v>2</v>
      </c>
      <c r="L45">
        <v>86.26</v>
      </c>
      <c r="M45">
        <v>15186</v>
      </c>
      <c r="N45">
        <v>8</v>
      </c>
      <c r="O45">
        <v>12</v>
      </c>
      <c r="P45">
        <v>12</v>
      </c>
      <c r="Q45">
        <v>13</v>
      </c>
      <c r="R45">
        <v>13</v>
      </c>
      <c r="S45">
        <v>2437</v>
      </c>
      <c r="T45">
        <v>2437</v>
      </c>
      <c r="U45">
        <v>13</v>
      </c>
      <c r="V45">
        <v>10</v>
      </c>
      <c r="W45">
        <v>12</v>
      </c>
      <c r="X45">
        <v>12</v>
      </c>
      <c r="Y45">
        <v>13</v>
      </c>
      <c r="Z45">
        <v>13</v>
      </c>
      <c r="AA45">
        <v>12</v>
      </c>
      <c r="AB45">
        <v>13</v>
      </c>
      <c r="AC45">
        <v>13</v>
      </c>
      <c r="AD45">
        <v>224</v>
      </c>
      <c r="AE45">
        <v>345</v>
      </c>
      <c r="AF45">
        <v>343</v>
      </c>
      <c r="AG45">
        <v>310</v>
      </c>
      <c r="AH45">
        <v>327</v>
      </c>
      <c r="AI45">
        <v>290</v>
      </c>
      <c r="AJ45">
        <v>300</v>
      </c>
      <c r="AK45">
        <v>298</v>
      </c>
      <c r="AL45">
        <v>2879703296</v>
      </c>
      <c r="AM45">
        <v>3230817792</v>
      </c>
      <c r="AN45">
        <v>2796195072</v>
      </c>
      <c r="AO45">
        <v>3914401024</v>
      </c>
      <c r="AP45">
        <v>1847874944</v>
      </c>
      <c r="AQ45">
        <v>1890168704</v>
      </c>
      <c r="AR45">
        <v>1789926656</v>
      </c>
      <c r="AS45">
        <v>2363291136</v>
      </c>
      <c r="AT45">
        <v>1941515776</v>
      </c>
      <c r="AU45">
        <v>2495504384</v>
      </c>
      <c r="AV45">
        <v>1684292224</v>
      </c>
      <c r="AW45">
        <v>1755932416</v>
      </c>
      <c r="AX45">
        <v>1397395840</v>
      </c>
      <c r="AY45">
        <v>1246131840</v>
      </c>
      <c r="AZ45">
        <v>1201313664</v>
      </c>
      <c r="BA45">
        <v>1383296000</v>
      </c>
    </row>
    <row r="46" spans="1:53">
      <c r="A46">
        <v>16769</v>
      </c>
      <c r="B46" t="s">
        <v>250</v>
      </c>
      <c r="C46" t="s">
        <v>251</v>
      </c>
      <c r="D46" t="s">
        <v>252</v>
      </c>
      <c r="F46" t="s">
        <v>253</v>
      </c>
      <c r="G46">
        <v>616.65899999999999</v>
      </c>
      <c r="H46" t="s">
        <v>58</v>
      </c>
      <c r="I46">
        <v>2</v>
      </c>
      <c r="J46">
        <v>21</v>
      </c>
      <c r="K46">
        <v>0</v>
      </c>
      <c r="L46">
        <v>65.44</v>
      </c>
      <c r="M46">
        <v>15281</v>
      </c>
      <c r="N46">
        <v>5</v>
      </c>
      <c r="O46">
        <v>12</v>
      </c>
      <c r="P46">
        <v>12</v>
      </c>
      <c r="Q46">
        <v>13</v>
      </c>
      <c r="R46">
        <v>13</v>
      </c>
      <c r="S46">
        <v>586</v>
      </c>
      <c r="T46">
        <v>586</v>
      </c>
      <c r="U46">
        <v>13</v>
      </c>
      <c r="V46">
        <v>11</v>
      </c>
      <c r="W46">
        <v>11</v>
      </c>
      <c r="X46">
        <v>11</v>
      </c>
      <c r="Y46">
        <v>12</v>
      </c>
      <c r="Z46">
        <v>13</v>
      </c>
      <c r="AA46">
        <v>13</v>
      </c>
      <c r="AB46">
        <v>12</v>
      </c>
      <c r="AC46">
        <v>13</v>
      </c>
      <c r="AD46">
        <v>91</v>
      </c>
      <c r="AE46">
        <v>76</v>
      </c>
      <c r="AF46">
        <v>75</v>
      </c>
      <c r="AG46">
        <v>51</v>
      </c>
      <c r="AH46">
        <v>60</v>
      </c>
      <c r="AI46">
        <v>88</v>
      </c>
      <c r="AJ46">
        <v>89</v>
      </c>
      <c r="AK46">
        <v>56</v>
      </c>
      <c r="AL46">
        <v>532452064</v>
      </c>
      <c r="AM46">
        <v>503383360</v>
      </c>
      <c r="AN46">
        <v>666870912</v>
      </c>
      <c r="AO46">
        <v>840252416</v>
      </c>
      <c r="AP46">
        <v>520306784</v>
      </c>
      <c r="AQ46">
        <v>616944320</v>
      </c>
      <c r="AR46">
        <v>552430144</v>
      </c>
      <c r="AS46">
        <v>453648928</v>
      </c>
      <c r="AT46">
        <v>616155648</v>
      </c>
      <c r="AU46">
        <v>591081920</v>
      </c>
      <c r="AV46">
        <v>297722464</v>
      </c>
      <c r="AW46">
        <v>344445120</v>
      </c>
      <c r="AX46">
        <v>405956800</v>
      </c>
      <c r="AY46">
        <v>401813632</v>
      </c>
      <c r="AZ46">
        <v>367176960</v>
      </c>
      <c r="BA46">
        <v>292947328</v>
      </c>
    </row>
    <row r="47" spans="1:53">
      <c r="A47">
        <v>16793</v>
      </c>
      <c r="B47" t="s">
        <v>254</v>
      </c>
      <c r="C47" t="s">
        <v>255</v>
      </c>
      <c r="D47" t="s">
        <v>256</v>
      </c>
      <c r="F47" t="s">
        <v>257</v>
      </c>
      <c r="G47">
        <v>614.68499999999995</v>
      </c>
      <c r="H47" t="s">
        <v>58</v>
      </c>
      <c r="I47">
        <v>2</v>
      </c>
      <c r="J47">
        <v>6</v>
      </c>
      <c r="K47">
        <v>0</v>
      </c>
      <c r="L47">
        <v>47.78</v>
      </c>
      <c r="M47">
        <v>20563</v>
      </c>
      <c r="N47">
        <v>9</v>
      </c>
      <c r="O47">
        <v>11</v>
      </c>
      <c r="P47">
        <v>11</v>
      </c>
      <c r="Q47">
        <v>13</v>
      </c>
      <c r="R47">
        <v>13</v>
      </c>
      <c r="S47">
        <v>1949</v>
      </c>
      <c r="T47">
        <v>1949</v>
      </c>
      <c r="U47">
        <v>13</v>
      </c>
      <c r="V47">
        <v>13</v>
      </c>
      <c r="W47">
        <v>13</v>
      </c>
      <c r="X47">
        <v>13</v>
      </c>
      <c r="Y47">
        <v>13</v>
      </c>
      <c r="Z47">
        <v>12</v>
      </c>
      <c r="AA47">
        <v>12</v>
      </c>
      <c r="AB47">
        <v>12</v>
      </c>
      <c r="AC47">
        <v>13</v>
      </c>
      <c r="AD47">
        <v>348</v>
      </c>
      <c r="AE47">
        <v>384</v>
      </c>
      <c r="AF47">
        <v>253</v>
      </c>
      <c r="AG47">
        <v>187</v>
      </c>
      <c r="AH47">
        <v>204</v>
      </c>
      <c r="AI47">
        <v>199</v>
      </c>
      <c r="AJ47">
        <v>180</v>
      </c>
      <c r="AK47">
        <v>194</v>
      </c>
      <c r="AL47">
        <v>1814387072</v>
      </c>
      <c r="AM47">
        <v>1894461440</v>
      </c>
      <c r="AN47">
        <v>2306882560</v>
      </c>
      <c r="AO47">
        <v>2901306112</v>
      </c>
      <c r="AP47">
        <v>1402503936</v>
      </c>
      <c r="AQ47">
        <v>1401871360</v>
      </c>
      <c r="AR47">
        <v>1575069824</v>
      </c>
      <c r="AS47">
        <v>1574669696</v>
      </c>
      <c r="AT47">
        <v>1694979456</v>
      </c>
      <c r="AU47">
        <v>1862348928</v>
      </c>
      <c r="AV47">
        <v>1290530048</v>
      </c>
      <c r="AW47">
        <v>1199659136</v>
      </c>
      <c r="AX47">
        <v>922120320</v>
      </c>
      <c r="AY47">
        <v>901670016</v>
      </c>
      <c r="AZ47">
        <v>993074752</v>
      </c>
      <c r="BA47">
        <v>902855744</v>
      </c>
    </row>
    <row r="48" spans="1:53">
      <c r="A48">
        <v>16809</v>
      </c>
      <c r="B48" t="s">
        <v>258</v>
      </c>
      <c r="D48" t="s">
        <v>259</v>
      </c>
      <c r="F48" t="s">
        <v>260</v>
      </c>
      <c r="G48">
        <v>585.50099999999998</v>
      </c>
      <c r="H48" t="s">
        <v>58</v>
      </c>
      <c r="I48">
        <v>2</v>
      </c>
      <c r="J48">
        <v>4</v>
      </c>
      <c r="K48">
        <v>0</v>
      </c>
      <c r="L48">
        <v>20.16</v>
      </c>
      <c r="M48">
        <v>84600</v>
      </c>
      <c r="N48">
        <v>34</v>
      </c>
      <c r="O48">
        <v>13</v>
      </c>
      <c r="P48">
        <v>13</v>
      </c>
      <c r="Q48">
        <v>15</v>
      </c>
      <c r="R48">
        <v>15</v>
      </c>
      <c r="S48">
        <v>207</v>
      </c>
      <c r="T48">
        <v>207</v>
      </c>
      <c r="U48">
        <v>15</v>
      </c>
      <c r="V48">
        <v>10</v>
      </c>
      <c r="W48">
        <v>10</v>
      </c>
      <c r="X48">
        <v>13</v>
      </c>
      <c r="Y48">
        <v>15</v>
      </c>
      <c r="Z48">
        <v>7</v>
      </c>
      <c r="AA48">
        <v>9</v>
      </c>
      <c r="AB48">
        <v>13</v>
      </c>
      <c r="AC48">
        <v>13</v>
      </c>
      <c r="AD48">
        <v>44</v>
      </c>
      <c r="AE48">
        <v>44</v>
      </c>
      <c r="AF48">
        <v>45</v>
      </c>
      <c r="AG48">
        <v>42</v>
      </c>
      <c r="AH48">
        <v>3</v>
      </c>
      <c r="AI48">
        <v>4</v>
      </c>
      <c r="AJ48">
        <v>13</v>
      </c>
      <c r="AK48">
        <v>12</v>
      </c>
      <c r="AL48">
        <v>277297280</v>
      </c>
      <c r="AM48">
        <v>315308192</v>
      </c>
      <c r="AN48">
        <v>331450752</v>
      </c>
      <c r="AO48">
        <v>344165440</v>
      </c>
      <c r="AP48">
        <v>25383056</v>
      </c>
      <c r="AQ48">
        <v>32562996</v>
      </c>
      <c r="AR48">
        <v>85895376</v>
      </c>
      <c r="AS48">
        <v>81992168</v>
      </c>
      <c r="AT48">
        <v>215185360</v>
      </c>
      <c r="AU48">
        <v>276508224</v>
      </c>
      <c r="AV48">
        <v>207125008</v>
      </c>
      <c r="AW48">
        <v>167305872</v>
      </c>
      <c r="AX48">
        <v>8091876.5</v>
      </c>
      <c r="AY48">
        <v>16174679</v>
      </c>
      <c r="AZ48">
        <v>57765840</v>
      </c>
      <c r="BA48">
        <v>49816444</v>
      </c>
    </row>
    <row r="49" spans="1:53">
      <c r="A49">
        <v>16718</v>
      </c>
      <c r="B49" t="s">
        <v>261</v>
      </c>
      <c r="C49" t="s">
        <v>262</v>
      </c>
      <c r="D49" t="s">
        <v>263</v>
      </c>
      <c r="E49" t="s">
        <v>264</v>
      </c>
      <c r="F49" t="s">
        <v>265</v>
      </c>
      <c r="G49">
        <v>580.154</v>
      </c>
      <c r="H49" t="s">
        <v>58</v>
      </c>
      <c r="I49">
        <v>2</v>
      </c>
      <c r="J49">
        <v>19</v>
      </c>
      <c r="K49">
        <v>1</v>
      </c>
      <c r="L49">
        <v>48.84</v>
      </c>
      <c r="M49">
        <v>34715</v>
      </c>
      <c r="N49">
        <v>14</v>
      </c>
      <c r="O49">
        <v>12</v>
      </c>
      <c r="P49">
        <v>12</v>
      </c>
      <c r="Q49">
        <v>13</v>
      </c>
      <c r="R49">
        <v>13</v>
      </c>
      <c r="S49">
        <v>145</v>
      </c>
      <c r="T49">
        <v>145</v>
      </c>
      <c r="U49">
        <v>12</v>
      </c>
      <c r="V49">
        <v>9</v>
      </c>
      <c r="W49">
        <v>11</v>
      </c>
      <c r="X49">
        <v>12</v>
      </c>
      <c r="Y49">
        <v>12</v>
      </c>
      <c r="Z49">
        <v>12</v>
      </c>
      <c r="AA49">
        <v>12</v>
      </c>
      <c r="AB49">
        <v>12</v>
      </c>
      <c r="AC49">
        <v>12</v>
      </c>
      <c r="AD49">
        <v>14</v>
      </c>
      <c r="AE49">
        <v>11</v>
      </c>
      <c r="AF49">
        <v>15</v>
      </c>
      <c r="AG49">
        <v>14</v>
      </c>
      <c r="AH49">
        <v>26</v>
      </c>
      <c r="AI49">
        <v>26</v>
      </c>
      <c r="AJ49">
        <v>17</v>
      </c>
      <c r="AK49">
        <v>21</v>
      </c>
      <c r="AL49">
        <v>75006504</v>
      </c>
      <c r="AM49">
        <v>76353288</v>
      </c>
      <c r="AN49">
        <v>183467552</v>
      </c>
      <c r="AO49">
        <v>251025712</v>
      </c>
      <c r="AP49">
        <v>190949840</v>
      </c>
      <c r="AQ49">
        <v>225533056</v>
      </c>
      <c r="AR49">
        <v>208251712</v>
      </c>
      <c r="AS49">
        <v>235142592</v>
      </c>
      <c r="AT49">
        <v>101461352</v>
      </c>
      <c r="AU49">
        <v>109209912</v>
      </c>
      <c r="AV49">
        <v>87737376</v>
      </c>
      <c r="AW49">
        <v>81987528</v>
      </c>
      <c r="AX49">
        <v>134257952</v>
      </c>
      <c r="AY49">
        <v>148643280</v>
      </c>
      <c r="AZ49">
        <v>125278000</v>
      </c>
      <c r="BA49">
        <v>117637640</v>
      </c>
    </row>
    <row r="50" spans="1:53">
      <c r="A50">
        <v>16747</v>
      </c>
      <c r="B50" t="s">
        <v>266</v>
      </c>
      <c r="C50" t="s">
        <v>267</v>
      </c>
      <c r="D50" t="s">
        <v>268</v>
      </c>
      <c r="F50" t="s">
        <v>269</v>
      </c>
      <c r="G50">
        <v>579.65800000000002</v>
      </c>
      <c r="H50" t="s">
        <v>58</v>
      </c>
      <c r="I50">
        <v>2</v>
      </c>
      <c r="J50">
        <v>21</v>
      </c>
      <c r="K50">
        <v>0</v>
      </c>
      <c r="L50">
        <v>83.64</v>
      </c>
      <c r="M50">
        <v>17711</v>
      </c>
      <c r="N50">
        <v>12</v>
      </c>
      <c r="O50">
        <v>16</v>
      </c>
      <c r="P50">
        <v>16</v>
      </c>
      <c r="Q50">
        <v>18</v>
      </c>
      <c r="R50">
        <v>18</v>
      </c>
      <c r="S50">
        <v>582</v>
      </c>
      <c r="T50">
        <v>582</v>
      </c>
      <c r="U50">
        <v>18</v>
      </c>
      <c r="V50">
        <v>10</v>
      </c>
      <c r="W50">
        <v>10</v>
      </c>
      <c r="X50">
        <v>16</v>
      </c>
      <c r="Y50">
        <v>17</v>
      </c>
      <c r="Z50">
        <v>16</v>
      </c>
      <c r="AA50">
        <v>17</v>
      </c>
      <c r="AB50">
        <v>18</v>
      </c>
      <c r="AC50">
        <v>18</v>
      </c>
      <c r="AD50">
        <v>69</v>
      </c>
      <c r="AE50">
        <v>103</v>
      </c>
      <c r="AF50">
        <v>56</v>
      </c>
      <c r="AG50">
        <v>57</v>
      </c>
      <c r="AH50">
        <v>71</v>
      </c>
      <c r="AI50">
        <v>74</v>
      </c>
      <c r="AJ50">
        <v>79</v>
      </c>
      <c r="AK50">
        <v>73</v>
      </c>
      <c r="AL50">
        <v>1196486528</v>
      </c>
      <c r="AM50">
        <v>1086965504</v>
      </c>
      <c r="AN50">
        <v>1258601088</v>
      </c>
      <c r="AO50">
        <v>1824651520</v>
      </c>
      <c r="AP50">
        <v>1141528960</v>
      </c>
      <c r="AQ50">
        <v>1230698240</v>
      </c>
      <c r="AR50">
        <v>1160932096</v>
      </c>
      <c r="AS50">
        <v>1200939136</v>
      </c>
      <c r="AT50">
        <v>797648576</v>
      </c>
      <c r="AU50">
        <v>472779552</v>
      </c>
      <c r="AV50">
        <v>701761728</v>
      </c>
      <c r="AW50">
        <v>839566656</v>
      </c>
      <c r="AX50">
        <v>820538432</v>
      </c>
      <c r="AY50">
        <v>790067968</v>
      </c>
      <c r="AZ50">
        <v>743190400</v>
      </c>
      <c r="BA50">
        <v>888195968</v>
      </c>
    </row>
    <row r="51" spans="1:53">
      <c r="A51">
        <v>16692</v>
      </c>
      <c r="B51" t="s">
        <v>270</v>
      </c>
      <c r="C51" t="s">
        <v>271</v>
      </c>
      <c r="D51" t="s">
        <v>272</v>
      </c>
      <c r="E51" t="s">
        <v>273</v>
      </c>
      <c r="F51" t="s">
        <v>274</v>
      </c>
      <c r="G51">
        <v>566.28700000000003</v>
      </c>
      <c r="H51" t="s">
        <v>58</v>
      </c>
      <c r="I51">
        <v>2</v>
      </c>
      <c r="J51">
        <v>10</v>
      </c>
      <c r="K51">
        <v>11</v>
      </c>
      <c r="L51">
        <v>46.67</v>
      </c>
      <c r="M51">
        <v>34154</v>
      </c>
      <c r="N51">
        <v>21</v>
      </c>
      <c r="O51">
        <v>12</v>
      </c>
      <c r="P51">
        <v>12</v>
      </c>
      <c r="Q51">
        <v>12</v>
      </c>
      <c r="R51">
        <v>12</v>
      </c>
      <c r="S51">
        <v>125</v>
      </c>
      <c r="T51">
        <v>125</v>
      </c>
      <c r="U51">
        <v>12</v>
      </c>
      <c r="V51">
        <v>9</v>
      </c>
      <c r="W51">
        <v>10</v>
      </c>
      <c r="X51">
        <v>12</v>
      </c>
      <c r="Y51">
        <v>12</v>
      </c>
      <c r="Z51">
        <v>12</v>
      </c>
      <c r="AA51">
        <v>12</v>
      </c>
      <c r="AB51">
        <v>12</v>
      </c>
      <c r="AC51">
        <v>12</v>
      </c>
      <c r="AD51">
        <v>10</v>
      </c>
      <c r="AE51">
        <v>11</v>
      </c>
      <c r="AF51">
        <v>16</v>
      </c>
      <c r="AG51">
        <v>13</v>
      </c>
      <c r="AH51">
        <v>20</v>
      </c>
      <c r="AI51">
        <v>18</v>
      </c>
      <c r="AJ51">
        <v>18</v>
      </c>
      <c r="AK51">
        <v>19</v>
      </c>
      <c r="AL51">
        <v>74895896</v>
      </c>
      <c r="AM51">
        <v>62838528</v>
      </c>
      <c r="AN51">
        <v>123551040</v>
      </c>
      <c r="AO51">
        <v>188379568</v>
      </c>
      <c r="AP51">
        <v>163953536</v>
      </c>
      <c r="AQ51">
        <v>197536992</v>
      </c>
      <c r="AR51">
        <v>161021776</v>
      </c>
      <c r="AS51">
        <v>180831312</v>
      </c>
      <c r="AT51">
        <v>80730752</v>
      </c>
      <c r="AU51">
        <v>62170140</v>
      </c>
      <c r="AV51">
        <v>72136176</v>
      </c>
      <c r="AW51">
        <v>66010160</v>
      </c>
      <c r="AX51">
        <v>112634048</v>
      </c>
      <c r="AY51">
        <v>117325192</v>
      </c>
      <c r="AZ51">
        <v>90743976</v>
      </c>
      <c r="BA51">
        <v>89491672</v>
      </c>
    </row>
    <row r="52" spans="1:53">
      <c r="A52">
        <v>16729</v>
      </c>
      <c r="B52" t="s">
        <v>275</v>
      </c>
      <c r="C52" t="s">
        <v>276</v>
      </c>
      <c r="D52" t="s">
        <v>277</v>
      </c>
      <c r="F52" t="s">
        <v>278</v>
      </c>
      <c r="G52">
        <v>550.85799999999995</v>
      </c>
      <c r="H52" t="s">
        <v>58</v>
      </c>
      <c r="I52">
        <v>2</v>
      </c>
      <c r="J52">
        <v>21</v>
      </c>
      <c r="K52">
        <v>0</v>
      </c>
      <c r="L52">
        <v>68.459999999999994</v>
      </c>
      <c r="M52">
        <v>14126</v>
      </c>
      <c r="N52">
        <v>11</v>
      </c>
      <c r="O52">
        <v>11</v>
      </c>
      <c r="P52">
        <v>11</v>
      </c>
      <c r="Q52">
        <v>14</v>
      </c>
      <c r="R52">
        <v>14</v>
      </c>
      <c r="S52">
        <v>1127</v>
      </c>
      <c r="T52">
        <v>1127</v>
      </c>
      <c r="U52">
        <v>14</v>
      </c>
      <c r="V52">
        <v>12</v>
      </c>
      <c r="W52">
        <v>14</v>
      </c>
      <c r="X52">
        <v>12</v>
      </c>
      <c r="Y52">
        <v>14</v>
      </c>
      <c r="Z52">
        <v>13</v>
      </c>
      <c r="AA52">
        <v>13</v>
      </c>
      <c r="AB52">
        <v>13</v>
      </c>
      <c r="AC52">
        <v>13</v>
      </c>
      <c r="AD52">
        <v>154</v>
      </c>
      <c r="AE52">
        <v>212</v>
      </c>
      <c r="AF52">
        <v>119</v>
      </c>
      <c r="AG52">
        <v>127</v>
      </c>
      <c r="AH52">
        <v>152</v>
      </c>
      <c r="AI52">
        <v>123</v>
      </c>
      <c r="AJ52">
        <v>98</v>
      </c>
      <c r="AK52">
        <v>142</v>
      </c>
      <c r="AL52">
        <v>3333712896</v>
      </c>
      <c r="AM52">
        <v>3490234112</v>
      </c>
      <c r="AN52">
        <v>2062831616</v>
      </c>
      <c r="AO52">
        <v>2314607360</v>
      </c>
      <c r="AP52">
        <v>1657250944</v>
      </c>
      <c r="AQ52">
        <v>1606456832</v>
      </c>
      <c r="AR52">
        <v>1454441088</v>
      </c>
      <c r="AS52">
        <v>2050333056</v>
      </c>
      <c r="AT52">
        <v>2966195712</v>
      </c>
      <c r="AU52">
        <v>3210190592</v>
      </c>
      <c r="AV52">
        <v>986984192</v>
      </c>
      <c r="AW52">
        <v>843920640</v>
      </c>
      <c r="AX52">
        <v>1129208064</v>
      </c>
      <c r="AY52">
        <v>1082485248</v>
      </c>
      <c r="AZ52">
        <v>863269760</v>
      </c>
      <c r="BA52">
        <v>1094429952</v>
      </c>
    </row>
    <row r="53" spans="1:53">
      <c r="A53">
        <v>16817</v>
      </c>
      <c r="B53" t="s">
        <v>279</v>
      </c>
      <c r="C53" t="s">
        <v>280</v>
      </c>
      <c r="D53" t="s">
        <v>281</v>
      </c>
      <c r="F53" t="s">
        <v>282</v>
      </c>
      <c r="G53">
        <v>540.70600000000002</v>
      </c>
      <c r="H53" t="s">
        <v>58</v>
      </c>
      <c r="I53">
        <v>2</v>
      </c>
      <c r="J53">
        <v>21</v>
      </c>
      <c r="K53">
        <v>0</v>
      </c>
      <c r="L53">
        <v>90.6</v>
      </c>
      <c r="M53">
        <v>15768</v>
      </c>
      <c r="N53">
        <v>14</v>
      </c>
      <c r="O53">
        <v>16</v>
      </c>
      <c r="P53">
        <v>16</v>
      </c>
      <c r="Q53">
        <v>16</v>
      </c>
      <c r="R53">
        <v>16</v>
      </c>
      <c r="S53">
        <v>2380</v>
      </c>
      <c r="T53">
        <v>2380</v>
      </c>
      <c r="U53">
        <v>16</v>
      </c>
      <c r="V53">
        <v>12</v>
      </c>
      <c r="W53">
        <v>13</v>
      </c>
      <c r="X53">
        <v>15</v>
      </c>
      <c r="Y53">
        <v>16</v>
      </c>
      <c r="Z53">
        <v>16</v>
      </c>
      <c r="AA53">
        <v>16</v>
      </c>
      <c r="AB53">
        <v>16</v>
      </c>
      <c r="AC53">
        <v>16</v>
      </c>
      <c r="AD53">
        <v>207</v>
      </c>
      <c r="AE53">
        <v>234</v>
      </c>
      <c r="AF53">
        <v>274</v>
      </c>
      <c r="AG53">
        <v>323</v>
      </c>
      <c r="AH53">
        <v>377</v>
      </c>
      <c r="AI53">
        <v>364</v>
      </c>
      <c r="AJ53">
        <v>346</v>
      </c>
      <c r="AK53">
        <v>255</v>
      </c>
      <c r="AL53">
        <v>2738778368</v>
      </c>
      <c r="AM53">
        <v>2745584896</v>
      </c>
      <c r="AN53">
        <v>4021787904</v>
      </c>
      <c r="AO53">
        <v>5647090688</v>
      </c>
      <c r="AP53">
        <v>3003795456</v>
      </c>
      <c r="AQ53">
        <v>3290482432</v>
      </c>
      <c r="AR53">
        <v>2796586752</v>
      </c>
      <c r="AS53">
        <v>2446854656</v>
      </c>
      <c r="AT53">
        <v>2333088768</v>
      </c>
      <c r="AU53">
        <v>2669103360</v>
      </c>
      <c r="AV53">
        <v>1980963968</v>
      </c>
      <c r="AW53">
        <v>2170316800</v>
      </c>
      <c r="AX53">
        <v>2204039168</v>
      </c>
      <c r="AY53">
        <v>2095733248</v>
      </c>
      <c r="AZ53">
        <v>1770329728</v>
      </c>
      <c r="BA53">
        <v>1402813568</v>
      </c>
    </row>
    <row r="54" spans="1:53">
      <c r="A54">
        <v>16785</v>
      </c>
      <c r="B54" t="s">
        <v>283</v>
      </c>
      <c r="C54" t="s">
        <v>284</v>
      </c>
      <c r="D54" t="s">
        <v>285</v>
      </c>
      <c r="E54" t="s">
        <v>286</v>
      </c>
      <c r="F54" t="s">
        <v>287</v>
      </c>
      <c r="G54">
        <v>538.452</v>
      </c>
      <c r="H54" t="s">
        <v>58</v>
      </c>
      <c r="I54">
        <v>2</v>
      </c>
      <c r="J54">
        <v>7</v>
      </c>
      <c r="K54">
        <v>1</v>
      </c>
      <c r="L54">
        <v>37.340000000000003</v>
      </c>
      <c r="M54">
        <v>52569</v>
      </c>
      <c r="N54">
        <v>28</v>
      </c>
      <c r="O54">
        <v>16</v>
      </c>
      <c r="P54">
        <v>16</v>
      </c>
      <c r="Q54">
        <v>16</v>
      </c>
      <c r="R54">
        <v>16</v>
      </c>
      <c r="S54">
        <v>205</v>
      </c>
      <c r="T54">
        <v>205</v>
      </c>
      <c r="U54">
        <v>16</v>
      </c>
      <c r="V54">
        <v>13</v>
      </c>
      <c r="W54">
        <v>13</v>
      </c>
      <c r="X54">
        <v>14</v>
      </c>
      <c r="Y54">
        <v>16</v>
      </c>
      <c r="Z54">
        <v>14</v>
      </c>
      <c r="AA54">
        <v>15</v>
      </c>
      <c r="AB54">
        <v>16</v>
      </c>
      <c r="AC54">
        <v>16</v>
      </c>
      <c r="AD54">
        <v>18</v>
      </c>
      <c r="AE54">
        <v>17</v>
      </c>
      <c r="AF54">
        <v>17</v>
      </c>
      <c r="AG54">
        <v>29</v>
      </c>
      <c r="AH54">
        <v>34</v>
      </c>
      <c r="AI54">
        <v>34</v>
      </c>
      <c r="AJ54">
        <v>29</v>
      </c>
      <c r="AK54">
        <v>27</v>
      </c>
      <c r="AL54">
        <v>102100320</v>
      </c>
      <c r="AM54">
        <v>109873576</v>
      </c>
      <c r="AN54">
        <v>189051648</v>
      </c>
      <c r="AO54">
        <v>273835712</v>
      </c>
      <c r="AP54">
        <v>211783056</v>
      </c>
      <c r="AQ54">
        <v>260725984</v>
      </c>
      <c r="AR54">
        <v>244609728</v>
      </c>
      <c r="AS54">
        <v>270619744</v>
      </c>
      <c r="AT54">
        <v>112040136</v>
      </c>
      <c r="AU54">
        <v>114781320</v>
      </c>
      <c r="AV54">
        <v>94967200</v>
      </c>
      <c r="AW54">
        <v>96466128</v>
      </c>
      <c r="AX54">
        <v>145082128</v>
      </c>
      <c r="AY54">
        <v>158507040</v>
      </c>
      <c r="AZ54">
        <v>134881312</v>
      </c>
      <c r="BA54">
        <v>134680368</v>
      </c>
    </row>
    <row r="55" spans="1:53">
      <c r="A55">
        <v>16822</v>
      </c>
      <c r="B55" t="s">
        <v>288</v>
      </c>
      <c r="C55" t="s">
        <v>289</v>
      </c>
      <c r="D55" t="s">
        <v>290</v>
      </c>
      <c r="F55" t="s">
        <v>291</v>
      </c>
      <c r="G55">
        <v>524.29300000000001</v>
      </c>
      <c r="H55" t="s">
        <v>58</v>
      </c>
      <c r="I55">
        <v>2</v>
      </c>
      <c r="J55">
        <v>6</v>
      </c>
      <c r="K55">
        <v>0</v>
      </c>
      <c r="L55">
        <v>69.489999999999995</v>
      </c>
      <c r="M55">
        <v>13099</v>
      </c>
      <c r="N55">
        <v>7</v>
      </c>
      <c r="O55">
        <v>14</v>
      </c>
      <c r="P55">
        <v>14</v>
      </c>
      <c r="Q55">
        <v>17</v>
      </c>
      <c r="R55">
        <v>17</v>
      </c>
      <c r="S55">
        <v>2968</v>
      </c>
      <c r="T55">
        <v>2968</v>
      </c>
      <c r="U55">
        <v>17</v>
      </c>
      <c r="V55">
        <v>13</v>
      </c>
      <c r="W55">
        <v>14</v>
      </c>
      <c r="X55">
        <v>17</v>
      </c>
      <c r="Y55">
        <v>16</v>
      </c>
      <c r="Z55">
        <v>17</v>
      </c>
      <c r="AA55">
        <v>17</v>
      </c>
      <c r="AB55">
        <v>16</v>
      </c>
      <c r="AC55">
        <v>15</v>
      </c>
      <c r="AD55">
        <v>384</v>
      </c>
      <c r="AE55">
        <v>443</v>
      </c>
      <c r="AF55">
        <v>386</v>
      </c>
      <c r="AG55">
        <v>308</v>
      </c>
      <c r="AH55">
        <v>384</v>
      </c>
      <c r="AI55">
        <v>378</v>
      </c>
      <c r="AJ55">
        <v>339</v>
      </c>
      <c r="AK55">
        <v>346</v>
      </c>
      <c r="AL55">
        <v>1869422464</v>
      </c>
      <c r="AM55">
        <v>1980783488</v>
      </c>
      <c r="AN55">
        <v>2657822208</v>
      </c>
      <c r="AO55">
        <v>3959124224</v>
      </c>
      <c r="AP55">
        <v>2550149632</v>
      </c>
      <c r="AQ55">
        <v>2707806464</v>
      </c>
      <c r="AR55">
        <v>2469019392</v>
      </c>
      <c r="AS55">
        <v>2711337728</v>
      </c>
      <c r="AT55">
        <v>1965211776</v>
      </c>
      <c r="AU55">
        <v>2055332992</v>
      </c>
      <c r="AV55">
        <v>1606312320</v>
      </c>
      <c r="AW55">
        <v>1814349056</v>
      </c>
      <c r="AX55">
        <v>1983745792</v>
      </c>
      <c r="AY55">
        <v>1869924736</v>
      </c>
      <c r="AZ55">
        <v>1712623744</v>
      </c>
      <c r="BA55">
        <v>1581088128</v>
      </c>
    </row>
    <row r="56" spans="1:53">
      <c r="A56">
        <v>16874</v>
      </c>
      <c r="B56" t="s">
        <v>292</v>
      </c>
      <c r="C56" t="s">
        <v>293</v>
      </c>
      <c r="D56" t="s">
        <v>292</v>
      </c>
      <c r="F56" t="s">
        <v>294</v>
      </c>
      <c r="G56">
        <v>518.85299999999995</v>
      </c>
      <c r="H56" t="s">
        <v>58</v>
      </c>
      <c r="I56">
        <v>2</v>
      </c>
      <c r="J56">
        <v>1</v>
      </c>
      <c r="K56">
        <v>0</v>
      </c>
      <c r="L56">
        <v>52.86</v>
      </c>
      <c r="M56">
        <v>49988</v>
      </c>
      <c r="N56">
        <v>29</v>
      </c>
      <c r="O56">
        <v>19</v>
      </c>
      <c r="P56">
        <v>19</v>
      </c>
      <c r="Q56">
        <v>19</v>
      </c>
      <c r="R56">
        <v>19</v>
      </c>
      <c r="S56">
        <v>115</v>
      </c>
      <c r="T56">
        <v>115</v>
      </c>
      <c r="U56">
        <v>19</v>
      </c>
      <c r="V56">
        <v>10</v>
      </c>
      <c r="W56">
        <v>11</v>
      </c>
      <c r="X56">
        <v>13</v>
      </c>
      <c r="Y56">
        <v>19</v>
      </c>
      <c r="Z56">
        <v>16</v>
      </c>
      <c r="AA56">
        <v>17</v>
      </c>
      <c r="AB56">
        <v>16</v>
      </c>
      <c r="AC56">
        <v>17</v>
      </c>
      <c r="AD56">
        <v>6</v>
      </c>
      <c r="AE56">
        <v>7</v>
      </c>
      <c r="AF56">
        <v>18</v>
      </c>
      <c r="AG56">
        <v>26</v>
      </c>
      <c r="AH56">
        <v>13</v>
      </c>
      <c r="AI56">
        <v>17</v>
      </c>
      <c r="AJ56">
        <v>14</v>
      </c>
      <c r="AK56">
        <v>14</v>
      </c>
      <c r="AL56">
        <v>25689596</v>
      </c>
      <c r="AM56">
        <v>27024706</v>
      </c>
      <c r="AN56">
        <v>100632904</v>
      </c>
      <c r="AO56">
        <v>138655504</v>
      </c>
      <c r="AP56">
        <v>60396844</v>
      </c>
      <c r="AQ56">
        <v>71020688</v>
      </c>
      <c r="AR56">
        <v>74323320</v>
      </c>
      <c r="AS56">
        <v>66542980</v>
      </c>
      <c r="AT56">
        <v>7804886</v>
      </c>
      <c r="AU56">
        <v>11458021</v>
      </c>
      <c r="AV56">
        <v>46495312</v>
      </c>
      <c r="AW56">
        <v>93849344</v>
      </c>
      <c r="AX56">
        <v>39106088</v>
      </c>
      <c r="AY56">
        <v>52073084</v>
      </c>
      <c r="AZ56">
        <v>44533292</v>
      </c>
      <c r="BA56">
        <v>47068020</v>
      </c>
    </row>
    <row r="57" spans="1:53">
      <c r="A57">
        <v>16770</v>
      </c>
      <c r="B57" t="s">
        <v>295</v>
      </c>
      <c r="C57" t="s">
        <v>296</v>
      </c>
      <c r="D57" t="s">
        <v>297</v>
      </c>
      <c r="F57" t="s">
        <v>298</v>
      </c>
      <c r="G57">
        <v>509.00099999999998</v>
      </c>
      <c r="H57" t="s">
        <v>58</v>
      </c>
      <c r="I57">
        <v>2</v>
      </c>
      <c r="J57">
        <v>3</v>
      </c>
      <c r="K57">
        <v>0</v>
      </c>
      <c r="L57">
        <v>38.33</v>
      </c>
      <c r="M57">
        <v>45329</v>
      </c>
      <c r="N57">
        <v>20</v>
      </c>
      <c r="O57">
        <v>11</v>
      </c>
      <c r="P57">
        <v>11</v>
      </c>
      <c r="Q57">
        <v>11</v>
      </c>
      <c r="R57">
        <v>11</v>
      </c>
      <c r="S57">
        <v>125</v>
      </c>
      <c r="T57">
        <v>125</v>
      </c>
      <c r="U57">
        <v>11</v>
      </c>
      <c r="V57">
        <v>6</v>
      </c>
      <c r="W57">
        <v>6</v>
      </c>
      <c r="X57">
        <v>10</v>
      </c>
      <c r="Y57">
        <v>11</v>
      </c>
      <c r="Z57">
        <v>10</v>
      </c>
      <c r="AA57">
        <v>10</v>
      </c>
      <c r="AB57">
        <v>11</v>
      </c>
      <c r="AC57">
        <v>11</v>
      </c>
      <c r="AD57">
        <v>5</v>
      </c>
      <c r="AE57">
        <v>8</v>
      </c>
      <c r="AF57">
        <v>18</v>
      </c>
      <c r="AG57">
        <v>25</v>
      </c>
      <c r="AH57">
        <v>12</v>
      </c>
      <c r="AI57">
        <v>10</v>
      </c>
      <c r="AJ57">
        <v>26</v>
      </c>
      <c r="AK57">
        <v>21</v>
      </c>
      <c r="AL57">
        <v>22611804</v>
      </c>
      <c r="AM57">
        <v>26183000</v>
      </c>
      <c r="AN57">
        <v>111076192</v>
      </c>
      <c r="AO57">
        <v>180420000</v>
      </c>
      <c r="AP57">
        <v>37933628</v>
      </c>
      <c r="AQ57">
        <v>39044276</v>
      </c>
      <c r="AR57">
        <v>107341616</v>
      </c>
      <c r="AS57">
        <v>115763336</v>
      </c>
      <c r="AT57">
        <v>3435012</v>
      </c>
      <c r="AU57">
        <v>6161888.5</v>
      </c>
      <c r="AV57">
        <v>80985728</v>
      </c>
      <c r="AW57">
        <v>83807240</v>
      </c>
      <c r="AX57">
        <v>24253324</v>
      </c>
      <c r="AY57">
        <v>29884488</v>
      </c>
      <c r="AZ57">
        <v>81653040</v>
      </c>
      <c r="BA57">
        <v>78398688</v>
      </c>
    </row>
    <row r="58" spans="1:53">
      <c r="A58">
        <v>16672</v>
      </c>
      <c r="B58" t="s">
        <v>299</v>
      </c>
      <c r="C58" t="s">
        <v>300</v>
      </c>
      <c r="D58" t="s">
        <v>301</v>
      </c>
      <c r="F58" t="s">
        <v>302</v>
      </c>
      <c r="G58">
        <v>508.18799999999999</v>
      </c>
      <c r="H58" t="s">
        <v>58</v>
      </c>
      <c r="I58">
        <v>2</v>
      </c>
      <c r="J58">
        <v>21</v>
      </c>
      <c r="K58">
        <v>0</v>
      </c>
      <c r="L58">
        <v>81.55</v>
      </c>
      <c r="M58">
        <v>11735</v>
      </c>
      <c r="N58">
        <v>8</v>
      </c>
      <c r="O58">
        <v>14</v>
      </c>
      <c r="P58">
        <v>14</v>
      </c>
      <c r="Q58">
        <v>15</v>
      </c>
      <c r="R58">
        <v>15</v>
      </c>
      <c r="S58">
        <v>2667</v>
      </c>
      <c r="T58">
        <v>2667</v>
      </c>
      <c r="U58">
        <v>15</v>
      </c>
      <c r="V58">
        <v>11</v>
      </c>
      <c r="W58">
        <v>11</v>
      </c>
      <c r="X58">
        <v>13</v>
      </c>
      <c r="Y58">
        <v>15</v>
      </c>
      <c r="Z58">
        <v>14</v>
      </c>
      <c r="AA58">
        <v>14</v>
      </c>
      <c r="AB58">
        <v>15</v>
      </c>
      <c r="AC58">
        <v>15</v>
      </c>
      <c r="AD58">
        <v>316</v>
      </c>
      <c r="AE58">
        <v>340</v>
      </c>
      <c r="AF58">
        <v>363</v>
      </c>
      <c r="AG58">
        <v>336</v>
      </c>
      <c r="AH58">
        <v>352</v>
      </c>
      <c r="AI58">
        <v>350</v>
      </c>
      <c r="AJ58">
        <v>322</v>
      </c>
      <c r="AK58">
        <v>288</v>
      </c>
      <c r="AL58">
        <v>4104949504</v>
      </c>
      <c r="AM58">
        <v>4027813632</v>
      </c>
      <c r="AN58">
        <v>4826697728</v>
      </c>
      <c r="AO58">
        <v>6407365120</v>
      </c>
      <c r="AP58">
        <v>3730201344</v>
      </c>
      <c r="AQ58">
        <v>3936692224</v>
      </c>
      <c r="AR58">
        <v>3353433856</v>
      </c>
      <c r="AS58">
        <v>3045459200</v>
      </c>
      <c r="AT58">
        <v>2504459008</v>
      </c>
      <c r="AU58">
        <v>2345982464</v>
      </c>
      <c r="AV58">
        <v>2341217024</v>
      </c>
      <c r="AW58">
        <v>2909292288</v>
      </c>
      <c r="AX58">
        <v>2980964096</v>
      </c>
      <c r="AY58">
        <v>2751115520</v>
      </c>
      <c r="AZ58">
        <v>2743868416</v>
      </c>
      <c r="BA58">
        <v>2085777280</v>
      </c>
    </row>
    <row r="59" spans="1:53">
      <c r="A59">
        <v>16789</v>
      </c>
      <c r="B59" t="s">
        <v>303</v>
      </c>
      <c r="C59" t="s">
        <v>304</v>
      </c>
      <c r="D59" t="s">
        <v>305</v>
      </c>
      <c r="E59" t="s">
        <v>306</v>
      </c>
      <c r="F59" t="s">
        <v>307</v>
      </c>
      <c r="G59">
        <v>502.51799999999997</v>
      </c>
      <c r="H59" t="s">
        <v>58</v>
      </c>
      <c r="I59">
        <v>2</v>
      </c>
      <c r="J59">
        <v>19</v>
      </c>
      <c r="K59">
        <v>1</v>
      </c>
      <c r="L59">
        <v>81.44</v>
      </c>
      <c r="M59">
        <v>21082</v>
      </c>
      <c r="N59">
        <v>14</v>
      </c>
      <c r="O59">
        <v>15</v>
      </c>
      <c r="P59">
        <v>15</v>
      </c>
      <c r="Q59">
        <v>15</v>
      </c>
      <c r="R59">
        <v>15</v>
      </c>
      <c r="S59">
        <v>404</v>
      </c>
      <c r="T59">
        <v>404</v>
      </c>
      <c r="U59">
        <v>15</v>
      </c>
      <c r="V59">
        <v>14</v>
      </c>
      <c r="W59">
        <v>13</v>
      </c>
      <c r="X59">
        <v>12</v>
      </c>
      <c r="Y59">
        <v>11</v>
      </c>
      <c r="Z59">
        <v>14</v>
      </c>
      <c r="AA59">
        <v>13</v>
      </c>
      <c r="AB59">
        <v>14</v>
      </c>
      <c r="AC59">
        <v>14</v>
      </c>
      <c r="AD59">
        <v>83</v>
      </c>
      <c r="AE59">
        <v>83</v>
      </c>
      <c r="AF59">
        <v>18</v>
      </c>
      <c r="AG59">
        <v>17</v>
      </c>
      <c r="AH59">
        <v>59</v>
      </c>
      <c r="AI59">
        <v>60</v>
      </c>
      <c r="AJ59">
        <v>39</v>
      </c>
      <c r="AK59">
        <v>45</v>
      </c>
      <c r="AL59">
        <v>889334848</v>
      </c>
      <c r="AM59">
        <v>652391808</v>
      </c>
      <c r="AN59">
        <v>195897088</v>
      </c>
      <c r="AO59">
        <v>240964768</v>
      </c>
      <c r="AP59">
        <v>457734400</v>
      </c>
      <c r="AQ59">
        <v>450090208</v>
      </c>
      <c r="AR59">
        <v>409799616</v>
      </c>
      <c r="AS59">
        <v>454230368</v>
      </c>
      <c r="AT59">
        <v>921989440</v>
      </c>
      <c r="AU59">
        <v>698038272</v>
      </c>
      <c r="AV59">
        <v>95190112</v>
      </c>
      <c r="AW59">
        <v>82979448</v>
      </c>
      <c r="AX59">
        <v>294538464</v>
      </c>
      <c r="AY59">
        <v>270786016</v>
      </c>
      <c r="AZ59">
        <v>238602400</v>
      </c>
      <c r="BA59">
        <v>235111104</v>
      </c>
    </row>
    <row r="60" spans="1:53">
      <c r="A60">
        <v>16810</v>
      </c>
      <c r="B60" t="s">
        <v>308</v>
      </c>
      <c r="C60" t="s">
        <v>309</v>
      </c>
      <c r="D60" t="s">
        <v>310</v>
      </c>
      <c r="E60" t="s">
        <v>311</v>
      </c>
      <c r="F60" t="s">
        <v>312</v>
      </c>
      <c r="G60">
        <v>497.42</v>
      </c>
      <c r="H60" t="s">
        <v>58</v>
      </c>
      <c r="I60">
        <v>2</v>
      </c>
      <c r="J60">
        <v>5</v>
      </c>
      <c r="K60">
        <v>16</v>
      </c>
      <c r="L60">
        <v>74.31</v>
      </c>
      <c r="M60">
        <v>14980</v>
      </c>
      <c r="N60">
        <v>11</v>
      </c>
      <c r="O60">
        <v>15</v>
      </c>
      <c r="P60">
        <v>15</v>
      </c>
      <c r="Q60">
        <v>15</v>
      </c>
      <c r="R60">
        <v>15</v>
      </c>
      <c r="S60">
        <v>826</v>
      </c>
      <c r="T60">
        <v>826</v>
      </c>
      <c r="U60">
        <v>15</v>
      </c>
      <c r="V60">
        <v>10</v>
      </c>
      <c r="W60">
        <v>11</v>
      </c>
      <c r="X60">
        <v>13</v>
      </c>
      <c r="Y60">
        <v>15</v>
      </c>
      <c r="Z60">
        <v>15</v>
      </c>
      <c r="AA60">
        <v>13</v>
      </c>
      <c r="AB60">
        <v>14</v>
      </c>
      <c r="AC60">
        <v>13</v>
      </c>
      <c r="AD60">
        <v>144</v>
      </c>
      <c r="AE60">
        <v>157</v>
      </c>
      <c r="AF60">
        <v>77</v>
      </c>
      <c r="AG60">
        <v>66</v>
      </c>
      <c r="AH60">
        <v>97</v>
      </c>
      <c r="AI60">
        <v>107</v>
      </c>
      <c r="AJ60">
        <v>96</v>
      </c>
      <c r="AK60">
        <v>82</v>
      </c>
      <c r="AL60">
        <v>1001199552</v>
      </c>
      <c r="AM60">
        <v>1126690432</v>
      </c>
      <c r="AN60">
        <v>789408512</v>
      </c>
      <c r="AO60">
        <v>1073476672</v>
      </c>
      <c r="AP60">
        <v>693169344</v>
      </c>
      <c r="AQ60">
        <v>872017920</v>
      </c>
      <c r="AR60">
        <v>754993344</v>
      </c>
      <c r="AS60">
        <v>658434176</v>
      </c>
      <c r="AT60">
        <v>665790592</v>
      </c>
      <c r="AU60">
        <v>795714560</v>
      </c>
      <c r="AV60">
        <v>391465824</v>
      </c>
      <c r="AW60">
        <v>694498304</v>
      </c>
      <c r="AX60">
        <v>504388736</v>
      </c>
      <c r="AY60">
        <v>536959552</v>
      </c>
      <c r="AZ60">
        <v>518714432</v>
      </c>
      <c r="BA60">
        <v>364617472</v>
      </c>
    </row>
    <row r="61" spans="1:53">
      <c r="A61">
        <v>16768</v>
      </c>
      <c r="B61" t="s">
        <v>313</v>
      </c>
      <c r="C61" t="s">
        <v>314</v>
      </c>
      <c r="D61" t="s">
        <v>315</v>
      </c>
      <c r="F61" t="s">
        <v>316</v>
      </c>
      <c r="G61">
        <v>487.72500000000002</v>
      </c>
      <c r="H61" t="s">
        <v>58</v>
      </c>
      <c r="I61">
        <v>2</v>
      </c>
      <c r="J61">
        <v>21</v>
      </c>
      <c r="K61">
        <v>0</v>
      </c>
      <c r="L61">
        <v>87.18</v>
      </c>
      <c r="M61">
        <v>12769</v>
      </c>
      <c r="N61">
        <v>8</v>
      </c>
      <c r="O61">
        <v>15</v>
      </c>
      <c r="P61">
        <v>15</v>
      </c>
      <c r="Q61">
        <v>15</v>
      </c>
      <c r="R61">
        <v>15</v>
      </c>
      <c r="S61">
        <v>454</v>
      </c>
      <c r="T61">
        <v>454</v>
      </c>
      <c r="U61">
        <v>15</v>
      </c>
      <c r="V61">
        <v>10</v>
      </c>
      <c r="W61">
        <v>10</v>
      </c>
      <c r="X61">
        <v>12</v>
      </c>
      <c r="Y61">
        <v>15</v>
      </c>
      <c r="Z61">
        <v>14</v>
      </c>
      <c r="AA61">
        <v>13</v>
      </c>
      <c r="AB61">
        <v>14</v>
      </c>
      <c r="AC61">
        <v>14</v>
      </c>
      <c r="AD61">
        <v>47</v>
      </c>
      <c r="AE61">
        <v>70</v>
      </c>
      <c r="AF61">
        <v>35</v>
      </c>
      <c r="AG61">
        <v>58</v>
      </c>
      <c r="AH61">
        <v>68</v>
      </c>
      <c r="AI61">
        <v>64</v>
      </c>
      <c r="AJ61">
        <v>62</v>
      </c>
      <c r="AK61">
        <v>50</v>
      </c>
      <c r="AL61">
        <v>694535296</v>
      </c>
      <c r="AM61">
        <v>813604864</v>
      </c>
      <c r="AN61">
        <v>674000128</v>
      </c>
      <c r="AO61">
        <v>1129050880</v>
      </c>
      <c r="AP61">
        <v>607519040</v>
      </c>
      <c r="AQ61">
        <v>671895424</v>
      </c>
      <c r="AR61">
        <v>695405312</v>
      </c>
      <c r="AS61">
        <v>585942656</v>
      </c>
      <c r="AT61">
        <v>513681568</v>
      </c>
      <c r="AU61">
        <v>568268096</v>
      </c>
      <c r="AV61">
        <v>309823744</v>
      </c>
      <c r="AW61">
        <v>529389120</v>
      </c>
      <c r="AX61">
        <v>492457632</v>
      </c>
      <c r="AY61">
        <v>455626752</v>
      </c>
      <c r="AZ61">
        <v>422249376</v>
      </c>
      <c r="BA61">
        <v>329022784</v>
      </c>
    </row>
    <row r="62" spans="1:53">
      <c r="A62">
        <v>16661</v>
      </c>
      <c r="B62" t="s">
        <v>317</v>
      </c>
      <c r="C62" t="s">
        <v>318</v>
      </c>
      <c r="D62" t="s">
        <v>319</v>
      </c>
      <c r="F62" t="s">
        <v>320</v>
      </c>
      <c r="G62">
        <v>485.09100000000001</v>
      </c>
      <c r="H62" t="s">
        <v>58</v>
      </c>
      <c r="I62">
        <v>2</v>
      </c>
      <c r="J62">
        <v>20</v>
      </c>
      <c r="K62">
        <v>0</v>
      </c>
      <c r="L62">
        <v>53.52</v>
      </c>
      <c r="M62">
        <v>14875</v>
      </c>
      <c r="N62">
        <v>10</v>
      </c>
      <c r="O62">
        <v>11</v>
      </c>
      <c r="P62">
        <v>11</v>
      </c>
      <c r="Q62">
        <v>13</v>
      </c>
      <c r="R62">
        <v>13</v>
      </c>
      <c r="S62">
        <v>1178</v>
      </c>
      <c r="T62">
        <v>1178</v>
      </c>
      <c r="U62">
        <v>13</v>
      </c>
      <c r="V62">
        <v>10</v>
      </c>
      <c r="W62">
        <v>10</v>
      </c>
      <c r="X62">
        <v>12</v>
      </c>
      <c r="Y62">
        <v>10</v>
      </c>
      <c r="Z62">
        <v>12</v>
      </c>
      <c r="AA62">
        <v>12</v>
      </c>
      <c r="AB62">
        <v>12</v>
      </c>
      <c r="AC62">
        <v>13</v>
      </c>
      <c r="AD62">
        <v>130</v>
      </c>
      <c r="AE62">
        <v>158</v>
      </c>
      <c r="AF62">
        <v>133</v>
      </c>
      <c r="AG62">
        <v>111</v>
      </c>
      <c r="AH62">
        <v>165</v>
      </c>
      <c r="AI62">
        <v>153</v>
      </c>
      <c r="AJ62">
        <v>170</v>
      </c>
      <c r="AK62">
        <v>158</v>
      </c>
      <c r="AL62">
        <v>1211921280</v>
      </c>
      <c r="AM62">
        <v>1214595840</v>
      </c>
      <c r="AN62">
        <v>1121024768</v>
      </c>
      <c r="AO62">
        <v>1601525504</v>
      </c>
      <c r="AP62">
        <v>1000290240</v>
      </c>
      <c r="AQ62">
        <v>1130430336</v>
      </c>
      <c r="AR62">
        <v>978461248</v>
      </c>
      <c r="AS62">
        <v>978460480</v>
      </c>
      <c r="AT62">
        <v>1055957504</v>
      </c>
      <c r="AU62">
        <v>1113069184</v>
      </c>
      <c r="AV62">
        <v>544517824</v>
      </c>
      <c r="AW62">
        <v>540511104</v>
      </c>
      <c r="AX62">
        <v>699667392</v>
      </c>
      <c r="AY62">
        <v>723148544</v>
      </c>
      <c r="AZ62">
        <v>589338624</v>
      </c>
      <c r="BA62">
        <v>523054080</v>
      </c>
    </row>
    <row r="63" spans="1:53">
      <c r="A63">
        <v>16860</v>
      </c>
      <c r="B63" t="s">
        <v>321</v>
      </c>
      <c r="C63" t="s">
        <v>322</v>
      </c>
      <c r="D63" t="s">
        <v>321</v>
      </c>
      <c r="E63" t="s">
        <v>323</v>
      </c>
      <c r="F63" t="s">
        <v>324</v>
      </c>
      <c r="G63">
        <v>450.29700000000003</v>
      </c>
      <c r="H63" t="s">
        <v>58</v>
      </c>
      <c r="I63">
        <v>2</v>
      </c>
      <c r="J63">
        <v>1</v>
      </c>
      <c r="K63">
        <v>1</v>
      </c>
      <c r="L63">
        <v>37.75</v>
      </c>
      <c r="M63">
        <v>40302</v>
      </c>
      <c r="N63">
        <v>21</v>
      </c>
      <c r="O63">
        <v>13</v>
      </c>
      <c r="P63">
        <v>3</v>
      </c>
      <c r="Q63">
        <v>13</v>
      </c>
      <c r="R63">
        <v>3</v>
      </c>
      <c r="S63">
        <v>352</v>
      </c>
      <c r="T63">
        <v>38</v>
      </c>
      <c r="U63">
        <v>3</v>
      </c>
      <c r="V63">
        <v>2</v>
      </c>
      <c r="W63">
        <v>2</v>
      </c>
      <c r="X63">
        <v>3</v>
      </c>
      <c r="Y63">
        <v>2</v>
      </c>
      <c r="Z63">
        <v>3</v>
      </c>
      <c r="AA63">
        <v>3</v>
      </c>
      <c r="AB63">
        <v>2</v>
      </c>
      <c r="AC63">
        <v>2</v>
      </c>
      <c r="AD63">
        <v>5</v>
      </c>
      <c r="AE63">
        <v>6</v>
      </c>
      <c r="AF63">
        <v>5</v>
      </c>
      <c r="AG63">
        <v>4</v>
      </c>
      <c r="AH63">
        <v>4</v>
      </c>
      <c r="AI63">
        <v>4</v>
      </c>
      <c r="AJ63">
        <v>5</v>
      </c>
      <c r="AK63">
        <v>5</v>
      </c>
      <c r="AL63">
        <v>139339056</v>
      </c>
      <c r="AM63">
        <v>122892592</v>
      </c>
      <c r="AN63">
        <v>345796800</v>
      </c>
      <c r="AO63">
        <v>374817504</v>
      </c>
      <c r="AP63">
        <v>274354688</v>
      </c>
      <c r="AQ63">
        <v>295271008</v>
      </c>
      <c r="AR63">
        <v>257725152</v>
      </c>
      <c r="AS63">
        <v>275346048</v>
      </c>
      <c r="AT63">
        <v>16864600</v>
      </c>
      <c r="AU63">
        <v>16985626</v>
      </c>
      <c r="AV63">
        <v>19954286</v>
      </c>
      <c r="AW63">
        <v>14804809</v>
      </c>
      <c r="AX63">
        <v>26138762</v>
      </c>
      <c r="AY63">
        <v>26169882</v>
      </c>
      <c r="AZ63">
        <v>19798906</v>
      </c>
      <c r="BA63">
        <v>20081008</v>
      </c>
    </row>
    <row r="64" spans="1:53">
      <c r="A64">
        <v>16659</v>
      </c>
      <c r="B64" t="s">
        <v>325</v>
      </c>
      <c r="C64" t="s">
        <v>326</v>
      </c>
      <c r="D64" t="s">
        <v>327</v>
      </c>
      <c r="F64" t="s">
        <v>328</v>
      </c>
      <c r="G64">
        <v>448.34300000000002</v>
      </c>
      <c r="H64" t="s">
        <v>58</v>
      </c>
      <c r="I64">
        <v>2</v>
      </c>
      <c r="J64">
        <v>21</v>
      </c>
      <c r="K64">
        <v>0</v>
      </c>
      <c r="L64">
        <v>64.62</v>
      </c>
      <c r="M64">
        <v>14856</v>
      </c>
      <c r="N64">
        <v>8</v>
      </c>
      <c r="O64">
        <v>11</v>
      </c>
      <c r="P64">
        <v>11</v>
      </c>
      <c r="Q64">
        <v>13</v>
      </c>
      <c r="R64">
        <v>13</v>
      </c>
      <c r="S64">
        <v>1761</v>
      </c>
      <c r="T64">
        <v>1761</v>
      </c>
      <c r="U64">
        <v>13</v>
      </c>
      <c r="V64">
        <v>11</v>
      </c>
      <c r="W64">
        <v>11</v>
      </c>
      <c r="X64">
        <v>13</v>
      </c>
      <c r="Y64">
        <v>13</v>
      </c>
      <c r="Z64">
        <v>13</v>
      </c>
      <c r="AA64">
        <v>13</v>
      </c>
      <c r="AB64">
        <v>13</v>
      </c>
      <c r="AC64">
        <v>13</v>
      </c>
      <c r="AD64">
        <v>225</v>
      </c>
      <c r="AE64">
        <v>230</v>
      </c>
      <c r="AF64">
        <v>231</v>
      </c>
      <c r="AG64">
        <v>205</v>
      </c>
      <c r="AH64">
        <v>226</v>
      </c>
      <c r="AI64">
        <v>206</v>
      </c>
      <c r="AJ64">
        <v>241</v>
      </c>
      <c r="AK64">
        <v>197</v>
      </c>
      <c r="AL64">
        <v>5278656000</v>
      </c>
      <c r="AM64">
        <v>4843359232</v>
      </c>
      <c r="AN64">
        <v>6215636992</v>
      </c>
      <c r="AO64">
        <v>7429936640</v>
      </c>
      <c r="AP64">
        <v>4593166848</v>
      </c>
      <c r="AQ64">
        <v>4720791552</v>
      </c>
      <c r="AR64">
        <v>4397574144</v>
      </c>
      <c r="AS64">
        <v>3990212352</v>
      </c>
      <c r="AT64">
        <v>5138053120</v>
      </c>
      <c r="AU64">
        <v>5167301120</v>
      </c>
      <c r="AV64">
        <v>3008474112</v>
      </c>
      <c r="AW64">
        <v>2679647232</v>
      </c>
      <c r="AX64">
        <v>2768743424</v>
      </c>
      <c r="AY64">
        <v>2505497600</v>
      </c>
      <c r="AZ64">
        <v>2179551488</v>
      </c>
      <c r="BA64">
        <v>1780299776</v>
      </c>
    </row>
    <row r="65" spans="1:53">
      <c r="A65">
        <v>16679</v>
      </c>
      <c r="B65" t="s">
        <v>329</v>
      </c>
      <c r="C65" t="s">
        <v>330</v>
      </c>
      <c r="D65" t="s">
        <v>331</v>
      </c>
      <c r="E65" t="s">
        <v>332</v>
      </c>
      <c r="F65" t="s">
        <v>333</v>
      </c>
      <c r="G65">
        <v>421.76499999999999</v>
      </c>
      <c r="H65" t="s">
        <v>58</v>
      </c>
      <c r="I65">
        <v>2</v>
      </c>
      <c r="J65">
        <v>7</v>
      </c>
      <c r="K65">
        <v>12</v>
      </c>
      <c r="L65">
        <v>40.67</v>
      </c>
      <c r="M65">
        <v>36831</v>
      </c>
      <c r="N65">
        <v>22</v>
      </c>
      <c r="O65">
        <v>12</v>
      </c>
      <c r="P65">
        <v>12</v>
      </c>
      <c r="Q65">
        <v>12</v>
      </c>
      <c r="R65">
        <v>12</v>
      </c>
      <c r="S65">
        <v>193</v>
      </c>
      <c r="T65">
        <v>193</v>
      </c>
      <c r="U65">
        <v>12</v>
      </c>
      <c r="V65">
        <v>8</v>
      </c>
      <c r="W65">
        <v>9</v>
      </c>
      <c r="X65">
        <v>10</v>
      </c>
      <c r="Y65">
        <v>11</v>
      </c>
      <c r="Z65">
        <v>12</v>
      </c>
      <c r="AA65">
        <v>12</v>
      </c>
      <c r="AB65">
        <v>12</v>
      </c>
      <c r="AC65">
        <v>11</v>
      </c>
      <c r="AD65">
        <v>15</v>
      </c>
      <c r="AE65">
        <v>20</v>
      </c>
      <c r="AF65">
        <v>16</v>
      </c>
      <c r="AG65">
        <v>25</v>
      </c>
      <c r="AH65">
        <v>29</v>
      </c>
      <c r="AI65">
        <v>29</v>
      </c>
      <c r="AJ65">
        <v>27</v>
      </c>
      <c r="AK65">
        <v>32</v>
      </c>
      <c r="AL65">
        <v>57233848</v>
      </c>
      <c r="AM65">
        <v>60831312</v>
      </c>
      <c r="AN65">
        <v>100115008</v>
      </c>
      <c r="AO65">
        <v>138110400</v>
      </c>
      <c r="AP65">
        <v>118617320</v>
      </c>
      <c r="AQ65">
        <v>147091728</v>
      </c>
      <c r="AR65">
        <v>123279184</v>
      </c>
      <c r="AS65">
        <v>136757888</v>
      </c>
      <c r="AT65">
        <v>48685832</v>
      </c>
      <c r="AU65">
        <v>65923080</v>
      </c>
      <c r="AV65">
        <v>55509776</v>
      </c>
      <c r="AW65">
        <v>57381180</v>
      </c>
      <c r="AX65">
        <v>85402472</v>
      </c>
      <c r="AY65">
        <v>98811704</v>
      </c>
      <c r="AZ65">
        <v>76867992</v>
      </c>
      <c r="BA65">
        <v>76048216</v>
      </c>
    </row>
    <row r="66" spans="1:53">
      <c r="A66">
        <v>16781</v>
      </c>
      <c r="B66" t="s">
        <v>334</v>
      </c>
      <c r="C66" t="s">
        <v>335</v>
      </c>
      <c r="D66" t="s">
        <v>334</v>
      </c>
      <c r="E66" t="s">
        <v>336</v>
      </c>
      <c r="F66" t="s">
        <v>337</v>
      </c>
      <c r="G66">
        <v>419.43200000000002</v>
      </c>
      <c r="H66" t="s">
        <v>58</v>
      </c>
      <c r="I66">
        <v>2</v>
      </c>
      <c r="J66">
        <v>1</v>
      </c>
      <c r="K66">
        <v>2</v>
      </c>
      <c r="L66">
        <v>41.32</v>
      </c>
      <c r="M66">
        <v>37437</v>
      </c>
      <c r="N66">
        <v>17</v>
      </c>
      <c r="O66">
        <v>10</v>
      </c>
      <c r="P66">
        <v>10</v>
      </c>
      <c r="Q66">
        <v>10</v>
      </c>
      <c r="R66">
        <v>10</v>
      </c>
      <c r="S66">
        <v>105</v>
      </c>
      <c r="T66">
        <v>105</v>
      </c>
      <c r="U66">
        <v>10</v>
      </c>
      <c r="V66">
        <v>7</v>
      </c>
      <c r="W66">
        <v>9</v>
      </c>
      <c r="X66">
        <v>9</v>
      </c>
      <c r="Y66">
        <v>8</v>
      </c>
      <c r="Z66">
        <v>10</v>
      </c>
      <c r="AA66">
        <v>9</v>
      </c>
      <c r="AB66">
        <v>10</v>
      </c>
      <c r="AC66">
        <v>10</v>
      </c>
      <c r="AD66">
        <v>8</v>
      </c>
      <c r="AE66">
        <v>8</v>
      </c>
      <c r="AF66">
        <v>15</v>
      </c>
      <c r="AG66">
        <v>11</v>
      </c>
      <c r="AH66">
        <v>16</v>
      </c>
      <c r="AI66">
        <v>15</v>
      </c>
      <c r="AJ66">
        <v>16</v>
      </c>
      <c r="AK66">
        <v>16</v>
      </c>
      <c r="AL66">
        <v>37631348</v>
      </c>
      <c r="AM66">
        <v>37057288</v>
      </c>
      <c r="AN66">
        <v>75668448</v>
      </c>
      <c r="AO66">
        <v>99466944</v>
      </c>
      <c r="AP66">
        <v>81261216</v>
      </c>
      <c r="AQ66">
        <v>100852320</v>
      </c>
      <c r="AR66">
        <v>93104760</v>
      </c>
      <c r="AS66">
        <v>105315760</v>
      </c>
      <c r="AT66">
        <v>43992084</v>
      </c>
      <c r="AU66">
        <v>28153804</v>
      </c>
      <c r="AV66">
        <v>41863160</v>
      </c>
      <c r="AW66">
        <v>35619192</v>
      </c>
      <c r="AX66">
        <v>55068236</v>
      </c>
      <c r="AY66">
        <v>59819204</v>
      </c>
      <c r="AZ66">
        <v>58634744</v>
      </c>
      <c r="BA66">
        <v>61319856</v>
      </c>
    </row>
    <row r="67" spans="1:53">
      <c r="A67">
        <v>16758</v>
      </c>
      <c r="B67" t="s">
        <v>338</v>
      </c>
      <c r="C67" t="s">
        <v>339</v>
      </c>
      <c r="D67" t="s">
        <v>340</v>
      </c>
      <c r="E67" t="s">
        <v>341</v>
      </c>
      <c r="F67" t="s">
        <v>342</v>
      </c>
      <c r="G67">
        <v>412.584</v>
      </c>
      <c r="H67" t="s">
        <v>58</v>
      </c>
      <c r="I67">
        <v>2</v>
      </c>
      <c r="J67">
        <v>9</v>
      </c>
      <c r="K67">
        <v>10</v>
      </c>
      <c r="L67">
        <v>81.91</v>
      </c>
      <c r="M67">
        <v>10693</v>
      </c>
      <c r="N67">
        <v>7</v>
      </c>
      <c r="O67">
        <v>10</v>
      </c>
      <c r="P67">
        <v>10</v>
      </c>
      <c r="Q67">
        <v>12</v>
      </c>
      <c r="R67">
        <v>12</v>
      </c>
      <c r="S67">
        <v>961</v>
      </c>
      <c r="T67">
        <v>961</v>
      </c>
      <c r="U67">
        <v>12</v>
      </c>
      <c r="V67">
        <v>11</v>
      </c>
      <c r="W67">
        <v>11</v>
      </c>
      <c r="X67">
        <v>11</v>
      </c>
      <c r="Y67">
        <v>11</v>
      </c>
      <c r="Z67">
        <v>11</v>
      </c>
      <c r="AA67">
        <v>12</v>
      </c>
      <c r="AB67">
        <v>11</v>
      </c>
      <c r="AC67">
        <v>11</v>
      </c>
      <c r="AD67">
        <v>122</v>
      </c>
      <c r="AE67">
        <v>140</v>
      </c>
      <c r="AF67">
        <v>105</v>
      </c>
      <c r="AG67">
        <v>116</v>
      </c>
      <c r="AH67">
        <v>122</v>
      </c>
      <c r="AI67">
        <v>149</v>
      </c>
      <c r="AJ67">
        <v>112</v>
      </c>
      <c r="AK67">
        <v>95</v>
      </c>
      <c r="AL67">
        <v>487121120</v>
      </c>
      <c r="AM67">
        <v>452704640</v>
      </c>
      <c r="AN67">
        <v>468369344</v>
      </c>
      <c r="AO67">
        <v>696659648</v>
      </c>
      <c r="AP67">
        <v>512952736</v>
      </c>
      <c r="AQ67">
        <v>561622144</v>
      </c>
      <c r="AR67">
        <v>582402496</v>
      </c>
      <c r="AS67">
        <v>476699168</v>
      </c>
      <c r="AT67">
        <v>549298688</v>
      </c>
      <c r="AU67">
        <v>548847744</v>
      </c>
      <c r="AV67">
        <v>320397024</v>
      </c>
      <c r="AW67">
        <v>378291904</v>
      </c>
      <c r="AX67">
        <v>422014592</v>
      </c>
      <c r="AY67">
        <v>424244864</v>
      </c>
      <c r="AZ67">
        <v>394635616</v>
      </c>
      <c r="BA67">
        <v>332515616</v>
      </c>
    </row>
    <row r="68" spans="1:53">
      <c r="A68">
        <v>16800</v>
      </c>
      <c r="B68" t="s">
        <v>343</v>
      </c>
      <c r="C68" t="s">
        <v>344</v>
      </c>
      <c r="D68" t="s">
        <v>345</v>
      </c>
      <c r="F68" t="s">
        <v>346</v>
      </c>
      <c r="G68">
        <v>410.96600000000001</v>
      </c>
      <c r="H68" t="s">
        <v>58</v>
      </c>
      <c r="I68">
        <v>2</v>
      </c>
      <c r="J68">
        <v>2</v>
      </c>
      <c r="K68">
        <v>0</v>
      </c>
      <c r="L68">
        <v>59.09</v>
      </c>
      <c r="M68">
        <v>31347</v>
      </c>
      <c r="N68">
        <v>18</v>
      </c>
      <c r="O68">
        <v>11</v>
      </c>
      <c r="P68">
        <v>11</v>
      </c>
      <c r="Q68">
        <v>11</v>
      </c>
      <c r="R68">
        <v>11</v>
      </c>
      <c r="S68">
        <v>92</v>
      </c>
      <c r="T68">
        <v>92</v>
      </c>
      <c r="U68">
        <v>11</v>
      </c>
      <c r="V68">
        <v>7</v>
      </c>
      <c r="W68">
        <v>7</v>
      </c>
      <c r="X68">
        <v>11</v>
      </c>
      <c r="Y68">
        <v>11</v>
      </c>
      <c r="Z68">
        <v>11</v>
      </c>
      <c r="AA68">
        <v>11</v>
      </c>
      <c r="AB68">
        <v>11</v>
      </c>
      <c r="AC68">
        <v>11</v>
      </c>
      <c r="AD68">
        <v>5</v>
      </c>
      <c r="AE68">
        <v>2</v>
      </c>
      <c r="AF68">
        <v>15</v>
      </c>
      <c r="AG68">
        <v>17</v>
      </c>
      <c r="AH68">
        <v>15</v>
      </c>
      <c r="AI68">
        <v>11</v>
      </c>
      <c r="AJ68">
        <v>11</v>
      </c>
      <c r="AK68">
        <v>16</v>
      </c>
      <c r="AL68">
        <v>18742336</v>
      </c>
      <c r="AM68">
        <v>18258326</v>
      </c>
      <c r="AN68">
        <v>136222480</v>
      </c>
      <c r="AO68">
        <v>181693920</v>
      </c>
      <c r="AP68">
        <v>83369296</v>
      </c>
      <c r="AQ68">
        <v>92339632</v>
      </c>
      <c r="AR68">
        <v>78975376</v>
      </c>
      <c r="AS68">
        <v>93186104</v>
      </c>
      <c r="AT68">
        <v>23322206</v>
      </c>
      <c r="AU68">
        <v>9185748</v>
      </c>
      <c r="AV68">
        <v>69503104</v>
      </c>
      <c r="AW68">
        <v>67527824</v>
      </c>
      <c r="AX68">
        <v>60073672</v>
      </c>
      <c r="AY68">
        <v>67819912</v>
      </c>
      <c r="AZ68">
        <v>55360900</v>
      </c>
      <c r="BA68">
        <v>68340200</v>
      </c>
    </row>
    <row r="69" spans="1:53">
      <c r="A69">
        <v>16658</v>
      </c>
      <c r="B69" t="s">
        <v>347</v>
      </c>
      <c r="C69" t="s">
        <v>348</v>
      </c>
      <c r="D69" t="s">
        <v>349</v>
      </c>
      <c r="F69" t="s">
        <v>350</v>
      </c>
      <c r="G69">
        <v>394.16199999999998</v>
      </c>
      <c r="H69" t="s">
        <v>58</v>
      </c>
      <c r="I69">
        <v>2</v>
      </c>
      <c r="J69">
        <v>21</v>
      </c>
      <c r="K69">
        <v>0</v>
      </c>
      <c r="L69">
        <v>78.260000000000005</v>
      </c>
      <c r="M69">
        <v>13133</v>
      </c>
      <c r="N69">
        <v>9</v>
      </c>
      <c r="O69">
        <v>14</v>
      </c>
      <c r="P69">
        <v>14</v>
      </c>
      <c r="Q69">
        <v>14</v>
      </c>
      <c r="R69">
        <v>14</v>
      </c>
      <c r="S69">
        <v>504</v>
      </c>
      <c r="T69">
        <v>504</v>
      </c>
      <c r="U69">
        <v>14</v>
      </c>
      <c r="V69">
        <v>13</v>
      </c>
      <c r="W69">
        <v>12</v>
      </c>
      <c r="X69">
        <v>12</v>
      </c>
      <c r="Y69">
        <v>13</v>
      </c>
      <c r="Z69">
        <v>13</v>
      </c>
      <c r="AA69">
        <v>13</v>
      </c>
      <c r="AB69">
        <v>12</v>
      </c>
      <c r="AC69">
        <v>12</v>
      </c>
      <c r="AD69">
        <v>98</v>
      </c>
      <c r="AE69">
        <v>105</v>
      </c>
      <c r="AF69">
        <v>39</v>
      </c>
      <c r="AG69">
        <v>34</v>
      </c>
      <c r="AH69">
        <v>45</v>
      </c>
      <c r="AI69">
        <v>73</v>
      </c>
      <c r="AJ69">
        <v>55</v>
      </c>
      <c r="AK69">
        <v>54</v>
      </c>
      <c r="AL69">
        <v>481967648</v>
      </c>
      <c r="AM69">
        <v>413955392</v>
      </c>
      <c r="AN69">
        <v>137940176</v>
      </c>
      <c r="AO69">
        <v>200069728</v>
      </c>
      <c r="AP69">
        <v>156130016</v>
      </c>
      <c r="AQ69">
        <v>240049728</v>
      </c>
      <c r="AR69">
        <v>176369168</v>
      </c>
      <c r="AS69">
        <v>179023152</v>
      </c>
      <c r="AT69">
        <v>515015392</v>
      </c>
      <c r="AU69">
        <v>435065632</v>
      </c>
      <c r="AV69">
        <v>149045920</v>
      </c>
      <c r="AW69">
        <v>154031520</v>
      </c>
      <c r="AX69">
        <v>223127600</v>
      </c>
      <c r="AY69">
        <v>319499808</v>
      </c>
      <c r="AZ69">
        <v>206462240</v>
      </c>
      <c r="BA69">
        <v>203484608</v>
      </c>
    </row>
    <row r="70" spans="1:53">
      <c r="A70">
        <v>16805</v>
      </c>
      <c r="B70" t="s">
        <v>351</v>
      </c>
      <c r="C70" t="s">
        <v>352</v>
      </c>
      <c r="D70" t="s">
        <v>353</v>
      </c>
      <c r="F70" t="s">
        <v>354</v>
      </c>
      <c r="G70">
        <v>394.12599999999998</v>
      </c>
      <c r="H70" t="s">
        <v>58</v>
      </c>
      <c r="I70">
        <v>2</v>
      </c>
      <c r="J70">
        <v>21</v>
      </c>
      <c r="K70">
        <v>0</v>
      </c>
      <c r="L70">
        <v>52.71</v>
      </c>
      <c r="M70">
        <v>13844</v>
      </c>
      <c r="N70">
        <v>8</v>
      </c>
      <c r="O70">
        <v>7</v>
      </c>
      <c r="P70">
        <v>7</v>
      </c>
      <c r="Q70">
        <v>8</v>
      </c>
      <c r="R70">
        <v>8</v>
      </c>
      <c r="S70">
        <v>1244</v>
      </c>
      <c r="T70">
        <v>1244</v>
      </c>
      <c r="U70">
        <v>8</v>
      </c>
      <c r="V70">
        <v>6</v>
      </c>
      <c r="W70">
        <v>5</v>
      </c>
      <c r="X70">
        <v>6</v>
      </c>
      <c r="Y70">
        <v>7</v>
      </c>
      <c r="Z70">
        <v>8</v>
      </c>
      <c r="AA70">
        <v>8</v>
      </c>
      <c r="AB70">
        <v>8</v>
      </c>
      <c r="AC70">
        <v>8</v>
      </c>
      <c r="AD70">
        <v>133</v>
      </c>
      <c r="AE70">
        <v>109</v>
      </c>
      <c r="AF70">
        <v>135</v>
      </c>
      <c r="AG70">
        <v>140</v>
      </c>
      <c r="AH70">
        <v>194</v>
      </c>
      <c r="AI70">
        <v>205</v>
      </c>
      <c r="AJ70">
        <v>185</v>
      </c>
      <c r="AK70">
        <v>143</v>
      </c>
      <c r="AL70">
        <v>2940753664</v>
      </c>
      <c r="AM70">
        <v>2802541312</v>
      </c>
      <c r="AN70">
        <v>4277092096</v>
      </c>
      <c r="AO70">
        <v>4661261312</v>
      </c>
      <c r="AP70">
        <v>2693632256</v>
      </c>
      <c r="AQ70">
        <v>2828287744</v>
      </c>
      <c r="AR70">
        <v>2663045632</v>
      </c>
      <c r="AS70">
        <v>2247161088</v>
      </c>
      <c r="AT70">
        <v>2170492160</v>
      </c>
      <c r="AU70">
        <v>415108256</v>
      </c>
      <c r="AV70">
        <v>1717555584</v>
      </c>
      <c r="AW70">
        <v>1519729280</v>
      </c>
      <c r="AX70">
        <v>1514702336</v>
      </c>
      <c r="AY70">
        <v>2078822400</v>
      </c>
      <c r="AZ70">
        <v>2697489152</v>
      </c>
      <c r="BA70">
        <v>2399240192</v>
      </c>
    </row>
    <row r="71" spans="1:53">
      <c r="A71">
        <v>16882</v>
      </c>
      <c r="B71" t="s">
        <v>355</v>
      </c>
      <c r="C71" t="s">
        <v>356</v>
      </c>
      <c r="D71" t="s">
        <v>355</v>
      </c>
      <c r="F71" t="s">
        <v>357</v>
      </c>
      <c r="G71">
        <v>388.58100000000002</v>
      </c>
      <c r="H71" t="s">
        <v>58</v>
      </c>
      <c r="I71">
        <v>2</v>
      </c>
      <c r="J71">
        <v>1</v>
      </c>
      <c r="K71">
        <v>0</v>
      </c>
      <c r="L71">
        <v>39.590000000000003</v>
      </c>
      <c r="M71">
        <v>27452</v>
      </c>
      <c r="N71">
        <v>13</v>
      </c>
      <c r="O71">
        <v>7</v>
      </c>
      <c r="P71">
        <v>7</v>
      </c>
      <c r="Q71">
        <v>8</v>
      </c>
      <c r="R71">
        <v>8</v>
      </c>
      <c r="S71">
        <v>711</v>
      </c>
      <c r="T71">
        <v>711</v>
      </c>
      <c r="U71">
        <v>8</v>
      </c>
      <c r="V71">
        <v>6</v>
      </c>
      <c r="W71">
        <v>8</v>
      </c>
      <c r="X71">
        <v>8</v>
      </c>
      <c r="Y71">
        <v>8</v>
      </c>
      <c r="Z71">
        <v>7</v>
      </c>
      <c r="AA71">
        <v>7</v>
      </c>
      <c r="AB71">
        <v>8</v>
      </c>
      <c r="AC71">
        <v>8</v>
      </c>
      <c r="AD71">
        <v>85</v>
      </c>
      <c r="AE71">
        <v>85</v>
      </c>
      <c r="AF71">
        <v>166</v>
      </c>
      <c r="AG71">
        <v>129</v>
      </c>
      <c r="AH71">
        <v>38</v>
      </c>
      <c r="AI71">
        <v>32</v>
      </c>
      <c r="AJ71">
        <v>83</v>
      </c>
      <c r="AK71">
        <v>92</v>
      </c>
      <c r="AL71">
        <v>671595840</v>
      </c>
      <c r="AM71">
        <v>816440960</v>
      </c>
      <c r="AN71">
        <v>1194845184</v>
      </c>
      <c r="AO71">
        <v>1334610304</v>
      </c>
      <c r="AP71">
        <v>294812576</v>
      </c>
      <c r="AQ71">
        <v>347743616</v>
      </c>
      <c r="AR71">
        <v>774148160</v>
      </c>
      <c r="AS71">
        <v>830621504</v>
      </c>
      <c r="AT71">
        <v>687157248</v>
      </c>
      <c r="AU71">
        <v>668123008</v>
      </c>
      <c r="AV71">
        <v>765872256</v>
      </c>
      <c r="AW71">
        <v>558292096</v>
      </c>
      <c r="AX71">
        <v>207641728</v>
      </c>
      <c r="AY71">
        <v>218508080</v>
      </c>
      <c r="AZ71">
        <v>400804672</v>
      </c>
      <c r="BA71">
        <v>440179680</v>
      </c>
    </row>
    <row r="72" spans="1:53">
      <c r="A72">
        <v>16798</v>
      </c>
      <c r="B72" t="s">
        <v>358</v>
      </c>
      <c r="C72" t="s">
        <v>359</v>
      </c>
      <c r="D72" t="s">
        <v>360</v>
      </c>
      <c r="E72" t="s">
        <v>361</v>
      </c>
      <c r="F72" t="s">
        <v>362</v>
      </c>
      <c r="G72">
        <v>386.53399999999999</v>
      </c>
      <c r="H72" t="s">
        <v>58</v>
      </c>
      <c r="I72">
        <v>2</v>
      </c>
      <c r="J72">
        <v>12</v>
      </c>
      <c r="K72">
        <v>8</v>
      </c>
      <c r="L72">
        <v>70.08</v>
      </c>
      <c r="M72">
        <v>14284</v>
      </c>
      <c r="N72">
        <v>11</v>
      </c>
      <c r="O72">
        <v>9</v>
      </c>
      <c r="P72">
        <v>9</v>
      </c>
      <c r="Q72">
        <v>9</v>
      </c>
      <c r="R72">
        <v>9</v>
      </c>
      <c r="S72">
        <v>161</v>
      </c>
      <c r="T72">
        <v>161</v>
      </c>
      <c r="U72">
        <v>9</v>
      </c>
      <c r="V72">
        <v>9</v>
      </c>
      <c r="W72">
        <v>9</v>
      </c>
      <c r="X72">
        <v>8</v>
      </c>
      <c r="Y72">
        <v>8</v>
      </c>
      <c r="Z72">
        <v>8</v>
      </c>
      <c r="AA72">
        <v>8</v>
      </c>
      <c r="AB72">
        <v>8</v>
      </c>
      <c r="AC72">
        <v>8</v>
      </c>
      <c r="AD72">
        <v>39</v>
      </c>
      <c r="AE72">
        <v>34</v>
      </c>
      <c r="AF72">
        <v>17</v>
      </c>
      <c r="AG72">
        <v>15</v>
      </c>
      <c r="AH72">
        <v>19</v>
      </c>
      <c r="AI72">
        <v>17</v>
      </c>
      <c r="AJ72">
        <v>11</v>
      </c>
      <c r="AK72">
        <v>9</v>
      </c>
      <c r="AL72">
        <v>126625272</v>
      </c>
      <c r="AM72">
        <v>143421696</v>
      </c>
      <c r="AN72">
        <v>117498816</v>
      </c>
      <c r="AO72">
        <v>139998288</v>
      </c>
      <c r="AP72">
        <v>76106032</v>
      </c>
      <c r="AQ72">
        <v>75688504</v>
      </c>
      <c r="AR72">
        <v>50150840</v>
      </c>
      <c r="AS72">
        <v>40624920</v>
      </c>
      <c r="AT72">
        <v>151997792</v>
      </c>
      <c r="AU72">
        <v>180140048</v>
      </c>
      <c r="AV72">
        <v>59470724</v>
      </c>
      <c r="AW72">
        <v>51031892</v>
      </c>
      <c r="AX72">
        <v>48116148</v>
      </c>
      <c r="AY72">
        <v>42443232</v>
      </c>
      <c r="AZ72">
        <v>25946086</v>
      </c>
      <c r="BA72">
        <v>19841432</v>
      </c>
    </row>
    <row r="73" spans="1:53">
      <c r="A73">
        <v>16688</v>
      </c>
      <c r="B73" t="s">
        <v>363</v>
      </c>
      <c r="C73" t="s">
        <v>364</v>
      </c>
      <c r="D73" t="s">
        <v>365</v>
      </c>
      <c r="E73" t="s">
        <v>366</v>
      </c>
      <c r="F73" t="s">
        <v>367</v>
      </c>
      <c r="G73">
        <v>375.91</v>
      </c>
      <c r="H73" t="s">
        <v>58</v>
      </c>
      <c r="I73">
        <v>2</v>
      </c>
      <c r="J73">
        <v>15</v>
      </c>
      <c r="K73">
        <v>6</v>
      </c>
      <c r="L73">
        <v>28.35</v>
      </c>
      <c r="M73">
        <v>74013</v>
      </c>
      <c r="N73">
        <v>46</v>
      </c>
      <c r="O73">
        <v>19</v>
      </c>
      <c r="P73">
        <v>19</v>
      </c>
      <c r="Q73">
        <v>19</v>
      </c>
      <c r="R73">
        <v>19</v>
      </c>
      <c r="S73">
        <v>89</v>
      </c>
      <c r="T73">
        <v>89</v>
      </c>
      <c r="U73">
        <v>19</v>
      </c>
      <c r="V73">
        <v>14</v>
      </c>
      <c r="W73">
        <v>13</v>
      </c>
      <c r="X73">
        <v>19</v>
      </c>
      <c r="Y73">
        <v>18</v>
      </c>
      <c r="Z73">
        <v>18</v>
      </c>
      <c r="AA73">
        <v>17</v>
      </c>
      <c r="AB73">
        <v>18</v>
      </c>
      <c r="AC73">
        <v>19</v>
      </c>
      <c r="AD73">
        <v>14</v>
      </c>
      <c r="AE73">
        <v>4</v>
      </c>
      <c r="AF73">
        <v>6</v>
      </c>
      <c r="AG73">
        <v>12</v>
      </c>
      <c r="AH73">
        <v>11</v>
      </c>
      <c r="AI73">
        <v>16</v>
      </c>
      <c r="AJ73">
        <v>11</v>
      </c>
      <c r="AK73">
        <v>15</v>
      </c>
      <c r="AL73">
        <v>34153756</v>
      </c>
      <c r="AM73">
        <v>33494602</v>
      </c>
      <c r="AN73">
        <v>126040056</v>
      </c>
      <c r="AO73">
        <v>96234624</v>
      </c>
      <c r="AP73">
        <v>66803428</v>
      </c>
      <c r="AQ73">
        <v>80636400</v>
      </c>
      <c r="AR73">
        <v>75634368</v>
      </c>
      <c r="AS73">
        <v>86275992</v>
      </c>
      <c r="AT73">
        <v>43645964</v>
      </c>
      <c r="AU73">
        <v>40030344</v>
      </c>
      <c r="AV73">
        <v>40669956</v>
      </c>
      <c r="AW73">
        <v>33937048</v>
      </c>
      <c r="AX73">
        <v>41497584</v>
      </c>
      <c r="AY73">
        <v>47838216</v>
      </c>
      <c r="AZ73">
        <v>39396540</v>
      </c>
      <c r="BA73">
        <v>43645964</v>
      </c>
    </row>
    <row r="74" spans="1:53">
      <c r="A74">
        <v>16803</v>
      </c>
      <c r="B74" t="s">
        <v>368</v>
      </c>
      <c r="C74" t="s">
        <v>369</v>
      </c>
      <c r="D74" t="s">
        <v>370</v>
      </c>
      <c r="F74" t="s">
        <v>371</v>
      </c>
      <c r="G74">
        <v>374.96699999999998</v>
      </c>
      <c r="H74" t="s">
        <v>58</v>
      </c>
      <c r="I74">
        <v>2</v>
      </c>
      <c r="J74">
        <v>21</v>
      </c>
      <c r="K74">
        <v>0</v>
      </c>
      <c r="L74">
        <v>69.569999999999993</v>
      </c>
      <c r="M74">
        <v>10430</v>
      </c>
      <c r="N74">
        <v>6</v>
      </c>
      <c r="O74">
        <v>7</v>
      </c>
      <c r="P74">
        <v>7</v>
      </c>
      <c r="Q74">
        <v>8</v>
      </c>
      <c r="R74">
        <v>8</v>
      </c>
      <c r="S74">
        <v>1882</v>
      </c>
      <c r="T74">
        <v>1882</v>
      </c>
      <c r="U74">
        <v>8</v>
      </c>
      <c r="V74">
        <v>4</v>
      </c>
      <c r="W74">
        <v>5</v>
      </c>
      <c r="X74">
        <v>6</v>
      </c>
      <c r="Y74">
        <v>7</v>
      </c>
      <c r="Z74">
        <v>6</v>
      </c>
      <c r="AA74">
        <v>7</v>
      </c>
      <c r="AB74">
        <v>8</v>
      </c>
      <c r="AC74">
        <v>8</v>
      </c>
      <c r="AD74">
        <v>146</v>
      </c>
      <c r="AE74">
        <v>178</v>
      </c>
      <c r="AF74">
        <v>224</v>
      </c>
      <c r="AG74">
        <v>280</v>
      </c>
      <c r="AH74">
        <v>317</v>
      </c>
      <c r="AI74">
        <v>266</v>
      </c>
      <c r="AJ74">
        <v>235</v>
      </c>
      <c r="AK74">
        <v>236</v>
      </c>
      <c r="AL74">
        <v>1606820864</v>
      </c>
      <c r="AM74">
        <v>1433182080</v>
      </c>
      <c r="AN74">
        <v>1446503680</v>
      </c>
      <c r="AO74">
        <v>1849489664</v>
      </c>
      <c r="AP74">
        <v>1178465792</v>
      </c>
      <c r="AQ74">
        <v>1270247168</v>
      </c>
      <c r="AR74">
        <v>1133269504</v>
      </c>
      <c r="AS74">
        <v>1104341120</v>
      </c>
      <c r="AT74">
        <v>378385056</v>
      </c>
      <c r="AU74">
        <v>964562560</v>
      </c>
      <c r="AV74">
        <v>939776256</v>
      </c>
      <c r="AW74">
        <v>1240424704</v>
      </c>
      <c r="AX74">
        <v>1078793472</v>
      </c>
      <c r="AY74">
        <v>1051120000</v>
      </c>
      <c r="AZ74">
        <v>1119666304</v>
      </c>
      <c r="BA74">
        <v>989721984</v>
      </c>
    </row>
    <row r="75" spans="1:53">
      <c r="A75">
        <v>16694</v>
      </c>
      <c r="B75" t="s">
        <v>372</v>
      </c>
      <c r="C75" t="s">
        <v>373</v>
      </c>
      <c r="D75" t="s">
        <v>374</v>
      </c>
      <c r="F75" t="s">
        <v>375</v>
      </c>
      <c r="G75">
        <v>374.00900000000001</v>
      </c>
      <c r="H75" t="s">
        <v>58</v>
      </c>
      <c r="I75">
        <v>2</v>
      </c>
      <c r="J75">
        <v>21</v>
      </c>
      <c r="K75">
        <v>0</v>
      </c>
      <c r="L75">
        <v>76.14</v>
      </c>
      <c r="M75">
        <v>10234</v>
      </c>
      <c r="N75">
        <v>7</v>
      </c>
      <c r="O75">
        <v>7</v>
      </c>
      <c r="P75">
        <v>7</v>
      </c>
      <c r="Q75">
        <v>8</v>
      </c>
      <c r="R75">
        <v>8</v>
      </c>
      <c r="S75">
        <v>578</v>
      </c>
      <c r="T75">
        <v>578</v>
      </c>
      <c r="U75">
        <v>8</v>
      </c>
      <c r="V75">
        <v>8</v>
      </c>
      <c r="W75">
        <v>8</v>
      </c>
      <c r="X75">
        <v>8</v>
      </c>
      <c r="Y75">
        <v>8</v>
      </c>
      <c r="Z75">
        <v>6</v>
      </c>
      <c r="AA75">
        <v>8</v>
      </c>
      <c r="AB75">
        <v>7</v>
      </c>
      <c r="AC75">
        <v>8</v>
      </c>
      <c r="AD75">
        <v>117</v>
      </c>
      <c r="AE75">
        <v>113</v>
      </c>
      <c r="AF75">
        <v>141</v>
      </c>
      <c r="AG75">
        <v>107</v>
      </c>
      <c r="AH75">
        <v>19</v>
      </c>
      <c r="AI75">
        <v>13</v>
      </c>
      <c r="AJ75">
        <v>28</v>
      </c>
      <c r="AK75">
        <v>40</v>
      </c>
      <c r="AL75">
        <v>174090496</v>
      </c>
      <c r="AM75">
        <v>119813320</v>
      </c>
      <c r="AN75">
        <v>282365408</v>
      </c>
      <c r="AO75">
        <v>385399904</v>
      </c>
      <c r="AP75">
        <v>67453032</v>
      </c>
      <c r="AQ75">
        <v>64157356</v>
      </c>
      <c r="AR75">
        <v>174006720</v>
      </c>
      <c r="AS75">
        <v>203640672</v>
      </c>
      <c r="AT75">
        <v>230040384</v>
      </c>
      <c r="AU75">
        <v>174788928</v>
      </c>
      <c r="AV75">
        <v>194730064</v>
      </c>
      <c r="AW75">
        <v>187295296</v>
      </c>
      <c r="AX75">
        <v>56884088</v>
      </c>
      <c r="AY75">
        <v>54533076</v>
      </c>
      <c r="AZ75">
        <v>137524496</v>
      </c>
      <c r="BA75">
        <v>141835984</v>
      </c>
    </row>
    <row r="76" spans="1:53">
      <c r="A76">
        <v>16859</v>
      </c>
      <c r="B76" t="s">
        <v>376</v>
      </c>
      <c r="C76" t="s">
        <v>322</v>
      </c>
      <c r="D76" t="s">
        <v>376</v>
      </c>
      <c r="F76" t="s">
        <v>377</v>
      </c>
      <c r="G76">
        <v>373.02100000000002</v>
      </c>
      <c r="H76" t="s">
        <v>58</v>
      </c>
      <c r="I76">
        <v>2</v>
      </c>
      <c r="J76">
        <v>1</v>
      </c>
      <c r="K76">
        <v>0</v>
      </c>
      <c r="L76">
        <v>32.11</v>
      </c>
      <c r="M76">
        <v>40277</v>
      </c>
      <c r="N76">
        <v>21</v>
      </c>
      <c r="O76">
        <v>11</v>
      </c>
      <c r="P76">
        <v>1</v>
      </c>
      <c r="Q76">
        <v>11</v>
      </c>
      <c r="R76">
        <v>1</v>
      </c>
      <c r="S76">
        <v>322</v>
      </c>
      <c r="T76">
        <v>8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2</v>
      </c>
      <c r="AI76">
        <v>1</v>
      </c>
      <c r="AJ76">
        <v>0</v>
      </c>
      <c r="AK76">
        <v>1</v>
      </c>
      <c r="AL76">
        <v>140447568</v>
      </c>
      <c r="AM76">
        <v>121469656</v>
      </c>
      <c r="AN76">
        <v>340904320</v>
      </c>
      <c r="AO76">
        <v>373798528</v>
      </c>
      <c r="AP76">
        <v>268876512</v>
      </c>
      <c r="AQ76">
        <v>286885728</v>
      </c>
      <c r="AR76">
        <v>252962400</v>
      </c>
      <c r="AS76">
        <v>269694496</v>
      </c>
      <c r="AT76">
        <v>16180059</v>
      </c>
      <c r="AU76">
        <v>12826388</v>
      </c>
      <c r="AV76">
        <v>13603721</v>
      </c>
      <c r="AW76">
        <v>11890271</v>
      </c>
      <c r="AX76">
        <v>17990024</v>
      </c>
      <c r="AY76">
        <v>17161070</v>
      </c>
      <c r="AZ76">
        <v>13031321</v>
      </c>
      <c r="BA76">
        <v>13702510</v>
      </c>
    </row>
    <row r="77" spans="1:53">
      <c r="A77">
        <v>16764</v>
      </c>
      <c r="B77" t="s">
        <v>378</v>
      </c>
      <c r="C77" t="s">
        <v>379</v>
      </c>
      <c r="D77" t="s">
        <v>380</v>
      </c>
      <c r="F77" t="s">
        <v>381</v>
      </c>
      <c r="G77">
        <v>371.55099999999999</v>
      </c>
      <c r="H77" t="s">
        <v>58</v>
      </c>
      <c r="I77">
        <v>2</v>
      </c>
      <c r="J77">
        <v>20</v>
      </c>
      <c r="K77">
        <v>0</v>
      </c>
      <c r="L77">
        <v>48.28</v>
      </c>
      <c r="M77">
        <v>9684</v>
      </c>
      <c r="N77">
        <v>4</v>
      </c>
      <c r="O77">
        <v>8</v>
      </c>
      <c r="P77">
        <v>8</v>
      </c>
      <c r="Q77">
        <v>9</v>
      </c>
      <c r="R77">
        <v>9</v>
      </c>
      <c r="S77">
        <v>1321</v>
      </c>
      <c r="T77">
        <v>1321</v>
      </c>
      <c r="U77">
        <v>9</v>
      </c>
      <c r="V77">
        <v>4</v>
      </c>
      <c r="W77">
        <v>7</v>
      </c>
      <c r="X77">
        <v>8</v>
      </c>
      <c r="Y77">
        <v>9</v>
      </c>
      <c r="Z77">
        <v>9</v>
      </c>
      <c r="AA77">
        <v>8</v>
      </c>
      <c r="AB77">
        <v>8</v>
      </c>
      <c r="AC77">
        <v>9</v>
      </c>
      <c r="AD77">
        <v>199</v>
      </c>
      <c r="AE77">
        <v>214</v>
      </c>
      <c r="AF77">
        <v>182</v>
      </c>
      <c r="AG77">
        <v>162</v>
      </c>
      <c r="AH77">
        <v>155</v>
      </c>
      <c r="AI77">
        <v>147</v>
      </c>
      <c r="AJ77">
        <v>106</v>
      </c>
      <c r="AK77">
        <v>156</v>
      </c>
      <c r="AL77">
        <v>1902126208</v>
      </c>
      <c r="AM77">
        <v>2091141248</v>
      </c>
      <c r="AN77">
        <v>1329081344</v>
      </c>
      <c r="AO77">
        <v>1719872512</v>
      </c>
      <c r="AP77">
        <v>1055136384</v>
      </c>
      <c r="AQ77">
        <v>1056120448</v>
      </c>
      <c r="AR77">
        <v>834818112</v>
      </c>
      <c r="AS77">
        <v>1409396224</v>
      </c>
      <c r="AT77">
        <v>72418856</v>
      </c>
      <c r="AU77">
        <v>897612608</v>
      </c>
      <c r="AV77">
        <v>781321472</v>
      </c>
      <c r="AW77">
        <v>1507972608</v>
      </c>
      <c r="AX77">
        <v>1116693376</v>
      </c>
      <c r="AY77">
        <v>842564096</v>
      </c>
      <c r="AZ77">
        <v>868217536</v>
      </c>
      <c r="BA77">
        <v>1004225856</v>
      </c>
    </row>
    <row r="78" spans="1:53">
      <c r="A78">
        <v>16751</v>
      </c>
      <c r="B78" t="s">
        <v>382</v>
      </c>
      <c r="D78" t="s">
        <v>382</v>
      </c>
      <c r="E78" t="s">
        <v>383</v>
      </c>
      <c r="F78" t="s">
        <v>384</v>
      </c>
      <c r="G78">
        <v>371.238</v>
      </c>
      <c r="H78" t="s">
        <v>58</v>
      </c>
      <c r="I78">
        <v>2</v>
      </c>
      <c r="J78">
        <v>1</v>
      </c>
      <c r="K78">
        <v>1</v>
      </c>
      <c r="L78">
        <v>55.92</v>
      </c>
      <c r="M78">
        <v>27714</v>
      </c>
      <c r="N78">
        <v>13</v>
      </c>
      <c r="O78">
        <v>9</v>
      </c>
      <c r="P78">
        <v>9</v>
      </c>
      <c r="Q78">
        <v>10</v>
      </c>
      <c r="R78">
        <v>10</v>
      </c>
      <c r="S78">
        <v>422</v>
      </c>
      <c r="T78">
        <v>422</v>
      </c>
      <c r="U78">
        <v>10</v>
      </c>
      <c r="V78">
        <v>7</v>
      </c>
      <c r="W78">
        <v>7</v>
      </c>
      <c r="X78">
        <v>9</v>
      </c>
      <c r="Y78">
        <v>8</v>
      </c>
      <c r="Z78">
        <v>7</v>
      </c>
      <c r="AA78">
        <v>7</v>
      </c>
      <c r="AB78">
        <v>8</v>
      </c>
      <c r="AC78">
        <v>9</v>
      </c>
      <c r="AD78">
        <v>72</v>
      </c>
      <c r="AE78">
        <v>83</v>
      </c>
      <c r="AF78">
        <v>82</v>
      </c>
      <c r="AG78">
        <v>56</v>
      </c>
      <c r="AH78">
        <v>22</v>
      </c>
      <c r="AI78">
        <v>22</v>
      </c>
      <c r="AJ78">
        <v>40</v>
      </c>
      <c r="AK78">
        <v>43</v>
      </c>
      <c r="AL78">
        <v>164938720</v>
      </c>
      <c r="AM78">
        <v>161214672</v>
      </c>
      <c r="AN78">
        <v>262732336</v>
      </c>
      <c r="AO78">
        <v>319299008</v>
      </c>
      <c r="AP78">
        <v>48546400</v>
      </c>
      <c r="AQ78">
        <v>52987348</v>
      </c>
      <c r="AR78">
        <v>131162688</v>
      </c>
      <c r="AS78">
        <v>125733376</v>
      </c>
      <c r="AT78">
        <v>142710512</v>
      </c>
      <c r="AU78">
        <v>136497488</v>
      </c>
      <c r="AV78">
        <v>134165056</v>
      </c>
      <c r="AW78">
        <v>108473904</v>
      </c>
      <c r="AX78">
        <v>34972336</v>
      </c>
      <c r="AY78">
        <v>33299914</v>
      </c>
      <c r="AZ78">
        <v>86870544</v>
      </c>
      <c r="BA78">
        <v>86586024</v>
      </c>
    </row>
    <row r="79" spans="1:53">
      <c r="A79">
        <v>16722</v>
      </c>
      <c r="B79" t="s">
        <v>385</v>
      </c>
      <c r="C79" t="s">
        <v>386</v>
      </c>
      <c r="D79" t="s">
        <v>387</v>
      </c>
      <c r="F79" t="s">
        <v>388</v>
      </c>
      <c r="G79">
        <v>356.62799999999999</v>
      </c>
      <c r="H79" t="s">
        <v>58</v>
      </c>
      <c r="I79">
        <v>2</v>
      </c>
      <c r="J79">
        <v>21</v>
      </c>
      <c r="K79">
        <v>0</v>
      </c>
      <c r="L79">
        <v>81.69</v>
      </c>
      <c r="M79">
        <v>16018</v>
      </c>
      <c r="N79">
        <v>8</v>
      </c>
      <c r="O79">
        <v>13</v>
      </c>
      <c r="P79">
        <v>13</v>
      </c>
      <c r="Q79">
        <v>13</v>
      </c>
      <c r="R79">
        <v>13</v>
      </c>
      <c r="S79">
        <v>371</v>
      </c>
      <c r="T79">
        <v>371</v>
      </c>
      <c r="U79">
        <v>13</v>
      </c>
      <c r="V79">
        <v>10</v>
      </c>
      <c r="W79">
        <v>11</v>
      </c>
      <c r="X79">
        <v>11</v>
      </c>
      <c r="Y79">
        <v>13</v>
      </c>
      <c r="Z79">
        <v>11</v>
      </c>
      <c r="AA79">
        <v>12</v>
      </c>
      <c r="AB79">
        <v>12</v>
      </c>
      <c r="AC79">
        <v>12</v>
      </c>
      <c r="AD79">
        <v>69</v>
      </c>
      <c r="AE79">
        <v>69</v>
      </c>
      <c r="AF79">
        <v>22</v>
      </c>
      <c r="AG79">
        <v>35</v>
      </c>
      <c r="AH79">
        <v>37</v>
      </c>
      <c r="AI79">
        <v>49</v>
      </c>
      <c r="AJ79">
        <v>43</v>
      </c>
      <c r="AK79">
        <v>47</v>
      </c>
      <c r="AL79">
        <v>485638336</v>
      </c>
      <c r="AM79">
        <v>604378816</v>
      </c>
      <c r="AN79">
        <v>231604224</v>
      </c>
      <c r="AO79">
        <v>302244832</v>
      </c>
      <c r="AP79">
        <v>280283136</v>
      </c>
      <c r="AQ79">
        <v>398240192</v>
      </c>
      <c r="AR79">
        <v>326438720</v>
      </c>
      <c r="AS79">
        <v>337329856</v>
      </c>
      <c r="AT79">
        <v>403559360</v>
      </c>
      <c r="AU79">
        <v>555920576</v>
      </c>
      <c r="AV79">
        <v>121770240</v>
      </c>
      <c r="AW79">
        <v>153035712</v>
      </c>
      <c r="AX79">
        <v>187952464</v>
      </c>
      <c r="AY79">
        <v>250085712</v>
      </c>
      <c r="AZ79">
        <v>211626800</v>
      </c>
      <c r="BA79">
        <v>205146912</v>
      </c>
    </row>
    <row r="80" spans="1:53">
      <c r="A80">
        <v>16795</v>
      </c>
      <c r="B80" t="s">
        <v>389</v>
      </c>
      <c r="C80" t="s">
        <v>390</v>
      </c>
      <c r="D80" t="s">
        <v>391</v>
      </c>
      <c r="F80" t="s">
        <v>392</v>
      </c>
      <c r="G80">
        <v>356.56200000000001</v>
      </c>
      <c r="H80" t="s">
        <v>58</v>
      </c>
      <c r="I80">
        <v>2</v>
      </c>
      <c r="J80">
        <v>9</v>
      </c>
      <c r="K80">
        <v>0</v>
      </c>
      <c r="L80">
        <v>19.75</v>
      </c>
      <c r="M80">
        <v>69114</v>
      </c>
      <c r="N80">
        <v>39</v>
      </c>
      <c r="O80">
        <v>11</v>
      </c>
      <c r="P80">
        <v>11</v>
      </c>
      <c r="Q80">
        <v>11</v>
      </c>
      <c r="R80">
        <v>11</v>
      </c>
      <c r="S80">
        <v>72</v>
      </c>
      <c r="T80">
        <v>72</v>
      </c>
      <c r="U80">
        <v>11</v>
      </c>
      <c r="V80">
        <v>8</v>
      </c>
      <c r="W80">
        <v>6</v>
      </c>
      <c r="X80">
        <v>9</v>
      </c>
      <c r="Y80">
        <v>10</v>
      </c>
      <c r="Z80">
        <v>11</v>
      </c>
      <c r="AA80">
        <v>10</v>
      </c>
      <c r="AB80">
        <v>10</v>
      </c>
      <c r="AC80">
        <v>11</v>
      </c>
      <c r="AD80">
        <v>7</v>
      </c>
      <c r="AE80">
        <v>5</v>
      </c>
      <c r="AF80">
        <v>9</v>
      </c>
      <c r="AG80">
        <v>10</v>
      </c>
      <c r="AH80">
        <v>12</v>
      </c>
      <c r="AI80">
        <v>12</v>
      </c>
      <c r="AJ80">
        <v>8</v>
      </c>
      <c r="AK80">
        <v>9</v>
      </c>
      <c r="AL80">
        <v>19527196</v>
      </c>
      <c r="AM80">
        <v>12361025</v>
      </c>
      <c r="AN80">
        <v>46686248</v>
      </c>
      <c r="AO80">
        <v>69466344</v>
      </c>
      <c r="AP80">
        <v>36698244</v>
      </c>
      <c r="AQ80">
        <v>41960800</v>
      </c>
      <c r="AR80">
        <v>29341724</v>
      </c>
      <c r="AS80">
        <v>34499244</v>
      </c>
      <c r="AT80">
        <v>17311950</v>
      </c>
      <c r="AU80">
        <v>4188656.25</v>
      </c>
      <c r="AV80">
        <v>17781756</v>
      </c>
      <c r="AW80">
        <v>30408982</v>
      </c>
      <c r="AX80">
        <v>23345356</v>
      </c>
      <c r="AY80">
        <v>22642400</v>
      </c>
      <c r="AZ80">
        <v>17605328</v>
      </c>
      <c r="BA80">
        <v>20585470</v>
      </c>
    </row>
    <row r="81" spans="1:53">
      <c r="A81">
        <v>16826</v>
      </c>
      <c r="B81" t="s">
        <v>393</v>
      </c>
      <c r="C81" t="s">
        <v>394</v>
      </c>
      <c r="D81" t="s">
        <v>395</v>
      </c>
      <c r="F81" t="s">
        <v>396</v>
      </c>
      <c r="G81">
        <v>352.517</v>
      </c>
      <c r="H81" t="s">
        <v>58</v>
      </c>
      <c r="I81">
        <v>2</v>
      </c>
      <c r="J81">
        <v>2</v>
      </c>
      <c r="K81">
        <v>0</v>
      </c>
      <c r="L81">
        <v>29.02</v>
      </c>
      <c r="M81">
        <v>43110</v>
      </c>
      <c r="N81">
        <v>21</v>
      </c>
      <c r="O81">
        <v>13</v>
      </c>
      <c r="P81">
        <v>13</v>
      </c>
      <c r="Q81">
        <v>13</v>
      </c>
      <c r="R81">
        <v>13</v>
      </c>
      <c r="S81">
        <v>103</v>
      </c>
      <c r="T81">
        <v>103</v>
      </c>
      <c r="U81">
        <v>13</v>
      </c>
      <c r="V81">
        <v>8</v>
      </c>
      <c r="W81">
        <v>10</v>
      </c>
      <c r="X81">
        <v>12</v>
      </c>
      <c r="Y81">
        <v>13</v>
      </c>
      <c r="Z81">
        <v>12</v>
      </c>
      <c r="AA81">
        <v>12</v>
      </c>
      <c r="AB81">
        <v>12</v>
      </c>
      <c r="AC81">
        <v>13</v>
      </c>
      <c r="AD81">
        <v>8</v>
      </c>
      <c r="AE81">
        <v>13</v>
      </c>
      <c r="AF81">
        <v>14</v>
      </c>
      <c r="AG81">
        <v>14</v>
      </c>
      <c r="AH81">
        <v>13</v>
      </c>
      <c r="AI81">
        <v>14</v>
      </c>
      <c r="AJ81">
        <v>14</v>
      </c>
      <c r="AK81">
        <v>13</v>
      </c>
      <c r="AL81">
        <v>34905752</v>
      </c>
      <c r="AM81">
        <v>48297512</v>
      </c>
      <c r="AN81">
        <v>135061696</v>
      </c>
      <c r="AO81">
        <v>171899344</v>
      </c>
      <c r="AP81">
        <v>69680360</v>
      </c>
      <c r="AQ81">
        <v>76504544</v>
      </c>
      <c r="AR81">
        <v>62798080</v>
      </c>
      <c r="AS81">
        <v>79979832</v>
      </c>
      <c r="AT81">
        <v>31749206</v>
      </c>
      <c r="AU81">
        <v>38919636</v>
      </c>
      <c r="AV81">
        <v>64038180</v>
      </c>
      <c r="AW81">
        <v>78660944</v>
      </c>
      <c r="AX81">
        <v>39864988</v>
      </c>
      <c r="AY81">
        <v>40683848</v>
      </c>
      <c r="AZ81">
        <v>36238636</v>
      </c>
      <c r="BA81">
        <v>40637704</v>
      </c>
    </row>
    <row r="82" spans="1:53">
      <c r="A82">
        <v>16691</v>
      </c>
      <c r="B82" t="s">
        <v>397</v>
      </c>
      <c r="C82" t="s">
        <v>398</v>
      </c>
      <c r="D82" t="s">
        <v>399</v>
      </c>
      <c r="E82" t="s">
        <v>400</v>
      </c>
      <c r="F82" t="s">
        <v>401</v>
      </c>
      <c r="G82">
        <v>351.29700000000003</v>
      </c>
      <c r="H82" t="s">
        <v>58</v>
      </c>
      <c r="I82">
        <v>2</v>
      </c>
      <c r="J82">
        <v>10</v>
      </c>
      <c r="K82">
        <v>11</v>
      </c>
      <c r="L82">
        <v>24.26</v>
      </c>
      <c r="M82">
        <v>64640</v>
      </c>
      <c r="N82">
        <v>37</v>
      </c>
      <c r="O82">
        <v>12</v>
      </c>
      <c r="P82">
        <v>12</v>
      </c>
      <c r="Q82">
        <v>12</v>
      </c>
      <c r="R82">
        <v>12</v>
      </c>
      <c r="S82">
        <v>49</v>
      </c>
      <c r="T82">
        <v>49</v>
      </c>
      <c r="U82">
        <v>12</v>
      </c>
      <c r="V82">
        <v>9</v>
      </c>
      <c r="W82">
        <v>8</v>
      </c>
      <c r="X82">
        <v>10</v>
      </c>
      <c r="Y82">
        <v>10</v>
      </c>
      <c r="Z82">
        <v>12</v>
      </c>
      <c r="AA82">
        <v>12</v>
      </c>
      <c r="AB82">
        <v>11</v>
      </c>
      <c r="AC82">
        <v>10</v>
      </c>
      <c r="AD82">
        <v>5</v>
      </c>
      <c r="AE82">
        <v>2</v>
      </c>
      <c r="AF82">
        <v>3</v>
      </c>
      <c r="AG82">
        <v>4</v>
      </c>
      <c r="AH82">
        <v>7</v>
      </c>
      <c r="AI82">
        <v>12</v>
      </c>
      <c r="AJ82">
        <v>4</v>
      </c>
      <c r="AK82">
        <v>12</v>
      </c>
      <c r="AL82">
        <v>15464687</v>
      </c>
      <c r="AM82">
        <v>15145338</v>
      </c>
      <c r="AN82">
        <v>15858089</v>
      </c>
      <c r="AO82">
        <v>18824152</v>
      </c>
      <c r="AP82">
        <v>23635928</v>
      </c>
      <c r="AQ82">
        <v>34065260</v>
      </c>
      <c r="AR82">
        <v>21302576</v>
      </c>
      <c r="AS82">
        <v>29478742</v>
      </c>
      <c r="AT82">
        <v>15462984</v>
      </c>
      <c r="AU82">
        <v>15024726</v>
      </c>
      <c r="AV82">
        <v>7496217</v>
      </c>
      <c r="AW82">
        <v>7220628.5</v>
      </c>
      <c r="AX82">
        <v>13938579</v>
      </c>
      <c r="AY82">
        <v>18997706</v>
      </c>
      <c r="AZ82">
        <v>11162094</v>
      </c>
      <c r="BA82">
        <v>13928578</v>
      </c>
    </row>
    <row r="83" spans="1:53">
      <c r="A83">
        <v>16706</v>
      </c>
      <c r="B83" t="s">
        <v>402</v>
      </c>
      <c r="C83" t="s">
        <v>403</v>
      </c>
      <c r="D83" t="s">
        <v>404</v>
      </c>
      <c r="F83" t="s">
        <v>405</v>
      </c>
      <c r="G83">
        <v>336.59199999999998</v>
      </c>
      <c r="H83" t="s">
        <v>58</v>
      </c>
      <c r="I83">
        <v>2</v>
      </c>
      <c r="J83">
        <v>3</v>
      </c>
      <c r="K83">
        <v>0</v>
      </c>
      <c r="L83">
        <v>17.899999999999999</v>
      </c>
      <c r="M83">
        <v>105060</v>
      </c>
      <c r="N83">
        <v>51</v>
      </c>
      <c r="O83">
        <v>13</v>
      </c>
      <c r="P83">
        <v>13</v>
      </c>
      <c r="Q83">
        <v>13</v>
      </c>
      <c r="R83">
        <v>13</v>
      </c>
      <c r="S83">
        <v>48</v>
      </c>
      <c r="T83">
        <v>48</v>
      </c>
      <c r="U83">
        <v>13</v>
      </c>
      <c r="V83">
        <v>5</v>
      </c>
      <c r="W83">
        <v>6</v>
      </c>
      <c r="X83">
        <v>13</v>
      </c>
      <c r="Y83">
        <v>13</v>
      </c>
      <c r="Z83">
        <v>12</v>
      </c>
      <c r="AA83">
        <v>13</v>
      </c>
      <c r="AB83">
        <v>12</v>
      </c>
      <c r="AC83">
        <v>13</v>
      </c>
      <c r="AD83">
        <v>0</v>
      </c>
      <c r="AE83">
        <v>0</v>
      </c>
      <c r="AF83">
        <v>6</v>
      </c>
      <c r="AG83">
        <v>12</v>
      </c>
      <c r="AH83">
        <v>5</v>
      </c>
      <c r="AI83">
        <v>10</v>
      </c>
      <c r="AJ83">
        <v>8</v>
      </c>
      <c r="AK83">
        <v>7</v>
      </c>
      <c r="AL83">
        <v>4758183</v>
      </c>
      <c r="AM83">
        <v>5794201</v>
      </c>
      <c r="AN83">
        <v>24808878</v>
      </c>
      <c r="AO83">
        <v>31537796</v>
      </c>
      <c r="AP83">
        <v>14045788</v>
      </c>
      <c r="AQ83">
        <v>16165631</v>
      </c>
      <c r="AR83">
        <v>14575203</v>
      </c>
      <c r="AS83">
        <v>17655578</v>
      </c>
      <c r="AT83">
        <v>531274.12</v>
      </c>
      <c r="AU83">
        <v>496453.91</v>
      </c>
      <c r="AV83">
        <v>14898365</v>
      </c>
      <c r="AW83">
        <v>12629201</v>
      </c>
      <c r="AX83">
        <v>9026881</v>
      </c>
      <c r="AY83">
        <v>9164639</v>
      </c>
      <c r="AZ83">
        <v>8406478</v>
      </c>
      <c r="BA83">
        <v>9346403</v>
      </c>
    </row>
    <row r="84" spans="1:53">
      <c r="A84">
        <v>16695</v>
      </c>
      <c r="B84" t="s">
        <v>406</v>
      </c>
      <c r="C84" t="s">
        <v>407</v>
      </c>
      <c r="D84" t="s">
        <v>408</v>
      </c>
      <c r="F84" t="s">
        <v>409</v>
      </c>
      <c r="G84">
        <v>334.31599999999997</v>
      </c>
      <c r="H84" t="s">
        <v>58</v>
      </c>
      <c r="I84">
        <v>2</v>
      </c>
      <c r="J84">
        <v>19</v>
      </c>
      <c r="K84">
        <v>0</v>
      </c>
      <c r="L84">
        <v>58.54</v>
      </c>
      <c r="M84">
        <v>9190</v>
      </c>
      <c r="N84">
        <v>4</v>
      </c>
      <c r="O84">
        <v>7</v>
      </c>
      <c r="P84">
        <v>7</v>
      </c>
      <c r="Q84">
        <v>7</v>
      </c>
      <c r="R84">
        <v>7</v>
      </c>
      <c r="S84">
        <v>1449</v>
      </c>
      <c r="T84">
        <v>1449</v>
      </c>
      <c r="U84">
        <v>7</v>
      </c>
      <c r="V84">
        <v>6</v>
      </c>
      <c r="W84">
        <v>7</v>
      </c>
      <c r="X84">
        <v>7</v>
      </c>
      <c r="Y84">
        <v>7</v>
      </c>
      <c r="Z84">
        <v>7</v>
      </c>
      <c r="AA84">
        <v>7</v>
      </c>
      <c r="AB84">
        <v>7</v>
      </c>
      <c r="AC84">
        <v>7</v>
      </c>
      <c r="AD84">
        <v>153</v>
      </c>
      <c r="AE84">
        <v>176</v>
      </c>
      <c r="AF84">
        <v>237</v>
      </c>
      <c r="AG84">
        <v>202</v>
      </c>
      <c r="AH84">
        <v>193</v>
      </c>
      <c r="AI84">
        <v>181</v>
      </c>
      <c r="AJ84">
        <v>138</v>
      </c>
      <c r="AK84">
        <v>169</v>
      </c>
      <c r="AL84">
        <v>1162873344</v>
      </c>
      <c r="AM84">
        <v>1203464576</v>
      </c>
      <c r="AN84">
        <v>1373198848</v>
      </c>
      <c r="AO84">
        <v>1785121536</v>
      </c>
      <c r="AP84">
        <v>1088250752</v>
      </c>
      <c r="AQ84">
        <v>1087653120</v>
      </c>
      <c r="AR84">
        <v>776024192</v>
      </c>
      <c r="AS84">
        <v>1210152704</v>
      </c>
      <c r="AT84">
        <v>985642496</v>
      </c>
      <c r="AU84">
        <v>1117698304</v>
      </c>
      <c r="AV84">
        <v>1233983232</v>
      </c>
      <c r="AW84">
        <v>1268739840</v>
      </c>
      <c r="AX84">
        <v>1195821952</v>
      </c>
      <c r="AY84">
        <v>1070647424</v>
      </c>
      <c r="AZ84">
        <v>821056128</v>
      </c>
      <c r="BA84">
        <v>1044942144</v>
      </c>
    </row>
    <row r="85" spans="1:53">
      <c r="A85">
        <v>16704</v>
      </c>
      <c r="B85" t="s">
        <v>410</v>
      </c>
      <c r="C85" t="s">
        <v>411</v>
      </c>
      <c r="D85" t="s">
        <v>412</v>
      </c>
      <c r="E85" t="s">
        <v>413</v>
      </c>
      <c r="F85" t="s">
        <v>414</v>
      </c>
      <c r="G85">
        <v>332.78500000000003</v>
      </c>
      <c r="H85" t="s">
        <v>58</v>
      </c>
      <c r="I85">
        <v>2</v>
      </c>
      <c r="J85">
        <v>10</v>
      </c>
      <c r="K85">
        <v>3</v>
      </c>
      <c r="L85">
        <v>36.31</v>
      </c>
      <c r="M85">
        <v>53815</v>
      </c>
      <c r="N85">
        <v>27</v>
      </c>
      <c r="O85">
        <v>13</v>
      </c>
      <c r="P85">
        <v>13</v>
      </c>
      <c r="Q85">
        <v>13</v>
      </c>
      <c r="R85">
        <v>13</v>
      </c>
      <c r="S85">
        <v>80</v>
      </c>
      <c r="T85">
        <v>80</v>
      </c>
      <c r="U85">
        <v>13</v>
      </c>
      <c r="V85">
        <v>8</v>
      </c>
      <c r="W85">
        <v>10</v>
      </c>
      <c r="X85">
        <v>11</v>
      </c>
      <c r="Y85">
        <v>11</v>
      </c>
      <c r="Z85">
        <v>13</v>
      </c>
      <c r="AA85">
        <v>12</v>
      </c>
      <c r="AB85">
        <v>12</v>
      </c>
      <c r="AC85">
        <v>12</v>
      </c>
      <c r="AD85">
        <v>9</v>
      </c>
      <c r="AE85">
        <v>11</v>
      </c>
      <c r="AF85">
        <v>6</v>
      </c>
      <c r="AG85">
        <v>9</v>
      </c>
      <c r="AH85">
        <v>10</v>
      </c>
      <c r="AI85">
        <v>14</v>
      </c>
      <c r="AJ85">
        <v>11</v>
      </c>
      <c r="AK85">
        <v>10</v>
      </c>
      <c r="AL85">
        <v>28605516</v>
      </c>
      <c r="AM85">
        <v>26284622</v>
      </c>
      <c r="AN85">
        <v>391880224</v>
      </c>
      <c r="AO85">
        <v>48399216</v>
      </c>
      <c r="AP85">
        <v>245756800</v>
      </c>
      <c r="AQ85">
        <v>254847584</v>
      </c>
      <c r="AR85">
        <v>185338128</v>
      </c>
      <c r="AS85">
        <v>47552256</v>
      </c>
      <c r="AT85">
        <v>42307692</v>
      </c>
      <c r="AU85">
        <v>67521552</v>
      </c>
      <c r="AV85">
        <v>76206968</v>
      </c>
      <c r="AW85">
        <v>60860648</v>
      </c>
      <c r="AX85">
        <v>126080392</v>
      </c>
      <c r="AY85">
        <v>126529280</v>
      </c>
      <c r="AZ85">
        <v>86915928</v>
      </c>
      <c r="BA85">
        <v>90876040</v>
      </c>
    </row>
    <row r="86" spans="1:53">
      <c r="A86">
        <v>16699</v>
      </c>
      <c r="B86" t="s">
        <v>415</v>
      </c>
      <c r="C86" t="s">
        <v>416</v>
      </c>
      <c r="D86" t="s">
        <v>417</v>
      </c>
      <c r="E86" t="s">
        <v>418</v>
      </c>
      <c r="F86" t="s">
        <v>419</v>
      </c>
      <c r="G86">
        <v>321.435</v>
      </c>
      <c r="H86" t="s">
        <v>58</v>
      </c>
      <c r="I86">
        <v>2</v>
      </c>
      <c r="J86">
        <v>12</v>
      </c>
      <c r="K86">
        <v>9</v>
      </c>
      <c r="L86">
        <v>60.84</v>
      </c>
      <c r="M86">
        <v>15463</v>
      </c>
      <c r="N86">
        <v>10</v>
      </c>
      <c r="O86">
        <v>7</v>
      </c>
      <c r="P86">
        <v>7</v>
      </c>
      <c r="Q86">
        <v>7</v>
      </c>
      <c r="R86">
        <v>7</v>
      </c>
      <c r="S86">
        <v>158</v>
      </c>
      <c r="T86">
        <v>158</v>
      </c>
      <c r="U86">
        <v>7</v>
      </c>
      <c r="V86">
        <v>7</v>
      </c>
      <c r="W86">
        <v>7</v>
      </c>
      <c r="X86">
        <v>5</v>
      </c>
      <c r="Y86">
        <v>6</v>
      </c>
      <c r="Z86">
        <v>6</v>
      </c>
      <c r="AA86">
        <v>7</v>
      </c>
      <c r="AB86">
        <v>6</v>
      </c>
      <c r="AC86">
        <v>7</v>
      </c>
      <c r="AD86">
        <v>42</v>
      </c>
      <c r="AE86">
        <v>46</v>
      </c>
      <c r="AF86">
        <v>7</v>
      </c>
      <c r="AG86">
        <v>7</v>
      </c>
      <c r="AH86">
        <v>15</v>
      </c>
      <c r="AI86">
        <v>15</v>
      </c>
      <c r="AJ86">
        <v>11</v>
      </c>
      <c r="AK86">
        <v>14</v>
      </c>
      <c r="AL86">
        <v>293139296</v>
      </c>
      <c r="AM86">
        <v>293829504</v>
      </c>
      <c r="AN86">
        <v>79452880</v>
      </c>
      <c r="AO86">
        <v>94274192</v>
      </c>
      <c r="AP86">
        <v>181884160</v>
      </c>
      <c r="AQ86">
        <v>206713008</v>
      </c>
      <c r="AR86">
        <v>165971344</v>
      </c>
      <c r="AS86">
        <v>189849552</v>
      </c>
      <c r="AT86">
        <v>313706880</v>
      </c>
      <c r="AU86">
        <v>322417792</v>
      </c>
      <c r="AV86">
        <v>40129772</v>
      </c>
      <c r="AW86">
        <v>34083012</v>
      </c>
      <c r="AX86">
        <v>111570000</v>
      </c>
      <c r="AY86">
        <v>121490200</v>
      </c>
      <c r="AZ86">
        <v>91379184</v>
      </c>
      <c r="BA86">
        <v>90659056</v>
      </c>
    </row>
    <row r="87" spans="1:53">
      <c r="A87">
        <v>16753</v>
      </c>
      <c r="B87" t="s">
        <v>420</v>
      </c>
      <c r="C87" t="s">
        <v>421</v>
      </c>
      <c r="D87" t="s">
        <v>422</v>
      </c>
      <c r="F87" t="s">
        <v>423</v>
      </c>
      <c r="G87">
        <v>319.334</v>
      </c>
      <c r="H87" t="s">
        <v>58</v>
      </c>
      <c r="I87">
        <v>2</v>
      </c>
      <c r="J87">
        <v>20</v>
      </c>
      <c r="K87">
        <v>0</v>
      </c>
      <c r="L87">
        <v>60</v>
      </c>
      <c r="M87">
        <v>8986</v>
      </c>
      <c r="N87">
        <v>4</v>
      </c>
      <c r="O87">
        <v>7</v>
      </c>
      <c r="P87">
        <v>7</v>
      </c>
      <c r="Q87">
        <v>7</v>
      </c>
      <c r="R87">
        <v>7</v>
      </c>
      <c r="S87">
        <v>732</v>
      </c>
      <c r="T87">
        <v>732</v>
      </c>
      <c r="U87">
        <v>7</v>
      </c>
      <c r="V87">
        <v>5</v>
      </c>
      <c r="W87">
        <v>4</v>
      </c>
      <c r="X87">
        <v>7</v>
      </c>
      <c r="Y87">
        <v>7</v>
      </c>
      <c r="Z87">
        <v>7</v>
      </c>
      <c r="AA87">
        <v>7</v>
      </c>
      <c r="AB87">
        <v>7</v>
      </c>
      <c r="AC87">
        <v>7</v>
      </c>
      <c r="AD87">
        <v>102</v>
      </c>
      <c r="AE87">
        <v>133</v>
      </c>
      <c r="AF87">
        <v>83</v>
      </c>
      <c r="AG87">
        <v>87</v>
      </c>
      <c r="AH87">
        <v>79</v>
      </c>
      <c r="AI87">
        <v>75</v>
      </c>
      <c r="AJ87">
        <v>78</v>
      </c>
      <c r="AK87">
        <v>95</v>
      </c>
      <c r="AL87">
        <v>1765390720</v>
      </c>
      <c r="AM87">
        <v>1772220800</v>
      </c>
      <c r="AN87">
        <v>1421424512</v>
      </c>
      <c r="AO87">
        <v>1712943488</v>
      </c>
      <c r="AP87">
        <v>1007060608</v>
      </c>
      <c r="AQ87">
        <v>1079790336</v>
      </c>
      <c r="AR87">
        <v>910056384</v>
      </c>
      <c r="AS87">
        <v>1170210176</v>
      </c>
      <c r="AT87">
        <v>436600608</v>
      </c>
      <c r="AU87">
        <v>351794112</v>
      </c>
      <c r="AV87">
        <v>707336640</v>
      </c>
      <c r="AW87">
        <v>1295470720</v>
      </c>
      <c r="AX87">
        <v>1063375552</v>
      </c>
      <c r="AY87">
        <v>757551424</v>
      </c>
      <c r="AZ87">
        <v>962607936</v>
      </c>
      <c r="BA87">
        <v>890599744</v>
      </c>
    </row>
    <row r="88" spans="1:53">
      <c r="A88">
        <v>16725</v>
      </c>
      <c r="B88" t="s">
        <v>424</v>
      </c>
      <c r="C88" t="s">
        <v>425</v>
      </c>
      <c r="D88" t="s">
        <v>426</v>
      </c>
      <c r="F88" t="s">
        <v>427</v>
      </c>
      <c r="G88">
        <v>317.678</v>
      </c>
      <c r="H88" t="s">
        <v>58</v>
      </c>
      <c r="I88">
        <v>2</v>
      </c>
      <c r="J88">
        <v>16</v>
      </c>
      <c r="K88">
        <v>0</v>
      </c>
      <c r="L88">
        <v>53.47</v>
      </c>
      <c r="M88">
        <v>11580</v>
      </c>
      <c r="N88">
        <v>7</v>
      </c>
      <c r="O88">
        <v>11</v>
      </c>
      <c r="P88">
        <v>2</v>
      </c>
      <c r="Q88">
        <v>11</v>
      </c>
      <c r="R88">
        <v>2</v>
      </c>
      <c r="S88">
        <v>1413</v>
      </c>
      <c r="T88">
        <v>757</v>
      </c>
      <c r="U88">
        <v>2</v>
      </c>
      <c r="V88">
        <v>2</v>
      </c>
      <c r="W88">
        <v>2</v>
      </c>
      <c r="X88">
        <v>2</v>
      </c>
      <c r="Y88">
        <v>2</v>
      </c>
      <c r="Z88">
        <v>2</v>
      </c>
      <c r="AA88">
        <v>2</v>
      </c>
      <c r="AB88">
        <v>2</v>
      </c>
      <c r="AC88">
        <v>2</v>
      </c>
      <c r="AD88">
        <v>101</v>
      </c>
      <c r="AE88">
        <v>113</v>
      </c>
      <c r="AF88">
        <v>92</v>
      </c>
      <c r="AG88">
        <v>81</v>
      </c>
      <c r="AH88">
        <v>100</v>
      </c>
      <c r="AI88">
        <v>100</v>
      </c>
      <c r="AJ88">
        <v>85</v>
      </c>
      <c r="AK88">
        <v>85</v>
      </c>
      <c r="AL88">
        <v>555466816</v>
      </c>
      <c r="AM88">
        <v>516959296</v>
      </c>
      <c r="AN88">
        <v>859135040</v>
      </c>
      <c r="AO88">
        <v>1312527232</v>
      </c>
      <c r="AP88">
        <v>722952000</v>
      </c>
      <c r="AQ88">
        <v>741898240</v>
      </c>
      <c r="AR88">
        <v>721151552</v>
      </c>
      <c r="AS88">
        <v>655127872</v>
      </c>
      <c r="AT88">
        <v>37913516</v>
      </c>
      <c r="AU88">
        <v>48139752</v>
      </c>
      <c r="AV88">
        <v>61049296</v>
      </c>
      <c r="AW88">
        <v>92697776</v>
      </c>
      <c r="AX88">
        <v>136442560</v>
      </c>
      <c r="AY88">
        <v>129593976</v>
      </c>
      <c r="AZ88">
        <v>137672256</v>
      </c>
      <c r="BA88">
        <v>139516896</v>
      </c>
    </row>
    <row r="89" spans="1:53">
      <c r="A89">
        <v>16730</v>
      </c>
      <c r="B89" t="s">
        <v>428</v>
      </c>
      <c r="C89" t="s">
        <v>429</v>
      </c>
      <c r="D89" t="s">
        <v>430</v>
      </c>
      <c r="E89" t="s">
        <v>431</v>
      </c>
      <c r="F89" t="s">
        <v>432</v>
      </c>
      <c r="G89">
        <v>307.50099999999998</v>
      </c>
      <c r="H89" t="s">
        <v>58</v>
      </c>
      <c r="I89">
        <v>2</v>
      </c>
      <c r="J89">
        <v>19</v>
      </c>
      <c r="K89">
        <v>2</v>
      </c>
      <c r="L89">
        <v>31.33</v>
      </c>
      <c r="M89">
        <v>51559</v>
      </c>
      <c r="N89">
        <v>27</v>
      </c>
      <c r="O89">
        <v>10</v>
      </c>
      <c r="P89">
        <v>10</v>
      </c>
      <c r="Q89">
        <v>10</v>
      </c>
      <c r="R89">
        <v>10</v>
      </c>
      <c r="S89">
        <v>21</v>
      </c>
      <c r="T89">
        <v>21</v>
      </c>
      <c r="U89">
        <v>10</v>
      </c>
      <c r="V89">
        <v>5</v>
      </c>
      <c r="W89">
        <v>6</v>
      </c>
      <c r="X89">
        <v>9</v>
      </c>
      <c r="Y89">
        <v>10</v>
      </c>
      <c r="Z89">
        <v>9</v>
      </c>
      <c r="AA89">
        <v>10</v>
      </c>
      <c r="AB89">
        <v>10</v>
      </c>
      <c r="AC89">
        <v>10</v>
      </c>
      <c r="AD89">
        <v>1</v>
      </c>
      <c r="AE89">
        <v>1</v>
      </c>
      <c r="AF89">
        <v>2</v>
      </c>
      <c r="AG89">
        <v>11</v>
      </c>
      <c r="AH89">
        <v>0</v>
      </c>
      <c r="AI89">
        <v>3</v>
      </c>
      <c r="AJ89">
        <v>1</v>
      </c>
      <c r="AK89">
        <v>3</v>
      </c>
      <c r="AL89">
        <v>85934672</v>
      </c>
      <c r="AM89">
        <v>92816328</v>
      </c>
      <c r="AN89">
        <v>156380960</v>
      </c>
      <c r="AO89">
        <v>180032832</v>
      </c>
      <c r="AP89">
        <v>72190072</v>
      </c>
      <c r="AQ89">
        <v>78196968</v>
      </c>
      <c r="AR89">
        <v>193831392</v>
      </c>
      <c r="AS89">
        <v>259092112</v>
      </c>
      <c r="AT89">
        <v>4092697.75</v>
      </c>
      <c r="AU89">
        <v>40787676</v>
      </c>
      <c r="AV89">
        <v>107240680</v>
      </c>
      <c r="AW89">
        <v>119789200</v>
      </c>
      <c r="AX89">
        <v>79395096</v>
      </c>
      <c r="AY89">
        <v>84384464</v>
      </c>
      <c r="AZ89">
        <v>85182224</v>
      </c>
      <c r="BA89">
        <v>83615200</v>
      </c>
    </row>
    <row r="90" spans="1:53">
      <c r="A90">
        <v>16773</v>
      </c>
      <c r="B90" t="s">
        <v>433</v>
      </c>
      <c r="C90" t="s">
        <v>434</v>
      </c>
      <c r="D90" t="s">
        <v>435</v>
      </c>
      <c r="F90" t="s">
        <v>436</v>
      </c>
      <c r="G90">
        <v>306.71199999999999</v>
      </c>
      <c r="H90" t="s">
        <v>58</v>
      </c>
      <c r="I90">
        <v>2</v>
      </c>
      <c r="J90">
        <v>21</v>
      </c>
      <c r="K90">
        <v>0</v>
      </c>
      <c r="L90">
        <v>63.16</v>
      </c>
      <c r="M90">
        <v>15154</v>
      </c>
      <c r="N90">
        <v>10</v>
      </c>
      <c r="O90">
        <v>7</v>
      </c>
      <c r="P90">
        <v>7</v>
      </c>
      <c r="Q90">
        <v>7</v>
      </c>
      <c r="R90">
        <v>7</v>
      </c>
      <c r="S90">
        <v>73</v>
      </c>
      <c r="T90">
        <v>73</v>
      </c>
      <c r="U90">
        <v>7</v>
      </c>
      <c r="V90">
        <v>6</v>
      </c>
      <c r="W90">
        <v>6</v>
      </c>
      <c r="X90">
        <v>6</v>
      </c>
      <c r="Y90">
        <v>7</v>
      </c>
      <c r="Z90">
        <v>6</v>
      </c>
      <c r="AA90">
        <v>6</v>
      </c>
      <c r="AB90">
        <v>7</v>
      </c>
      <c r="AC90">
        <v>7</v>
      </c>
      <c r="AD90">
        <v>12</v>
      </c>
      <c r="AE90">
        <v>7</v>
      </c>
      <c r="AF90">
        <v>9</v>
      </c>
      <c r="AG90">
        <v>12</v>
      </c>
      <c r="AH90">
        <v>9</v>
      </c>
      <c r="AI90">
        <v>9</v>
      </c>
      <c r="AJ90">
        <v>9</v>
      </c>
      <c r="AK90">
        <v>6</v>
      </c>
      <c r="AL90">
        <v>83383256</v>
      </c>
      <c r="AM90">
        <v>78841512</v>
      </c>
      <c r="AN90">
        <v>158210208</v>
      </c>
      <c r="AO90">
        <v>184838320</v>
      </c>
      <c r="AP90">
        <v>87238584</v>
      </c>
      <c r="AQ90">
        <v>98238640</v>
      </c>
      <c r="AR90">
        <v>90432208</v>
      </c>
      <c r="AS90">
        <v>68239712</v>
      </c>
      <c r="AT90">
        <v>90523208</v>
      </c>
      <c r="AU90">
        <v>64383368</v>
      </c>
      <c r="AV90">
        <v>69080872</v>
      </c>
      <c r="AW90">
        <v>70306224</v>
      </c>
      <c r="AX90">
        <v>57006220</v>
      </c>
      <c r="AY90">
        <v>56330036</v>
      </c>
      <c r="AZ90">
        <v>52838568</v>
      </c>
      <c r="BA90">
        <v>38541236</v>
      </c>
    </row>
    <row r="91" spans="1:53">
      <c r="A91">
        <v>16689</v>
      </c>
      <c r="B91" t="s">
        <v>437</v>
      </c>
      <c r="C91" t="s">
        <v>438</v>
      </c>
      <c r="D91" t="s">
        <v>437</v>
      </c>
      <c r="F91" t="s">
        <v>439</v>
      </c>
      <c r="G91">
        <v>297.51600000000002</v>
      </c>
      <c r="H91" t="s">
        <v>58</v>
      </c>
      <c r="I91">
        <v>2</v>
      </c>
      <c r="J91">
        <v>1</v>
      </c>
      <c r="K91">
        <v>0</v>
      </c>
      <c r="L91">
        <v>46.99</v>
      </c>
      <c r="M91">
        <v>28633</v>
      </c>
      <c r="N91">
        <v>14</v>
      </c>
      <c r="O91">
        <v>8</v>
      </c>
      <c r="P91">
        <v>8</v>
      </c>
      <c r="Q91">
        <v>8</v>
      </c>
      <c r="R91">
        <v>8</v>
      </c>
      <c r="S91">
        <v>39</v>
      </c>
      <c r="T91">
        <v>39</v>
      </c>
      <c r="U91">
        <v>8</v>
      </c>
      <c r="V91">
        <v>5</v>
      </c>
      <c r="W91">
        <v>4</v>
      </c>
      <c r="X91">
        <v>5</v>
      </c>
      <c r="Y91">
        <v>8</v>
      </c>
      <c r="Z91">
        <v>7</v>
      </c>
      <c r="AA91">
        <v>8</v>
      </c>
      <c r="AB91">
        <v>8</v>
      </c>
      <c r="AC91">
        <v>8</v>
      </c>
      <c r="AD91">
        <v>2</v>
      </c>
      <c r="AE91">
        <v>2</v>
      </c>
      <c r="AF91">
        <v>4</v>
      </c>
      <c r="AG91">
        <v>7</v>
      </c>
      <c r="AH91">
        <v>5</v>
      </c>
      <c r="AI91">
        <v>6</v>
      </c>
      <c r="AJ91">
        <v>6</v>
      </c>
      <c r="AK91">
        <v>7</v>
      </c>
      <c r="AL91">
        <v>5135334</v>
      </c>
      <c r="AM91">
        <v>4126657.5</v>
      </c>
      <c r="AN91">
        <v>18890034</v>
      </c>
      <c r="AO91">
        <v>29347892</v>
      </c>
      <c r="AP91">
        <v>13567132</v>
      </c>
      <c r="AQ91">
        <v>14231710</v>
      </c>
      <c r="AR91">
        <v>14934888</v>
      </c>
      <c r="AS91">
        <v>15918568</v>
      </c>
      <c r="AT91">
        <v>4877041.5</v>
      </c>
      <c r="AU91">
        <v>1381226.25</v>
      </c>
      <c r="AV91">
        <v>7731622.5</v>
      </c>
      <c r="AW91">
        <v>11516428</v>
      </c>
      <c r="AX91">
        <v>6605317.5</v>
      </c>
      <c r="AY91">
        <v>8585543</v>
      </c>
      <c r="AZ91">
        <v>8880927</v>
      </c>
      <c r="BA91">
        <v>8793157</v>
      </c>
    </row>
    <row r="92" spans="1:53">
      <c r="A92">
        <v>16863</v>
      </c>
      <c r="B92" t="s">
        <v>440</v>
      </c>
      <c r="C92" t="s">
        <v>441</v>
      </c>
      <c r="D92" t="s">
        <v>442</v>
      </c>
      <c r="E92" t="s">
        <v>443</v>
      </c>
      <c r="F92" t="s">
        <v>444</v>
      </c>
      <c r="G92">
        <v>285.24299999999999</v>
      </c>
      <c r="H92" t="s">
        <v>58</v>
      </c>
      <c r="I92">
        <v>2</v>
      </c>
      <c r="J92">
        <v>2</v>
      </c>
      <c r="K92">
        <v>1</v>
      </c>
      <c r="L92">
        <v>22.57</v>
      </c>
      <c r="M92">
        <v>38009</v>
      </c>
      <c r="N92">
        <v>19</v>
      </c>
      <c r="O92">
        <v>6</v>
      </c>
      <c r="P92">
        <v>6</v>
      </c>
      <c r="Q92">
        <v>6</v>
      </c>
      <c r="R92">
        <v>6</v>
      </c>
      <c r="S92">
        <v>63</v>
      </c>
      <c r="T92">
        <v>63</v>
      </c>
      <c r="U92">
        <v>6</v>
      </c>
      <c r="V92">
        <v>3</v>
      </c>
      <c r="W92">
        <v>4</v>
      </c>
      <c r="X92">
        <v>6</v>
      </c>
      <c r="Y92">
        <v>6</v>
      </c>
      <c r="Z92">
        <v>6</v>
      </c>
      <c r="AA92">
        <v>6</v>
      </c>
      <c r="AB92">
        <v>6</v>
      </c>
      <c r="AC92">
        <v>6</v>
      </c>
      <c r="AD92">
        <v>2</v>
      </c>
      <c r="AE92">
        <v>1</v>
      </c>
      <c r="AF92">
        <v>11</v>
      </c>
      <c r="AG92">
        <v>11</v>
      </c>
      <c r="AH92">
        <v>12</v>
      </c>
      <c r="AI92">
        <v>10</v>
      </c>
      <c r="AJ92">
        <v>8</v>
      </c>
      <c r="AK92">
        <v>8</v>
      </c>
      <c r="AL92">
        <v>19685512</v>
      </c>
      <c r="AM92">
        <v>35007324</v>
      </c>
      <c r="AN92">
        <v>114294704</v>
      </c>
      <c r="AO92">
        <v>176193056</v>
      </c>
      <c r="AP92">
        <v>76855928</v>
      </c>
      <c r="AQ92">
        <v>208380128</v>
      </c>
      <c r="AR92">
        <v>79908432</v>
      </c>
      <c r="AS92">
        <v>82303792</v>
      </c>
      <c r="AT92">
        <v>891917.19</v>
      </c>
      <c r="AU92">
        <v>586075.5</v>
      </c>
      <c r="AV92">
        <v>81079464</v>
      </c>
      <c r="AW92">
        <v>100137240</v>
      </c>
      <c r="AX92">
        <v>70756304</v>
      </c>
      <c r="AY92">
        <v>85968960</v>
      </c>
      <c r="AZ92">
        <v>75095416</v>
      </c>
      <c r="BA92">
        <v>66004788</v>
      </c>
    </row>
    <row r="93" spans="1:53">
      <c r="A93">
        <v>16771</v>
      </c>
      <c r="B93" t="s">
        <v>445</v>
      </c>
      <c r="C93" t="s">
        <v>446</v>
      </c>
      <c r="D93" t="s">
        <v>447</v>
      </c>
      <c r="E93" t="s">
        <v>448</v>
      </c>
      <c r="F93" t="s">
        <v>449</v>
      </c>
      <c r="G93">
        <v>284.33100000000002</v>
      </c>
      <c r="H93" t="s">
        <v>58</v>
      </c>
      <c r="I93">
        <v>2</v>
      </c>
      <c r="J93">
        <v>6</v>
      </c>
      <c r="K93">
        <v>15</v>
      </c>
      <c r="L93">
        <v>35.880000000000003</v>
      </c>
      <c r="M93">
        <v>27337</v>
      </c>
      <c r="N93">
        <v>7</v>
      </c>
      <c r="O93">
        <v>6</v>
      </c>
      <c r="P93">
        <v>6</v>
      </c>
      <c r="Q93">
        <v>6</v>
      </c>
      <c r="R93">
        <v>6</v>
      </c>
      <c r="S93">
        <v>35</v>
      </c>
      <c r="T93">
        <v>35</v>
      </c>
      <c r="U93">
        <v>6</v>
      </c>
      <c r="V93">
        <v>3</v>
      </c>
      <c r="W93">
        <v>4</v>
      </c>
      <c r="X93">
        <v>4</v>
      </c>
      <c r="Y93">
        <v>6</v>
      </c>
      <c r="Z93">
        <v>6</v>
      </c>
      <c r="AA93">
        <v>5</v>
      </c>
      <c r="AB93">
        <v>6</v>
      </c>
      <c r="AC93">
        <v>6</v>
      </c>
      <c r="AD93">
        <v>3</v>
      </c>
      <c r="AE93">
        <v>1</v>
      </c>
      <c r="AF93">
        <v>4</v>
      </c>
      <c r="AG93">
        <v>5</v>
      </c>
      <c r="AH93">
        <v>7</v>
      </c>
      <c r="AI93">
        <v>4</v>
      </c>
      <c r="AJ93">
        <v>5</v>
      </c>
      <c r="AK93">
        <v>5</v>
      </c>
      <c r="AL93">
        <v>8282245.5</v>
      </c>
      <c r="AM93">
        <v>9991462</v>
      </c>
      <c r="AN93">
        <v>26045228</v>
      </c>
      <c r="AO93">
        <v>32480930</v>
      </c>
      <c r="AP93">
        <v>24338314</v>
      </c>
      <c r="AQ93">
        <v>26569818</v>
      </c>
      <c r="AR93">
        <v>24556366</v>
      </c>
      <c r="AS93">
        <v>26702522</v>
      </c>
      <c r="AT93">
        <v>8405412</v>
      </c>
      <c r="AU93">
        <v>7682900</v>
      </c>
      <c r="AV93">
        <v>11239710</v>
      </c>
      <c r="AW93">
        <v>9562922</v>
      </c>
      <c r="AX93">
        <v>15793011</v>
      </c>
      <c r="AY93">
        <v>16544955</v>
      </c>
      <c r="AZ93">
        <v>15399817</v>
      </c>
      <c r="BA93">
        <v>15436980</v>
      </c>
    </row>
    <row r="94" spans="1:53">
      <c r="A94">
        <v>16802</v>
      </c>
      <c r="B94" t="s">
        <v>450</v>
      </c>
      <c r="D94" t="s">
        <v>450</v>
      </c>
      <c r="F94" t="s">
        <v>451</v>
      </c>
      <c r="G94">
        <v>270.84100000000001</v>
      </c>
      <c r="H94" t="s">
        <v>58</v>
      </c>
      <c r="I94">
        <v>2</v>
      </c>
      <c r="J94">
        <v>1</v>
      </c>
      <c r="K94">
        <v>0</v>
      </c>
      <c r="L94">
        <v>25.11</v>
      </c>
      <c r="M94">
        <v>24409</v>
      </c>
      <c r="N94">
        <v>12</v>
      </c>
      <c r="O94">
        <v>4</v>
      </c>
      <c r="P94">
        <v>4</v>
      </c>
      <c r="Q94">
        <v>5</v>
      </c>
      <c r="R94">
        <v>5</v>
      </c>
      <c r="S94">
        <v>421</v>
      </c>
      <c r="T94">
        <v>421</v>
      </c>
      <c r="U94">
        <v>5</v>
      </c>
      <c r="V94">
        <v>5</v>
      </c>
      <c r="W94">
        <v>5</v>
      </c>
      <c r="X94">
        <v>4</v>
      </c>
      <c r="Y94">
        <v>5</v>
      </c>
      <c r="Z94">
        <v>4</v>
      </c>
      <c r="AA94">
        <v>5</v>
      </c>
      <c r="AB94">
        <v>5</v>
      </c>
      <c r="AC94">
        <v>4</v>
      </c>
      <c r="AD94">
        <v>46</v>
      </c>
      <c r="AE94">
        <v>45</v>
      </c>
      <c r="AF94">
        <v>27</v>
      </c>
      <c r="AG94">
        <v>31</v>
      </c>
      <c r="AH94">
        <v>64</v>
      </c>
      <c r="AI94">
        <v>71</v>
      </c>
      <c r="AJ94">
        <v>71</v>
      </c>
      <c r="AK94">
        <v>66</v>
      </c>
      <c r="AL94">
        <v>1026200128</v>
      </c>
      <c r="AM94">
        <v>971142016</v>
      </c>
      <c r="AN94">
        <v>1031823232</v>
      </c>
      <c r="AO94">
        <v>1121117568</v>
      </c>
      <c r="AP94">
        <v>1054858624</v>
      </c>
      <c r="AQ94">
        <v>1085889280</v>
      </c>
      <c r="AR94">
        <v>918272192</v>
      </c>
      <c r="AS94">
        <v>939814656</v>
      </c>
      <c r="AT94">
        <v>748378880</v>
      </c>
      <c r="AU94">
        <v>670937600</v>
      </c>
      <c r="AV94">
        <v>416678688</v>
      </c>
      <c r="AW94">
        <v>458414464</v>
      </c>
      <c r="AX94">
        <v>684117696</v>
      </c>
      <c r="AY94">
        <v>746946624</v>
      </c>
      <c r="AZ94">
        <v>692789952</v>
      </c>
      <c r="BA94">
        <v>624637760</v>
      </c>
    </row>
    <row r="95" spans="1:53">
      <c r="A95">
        <v>16660</v>
      </c>
      <c r="B95" t="s">
        <v>452</v>
      </c>
      <c r="C95" t="s">
        <v>453</v>
      </c>
      <c r="D95" t="s">
        <v>454</v>
      </c>
      <c r="F95" t="s">
        <v>455</v>
      </c>
      <c r="G95">
        <v>262.96499999999997</v>
      </c>
      <c r="H95" t="s">
        <v>58</v>
      </c>
      <c r="I95">
        <v>2</v>
      </c>
      <c r="J95">
        <v>21</v>
      </c>
      <c r="K95">
        <v>0</v>
      </c>
      <c r="L95">
        <v>47.97</v>
      </c>
      <c r="M95">
        <v>13540</v>
      </c>
      <c r="N95">
        <v>7</v>
      </c>
      <c r="O95">
        <v>9</v>
      </c>
      <c r="P95">
        <v>9</v>
      </c>
      <c r="Q95">
        <v>11</v>
      </c>
      <c r="R95">
        <v>11</v>
      </c>
      <c r="S95">
        <v>382</v>
      </c>
      <c r="T95">
        <v>382</v>
      </c>
      <c r="U95">
        <v>11</v>
      </c>
      <c r="V95">
        <v>11</v>
      </c>
      <c r="W95">
        <v>10</v>
      </c>
      <c r="X95">
        <v>9</v>
      </c>
      <c r="Y95">
        <v>9</v>
      </c>
      <c r="Z95">
        <v>10</v>
      </c>
      <c r="AA95">
        <v>10</v>
      </c>
      <c r="AB95">
        <v>9</v>
      </c>
      <c r="AC95">
        <v>10</v>
      </c>
      <c r="AD95">
        <v>72</v>
      </c>
      <c r="AE95">
        <v>81</v>
      </c>
      <c r="AF95">
        <v>20</v>
      </c>
      <c r="AG95">
        <v>35</v>
      </c>
      <c r="AH95">
        <v>43</v>
      </c>
      <c r="AI95">
        <v>47</v>
      </c>
      <c r="AJ95">
        <v>42</v>
      </c>
      <c r="AK95">
        <v>41</v>
      </c>
      <c r="AL95">
        <v>588458048</v>
      </c>
      <c r="AM95">
        <v>593927936</v>
      </c>
      <c r="AN95">
        <v>371452096</v>
      </c>
      <c r="AO95">
        <v>613759744</v>
      </c>
      <c r="AP95">
        <v>436400992</v>
      </c>
      <c r="AQ95">
        <v>545170496</v>
      </c>
      <c r="AR95">
        <v>499518080</v>
      </c>
      <c r="AS95">
        <v>424520032</v>
      </c>
      <c r="AT95">
        <v>652688128</v>
      </c>
      <c r="AU95">
        <v>743906944</v>
      </c>
      <c r="AV95">
        <v>200332800</v>
      </c>
      <c r="AW95">
        <v>187852528</v>
      </c>
      <c r="AX95">
        <v>293445024</v>
      </c>
      <c r="AY95">
        <v>336629152</v>
      </c>
      <c r="AZ95">
        <v>298274272</v>
      </c>
      <c r="BA95">
        <v>214258528</v>
      </c>
    </row>
    <row r="96" spans="1:53">
      <c r="A96">
        <v>16714</v>
      </c>
      <c r="B96" t="s">
        <v>456</v>
      </c>
      <c r="C96" t="s">
        <v>457</v>
      </c>
      <c r="D96" t="s">
        <v>458</v>
      </c>
      <c r="F96" t="s">
        <v>459</v>
      </c>
      <c r="G96">
        <v>261.09699999999998</v>
      </c>
      <c r="H96" t="s">
        <v>58</v>
      </c>
      <c r="I96">
        <v>2</v>
      </c>
      <c r="J96">
        <v>3</v>
      </c>
      <c r="K96">
        <v>0</v>
      </c>
      <c r="L96">
        <v>46.43</v>
      </c>
      <c r="M96">
        <v>20852</v>
      </c>
      <c r="N96">
        <v>5</v>
      </c>
      <c r="O96">
        <v>5</v>
      </c>
      <c r="P96">
        <v>5</v>
      </c>
      <c r="Q96">
        <v>5</v>
      </c>
      <c r="R96">
        <v>5</v>
      </c>
      <c r="S96">
        <v>77</v>
      </c>
      <c r="T96">
        <v>77</v>
      </c>
      <c r="U96">
        <v>5</v>
      </c>
      <c r="V96">
        <v>3</v>
      </c>
      <c r="W96">
        <v>3</v>
      </c>
      <c r="X96">
        <v>5</v>
      </c>
      <c r="Y96">
        <v>5</v>
      </c>
      <c r="Z96">
        <v>4</v>
      </c>
      <c r="AA96">
        <v>4</v>
      </c>
      <c r="AB96">
        <v>5</v>
      </c>
      <c r="AC96">
        <v>5</v>
      </c>
      <c r="AD96">
        <v>0</v>
      </c>
      <c r="AE96">
        <v>0</v>
      </c>
      <c r="AF96">
        <v>15</v>
      </c>
      <c r="AG96">
        <v>16</v>
      </c>
      <c r="AH96">
        <v>13</v>
      </c>
      <c r="AI96">
        <v>13</v>
      </c>
      <c r="AJ96">
        <v>7</v>
      </c>
      <c r="AK96">
        <v>12</v>
      </c>
      <c r="AL96">
        <v>14249614</v>
      </c>
      <c r="AM96">
        <v>8878714</v>
      </c>
      <c r="AN96">
        <v>43281124</v>
      </c>
      <c r="AO96">
        <v>88288144</v>
      </c>
      <c r="AP96">
        <v>49793308</v>
      </c>
      <c r="AQ96">
        <v>58982596</v>
      </c>
      <c r="AR96">
        <v>58060548</v>
      </c>
      <c r="AS96">
        <v>65911980</v>
      </c>
      <c r="AT96">
        <v>13484303</v>
      </c>
      <c r="AU96">
        <v>10849554</v>
      </c>
      <c r="AV96">
        <v>21997814</v>
      </c>
      <c r="AW96">
        <v>27719122</v>
      </c>
      <c r="AX96">
        <v>30030364</v>
      </c>
      <c r="AY96">
        <v>32074992</v>
      </c>
      <c r="AZ96">
        <v>29426924</v>
      </c>
      <c r="BA96">
        <v>30697658</v>
      </c>
    </row>
    <row r="97" spans="1:53">
      <c r="A97">
        <v>16827</v>
      </c>
      <c r="B97" t="s">
        <v>460</v>
      </c>
      <c r="C97" t="s">
        <v>461</v>
      </c>
      <c r="D97" t="s">
        <v>462</v>
      </c>
      <c r="F97" t="s">
        <v>463</v>
      </c>
      <c r="G97">
        <v>251.66499999999999</v>
      </c>
      <c r="H97" t="s">
        <v>58</v>
      </c>
      <c r="I97">
        <v>2</v>
      </c>
      <c r="J97">
        <v>3</v>
      </c>
      <c r="K97">
        <v>0</v>
      </c>
      <c r="L97">
        <v>46.62</v>
      </c>
      <c r="M97">
        <v>16794</v>
      </c>
      <c r="N97">
        <v>9</v>
      </c>
      <c r="O97">
        <v>5</v>
      </c>
      <c r="P97">
        <v>5</v>
      </c>
      <c r="Q97">
        <v>5</v>
      </c>
      <c r="R97">
        <v>5</v>
      </c>
      <c r="S97">
        <v>56</v>
      </c>
      <c r="T97">
        <v>56</v>
      </c>
      <c r="U97">
        <v>5</v>
      </c>
      <c r="V97">
        <v>4</v>
      </c>
      <c r="W97">
        <v>3</v>
      </c>
      <c r="X97">
        <v>5</v>
      </c>
      <c r="Y97">
        <v>5</v>
      </c>
      <c r="Z97">
        <v>5</v>
      </c>
      <c r="AA97">
        <v>5</v>
      </c>
      <c r="AB97">
        <v>5</v>
      </c>
      <c r="AC97">
        <v>5</v>
      </c>
      <c r="AD97">
        <v>3</v>
      </c>
      <c r="AE97">
        <v>4</v>
      </c>
      <c r="AF97">
        <v>9</v>
      </c>
      <c r="AG97">
        <v>9</v>
      </c>
      <c r="AH97">
        <v>8</v>
      </c>
      <c r="AI97">
        <v>10</v>
      </c>
      <c r="AJ97">
        <v>6</v>
      </c>
      <c r="AK97">
        <v>7</v>
      </c>
      <c r="AL97">
        <v>19331596</v>
      </c>
      <c r="AM97">
        <v>18727552</v>
      </c>
      <c r="AN97">
        <v>74735600</v>
      </c>
      <c r="AO97">
        <v>115859240</v>
      </c>
      <c r="AP97">
        <v>47824344</v>
      </c>
      <c r="AQ97">
        <v>55365004</v>
      </c>
      <c r="AR97">
        <v>53446440</v>
      </c>
      <c r="AS97">
        <v>63112828</v>
      </c>
      <c r="AT97">
        <v>3352492</v>
      </c>
      <c r="AU97">
        <v>2378300.75</v>
      </c>
      <c r="AV97">
        <v>39996276</v>
      </c>
      <c r="AW97">
        <v>54997128</v>
      </c>
      <c r="AX97">
        <v>26666372</v>
      </c>
      <c r="AY97">
        <v>44370024</v>
      </c>
      <c r="AZ97">
        <v>39274628</v>
      </c>
      <c r="BA97">
        <v>43384508</v>
      </c>
    </row>
    <row r="98" spans="1:53">
      <c r="A98">
        <v>16708</v>
      </c>
      <c r="B98" t="s">
        <v>464</v>
      </c>
      <c r="C98" t="s">
        <v>465</v>
      </c>
      <c r="D98" t="s">
        <v>466</v>
      </c>
      <c r="F98" t="s">
        <v>467</v>
      </c>
      <c r="G98">
        <v>247.39400000000001</v>
      </c>
      <c r="H98" t="s">
        <v>58</v>
      </c>
      <c r="I98">
        <v>2</v>
      </c>
      <c r="J98">
        <v>20</v>
      </c>
      <c r="K98">
        <v>0</v>
      </c>
      <c r="L98">
        <v>71.430000000000007</v>
      </c>
      <c r="M98">
        <v>7273</v>
      </c>
      <c r="N98">
        <v>4</v>
      </c>
      <c r="O98">
        <v>7</v>
      </c>
      <c r="P98">
        <v>7</v>
      </c>
      <c r="Q98">
        <v>8</v>
      </c>
      <c r="R98">
        <v>8</v>
      </c>
      <c r="S98">
        <v>206</v>
      </c>
      <c r="T98">
        <v>206</v>
      </c>
      <c r="U98">
        <v>8</v>
      </c>
      <c r="V98">
        <v>5</v>
      </c>
      <c r="W98">
        <v>5</v>
      </c>
      <c r="X98">
        <v>7</v>
      </c>
      <c r="Y98">
        <v>8</v>
      </c>
      <c r="Z98">
        <v>8</v>
      </c>
      <c r="AA98">
        <v>8</v>
      </c>
      <c r="AB98">
        <v>8</v>
      </c>
      <c r="AC98">
        <v>8</v>
      </c>
      <c r="AD98">
        <v>41</v>
      </c>
      <c r="AE98">
        <v>47</v>
      </c>
      <c r="AF98">
        <v>12</v>
      </c>
      <c r="AG98">
        <v>17</v>
      </c>
      <c r="AH98">
        <v>21</v>
      </c>
      <c r="AI98">
        <v>21</v>
      </c>
      <c r="AJ98">
        <v>26</v>
      </c>
      <c r="AK98">
        <v>21</v>
      </c>
      <c r="AL98">
        <v>135888784</v>
      </c>
      <c r="AM98">
        <v>126266976</v>
      </c>
      <c r="AN98">
        <v>125686112</v>
      </c>
      <c r="AO98">
        <v>256956448</v>
      </c>
      <c r="AP98">
        <v>154683216</v>
      </c>
      <c r="AQ98">
        <v>190311120</v>
      </c>
      <c r="AR98">
        <v>175730384</v>
      </c>
      <c r="AS98">
        <v>151090064</v>
      </c>
      <c r="AT98">
        <v>149749792</v>
      </c>
      <c r="AU98">
        <v>97690688</v>
      </c>
      <c r="AV98">
        <v>71643800</v>
      </c>
      <c r="AW98">
        <v>116881904</v>
      </c>
      <c r="AX98">
        <v>110792696</v>
      </c>
      <c r="AY98">
        <v>123905392</v>
      </c>
      <c r="AZ98">
        <v>111220048</v>
      </c>
      <c r="BA98">
        <v>83904696</v>
      </c>
    </row>
    <row r="99" spans="1:53">
      <c r="A99">
        <v>16715</v>
      </c>
      <c r="B99" t="s">
        <v>468</v>
      </c>
      <c r="C99" t="s">
        <v>469</v>
      </c>
      <c r="D99" t="s">
        <v>470</v>
      </c>
      <c r="E99" t="s">
        <v>471</v>
      </c>
      <c r="F99" t="s">
        <v>472</v>
      </c>
      <c r="G99">
        <v>235.785</v>
      </c>
      <c r="H99" t="s">
        <v>58</v>
      </c>
      <c r="I99">
        <v>2</v>
      </c>
      <c r="J99">
        <v>14</v>
      </c>
      <c r="K99">
        <v>7</v>
      </c>
      <c r="L99">
        <v>74.040000000000006</v>
      </c>
      <c r="M99">
        <v>11316</v>
      </c>
      <c r="N99">
        <v>6</v>
      </c>
      <c r="O99">
        <v>10</v>
      </c>
      <c r="P99">
        <v>10</v>
      </c>
      <c r="Q99">
        <v>10</v>
      </c>
      <c r="R99">
        <v>10</v>
      </c>
      <c r="S99">
        <v>128</v>
      </c>
      <c r="T99">
        <v>128</v>
      </c>
      <c r="U99">
        <v>10</v>
      </c>
      <c r="V99">
        <v>6</v>
      </c>
      <c r="W99">
        <v>7</v>
      </c>
      <c r="X99">
        <v>6</v>
      </c>
      <c r="Y99">
        <v>6</v>
      </c>
      <c r="Z99">
        <v>8</v>
      </c>
      <c r="AA99">
        <v>8</v>
      </c>
      <c r="AB99">
        <v>8</v>
      </c>
      <c r="AC99">
        <v>7</v>
      </c>
      <c r="AD99">
        <v>15</v>
      </c>
      <c r="AE99">
        <v>19</v>
      </c>
      <c r="AF99">
        <v>10</v>
      </c>
      <c r="AG99">
        <v>22</v>
      </c>
      <c r="AH99">
        <v>13</v>
      </c>
      <c r="AI99">
        <v>16</v>
      </c>
      <c r="AJ99">
        <v>15</v>
      </c>
      <c r="AK99">
        <v>18</v>
      </c>
      <c r="AL99">
        <v>192690608</v>
      </c>
      <c r="AM99">
        <v>232145728</v>
      </c>
      <c r="AN99">
        <v>100154104</v>
      </c>
      <c r="AO99">
        <v>148606528</v>
      </c>
      <c r="AP99">
        <v>113474472</v>
      </c>
      <c r="AQ99">
        <v>153569536</v>
      </c>
      <c r="AR99">
        <v>141780288</v>
      </c>
      <c r="AS99">
        <v>118856384</v>
      </c>
      <c r="AT99">
        <v>14551038</v>
      </c>
      <c r="AU99">
        <v>147385792</v>
      </c>
      <c r="AV99">
        <v>45093340</v>
      </c>
      <c r="AW99">
        <v>113884192</v>
      </c>
      <c r="AX99">
        <v>112431536</v>
      </c>
      <c r="AY99">
        <v>125505760</v>
      </c>
      <c r="AZ99">
        <v>125079096</v>
      </c>
      <c r="BA99">
        <v>90162024</v>
      </c>
    </row>
    <row r="100" spans="1:53">
      <c r="A100">
        <v>16739</v>
      </c>
      <c r="B100" t="s">
        <v>473</v>
      </c>
      <c r="C100" t="s">
        <v>474</v>
      </c>
      <c r="D100" t="s">
        <v>475</v>
      </c>
      <c r="F100" t="s">
        <v>476</v>
      </c>
      <c r="G100">
        <v>227.209</v>
      </c>
      <c r="H100" t="s">
        <v>58</v>
      </c>
      <c r="I100">
        <v>2</v>
      </c>
      <c r="J100">
        <v>20</v>
      </c>
      <c r="K100">
        <v>0</v>
      </c>
      <c r="L100">
        <v>93.22</v>
      </c>
      <c r="M100">
        <v>6541</v>
      </c>
      <c r="N100">
        <v>4</v>
      </c>
      <c r="O100">
        <v>10</v>
      </c>
      <c r="P100">
        <v>10</v>
      </c>
      <c r="Q100">
        <v>10</v>
      </c>
      <c r="R100">
        <v>10</v>
      </c>
      <c r="S100">
        <v>416</v>
      </c>
      <c r="T100">
        <v>416</v>
      </c>
      <c r="U100">
        <v>10</v>
      </c>
      <c r="V100">
        <v>8</v>
      </c>
      <c r="W100">
        <v>7</v>
      </c>
      <c r="X100">
        <v>7</v>
      </c>
      <c r="Y100">
        <v>9</v>
      </c>
      <c r="Z100">
        <v>9</v>
      </c>
      <c r="AA100">
        <v>8</v>
      </c>
      <c r="AB100">
        <v>9</v>
      </c>
      <c r="AC100">
        <v>9</v>
      </c>
      <c r="AD100">
        <v>73</v>
      </c>
      <c r="AE100">
        <v>76</v>
      </c>
      <c r="AF100">
        <v>31</v>
      </c>
      <c r="AG100">
        <v>49</v>
      </c>
      <c r="AH100">
        <v>38</v>
      </c>
      <c r="AI100">
        <v>43</v>
      </c>
      <c r="AJ100">
        <v>62</v>
      </c>
      <c r="AK100">
        <v>44</v>
      </c>
      <c r="AL100">
        <v>379042848</v>
      </c>
      <c r="AM100">
        <v>363901888</v>
      </c>
      <c r="AN100">
        <v>249776976</v>
      </c>
      <c r="AO100">
        <v>503085920</v>
      </c>
      <c r="AP100">
        <v>183199664</v>
      </c>
      <c r="AQ100">
        <v>330900416</v>
      </c>
      <c r="AR100">
        <v>324100224</v>
      </c>
      <c r="AS100">
        <v>297080960</v>
      </c>
      <c r="AT100">
        <v>379114816</v>
      </c>
      <c r="AU100">
        <v>373548288</v>
      </c>
      <c r="AV100">
        <v>141076032</v>
      </c>
      <c r="AW100">
        <v>180123328</v>
      </c>
      <c r="AX100">
        <v>178419664</v>
      </c>
      <c r="AY100">
        <v>172996992</v>
      </c>
      <c r="AZ100">
        <v>171287200</v>
      </c>
      <c r="BA100">
        <v>138317968</v>
      </c>
    </row>
    <row r="101" spans="1:53">
      <c r="A101">
        <v>16733</v>
      </c>
      <c r="B101" t="s">
        <v>477</v>
      </c>
      <c r="C101" t="s">
        <v>478</v>
      </c>
      <c r="D101" t="s">
        <v>479</v>
      </c>
      <c r="E101" t="s">
        <v>480</v>
      </c>
      <c r="F101" t="s">
        <v>481</v>
      </c>
      <c r="G101">
        <v>226.54599999999999</v>
      </c>
      <c r="H101" t="s">
        <v>58</v>
      </c>
      <c r="I101">
        <v>2</v>
      </c>
      <c r="J101">
        <v>18</v>
      </c>
      <c r="K101">
        <v>2</v>
      </c>
      <c r="L101">
        <v>46.77</v>
      </c>
      <c r="M101">
        <v>13736</v>
      </c>
      <c r="N101">
        <v>7</v>
      </c>
      <c r="O101">
        <v>7</v>
      </c>
      <c r="P101">
        <v>7</v>
      </c>
      <c r="Q101">
        <v>7</v>
      </c>
      <c r="R101">
        <v>7</v>
      </c>
      <c r="S101">
        <v>696</v>
      </c>
      <c r="T101">
        <v>696</v>
      </c>
      <c r="U101">
        <v>7</v>
      </c>
      <c r="V101">
        <v>5</v>
      </c>
      <c r="W101">
        <v>5</v>
      </c>
      <c r="X101">
        <v>4</v>
      </c>
      <c r="Y101">
        <v>7</v>
      </c>
      <c r="Z101">
        <v>6</v>
      </c>
      <c r="AA101">
        <v>6</v>
      </c>
      <c r="AB101">
        <v>7</v>
      </c>
      <c r="AC101">
        <v>7</v>
      </c>
      <c r="AD101">
        <v>86</v>
      </c>
      <c r="AE101">
        <v>91</v>
      </c>
      <c r="AF101">
        <v>89</v>
      </c>
      <c r="AG101">
        <v>58</v>
      </c>
      <c r="AH101">
        <v>77</v>
      </c>
      <c r="AI101">
        <v>90</v>
      </c>
      <c r="AJ101">
        <v>92</v>
      </c>
      <c r="AK101">
        <v>113</v>
      </c>
      <c r="AL101">
        <v>1647115264</v>
      </c>
      <c r="AM101">
        <v>1617261952</v>
      </c>
      <c r="AN101">
        <v>2002524928</v>
      </c>
      <c r="AO101">
        <v>2339552000</v>
      </c>
      <c r="AP101">
        <v>1349579008</v>
      </c>
      <c r="AQ101">
        <v>1303155200</v>
      </c>
      <c r="AR101">
        <v>1112962432</v>
      </c>
      <c r="AS101">
        <v>1219664640</v>
      </c>
      <c r="AT101">
        <v>1340310912</v>
      </c>
      <c r="AU101">
        <v>953763328</v>
      </c>
      <c r="AV101">
        <v>502349632</v>
      </c>
      <c r="AW101">
        <v>1163890560</v>
      </c>
      <c r="AX101">
        <v>869929856</v>
      </c>
      <c r="AY101">
        <v>739090304</v>
      </c>
      <c r="AZ101">
        <v>1120563840</v>
      </c>
      <c r="BA101">
        <v>809463808</v>
      </c>
    </row>
    <row r="102" spans="1:53">
      <c r="A102">
        <v>16842</v>
      </c>
      <c r="B102" t="s">
        <v>482</v>
      </c>
      <c r="C102" t="s">
        <v>483</v>
      </c>
      <c r="D102" t="s">
        <v>484</v>
      </c>
      <c r="F102" t="s">
        <v>485</v>
      </c>
      <c r="G102">
        <v>224.63200000000001</v>
      </c>
      <c r="H102" t="s">
        <v>58</v>
      </c>
      <c r="I102">
        <v>2</v>
      </c>
      <c r="J102">
        <v>3</v>
      </c>
      <c r="K102">
        <v>0</v>
      </c>
      <c r="L102">
        <v>49.43</v>
      </c>
      <c r="M102">
        <v>19736</v>
      </c>
      <c r="N102">
        <v>8</v>
      </c>
      <c r="O102">
        <v>6</v>
      </c>
      <c r="P102">
        <v>6</v>
      </c>
      <c r="Q102">
        <v>6</v>
      </c>
      <c r="R102">
        <v>6</v>
      </c>
      <c r="S102">
        <v>74</v>
      </c>
      <c r="T102">
        <v>74</v>
      </c>
      <c r="U102">
        <v>6</v>
      </c>
      <c r="V102">
        <v>3</v>
      </c>
      <c r="W102">
        <v>4</v>
      </c>
      <c r="X102">
        <v>6</v>
      </c>
      <c r="Y102">
        <v>5</v>
      </c>
      <c r="Z102">
        <v>5</v>
      </c>
      <c r="AA102">
        <v>5</v>
      </c>
      <c r="AB102">
        <v>6</v>
      </c>
      <c r="AC102">
        <v>6</v>
      </c>
      <c r="AD102">
        <v>9</v>
      </c>
      <c r="AE102">
        <v>11</v>
      </c>
      <c r="AF102">
        <v>13</v>
      </c>
      <c r="AG102">
        <v>12</v>
      </c>
      <c r="AH102">
        <v>4</v>
      </c>
      <c r="AI102">
        <v>7</v>
      </c>
      <c r="AJ102">
        <v>8</v>
      </c>
      <c r="AK102">
        <v>10</v>
      </c>
      <c r="AL102">
        <v>37260764</v>
      </c>
      <c r="AM102">
        <v>48299684</v>
      </c>
      <c r="AN102">
        <v>74780032</v>
      </c>
      <c r="AO102">
        <v>79894376</v>
      </c>
      <c r="AP102">
        <v>24361820</v>
      </c>
      <c r="AQ102">
        <v>32524804</v>
      </c>
      <c r="AR102">
        <v>32378706</v>
      </c>
      <c r="AS102">
        <v>55180920</v>
      </c>
      <c r="AT102">
        <v>2157959</v>
      </c>
      <c r="AU102">
        <v>10638538</v>
      </c>
      <c r="AV102">
        <v>51558240</v>
      </c>
      <c r="AW102">
        <v>85746056</v>
      </c>
      <c r="AX102">
        <v>45769872</v>
      </c>
      <c r="AY102">
        <v>51189592</v>
      </c>
      <c r="AZ102">
        <v>33548216</v>
      </c>
      <c r="BA102">
        <v>43451276</v>
      </c>
    </row>
    <row r="103" spans="1:53">
      <c r="A103">
        <v>16841</v>
      </c>
      <c r="B103" t="s">
        <v>486</v>
      </c>
      <c r="C103" t="s">
        <v>487</v>
      </c>
      <c r="D103" t="s">
        <v>488</v>
      </c>
      <c r="F103" t="s">
        <v>489</v>
      </c>
      <c r="G103">
        <v>221.14599999999999</v>
      </c>
      <c r="H103" t="s">
        <v>58</v>
      </c>
      <c r="I103">
        <v>2</v>
      </c>
      <c r="J103">
        <v>7</v>
      </c>
      <c r="K103">
        <v>0</v>
      </c>
      <c r="L103">
        <v>66.67</v>
      </c>
      <c r="M103">
        <v>8249</v>
      </c>
      <c r="N103">
        <v>4</v>
      </c>
      <c r="O103">
        <v>3</v>
      </c>
      <c r="P103">
        <v>3</v>
      </c>
      <c r="Q103">
        <v>3</v>
      </c>
      <c r="R103">
        <v>3</v>
      </c>
      <c r="S103">
        <v>112</v>
      </c>
      <c r="T103">
        <v>112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3</v>
      </c>
      <c r="AB103">
        <v>3</v>
      </c>
      <c r="AC103">
        <v>3</v>
      </c>
      <c r="AD103">
        <v>20</v>
      </c>
      <c r="AE103">
        <v>19</v>
      </c>
      <c r="AF103">
        <v>10</v>
      </c>
      <c r="AG103">
        <v>18</v>
      </c>
      <c r="AH103">
        <v>12</v>
      </c>
      <c r="AI103">
        <v>13</v>
      </c>
      <c r="AJ103">
        <v>12</v>
      </c>
      <c r="AK103">
        <v>8</v>
      </c>
      <c r="AL103">
        <v>76607912</v>
      </c>
      <c r="AM103">
        <v>66595592</v>
      </c>
      <c r="AN103">
        <v>70913328</v>
      </c>
      <c r="AO103">
        <v>97451296</v>
      </c>
      <c r="AP103">
        <v>49435720</v>
      </c>
      <c r="AQ103">
        <v>51024008</v>
      </c>
      <c r="AR103">
        <v>52013644</v>
      </c>
      <c r="AS103">
        <v>50519896</v>
      </c>
      <c r="AT103">
        <v>83527024</v>
      </c>
      <c r="AU103">
        <v>71431672</v>
      </c>
      <c r="AV103">
        <v>33536610</v>
      </c>
      <c r="AW103">
        <v>38934152</v>
      </c>
      <c r="AX103">
        <v>29528290</v>
      </c>
      <c r="AY103">
        <v>26994534</v>
      </c>
      <c r="AZ103">
        <v>25808700</v>
      </c>
      <c r="BA103">
        <v>25766312</v>
      </c>
    </row>
    <row r="104" spans="1:53">
      <c r="A104">
        <v>16873</v>
      </c>
      <c r="B104" t="s">
        <v>490</v>
      </c>
      <c r="D104" t="s">
        <v>490</v>
      </c>
      <c r="F104" t="s">
        <v>491</v>
      </c>
      <c r="G104">
        <v>220.06299999999999</v>
      </c>
      <c r="H104" t="s">
        <v>58</v>
      </c>
      <c r="I104">
        <v>2</v>
      </c>
      <c r="J104">
        <v>1</v>
      </c>
      <c r="K104">
        <v>0</v>
      </c>
      <c r="L104">
        <v>37.700000000000003</v>
      </c>
      <c r="M104">
        <v>18833</v>
      </c>
      <c r="N104">
        <v>8</v>
      </c>
      <c r="O104">
        <v>4</v>
      </c>
      <c r="P104">
        <v>4</v>
      </c>
      <c r="Q104">
        <v>4</v>
      </c>
      <c r="R104">
        <v>4</v>
      </c>
      <c r="S104">
        <v>42</v>
      </c>
      <c r="T104">
        <v>42</v>
      </c>
      <c r="U104">
        <v>4</v>
      </c>
      <c r="V104">
        <v>4</v>
      </c>
      <c r="W104">
        <v>4</v>
      </c>
      <c r="X104">
        <v>3</v>
      </c>
      <c r="Y104">
        <v>3</v>
      </c>
      <c r="Z104">
        <v>2</v>
      </c>
      <c r="AA104">
        <v>3</v>
      </c>
      <c r="AB104">
        <v>2</v>
      </c>
      <c r="AC104">
        <v>3</v>
      </c>
      <c r="AD104">
        <v>23</v>
      </c>
      <c r="AE104">
        <v>5</v>
      </c>
      <c r="AF104">
        <v>3</v>
      </c>
      <c r="AG104">
        <v>3</v>
      </c>
      <c r="AH104">
        <v>2</v>
      </c>
      <c r="AI104">
        <v>2</v>
      </c>
      <c r="AJ104">
        <v>2</v>
      </c>
      <c r="AK104">
        <v>2</v>
      </c>
      <c r="AL104">
        <v>18444136</v>
      </c>
      <c r="AM104">
        <v>4676755</v>
      </c>
      <c r="AN104">
        <v>5807492</v>
      </c>
      <c r="AO104">
        <v>6063735</v>
      </c>
      <c r="AP104">
        <v>4161032.5</v>
      </c>
      <c r="AQ104">
        <v>5151331</v>
      </c>
      <c r="AR104">
        <v>3805117.25</v>
      </c>
      <c r="AS104">
        <v>5050851</v>
      </c>
      <c r="AT104">
        <v>36017964</v>
      </c>
      <c r="AU104">
        <v>10476236</v>
      </c>
      <c r="AV104">
        <v>1097948.8799999999</v>
      </c>
      <c r="AW104">
        <v>1179673.6200000001</v>
      </c>
      <c r="AX104">
        <v>389125.19</v>
      </c>
      <c r="AY104">
        <v>817302.19</v>
      </c>
      <c r="AZ104">
        <v>405656.97</v>
      </c>
      <c r="BA104">
        <v>650386.88</v>
      </c>
    </row>
    <row r="105" spans="1:53">
      <c r="A105">
        <v>16717</v>
      </c>
      <c r="B105" t="s">
        <v>492</v>
      </c>
      <c r="C105" t="s">
        <v>493</v>
      </c>
      <c r="D105" t="s">
        <v>494</v>
      </c>
      <c r="F105" t="s">
        <v>495</v>
      </c>
      <c r="G105">
        <v>218.30099999999999</v>
      </c>
      <c r="H105" t="s">
        <v>58</v>
      </c>
      <c r="I105">
        <v>2</v>
      </c>
      <c r="J105">
        <v>20</v>
      </c>
      <c r="K105">
        <v>0</v>
      </c>
      <c r="L105">
        <v>46.48</v>
      </c>
      <c r="M105">
        <v>8499</v>
      </c>
      <c r="N105">
        <v>2</v>
      </c>
      <c r="O105">
        <v>8</v>
      </c>
      <c r="P105">
        <v>8</v>
      </c>
      <c r="Q105">
        <v>8</v>
      </c>
      <c r="R105">
        <v>8</v>
      </c>
      <c r="S105">
        <v>1563</v>
      </c>
      <c r="T105">
        <v>1563</v>
      </c>
      <c r="U105">
        <v>8</v>
      </c>
      <c r="V105">
        <v>5</v>
      </c>
      <c r="W105">
        <v>5</v>
      </c>
      <c r="X105">
        <v>7</v>
      </c>
      <c r="Y105">
        <v>7</v>
      </c>
      <c r="Z105">
        <v>6</v>
      </c>
      <c r="AA105">
        <v>6</v>
      </c>
      <c r="AB105">
        <v>7</v>
      </c>
      <c r="AC105">
        <v>6</v>
      </c>
      <c r="AD105">
        <v>159</v>
      </c>
      <c r="AE105">
        <v>173</v>
      </c>
      <c r="AF105">
        <v>230</v>
      </c>
      <c r="AG105">
        <v>210</v>
      </c>
      <c r="AH105">
        <v>224</v>
      </c>
      <c r="AI105">
        <v>224</v>
      </c>
      <c r="AJ105">
        <v>190</v>
      </c>
      <c r="AK105">
        <v>153</v>
      </c>
      <c r="AL105">
        <v>1967809408</v>
      </c>
      <c r="AM105">
        <v>1926311936</v>
      </c>
      <c r="AN105">
        <v>3628012544</v>
      </c>
      <c r="AO105">
        <v>3887547136</v>
      </c>
      <c r="AP105">
        <v>2052391296</v>
      </c>
      <c r="AQ105">
        <v>2136950272</v>
      </c>
      <c r="AR105">
        <v>1976674176</v>
      </c>
      <c r="AS105">
        <v>1532517248</v>
      </c>
      <c r="AT105">
        <v>1480768256</v>
      </c>
      <c r="AU105">
        <v>1797645824</v>
      </c>
      <c r="AV105">
        <v>2086882560</v>
      </c>
      <c r="AW105">
        <v>2096700416</v>
      </c>
      <c r="AX105">
        <v>1481826176</v>
      </c>
      <c r="AY105">
        <v>1420468608</v>
      </c>
      <c r="AZ105">
        <v>1530124928</v>
      </c>
      <c r="BA105">
        <v>1017065408</v>
      </c>
    </row>
    <row r="106" spans="1:53">
      <c r="A106">
        <v>16724</v>
      </c>
      <c r="B106" t="s">
        <v>496</v>
      </c>
      <c r="C106" t="s">
        <v>425</v>
      </c>
      <c r="D106" t="s">
        <v>496</v>
      </c>
      <c r="F106" t="s">
        <v>497</v>
      </c>
      <c r="G106">
        <v>218.25200000000001</v>
      </c>
      <c r="H106" t="s">
        <v>58</v>
      </c>
      <c r="I106">
        <v>2</v>
      </c>
      <c r="J106">
        <v>1</v>
      </c>
      <c r="K106">
        <v>0</v>
      </c>
      <c r="L106">
        <v>47.52</v>
      </c>
      <c r="M106">
        <v>11594</v>
      </c>
      <c r="N106">
        <v>7</v>
      </c>
      <c r="O106">
        <v>10</v>
      </c>
      <c r="P106">
        <v>1</v>
      </c>
      <c r="Q106">
        <v>10</v>
      </c>
      <c r="R106">
        <v>1</v>
      </c>
      <c r="S106">
        <v>664</v>
      </c>
      <c r="T106">
        <v>8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464540352</v>
      </c>
      <c r="AM106">
        <v>417875552</v>
      </c>
      <c r="AN106">
        <v>765996608</v>
      </c>
      <c r="AO106">
        <v>1138573056</v>
      </c>
      <c r="AP106">
        <v>551283520</v>
      </c>
      <c r="AQ106">
        <v>575965888</v>
      </c>
      <c r="AR106">
        <v>546232512</v>
      </c>
      <c r="AS106">
        <v>463024320</v>
      </c>
      <c r="AT106">
        <v>1687351.5</v>
      </c>
      <c r="AU106">
        <v>1315168.25</v>
      </c>
      <c r="AV106">
        <v>730309.38</v>
      </c>
      <c r="AW106">
        <v>473269.19</v>
      </c>
      <c r="AX106">
        <v>733588.94</v>
      </c>
      <c r="AY106">
        <v>670954.68999999994</v>
      </c>
      <c r="AZ106">
        <v>565044.5</v>
      </c>
      <c r="BA106">
        <v>416458.72</v>
      </c>
    </row>
    <row r="107" spans="1:53">
      <c r="A107">
        <v>16783</v>
      </c>
      <c r="B107" t="s">
        <v>498</v>
      </c>
      <c r="C107" t="s">
        <v>499</v>
      </c>
      <c r="D107" t="s">
        <v>500</v>
      </c>
      <c r="F107" t="s">
        <v>501</v>
      </c>
      <c r="G107">
        <v>210.536</v>
      </c>
      <c r="H107" t="s">
        <v>58</v>
      </c>
      <c r="I107">
        <v>2</v>
      </c>
      <c r="J107">
        <v>5</v>
      </c>
      <c r="K107">
        <v>0</v>
      </c>
      <c r="L107">
        <v>77</v>
      </c>
      <c r="M107">
        <v>11198</v>
      </c>
      <c r="N107">
        <v>6</v>
      </c>
      <c r="O107">
        <v>11</v>
      </c>
      <c r="P107">
        <v>11</v>
      </c>
      <c r="Q107">
        <v>11</v>
      </c>
      <c r="R107">
        <v>11</v>
      </c>
      <c r="S107">
        <v>190</v>
      </c>
      <c r="T107">
        <v>190</v>
      </c>
      <c r="U107">
        <v>10</v>
      </c>
      <c r="V107">
        <v>6</v>
      </c>
      <c r="W107">
        <v>8</v>
      </c>
      <c r="X107">
        <v>8</v>
      </c>
      <c r="Y107">
        <v>10</v>
      </c>
      <c r="Z107">
        <v>9</v>
      </c>
      <c r="AA107">
        <v>8</v>
      </c>
      <c r="AB107">
        <v>7</v>
      </c>
      <c r="AC107">
        <v>7</v>
      </c>
      <c r="AD107">
        <v>23</v>
      </c>
      <c r="AE107">
        <v>36</v>
      </c>
      <c r="AF107">
        <v>13</v>
      </c>
      <c r="AG107">
        <v>49</v>
      </c>
      <c r="AH107">
        <v>27</v>
      </c>
      <c r="AI107">
        <v>23</v>
      </c>
      <c r="AJ107">
        <v>17</v>
      </c>
      <c r="AK107">
        <v>1</v>
      </c>
      <c r="AL107">
        <v>189549664</v>
      </c>
      <c r="AM107">
        <v>237239088</v>
      </c>
      <c r="AN107">
        <v>115204744</v>
      </c>
      <c r="AO107">
        <v>150002304</v>
      </c>
      <c r="AP107">
        <v>159622880</v>
      </c>
      <c r="AQ107">
        <v>61268992</v>
      </c>
      <c r="AR107">
        <v>149034176</v>
      </c>
      <c r="AS107">
        <v>115587192</v>
      </c>
      <c r="AT107">
        <v>52480196</v>
      </c>
      <c r="AU107">
        <v>140521616</v>
      </c>
      <c r="AV107">
        <v>59865836</v>
      </c>
      <c r="AW107">
        <v>241335776</v>
      </c>
      <c r="AX107">
        <v>127372944</v>
      </c>
      <c r="AY107">
        <v>49914408</v>
      </c>
      <c r="AZ107">
        <v>80882448</v>
      </c>
      <c r="BA107">
        <v>31156926</v>
      </c>
    </row>
    <row r="108" spans="1:53">
      <c r="A108">
        <v>16654</v>
      </c>
      <c r="B108" t="s">
        <v>502</v>
      </c>
      <c r="C108" t="s">
        <v>503</v>
      </c>
      <c r="D108" t="s">
        <v>504</v>
      </c>
      <c r="E108" t="s">
        <v>505</v>
      </c>
      <c r="F108" t="s">
        <v>506</v>
      </c>
      <c r="G108">
        <v>208.291</v>
      </c>
      <c r="H108" t="s">
        <v>58</v>
      </c>
      <c r="I108">
        <v>2</v>
      </c>
      <c r="J108">
        <v>4</v>
      </c>
      <c r="K108">
        <v>17</v>
      </c>
      <c r="L108">
        <v>17.63</v>
      </c>
      <c r="M108">
        <v>65912</v>
      </c>
      <c r="N108">
        <v>38</v>
      </c>
      <c r="O108">
        <v>9</v>
      </c>
      <c r="P108">
        <v>9</v>
      </c>
      <c r="Q108">
        <v>9</v>
      </c>
      <c r="R108">
        <v>9</v>
      </c>
      <c r="S108">
        <v>29</v>
      </c>
      <c r="T108">
        <v>29</v>
      </c>
      <c r="U108">
        <v>9</v>
      </c>
      <c r="V108">
        <v>5</v>
      </c>
      <c r="W108">
        <v>4</v>
      </c>
      <c r="X108">
        <v>6</v>
      </c>
      <c r="Y108">
        <v>9</v>
      </c>
      <c r="Z108">
        <v>8</v>
      </c>
      <c r="AA108">
        <v>9</v>
      </c>
      <c r="AB108">
        <v>8</v>
      </c>
      <c r="AC108">
        <v>9</v>
      </c>
      <c r="AD108">
        <v>2</v>
      </c>
      <c r="AE108">
        <v>1</v>
      </c>
      <c r="AF108">
        <v>2</v>
      </c>
      <c r="AG108">
        <v>3</v>
      </c>
      <c r="AH108">
        <v>4</v>
      </c>
      <c r="AI108">
        <v>9</v>
      </c>
      <c r="AJ108">
        <v>2</v>
      </c>
      <c r="AK108">
        <v>7</v>
      </c>
      <c r="AL108">
        <v>3612421.5</v>
      </c>
      <c r="AM108">
        <v>3412624.75</v>
      </c>
      <c r="AN108">
        <v>10205745</v>
      </c>
      <c r="AO108">
        <v>22020324</v>
      </c>
      <c r="AP108">
        <v>17515108</v>
      </c>
      <c r="AQ108">
        <v>24719022</v>
      </c>
      <c r="AR108">
        <v>16500258</v>
      </c>
      <c r="AS108">
        <v>24169554</v>
      </c>
      <c r="AT108">
        <v>948003.5</v>
      </c>
      <c r="AU108">
        <v>449080.53</v>
      </c>
      <c r="AV108">
        <v>3303095.25</v>
      </c>
      <c r="AW108">
        <v>8701705</v>
      </c>
      <c r="AX108">
        <v>11881274</v>
      </c>
      <c r="AY108">
        <v>15803346</v>
      </c>
      <c r="AZ108">
        <v>8713909</v>
      </c>
      <c r="BA108">
        <v>13303526</v>
      </c>
    </row>
    <row r="109" spans="1:53">
      <c r="A109">
        <v>16840</v>
      </c>
      <c r="B109" t="s">
        <v>507</v>
      </c>
      <c r="C109" t="s">
        <v>508</v>
      </c>
      <c r="D109" t="s">
        <v>507</v>
      </c>
      <c r="F109" t="s">
        <v>509</v>
      </c>
      <c r="G109">
        <v>204.88800000000001</v>
      </c>
      <c r="H109" t="s">
        <v>58</v>
      </c>
      <c r="I109">
        <v>2</v>
      </c>
      <c r="J109">
        <v>1</v>
      </c>
      <c r="K109">
        <v>0</v>
      </c>
      <c r="L109">
        <v>20</v>
      </c>
      <c r="M109">
        <v>25096</v>
      </c>
      <c r="N109">
        <v>11</v>
      </c>
      <c r="O109">
        <v>5</v>
      </c>
      <c r="P109">
        <v>5</v>
      </c>
      <c r="Q109">
        <v>5</v>
      </c>
      <c r="R109">
        <v>5</v>
      </c>
      <c r="S109">
        <v>43</v>
      </c>
      <c r="T109">
        <v>43</v>
      </c>
      <c r="U109">
        <v>5</v>
      </c>
      <c r="V109">
        <v>3</v>
      </c>
      <c r="W109">
        <v>3</v>
      </c>
      <c r="X109">
        <v>4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1</v>
      </c>
      <c r="AE109">
        <v>2</v>
      </c>
      <c r="AF109">
        <v>7</v>
      </c>
      <c r="AG109">
        <v>8</v>
      </c>
      <c r="AH109">
        <v>5</v>
      </c>
      <c r="AI109">
        <v>9</v>
      </c>
      <c r="AJ109">
        <v>4</v>
      </c>
      <c r="AK109">
        <v>8</v>
      </c>
      <c r="AL109">
        <v>4786409</v>
      </c>
      <c r="AM109">
        <v>10212294</v>
      </c>
      <c r="AN109">
        <v>26013598</v>
      </c>
      <c r="AO109">
        <v>38040128</v>
      </c>
      <c r="AP109">
        <v>22110832</v>
      </c>
      <c r="AQ109">
        <v>26518442</v>
      </c>
      <c r="AR109">
        <v>20190730</v>
      </c>
      <c r="AS109">
        <v>25999076</v>
      </c>
      <c r="AT109">
        <v>648107.31000000006</v>
      </c>
      <c r="AU109">
        <v>664822.5</v>
      </c>
      <c r="AV109">
        <v>9786912</v>
      </c>
      <c r="AW109">
        <v>20114032</v>
      </c>
      <c r="AX109">
        <v>18229992</v>
      </c>
      <c r="AY109">
        <v>18957298</v>
      </c>
      <c r="AZ109">
        <v>13480206</v>
      </c>
      <c r="BA109">
        <v>20803200</v>
      </c>
    </row>
    <row r="110" spans="1:53">
      <c r="A110">
        <v>16745</v>
      </c>
      <c r="B110" t="s">
        <v>510</v>
      </c>
      <c r="C110" t="s">
        <v>511</v>
      </c>
      <c r="D110" t="s">
        <v>512</v>
      </c>
      <c r="E110" t="s">
        <v>513</v>
      </c>
      <c r="F110" t="s">
        <v>514</v>
      </c>
      <c r="G110">
        <v>203.726</v>
      </c>
      <c r="H110" t="s">
        <v>58</v>
      </c>
      <c r="I110">
        <v>2</v>
      </c>
      <c r="J110">
        <v>19</v>
      </c>
      <c r="K110">
        <v>2</v>
      </c>
      <c r="L110">
        <v>69.66</v>
      </c>
      <c r="M110">
        <v>10268</v>
      </c>
      <c r="N110">
        <v>5</v>
      </c>
      <c r="O110">
        <v>7</v>
      </c>
      <c r="P110">
        <v>7</v>
      </c>
      <c r="Q110">
        <v>7</v>
      </c>
      <c r="R110">
        <v>7</v>
      </c>
      <c r="S110">
        <v>445</v>
      </c>
      <c r="T110">
        <v>445</v>
      </c>
      <c r="U110">
        <v>7</v>
      </c>
      <c r="V110">
        <v>5</v>
      </c>
      <c r="W110">
        <v>6</v>
      </c>
      <c r="X110">
        <v>5</v>
      </c>
      <c r="Y110">
        <v>6</v>
      </c>
      <c r="Z110">
        <v>5</v>
      </c>
      <c r="AA110">
        <v>6</v>
      </c>
      <c r="AB110">
        <v>6</v>
      </c>
      <c r="AC110">
        <v>7</v>
      </c>
      <c r="AD110">
        <v>59</v>
      </c>
      <c r="AE110">
        <v>63</v>
      </c>
      <c r="AF110">
        <v>47</v>
      </c>
      <c r="AG110">
        <v>67</v>
      </c>
      <c r="AH110">
        <v>46</v>
      </c>
      <c r="AI110">
        <v>39</v>
      </c>
      <c r="AJ110">
        <v>55</v>
      </c>
      <c r="AK110">
        <v>69</v>
      </c>
      <c r="AL110">
        <v>1758916736</v>
      </c>
      <c r="AM110">
        <v>2028986240</v>
      </c>
      <c r="AN110">
        <v>1001179008</v>
      </c>
      <c r="AO110">
        <v>1238642432</v>
      </c>
      <c r="AP110">
        <v>580257536</v>
      </c>
      <c r="AQ110">
        <v>612988544</v>
      </c>
      <c r="AR110">
        <v>525718816</v>
      </c>
      <c r="AS110">
        <v>729491392</v>
      </c>
      <c r="AT110">
        <v>543188032</v>
      </c>
      <c r="AU110">
        <v>1601233408</v>
      </c>
      <c r="AV110">
        <v>444881408</v>
      </c>
      <c r="AW110">
        <v>652098688</v>
      </c>
      <c r="AX110">
        <v>413137792</v>
      </c>
      <c r="AY110">
        <v>375782976</v>
      </c>
      <c r="AZ110">
        <v>748493440</v>
      </c>
      <c r="BA110">
        <v>889521856</v>
      </c>
    </row>
    <row r="111" spans="1:53">
      <c r="A111">
        <v>16761</v>
      </c>
      <c r="B111" t="s">
        <v>515</v>
      </c>
      <c r="C111" t="s">
        <v>516</v>
      </c>
      <c r="D111" t="s">
        <v>517</v>
      </c>
      <c r="F111" t="s">
        <v>518</v>
      </c>
      <c r="G111">
        <v>202.48599999999999</v>
      </c>
      <c r="H111" t="s">
        <v>58</v>
      </c>
      <c r="I111">
        <v>2</v>
      </c>
      <c r="J111">
        <v>20</v>
      </c>
      <c r="K111">
        <v>0</v>
      </c>
      <c r="L111">
        <v>76.36</v>
      </c>
      <c r="M111">
        <v>6371</v>
      </c>
      <c r="N111">
        <v>3</v>
      </c>
      <c r="O111">
        <v>5</v>
      </c>
      <c r="P111">
        <v>5</v>
      </c>
      <c r="Q111">
        <v>5</v>
      </c>
      <c r="R111">
        <v>5</v>
      </c>
      <c r="S111">
        <v>373</v>
      </c>
      <c r="T111">
        <v>373</v>
      </c>
      <c r="U111">
        <v>5</v>
      </c>
      <c r="V111">
        <v>4</v>
      </c>
      <c r="W111">
        <v>5</v>
      </c>
      <c r="X111">
        <v>4</v>
      </c>
      <c r="Y111">
        <v>5</v>
      </c>
      <c r="Z111">
        <v>5</v>
      </c>
      <c r="AA111">
        <v>5</v>
      </c>
      <c r="AB111">
        <v>5</v>
      </c>
      <c r="AC111">
        <v>4</v>
      </c>
      <c r="AD111">
        <v>57</v>
      </c>
      <c r="AE111">
        <v>51</v>
      </c>
      <c r="AF111">
        <v>39</v>
      </c>
      <c r="AG111">
        <v>41</v>
      </c>
      <c r="AH111">
        <v>53</v>
      </c>
      <c r="AI111">
        <v>52</v>
      </c>
      <c r="AJ111">
        <v>49</v>
      </c>
      <c r="AK111">
        <v>31</v>
      </c>
      <c r="AL111">
        <v>59152180</v>
      </c>
      <c r="AM111">
        <v>57467620</v>
      </c>
      <c r="AN111">
        <v>115666536</v>
      </c>
      <c r="AO111">
        <v>83785360</v>
      </c>
      <c r="AP111">
        <v>103524696</v>
      </c>
      <c r="AQ111">
        <v>114504544</v>
      </c>
      <c r="AR111">
        <v>149898464</v>
      </c>
      <c r="AS111">
        <v>131704872</v>
      </c>
      <c r="AT111">
        <v>110359152</v>
      </c>
      <c r="AU111">
        <v>168244128</v>
      </c>
      <c r="AV111">
        <v>118247696</v>
      </c>
      <c r="AW111">
        <v>174625504</v>
      </c>
      <c r="AX111">
        <v>129767056</v>
      </c>
      <c r="AY111">
        <v>131791888</v>
      </c>
      <c r="AZ111">
        <v>155633008</v>
      </c>
      <c r="BA111">
        <v>129305464</v>
      </c>
    </row>
    <row r="112" spans="1:53">
      <c r="A112">
        <v>16683</v>
      </c>
      <c r="B112" t="s">
        <v>519</v>
      </c>
      <c r="C112" t="s">
        <v>520</v>
      </c>
      <c r="D112" t="s">
        <v>521</v>
      </c>
      <c r="E112" t="s">
        <v>522</v>
      </c>
      <c r="F112" t="s">
        <v>523</v>
      </c>
      <c r="G112">
        <v>201.53399999999999</v>
      </c>
      <c r="H112" t="s">
        <v>58</v>
      </c>
      <c r="I112">
        <v>2</v>
      </c>
      <c r="J112">
        <v>20</v>
      </c>
      <c r="K112">
        <v>1</v>
      </c>
      <c r="L112">
        <v>55.12</v>
      </c>
      <c r="M112">
        <v>14364</v>
      </c>
      <c r="N112">
        <v>8</v>
      </c>
      <c r="O112">
        <v>8</v>
      </c>
      <c r="P112">
        <v>8</v>
      </c>
      <c r="Q112">
        <v>8</v>
      </c>
      <c r="R112">
        <v>8</v>
      </c>
      <c r="S112">
        <v>153</v>
      </c>
      <c r="T112">
        <v>153</v>
      </c>
      <c r="U112">
        <v>8</v>
      </c>
      <c r="V112">
        <v>7</v>
      </c>
      <c r="W112">
        <v>6</v>
      </c>
      <c r="X112">
        <v>6</v>
      </c>
      <c r="Y112">
        <v>8</v>
      </c>
      <c r="Z112">
        <v>6</v>
      </c>
      <c r="AA112">
        <v>6</v>
      </c>
      <c r="AB112">
        <v>7</v>
      </c>
      <c r="AC112">
        <v>7</v>
      </c>
      <c r="AD112">
        <v>36</v>
      </c>
      <c r="AE112">
        <v>34</v>
      </c>
      <c r="AF112">
        <v>10</v>
      </c>
      <c r="AG112">
        <v>20</v>
      </c>
      <c r="AH112">
        <v>12</v>
      </c>
      <c r="AI112">
        <v>13</v>
      </c>
      <c r="AJ112">
        <v>15</v>
      </c>
      <c r="AK112">
        <v>13</v>
      </c>
      <c r="AL112">
        <v>336534112</v>
      </c>
      <c r="AM112">
        <v>421478464</v>
      </c>
      <c r="AN112">
        <v>241997984</v>
      </c>
      <c r="AO112">
        <v>324066144</v>
      </c>
      <c r="AP112">
        <v>257981536</v>
      </c>
      <c r="AQ112">
        <v>343679360</v>
      </c>
      <c r="AR112">
        <v>331831072</v>
      </c>
      <c r="AS112">
        <v>297383360</v>
      </c>
      <c r="AT112">
        <v>289092128</v>
      </c>
      <c r="AU112">
        <v>345050400</v>
      </c>
      <c r="AV112">
        <v>117222136</v>
      </c>
      <c r="AW112">
        <v>148228752</v>
      </c>
      <c r="AX112">
        <v>167941200</v>
      </c>
      <c r="AY112">
        <v>204401312</v>
      </c>
      <c r="AZ112">
        <v>190520128</v>
      </c>
      <c r="BA112">
        <v>153338448</v>
      </c>
    </row>
    <row r="113" spans="1:53">
      <c r="A113">
        <v>16703</v>
      </c>
      <c r="B113" t="s">
        <v>524</v>
      </c>
      <c r="C113" t="s">
        <v>525</v>
      </c>
      <c r="D113" t="s">
        <v>526</v>
      </c>
      <c r="F113" t="s">
        <v>527</v>
      </c>
      <c r="G113">
        <v>189.32300000000001</v>
      </c>
      <c r="H113" t="s">
        <v>58</v>
      </c>
      <c r="I113">
        <v>2</v>
      </c>
      <c r="J113">
        <v>20</v>
      </c>
      <c r="K113">
        <v>0</v>
      </c>
      <c r="L113">
        <v>27.06</v>
      </c>
      <c r="M113">
        <v>28422</v>
      </c>
      <c r="N113">
        <v>16</v>
      </c>
      <c r="O113">
        <v>7</v>
      </c>
      <c r="P113">
        <v>7</v>
      </c>
      <c r="Q113">
        <v>7</v>
      </c>
      <c r="R113">
        <v>7</v>
      </c>
      <c r="S113">
        <v>27</v>
      </c>
      <c r="T113">
        <v>27</v>
      </c>
      <c r="U113">
        <v>7</v>
      </c>
      <c r="V113">
        <v>4</v>
      </c>
      <c r="W113">
        <v>3</v>
      </c>
      <c r="X113">
        <v>6</v>
      </c>
      <c r="Y113">
        <v>7</v>
      </c>
      <c r="Z113">
        <v>7</v>
      </c>
      <c r="AA113">
        <v>7</v>
      </c>
      <c r="AB113">
        <v>7</v>
      </c>
      <c r="AC113">
        <v>7</v>
      </c>
      <c r="AD113">
        <v>1</v>
      </c>
      <c r="AE113">
        <v>1</v>
      </c>
      <c r="AF113">
        <v>4</v>
      </c>
      <c r="AG113">
        <v>8</v>
      </c>
      <c r="AH113">
        <v>1</v>
      </c>
      <c r="AI113">
        <v>5</v>
      </c>
      <c r="AJ113">
        <v>4</v>
      </c>
      <c r="AK113">
        <v>5</v>
      </c>
      <c r="AL113">
        <v>8487632</v>
      </c>
      <c r="AM113">
        <v>7672545.5</v>
      </c>
      <c r="AN113">
        <v>27000178</v>
      </c>
      <c r="AO113">
        <v>35941188</v>
      </c>
      <c r="AP113">
        <v>11949553</v>
      </c>
      <c r="AQ113">
        <v>16947238</v>
      </c>
      <c r="AR113">
        <v>15520900</v>
      </c>
      <c r="AS113">
        <v>16598280</v>
      </c>
      <c r="AT113">
        <v>1334611.1200000001</v>
      </c>
      <c r="AU113">
        <v>384443.78</v>
      </c>
      <c r="AV113">
        <v>14313863</v>
      </c>
      <c r="AW113">
        <v>17651224</v>
      </c>
      <c r="AX113">
        <v>14156634</v>
      </c>
      <c r="AY113">
        <v>14765507</v>
      </c>
      <c r="AZ113">
        <v>12499440</v>
      </c>
      <c r="BA113">
        <v>13143422</v>
      </c>
    </row>
    <row r="114" spans="1:53">
      <c r="A114">
        <v>16787</v>
      </c>
      <c r="B114" t="s">
        <v>528</v>
      </c>
      <c r="C114" t="s">
        <v>529</v>
      </c>
      <c r="D114" t="s">
        <v>530</v>
      </c>
      <c r="F114" t="s">
        <v>531</v>
      </c>
      <c r="G114">
        <v>188.23400000000001</v>
      </c>
      <c r="H114" t="s">
        <v>58</v>
      </c>
      <c r="I114">
        <v>2</v>
      </c>
      <c r="J114">
        <v>3</v>
      </c>
      <c r="K114">
        <v>0</v>
      </c>
      <c r="L114">
        <v>33.33</v>
      </c>
      <c r="M114">
        <v>8323</v>
      </c>
      <c r="N114">
        <v>5</v>
      </c>
      <c r="O114">
        <v>2</v>
      </c>
      <c r="P114">
        <v>2</v>
      </c>
      <c r="Q114">
        <v>3</v>
      </c>
      <c r="R114">
        <v>3</v>
      </c>
      <c r="S114">
        <v>59</v>
      </c>
      <c r="T114">
        <v>59</v>
      </c>
      <c r="U114">
        <v>3</v>
      </c>
      <c r="V114">
        <v>3</v>
      </c>
      <c r="W114">
        <v>3</v>
      </c>
      <c r="X114">
        <v>3</v>
      </c>
      <c r="Y114">
        <v>3</v>
      </c>
      <c r="Z114">
        <v>3</v>
      </c>
      <c r="AA114">
        <v>3</v>
      </c>
      <c r="AB114">
        <v>3</v>
      </c>
      <c r="AC114">
        <v>3</v>
      </c>
      <c r="AD114">
        <v>14</v>
      </c>
      <c r="AE114">
        <v>11</v>
      </c>
      <c r="AF114">
        <v>6</v>
      </c>
      <c r="AG114">
        <v>4</v>
      </c>
      <c r="AH114">
        <v>7</v>
      </c>
      <c r="AI114">
        <v>8</v>
      </c>
      <c r="AJ114">
        <v>5</v>
      </c>
      <c r="AK114">
        <v>4</v>
      </c>
      <c r="AL114">
        <v>60520220</v>
      </c>
      <c r="AM114">
        <v>64406620</v>
      </c>
      <c r="AN114">
        <v>57516324</v>
      </c>
      <c r="AO114">
        <v>61994880</v>
      </c>
      <c r="AP114">
        <v>50661240</v>
      </c>
      <c r="AQ114">
        <v>50925532</v>
      </c>
      <c r="AR114">
        <v>31039406</v>
      </c>
      <c r="AS114">
        <v>32790860</v>
      </c>
      <c r="AT114">
        <v>75547192</v>
      </c>
      <c r="AU114">
        <v>77462504</v>
      </c>
      <c r="AV114">
        <v>31256746</v>
      </c>
      <c r="AW114">
        <v>22449038</v>
      </c>
      <c r="AX114">
        <v>32987686</v>
      </c>
      <c r="AY114">
        <v>27395378</v>
      </c>
      <c r="AZ114">
        <v>15990702</v>
      </c>
      <c r="BA114">
        <v>12779059</v>
      </c>
    </row>
    <row r="115" spans="1:53">
      <c r="A115">
        <v>16735</v>
      </c>
      <c r="B115" t="s">
        <v>532</v>
      </c>
      <c r="C115" t="s">
        <v>533</v>
      </c>
      <c r="D115" t="s">
        <v>534</v>
      </c>
      <c r="F115" t="s">
        <v>535</v>
      </c>
      <c r="G115">
        <v>184.048</v>
      </c>
      <c r="H115" t="s">
        <v>58</v>
      </c>
      <c r="I115">
        <v>2</v>
      </c>
      <c r="J115">
        <v>21</v>
      </c>
      <c r="K115">
        <v>0</v>
      </c>
      <c r="L115">
        <v>48.31</v>
      </c>
      <c r="M115">
        <v>13496</v>
      </c>
      <c r="N115">
        <v>10</v>
      </c>
      <c r="O115">
        <v>8</v>
      </c>
      <c r="P115">
        <v>8</v>
      </c>
      <c r="Q115">
        <v>8</v>
      </c>
      <c r="R115">
        <v>8</v>
      </c>
      <c r="S115">
        <v>119</v>
      </c>
      <c r="T115">
        <v>119</v>
      </c>
      <c r="U115">
        <v>8</v>
      </c>
      <c r="V115">
        <v>8</v>
      </c>
      <c r="W115">
        <v>7</v>
      </c>
      <c r="X115">
        <v>6</v>
      </c>
      <c r="Y115">
        <v>6</v>
      </c>
      <c r="Z115">
        <v>7</v>
      </c>
      <c r="AA115">
        <v>7</v>
      </c>
      <c r="AB115">
        <v>7</v>
      </c>
      <c r="AC115">
        <v>7</v>
      </c>
      <c r="AD115">
        <v>37</v>
      </c>
      <c r="AE115">
        <v>23</v>
      </c>
      <c r="AF115">
        <v>5</v>
      </c>
      <c r="AG115">
        <v>9</v>
      </c>
      <c r="AH115">
        <v>10</v>
      </c>
      <c r="AI115">
        <v>13</v>
      </c>
      <c r="AJ115">
        <v>12</v>
      </c>
      <c r="AK115">
        <v>10</v>
      </c>
      <c r="AL115">
        <v>103055536</v>
      </c>
      <c r="AM115">
        <v>130768576</v>
      </c>
      <c r="AN115">
        <v>53807492</v>
      </c>
      <c r="AO115">
        <v>133563584</v>
      </c>
      <c r="AP115">
        <v>116785328</v>
      </c>
      <c r="AQ115">
        <v>165937664</v>
      </c>
      <c r="AR115">
        <v>149247744</v>
      </c>
      <c r="AS115">
        <v>127591968</v>
      </c>
      <c r="AT115">
        <v>109643824</v>
      </c>
      <c r="AU115">
        <v>140338544</v>
      </c>
      <c r="AV115">
        <v>22616694</v>
      </c>
      <c r="AW115">
        <v>41930872</v>
      </c>
      <c r="AX115">
        <v>69347984</v>
      </c>
      <c r="AY115">
        <v>91643496</v>
      </c>
      <c r="AZ115">
        <v>76646504</v>
      </c>
      <c r="BA115">
        <v>55892548</v>
      </c>
    </row>
    <row r="116" spans="1:53">
      <c r="A116">
        <v>16690</v>
      </c>
      <c r="B116" t="s">
        <v>536</v>
      </c>
      <c r="C116" t="s">
        <v>537</v>
      </c>
      <c r="D116" t="s">
        <v>538</v>
      </c>
      <c r="E116" t="s">
        <v>539</v>
      </c>
      <c r="F116" t="s">
        <v>540</v>
      </c>
      <c r="G116">
        <v>180.70500000000001</v>
      </c>
      <c r="H116" t="s">
        <v>58</v>
      </c>
      <c r="I116">
        <v>2</v>
      </c>
      <c r="J116">
        <v>3</v>
      </c>
      <c r="K116">
        <v>17</v>
      </c>
      <c r="L116">
        <v>67.09</v>
      </c>
      <c r="M116">
        <v>9402</v>
      </c>
      <c r="N116">
        <v>6</v>
      </c>
      <c r="O116">
        <v>4</v>
      </c>
      <c r="P116">
        <v>4</v>
      </c>
      <c r="Q116">
        <v>4</v>
      </c>
      <c r="R116">
        <v>4</v>
      </c>
      <c r="S116">
        <v>26</v>
      </c>
      <c r="T116">
        <v>26</v>
      </c>
      <c r="U116">
        <v>4</v>
      </c>
      <c r="V116">
        <v>4</v>
      </c>
      <c r="W116">
        <v>3</v>
      </c>
      <c r="X116">
        <v>3</v>
      </c>
      <c r="Y116">
        <v>4</v>
      </c>
      <c r="Z116">
        <v>4</v>
      </c>
      <c r="AA116">
        <v>4</v>
      </c>
      <c r="AB116">
        <v>4</v>
      </c>
      <c r="AC116">
        <v>3</v>
      </c>
      <c r="AD116">
        <v>5</v>
      </c>
      <c r="AE116">
        <v>5</v>
      </c>
      <c r="AF116">
        <v>1</v>
      </c>
      <c r="AG116">
        <v>2</v>
      </c>
      <c r="AH116">
        <v>6</v>
      </c>
      <c r="AI116">
        <v>5</v>
      </c>
      <c r="AJ116">
        <v>2</v>
      </c>
      <c r="AK116">
        <v>0</v>
      </c>
      <c r="AL116">
        <v>10230323</v>
      </c>
      <c r="AM116">
        <v>8510340</v>
      </c>
      <c r="AN116">
        <v>5886291</v>
      </c>
      <c r="AO116">
        <v>9399941</v>
      </c>
      <c r="AP116">
        <v>11011052</v>
      </c>
      <c r="AQ116">
        <v>10800816</v>
      </c>
      <c r="AR116">
        <v>5499109</v>
      </c>
      <c r="AS116">
        <v>3596094</v>
      </c>
      <c r="AT116">
        <v>16457024</v>
      </c>
      <c r="AU116">
        <v>19942250</v>
      </c>
      <c r="AV116">
        <v>5483877</v>
      </c>
      <c r="AW116">
        <v>4368589.5</v>
      </c>
      <c r="AX116">
        <v>10567637</v>
      </c>
      <c r="AY116">
        <v>9490013</v>
      </c>
      <c r="AZ116">
        <v>3148518.75</v>
      </c>
      <c r="BA116">
        <v>1967250.25</v>
      </c>
    </row>
    <row r="117" spans="1:53">
      <c r="A117">
        <v>16824</v>
      </c>
      <c r="B117" t="s">
        <v>541</v>
      </c>
      <c r="C117" t="s">
        <v>542</v>
      </c>
      <c r="D117" t="s">
        <v>543</v>
      </c>
      <c r="F117" t="s">
        <v>544</v>
      </c>
      <c r="G117">
        <v>178.697</v>
      </c>
      <c r="H117" t="s">
        <v>58</v>
      </c>
      <c r="I117">
        <v>2</v>
      </c>
      <c r="J117">
        <v>3</v>
      </c>
      <c r="K117">
        <v>0</v>
      </c>
      <c r="L117">
        <v>56.64</v>
      </c>
      <c r="M117">
        <v>12784</v>
      </c>
      <c r="N117">
        <v>8</v>
      </c>
      <c r="O117">
        <v>5</v>
      </c>
      <c r="P117">
        <v>5</v>
      </c>
      <c r="Q117">
        <v>5</v>
      </c>
      <c r="R117">
        <v>5</v>
      </c>
      <c r="S117">
        <v>50</v>
      </c>
      <c r="T117">
        <v>50</v>
      </c>
      <c r="U117">
        <v>5</v>
      </c>
      <c r="V117">
        <v>4</v>
      </c>
      <c r="W117">
        <v>4</v>
      </c>
      <c r="X117">
        <v>5</v>
      </c>
      <c r="Y117">
        <v>5</v>
      </c>
      <c r="Z117">
        <v>5</v>
      </c>
      <c r="AA117">
        <v>5</v>
      </c>
      <c r="AB117">
        <v>5</v>
      </c>
      <c r="AC117">
        <v>5</v>
      </c>
      <c r="AD117">
        <v>5</v>
      </c>
      <c r="AE117">
        <v>9</v>
      </c>
      <c r="AF117">
        <v>10</v>
      </c>
      <c r="AG117">
        <v>4</v>
      </c>
      <c r="AH117">
        <v>7</v>
      </c>
      <c r="AI117">
        <v>8</v>
      </c>
      <c r="AJ117">
        <v>3</v>
      </c>
      <c r="AK117">
        <v>4</v>
      </c>
      <c r="AL117">
        <v>43028960</v>
      </c>
      <c r="AM117">
        <v>42127112</v>
      </c>
      <c r="AN117">
        <v>71784920</v>
      </c>
      <c r="AO117">
        <v>74534192</v>
      </c>
      <c r="AP117">
        <v>43310892</v>
      </c>
      <c r="AQ117">
        <v>43285920</v>
      </c>
      <c r="AR117">
        <v>37092136</v>
      </c>
      <c r="AS117">
        <v>30264782</v>
      </c>
      <c r="AT117">
        <v>27354888</v>
      </c>
      <c r="AU117">
        <v>29675872</v>
      </c>
      <c r="AV117">
        <v>37650552</v>
      </c>
      <c r="AW117">
        <v>33052520</v>
      </c>
      <c r="AX117">
        <v>34797092</v>
      </c>
      <c r="AY117">
        <v>33785500</v>
      </c>
      <c r="AZ117">
        <v>27125970</v>
      </c>
      <c r="BA117">
        <v>21416020</v>
      </c>
    </row>
    <row r="118" spans="1:53">
      <c r="A118">
        <v>16754</v>
      </c>
      <c r="B118" t="s">
        <v>545</v>
      </c>
      <c r="C118" t="s">
        <v>546</v>
      </c>
      <c r="D118" t="s">
        <v>547</v>
      </c>
      <c r="F118" t="s">
        <v>548</v>
      </c>
      <c r="G118">
        <v>159.87200000000001</v>
      </c>
      <c r="H118" t="s">
        <v>58</v>
      </c>
      <c r="I118">
        <v>2</v>
      </c>
      <c r="J118">
        <v>18</v>
      </c>
      <c r="K118">
        <v>0</v>
      </c>
      <c r="L118">
        <v>70.180000000000007</v>
      </c>
      <c r="M118">
        <v>6446</v>
      </c>
      <c r="N118">
        <v>3</v>
      </c>
      <c r="O118">
        <v>4</v>
      </c>
      <c r="P118">
        <v>4</v>
      </c>
      <c r="Q118">
        <v>4</v>
      </c>
      <c r="R118">
        <v>4</v>
      </c>
      <c r="S118">
        <v>91</v>
      </c>
      <c r="T118">
        <v>91</v>
      </c>
      <c r="U118">
        <v>4</v>
      </c>
      <c r="V118">
        <v>1</v>
      </c>
      <c r="W118">
        <v>4</v>
      </c>
      <c r="X118">
        <v>3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8</v>
      </c>
      <c r="AE118">
        <v>16</v>
      </c>
      <c r="AF118">
        <v>4</v>
      </c>
      <c r="AG118">
        <v>8</v>
      </c>
      <c r="AH118">
        <v>10</v>
      </c>
      <c r="AI118">
        <v>13</v>
      </c>
      <c r="AJ118">
        <v>15</v>
      </c>
      <c r="AK118">
        <v>17</v>
      </c>
      <c r="AL118">
        <v>2630127.75</v>
      </c>
      <c r="AM118">
        <v>8070280.5</v>
      </c>
      <c r="AN118">
        <v>5838565</v>
      </c>
      <c r="AO118">
        <v>7028606.5</v>
      </c>
      <c r="AP118">
        <v>4916360.5</v>
      </c>
      <c r="AQ118">
        <v>6249675</v>
      </c>
      <c r="AR118">
        <v>5056534</v>
      </c>
      <c r="AS118">
        <v>7351869</v>
      </c>
      <c r="AT118">
        <v>6090418</v>
      </c>
      <c r="AU118">
        <v>13761362</v>
      </c>
      <c r="AV118">
        <v>4026056.75</v>
      </c>
      <c r="AW118">
        <v>4009283.75</v>
      </c>
      <c r="AX118">
        <v>4784054</v>
      </c>
      <c r="AY118">
        <v>3609220</v>
      </c>
      <c r="AZ118">
        <v>7235832.5</v>
      </c>
      <c r="BA118">
        <v>11585821</v>
      </c>
    </row>
    <row r="119" spans="1:53">
      <c r="A119">
        <v>16833</v>
      </c>
      <c r="B119" t="s">
        <v>549</v>
      </c>
      <c r="C119" t="s">
        <v>550</v>
      </c>
      <c r="D119" t="s">
        <v>549</v>
      </c>
      <c r="F119" t="s">
        <v>551</v>
      </c>
      <c r="G119">
        <v>158.59700000000001</v>
      </c>
      <c r="H119" t="s">
        <v>58</v>
      </c>
      <c r="I119">
        <v>2</v>
      </c>
      <c r="J119">
        <v>1</v>
      </c>
      <c r="K119">
        <v>0</v>
      </c>
      <c r="L119">
        <v>32.36</v>
      </c>
      <c r="M119">
        <v>37093</v>
      </c>
      <c r="N119">
        <v>20</v>
      </c>
      <c r="O119">
        <v>7</v>
      </c>
      <c r="P119">
        <v>7</v>
      </c>
      <c r="Q119">
        <v>7</v>
      </c>
      <c r="R119">
        <v>7</v>
      </c>
      <c r="S119">
        <v>25</v>
      </c>
      <c r="T119">
        <v>25</v>
      </c>
      <c r="U119">
        <v>7</v>
      </c>
      <c r="V119">
        <v>4</v>
      </c>
      <c r="W119">
        <v>3</v>
      </c>
      <c r="X119">
        <v>5</v>
      </c>
      <c r="Y119">
        <v>7</v>
      </c>
      <c r="Z119">
        <v>5</v>
      </c>
      <c r="AA119">
        <v>6</v>
      </c>
      <c r="AB119">
        <v>5</v>
      </c>
      <c r="AC119">
        <v>6</v>
      </c>
      <c r="AD119">
        <v>0</v>
      </c>
      <c r="AE119">
        <v>0</v>
      </c>
      <c r="AF119">
        <v>6</v>
      </c>
      <c r="AG119">
        <v>8</v>
      </c>
      <c r="AH119">
        <v>3</v>
      </c>
      <c r="AI119">
        <v>4</v>
      </c>
      <c r="AJ119">
        <v>1</v>
      </c>
      <c r="AK119">
        <v>3</v>
      </c>
      <c r="AL119">
        <v>7517134</v>
      </c>
      <c r="AM119">
        <v>5114048.5</v>
      </c>
      <c r="AN119">
        <v>25027736</v>
      </c>
      <c r="AO119">
        <v>34384060</v>
      </c>
      <c r="AP119">
        <v>13930087</v>
      </c>
      <c r="AQ119">
        <v>15431991</v>
      </c>
      <c r="AR119">
        <v>11988273</v>
      </c>
      <c r="AS119">
        <v>16242856</v>
      </c>
      <c r="AT119">
        <v>8429874</v>
      </c>
      <c r="AU119">
        <v>4673973</v>
      </c>
      <c r="AV119">
        <v>12383356</v>
      </c>
      <c r="AW119">
        <v>13659153</v>
      </c>
      <c r="AX119">
        <v>8405643</v>
      </c>
      <c r="AY119">
        <v>9016830</v>
      </c>
      <c r="AZ119">
        <v>8138768.5</v>
      </c>
      <c r="BA119">
        <v>7730341</v>
      </c>
    </row>
    <row r="120" spans="1:53">
      <c r="A120">
        <v>16685</v>
      </c>
      <c r="B120" t="s">
        <v>552</v>
      </c>
      <c r="C120" t="s">
        <v>553</v>
      </c>
      <c r="D120" t="s">
        <v>554</v>
      </c>
      <c r="F120" t="s">
        <v>555</v>
      </c>
      <c r="G120">
        <v>152.77500000000001</v>
      </c>
      <c r="H120" t="s">
        <v>58</v>
      </c>
      <c r="I120">
        <v>2</v>
      </c>
      <c r="J120">
        <v>19</v>
      </c>
      <c r="K120">
        <v>0</v>
      </c>
      <c r="L120">
        <v>69.900000000000006</v>
      </c>
      <c r="M120">
        <v>11564</v>
      </c>
      <c r="N120">
        <v>7</v>
      </c>
      <c r="O120">
        <v>7</v>
      </c>
      <c r="P120">
        <v>7</v>
      </c>
      <c r="Q120">
        <v>8</v>
      </c>
      <c r="R120">
        <v>8</v>
      </c>
      <c r="S120">
        <v>149</v>
      </c>
      <c r="T120">
        <v>149</v>
      </c>
      <c r="U120">
        <v>8</v>
      </c>
      <c r="V120">
        <v>6</v>
      </c>
      <c r="W120">
        <v>7</v>
      </c>
      <c r="X120">
        <v>8</v>
      </c>
      <c r="Y120">
        <v>8</v>
      </c>
      <c r="Z120">
        <v>8</v>
      </c>
      <c r="AA120">
        <v>8</v>
      </c>
      <c r="AB120">
        <v>8</v>
      </c>
      <c r="AC120">
        <v>8</v>
      </c>
      <c r="AD120">
        <v>29</v>
      </c>
      <c r="AE120">
        <v>38</v>
      </c>
      <c r="AF120">
        <v>9</v>
      </c>
      <c r="AG120">
        <v>12</v>
      </c>
      <c r="AH120">
        <v>16</v>
      </c>
      <c r="AI120">
        <v>20</v>
      </c>
      <c r="AJ120">
        <v>15</v>
      </c>
      <c r="AK120">
        <v>10</v>
      </c>
      <c r="AL120">
        <v>234399696</v>
      </c>
      <c r="AM120">
        <v>289054144</v>
      </c>
      <c r="AN120">
        <v>148273696</v>
      </c>
      <c r="AO120">
        <v>208826944</v>
      </c>
      <c r="AP120">
        <v>168483472</v>
      </c>
      <c r="AQ120">
        <v>248007408</v>
      </c>
      <c r="AR120">
        <v>227928640</v>
      </c>
      <c r="AS120">
        <v>230875408</v>
      </c>
      <c r="AT120">
        <v>164624928</v>
      </c>
      <c r="AU120">
        <v>276466336</v>
      </c>
      <c r="AV120">
        <v>80588144</v>
      </c>
      <c r="AW120">
        <v>79978832</v>
      </c>
      <c r="AX120">
        <v>122476896</v>
      </c>
      <c r="AY120">
        <v>138445632</v>
      </c>
      <c r="AZ120">
        <v>140351824</v>
      </c>
      <c r="BA120">
        <v>115350288</v>
      </c>
    </row>
    <row r="121" spans="1:53">
      <c r="A121">
        <v>16869</v>
      </c>
      <c r="B121" t="s">
        <v>556</v>
      </c>
      <c r="C121" t="s">
        <v>557</v>
      </c>
      <c r="D121" t="s">
        <v>558</v>
      </c>
      <c r="F121" t="s">
        <v>559</v>
      </c>
      <c r="G121">
        <v>150.27199999999999</v>
      </c>
      <c r="H121" t="s">
        <v>58</v>
      </c>
      <c r="I121">
        <v>2</v>
      </c>
      <c r="J121">
        <v>3</v>
      </c>
      <c r="K121">
        <v>0</v>
      </c>
      <c r="L121">
        <v>26.23</v>
      </c>
      <c r="M121">
        <v>34275</v>
      </c>
      <c r="N121">
        <v>17</v>
      </c>
      <c r="O121">
        <v>7</v>
      </c>
      <c r="P121">
        <v>7</v>
      </c>
      <c r="Q121">
        <v>7</v>
      </c>
      <c r="R121">
        <v>7</v>
      </c>
      <c r="S121">
        <v>19</v>
      </c>
      <c r="T121">
        <v>19</v>
      </c>
      <c r="U121">
        <v>7</v>
      </c>
      <c r="V121">
        <v>5</v>
      </c>
      <c r="W121">
        <v>5</v>
      </c>
      <c r="X121">
        <v>5</v>
      </c>
      <c r="Y121">
        <v>7</v>
      </c>
      <c r="Z121">
        <v>6</v>
      </c>
      <c r="AA121">
        <v>6</v>
      </c>
      <c r="AB121">
        <v>7</v>
      </c>
      <c r="AC121">
        <v>7</v>
      </c>
      <c r="AD121">
        <v>1</v>
      </c>
      <c r="AE121">
        <v>1</v>
      </c>
      <c r="AF121">
        <v>3</v>
      </c>
      <c r="AG121">
        <v>5</v>
      </c>
      <c r="AH121">
        <v>3</v>
      </c>
      <c r="AI121">
        <v>2</v>
      </c>
      <c r="AJ121">
        <v>2</v>
      </c>
      <c r="AK121">
        <v>4</v>
      </c>
      <c r="AL121">
        <v>5694465</v>
      </c>
      <c r="AM121">
        <v>5516037.5</v>
      </c>
      <c r="AN121">
        <v>20161792</v>
      </c>
      <c r="AO121">
        <v>32559656</v>
      </c>
      <c r="AP121">
        <v>13154864</v>
      </c>
      <c r="AQ121">
        <v>15148425</v>
      </c>
      <c r="AR121">
        <v>15161223</v>
      </c>
      <c r="AS121">
        <v>16642450</v>
      </c>
      <c r="AT121">
        <v>5617039.5</v>
      </c>
      <c r="AU121">
        <v>6342964</v>
      </c>
      <c r="AV121">
        <v>9277716</v>
      </c>
      <c r="AW121">
        <v>9207329</v>
      </c>
      <c r="AX121">
        <v>8923863</v>
      </c>
      <c r="AY121">
        <v>8804957</v>
      </c>
      <c r="AZ121">
        <v>7928519.5</v>
      </c>
      <c r="BA121">
        <v>7669032.5</v>
      </c>
    </row>
    <row r="122" spans="1:53">
      <c r="A122">
        <v>16743</v>
      </c>
      <c r="B122" t="s">
        <v>560</v>
      </c>
      <c r="C122" t="s">
        <v>561</v>
      </c>
      <c r="D122" t="s">
        <v>562</v>
      </c>
      <c r="E122" t="s">
        <v>563</v>
      </c>
      <c r="F122" t="s">
        <v>564</v>
      </c>
      <c r="G122">
        <v>148.69499999999999</v>
      </c>
      <c r="H122" t="s">
        <v>58</v>
      </c>
      <c r="I122">
        <v>2</v>
      </c>
      <c r="J122">
        <v>21</v>
      </c>
      <c r="K122">
        <v>2</v>
      </c>
      <c r="L122">
        <v>22.16</v>
      </c>
      <c r="M122">
        <v>19092</v>
      </c>
      <c r="N122">
        <v>7</v>
      </c>
      <c r="O122">
        <v>3</v>
      </c>
      <c r="P122">
        <v>3</v>
      </c>
      <c r="Q122">
        <v>3</v>
      </c>
      <c r="R122">
        <v>3</v>
      </c>
      <c r="S122">
        <v>8</v>
      </c>
      <c r="T122">
        <v>8</v>
      </c>
      <c r="U122">
        <v>3</v>
      </c>
      <c r="V122">
        <v>2</v>
      </c>
      <c r="W122">
        <v>2</v>
      </c>
      <c r="X122">
        <v>2</v>
      </c>
      <c r="Y122">
        <v>3</v>
      </c>
      <c r="Z122">
        <v>3</v>
      </c>
      <c r="AA122">
        <v>2</v>
      </c>
      <c r="AB122">
        <v>3</v>
      </c>
      <c r="AC122">
        <v>3</v>
      </c>
      <c r="AD122">
        <v>1</v>
      </c>
      <c r="AE122">
        <v>1</v>
      </c>
      <c r="AF122">
        <v>1</v>
      </c>
      <c r="AG122">
        <v>5</v>
      </c>
      <c r="AH122">
        <v>0</v>
      </c>
      <c r="AI122">
        <v>0</v>
      </c>
      <c r="AJ122">
        <v>0</v>
      </c>
      <c r="AK122">
        <v>2</v>
      </c>
      <c r="AL122">
        <v>5606279</v>
      </c>
      <c r="AM122">
        <v>4324543.5</v>
      </c>
      <c r="AN122">
        <v>16321972</v>
      </c>
      <c r="AO122">
        <v>55690400</v>
      </c>
      <c r="AP122">
        <v>4950264</v>
      </c>
      <c r="AQ122">
        <v>6403864.5</v>
      </c>
      <c r="AR122">
        <v>4311483</v>
      </c>
      <c r="AS122">
        <v>18102336</v>
      </c>
      <c r="AT122">
        <v>5050800</v>
      </c>
      <c r="AU122">
        <v>713060.44</v>
      </c>
      <c r="AV122">
        <v>813233.94</v>
      </c>
      <c r="AW122">
        <v>20575046</v>
      </c>
      <c r="AX122">
        <v>10398202</v>
      </c>
      <c r="AY122">
        <v>3556654.75</v>
      </c>
      <c r="AZ122">
        <v>1543163.5</v>
      </c>
      <c r="BA122">
        <v>11808895</v>
      </c>
    </row>
    <row r="123" spans="1:53">
      <c r="A123">
        <v>16858</v>
      </c>
      <c r="B123" t="s">
        <v>565</v>
      </c>
      <c r="C123" t="s">
        <v>566</v>
      </c>
      <c r="D123" t="s">
        <v>567</v>
      </c>
      <c r="F123" t="s">
        <v>568</v>
      </c>
      <c r="G123">
        <v>145.791</v>
      </c>
      <c r="H123" t="s">
        <v>58</v>
      </c>
      <c r="I123">
        <v>2</v>
      </c>
      <c r="J123">
        <v>2</v>
      </c>
      <c r="K123">
        <v>0</v>
      </c>
      <c r="L123">
        <v>14.07</v>
      </c>
      <c r="M123">
        <v>44010</v>
      </c>
      <c r="N123">
        <v>21</v>
      </c>
      <c r="O123">
        <v>4</v>
      </c>
      <c r="P123">
        <v>4</v>
      </c>
      <c r="Q123">
        <v>4</v>
      </c>
      <c r="R123">
        <v>4</v>
      </c>
      <c r="S123">
        <v>14</v>
      </c>
      <c r="T123">
        <v>14</v>
      </c>
      <c r="U123">
        <v>4</v>
      </c>
      <c r="V123">
        <v>1</v>
      </c>
      <c r="W123">
        <v>1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0</v>
      </c>
      <c r="AE123">
        <v>0</v>
      </c>
      <c r="AF123">
        <v>3</v>
      </c>
      <c r="AG123">
        <v>3</v>
      </c>
      <c r="AH123">
        <v>2</v>
      </c>
      <c r="AI123">
        <v>2</v>
      </c>
      <c r="AJ123">
        <v>2</v>
      </c>
      <c r="AK123">
        <v>2</v>
      </c>
      <c r="AL123">
        <v>289945.38</v>
      </c>
      <c r="AM123">
        <v>767986.56</v>
      </c>
      <c r="AN123">
        <v>5122344</v>
      </c>
      <c r="AO123">
        <v>6575393</v>
      </c>
      <c r="AP123">
        <v>3089509.25</v>
      </c>
      <c r="AQ123">
        <v>3330741</v>
      </c>
      <c r="AR123">
        <v>3370097</v>
      </c>
      <c r="AS123">
        <v>3468180.75</v>
      </c>
      <c r="AT123">
        <v>111278.99</v>
      </c>
      <c r="AU123">
        <v>63106</v>
      </c>
      <c r="AV123">
        <v>2666272.75</v>
      </c>
      <c r="AW123">
        <v>2502848.25</v>
      </c>
      <c r="AX123">
        <v>2023231.25</v>
      </c>
      <c r="AY123">
        <v>1734086</v>
      </c>
      <c r="AZ123">
        <v>1729782.25</v>
      </c>
      <c r="BA123">
        <v>1693844.88</v>
      </c>
    </row>
    <row r="124" spans="1:53">
      <c r="A124">
        <v>16846</v>
      </c>
      <c r="B124" t="s">
        <v>569</v>
      </c>
      <c r="C124" t="s">
        <v>570</v>
      </c>
      <c r="D124" t="s">
        <v>569</v>
      </c>
      <c r="F124" t="s">
        <v>571</v>
      </c>
      <c r="G124">
        <v>145.75200000000001</v>
      </c>
      <c r="H124" t="s">
        <v>58</v>
      </c>
      <c r="I124">
        <v>2</v>
      </c>
      <c r="J124">
        <v>1</v>
      </c>
      <c r="K124">
        <v>0</v>
      </c>
      <c r="L124">
        <v>14.59</v>
      </c>
      <c r="M124">
        <v>56176</v>
      </c>
      <c r="N124">
        <v>30</v>
      </c>
      <c r="O124">
        <v>6</v>
      </c>
      <c r="P124">
        <v>6</v>
      </c>
      <c r="Q124">
        <v>6</v>
      </c>
      <c r="R124">
        <v>6</v>
      </c>
      <c r="S124">
        <v>31</v>
      </c>
      <c r="T124">
        <v>31</v>
      </c>
      <c r="U124">
        <v>6</v>
      </c>
      <c r="V124">
        <v>3</v>
      </c>
      <c r="W124">
        <v>2</v>
      </c>
      <c r="X124">
        <v>5</v>
      </c>
      <c r="Y124">
        <v>6</v>
      </c>
      <c r="Z124">
        <v>6</v>
      </c>
      <c r="AA124">
        <v>6</v>
      </c>
      <c r="AB124">
        <v>6</v>
      </c>
      <c r="AC124">
        <v>6</v>
      </c>
      <c r="AD124">
        <v>0</v>
      </c>
      <c r="AE124">
        <v>0</v>
      </c>
      <c r="AF124">
        <v>3</v>
      </c>
      <c r="AG124">
        <v>8</v>
      </c>
      <c r="AH124">
        <v>4</v>
      </c>
      <c r="AI124">
        <v>6</v>
      </c>
      <c r="AJ124">
        <v>4</v>
      </c>
      <c r="AK124">
        <v>6</v>
      </c>
      <c r="AL124">
        <v>5671044</v>
      </c>
      <c r="AM124">
        <v>2705665</v>
      </c>
      <c r="AN124">
        <v>12422135</v>
      </c>
      <c r="AO124">
        <v>24176676</v>
      </c>
      <c r="AP124">
        <v>11992912</v>
      </c>
      <c r="AQ124">
        <v>12227359</v>
      </c>
      <c r="AR124">
        <v>10215641</v>
      </c>
      <c r="AS124">
        <v>13210746</v>
      </c>
      <c r="AT124">
        <v>393692.47</v>
      </c>
      <c r="AU124">
        <v>159764.73000000001</v>
      </c>
      <c r="AV124">
        <v>6997461</v>
      </c>
      <c r="AW124">
        <v>10450500</v>
      </c>
      <c r="AX124">
        <v>8613555</v>
      </c>
      <c r="AY124">
        <v>8558400</v>
      </c>
      <c r="AZ124">
        <v>7081649</v>
      </c>
      <c r="BA124">
        <v>7553335.5</v>
      </c>
    </row>
    <row r="125" spans="1:53">
      <c r="A125">
        <v>16835</v>
      </c>
      <c r="B125" t="s">
        <v>572</v>
      </c>
      <c r="C125" t="s">
        <v>573</v>
      </c>
      <c r="D125" t="s">
        <v>574</v>
      </c>
      <c r="F125" t="s">
        <v>575</v>
      </c>
      <c r="G125">
        <v>145.09100000000001</v>
      </c>
      <c r="H125" t="s">
        <v>58</v>
      </c>
      <c r="I125">
        <v>2</v>
      </c>
      <c r="J125">
        <v>3</v>
      </c>
      <c r="K125">
        <v>0</v>
      </c>
      <c r="L125">
        <v>14.29</v>
      </c>
      <c r="M125">
        <v>64421</v>
      </c>
      <c r="N125">
        <v>37</v>
      </c>
      <c r="O125">
        <v>8</v>
      </c>
      <c r="P125">
        <v>8</v>
      </c>
      <c r="Q125">
        <v>8</v>
      </c>
      <c r="R125">
        <v>8</v>
      </c>
      <c r="S125">
        <v>24</v>
      </c>
      <c r="T125">
        <v>24</v>
      </c>
      <c r="U125">
        <v>8</v>
      </c>
      <c r="V125">
        <v>4</v>
      </c>
      <c r="W125">
        <v>3</v>
      </c>
      <c r="X125">
        <v>8</v>
      </c>
      <c r="Y125">
        <v>8</v>
      </c>
      <c r="Z125">
        <v>7</v>
      </c>
      <c r="AA125">
        <v>7</v>
      </c>
      <c r="AB125">
        <v>8</v>
      </c>
      <c r="AC125">
        <v>7</v>
      </c>
      <c r="AD125">
        <v>0</v>
      </c>
      <c r="AE125">
        <v>0</v>
      </c>
      <c r="AF125">
        <v>5</v>
      </c>
      <c r="AG125">
        <v>6</v>
      </c>
      <c r="AH125">
        <v>3</v>
      </c>
      <c r="AI125">
        <v>4</v>
      </c>
      <c r="AJ125">
        <v>3</v>
      </c>
      <c r="AK125">
        <v>3</v>
      </c>
      <c r="AL125">
        <v>3937871</v>
      </c>
      <c r="AM125">
        <v>2923550.5</v>
      </c>
      <c r="AN125">
        <v>15403408</v>
      </c>
      <c r="AO125">
        <v>17596352</v>
      </c>
      <c r="AP125">
        <v>8656170</v>
      </c>
      <c r="AQ125">
        <v>8901939</v>
      </c>
      <c r="AR125">
        <v>8516230</v>
      </c>
      <c r="AS125">
        <v>7977235</v>
      </c>
      <c r="AT125">
        <v>2094627.88</v>
      </c>
      <c r="AU125">
        <v>444942.53</v>
      </c>
      <c r="AV125">
        <v>8335285.5</v>
      </c>
      <c r="AW125">
        <v>7009304</v>
      </c>
      <c r="AX125">
        <v>5720524</v>
      </c>
      <c r="AY125">
        <v>5026544</v>
      </c>
      <c r="AZ125">
        <v>5069343.5</v>
      </c>
      <c r="BA125">
        <v>3645033.5</v>
      </c>
    </row>
    <row r="126" spans="1:53">
      <c r="A126">
        <v>16740</v>
      </c>
      <c r="B126" t="s">
        <v>576</v>
      </c>
      <c r="C126" t="s">
        <v>577</v>
      </c>
      <c r="D126" t="s">
        <v>578</v>
      </c>
      <c r="F126" t="s">
        <v>579</v>
      </c>
      <c r="G126">
        <v>142.685</v>
      </c>
      <c r="H126" t="s">
        <v>58</v>
      </c>
      <c r="I126">
        <v>2</v>
      </c>
      <c r="J126">
        <v>3</v>
      </c>
      <c r="K126">
        <v>0</v>
      </c>
      <c r="L126">
        <v>13.66</v>
      </c>
      <c r="M126">
        <v>57825</v>
      </c>
      <c r="N126">
        <v>33</v>
      </c>
      <c r="O126">
        <v>7</v>
      </c>
      <c r="P126">
        <v>1</v>
      </c>
      <c r="Q126">
        <v>7</v>
      </c>
      <c r="R126">
        <v>1</v>
      </c>
      <c r="S126">
        <v>38</v>
      </c>
      <c r="T126">
        <v>4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1</v>
      </c>
      <c r="AJ126">
        <v>1</v>
      </c>
      <c r="AK126">
        <v>1</v>
      </c>
      <c r="AL126">
        <v>41461720</v>
      </c>
      <c r="AM126">
        <v>41645336</v>
      </c>
      <c r="AN126">
        <v>65642804</v>
      </c>
      <c r="AO126">
        <v>97656512</v>
      </c>
      <c r="AP126">
        <v>77317024</v>
      </c>
      <c r="AQ126">
        <v>92739048</v>
      </c>
      <c r="AR126">
        <v>80217984</v>
      </c>
      <c r="AS126">
        <v>98464240</v>
      </c>
      <c r="AT126">
        <v>865196.69</v>
      </c>
      <c r="AU126">
        <v>1968174.25</v>
      </c>
      <c r="AV126">
        <v>978162.06</v>
      </c>
      <c r="AW126">
        <v>965563.19</v>
      </c>
      <c r="AX126">
        <v>1682560.5</v>
      </c>
      <c r="AY126">
        <v>1528308.62</v>
      </c>
      <c r="AZ126">
        <v>1126346</v>
      </c>
      <c r="BA126">
        <v>1242262.25</v>
      </c>
    </row>
    <row r="127" spans="1:53">
      <c r="A127">
        <v>16792</v>
      </c>
      <c r="B127" t="s">
        <v>580</v>
      </c>
      <c r="C127" t="s">
        <v>581</v>
      </c>
      <c r="D127" t="s">
        <v>582</v>
      </c>
      <c r="F127" t="s">
        <v>583</v>
      </c>
      <c r="G127">
        <v>141.19800000000001</v>
      </c>
      <c r="H127" t="s">
        <v>58</v>
      </c>
      <c r="I127">
        <v>2</v>
      </c>
      <c r="J127">
        <v>3</v>
      </c>
      <c r="K127">
        <v>0</v>
      </c>
      <c r="L127">
        <v>10.78</v>
      </c>
      <c r="M127">
        <v>37998</v>
      </c>
      <c r="N127">
        <v>18</v>
      </c>
      <c r="O127">
        <v>3</v>
      </c>
      <c r="P127">
        <v>3</v>
      </c>
      <c r="Q127">
        <v>3</v>
      </c>
      <c r="R127">
        <v>3</v>
      </c>
      <c r="S127">
        <v>9</v>
      </c>
      <c r="T127">
        <v>9</v>
      </c>
      <c r="U127">
        <v>3</v>
      </c>
      <c r="V127">
        <v>3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3</v>
      </c>
      <c r="AC127">
        <v>3</v>
      </c>
      <c r="AD127">
        <v>1</v>
      </c>
      <c r="AE127">
        <v>0</v>
      </c>
      <c r="AF127">
        <v>2</v>
      </c>
      <c r="AG127">
        <v>2</v>
      </c>
      <c r="AH127">
        <v>1</v>
      </c>
      <c r="AI127">
        <v>2</v>
      </c>
      <c r="AJ127">
        <v>0</v>
      </c>
      <c r="AK127">
        <v>1</v>
      </c>
      <c r="AL127">
        <v>3155448.25</v>
      </c>
      <c r="AM127">
        <v>3315396.75</v>
      </c>
      <c r="AN127">
        <v>10155270</v>
      </c>
      <c r="AO127">
        <v>11084841</v>
      </c>
      <c r="AP127">
        <v>5906533</v>
      </c>
      <c r="AQ127">
        <v>6414725.5</v>
      </c>
      <c r="AR127">
        <v>5808894.5</v>
      </c>
      <c r="AS127">
        <v>6217016</v>
      </c>
      <c r="AT127">
        <v>3019568.5</v>
      </c>
      <c r="AU127">
        <v>3155165</v>
      </c>
      <c r="AV127">
        <v>4724996.5</v>
      </c>
      <c r="AW127">
        <v>3680143</v>
      </c>
      <c r="AX127">
        <v>3657025.75</v>
      </c>
      <c r="AY127">
        <v>3628748</v>
      </c>
      <c r="AZ127">
        <v>3028027.75</v>
      </c>
      <c r="BA127">
        <v>3070710.25</v>
      </c>
    </row>
    <row r="128" spans="1:53">
      <c r="A128">
        <v>16720</v>
      </c>
      <c r="B128" t="s">
        <v>584</v>
      </c>
      <c r="C128" t="s">
        <v>585</v>
      </c>
      <c r="D128" t="s">
        <v>584</v>
      </c>
      <c r="E128" t="s">
        <v>586</v>
      </c>
      <c r="F128" t="s">
        <v>587</v>
      </c>
      <c r="G128">
        <v>134.22200000000001</v>
      </c>
      <c r="H128" t="s">
        <v>58</v>
      </c>
      <c r="I128">
        <v>2</v>
      </c>
      <c r="J128">
        <v>1</v>
      </c>
      <c r="K128">
        <v>6</v>
      </c>
      <c r="L128">
        <v>11.72</v>
      </c>
      <c r="M128">
        <v>40367</v>
      </c>
      <c r="N128">
        <v>21</v>
      </c>
      <c r="O128">
        <v>3</v>
      </c>
      <c r="P128">
        <v>3</v>
      </c>
      <c r="Q128">
        <v>3</v>
      </c>
      <c r="R128">
        <v>3</v>
      </c>
      <c r="S128">
        <v>23</v>
      </c>
      <c r="T128">
        <v>23</v>
      </c>
      <c r="U128">
        <v>3</v>
      </c>
      <c r="V128">
        <v>2</v>
      </c>
      <c r="W128">
        <v>2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3</v>
      </c>
      <c r="AD128">
        <v>3</v>
      </c>
      <c r="AE128">
        <v>4</v>
      </c>
      <c r="AF128">
        <v>4</v>
      </c>
      <c r="AG128">
        <v>4</v>
      </c>
      <c r="AH128">
        <v>3</v>
      </c>
      <c r="AI128">
        <v>3</v>
      </c>
      <c r="AJ128">
        <v>1</v>
      </c>
      <c r="AK128">
        <v>1</v>
      </c>
      <c r="AL128">
        <v>11685135</v>
      </c>
      <c r="AM128">
        <v>12584517</v>
      </c>
      <c r="AN128">
        <v>8796011</v>
      </c>
      <c r="AO128">
        <v>11948313</v>
      </c>
      <c r="AP128">
        <v>7971927</v>
      </c>
      <c r="AQ128">
        <v>6272084</v>
      </c>
      <c r="AR128">
        <v>2982563.5</v>
      </c>
      <c r="AS128">
        <v>2281527</v>
      </c>
      <c r="AT128">
        <v>18912598</v>
      </c>
      <c r="AU128">
        <v>18878614</v>
      </c>
      <c r="AV128">
        <v>8359395.5</v>
      </c>
      <c r="AW128">
        <v>6574579</v>
      </c>
      <c r="AX128">
        <v>6390978.5</v>
      </c>
      <c r="AY128">
        <v>5079481</v>
      </c>
      <c r="AZ128">
        <v>2267571.25</v>
      </c>
      <c r="BA128">
        <v>1414629.88</v>
      </c>
    </row>
    <row r="129" spans="1:53">
      <c r="A129">
        <v>16738</v>
      </c>
      <c r="B129" t="s">
        <v>588</v>
      </c>
      <c r="C129" t="s">
        <v>589</v>
      </c>
      <c r="D129" t="s">
        <v>590</v>
      </c>
      <c r="E129" t="s">
        <v>591</v>
      </c>
      <c r="F129" t="s">
        <v>592</v>
      </c>
      <c r="G129">
        <v>128.96</v>
      </c>
      <c r="H129" t="s">
        <v>58</v>
      </c>
      <c r="I129">
        <v>2</v>
      </c>
      <c r="J129">
        <v>19</v>
      </c>
      <c r="K129">
        <v>1</v>
      </c>
      <c r="L129">
        <v>44.71</v>
      </c>
      <c r="M129">
        <v>9124</v>
      </c>
      <c r="N129">
        <v>5</v>
      </c>
      <c r="O129">
        <v>6</v>
      </c>
      <c r="P129">
        <v>6</v>
      </c>
      <c r="Q129">
        <v>6</v>
      </c>
      <c r="R129">
        <v>6</v>
      </c>
      <c r="S129">
        <v>65</v>
      </c>
      <c r="T129">
        <v>65</v>
      </c>
      <c r="U129">
        <v>6</v>
      </c>
      <c r="V129">
        <v>5</v>
      </c>
      <c r="W129">
        <v>5</v>
      </c>
      <c r="X129">
        <v>4</v>
      </c>
      <c r="Y129">
        <v>5</v>
      </c>
      <c r="Z129">
        <v>4</v>
      </c>
      <c r="AA129">
        <v>4</v>
      </c>
      <c r="AB129">
        <v>6</v>
      </c>
      <c r="AC129">
        <v>6</v>
      </c>
      <c r="AD129">
        <v>7</v>
      </c>
      <c r="AE129">
        <v>10</v>
      </c>
      <c r="AF129">
        <v>4</v>
      </c>
      <c r="AG129">
        <v>7</v>
      </c>
      <c r="AH129">
        <v>8</v>
      </c>
      <c r="AI129">
        <v>11</v>
      </c>
      <c r="AJ129">
        <v>10</v>
      </c>
      <c r="AK129">
        <v>8</v>
      </c>
      <c r="AL129">
        <v>74418880</v>
      </c>
      <c r="AM129">
        <v>77831424</v>
      </c>
      <c r="AN129">
        <v>65127100</v>
      </c>
      <c r="AO129">
        <v>219594736</v>
      </c>
      <c r="AP129">
        <v>97847456</v>
      </c>
      <c r="AQ129">
        <v>117966688</v>
      </c>
      <c r="AR129">
        <v>156408944</v>
      </c>
      <c r="AS129">
        <v>150919584</v>
      </c>
      <c r="AT129">
        <v>101788408</v>
      </c>
      <c r="AU129">
        <v>114770776</v>
      </c>
      <c r="AV129">
        <v>31125014</v>
      </c>
      <c r="AW129">
        <v>58720268</v>
      </c>
      <c r="AX129">
        <v>53270356</v>
      </c>
      <c r="AY129">
        <v>53703860</v>
      </c>
      <c r="AZ129">
        <v>73049024</v>
      </c>
      <c r="BA129">
        <v>60305584</v>
      </c>
    </row>
    <row r="130" spans="1:53">
      <c r="A130">
        <v>16816</v>
      </c>
      <c r="B130" t="s">
        <v>593</v>
      </c>
      <c r="C130" t="s">
        <v>594</v>
      </c>
      <c r="D130" t="s">
        <v>595</v>
      </c>
      <c r="F130" t="s">
        <v>596</v>
      </c>
      <c r="G130">
        <v>124.726</v>
      </c>
      <c r="H130" t="s">
        <v>58</v>
      </c>
      <c r="I130">
        <v>2</v>
      </c>
      <c r="J130">
        <v>3</v>
      </c>
      <c r="K130">
        <v>0</v>
      </c>
      <c r="L130">
        <v>39.42</v>
      </c>
      <c r="M130">
        <v>15539</v>
      </c>
      <c r="N130">
        <v>11</v>
      </c>
      <c r="O130">
        <v>4</v>
      </c>
      <c r="P130">
        <v>4</v>
      </c>
      <c r="Q130">
        <v>4</v>
      </c>
      <c r="R130">
        <v>4</v>
      </c>
      <c r="S130">
        <v>20</v>
      </c>
      <c r="T130">
        <v>20</v>
      </c>
      <c r="U130">
        <v>4</v>
      </c>
      <c r="V130">
        <v>3</v>
      </c>
      <c r="W130">
        <v>4</v>
      </c>
      <c r="X130">
        <v>3</v>
      </c>
      <c r="Y130">
        <v>4</v>
      </c>
      <c r="Z130">
        <v>4</v>
      </c>
      <c r="AA130">
        <v>3</v>
      </c>
      <c r="AB130">
        <v>3</v>
      </c>
      <c r="AC130">
        <v>4</v>
      </c>
      <c r="AD130">
        <v>3</v>
      </c>
      <c r="AE130">
        <v>8</v>
      </c>
      <c r="AF130">
        <v>1</v>
      </c>
      <c r="AG130">
        <v>2</v>
      </c>
      <c r="AH130">
        <v>4</v>
      </c>
      <c r="AI130">
        <v>2</v>
      </c>
      <c r="AJ130">
        <v>1</v>
      </c>
      <c r="AK130">
        <v>0</v>
      </c>
      <c r="AL130">
        <v>5733494</v>
      </c>
      <c r="AM130">
        <v>8417316</v>
      </c>
      <c r="AN130">
        <v>5149871.5</v>
      </c>
      <c r="AO130">
        <v>6645236.5</v>
      </c>
      <c r="AP130">
        <v>5823717</v>
      </c>
      <c r="AQ130">
        <v>3371835.5</v>
      </c>
      <c r="AR130">
        <v>1962802.25</v>
      </c>
      <c r="AS130">
        <v>2816446.25</v>
      </c>
      <c r="AT130">
        <v>5063475</v>
      </c>
      <c r="AU130">
        <v>9105978</v>
      </c>
      <c r="AV130">
        <v>2900519.75</v>
      </c>
      <c r="AW130">
        <v>2093490.12</v>
      </c>
      <c r="AX130">
        <v>3274153.25</v>
      </c>
      <c r="AY130">
        <v>2352095.75</v>
      </c>
      <c r="AZ130">
        <v>1046351.25</v>
      </c>
      <c r="BA130">
        <v>951376.88</v>
      </c>
    </row>
    <row r="131" spans="1:53">
      <c r="A131">
        <v>16815</v>
      </c>
      <c r="B131" t="s">
        <v>597</v>
      </c>
      <c r="C131" t="s">
        <v>598</v>
      </c>
      <c r="D131" t="s">
        <v>599</v>
      </c>
      <c r="E131" t="s">
        <v>600</v>
      </c>
      <c r="F131" t="s">
        <v>601</v>
      </c>
      <c r="G131">
        <v>123.497</v>
      </c>
      <c r="H131" t="s">
        <v>58</v>
      </c>
      <c r="I131">
        <v>2</v>
      </c>
      <c r="J131">
        <v>10</v>
      </c>
      <c r="K131">
        <v>2</v>
      </c>
      <c r="L131">
        <v>12.17</v>
      </c>
      <c r="M131">
        <v>42323</v>
      </c>
      <c r="N131">
        <v>22</v>
      </c>
      <c r="O131">
        <v>3</v>
      </c>
      <c r="P131">
        <v>3</v>
      </c>
      <c r="Q131">
        <v>3</v>
      </c>
      <c r="R131">
        <v>3</v>
      </c>
      <c r="S131">
        <v>9</v>
      </c>
      <c r="T131">
        <v>9</v>
      </c>
      <c r="U131">
        <v>3</v>
      </c>
      <c r="V131">
        <v>3</v>
      </c>
      <c r="W131">
        <v>2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0</v>
      </c>
      <c r="AE131">
        <v>0</v>
      </c>
      <c r="AF131">
        <v>2</v>
      </c>
      <c r="AG131">
        <v>2</v>
      </c>
      <c r="AH131">
        <v>1</v>
      </c>
      <c r="AI131">
        <v>2</v>
      </c>
      <c r="AJ131">
        <v>1</v>
      </c>
      <c r="AK131">
        <v>1</v>
      </c>
      <c r="AL131">
        <v>3582661</v>
      </c>
      <c r="AM131">
        <v>2601680</v>
      </c>
      <c r="AN131">
        <v>9135645</v>
      </c>
      <c r="AO131">
        <v>8478521</v>
      </c>
      <c r="AP131">
        <v>5250869</v>
      </c>
      <c r="AQ131">
        <v>5597124.5</v>
      </c>
      <c r="AR131">
        <v>5820890.5</v>
      </c>
      <c r="AS131">
        <v>5394547.5</v>
      </c>
      <c r="AT131">
        <v>3472502.25</v>
      </c>
      <c r="AU131">
        <v>2845261.5</v>
      </c>
      <c r="AV131">
        <v>4398687</v>
      </c>
      <c r="AW131">
        <v>2920164.75</v>
      </c>
      <c r="AX131">
        <v>2992807.5</v>
      </c>
      <c r="AY131">
        <v>3054585.75</v>
      </c>
      <c r="AZ131">
        <v>2975961.5</v>
      </c>
      <c r="BA131">
        <v>2518391</v>
      </c>
    </row>
    <row r="132" spans="1:53">
      <c r="A132">
        <v>16851</v>
      </c>
      <c r="B132" t="s">
        <v>602</v>
      </c>
      <c r="C132" t="s">
        <v>603</v>
      </c>
      <c r="D132" t="s">
        <v>602</v>
      </c>
      <c r="F132" t="s">
        <v>604</v>
      </c>
      <c r="G132">
        <v>122.4</v>
      </c>
      <c r="H132" t="s">
        <v>58</v>
      </c>
      <c r="I132">
        <v>2</v>
      </c>
      <c r="J132">
        <v>1</v>
      </c>
      <c r="K132">
        <v>0</v>
      </c>
      <c r="L132">
        <v>11.2</v>
      </c>
      <c r="M132">
        <v>71136</v>
      </c>
      <c r="N132">
        <v>44</v>
      </c>
      <c r="O132">
        <v>7</v>
      </c>
      <c r="P132">
        <v>7</v>
      </c>
      <c r="Q132">
        <v>7</v>
      </c>
      <c r="R132">
        <v>7</v>
      </c>
      <c r="S132">
        <v>19</v>
      </c>
      <c r="T132">
        <v>19</v>
      </c>
      <c r="U132">
        <v>7</v>
      </c>
      <c r="V132">
        <v>4</v>
      </c>
      <c r="W132">
        <v>2</v>
      </c>
      <c r="X132">
        <v>7</v>
      </c>
      <c r="Y132">
        <v>7</v>
      </c>
      <c r="Z132">
        <v>7</v>
      </c>
      <c r="AA132">
        <v>7</v>
      </c>
      <c r="AB132">
        <v>7</v>
      </c>
      <c r="AC132">
        <v>7</v>
      </c>
      <c r="AD132">
        <v>0</v>
      </c>
      <c r="AE132">
        <v>0</v>
      </c>
      <c r="AF132">
        <v>3</v>
      </c>
      <c r="AG132">
        <v>8</v>
      </c>
      <c r="AH132">
        <v>2</v>
      </c>
      <c r="AI132">
        <v>3</v>
      </c>
      <c r="AJ132">
        <v>2</v>
      </c>
      <c r="AK132">
        <v>1</v>
      </c>
      <c r="AL132">
        <v>2407607</v>
      </c>
      <c r="AM132">
        <v>677077.75</v>
      </c>
      <c r="AN132">
        <v>14250931</v>
      </c>
      <c r="AO132">
        <v>17740702</v>
      </c>
      <c r="AP132">
        <v>6696874</v>
      </c>
      <c r="AQ132">
        <v>7034130.5</v>
      </c>
      <c r="AR132">
        <v>6623407.5</v>
      </c>
      <c r="AS132">
        <v>7339415</v>
      </c>
      <c r="AT132">
        <v>497677.84</v>
      </c>
      <c r="AU132">
        <v>110854.42</v>
      </c>
      <c r="AV132">
        <v>9076647</v>
      </c>
      <c r="AW132">
        <v>7319452</v>
      </c>
      <c r="AX132">
        <v>5004439.5</v>
      </c>
      <c r="AY132">
        <v>4994918</v>
      </c>
      <c r="AZ132">
        <v>4375565</v>
      </c>
      <c r="BA132">
        <v>4521904</v>
      </c>
    </row>
    <row r="133" spans="1:53">
      <c r="A133">
        <v>16830</v>
      </c>
      <c r="B133" t="s">
        <v>605</v>
      </c>
      <c r="C133" t="s">
        <v>606</v>
      </c>
      <c r="D133" t="s">
        <v>605</v>
      </c>
      <c r="F133" t="s">
        <v>607</v>
      </c>
      <c r="G133">
        <v>121.992</v>
      </c>
      <c r="H133" t="s">
        <v>58</v>
      </c>
      <c r="I133">
        <v>2</v>
      </c>
      <c r="J133">
        <v>1</v>
      </c>
      <c r="K133">
        <v>0</v>
      </c>
      <c r="L133">
        <v>12.62</v>
      </c>
      <c r="M133">
        <v>46215</v>
      </c>
      <c r="N133">
        <v>24</v>
      </c>
      <c r="O133">
        <v>6</v>
      </c>
      <c r="P133">
        <v>6</v>
      </c>
      <c r="Q133">
        <v>6</v>
      </c>
      <c r="R133">
        <v>6</v>
      </c>
      <c r="S133">
        <v>23</v>
      </c>
      <c r="T133">
        <v>23</v>
      </c>
      <c r="U133">
        <v>6</v>
      </c>
      <c r="V133">
        <v>5</v>
      </c>
      <c r="W133">
        <v>5</v>
      </c>
      <c r="X133">
        <v>6</v>
      </c>
      <c r="Y133">
        <v>6</v>
      </c>
      <c r="Z133">
        <v>5</v>
      </c>
      <c r="AA133">
        <v>5</v>
      </c>
      <c r="AB133">
        <v>5</v>
      </c>
      <c r="AC133">
        <v>6</v>
      </c>
      <c r="AD133">
        <v>1</v>
      </c>
      <c r="AE133">
        <v>0</v>
      </c>
      <c r="AF133">
        <v>5</v>
      </c>
      <c r="AG133">
        <v>4</v>
      </c>
      <c r="AH133">
        <v>3</v>
      </c>
      <c r="AI133">
        <v>4</v>
      </c>
      <c r="AJ133">
        <v>3</v>
      </c>
      <c r="AK133">
        <v>3</v>
      </c>
      <c r="AL133">
        <v>5232864</v>
      </c>
      <c r="AM133">
        <v>4109146.25</v>
      </c>
      <c r="AN133">
        <v>18399006</v>
      </c>
      <c r="AO133">
        <v>13214294</v>
      </c>
      <c r="AP133">
        <v>7668990</v>
      </c>
      <c r="AQ133">
        <v>8311687</v>
      </c>
      <c r="AR133">
        <v>4969165.5</v>
      </c>
      <c r="AS133">
        <v>9804410</v>
      </c>
      <c r="AT133">
        <v>5040485.5</v>
      </c>
      <c r="AU133">
        <v>3332186.75</v>
      </c>
      <c r="AV133">
        <v>7950727</v>
      </c>
      <c r="AW133">
        <v>5580042</v>
      </c>
      <c r="AX133">
        <v>4369002.5</v>
      </c>
      <c r="AY133">
        <v>4291132</v>
      </c>
      <c r="AZ133">
        <v>3920439.75</v>
      </c>
      <c r="BA133">
        <v>4150463.25</v>
      </c>
    </row>
    <row r="134" spans="1:53">
      <c r="A134">
        <v>16726</v>
      </c>
      <c r="B134" t="s">
        <v>608</v>
      </c>
      <c r="C134" t="s">
        <v>609</v>
      </c>
      <c r="D134" t="s">
        <v>610</v>
      </c>
      <c r="F134" t="s">
        <v>611</v>
      </c>
      <c r="G134">
        <v>116.78</v>
      </c>
      <c r="H134" t="s">
        <v>58</v>
      </c>
      <c r="I134">
        <v>2</v>
      </c>
      <c r="J134">
        <v>20</v>
      </c>
      <c r="K134">
        <v>0</v>
      </c>
      <c r="L134">
        <v>46.15</v>
      </c>
      <c r="M134">
        <v>9006</v>
      </c>
      <c r="N134">
        <v>6</v>
      </c>
      <c r="O134">
        <v>6</v>
      </c>
      <c r="P134">
        <v>6</v>
      </c>
      <c r="Q134">
        <v>6</v>
      </c>
      <c r="R134">
        <v>6</v>
      </c>
      <c r="S134">
        <v>595</v>
      </c>
      <c r="T134">
        <v>595</v>
      </c>
      <c r="U134">
        <v>6</v>
      </c>
      <c r="V134">
        <v>4</v>
      </c>
      <c r="W134">
        <v>5</v>
      </c>
      <c r="X134">
        <v>6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63</v>
      </c>
      <c r="AE134">
        <v>88</v>
      </c>
      <c r="AF134">
        <v>70</v>
      </c>
      <c r="AG134">
        <v>57</v>
      </c>
      <c r="AH134">
        <v>69</v>
      </c>
      <c r="AI134">
        <v>90</v>
      </c>
      <c r="AJ134">
        <v>80</v>
      </c>
      <c r="AK134">
        <v>78</v>
      </c>
      <c r="AL134">
        <v>225112000</v>
      </c>
      <c r="AM134">
        <v>248803200</v>
      </c>
      <c r="AN134">
        <v>154487104</v>
      </c>
      <c r="AO134">
        <v>202345152</v>
      </c>
      <c r="AP134">
        <v>152456192</v>
      </c>
      <c r="AQ134">
        <v>265900304</v>
      </c>
      <c r="AR134">
        <v>206059552</v>
      </c>
      <c r="AS134">
        <v>191797264</v>
      </c>
      <c r="AT134">
        <v>213700656</v>
      </c>
      <c r="AU134">
        <v>252713984</v>
      </c>
      <c r="AV134">
        <v>96363672</v>
      </c>
      <c r="AW134">
        <v>75142944</v>
      </c>
      <c r="AX134">
        <v>105645952</v>
      </c>
      <c r="AY134">
        <v>142645264</v>
      </c>
      <c r="AZ134">
        <v>124051104</v>
      </c>
      <c r="BA134">
        <v>110257640</v>
      </c>
    </row>
    <row r="135" spans="1:53">
      <c r="A135">
        <v>16749</v>
      </c>
      <c r="B135" t="s">
        <v>612</v>
      </c>
      <c r="C135" t="s">
        <v>613</v>
      </c>
      <c r="D135" t="s">
        <v>614</v>
      </c>
      <c r="E135" t="s">
        <v>615</v>
      </c>
      <c r="F135" t="s">
        <v>616</v>
      </c>
      <c r="G135">
        <v>113.437</v>
      </c>
      <c r="H135" t="s">
        <v>58</v>
      </c>
      <c r="I135">
        <v>2</v>
      </c>
      <c r="J135">
        <v>20</v>
      </c>
      <c r="K135">
        <v>1</v>
      </c>
      <c r="L135">
        <v>35</v>
      </c>
      <c r="M135">
        <v>18268</v>
      </c>
      <c r="N135">
        <v>8</v>
      </c>
      <c r="O135">
        <v>6</v>
      </c>
      <c r="P135">
        <v>6</v>
      </c>
      <c r="Q135">
        <v>6</v>
      </c>
      <c r="R135">
        <v>6</v>
      </c>
      <c r="S135">
        <v>82</v>
      </c>
      <c r="T135">
        <v>82</v>
      </c>
      <c r="U135">
        <v>6</v>
      </c>
      <c r="V135">
        <v>3</v>
      </c>
      <c r="W135">
        <v>3</v>
      </c>
      <c r="X135">
        <v>5</v>
      </c>
      <c r="Y135">
        <v>6</v>
      </c>
      <c r="Z135">
        <v>5</v>
      </c>
      <c r="AA135">
        <v>5</v>
      </c>
      <c r="AB135">
        <v>5</v>
      </c>
      <c r="AC135">
        <v>6</v>
      </c>
      <c r="AD135">
        <v>7</v>
      </c>
      <c r="AE135">
        <v>3</v>
      </c>
      <c r="AF135">
        <v>16</v>
      </c>
      <c r="AG135">
        <v>14</v>
      </c>
      <c r="AH135">
        <v>18</v>
      </c>
      <c r="AI135">
        <v>12</v>
      </c>
      <c r="AJ135">
        <v>8</v>
      </c>
      <c r="AK135">
        <v>4</v>
      </c>
      <c r="AL135">
        <v>35696024</v>
      </c>
      <c r="AM135">
        <v>40601272</v>
      </c>
      <c r="AN135">
        <v>97925408</v>
      </c>
      <c r="AO135">
        <v>131736360</v>
      </c>
      <c r="AP135">
        <v>37681112</v>
      </c>
      <c r="AQ135">
        <v>69847472</v>
      </c>
      <c r="AR135">
        <v>70582624</v>
      </c>
      <c r="AS135">
        <v>73195536</v>
      </c>
      <c r="AT135">
        <v>4413478.5</v>
      </c>
      <c r="AU135">
        <v>3819581.75</v>
      </c>
      <c r="AV135">
        <v>74690808</v>
      </c>
      <c r="AW135">
        <v>62357372</v>
      </c>
      <c r="AX135">
        <v>41390312</v>
      </c>
      <c r="AY135">
        <v>23760164</v>
      </c>
      <c r="AZ135">
        <v>35373304</v>
      </c>
      <c r="BA135">
        <v>39894296</v>
      </c>
    </row>
    <row r="136" spans="1:53">
      <c r="A136">
        <v>16777</v>
      </c>
      <c r="B136" t="s">
        <v>617</v>
      </c>
      <c r="C136" t="s">
        <v>618</v>
      </c>
      <c r="D136" t="s">
        <v>619</v>
      </c>
      <c r="F136" t="s">
        <v>620</v>
      </c>
      <c r="G136">
        <v>108.253</v>
      </c>
      <c r="H136" t="s">
        <v>58</v>
      </c>
      <c r="I136">
        <v>2</v>
      </c>
      <c r="J136">
        <v>3</v>
      </c>
      <c r="K136">
        <v>0</v>
      </c>
      <c r="L136">
        <v>11.25</v>
      </c>
      <c r="M136">
        <v>37093</v>
      </c>
      <c r="N136">
        <v>19</v>
      </c>
      <c r="O136">
        <v>3</v>
      </c>
      <c r="P136">
        <v>3</v>
      </c>
      <c r="Q136">
        <v>3</v>
      </c>
      <c r="R136">
        <v>3</v>
      </c>
      <c r="S136">
        <v>20</v>
      </c>
      <c r="T136">
        <v>20</v>
      </c>
      <c r="U136">
        <v>3</v>
      </c>
      <c r="V136">
        <v>3</v>
      </c>
      <c r="W136">
        <v>3</v>
      </c>
      <c r="X136">
        <v>3</v>
      </c>
      <c r="Y136">
        <v>3</v>
      </c>
      <c r="Z136">
        <v>3</v>
      </c>
      <c r="AA136">
        <v>3</v>
      </c>
      <c r="AB136">
        <v>3</v>
      </c>
      <c r="AC136">
        <v>3</v>
      </c>
      <c r="AD136">
        <v>1</v>
      </c>
      <c r="AE136">
        <v>1</v>
      </c>
      <c r="AF136">
        <v>4</v>
      </c>
      <c r="AG136">
        <v>5</v>
      </c>
      <c r="AH136">
        <v>3</v>
      </c>
      <c r="AI136">
        <v>3</v>
      </c>
      <c r="AJ136">
        <v>1</v>
      </c>
      <c r="AK136">
        <v>4</v>
      </c>
      <c r="AL136">
        <v>3910434</v>
      </c>
      <c r="AM136">
        <v>3315582.75</v>
      </c>
      <c r="AN136">
        <v>12467895</v>
      </c>
      <c r="AO136">
        <v>13159762</v>
      </c>
      <c r="AP136">
        <v>6208437</v>
      </c>
      <c r="AQ136">
        <v>6665962.5</v>
      </c>
      <c r="AR136">
        <v>6685726</v>
      </c>
      <c r="AS136">
        <v>6036847</v>
      </c>
      <c r="AT136">
        <v>3703931.75</v>
      </c>
      <c r="AU136">
        <v>3701173.5</v>
      </c>
      <c r="AV136">
        <v>6208535.5</v>
      </c>
      <c r="AW136">
        <v>4535208</v>
      </c>
      <c r="AX136">
        <v>3665378.5</v>
      </c>
      <c r="AY136">
        <v>3514100.5</v>
      </c>
      <c r="AZ136">
        <v>3247349</v>
      </c>
      <c r="BA136">
        <v>2737726</v>
      </c>
    </row>
    <row r="137" spans="1:53">
      <c r="A137">
        <v>16845</v>
      </c>
      <c r="B137" t="s">
        <v>621</v>
      </c>
      <c r="C137" t="s">
        <v>622</v>
      </c>
      <c r="D137" t="s">
        <v>621</v>
      </c>
      <c r="F137" t="s">
        <v>623</v>
      </c>
      <c r="G137">
        <v>106.223</v>
      </c>
      <c r="H137" t="s">
        <v>58</v>
      </c>
      <c r="I137">
        <v>2</v>
      </c>
      <c r="J137">
        <v>1</v>
      </c>
      <c r="K137">
        <v>0</v>
      </c>
      <c r="L137">
        <v>9.93</v>
      </c>
      <c r="M137">
        <v>62983</v>
      </c>
      <c r="N137">
        <v>31</v>
      </c>
      <c r="O137">
        <v>6</v>
      </c>
      <c r="P137">
        <v>6</v>
      </c>
      <c r="Q137">
        <v>6</v>
      </c>
      <c r="R137">
        <v>6</v>
      </c>
      <c r="S137">
        <v>12</v>
      </c>
      <c r="T137">
        <v>12</v>
      </c>
      <c r="U137">
        <v>6</v>
      </c>
      <c r="V137">
        <v>4</v>
      </c>
      <c r="W137">
        <v>3</v>
      </c>
      <c r="X137">
        <v>5</v>
      </c>
      <c r="Y137">
        <v>6</v>
      </c>
      <c r="Z137">
        <v>6</v>
      </c>
      <c r="AA137">
        <v>6</v>
      </c>
      <c r="AB137">
        <v>5</v>
      </c>
      <c r="AC137">
        <v>5</v>
      </c>
      <c r="AD137">
        <v>0</v>
      </c>
      <c r="AE137">
        <v>0</v>
      </c>
      <c r="AF137">
        <v>0</v>
      </c>
      <c r="AG137">
        <v>5</v>
      </c>
      <c r="AH137">
        <v>2</v>
      </c>
      <c r="AI137">
        <v>4</v>
      </c>
      <c r="AJ137">
        <v>1</v>
      </c>
      <c r="AK137">
        <v>1</v>
      </c>
      <c r="AL137">
        <v>6256308</v>
      </c>
      <c r="AM137">
        <v>4701586.5</v>
      </c>
      <c r="AN137">
        <v>14286705</v>
      </c>
      <c r="AO137">
        <v>27604598</v>
      </c>
      <c r="AP137">
        <v>10242367</v>
      </c>
      <c r="AQ137">
        <v>14018895</v>
      </c>
      <c r="AR137">
        <v>12274786</v>
      </c>
      <c r="AS137">
        <v>10822785</v>
      </c>
      <c r="AT137">
        <v>4341190</v>
      </c>
      <c r="AU137">
        <v>1769727.12</v>
      </c>
      <c r="AV137">
        <v>5781912.5</v>
      </c>
      <c r="AW137">
        <v>11468268</v>
      </c>
      <c r="AX137">
        <v>9199218</v>
      </c>
      <c r="AY137">
        <v>9000287</v>
      </c>
      <c r="AZ137">
        <v>4893029</v>
      </c>
      <c r="BA137">
        <v>4673333</v>
      </c>
    </row>
    <row r="138" spans="1:53">
      <c r="A138">
        <v>16820</v>
      </c>
      <c r="B138" t="s">
        <v>624</v>
      </c>
      <c r="C138" t="s">
        <v>625</v>
      </c>
      <c r="D138" t="s">
        <v>624</v>
      </c>
      <c r="F138" t="s">
        <v>626</v>
      </c>
      <c r="G138">
        <v>104.17100000000001</v>
      </c>
      <c r="H138" t="s">
        <v>58</v>
      </c>
      <c r="I138">
        <v>2</v>
      </c>
      <c r="J138">
        <v>1</v>
      </c>
      <c r="K138">
        <v>0</v>
      </c>
      <c r="L138">
        <v>17.46</v>
      </c>
      <c r="M138">
        <v>28047</v>
      </c>
      <c r="N138">
        <v>11</v>
      </c>
      <c r="O138">
        <v>4</v>
      </c>
      <c r="P138">
        <v>4</v>
      </c>
      <c r="Q138">
        <v>4</v>
      </c>
      <c r="R138">
        <v>4</v>
      </c>
      <c r="S138">
        <v>10</v>
      </c>
      <c r="T138">
        <v>10</v>
      </c>
      <c r="U138">
        <v>4</v>
      </c>
      <c r="V138">
        <v>2</v>
      </c>
      <c r="W138">
        <v>2</v>
      </c>
      <c r="X138">
        <v>3</v>
      </c>
      <c r="Y138">
        <v>4</v>
      </c>
      <c r="Z138">
        <v>3</v>
      </c>
      <c r="AA138">
        <v>3</v>
      </c>
      <c r="AB138">
        <v>4</v>
      </c>
      <c r="AC138">
        <v>4</v>
      </c>
      <c r="AD138">
        <v>0</v>
      </c>
      <c r="AE138">
        <v>0</v>
      </c>
      <c r="AF138">
        <v>1</v>
      </c>
      <c r="AG138">
        <v>3</v>
      </c>
      <c r="AH138">
        <v>1</v>
      </c>
      <c r="AI138">
        <v>2</v>
      </c>
      <c r="AJ138">
        <v>1</v>
      </c>
      <c r="AK138">
        <v>2</v>
      </c>
      <c r="AL138">
        <v>1837134</v>
      </c>
      <c r="AM138">
        <v>1934720.5</v>
      </c>
      <c r="AN138">
        <v>6657813</v>
      </c>
      <c r="AO138">
        <v>10621534</v>
      </c>
      <c r="AP138">
        <v>3905080.5</v>
      </c>
      <c r="AQ138">
        <v>4425740</v>
      </c>
      <c r="AR138">
        <v>3806767</v>
      </c>
      <c r="AS138">
        <v>4951177.5</v>
      </c>
      <c r="AT138">
        <v>804294.81</v>
      </c>
      <c r="AU138">
        <v>702358.25</v>
      </c>
      <c r="AV138">
        <v>2587921.25</v>
      </c>
      <c r="AW138">
        <v>5009414.5</v>
      </c>
      <c r="AX138">
        <v>1974480</v>
      </c>
      <c r="AY138">
        <v>1973519</v>
      </c>
      <c r="AZ138">
        <v>2418221.25</v>
      </c>
      <c r="BA138">
        <v>3489848.25</v>
      </c>
    </row>
    <row r="139" spans="1:53">
      <c r="A139">
        <v>16674</v>
      </c>
      <c r="B139" t="s">
        <v>627</v>
      </c>
      <c r="C139" t="s">
        <v>628</v>
      </c>
      <c r="D139" t="s">
        <v>629</v>
      </c>
      <c r="F139" t="s">
        <v>630</v>
      </c>
      <c r="G139">
        <v>103.80200000000001</v>
      </c>
      <c r="H139" t="s">
        <v>58</v>
      </c>
      <c r="I139">
        <v>2</v>
      </c>
      <c r="J139">
        <v>21</v>
      </c>
      <c r="K139">
        <v>0</v>
      </c>
      <c r="L139">
        <v>39.29</v>
      </c>
      <c r="M139">
        <v>9704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274</v>
      </c>
      <c r="T139">
        <v>274</v>
      </c>
      <c r="U139">
        <v>4</v>
      </c>
      <c r="V139">
        <v>3</v>
      </c>
      <c r="W139">
        <v>3</v>
      </c>
      <c r="X139">
        <v>4</v>
      </c>
      <c r="Y139">
        <v>4</v>
      </c>
      <c r="Z139">
        <v>4</v>
      </c>
      <c r="AA139">
        <v>4</v>
      </c>
      <c r="AB139">
        <v>4</v>
      </c>
      <c r="AC139">
        <v>4</v>
      </c>
      <c r="AD139">
        <v>51</v>
      </c>
      <c r="AE139">
        <v>44</v>
      </c>
      <c r="AF139">
        <v>54</v>
      </c>
      <c r="AG139">
        <v>36</v>
      </c>
      <c r="AH139">
        <v>24</v>
      </c>
      <c r="AI139">
        <v>20</v>
      </c>
      <c r="AJ139">
        <v>18</v>
      </c>
      <c r="AK139">
        <v>27</v>
      </c>
      <c r="AL139">
        <v>318848416</v>
      </c>
      <c r="AM139">
        <v>384822016</v>
      </c>
      <c r="AN139">
        <v>337953472</v>
      </c>
      <c r="AO139">
        <v>468231008</v>
      </c>
      <c r="AP139">
        <v>210481408</v>
      </c>
      <c r="AQ139">
        <v>218180704</v>
      </c>
      <c r="AR139">
        <v>167365296</v>
      </c>
      <c r="AS139">
        <v>273089888</v>
      </c>
      <c r="AT139">
        <v>278697184</v>
      </c>
      <c r="AU139">
        <v>94476520</v>
      </c>
      <c r="AV139">
        <v>270566752</v>
      </c>
      <c r="AW139">
        <v>231518864</v>
      </c>
      <c r="AX139">
        <v>163416288</v>
      </c>
      <c r="AY139">
        <v>119248624</v>
      </c>
      <c r="AZ139">
        <v>126355352</v>
      </c>
      <c r="BA139">
        <v>137222608</v>
      </c>
    </row>
    <row r="140" spans="1:53">
      <c r="A140">
        <v>16837</v>
      </c>
      <c r="B140" t="s">
        <v>631</v>
      </c>
      <c r="C140" t="s">
        <v>632</v>
      </c>
      <c r="D140" t="s">
        <v>631</v>
      </c>
      <c r="F140" t="s">
        <v>633</v>
      </c>
      <c r="G140">
        <v>98.314999999999998</v>
      </c>
      <c r="H140" t="s">
        <v>58</v>
      </c>
      <c r="I140">
        <v>2</v>
      </c>
      <c r="J140">
        <v>1</v>
      </c>
      <c r="K140">
        <v>0</v>
      </c>
      <c r="L140">
        <v>15.69</v>
      </c>
      <c r="M140">
        <v>29738</v>
      </c>
      <c r="N140">
        <v>16</v>
      </c>
      <c r="O140">
        <v>3</v>
      </c>
      <c r="P140">
        <v>3</v>
      </c>
      <c r="Q140">
        <v>3</v>
      </c>
      <c r="R140">
        <v>3</v>
      </c>
      <c r="S140">
        <v>10</v>
      </c>
      <c r="T140">
        <v>10</v>
      </c>
      <c r="U140">
        <v>3</v>
      </c>
      <c r="V140">
        <v>1</v>
      </c>
      <c r="W140">
        <v>2</v>
      </c>
      <c r="X140">
        <v>3</v>
      </c>
      <c r="Y140">
        <v>3</v>
      </c>
      <c r="Z140">
        <v>3</v>
      </c>
      <c r="AA140">
        <v>3</v>
      </c>
      <c r="AB140">
        <v>3</v>
      </c>
      <c r="AC140">
        <v>3</v>
      </c>
      <c r="AD140">
        <v>0</v>
      </c>
      <c r="AE140">
        <v>0</v>
      </c>
      <c r="AF140">
        <v>1</v>
      </c>
      <c r="AG140">
        <v>3</v>
      </c>
      <c r="AH140">
        <v>1</v>
      </c>
      <c r="AI140">
        <v>2</v>
      </c>
      <c r="AJ140">
        <v>1</v>
      </c>
      <c r="AK140">
        <v>2</v>
      </c>
      <c r="AL140">
        <v>599804.12</v>
      </c>
      <c r="AM140">
        <v>1546304.25</v>
      </c>
      <c r="AN140">
        <v>6448781</v>
      </c>
      <c r="AO140">
        <v>6660197</v>
      </c>
      <c r="AP140">
        <v>2851257</v>
      </c>
      <c r="AQ140">
        <v>3427757.25</v>
      </c>
      <c r="AR140">
        <v>3325708.5</v>
      </c>
      <c r="AS140">
        <v>3893638.5</v>
      </c>
      <c r="AT140">
        <v>49923.93</v>
      </c>
      <c r="AU140">
        <v>2315981.5</v>
      </c>
      <c r="AV140">
        <v>2965851.75</v>
      </c>
      <c r="AW140">
        <v>2363967.25</v>
      </c>
      <c r="AX140">
        <v>1687432.38</v>
      </c>
      <c r="AY140">
        <v>1719980.12</v>
      </c>
      <c r="AZ140">
        <v>1851187</v>
      </c>
      <c r="BA140">
        <v>1682794.25</v>
      </c>
    </row>
    <row r="141" spans="1:53">
      <c r="A141">
        <v>16666</v>
      </c>
      <c r="B141" t="s">
        <v>634</v>
      </c>
      <c r="C141" t="s">
        <v>635</v>
      </c>
      <c r="D141" t="s">
        <v>636</v>
      </c>
      <c r="E141" t="s">
        <v>637</v>
      </c>
      <c r="F141" t="s">
        <v>638</v>
      </c>
      <c r="G141">
        <v>95.965000000000003</v>
      </c>
      <c r="H141" t="s">
        <v>58</v>
      </c>
      <c r="I141">
        <v>2</v>
      </c>
      <c r="J141">
        <v>19</v>
      </c>
      <c r="K141">
        <v>2</v>
      </c>
      <c r="L141">
        <v>11.19</v>
      </c>
      <c r="M141">
        <v>63477</v>
      </c>
      <c r="N141">
        <v>41</v>
      </c>
      <c r="O141">
        <v>6</v>
      </c>
      <c r="P141">
        <v>6</v>
      </c>
      <c r="Q141">
        <v>6</v>
      </c>
      <c r="R141">
        <v>6</v>
      </c>
      <c r="S141">
        <v>13</v>
      </c>
      <c r="T141">
        <v>13</v>
      </c>
      <c r="U141">
        <v>6</v>
      </c>
      <c r="V141">
        <v>5</v>
      </c>
      <c r="W141">
        <v>6</v>
      </c>
      <c r="X141">
        <v>6</v>
      </c>
      <c r="Y141">
        <v>6</v>
      </c>
      <c r="Z141">
        <v>5</v>
      </c>
      <c r="AA141">
        <v>5</v>
      </c>
      <c r="AB141">
        <v>5</v>
      </c>
      <c r="AC141">
        <v>6</v>
      </c>
      <c r="AD141">
        <v>1</v>
      </c>
      <c r="AE141">
        <v>1</v>
      </c>
      <c r="AF141">
        <v>1</v>
      </c>
      <c r="AG141">
        <v>3</v>
      </c>
      <c r="AH141">
        <v>2</v>
      </c>
      <c r="AI141">
        <v>5</v>
      </c>
      <c r="AJ141">
        <v>1</v>
      </c>
      <c r="AK141">
        <v>2</v>
      </c>
      <c r="AL141">
        <v>5740617</v>
      </c>
      <c r="AM141">
        <v>5425318.5</v>
      </c>
      <c r="AN141">
        <v>7049797.5</v>
      </c>
      <c r="AO141">
        <v>9138012</v>
      </c>
      <c r="AP141">
        <v>5911956.5</v>
      </c>
      <c r="AQ141">
        <v>7323273</v>
      </c>
      <c r="AR141">
        <v>5134146</v>
      </c>
      <c r="AS141">
        <v>7971702.5</v>
      </c>
      <c r="AT141">
        <v>5576643.5</v>
      </c>
      <c r="AU141">
        <v>5570264.5</v>
      </c>
      <c r="AV141">
        <v>3370636.25</v>
      </c>
      <c r="AW141">
        <v>3217917.25</v>
      </c>
      <c r="AX141">
        <v>3307839</v>
      </c>
      <c r="AY141">
        <v>4090869.5</v>
      </c>
      <c r="AZ141">
        <v>2672278</v>
      </c>
      <c r="BA141">
        <v>3800729.5</v>
      </c>
    </row>
    <row r="142" spans="1:53">
      <c r="A142">
        <v>16864</v>
      </c>
      <c r="B142" t="s">
        <v>639</v>
      </c>
      <c r="C142" t="s">
        <v>640</v>
      </c>
      <c r="D142" t="s">
        <v>639</v>
      </c>
      <c r="E142" t="s">
        <v>641</v>
      </c>
      <c r="F142" t="s">
        <v>642</v>
      </c>
      <c r="G142">
        <v>90.498999999999995</v>
      </c>
      <c r="H142" t="s">
        <v>58</v>
      </c>
      <c r="I142">
        <v>2</v>
      </c>
      <c r="J142">
        <v>1</v>
      </c>
      <c r="K142">
        <v>6</v>
      </c>
      <c r="L142">
        <v>7.3</v>
      </c>
      <c r="M142">
        <v>66037</v>
      </c>
      <c r="N142">
        <v>35</v>
      </c>
      <c r="O142">
        <v>4</v>
      </c>
      <c r="P142">
        <v>4</v>
      </c>
      <c r="Q142">
        <v>4</v>
      </c>
      <c r="R142">
        <v>4</v>
      </c>
      <c r="S142">
        <v>4</v>
      </c>
      <c r="T142">
        <v>4</v>
      </c>
      <c r="U142">
        <v>4</v>
      </c>
      <c r="V142">
        <v>4</v>
      </c>
      <c r="AD142">
        <v>4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4575558</v>
      </c>
      <c r="AT142">
        <v>4575558</v>
      </c>
      <c r="AU142">
        <v>151704.31</v>
      </c>
      <c r="AV142">
        <v>374615.16</v>
      </c>
      <c r="AW142">
        <v>360097.09</v>
      </c>
      <c r="AX142">
        <v>278828.78000000003</v>
      </c>
      <c r="AY142">
        <v>249615.83</v>
      </c>
      <c r="AZ142">
        <v>274135.90999999997</v>
      </c>
      <c r="BA142">
        <v>275347</v>
      </c>
    </row>
    <row r="143" spans="1:53">
      <c r="A143">
        <v>16836</v>
      </c>
      <c r="B143" t="s">
        <v>643</v>
      </c>
      <c r="C143" t="s">
        <v>644</v>
      </c>
      <c r="D143" t="s">
        <v>643</v>
      </c>
      <c r="F143" t="s">
        <v>645</v>
      </c>
      <c r="G143">
        <v>87.753</v>
      </c>
      <c r="H143" t="s">
        <v>58</v>
      </c>
      <c r="I143">
        <v>2</v>
      </c>
      <c r="J143">
        <v>1</v>
      </c>
      <c r="K143">
        <v>0</v>
      </c>
      <c r="L143">
        <v>16.23</v>
      </c>
      <c r="M143">
        <v>25258</v>
      </c>
      <c r="N143">
        <v>14</v>
      </c>
      <c r="O143">
        <v>4</v>
      </c>
      <c r="P143">
        <v>4</v>
      </c>
      <c r="Q143">
        <v>4</v>
      </c>
      <c r="R143">
        <v>4</v>
      </c>
      <c r="S143">
        <v>19</v>
      </c>
      <c r="T143">
        <v>19</v>
      </c>
      <c r="U143">
        <v>4</v>
      </c>
      <c r="V143">
        <v>3</v>
      </c>
      <c r="W143">
        <v>3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2</v>
      </c>
      <c r="AE143">
        <v>0</v>
      </c>
      <c r="AF143">
        <v>4</v>
      </c>
      <c r="AG143">
        <v>4</v>
      </c>
      <c r="AH143">
        <v>2</v>
      </c>
      <c r="AI143">
        <v>3</v>
      </c>
      <c r="AJ143">
        <v>3</v>
      </c>
      <c r="AK143">
        <v>3</v>
      </c>
      <c r="AL143">
        <v>1681945.88</v>
      </c>
      <c r="AM143">
        <v>2371699.5</v>
      </c>
      <c r="AN143">
        <v>9155653</v>
      </c>
      <c r="AO143">
        <v>11388222</v>
      </c>
      <c r="AP143">
        <v>5194922.5</v>
      </c>
      <c r="AQ143">
        <v>5755115.5</v>
      </c>
      <c r="AR143">
        <v>4769956</v>
      </c>
      <c r="AS143">
        <v>5579790</v>
      </c>
      <c r="AT143">
        <v>826168.06</v>
      </c>
      <c r="AU143">
        <v>3509032.25</v>
      </c>
      <c r="AV143">
        <v>6674543</v>
      </c>
      <c r="AW143">
        <v>6346179</v>
      </c>
      <c r="AX143">
        <v>4483755</v>
      </c>
      <c r="AY143">
        <v>4624210.5</v>
      </c>
      <c r="AZ143">
        <v>3794012.25</v>
      </c>
      <c r="BA143">
        <v>3858476.5</v>
      </c>
    </row>
    <row r="144" spans="1:53">
      <c r="A144">
        <v>16716</v>
      </c>
      <c r="B144" t="s">
        <v>646</v>
      </c>
      <c r="C144" t="s">
        <v>647</v>
      </c>
      <c r="D144" t="s">
        <v>648</v>
      </c>
      <c r="E144" t="s">
        <v>649</v>
      </c>
      <c r="F144" t="s">
        <v>650</v>
      </c>
      <c r="G144">
        <v>82.412000000000006</v>
      </c>
      <c r="H144" t="s">
        <v>58</v>
      </c>
      <c r="I144">
        <v>2</v>
      </c>
      <c r="J144">
        <v>18</v>
      </c>
      <c r="K144">
        <v>3</v>
      </c>
      <c r="L144">
        <v>9.98</v>
      </c>
      <c r="M144">
        <v>53597</v>
      </c>
      <c r="N144">
        <v>20</v>
      </c>
      <c r="O144">
        <v>5</v>
      </c>
      <c r="P144">
        <v>5</v>
      </c>
      <c r="Q144">
        <v>5</v>
      </c>
      <c r="R144">
        <v>5</v>
      </c>
      <c r="S144">
        <v>27</v>
      </c>
      <c r="T144">
        <v>27</v>
      </c>
      <c r="U144">
        <v>5</v>
      </c>
      <c r="V144">
        <v>4</v>
      </c>
      <c r="W144">
        <v>4</v>
      </c>
      <c r="X144">
        <v>4</v>
      </c>
      <c r="Y144">
        <v>4</v>
      </c>
      <c r="Z144">
        <v>4</v>
      </c>
      <c r="AA144">
        <v>4</v>
      </c>
      <c r="AB144">
        <v>4</v>
      </c>
      <c r="AC144">
        <v>5</v>
      </c>
      <c r="AD144">
        <v>0</v>
      </c>
      <c r="AE144">
        <v>2</v>
      </c>
      <c r="AF144">
        <v>5</v>
      </c>
      <c r="AG144">
        <v>6</v>
      </c>
      <c r="AH144">
        <v>2</v>
      </c>
      <c r="AI144">
        <v>5</v>
      </c>
      <c r="AJ144">
        <v>5</v>
      </c>
      <c r="AK144">
        <v>4</v>
      </c>
      <c r="AL144">
        <v>10496198</v>
      </c>
      <c r="AM144">
        <v>9057115</v>
      </c>
      <c r="AN144">
        <v>21843266</v>
      </c>
      <c r="AO144">
        <v>19969942</v>
      </c>
      <c r="AP144">
        <v>13283638</v>
      </c>
      <c r="AQ144">
        <v>14573185</v>
      </c>
      <c r="AR144">
        <v>9732081</v>
      </c>
      <c r="AS144">
        <v>13977784</v>
      </c>
      <c r="AT144">
        <v>6763682</v>
      </c>
      <c r="AU144">
        <v>8296725</v>
      </c>
      <c r="AV144">
        <v>11468995</v>
      </c>
      <c r="AW144">
        <v>10578286</v>
      </c>
      <c r="AX144">
        <v>7396864</v>
      </c>
      <c r="AY144">
        <v>7489633</v>
      </c>
      <c r="AZ144">
        <v>6622268.5</v>
      </c>
      <c r="BA144">
        <v>7190543.5</v>
      </c>
    </row>
    <row r="145" spans="1:53">
      <c r="A145">
        <v>16856</v>
      </c>
      <c r="B145" t="s">
        <v>651</v>
      </c>
      <c r="C145" t="s">
        <v>652</v>
      </c>
      <c r="D145" t="s">
        <v>653</v>
      </c>
      <c r="F145" t="s">
        <v>654</v>
      </c>
      <c r="G145">
        <v>79.040999999999997</v>
      </c>
      <c r="H145" t="s">
        <v>58</v>
      </c>
      <c r="I145">
        <v>2</v>
      </c>
      <c r="J145">
        <v>2</v>
      </c>
      <c r="K145">
        <v>0</v>
      </c>
      <c r="L145">
        <v>10.19</v>
      </c>
      <c r="M145">
        <v>39666</v>
      </c>
      <c r="N145">
        <v>22</v>
      </c>
      <c r="O145">
        <v>3</v>
      </c>
      <c r="P145">
        <v>3</v>
      </c>
      <c r="Q145">
        <v>3</v>
      </c>
      <c r="R145">
        <v>3</v>
      </c>
      <c r="S145">
        <v>3</v>
      </c>
      <c r="T145">
        <v>3</v>
      </c>
      <c r="U145">
        <v>3</v>
      </c>
      <c r="V145">
        <v>1</v>
      </c>
      <c r="W145">
        <v>2</v>
      </c>
      <c r="X145">
        <v>3</v>
      </c>
      <c r="Y145">
        <v>2</v>
      </c>
      <c r="Z145">
        <v>2</v>
      </c>
      <c r="AA145">
        <v>2</v>
      </c>
      <c r="AB145">
        <v>2</v>
      </c>
      <c r="AC145">
        <v>1</v>
      </c>
      <c r="AD145">
        <v>0</v>
      </c>
      <c r="AE145">
        <v>0</v>
      </c>
      <c r="AF145">
        <v>2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1442390.88</v>
      </c>
      <c r="AM145">
        <v>1858043.12</v>
      </c>
      <c r="AN145">
        <v>5945442.5</v>
      </c>
      <c r="AO145">
        <v>6837624.5</v>
      </c>
      <c r="AP145">
        <v>2659295.5</v>
      </c>
      <c r="AQ145">
        <v>2652999.5</v>
      </c>
      <c r="AR145">
        <v>2881935.5</v>
      </c>
      <c r="AS145">
        <v>1185959.5</v>
      </c>
      <c r="AT145">
        <v>72366.880000000005</v>
      </c>
      <c r="AU145">
        <v>1315640.1200000001</v>
      </c>
      <c r="AV145">
        <v>4307313.5</v>
      </c>
      <c r="AW145">
        <v>2449870</v>
      </c>
      <c r="AX145">
        <v>1575850.25</v>
      </c>
      <c r="AY145">
        <v>1531525</v>
      </c>
      <c r="AZ145">
        <v>1567748.75</v>
      </c>
      <c r="BA145">
        <v>355214.12</v>
      </c>
    </row>
    <row r="146" spans="1:53">
      <c r="A146">
        <v>16866</v>
      </c>
      <c r="B146" t="s">
        <v>655</v>
      </c>
      <c r="C146" t="s">
        <v>656</v>
      </c>
      <c r="D146" t="s">
        <v>655</v>
      </c>
      <c r="F146" t="s">
        <v>657</v>
      </c>
      <c r="G146">
        <v>71.509</v>
      </c>
      <c r="H146" t="s">
        <v>58</v>
      </c>
      <c r="I146">
        <v>2</v>
      </c>
      <c r="J146">
        <v>1</v>
      </c>
      <c r="K146">
        <v>0</v>
      </c>
      <c r="L146">
        <v>6.19</v>
      </c>
      <c r="M146">
        <v>46587</v>
      </c>
      <c r="N146">
        <v>20</v>
      </c>
      <c r="O146">
        <v>2</v>
      </c>
      <c r="P146">
        <v>2</v>
      </c>
      <c r="Q146">
        <v>2</v>
      </c>
      <c r="R146">
        <v>2</v>
      </c>
      <c r="S146">
        <v>9</v>
      </c>
      <c r="T146">
        <v>9</v>
      </c>
      <c r="U146">
        <v>2</v>
      </c>
      <c r="V146">
        <v>1</v>
      </c>
      <c r="W146">
        <v>1</v>
      </c>
      <c r="X146">
        <v>1</v>
      </c>
      <c r="Y146">
        <v>2</v>
      </c>
      <c r="Z146">
        <v>2</v>
      </c>
      <c r="AA146">
        <v>2</v>
      </c>
      <c r="AB146">
        <v>2</v>
      </c>
      <c r="AC146">
        <v>2</v>
      </c>
      <c r="AD146">
        <v>0</v>
      </c>
      <c r="AE146">
        <v>0</v>
      </c>
      <c r="AF146">
        <v>0</v>
      </c>
      <c r="AG146">
        <v>2</v>
      </c>
      <c r="AH146">
        <v>2</v>
      </c>
      <c r="AI146">
        <v>2</v>
      </c>
      <c r="AJ146">
        <v>1</v>
      </c>
      <c r="AK146">
        <v>2</v>
      </c>
      <c r="AL146">
        <v>598358.93999999994</v>
      </c>
      <c r="AM146">
        <v>485248.84</v>
      </c>
      <c r="AN146">
        <v>1351189.38</v>
      </c>
      <c r="AO146">
        <v>4020858.75</v>
      </c>
      <c r="AP146">
        <v>2030545.5</v>
      </c>
      <c r="AQ146">
        <v>2268609</v>
      </c>
      <c r="AR146">
        <v>1822648.5</v>
      </c>
      <c r="AS146">
        <v>2836309.25</v>
      </c>
      <c r="AT146">
        <v>47621.71</v>
      </c>
      <c r="AU146">
        <v>31420.07</v>
      </c>
      <c r="AV146">
        <v>20857.02</v>
      </c>
      <c r="AW146">
        <v>1668451.38</v>
      </c>
      <c r="AX146">
        <v>1513152.12</v>
      </c>
      <c r="AY146">
        <v>1550471.38</v>
      </c>
      <c r="AZ146">
        <v>1149379.25</v>
      </c>
      <c r="BA146">
        <v>1566419.5</v>
      </c>
    </row>
    <row r="147" spans="1:53">
      <c r="A147">
        <v>16850</v>
      </c>
      <c r="B147" t="s">
        <v>658</v>
      </c>
      <c r="C147" t="s">
        <v>659</v>
      </c>
      <c r="D147" t="s">
        <v>660</v>
      </c>
      <c r="F147" t="s">
        <v>661</v>
      </c>
      <c r="G147">
        <v>70.578999999999994</v>
      </c>
      <c r="H147" t="s">
        <v>58</v>
      </c>
      <c r="I147">
        <v>2</v>
      </c>
      <c r="J147">
        <v>2</v>
      </c>
      <c r="K147">
        <v>0</v>
      </c>
      <c r="L147">
        <v>13.02</v>
      </c>
      <c r="M147">
        <v>37126</v>
      </c>
      <c r="N147">
        <v>12</v>
      </c>
      <c r="O147">
        <v>4</v>
      </c>
      <c r="P147">
        <v>4</v>
      </c>
      <c r="Q147">
        <v>4</v>
      </c>
      <c r="R147">
        <v>4</v>
      </c>
      <c r="S147">
        <v>18</v>
      </c>
      <c r="T147">
        <v>18</v>
      </c>
      <c r="U147">
        <v>4</v>
      </c>
      <c r="V147">
        <v>3</v>
      </c>
      <c r="W147">
        <v>3</v>
      </c>
      <c r="X147">
        <v>4</v>
      </c>
      <c r="Y147">
        <v>4</v>
      </c>
      <c r="Z147">
        <v>4</v>
      </c>
      <c r="AA147">
        <v>4</v>
      </c>
      <c r="AB147">
        <v>4</v>
      </c>
      <c r="AC147">
        <v>4</v>
      </c>
      <c r="AD147">
        <v>0</v>
      </c>
      <c r="AE147">
        <v>2</v>
      </c>
      <c r="AF147">
        <v>1</v>
      </c>
      <c r="AG147">
        <v>2</v>
      </c>
      <c r="AH147">
        <v>3</v>
      </c>
      <c r="AI147">
        <v>3</v>
      </c>
      <c r="AJ147">
        <v>4</v>
      </c>
      <c r="AK147">
        <v>4</v>
      </c>
      <c r="AL147">
        <v>6091010</v>
      </c>
      <c r="AM147">
        <v>5552329</v>
      </c>
      <c r="AN147">
        <v>18346404</v>
      </c>
      <c r="AO147">
        <v>21860610</v>
      </c>
      <c r="AP147">
        <v>10866882</v>
      </c>
      <c r="AQ147">
        <v>11228190</v>
      </c>
      <c r="AR147">
        <v>10924322</v>
      </c>
      <c r="AS147">
        <v>11051464</v>
      </c>
      <c r="AT147">
        <v>6323740</v>
      </c>
      <c r="AU147">
        <v>5495984</v>
      </c>
      <c r="AV147">
        <v>8823807</v>
      </c>
      <c r="AW147">
        <v>7475739</v>
      </c>
      <c r="AX147">
        <v>6451250.5</v>
      </c>
      <c r="AY147">
        <v>6124510</v>
      </c>
      <c r="AZ147">
        <v>5563957</v>
      </c>
      <c r="BA147">
        <v>5030342</v>
      </c>
    </row>
    <row r="148" spans="1:53">
      <c r="A148">
        <v>16812</v>
      </c>
      <c r="B148" t="s">
        <v>662</v>
      </c>
      <c r="C148" t="s">
        <v>663</v>
      </c>
      <c r="D148" t="s">
        <v>664</v>
      </c>
      <c r="F148" t="s">
        <v>665</v>
      </c>
      <c r="G148">
        <v>69.05</v>
      </c>
      <c r="H148" t="s">
        <v>58</v>
      </c>
      <c r="I148">
        <v>2</v>
      </c>
      <c r="J148">
        <v>3</v>
      </c>
      <c r="K148">
        <v>0</v>
      </c>
      <c r="L148">
        <v>22.39</v>
      </c>
      <c r="M148">
        <v>7276</v>
      </c>
      <c r="N148">
        <v>6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Y148">
        <v>1</v>
      </c>
      <c r="AC148">
        <v>1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2789542.5</v>
      </c>
      <c r="AM148">
        <v>2557843.5</v>
      </c>
      <c r="AO148">
        <v>2975933</v>
      </c>
      <c r="AS148">
        <v>1254802.25</v>
      </c>
      <c r="AT148">
        <v>2789542.5</v>
      </c>
      <c r="AU148">
        <v>2654808.5</v>
      </c>
      <c r="AV148">
        <v>374615.16</v>
      </c>
      <c r="AW148">
        <v>995774.5</v>
      </c>
      <c r="AX148">
        <v>278828.78000000003</v>
      </c>
      <c r="AY148">
        <v>249615.83</v>
      </c>
      <c r="AZ148">
        <v>274135.90999999997</v>
      </c>
      <c r="BA148">
        <v>575598.56000000006</v>
      </c>
    </row>
    <row r="149" spans="1:53">
      <c r="A149">
        <v>16670</v>
      </c>
      <c r="B149" t="s">
        <v>666</v>
      </c>
      <c r="C149" t="s">
        <v>667</v>
      </c>
      <c r="D149" t="s">
        <v>668</v>
      </c>
      <c r="F149" t="s">
        <v>669</v>
      </c>
      <c r="G149">
        <v>65.888000000000005</v>
      </c>
      <c r="H149" t="s">
        <v>58</v>
      </c>
      <c r="I149">
        <v>2</v>
      </c>
      <c r="J149">
        <v>19</v>
      </c>
      <c r="K149">
        <v>0</v>
      </c>
      <c r="L149">
        <v>8.51</v>
      </c>
      <c r="M149">
        <v>41043</v>
      </c>
      <c r="N149">
        <v>17</v>
      </c>
      <c r="O149">
        <v>3</v>
      </c>
      <c r="P149">
        <v>3</v>
      </c>
      <c r="Q149">
        <v>3</v>
      </c>
      <c r="R149">
        <v>3</v>
      </c>
      <c r="S149">
        <v>18</v>
      </c>
      <c r="T149">
        <v>18</v>
      </c>
      <c r="U149">
        <v>3</v>
      </c>
      <c r="V149">
        <v>2</v>
      </c>
      <c r="W149">
        <v>2</v>
      </c>
      <c r="X149">
        <v>3</v>
      </c>
      <c r="Y149">
        <v>3</v>
      </c>
      <c r="Z149">
        <v>3</v>
      </c>
      <c r="AA149">
        <v>3</v>
      </c>
      <c r="AB149">
        <v>3</v>
      </c>
      <c r="AC149">
        <v>3</v>
      </c>
      <c r="AD149">
        <v>0</v>
      </c>
      <c r="AE149">
        <v>0</v>
      </c>
      <c r="AF149">
        <v>2</v>
      </c>
      <c r="AG149">
        <v>3</v>
      </c>
      <c r="AH149">
        <v>2</v>
      </c>
      <c r="AI149">
        <v>4</v>
      </c>
      <c r="AJ149">
        <v>4</v>
      </c>
      <c r="AK149">
        <v>3</v>
      </c>
      <c r="AL149">
        <v>2397378.75</v>
      </c>
      <c r="AM149">
        <v>2499497</v>
      </c>
      <c r="AN149">
        <v>10985312</v>
      </c>
      <c r="AO149">
        <v>11765584</v>
      </c>
      <c r="AP149">
        <v>5035711</v>
      </c>
      <c r="AQ149">
        <v>5697196</v>
      </c>
      <c r="AR149">
        <v>5555770</v>
      </c>
      <c r="AS149">
        <v>5872357.5</v>
      </c>
      <c r="AT149">
        <v>2116047.5</v>
      </c>
      <c r="AU149">
        <v>2255379.5</v>
      </c>
      <c r="AV149">
        <v>5165649.5</v>
      </c>
      <c r="AW149">
        <v>4086797</v>
      </c>
      <c r="AX149">
        <v>3229521</v>
      </c>
      <c r="AY149">
        <v>3345274</v>
      </c>
      <c r="AZ149">
        <v>2845927.5</v>
      </c>
      <c r="BA149">
        <v>2691317</v>
      </c>
    </row>
    <row r="150" spans="1:53">
      <c r="A150">
        <v>16713</v>
      </c>
      <c r="B150" t="s">
        <v>670</v>
      </c>
      <c r="C150" t="s">
        <v>671</v>
      </c>
      <c r="D150" t="s">
        <v>672</v>
      </c>
      <c r="F150" t="s">
        <v>673</v>
      </c>
      <c r="G150">
        <v>64.355999999999995</v>
      </c>
      <c r="H150" t="s">
        <v>58</v>
      </c>
      <c r="I150">
        <v>2</v>
      </c>
      <c r="J150">
        <v>18</v>
      </c>
      <c r="K150">
        <v>0</v>
      </c>
      <c r="L150">
        <v>42.31</v>
      </c>
      <c r="M150">
        <v>8639</v>
      </c>
      <c r="N150">
        <v>3</v>
      </c>
      <c r="O150">
        <v>4</v>
      </c>
      <c r="P150">
        <v>4</v>
      </c>
      <c r="Q150">
        <v>4</v>
      </c>
      <c r="R150">
        <v>4</v>
      </c>
      <c r="S150">
        <v>24</v>
      </c>
      <c r="T150">
        <v>24</v>
      </c>
      <c r="U150">
        <v>4</v>
      </c>
      <c r="V150">
        <v>3</v>
      </c>
      <c r="W150">
        <v>3</v>
      </c>
      <c r="X150">
        <v>3</v>
      </c>
      <c r="Y150">
        <v>4</v>
      </c>
      <c r="Z150">
        <v>3</v>
      </c>
      <c r="AA150">
        <v>4</v>
      </c>
      <c r="AB150">
        <v>4</v>
      </c>
      <c r="AC150">
        <v>4</v>
      </c>
      <c r="AD150">
        <v>7</v>
      </c>
      <c r="AE150">
        <v>3</v>
      </c>
      <c r="AF150">
        <v>4</v>
      </c>
      <c r="AG150">
        <v>4</v>
      </c>
      <c r="AH150">
        <v>2</v>
      </c>
      <c r="AI150">
        <v>1</v>
      </c>
      <c r="AJ150">
        <v>1</v>
      </c>
      <c r="AK150">
        <v>2</v>
      </c>
      <c r="AL150">
        <v>34334744</v>
      </c>
      <c r="AM150">
        <v>33400920</v>
      </c>
      <c r="AN150">
        <v>28864970</v>
      </c>
      <c r="AO150">
        <v>38336008</v>
      </c>
      <c r="AP150">
        <v>15341479</v>
      </c>
      <c r="AQ150">
        <v>20886746</v>
      </c>
      <c r="AR150">
        <v>15852143</v>
      </c>
      <c r="AS150">
        <v>15140707</v>
      </c>
      <c r="AT150">
        <v>44004412</v>
      </c>
      <c r="AU150">
        <v>42407280</v>
      </c>
      <c r="AV150">
        <v>17942978</v>
      </c>
      <c r="AW150">
        <v>16134794</v>
      </c>
      <c r="AX150">
        <v>12276946</v>
      </c>
      <c r="AY150">
        <v>14494105</v>
      </c>
      <c r="AZ150">
        <v>10273623</v>
      </c>
      <c r="BA150">
        <v>9857787</v>
      </c>
    </row>
    <row r="151" spans="1:53">
      <c r="A151">
        <v>16784</v>
      </c>
      <c r="B151" t="s">
        <v>674</v>
      </c>
      <c r="C151" t="s">
        <v>675</v>
      </c>
      <c r="D151" t="s">
        <v>676</v>
      </c>
      <c r="F151" t="s">
        <v>677</v>
      </c>
      <c r="G151">
        <v>63.55</v>
      </c>
      <c r="H151" t="s">
        <v>58</v>
      </c>
      <c r="I151">
        <v>2</v>
      </c>
      <c r="J151">
        <v>8</v>
      </c>
      <c r="K151">
        <v>0</v>
      </c>
      <c r="L151">
        <v>8.27</v>
      </c>
      <c r="M151">
        <v>41117</v>
      </c>
      <c r="N151">
        <v>23</v>
      </c>
      <c r="O151">
        <v>5</v>
      </c>
      <c r="P151">
        <v>5</v>
      </c>
      <c r="Q151">
        <v>5</v>
      </c>
      <c r="R151">
        <v>5</v>
      </c>
      <c r="S151">
        <v>19</v>
      </c>
      <c r="T151">
        <v>19</v>
      </c>
      <c r="U151">
        <v>5</v>
      </c>
      <c r="V151">
        <v>3</v>
      </c>
      <c r="W151">
        <v>4</v>
      </c>
      <c r="X151">
        <v>5</v>
      </c>
      <c r="Y151">
        <v>5</v>
      </c>
      <c r="Z151">
        <v>5</v>
      </c>
      <c r="AA151">
        <v>5</v>
      </c>
      <c r="AB151">
        <v>3</v>
      </c>
      <c r="AC151">
        <v>4</v>
      </c>
      <c r="AD151">
        <v>2</v>
      </c>
      <c r="AE151">
        <v>2</v>
      </c>
      <c r="AF151">
        <v>4</v>
      </c>
      <c r="AG151">
        <v>5</v>
      </c>
      <c r="AH151">
        <v>3</v>
      </c>
      <c r="AI151">
        <v>3</v>
      </c>
      <c r="AJ151">
        <v>0</v>
      </c>
      <c r="AK151">
        <v>0</v>
      </c>
      <c r="AL151">
        <v>14944800</v>
      </c>
      <c r="AM151">
        <v>23513036</v>
      </c>
      <c r="AN151">
        <v>22226648</v>
      </c>
      <c r="AO151">
        <v>20722722</v>
      </c>
      <c r="AP151">
        <v>20231604</v>
      </c>
      <c r="AQ151">
        <v>17980348</v>
      </c>
      <c r="AR151">
        <v>10554956</v>
      </c>
      <c r="AS151">
        <v>10792353</v>
      </c>
      <c r="AT151">
        <v>2022768.38</v>
      </c>
      <c r="AU151">
        <v>19406292</v>
      </c>
      <c r="AV151">
        <v>17262058</v>
      </c>
      <c r="AW151">
        <v>11552267</v>
      </c>
      <c r="AX151">
        <v>15025843</v>
      </c>
      <c r="AY151">
        <v>12982031</v>
      </c>
      <c r="AZ151">
        <v>6517047.5</v>
      </c>
      <c r="BA151">
        <v>6927917.5</v>
      </c>
    </row>
    <row r="152" spans="1:53">
      <c r="A152">
        <v>16736</v>
      </c>
      <c r="B152" t="s">
        <v>678</v>
      </c>
      <c r="C152" t="s">
        <v>679</v>
      </c>
      <c r="D152" t="s">
        <v>680</v>
      </c>
      <c r="F152" t="s">
        <v>681</v>
      </c>
      <c r="G152">
        <v>61.521999999999998</v>
      </c>
      <c r="H152" t="s">
        <v>58</v>
      </c>
      <c r="I152">
        <v>2</v>
      </c>
      <c r="J152">
        <v>3</v>
      </c>
      <c r="K152">
        <v>0</v>
      </c>
      <c r="L152">
        <v>39.58</v>
      </c>
      <c r="M152">
        <v>4809</v>
      </c>
      <c r="N152">
        <v>2</v>
      </c>
      <c r="O152">
        <v>1</v>
      </c>
      <c r="P152">
        <v>1</v>
      </c>
      <c r="Q152">
        <v>1</v>
      </c>
      <c r="R152">
        <v>1</v>
      </c>
      <c r="S152">
        <v>8</v>
      </c>
      <c r="T152">
        <v>8</v>
      </c>
      <c r="U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0</v>
      </c>
      <c r="AE152">
        <v>2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M152">
        <v>2512229.25</v>
      </c>
      <c r="AN152">
        <v>1407074.88</v>
      </c>
      <c r="AO152">
        <v>1547342</v>
      </c>
      <c r="AP152">
        <v>1134925</v>
      </c>
      <c r="AQ152">
        <v>1268150.8799999999</v>
      </c>
      <c r="AR152">
        <v>750676.19</v>
      </c>
      <c r="AS152">
        <v>650210.62</v>
      </c>
      <c r="AT152">
        <v>99934.65</v>
      </c>
      <c r="AU152">
        <v>2607465</v>
      </c>
      <c r="AV152">
        <v>672361</v>
      </c>
      <c r="AW152">
        <v>517754.84</v>
      </c>
      <c r="AX152">
        <v>685145.38</v>
      </c>
      <c r="AY152">
        <v>696262.69</v>
      </c>
      <c r="AZ152">
        <v>383112.06</v>
      </c>
      <c r="BA152">
        <v>298262.38</v>
      </c>
    </row>
    <row r="153" spans="1:53">
      <c r="A153">
        <v>16848</v>
      </c>
      <c r="B153" t="s">
        <v>682</v>
      </c>
      <c r="C153" t="s">
        <v>683</v>
      </c>
      <c r="D153" t="s">
        <v>682</v>
      </c>
      <c r="E153" t="s">
        <v>684</v>
      </c>
      <c r="F153" t="s">
        <v>685</v>
      </c>
      <c r="G153">
        <v>59.481000000000002</v>
      </c>
      <c r="H153" t="s">
        <v>58</v>
      </c>
      <c r="I153">
        <v>2</v>
      </c>
      <c r="J153">
        <v>1</v>
      </c>
      <c r="K153">
        <v>2</v>
      </c>
      <c r="L153">
        <v>49.12</v>
      </c>
      <c r="M153">
        <v>6547</v>
      </c>
      <c r="N153">
        <v>4</v>
      </c>
      <c r="O153">
        <v>3</v>
      </c>
      <c r="P153">
        <v>3</v>
      </c>
      <c r="Q153">
        <v>3</v>
      </c>
      <c r="R153">
        <v>3</v>
      </c>
      <c r="S153">
        <v>11</v>
      </c>
      <c r="T153">
        <v>11</v>
      </c>
      <c r="U153">
        <v>3</v>
      </c>
      <c r="V153">
        <v>2</v>
      </c>
      <c r="W153">
        <v>2</v>
      </c>
      <c r="X153">
        <v>3</v>
      </c>
      <c r="Y153">
        <v>3</v>
      </c>
      <c r="Z153">
        <v>3</v>
      </c>
      <c r="AA153">
        <v>3</v>
      </c>
      <c r="AB153">
        <v>3</v>
      </c>
      <c r="AC153">
        <v>3</v>
      </c>
      <c r="AD153">
        <v>0</v>
      </c>
      <c r="AE153">
        <v>2</v>
      </c>
      <c r="AF153">
        <v>0</v>
      </c>
      <c r="AG153">
        <v>1</v>
      </c>
      <c r="AH153">
        <v>3</v>
      </c>
      <c r="AI153">
        <v>3</v>
      </c>
      <c r="AJ153">
        <v>1</v>
      </c>
      <c r="AK153">
        <v>1</v>
      </c>
      <c r="AL153">
        <v>5473524</v>
      </c>
      <c r="AM153">
        <v>7242350.5</v>
      </c>
      <c r="AN153">
        <v>4794818</v>
      </c>
      <c r="AO153">
        <v>5602085.5</v>
      </c>
      <c r="AP153">
        <v>7622089</v>
      </c>
      <c r="AQ153">
        <v>7469263.5</v>
      </c>
      <c r="AR153">
        <v>3635681</v>
      </c>
      <c r="AS153">
        <v>3836538</v>
      </c>
      <c r="AT153">
        <v>5464561</v>
      </c>
      <c r="AU153">
        <v>7653844</v>
      </c>
      <c r="AV153">
        <v>2273727.5</v>
      </c>
      <c r="AW153">
        <v>1945413.75</v>
      </c>
      <c r="AX153">
        <v>4572569</v>
      </c>
      <c r="AY153">
        <v>4061557.5</v>
      </c>
      <c r="AZ153">
        <v>1728634.75</v>
      </c>
      <c r="BA153">
        <v>1797017.38</v>
      </c>
    </row>
    <row r="154" spans="1:53">
      <c r="A154">
        <v>16663</v>
      </c>
      <c r="B154" t="s">
        <v>686</v>
      </c>
      <c r="C154" t="s">
        <v>687</v>
      </c>
      <c r="D154" t="s">
        <v>688</v>
      </c>
      <c r="F154" t="s">
        <v>689</v>
      </c>
      <c r="G154">
        <v>58.171999999999997</v>
      </c>
      <c r="H154" t="s">
        <v>58</v>
      </c>
      <c r="I154">
        <v>2</v>
      </c>
      <c r="J154">
        <v>19</v>
      </c>
      <c r="K154">
        <v>0</v>
      </c>
      <c r="L154">
        <v>69.569999999999993</v>
      </c>
      <c r="M154">
        <v>5380</v>
      </c>
      <c r="N154">
        <v>1</v>
      </c>
      <c r="O154">
        <v>6</v>
      </c>
      <c r="P154">
        <v>6</v>
      </c>
      <c r="Q154">
        <v>6</v>
      </c>
      <c r="R154">
        <v>6</v>
      </c>
      <c r="S154">
        <v>163</v>
      </c>
      <c r="T154">
        <v>163</v>
      </c>
      <c r="U154">
        <v>6</v>
      </c>
      <c r="V154">
        <v>3</v>
      </c>
      <c r="W154">
        <v>6</v>
      </c>
      <c r="X154">
        <v>6</v>
      </c>
      <c r="Y154">
        <v>6</v>
      </c>
      <c r="Z154">
        <v>6</v>
      </c>
      <c r="AA154">
        <v>6</v>
      </c>
      <c r="AB154">
        <v>6</v>
      </c>
      <c r="AC154">
        <v>6</v>
      </c>
      <c r="AD154">
        <v>21</v>
      </c>
      <c r="AE154">
        <v>32</v>
      </c>
      <c r="AF154">
        <v>19</v>
      </c>
      <c r="AG154">
        <v>20</v>
      </c>
      <c r="AH154">
        <v>20</v>
      </c>
      <c r="AI154">
        <v>16</v>
      </c>
      <c r="AJ154">
        <v>20</v>
      </c>
      <c r="AK154">
        <v>15</v>
      </c>
      <c r="AL154">
        <v>174242048</v>
      </c>
      <c r="AM154">
        <v>242857312</v>
      </c>
      <c r="AN154">
        <v>203804928</v>
      </c>
      <c r="AO154">
        <v>280668192</v>
      </c>
      <c r="AP154">
        <v>128697400</v>
      </c>
      <c r="AQ154">
        <v>144151312</v>
      </c>
      <c r="AR154">
        <v>161523536</v>
      </c>
      <c r="AS154">
        <v>147686464</v>
      </c>
      <c r="AT154">
        <v>112834624</v>
      </c>
      <c r="AU154">
        <v>174845328</v>
      </c>
      <c r="AV154">
        <v>123016656</v>
      </c>
      <c r="AW154">
        <v>165533408</v>
      </c>
      <c r="AX154">
        <v>117450032</v>
      </c>
      <c r="AY154">
        <v>118143384</v>
      </c>
      <c r="AZ154">
        <v>118221440</v>
      </c>
      <c r="BA154">
        <v>110704376</v>
      </c>
    </row>
    <row r="155" spans="1:53">
      <c r="A155">
        <v>16875</v>
      </c>
      <c r="B155" t="s">
        <v>690</v>
      </c>
      <c r="C155" t="s">
        <v>691</v>
      </c>
      <c r="D155" t="s">
        <v>692</v>
      </c>
      <c r="F155" t="s">
        <v>693</v>
      </c>
      <c r="G155">
        <v>55.841000000000001</v>
      </c>
      <c r="H155" t="s">
        <v>58</v>
      </c>
      <c r="I155">
        <v>2</v>
      </c>
      <c r="J155">
        <v>2</v>
      </c>
      <c r="K155">
        <v>0</v>
      </c>
      <c r="L155">
        <v>10.44</v>
      </c>
      <c r="M155">
        <v>18110</v>
      </c>
      <c r="N155">
        <v>4</v>
      </c>
      <c r="O155">
        <v>1</v>
      </c>
      <c r="P155">
        <v>1</v>
      </c>
      <c r="Q155">
        <v>1</v>
      </c>
      <c r="R155">
        <v>1</v>
      </c>
      <c r="S155">
        <v>6</v>
      </c>
      <c r="T155">
        <v>6</v>
      </c>
      <c r="U155">
        <v>1</v>
      </c>
      <c r="V155">
        <v>1</v>
      </c>
      <c r="W155">
        <v>1</v>
      </c>
      <c r="X155">
        <v>1</v>
      </c>
      <c r="Y155">
        <v>1</v>
      </c>
      <c r="AD155">
        <v>2</v>
      </c>
      <c r="AE155">
        <v>2</v>
      </c>
      <c r="AF155">
        <v>1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3461892</v>
      </c>
      <c r="AM155">
        <v>3826781</v>
      </c>
      <c r="AN155">
        <v>2262206.75</v>
      </c>
      <c r="AO155">
        <v>2774975.5</v>
      </c>
      <c r="AT155">
        <v>3461892</v>
      </c>
      <c r="AU155">
        <v>3971849.75</v>
      </c>
      <c r="AV155">
        <v>1080979.8799999999</v>
      </c>
      <c r="AW155">
        <v>928532.25</v>
      </c>
      <c r="AX155">
        <v>278828.78000000003</v>
      </c>
      <c r="AY155">
        <v>249615.83</v>
      </c>
      <c r="AZ155">
        <v>274135.90999999997</v>
      </c>
      <c r="BA155">
        <v>275347</v>
      </c>
    </row>
    <row r="156" spans="1:53">
      <c r="A156">
        <v>16796</v>
      </c>
      <c r="B156" t="s">
        <v>694</v>
      </c>
      <c r="C156" t="s">
        <v>695</v>
      </c>
      <c r="D156" t="s">
        <v>694</v>
      </c>
      <c r="E156" t="s">
        <v>696</v>
      </c>
      <c r="F156" t="s">
        <v>697</v>
      </c>
      <c r="G156">
        <v>51.302999999999997</v>
      </c>
      <c r="H156" t="s">
        <v>58</v>
      </c>
      <c r="I156">
        <v>2</v>
      </c>
      <c r="J156">
        <v>1</v>
      </c>
      <c r="K156">
        <v>3</v>
      </c>
      <c r="L156">
        <v>18.059999999999999</v>
      </c>
      <c r="M156">
        <v>16016</v>
      </c>
      <c r="N156">
        <v>8</v>
      </c>
      <c r="O156">
        <v>2</v>
      </c>
      <c r="P156">
        <v>2</v>
      </c>
      <c r="Q156">
        <v>2</v>
      </c>
      <c r="R156">
        <v>2</v>
      </c>
      <c r="S156">
        <v>4</v>
      </c>
      <c r="T156">
        <v>4</v>
      </c>
      <c r="U156">
        <v>2</v>
      </c>
      <c r="V156">
        <v>1</v>
      </c>
      <c r="W156">
        <v>1</v>
      </c>
      <c r="X156">
        <v>2</v>
      </c>
      <c r="Y156">
        <v>2</v>
      </c>
      <c r="Z156">
        <v>2</v>
      </c>
      <c r="AA156">
        <v>2</v>
      </c>
      <c r="AB156">
        <v>1</v>
      </c>
      <c r="AC156">
        <v>2</v>
      </c>
      <c r="AD156">
        <v>0</v>
      </c>
      <c r="AE156">
        <v>1</v>
      </c>
      <c r="AF156">
        <v>0</v>
      </c>
      <c r="AG156">
        <v>0</v>
      </c>
      <c r="AH156">
        <v>2</v>
      </c>
      <c r="AI156">
        <v>1</v>
      </c>
      <c r="AJ156">
        <v>0</v>
      </c>
      <c r="AK156">
        <v>0</v>
      </c>
      <c r="AL156">
        <v>1808708.38</v>
      </c>
      <c r="AM156">
        <v>1527824.5</v>
      </c>
      <c r="AN156">
        <v>1288882.6200000001</v>
      </c>
      <c r="AO156">
        <v>1557511.5</v>
      </c>
      <c r="AP156">
        <v>1860812.25</v>
      </c>
      <c r="AQ156">
        <v>1693274</v>
      </c>
      <c r="AR156">
        <v>255525.62</v>
      </c>
      <c r="AS156">
        <v>828636.38</v>
      </c>
      <c r="AT156">
        <v>247882.7</v>
      </c>
      <c r="AU156">
        <v>161474.17000000001</v>
      </c>
      <c r="AV156">
        <v>1086984.75</v>
      </c>
      <c r="AW156">
        <v>895505.56</v>
      </c>
      <c r="AX156">
        <v>1857177.38</v>
      </c>
      <c r="AY156">
        <v>1476331.5</v>
      </c>
      <c r="AZ156">
        <v>274135.90999999997</v>
      </c>
      <c r="BA156">
        <v>447633.47</v>
      </c>
    </row>
    <row r="157" spans="1:53">
      <c r="A157">
        <v>16656</v>
      </c>
      <c r="B157" t="s">
        <v>698</v>
      </c>
      <c r="C157" t="s">
        <v>699</v>
      </c>
      <c r="D157" t="s">
        <v>700</v>
      </c>
      <c r="F157" t="s">
        <v>701</v>
      </c>
      <c r="G157">
        <v>50.119</v>
      </c>
      <c r="H157" t="s">
        <v>58</v>
      </c>
      <c r="I157">
        <v>2</v>
      </c>
      <c r="J157">
        <v>21</v>
      </c>
      <c r="K157">
        <v>0</v>
      </c>
      <c r="L157">
        <v>11.11</v>
      </c>
      <c r="M157">
        <v>48178</v>
      </c>
      <c r="N157">
        <v>30</v>
      </c>
      <c r="O157">
        <v>4</v>
      </c>
      <c r="P157">
        <v>4</v>
      </c>
      <c r="Q157">
        <v>4</v>
      </c>
      <c r="R157">
        <v>4</v>
      </c>
      <c r="S157">
        <v>12</v>
      </c>
      <c r="T157">
        <v>12</v>
      </c>
      <c r="U157">
        <v>4</v>
      </c>
      <c r="V157">
        <v>3</v>
      </c>
      <c r="W157">
        <v>3</v>
      </c>
      <c r="X157">
        <v>4</v>
      </c>
      <c r="Y157">
        <v>4</v>
      </c>
      <c r="Z157">
        <v>4</v>
      </c>
      <c r="AA157">
        <v>4</v>
      </c>
      <c r="AB157">
        <v>4</v>
      </c>
      <c r="AC157">
        <v>4</v>
      </c>
      <c r="AD157">
        <v>1</v>
      </c>
      <c r="AE157">
        <v>2</v>
      </c>
      <c r="AF157">
        <v>2</v>
      </c>
      <c r="AG157">
        <v>3</v>
      </c>
      <c r="AH157">
        <v>1</v>
      </c>
      <c r="AI157">
        <v>1</v>
      </c>
      <c r="AJ157">
        <v>3</v>
      </c>
      <c r="AK157">
        <v>0</v>
      </c>
      <c r="AL157">
        <v>1761579.25</v>
      </c>
      <c r="AM157">
        <v>1493499</v>
      </c>
      <c r="AN157">
        <v>7474425.5</v>
      </c>
      <c r="AO157">
        <v>11524577</v>
      </c>
      <c r="AP157">
        <v>2563846.5</v>
      </c>
      <c r="AQ157">
        <v>3322075</v>
      </c>
      <c r="AR157">
        <v>3740797.5</v>
      </c>
      <c r="AS157">
        <v>3925793.75</v>
      </c>
      <c r="AT157">
        <v>1807202.5</v>
      </c>
      <c r="AU157">
        <v>1937371.12</v>
      </c>
      <c r="AV157">
        <v>3368597</v>
      </c>
      <c r="AW157">
        <v>3469757</v>
      </c>
      <c r="AX157">
        <v>1789741.38</v>
      </c>
      <c r="AY157">
        <v>1954857.5</v>
      </c>
      <c r="AZ157">
        <v>1914080.25</v>
      </c>
      <c r="BA157">
        <v>1693508</v>
      </c>
    </row>
    <row r="158" spans="1:53">
      <c r="A158">
        <v>16744</v>
      </c>
      <c r="B158" t="s">
        <v>702</v>
      </c>
      <c r="C158" t="s">
        <v>703</v>
      </c>
      <c r="D158" t="s">
        <v>704</v>
      </c>
      <c r="E158" t="s">
        <v>705</v>
      </c>
      <c r="F158" t="s">
        <v>706</v>
      </c>
      <c r="G158">
        <v>48.146999999999998</v>
      </c>
      <c r="H158" t="s">
        <v>58</v>
      </c>
      <c r="I158">
        <v>2</v>
      </c>
      <c r="J158">
        <v>18</v>
      </c>
      <c r="K158">
        <v>3</v>
      </c>
      <c r="L158">
        <v>4.24</v>
      </c>
      <c r="M158">
        <v>74228</v>
      </c>
      <c r="N158">
        <v>41</v>
      </c>
      <c r="O158">
        <v>3</v>
      </c>
      <c r="P158">
        <v>3</v>
      </c>
      <c r="Q158">
        <v>3</v>
      </c>
      <c r="R158">
        <v>3</v>
      </c>
      <c r="S158">
        <v>4</v>
      </c>
      <c r="T158">
        <v>4</v>
      </c>
      <c r="U158">
        <v>3</v>
      </c>
      <c r="V158">
        <v>3</v>
      </c>
      <c r="W158">
        <v>2</v>
      </c>
      <c r="X158">
        <v>3</v>
      </c>
      <c r="Y158">
        <v>3</v>
      </c>
      <c r="Z158">
        <v>3</v>
      </c>
      <c r="AA158">
        <v>3</v>
      </c>
      <c r="AB158">
        <v>3</v>
      </c>
      <c r="AC158">
        <v>3</v>
      </c>
      <c r="AD158">
        <v>2</v>
      </c>
      <c r="AE158">
        <v>1</v>
      </c>
      <c r="AF158">
        <v>3</v>
      </c>
      <c r="AG158">
        <v>1</v>
      </c>
      <c r="AH158">
        <v>2</v>
      </c>
      <c r="AI158">
        <v>3</v>
      </c>
      <c r="AJ158">
        <v>1</v>
      </c>
      <c r="AK158">
        <v>2</v>
      </c>
      <c r="AL158">
        <v>995579.75</v>
      </c>
      <c r="AM158">
        <v>498900.12</v>
      </c>
      <c r="AN158">
        <v>26672762</v>
      </c>
      <c r="AO158">
        <v>58031512</v>
      </c>
      <c r="AP158">
        <v>12525392</v>
      </c>
      <c r="AQ158">
        <v>13439301</v>
      </c>
      <c r="AR158">
        <v>18723254</v>
      </c>
      <c r="AS158">
        <v>15939012</v>
      </c>
      <c r="AT158">
        <v>6567529</v>
      </c>
      <c r="AU158">
        <v>349446.59</v>
      </c>
      <c r="AV158">
        <v>13082904</v>
      </c>
      <c r="AW158">
        <v>12258912</v>
      </c>
      <c r="AX158">
        <v>9515979</v>
      </c>
      <c r="AY158">
        <v>8518194</v>
      </c>
      <c r="AZ158">
        <v>7736031</v>
      </c>
      <c r="BA158">
        <v>8865815</v>
      </c>
    </row>
    <row r="159" spans="1:53">
      <c r="A159">
        <v>16879</v>
      </c>
      <c r="B159" t="s">
        <v>707</v>
      </c>
      <c r="C159" t="s">
        <v>708</v>
      </c>
      <c r="D159" t="s">
        <v>707</v>
      </c>
      <c r="F159" t="s">
        <v>709</v>
      </c>
      <c r="G159">
        <v>46.671999999999997</v>
      </c>
      <c r="H159" t="s">
        <v>58</v>
      </c>
      <c r="I159">
        <v>2</v>
      </c>
      <c r="J159">
        <v>1</v>
      </c>
      <c r="K159">
        <v>0</v>
      </c>
      <c r="L159">
        <v>2.2400000000000002</v>
      </c>
      <c r="M159">
        <v>85356</v>
      </c>
      <c r="N159">
        <v>50</v>
      </c>
      <c r="O159">
        <v>2</v>
      </c>
      <c r="P159">
        <v>2</v>
      </c>
      <c r="Q159">
        <v>2</v>
      </c>
      <c r="R159">
        <v>2</v>
      </c>
      <c r="S159">
        <v>10</v>
      </c>
      <c r="T159">
        <v>10</v>
      </c>
      <c r="U159">
        <v>2</v>
      </c>
      <c r="V159">
        <v>2</v>
      </c>
      <c r="W159">
        <v>2</v>
      </c>
      <c r="X159">
        <v>2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2</v>
      </c>
      <c r="AE159">
        <v>3</v>
      </c>
      <c r="AF159">
        <v>1</v>
      </c>
      <c r="AG159">
        <v>1</v>
      </c>
      <c r="AH159">
        <v>0</v>
      </c>
      <c r="AI159">
        <v>1</v>
      </c>
      <c r="AJ159">
        <v>1</v>
      </c>
      <c r="AK159">
        <v>1</v>
      </c>
      <c r="AL159">
        <v>11395344</v>
      </c>
      <c r="AM159">
        <v>13409068</v>
      </c>
      <c r="AN159">
        <v>7862918.5</v>
      </c>
      <c r="AO159">
        <v>9571113</v>
      </c>
      <c r="AP159">
        <v>11010917</v>
      </c>
      <c r="AQ159">
        <v>11755885</v>
      </c>
      <c r="AR159">
        <v>4979188</v>
      </c>
      <c r="AS159">
        <v>4639408.5</v>
      </c>
      <c r="AT159">
        <v>10796907</v>
      </c>
      <c r="AU159">
        <v>21932474</v>
      </c>
      <c r="AV159">
        <v>4576158</v>
      </c>
      <c r="AW159">
        <v>2182707.75</v>
      </c>
      <c r="AX159">
        <v>4525754</v>
      </c>
      <c r="AY159">
        <v>4396041.5</v>
      </c>
      <c r="AZ159">
        <v>1870457.25</v>
      </c>
      <c r="BA159">
        <v>1467217.5</v>
      </c>
    </row>
    <row r="160" spans="1:53">
      <c r="A160">
        <v>16790</v>
      </c>
      <c r="B160" t="s">
        <v>710</v>
      </c>
      <c r="C160" t="s">
        <v>711</v>
      </c>
      <c r="D160" t="s">
        <v>712</v>
      </c>
      <c r="F160" t="s">
        <v>713</v>
      </c>
      <c r="G160">
        <v>46.378</v>
      </c>
      <c r="H160" t="s">
        <v>58</v>
      </c>
      <c r="I160">
        <v>2</v>
      </c>
      <c r="J160">
        <v>3</v>
      </c>
      <c r="K160">
        <v>0</v>
      </c>
      <c r="L160">
        <v>34.44</v>
      </c>
      <c r="M160">
        <v>9225</v>
      </c>
      <c r="N160">
        <v>6</v>
      </c>
      <c r="O160">
        <v>3</v>
      </c>
      <c r="P160">
        <v>3</v>
      </c>
      <c r="Q160">
        <v>3</v>
      </c>
      <c r="R160">
        <v>3</v>
      </c>
      <c r="S160">
        <v>5</v>
      </c>
      <c r="T160">
        <v>5</v>
      </c>
      <c r="U160">
        <v>3</v>
      </c>
      <c r="V160">
        <v>1</v>
      </c>
      <c r="W160">
        <v>2</v>
      </c>
      <c r="X160">
        <v>1</v>
      </c>
      <c r="Y160">
        <v>2</v>
      </c>
      <c r="Z160">
        <v>2</v>
      </c>
      <c r="AA160">
        <v>2</v>
      </c>
      <c r="AB160">
        <v>2</v>
      </c>
      <c r="AC160">
        <v>1</v>
      </c>
      <c r="AD160">
        <v>1</v>
      </c>
      <c r="AE160">
        <v>2</v>
      </c>
      <c r="AF160">
        <v>0</v>
      </c>
      <c r="AG160">
        <v>1</v>
      </c>
      <c r="AH160">
        <v>1</v>
      </c>
      <c r="AI160">
        <v>0</v>
      </c>
      <c r="AJ160">
        <v>0</v>
      </c>
      <c r="AK160">
        <v>0</v>
      </c>
      <c r="AL160">
        <v>29750872</v>
      </c>
      <c r="AM160">
        <v>63027020</v>
      </c>
      <c r="AN160">
        <v>13740936</v>
      </c>
      <c r="AO160">
        <v>19424702</v>
      </c>
      <c r="AP160">
        <v>16771890</v>
      </c>
      <c r="AQ160">
        <v>16515109</v>
      </c>
      <c r="AR160">
        <v>6817893</v>
      </c>
      <c r="AS160">
        <v>4019618.75</v>
      </c>
      <c r="AT160">
        <v>587900.81000000006</v>
      </c>
      <c r="AU160">
        <v>60638084</v>
      </c>
      <c r="AV160">
        <v>300837.15999999997</v>
      </c>
      <c r="AW160">
        <v>13038441</v>
      </c>
      <c r="AX160">
        <v>21872242</v>
      </c>
      <c r="AY160">
        <v>19523688</v>
      </c>
      <c r="AZ160">
        <v>8610599</v>
      </c>
      <c r="BA160">
        <v>788144.44</v>
      </c>
    </row>
    <row r="161" spans="1:53">
      <c r="A161">
        <v>16881</v>
      </c>
      <c r="B161" t="s">
        <v>714</v>
      </c>
      <c r="C161" t="s">
        <v>715</v>
      </c>
      <c r="D161" t="s">
        <v>714</v>
      </c>
      <c r="F161" t="s">
        <v>716</v>
      </c>
      <c r="G161">
        <v>43.683999999999997</v>
      </c>
      <c r="H161" t="s">
        <v>58</v>
      </c>
      <c r="I161">
        <v>2</v>
      </c>
      <c r="J161">
        <v>1</v>
      </c>
      <c r="K161">
        <v>0</v>
      </c>
      <c r="L161">
        <v>4.33</v>
      </c>
      <c r="M161">
        <v>62063</v>
      </c>
      <c r="N161">
        <v>30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>
        <v>2</v>
      </c>
      <c r="V161">
        <v>2</v>
      </c>
      <c r="AD161">
        <v>2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1643194.25</v>
      </c>
      <c r="AT161">
        <v>1643194.25</v>
      </c>
      <c r="AU161">
        <v>151704.31</v>
      </c>
      <c r="AV161">
        <v>374615.16</v>
      </c>
      <c r="AW161">
        <v>360097.09</v>
      </c>
      <c r="AX161">
        <v>278828.78000000003</v>
      </c>
      <c r="AY161">
        <v>249615.83</v>
      </c>
      <c r="AZ161">
        <v>274135.90999999997</v>
      </c>
      <c r="BA161">
        <v>275347</v>
      </c>
    </row>
    <row r="162" spans="1:53">
      <c r="A162">
        <v>16828</v>
      </c>
      <c r="B162" t="s">
        <v>717</v>
      </c>
      <c r="C162" t="s">
        <v>718</v>
      </c>
      <c r="D162" t="s">
        <v>719</v>
      </c>
      <c r="F162" t="s">
        <v>720</v>
      </c>
      <c r="G162">
        <v>43.337000000000003</v>
      </c>
      <c r="H162" t="s">
        <v>58</v>
      </c>
      <c r="I162">
        <v>2</v>
      </c>
      <c r="J162">
        <v>2</v>
      </c>
      <c r="K162">
        <v>0</v>
      </c>
      <c r="L162">
        <v>13.38</v>
      </c>
      <c r="M162">
        <v>51542</v>
      </c>
      <c r="N162">
        <v>25</v>
      </c>
      <c r="O162">
        <v>6</v>
      </c>
      <c r="P162">
        <v>6</v>
      </c>
      <c r="Q162">
        <v>6</v>
      </c>
      <c r="R162">
        <v>6</v>
      </c>
      <c r="S162">
        <v>18</v>
      </c>
      <c r="T162">
        <v>18</v>
      </c>
      <c r="U162">
        <v>6</v>
      </c>
      <c r="V162">
        <v>3</v>
      </c>
      <c r="W162">
        <v>4</v>
      </c>
      <c r="X162">
        <v>6</v>
      </c>
      <c r="Y162">
        <v>6</v>
      </c>
      <c r="Z162">
        <v>6</v>
      </c>
      <c r="AA162">
        <v>6</v>
      </c>
      <c r="AB162">
        <v>5</v>
      </c>
      <c r="AC162">
        <v>6</v>
      </c>
      <c r="AD162">
        <v>0</v>
      </c>
      <c r="AE162">
        <v>0</v>
      </c>
      <c r="AF162">
        <v>3</v>
      </c>
      <c r="AG162">
        <v>4</v>
      </c>
      <c r="AH162">
        <v>3</v>
      </c>
      <c r="AI162">
        <v>3</v>
      </c>
      <c r="AJ162">
        <v>2</v>
      </c>
      <c r="AK162">
        <v>3</v>
      </c>
      <c r="AL162">
        <v>2314292</v>
      </c>
      <c r="AM162">
        <v>2549946</v>
      </c>
      <c r="AN162">
        <v>11351385</v>
      </c>
      <c r="AO162">
        <v>16426720</v>
      </c>
      <c r="AP162">
        <v>5953659</v>
      </c>
      <c r="AQ162">
        <v>6352479</v>
      </c>
      <c r="AR162">
        <v>4946668</v>
      </c>
      <c r="AS162">
        <v>8277753.5</v>
      </c>
      <c r="AT162">
        <v>281709.84000000003</v>
      </c>
      <c r="AU162">
        <v>1489541.38</v>
      </c>
      <c r="AV162">
        <v>7183500.5</v>
      </c>
      <c r="AW162">
        <v>6713306.5</v>
      </c>
      <c r="AX162">
        <v>4313160</v>
      </c>
      <c r="AY162">
        <v>4269262.5</v>
      </c>
      <c r="AZ162">
        <v>3350650.75</v>
      </c>
      <c r="BA162">
        <v>4411403</v>
      </c>
    </row>
    <row r="163" spans="1:53">
      <c r="A163">
        <v>16686</v>
      </c>
      <c r="B163" t="s">
        <v>721</v>
      </c>
      <c r="C163" t="s">
        <v>722</v>
      </c>
      <c r="D163" t="s">
        <v>723</v>
      </c>
      <c r="F163" t="s">
        <v>724</v>
      </c>
      <c r="G163">
        <v>43.335000000000001</v>
      </c>
      <c r="H163" t="s">
        <v>58</v>
      </c>
      <c r="I163">
        <v>2</v>
      </c>
      <c r="J163">
        <v>13</v>
      </c>
      <c r="K163">
        <v>0</v>
      </c>
      <c r="L163">
        <v>15.41</v>
      </c>
      <c r="M163">
        <v>32534</v>
      </c>
      <c r="N163">
        <v>14</v>
      </c>
      <c r="O163">
        <v>4</v>
      </c>
      <c r="P163">
        <v>4</v>
      </c>
      <c r="Q163">
        <v>4</v>
      </c>
      <c r="R163">
        <v>4</v>
      </c>
      <c r="S163">
        <v>21</v>
      </c>
      <c r="T163">
        <v>21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3</v>
      </c>
      <c r="AE163">
        <v>1</v>
      </c>
      <c r="AF163">
        <v>4</v>
      </c>
      <c r="AG163">
        <v>4</v>
      </c>
      <c r="AH163">
        <v>1</v>
      </c>
      <c r="AI163">
        <v>3</v>
      </c>
      <c r="AJ163">
        <v>3</v>
      </c>
      <c r="AK163">
        <v>3</v>
      </c>
      <c r="AL163">
        <v>9602965</v>
      </c>
      <c r="AM163">
        <v>4262272</v>
      </c>
      <c r="AN163">
        <v>17366782</v>
      </c>
      <c r="AO163">
        <v>23960668</v>
      </c>
      <c r="AP163">
        <v>10743535</v>
      </c>
      <c r="AQ163">
        <v>11095602</v>
      </c>
      <c r="AR163">
        <v>9816307</v>
      </c>
      <c r="AS163">
        <v>11774316</v>
      </c>
      <c r="AT163">
        <v>9227979</v>
      </c>
      <c r="AU163">
        <v>2133867.25</v>
      </c>
      <c r="AV163">
        <v>8877065</v>
      </c>
      <c r="AW163">
        <v>8766793</v>
      </c>
      <c r="AX163">
        <v>6890392</v>
      </c>
      <c r="AY163">
        <v>6404075.5</v>
      </c>
      <c r="AZ163">
        <v>4781575</v>
      </c>
      <c r="BA163">
        <v>5635775</v>
      </c>
    </row>
    <row r="164" spans="1:53">
      <c r="A164">
        <v>16838</v>
      </c>
      <c r="B164" t="s">
        <v>725</v>
      </c>
      <c r="C164" t="s">
        <v>726</v>
      </c>
      <c r="D164" t="s">
        <v>727</v>
      </c>
      <c r="F164" t="s">
        <v>728</v>
      </c>
      <c r="G164">
        <v>41.808999999999997</v>
      </c>
      <c r="H164" t="s">
        <v>58</v>
      </c>
      <c r="I164">
        <v>2</v>
      </c>
      <c r="J164">
        <v>4</v>
      </c>
      <c r="K164">
        <v>0</v>
      </c>
      <c r="L164">
        <v>46.38</v>
      </c>
      <c r="M164">
        <v>7463</v>
      </c>
      <c r="N164">
        <v>6</v>
      </c>
      <c r="O164">
        <v>3</v>
      </c>
      <c r="P164">
        <v>3</v>
      </c>
      <c r="Q164">
        <v>3</v>
      </c>
      <c r="R164">
        <v>3</v>
      </c>
      <c r="S164">
        <v>16</v>
      </c>
      <c r="T164">
        <v>16</v>
      </c>
      <c r="U164">
        <v>3</v>
      </c>
      <c r="V164">
        <v>3</v>
      </c>
      <c r="W164">
        <v>3</v>
      </c>
      <c r="X164">
        <v>3</v>
      </c>
      <c r="Y164">
        <v>3</v>
      </c>
      <c r="Z164">
        <v>3</v>
      </c>
      <c r="AA164">
        <v>3</v>
      </c>
      <c r="AB164">
        <v>3</v>
      </c>
      <c r="AC164">
        <v>3</v>
      </c>
      <c r="AD164">
        <v>5</v>
      </c>
      <c r="AE164">
        <v>0</v>
      </c>
      <c r="AF164">
        <v>3</v>
      </c>
      <c r="AG164">
        <v>3</v>
      </c>
      <c r="AH164">
        <v>2</v>
      </c>
      <c r="AI164">
        <v>3</v>
      </c>
      <c r="AJ164">
        <v>1</v>
      </c>
      <c r="AK164">
        <v>0</v>
      </c>
      <c r="AL164">
        <v>38866508</v>
      </c>
      <c r="AM164">
        <v>40134620</v>
      </c>
      <c r="AN164">
        <v>21477524</v>
      </c>
      <c r="AO164">
        <v>28120630</v>
      </c>
      <c r="AP164">
        <v>12826614</v>
      </c>
      <c r="AQ164">
        <v>13910340</v>
      </c>
      <c r="AR164">
        <v>9751811</v>
      </c>
      <c r="AS164">
        <v>8041654.5</v>
      </c>
      <c r="AT164">
        <v>39523676</v>
      </c>
      <c r="AU164">
        <v>41448604</v>
      </c>
      <c r="AV164">
        <v>10906173</v>
      </c>
      <c r="AW164">
        <v>8788326</v>
      </c>
      <c r="AX164">
        <v>7652779</v>
      </c>
      <c r="AY164">
        <v>7539799.5</v>
      </c>
      <c r="AZ164">
        <v>4795997</v>
      </c>
      <c r="BA164">
        <v>3712260.75</v>
      </c>
    </row>
    <row r="165" spans="1:53">
      <c r="A165">
        <v>16818</v>
      </c>
      <c r="B165" t="s">
        <v>729</v>
      </c>
      <c r="C165" t="s">
        <v>730</v>
      </c>
      <c r="D165" t="s">
        <v>731</v>
      </c>
      <c r="F165" t="s">
        <v>732</v>
      </c>
      <c r="G165">
        <v>41.168999999999997</v>
      </c>
      <c r="H165" t="s">
        <v>58</v>
      </c>
      <c r="I165">
        <v>2</v>
      </c>
      <c r="J165">
        <v>5</v>
      </c>
      <c r="K165">
        <v>0</v>
      </c>
      <c r="L165">
        <v>22.22</v>
      </c>
      <c r="M165">
        <v>5095</v>
      </c>
      <c r="N165">
        <v>3</v>
      </c>
      <c r="O165">
        <v>1</v>
      </c>
      <c r="P165">
        <v>1</v>
      </c>
      <c r="Q165">
        <v>1</v>
      </c>
      <c r="R165">
        <v>1</v>
      </c>
      <c r="S165">
        <v>8</v>
      </c>
      <c r="T165">
        <v>8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2</v>
      </c>
      <c r="AE165">
        <v>2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9058433</v>
      </c>
      <c r="AM165">
        <v>8780371</v>
      </c>
      <c r="AN165">
        <v>11319976</v>
      </c>
      <c r="AO165">
        <v>12676747</v>
      </c>
      <c r="AP165">
        <v>6298693.5</v>
      </c>
      <c r="AQ165">
        <v>5670608.5</v>
      </c>
      <c r="AR165">
        <v>5375219</v>
      </c>
      <c r="AS165">
        <v>4408605.5</v>
      </c>
      <c r="AT165">
        <v>9058433</v>
      </c>
      <c r="AU165">
        <v>9113224</v>
      </c>
      <c r="AV165">
        <v>5409172.5</v>
      </c>
      <c r="AW165">
        <v>4241756</v>
      </c>
      <c r="AX165">
        <v>3802472</v>
      </c>
      <c r="AY165">
        <v>3113378</v>
      </c>
      <c r="AZ165">
        <v>2743275</v>
      </c>
      <c r="BA165">
        <v>2022300.25</v>
      </c>
    </row>
    <row r="166" spans="1:53">
      <c r="A166">
        <v>16877</v>
      </c>
      <c r="B166" t="s">
        <v>733</v>
      </c>
      <c r="C166" t="s">
        <v>734</v>
      </c>
      <c r="D166" t="s">
        <v>733</v>
      </c>
      <c r="F166" t="s">
        <v>735</v>
      </c>
      <c r="G166">
        <v>37.479999999999997</v>
      </c>
      <c r="H166" t="s">
        <v>58</v>
      </c>
      <c r="I166">
        <v>2</v>
      </c>
      <c r="J166">
        <v>1</v>
      </c>
      <c r="K166">
        <v>0</v>
      </c>
      <c r="L166">
        <v>4.16</v>
      </c>
      <c r="M166">
        <v>49873</v>
      </c>
      <c r="N166">
        <v>22</v>
      </c>
      <c r="O166">
        <v>2</v>
      </c>
      <c r="P166">
        <v>2</v>
      </c>
      <c r="Q166">
        <v>2</v>
      </c>
      <c r="R166">
        <v>2</v>
      </c>
      <c r="S166">
        <v>7</v>
      </c>
      <c r="T166">
        <v>7</v>
      </c>
      <c r="U166">
        <v>2</v>
      </c>
      <c r="V166">
        <v>1</v>
      </c>
      <c r="W166">
        <v>1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0</v>
      </c>
      <c r="AE166">
        <v>1</v>
      </c>
      <c r="AF166">
        <v>2</v>
      </c>
      <c r="AG166">
        <v>2</v>
      </c>
      <c r="AH166">
        <v>1</v>
      </c>
      <c r="AI166">
        <v>1</v>
      </c>
      <c r="AJ166">
        <v>1</v>
      </c>
      <c r="AK166">
        <v>0</v>
      </c>
      <c r="AL166">
        <v>1280924.6200000001</v>
      </c>
      <c r="AM166">
        <v>1272319.8799999999</v>
      </c>
      <c r="AN166">
        <v>12895891</v>
      </c>
      <c r="AO166">
        <v>18676132</v>
      </c>
      <c r="AP166">
        <v>9132051</v>
      </c>
      <c r="AQ166">
        <v>9013477</v>
      </c>
      <c r="AR166">
        <v>7763120</v>
      </c>
      <c r="AS166">
        <v>9136897</v>
      </c>
      <c r="AT166">
        <v>48416.29</v>
      </c>
      <c r="AU166">
        <v>31963.439999999999</v>
      </c>
      <c r="AV166">
        <v>6568256.5</v>
      </c>
      <c r="AW166">
        <v>6456595.5</v>
      </c>
      <c r="AX166">
        <v>5903691</v>
      </c>
      <c r="AY166">
        <v>5307223.5</v>
      </c>
      <c r="AZ166">
        <v>4255511</v>
      </c>
      <c r="BA166">
        <v>4503745.5</v>
      </c>
    </row>
    <row r="167" spans="1:53">
      <c r="A167">
        <v>16775</v>
      </c>
      <c r="B167" t="s">
        <v>736</v>
      </c>
      <c r="C167" t="s">
        <v>737</v>
      </c>
      <c r="D167" t="s">
        <v>738</v>
      </c>
      <c r="F167" t="s">
        <v>739</v>
      </c>
      <c r="G167">
        <v>37.450000000000003</v>
      </c>
      <c r="H167" t="s">
        <v>58</v>
      </c>
      <c r="I167">
        <v>2</v>
      </c>
      <c r="J167">
        <v>20</v>
      </c>
      <c r="K167">
        <v>0</v>
      </c>
      <c r="L167">
        <v>12.5</v>
      </c>
      <c r="M167">
        <v>8951</v>
      </c>
      <c r="N167">
        <v>6</v>
      </c>
      <c r="O167">
        <v>2</v>
      </c>
      <c r="P167">
        <v>2</v>
      </c>
      <c r="Q167">
        <v>2</v>
      </c>
      <c r="R167">
        <v>2</v>
      </c>
      <c r="S167">
        <v>11</v>
      </c>
      <c r="T167">
        <v>11</v>
      </c>
      <c r="U167">
        <v>2</v>
      </c>
      <c r="V167">
        <v>1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1</v>
      </c>
      <c r="AE167">
        <v>2</v>
      </c>
      <c r="AF167">
        <v>1</v>
      </c>
      <c r="AG167">
        <v>2</v>
      </c>
      <c r="AH167">
        <v>1</v>
      </c>
      <c r="AI167">
        <v>1</v>
      </c>
      <c r="AJ167">
        <v>2</v>
      </c>
      <c r="AK167">
        <v>2</v>
      </c>
      <c r="AL167">
        <v>1170714</v>
      </c>
      <c r="AM167">
        <v>1367194</v>
      </c>
      <c r="AN167">
        <v>5129861</v>
      </c>
      <c r="AO167">
        <v>6213301</v>
      </c>
      <c r="AP167">
        <v>2667790</v>
      </c>
      <c r="AQ167">
        <v>2914751.5</v>
      </c>
      <c r="AR167">
        <v>2475343.75</v>
      </c>
      <c r="AS167">
        <v>2839085.5</v>
      </c>
      <c r="AT167">
        <v>56715.519999999997</v>
      </c>
      <c r="AU167">
        <v>1353997.12</v>
      </c>
      <c r="AV167">
        <v>2661609.25</v>
      </c>
      <c r="AW167">
        <v>2189338.25</v>
      </c>
      <c r="AX167">
        <v>1779812.38</v>
      </c>
      <c r="AY167">
        <v>1764443.25</v>
      </c>
      <c r="AZ167">
        <v>1396273.25</v>
      </c>
      <c r="BA167">
        <v>1442509.88</v>
      </c>
    </row>
    <row r="168" spans="1:53">
      <c r="A168">
        <v>16748</v>
      </c>
      <c r="B168" t="s">
        <v>740</v>
      </c>
      <c r="C168" t="s">
        <v>741</v>
      </c>
      <c r="D168" t="s">
        <v>742</v>
      </c>
      <c r="F168" t="s">
        <v>743</v>
      </c>
      <c r="G168">
        <v>32.35</v>
      </c>
      <c r="H168" t="s">
        <v>58</v>
      </c>
      <c r="I168">
        <v>2</v>
      </c>
      <c r="J168">
        <v>20</v>
      </c>
      <c r="K168">
        <v>0</v>
      </c>
      <c r="L168">
        <v>10.18</v>
      </c>
      <c r="M168">
        <v>18695</v>
      </c>
      <c r="N168">
        <v>13</v>
      </c>
      <c r="O168">
        <v>2</v>
      </c>
      <c r="P168">
        <v>2</v>
      </c>
      <c r="Q168">
        <v>2</v>
      </c>
      <c r="R168">
        <v>2</v>
      </c>
      <c r="S168">
        <v>7</v>
      </c>
      <c r="T168">
        <v>7</v>
      </c>
      <c r="U168">
        <v>2</v>
      </c>
      <c r="V168">
        <v>2</v>
      </c>
      <c r="W168">
        <v>2</v>
      </c>
      <c r="X168">
        <v>2</v>
      </c>
      <c r="Y168">
        <v>1</v>
      </c>
      <c r="Z168">
        <v>2</v>
      </c>
      <c r="AA168">
        <v>2</v>
      </c>
      <c r="AB168">
        <v>1</v>
      </c>
      <c r="AD168">
        <v>1</v>
      </c>
      <c r="AE168">
        <v>3</v>
      </c>
      <c r="AF168">
        <v>0</v>
      </c>
      <c r="AG168">
        <v>0</v>
      </c>
      <c r="AH168">
        <v>1</v>
      </c>
      <c r="AI168">
        <v>2</v>
      </c>
      <c r="AJ168">
        <v>1</v>
      </c>
      <c r="AK168">
        <v>0</v>
      </c>
      <c r="AL168">
        <v>4479768.5</v>
      </c>
      <c r="AM168">
        <v>5098633.5</v>
      </c>
      <c r="AN168">
        <v>3265524</v>
      </c>
      <c r="AO168">
        <v>2761425</v>
      </c>
      <c r="AP168">
        <v>3462750.5</v>
      </c>
      <c r="AQ168">
        <v>2765176.25</v>
      </c>
      <c r="AR168">
        <v>1505215.75</v>
      </c>
      <c r="AT168">
        <v>4176750.25</v>
      </c>
      <c r="AU168">
        <v>4873465</v>
      </c>
      <c r="AV168">
        <v>1586303.38</v>
      </c>
      <c r="AW168">
        <v>240822.3</v>
      </c>
      <c r="AX168">
        <v>3017440.5</v>
      </c>
      <c r="AY168">
        <v>2137996.5</v>
      </c>
      <c r="AZ168">
        <v>481028.81</v>
      </c>
      <c r="BA168">
        <v>275347</v>
      </c>
    </row>
    <row r="169" spans="1:53">
      <c r="A169">
        <v>16839</v>
      </c>
      <c r="B169" t="s">
        <v>744</v>
      </c>
      <c r="C169" t="s">
        <v>745</v>
      </c>
      <c r="D169" t="s">
        <v>746</v>
      </c>
      <c r="F169" t="s">
        <v>747</v>
      </c>
      <c r="G169">
        <v>31.751999999999999</v>
      </c>
      <c r="H169" t="s">
        <v>58</v>
      </c>
      <c r="I169">
        <v>2</v>
      </c>
      <c r="J169">
        <v>2</v>
      </c>
      <c r="K169">
        <v>0</v>
      </c>
      <c r="L169">
        <v>2.4700000000000002</v>
      </c>
      <c r="M169">
        <v>96126</v>
      </c>
      <c r="N169">
        <v>47</v>
      </c>
      <c r="O169">
        <v>2</v>
      </c>
      <c r="P169">
        <v>2</v>
      </c>
      <c r="Q169">
        <v>2</v>
      </c>
      <c r="R169">
        <v>2</v>
      </c>
      <c r="S169">
        <v>3</v>
      </c>
      <c r="T169">
        <v>3</v>
      </c>
      <c r="U169">
        <v>2</v>
      </c>
      <c r="V169">
        <v>1</v>
      </c>
      <c r="W169">
        <v>1</v>
      </c>
      <c r="X169">
        <v>2</v>
      </c>
      <c r="Y169">
        <v>2</v>
      </c>
      <c r="Z169">
        <v>2</v>
      </c>
      <c r="AA169">
        <v>2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2</v>
      </c>
      <c r="AH169">
        <v>0</v>
      </c>
      <c r="AI169">
        <v>0</v>
      </c>
      <c r="AJ169">
        <v>0</v>
      </c>
      <c r="AK169">
        <v>1</v>
      </c>
      <c r="AL169">
        <v>695911.81</v>
      </c>
      <c r="AM169">
        <v>2495000.25</v>
      </c>
      <c r="AN169">
        <v>2864964.5</v>
      </c>
      <c r="AO169">
        <v>3476092</v>
      </c>
      <c r="AP169">
        <v>1574647.75</v>
      </c>
      <c r="AQ169">
        <v>559223.12</v>
      </c>
      <c r="AR169">
        <v>1102312.3799999999</v>
      </c>
      <c r="AS169">
        <v>735022.69</v>
      </c>
      <c r="AT169">
        <v>76981.62</v>
      </c>
      <c r="AU169">
        <v>275203.65999999997</v>
      </c>
      <c r="AV169">
        <v>2230870.75</v>
      </c>
      <c r="AW169">
        <v>1857429.88</v>
      </c>
      <c r="AX169">
        <v>1573814.38</v>
      </c>
      <c r="AY169">
        <v>565858.31000000006</v>
      </c>
      <c r="AZ169">
        <v>466023.03</v>
      </c>
      <c r="BA169">
        <v>272864.25</v>
      </c>
    </row>
    <row r="170" spans="1:53">
      <c r="A170">
        <v>16876</v>
      </c>
      <c r="B170" t="s">
        <v>748</v>
      </c>
      <c r="C170" t="s">
        <v>749</v>
      </c>
      <c r="D170" t="s">
        <v>748</v>
      </c>
      <c r="F170" t="s">
        <v>750</v>
      </c>
      <c r="G170">
        <v>31.297000000000001</v>
      </c>
      <c r="H170" t="s">
        <v>58</v>
      </c>
      <c r="I170">
        <v>2</v>
      </c>
      <c r="J170">
        <v>1</v>
      </c>
      <c r="K170">
        <v>0</v>
      </c>
      <c r="L170">
        <v>3.65</v>
      </c>
      <c r="M170">
        <v>63561</v>
      </c>
      <c r="N170">
        <v>34</v>
      </c>
      <c r="O170">
        <v>2</v>
      </c>
      <c r="P170">
        <v>2</v>
      </c>
      <c r="Q170">
        <v>2</v>
      </c>
      <c r="R170">
        <v>2</v>
      </c>
      <c r="S170">
        <v>6</v>
      </c>
      <c r="T170">
        <v>6</v>
      </c>
      <c r="U170">
        <v>2</v>
      </c>
      <c r="V170">
        <v>2</v>
      </c>
      <c r="W170">
        <v>2</v>
      </c>
      <c r="X170">
        <v>2</v>
      </c>
      <c r="Y170">
        <v>2</v>
      </c>
      <c r="Z170">
        <v>2</v>
      </c>
      <c r="AA170">
        <v>2</v>
      </c>
      <c r="AB170">
        <v>2</v>
      </c>
      <c r="AC170">
        <v>2</v>
      </c>
      <c r="AD170">
        <v>0</v>
      </c>
      <c r="AE170">
        <v>2</v>
      </c>
      <c r="AF170">
        <v>2</v>
      </c>
      <c r="AG170">
        <v>2</v>
      </c>
      <c r="AH170">
        <v>0</v>
      </c>
      <c r="AI170">
        <v>0</v>
      </c>
      <c r="AJ170">
        <v>0</v>
      </c>
      <c r="AK170">
        <v>0</v>
      </c>
      <c r="AL170">
        <v>2321267</v>
      </c>
      <c r="AM170">
        <v>1528438</v>
      </c>
      <c r="AN170">
        <v>3306524</v>
      </c>
      <c r="AO170">
        <v>3095427.75</v>
      </c>
      <c r="AP170">
        <v>1300777.1200000001</v>
      </c>
      <c r="AQ170">
        <v>1253122.75</v>
      </c>
      <c r="AR170">
        <v>2481473.5</v>
      </c>
      <c r="AS170">
        <v>2021357.5</v>
      </c>
      <c r="AT170">
        <v>2420896.75</v>
      </c>
      <c r="AU170">
        <v>1669574.38</v>
      </c>
      <c r="AV170">
        <v>1535071.75</v>
      </c>
      <c r="AW170">
        <v>1060636</v>
      </c>
      <c r="AX170">
        <v>828254.19</v>
      </c>
      <c r="AY170">
        <v>732708.44</v>
      </c>
      <c r="AZ170">
        <v>1127294.75</v>
      </c>
      <c r="BA170">
        <v>856308.88</v>
      </c>
    </row>
    <row r="171" spans="1:53">
      <c r="A171">
        <v>16821</v>
      </c>
      <c r="B171" t="s">
        <v>751</v>
      </c>
      <c r="C171" t="s">
        <v>752</v>
      </c>
      <c r="D171" t="s">
        <v>751</v>
      </c>
      <c r="F171" t="s">
        <v>753</v>
      </c>
      <c r="G171">
        <v>30.818999999999999</v>
      </c>
      <c r="H171" t="s">
        <v>58</v>
      </c>
      <c r="I171">
        <v>2</v>
      </c>
      <c r="J171">
        <v>1</v>
      </c>
      <c r="K171">
        <v>0</v>
      </c>
      <c r="L171">
        <v>4.5</v>
      </c>
      <c r="M171">
        <v>32343</v>
      </c>
      <c r="N171">
        <v>10</v>
      </c>
      <c r="O171">
        <v>1</v>
      </c>
      <c r="P171">
        <v>1</v>
      </c>
      <c r="Q171">
        <v>1</v>
      </c>
      <c r="R171">
        <v>1</v>
      </c>
      <c r="S171">
        <v>2</v>
      </c>
      <c r="T171">
        <v>2</v>
      </c>
      <c r="U171">
        <v>1</v>
      </c>
      <c r="V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1350156.62</v>
      </c>
      <c r="AN171">
        <v>3902244.25</v>
      </c>
      <c r="AO171">
        <v>3509634.75</v>
      </c>
      <c r="AP171">
        <v>1427461.5</v>
      </c>
      <c r="AQ171">
        <v>1763003.38</v>
      </c>
      <c r="AR171">
        <v>1581169.5</v>
      </c>
      <c r="AS171">
        <v>1570985.12</v>
      </c>
      <c r="AT171">
        <v>1350156.62</v>
      </c>
      <c r="AU171">
        <v>151704.31</v>
      </c>
      <c r="AV171">
        <v>1864660.5</v>
      </c>
      <c r="AW171">
        <v>1174356</v>
      </c>
      <c r="AX171">
        <v>861747.31</v>
      </c>
      <c r="AY171">
        <v>967955.31</v>
      </c>
      <c r="AZ171">
        <v>806959.25</v>
      </c>
      <c r="BA171">
        <v>720636.88</v>
      </c>
    </row>
    <row r="172" spans="1:53">
      <c r="A172">
        <v>16870</v>
      </c>
      <c r="B172" t="s">
        <v>754</v>
      </c>
      <c r="C172" t="s">
        <v>755</v>
      </c>
      <c r="D172" t="s">
        <v>756</v>
      </c>
      <c r="F172" t="s">
        <v>757</v>
      </c>
      <c r="G172">
        <v>28.625</v>
      </c>
      <c r="H172" t="s">
        <v>58</v>
      </c>
      <c r="I172">
        <v>2</v>
      </c>
      <c r="J172">
        <v>3</v>
      </c>
      <c r="K172">
        <v>0</v>
      </c>
      <c r="L172">
        <v>15.32</v>
      </c>
      <c r="M172">
        <v>12344</v>
      </c>
      <c r="N172">
        <v>5</v>
      </c>
      <c r="O172">
        <v>1</v>
      </c>
      <c r="P172">
        <v>1</v>
      </c>
      <c r="Q172">
        <v>1</v>
      </c>
      <c r="R172">
        <v>1</v>
      </c>
      <c r="S172">
        <v>2</v>
      </c>
      <c r="T172">
        <v>2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1398921.88</v>
      </c>
      <c r="AM172">
        <v>1254302.1200000001</v>
      </c>
      <c r="AN172">
        <v>1113551.25</v>
      </c>
      <c r="AO172">
        <v>1693935.88</v>
      </c>
      <c r="AP172">
        <v>773570.62</v>
      </c>
      <c r="AQ172">
        <v>994405.88</v>
      </c>
      <c r="AR172">
        <v>693711.38</v>
      </c>
      <c r="AS172">
        <v>657173.75</v>
      </c>
      <c r="AT172">
        <v>1398921.88</v>
      </c>
      <c r="AU172">
        <v>1301851.25</v>
      </c>
      <c r="AV172">
        <v>532102.81000000006</v>
      </c>
      <c r="AW172">
        <v>566806.5</v>
      </c>
      <c r="AX172">
        <v>466998.56</v>
      </c>
      <c r="AY172">
        <v>545966.31000000006</v>
      </c>
      <c r="AZ172">
        <v>354039.72</v>
      </c>
      <c r="BA172">
        <v>301456.46999999997</v>
      </c>
    </row>
    <row r="173" spans="1:53">
      <c r="A173">
        <v>16865</v>
      </c>
      <c r="B173" t="s">
        <v>758</v>
      </c>
      <c r="C173" t="s">
        <v>759</v>
      </c>
      <c r="D173" t="s">
        <v>760</v>
      </c>
      <c r="F173" t="s">
        <v>761</v>
      </c>
      <c r="G173">
        <v>26.768999999999998</v>
      </c>
      <c r="H173" t="s">
        <v>58</v>
      </c>
      <c r="I173">
        <v>2</v>
      </c>
      <c r="J173">
        <v>2</v>
      </c>
      <c r="K173">
        <v>0</v>
      </c>
      <c r="L173">
        <v>2.56</v>
      </c>
      <c r="M173">
        <v>43285</v>
      </c>
      <c r="N173">
        <v>21</v>
      </c>
      <c r="O173">
        <v>1</v>
      </c>
      <c r="P173">
        <v>1</v>
      </c>
      <c r="Q173">
        <v>1</v>
      </c>
      <c r="R173">
        <v>1</v>
      </c>
      <c r="S173">
        <v>3</v>
      </c>
      <c r="T173">
        <v>3</v>
      </c>
      <c r="U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0</v>
      </c>
      <c r="AE173">
        <v>0</v>
      </c>
      <c r="AF173">
        <v>1</v>
      </c>
      <c r="AG173">
        <v>1</v>
      </c>
      <c r="AH173">
        <v>0</v>
      </c>
      <c r="AI173">
        <v>1</v>
      </c>
      <c r="AJ173">
        <v>1</v>
      </c>
      <c r="AK173">
        <v>1</v>
      </c>
      <c r="AN173">
        <v>1197586.25</v>
      </c>
      <c r="AO173">
        <v>1241210.1200000001</v>
      </c>
      <c r="AP173">
        <v>674168.94</v>
      </c>
      <c r="AQ173">
        <v>554927</v>
      </c>
      <c r="AR173">
        <v>561886.25</v>
      </c>
      <c r="AS173">
        <v>424636.15999999997</v>
      </c>
      <c r="AT173">
        <v>99934.65</v>
      </c>
      <c r="AU173">
        <v>151704.31</v>
      </c>
      <c r="AV173">
        <v>572258.31000000006</v>
      </c>
      <c r="AW173">
        <v>415320.28</v>
      </c>
      <c r="AX173">
        <v>406990.53</v>
      </c>
      <c r="AY173">
        <v>304675.84000000003</v>
      </c>
      <c r="AZ173">
        <v>286762</v>
      </c>
      <c r="BA173">
        <v>194787.62</v>
      </c>
    </row>
    <row r="174" spans="1:53">
      <c r="A174">
        <v>16847</v>
      </c>
      <c r="B174" t="s">
        <v>762</v>
      </c>
      <c r="C174" t="s">
        <v>763</v>
      </c>
      <c r="D174" t="s">
        <v>764</v>
      </c>
      <c r="F174" t="s">
        <v>765</v>
      </c>
      <c r="G174">
        <v>25.253</v>
      </c>
      <c r="H174" t="s">
        <v>58</v>
      </c>
      <c r="I174">
        <v>2</v>
      </c>
      <c r="J174">
        <v>3</v>
      </c>
      <c r="K174">
        <v>0</v>
      </c>
      <c r="L174">
        <v>1.64</v>
      </c>
      <c r="M174">
        <v>66907</v>
      </c>
      <c r="N174">
        <v>32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1</v>
      </c>
      <c r="W174">
        <v>1</v>
      </c>
      <c r="X174">
        <v>2</v>
      </c>
      <c r="Y174">
        <v>2</v>
      </c>
      <c r="Z174">
        <v>2</v>
      </c>
      <c r="AA174">
        <v>2</v>
      </c>
      <c r="AB174">
        <v>2</v>
      </c>
      <c r="AC174">
        <v>2</v>
      </c>
      <c r="AD174">
        <v>0</v>
      </c>
      <c r="AE174">
        <v>0</v>
      </c>
      <c r="AF174">
        <v>0</v>
      </c>
      <c r="AG174">
        <v>1</v>
      </c>
      <c r="AH174">
        <v>1</v>
      </c>
      <c r="AI174">
        <v>1</v>
      </c>
      <c r="AJ174">
        <v>0</v>
      </c>
      <c r="AK174">
        <v>0</v>
      </c>
      <c r="AL174">
        <v>466379.16</v>
      </c>
      <c r="AM174">
        <v>448633.19</v>
      </c>
      <c r="AN174">
        <v>1594205.25</v>
      </c>
      <c r="AO174">
        <v>2104094</v>
      </c>
      <c r="AP174">
        <v>796765</v>
      </c>
      <c r="AQ174">
        <v>959450.62</v>
      </c>
      <c r="AR174">
        <v>748412.5</v>
      </c>
      <c r="AS174">
        <v>1052796.8799999999</v>
      </c>
      <c r="AT174">
        <v>74964.3</v>
      </c>
      <c r="AU174">
        <v>38848.93</v>
      </c>
      <c r="AV174">
        <v>917972</v>
      </c>
      <c r="AW174">
        <v>727006.44</v>
      </c>
      <c r="AX174">
        <v>597168.12</v>
      </c>
      <c r="AY174">
        <v>658352.93999999994</v>
      </c>
      <c r="AZ174">
        <v>477330.56</v>
      </c>
      <c r="BA174">
        <v>601511.31000000006</v>
      </c>
    </row>
    <row r="175" spans="1:53">
      <c r="A175">
        <v>16705</v>
      </c>
      <c r="B175" t="s">
        <v>766</v>
      </c>
      <c r="C175" t="s">
        <v>767</v>
      </c>
      <c r="D175" t="s">
        <v>768</v>
      </c>
      <c r="F175" t="s">
        <v>769</v>
      </c>
      <c r="G175">
        <v>23.45</v>
      </c>
      <c r="H175" t="s">
        <v>58</v>
      </c>
      <c r="I175">
        <v>2</v>
      </c>
      <c r="J175">
        <v>18</v>
      </c>
      <c r="K175">
        <v>0</v>
      </c>
      <c r="L175">
        <v>10.77</v>
      </c>
      <c r="M175">
        <v>7302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18</v>
      </c>
      <c r="T175">
        <v>18</v>
      </c>
      <c r="U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0</v>
      </c>
      <c r="AE175">
        <v>0</v>
      </c>
      <c r="AF175">
        <v>0</v>
      </c>
      <c r="AG175">
        <v>7</v>
      </c>
      <c r="AH175">
        <v>4</v>
      </c>
      <c r="AI175">
        <v>3</v>
      </c>
      <c r="AJ175">
        <v>4</v>
      </c>
      <c r="AK175">
        <v>3</v>
      </c>
      <c r="AO175">
        <v>8038559.5</v>
      </c>
      <c r="AP175">
        <v>526441.25</v>
      </c>
      <c r="AQ175">
        <v>556929</v>
      </c>
      <c r="AR175">
        <v>721808.19</v>
      </c>
      <c r="AS175">
        <v>431671.75</v>
      </c>
      <c r="AT175">
        <v>99934.65</v>
      </c>
      <c r="AU175">
        <v>151704.31</v>
      </c>
      <c r="AV175">
        <v>374615.16</v>
      </c>
      <c r="AW175">
        <v>2689775.75</v>
      </c>
      <c r="AX175">
        <v>317808.46999999997</v>
      </c>
      <c r="AY175">
        <v>305775.03000000003</v>
      </c>
      <c r="AZ175">
        <v>368379.09</v>
      </c>
      <c r="BA175">
        <v>198014.97</v>
      </c>
    </row>
    <row r="176" spans="1:53">
      <c r="A176">
        <v>16765</v>
      </c>
      <c r="B176" t="s">
        <v>770</v>
      </c>
      <c r="C176" t="s">
        <v>771</v>
      </c>
      <c r="D176" t="s">
        <v>770</v>
      </c>
      <c r="F176" t="s">
        <v>772</v>
      </c>
      <c r="G176">
        <v>21.728000000000002</v>
      </c>
      <c r="H176" t="s">
        <v>58</v>
      </c>
      <c r="I176">
        <v>2</v>
      </c>
      <c r="J176">
        <v>1</v>
      </c>
      <c r="K176">
        <v>0</v>
      </c>
      <c r="L176">
        <v>3.04</v>
      </c>
      <c r="M176">
        <v>28232</v>
      </c>
      <c r="N176">
        <v>12</v>
      </c>
      <c r="O176">
        <v>1</v>
      </c>
      <c r="P176">
        <v>1</v>
      </c>
      <c r="Q176">
        <v>1</v>
      </c>
      <c r="R176">
        <v>1</v>
      </c>
      <c r="S176">
        <v>16</v>
      </c>
      <c r="T176">
        <v>16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2</v>
      </c>
      <c r="AE176">
        <v>0</v>
      </c>
      <c r="AF176">
        <v>2</v>
      </c>
      <c r="AG176">
        <v>2</v>
      </c>
      <c r="AH176">
        <v>2</v>
      </c>
      <c r="AI176">
        <v>3</v>
      </c>
      <c r="AJ176">
        <v>2</v>
      </c>
      <c r="AK176">
        <v>3</v>
      </c>
      <c r="AL176">
        <v>19992314</v>
      </c>
      <c r="AM176">
        <v>28666430</v>
      </c>
      <c r="AN176">
        <v>37345812</v>
      </c>
      <c r="AO176">
        <v>73016416</v>
      </c>
      <c r="AP176">
        <v>30896386</v>
      </c>
      <c r="AQ176">
        <v>35927916</v>
      </c>
      <c r="AR176">
        <v>38376556</v>
      </c>
      <c r="AS176">
        <v>31379266</v>
      </c>
      <c r="AT176">
        <v>19992314</v>
      </c>
      <c r="AU176">
        <v>29753140</v>
      </c>
      <c r="AV176">
        <v>17845438</v>
      </c>
      <c r="AW176">
        <v>24431962</v>
      </c>
      <c r="AX176">
        <v>18651906</v>
      </c>
      <c r="AY176">
        <v>19725780</v>
      </c>
      <c r="AZ176">
        <v>19585704</v>
      </c>
      <c r="BA176">
        <v>14394188</v>
      </c>
    </row>
    <row r="177" spans="1:53">
      <c r="A177">
        <v>16693</v>
      </c>
      <c r="B177" t="s">
        <v>773</v>
      </c>
      <c r="C177" t="s">
        <v>774</v>
      </c>
      <c r="D177" t="s">
        <v>775</v>
      </c>
      <c r="F177" t="s">
        <v>776</v>
      </c>
      <c r="G177">
        <v>21.396999999999998</v>
      </c>
      <c r="H177" t="s">
        <v>58</v>
      </c>
      <c r="I177">
        <v>2</v>
      </c>
      <c r="J177">
        <v>21</v>
      </c>
      <c r="K177">
        <v>0</v>
      </c>
      <c r="L177">
        <v>3.27</v>
      </c>
      <c r="M177">
        <v>34424</v>
      </c>
      <c r="N177">
        <v>16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345603.91</v>
      </c>
      <c r="AM177">
        <v>263928.69</v>
      </c>
      <c r="AN177">
        <v>788757.5</v>
      </c>
      <c r="AO177">
        <v>849508.56</v>
      </c>
      <c r="AP177">
        <v>440942.75</v>
      </c>
      <c r="AQ177">
        <v>458317</v>
      </c>
      <c r="AR177">
        <v>277029.78000000003</v>
      </c>
      <c r="AT177">
        <v>345603.91</v>
      </c>
      <c r="AU177">
        <v>273933.94</v>
      </c>
      <c r="AV177">
        <v>376902.34</v>
      </c>
      <c r="AW177">
        <v>284253.34000000003</v>
      </c>
      <c r="AX177">
        <v>266193.69</v>
      </c>
      <c r="AY177">
        <v>251633.33</v>
      </c>
      <c r="AZ177">
        <v>141383.79999999999</v>
      </c>
      <c r="BA177">
        <v>275347</v>
      </c>
    </row>
    <row r="178" spans="1:53">
      <c r="A178">
        <v>16832</v>
      </c>
      <c r="B178" t="s">
        <v>777</v>
      </c>
      <c r="C178" t="s">
        <v>778</v>
      </c>
      <c r="D178" t="s">
        <v>779</v>
      </c>
      <c r="F178" t="s">
        <v>780</v>
      </c>
      <c r="G178">
        <v>21.256</v>
      </c>
      <c r="H178" t="s">
        <v>58</v>
      </c>
      <c r="I178">
        <v>2</v>
      </c>
      <c r="J178">
        <v>2</v>
      </c>
      <c r="K178">
        <v>0</v>
      </c>
      <c r="L178">
        <v>2.6</v>
      </c>
      <c r="M178">
        <v>37200</v>
      </c>
      <c r="N178">
        <v>21</v>
      </c>
      <c r="O178">
        <v>1</v>
      </c>
      <c r="P178">
        <v>1</v>
      </c>
      <c r="Q178">
        <v>1</v>
      </c>
      <c r="R178">
        <v>1</v>
      </c>
      <c r="S178">
        <v>3</v>
      </c>
      <c r="T178">
        <v>3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2</v>
      </c>
      <c r="AE178">
        <v>0</v>
      </c>
      <c r="AF178">
        <v>1</v>
      </c>
      <c r="AG178">
        <v>1</v>
      </c>
      <c r="AH178">
        <v>0</v>
      </c>
      <c r="AI178">
        <v>0</v>
      </c>
      <c r="AJ178">
        <v>1</v>
      </c>
      <c r="AK178">
        <v>1</v>
      </c>
      <c r="AL178">
        <v>6891198</v>
      </c>
      <c r="AM178">
        <v>8830874</v>
      </c>
      <c r="AN178">
        <v>5513921</v>
      </c>
      <c r="AO178">
        <v>5599760.5</v>
      </c>
      <c r="AP178">
        <v>5038212</v>
      </c>
      <c r="AQ178">
        <v>4683371.5</v>
      </c>
      <c r="AR178">
        <v>3026369</v>
      </c>
      <c r="AS178">
        <v>2823445.25</v>
      </c>
      <c r="AT178">
        <v>6891198</v>
      </c>
      <c r="AU178">
        <v>9165643</v>
      </c>
      <c r="AV178">
        <v>2634789.25</v>
      </c>
      <c r="AW178">
        <v>1873731.25</v>
      </c>
      <c r="AX178">
        <v>3041529</v>
      </c>
      <c r="AY178">
        <v>2571347.5</v>
      </c>
      <c r="AZ178">
        <v>1544525.5</v>
      </c>
      <c r="BA178">
        <v>1295161</v>
      </c>
    </row>
    <row r="179" spans="1:53">
      <c r="A179">
        <v>16707</v>
      </c>
      <c r="B179" t="s">
        <v>781</v>
      </c>
      <c r="C179" t="s">
        <v>782</v>
      </c>
      <c r="D179" t="s">
        <v>783</v>
      </c>
      <c r="F179" t="s">
        <v>784</v>
      </c>
      <c r="G179">
        <v>20.675000000000001</v>
      </c>
      <c r="H179" t="s">
        <v>58</v>
      </c>
      <c r="I179">
        <v>2</v>
      </c>
      <c r="J179">
        <v>20</v>
      </c>
      <c r="K179">
        <v>0</v>
      </c>
      <c r="L179">
        <v>21.84</v>
      </c>
      <c r="M179">
        <v>9827</v>
      </c>
      <c r="N179">
        <v>4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W179">
        <v>1</v>
      </c>
      <c r="X179">
        <v>1</v>
      </c>
      <c r="Y179">
        <v>1</v>
      </c>
      <c r="AA179">
        <v>1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M179">
        <v>734009.31</v>
      </c>
      <c r="AN179">
        <v>783439.25</v>
      </c>
      <c r="AO179">
        <v>924829.5</v>
      </c>
      <c r="AQ179">
        <v>657168.38</v>
      </c>
      <c r="AT179">
        <v>99934.65</v>
      </c>
      <c r="AU179">
        <v>761834.75</v>
      </c>
      <c r="AV179">
        <v>374361.03</v>
      </c>
      <c r="AW179">
        <v>309456.44</v>
      </c>
      <c r="AX179">
        <v>278828.78000000003</v>
      </c>
      <c r="AY179">
        <v>360810.22</v>
      </c>
      <c r="AZ179">
        <v>274135.90999999997</v>
      </c>
      <c r="BA179">
        <v>275347</v>
      </c>
    </row>
    <row r="180" spans="1:53">
      <c r="A180">
        <v>16780</v>
      </c>
      <c r="B180" t="s">
        <v>785</v>
      </c>
      <c r="C180" t="s">
        <v>786</v>
      </c>
      <c r="D180" t="s">
        <v>787</v>
      </c>
      <c r="F180" t="s">
        <v>788</v>
      </c>
      <c r="G180">
        <v>20.271999999999998</v>
      </c>
      <c r="H180" t="s">
        <v>58</v>
      </c>
      <c r="I180">
        <v>2</v>
      </c>
      <c r="J180">
        <v>3</v>
      </c>
      <c r="K180">
        <v>0</v>
      </c>
      <c r="L180">
        <v>3.66</v>
      </c>
      <c r="M180">
        <v>70575</v>
      </c>
      <c r="N180">
        <v>40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2</v>
      </c>
      <c r="AD180">
        <v>0</v>
      </c>
      <c r="AE180">
        <v>0</v>
      </c>
      <c r="AF180">
        <v>2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1042906.19</v>
      </c>
      <c r="AM180">
        <v>1059604</v>
      </c>
      <c r="AN180">
        <v>2376175</v>
      </c>
      <c r="AO180">
        <v>2883629</v>
      </c>
      <c r="AP180">
        <v>1020468.5</v>
      </c>
      <c r="AQ180">
        <v>1094062.1200000001</v>
      </c>
      <c r="AR180">
        <v>1426472.38</v>
      </c>
      <c r="AS180">
        <v>1478122.75</v>
      </c>
      <c r="AT180">
        <v>1045362</v>
      </c>
      <c r="AU180">
        <v>1092513.5</v>
      </c>
      <c r="AV180">
        <v>1133725.25</v>
      </c>
      <c r="AW180">
        <v>996342.88</v>
      </c>
      <c r="AX180">
        <v>599436.75</v>
      </c>
      <c r="AY180">
        <v>603783.68999999994</v>
      </c>
      <c r="AZ180">
        <v>743386.31</v>
      </c>
      <c r="BA180">
        <v>649704.56000000006</v>
      </c>
    </row>
    <row r="181" spans="1:53">
      <c r="A181">
        <v>16701</v>
      </c>
      <c r="B181" t="s">
        <v>789</v>
      </c>
      <c r="C181" t="s">
        <v>790</v>
      </c>
      <c r="D181" t="s">
        <v>791</v>
      </c>
      <c r="F181" t="s">
        <v>792</v>
      </c>
      <c r="G181">
        <v>19.408999999999999</v>
      </c>
      <c r="H181" t="s">
        <v>58</v>
      </c>
      <c r="I181">
        <v>2</v>
      </c>
      <c r="J181">
        <v>3</v>
      </c>
      <c r="K181">
        <v>0</v>
      </c>
      <c r="L181">
        <v>7.45</v>
      </c>
      <c r="M181">
        <v>17688</v>
      </c>
      <c r="N181">
        <v>11</v>
      </c>
      <c r="O181">
        <v>1</v>
      </c>
      <c r="P181">
        <v>1</v>
      </c>
      <c r="Q181">
        <v>1</v>
      </c>
      <c r="R181">
        <v>1</v>
      </c>
      <c r="S181">
        <v>2</v>
      </c>
      <c r="T181">
        <v>2</v>
      </c>
      <c r="U181">
        <v>1</v>
      </c>
      <c r="V181">
        <v>1</v>
      </c>
      <c r="W181">
        <v>1</v>
      </c>
      <c r="AD181">
        <v>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1309864.8799999999</v>
      </c>
      <c r="AM181">
        <v>1566276.75</v>
      </c>
      <c r="AT181">
        <v>1309864.8799999999</v>
      </c>
      <c r="AU181">
        <v>1625652.5</v>
      </c>
      <c r="AV181">
        <v>374615.16</v>
      </c>
      <c r="AW181">
        <v>360097.09</v>
      </c>
      <c r="AX181">
        <v>278828.78000000003</v>
      </c>
      <c r="AY181">
        <v>249615.83</v>
      </c>
      <c r="AZ181">
        <v>274135.90999999997</v>
      </c>
      <c r="BA181">
        <v>275347</v>
      </c>
    </row>
    <row r="182" spans="1:53">
      <c r="A182">
        <v>16776</v>
      </c>
      <c r="B182" t="s">
        <v>793</v>
      </c>
      <c r="C182" t="s">
        <v>794</v>
      </c>
      <c r="D182" t="s">
        <v>795</v>
      </c>
      <c r="F182" t="s">
        <v>796</v>
      </c>
      <c r="G182">
        <v>19.277999999999999</v>
      </c>
      <c r="H182" t="s">
        <v>58</v>
      </c>
      <c r="I182">
        <v>2</v>
      </c>
      <c r="J182">
        <v>3</v>
      </c>
      <c r="K182">
        <v>0</v>
      </c>
      <c r="L182">
        <v>1.45</v>
      </c>
      <c r="M182">
        <v>80430</v>
      </c>
      <c r="N182">
        <v>49</v>
      </c>
      <c r="O182">
        <v>1</v>
      </c>
      <c r="P182">
        <v>1</v>
      </c>
      <c r="Q182">
        <v>1</v>
      </c>
      <c r="R182">
        <v>1</v>
      </c>
      <c r="S182">
        <v>2</v>
      </c>
      <c r="T182">
        <v>2</v>
      </c>
      <c r="U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0</v>
      </c>
      <c r="AE182">
        <v>0</v>
      </c>
      <c r="AF182">
        <v>0</v>
      </c>
      <c r="AG182">
        <v>2</v>
      </c>
      <c r="AH182">
        <v>0</v>
      </c>
      <c r="AI182">
        <v>0</v>
      </c>
      <c r="AJ182">
        <v>0</v>
      </c>
      <c r="AK182">
        <v>0</v>
      </c>
      <c r="AN182">
        <v>1821369.25</v>
      </c>
      <c r="AO182">
        <v>2420361</v>
      </c>
      <c r="AP182">
        <v>687465.31</v>
      </c>
      <c r="AQ182">
        <v>881891.06</v>
      </c>
      <c r="AR182">
        <v>644748.12</v>
      </c>
      <c r="AS182">
        <v>636100.93999999994</v>
      </c>
      <c r="AT182">
        <v>99934.65</v>
      </c>
      <c r="AU182">
        <v>151704.31</v>
      </c>
      <c r="AV182">
        <v>1283042.8799999999</v>
      </c>
      <c r="AW182">
        <v>1223069.1200000001</v>
      </c>
      <c r="AX182">
        <v>589359.06000000006</v>
      </c>
      <c r="AY182">
        <v>916762.38</v>
      </c>
      <c r="AZ182">
        <v>543860.18999999994</v>
      </c>
      <c r="BA182">
        <v>499706.66</v>
      </c>
    </row>
    <row r="183" spans="1:53">
      <c r="A183">
        <v>16843</v>
      </c>
      <c r="B183" t="s">
        <v>797</v>
      </c>
      <c r="C183" t="s">
        <v>798</v>
      </c>
      <c r="D183" t="s">
        <v>799</v>
      </c>
      <c r="F183" t="s">
        <v>800</v>
      </c>
      <c r="G183">
        <v>19.119</v>
      </c>
      <c r="H183" t="s">
        <v>58</v>
      </c>
      <c r="I183">
        <v>2</v>
      </c>
      <c r="J183">
        <v>2</v>
      </c>
      <c r="K183">
        <v>0</v>
      </c>
      <c r="L183">
        <v>6.45</v>
      </c>
      <c r="M183">
        <v>21886</v>
      </c>
      <c r="N183">
        <v>13</v>
      </c>
      <c r="O183">
        <v>1</v>
      </c>
      <c r="P183">
        <v>1</v>
      </c>
      <c r="Q183">
        <v>1</v>
      </c>
      <c r="R183">
        <v>1</v>
      </c>
      <c r="S183">
        <v>2</v>
      </c>
      <c r="T183">
        <v>2</v>
      </c>
      <c r="U183">
        <v>1</v>
      </c>
      <c r="V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0</v>
      </c>
      <c r="AE183">
        <v>0</v>
      </c>
      <c r="AF183">
        <v>1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799774.38</v>
      </c>
      <c r="AN183">
        <v>1869034.25</v>
      </c>
      <c r="AO183">
        <v>2031977.12</v>
      </c>
      <c r="AP183">
        <v>924808.06</v>
      </c>
      <c r="AQ183">
        <v>906888.5</v>
      </c>
      <c r="AR183">
        <v>466887.38</v>
      </c>
      <c r="AS183">
        <v>923658.31</v>
      </c>
      <c r="AT183">
        <v>799774.38</v>
      </c>
      <c r="AU183">
        <v>151704.31</v>
      </c>
      <c r="AV183">
        <v>893105.19</v>
      </c>
      <c r="AW183">
        <v>679918.19</v>
      </c>
      <c r="AX183">
        <v>558299.43999999994</v>
      </c>
      <c r="AY183">
        <v>497915.97</v>
      </c>
      <c r="AZ183">
        <v>238278.75</v>
      </c>
      <c r="BA183">
        <v>423697.38</v>
      </c>
    </row>
    <row r="184" spans="1:53">
      <c r="A184">
        <v>16665</v>
      </c>
      <c r="B184" t="s">
        <v>801</v>
      </c>
      <c r="C184" t="s">
        <v>802</v>
      </c>
      <c r="D184" t="s">
        <v>803</v>
      </c>
      <c r="F184" t="s">
        <v>804</v>
      </c>
      <c r="G184">
        <v>19.073</v>
      </c>
      <c r="H184" t="s">
        <v>58</v>
      </c>
      <c r="I184">
        <v>2</v>
      </c>
      <c r="J184">
        <v>19</v>
      </c>
      <c r="K184">
        <v>0</v>
      </c>
      <c r="L184">
        <v>5.62</v>
      </c>
      <c r="M184">
        <v>34841</v>
      </c>
      <c r="N184">
        <v>19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1577799.62</v>
      </c>
      <c r="AM184">
        <v>1650598.38</v>
      </c>
      <c r="AN184">
        <v>1878519.12</v>
      </c>
      <c r="AO184">
        <v>1478787.75</v>
      </c>
      <c r="AP184">
        <v>1198856.6200000001</v>
      </c>
      <c r="AQ184">
        <v>740008.44</v>
      </c>
      <c r="AT184">
        <v>1577799.62</v>
      </c>
      <c r="AU184">
        <v>1713170.62</v>
      </c>
      <c r="AV184">
        <v>897637.44</v>
      </c>
      <c r="AW184">
        <v>494815.97</v>
      </c>
      <c r="AX184">
        <v>723740.38</v>
      </c>
      <c r="AY184">
        <v>406292.53</v>
      </c>
      <c r="AZ184">
        <v>274135.90999999997</v>
      </c>
      <c r="BA184">
        <v>275347</v>
      </c>
    </row>
    <row r="185" spans="1:53">
      <c r="A185">
        <v>16709</v>
      </c>
      <c r="B185" t="s">
        <v>805</v>
      </c>
      <c r="C185" t="s">
        <v>806</v>
      </c>
      <c r="D185" t="s">
        <v>807</v>
      </c>
      <c r="F185" t="s">
        <v>808</v>
      </c>
      <c r="G185">
        <v>18.931000000000001</v>
      </c>
      <c r="H185" t="s">
        <v>58</v>
      </c>
      <c r="I185">
        <v>2</v>
      </c>
      <c r="J185">
        <v>9</v>
      </c>
      <c r="K185">
        <v>0</v>
      </c>
      <c r="L185">
        <v>3.85</v>
      </c>
      <c r="M185">
        <v>71447</v>
      </c>
      <c r="N185">
        <v>40</v>
      </c>
      <c r="O185">
        <v>2</v>
      </c>
      <c r="P185">
        <v>2</v>
      </c>
      <c r="Q185">
        <v>2</v>
      </c>
      <c r="R185">
        <v>2</v>
      </c>
      <c r="S185">
        <v>4</v>
      </c>
      <c r="T185">
        <v>4</v>
      </c>
      <c r="U185">
        <v>2</v>
      </c>
      <c r="V185">
        <v>2</v>
      </c>
      <c r="W185">
        <v>2</v>
      </c>
      <c r="X185">
        <v>2</v>
      </c>
      <c r="Y185">
        <v>2</v>
      </c>
      <c r="Z185">
        <v>1</v>
      </c>
      <c r="AA185">
        <v>1</v>
      </c>
      <c r="AB185">
        <v>1</v>
      </c>
      <c r="AC185">
        <v>1</v>
      </c>
      <c r="AD185">
        <v>0</v>
      </c>
      <c r="AE185">
        <v>0</v>
      </c>
      <c r="AF185">
        <v>2</v>
      </c>
      <c r="AG185">
        <v>2</v>
      </c>
      <c r="AH185">
        <v>1</v>
      </c>
      <c r="AI185">
        <v>1</v>
      </c>
      <c r="AJ185">
        <v>1</v>
      </c>
      <c r="AK185">
        <v>1</v>
      </c>
      <c r="AL185">
        <v>227871616</v>
      </c>
      <c r="AM185">
        <v>214239584</v>
      </c>
      <c r="AN185">
        <v>16634864</v>
      </c>
      <c r="AO185">
        <v>17619286</v>
      </c>
      <c r="AP185">
        <v>523810.59</v>
      </c>
      <c r="AQ185">
        <v>459283</v>
      </c>
      <c r="AR185">
        <v>472658.62</v>
      </c>
      <c r="AS185">
        <v>494888.25</v>
      </c>
      <c r="AT185">
        <v>57110484</v>
      </c>
      <c r="AU185">
        <v>82526104</v>
      </c>
      <c r="AV185">
        <v>84981608</v>
      </c>
      <c r="AW185">
        <v>59370160</v>
      </c>
      <c r="AX185">
        <v>34378652</v>
      </c>
      <c r="AY185">
        <v>27416276</v>
      </c>
      <c r="AZ185">
        <v>26241288</v>
      </c>
      <c r="BA185">
        <v>24679158</v>
      </c>
    </row>
    <row r="186" spans="1:53">
      <c r="A186">
        <v>16791</v>
      </c>
      <c r="B186" t="s">
        <v>809</v>
      </c>
      <c r="C186" t="s">
        <v>810</v>
      </c>
      <c r="D186" t="s">
        <v>811</v>
      </c>
      <c r="F186" t="s">
        <v>812</v>
      </c>
      <c r="G186">
        <v>18.64</v>
      </c>
      <c r="H186" t="s">
        <v>58</v>
      </c>
      <c r="I186">
        <v>2</v>
      </c>
      <c r="J186">
        <v>20</v>
      </c>
      <c r="K186">
        <v>0</v>
      </c>
      <c r="L186">
        <v>11.43</v>
      </c>
      <c r="M186">
        <v>7870</v>
      </c>
      <c r="N186">
        <v>5</v>
      </c>
      <c r="O186">
        <v>2</v>
      </c>
      <c r="P186">
        <v>2</v>
      </c>
      <c r="Q186">
        <v>2</v>
      </c>
      <c r="R186">
        <v>2</v>
      </c>
      <c r="S186">
        <v>44</v>
      </c>
      <c r="T186">
        <v>44</v>
      </c>
      <c r="U186">
        <v>2</v>
      </c>
      <c r="V186">
        <v>1</v>
      </c>
      <c r="W186">
        <v>1</v>
      </c>
      <c r="X186">
        <v>1</v>
      </c>
      <c r="Y186">
        <v>2</v>
      </c>
      <c r="Z186">
        <v>2</v>
      </c>
      <c r="AA186">
        <v>2</v>
      </c>
      <c r="AB186">
        <v>2</v>
      </c>
      <c r="AC186">
        <v>2</v>
      </c>
      <c r="AD186">
        <v>4</v>
      </c>
      <c r="AE186">
        <v>6</v>
      </c>
      <c r="AF186">
        <v>6</v>
      </c>
      <c r="AG186">
        <v>6</v>
      </c>
      <c r="AH186">
        <v>7</v>
      </c>
      <c r="AI186">
        <v>8</v>
      </c>
      <c r="AJ186">
        <v>7</v>
      </c>
      <c r="AK186">
        <v>4</v>
      </c>
      <c r="AL186">
        <v>127400472</v>
      </c>
      <c r="AM186">
        <v>102388120</v>
      </c>
      <c r="AN186">
        <v>195913872</v>
      </c>
      <c r="AO186">
        <v>327696896</v>
      </c>
      <c r="AP186">
        <v>112116728</v>
      </c>
      <c r="AQ186">
        <v>117524776</v>
      </c>
      <c r="AR186">
        <v>128747592</v>
      </c>
      <c r="AS186">
        <v>97739120</v>
      </c>
      <c r="AT186">
        <v>1037102.69</v>
      </c>
      <c r="AU186">
        <v>680064.94</v>
      </c>
      <c r="AV186">
        <v>390653.75</v>
      </c>
      <c r="AW186">
        <v>179552544</v>
      </c>
      <c r="AX186">
        <v>128905032</v>
      </c>
      <c r="AY186">
        <v>120545392</v>
      </c>
      <c r="AZ186">
        <v>113488920</v>
      </c>
      <c r="BA186">
        <v>80332944</v>
      </c>
    </row>
    <row r="187" spans="1:53">
      <c r="A187">
        <v>16862</v>
      </c>
      <c r="B187" t="s">
        <v>813</v>
      </c>
      <c r="C187" t="s">
        <v>814</v>
      </c>
      <c r="D187" t="s">
        <v>815</v>
      </c>
      <c r="F187" t="s">
        <v>816</v>
      </c>
      <c r="G187">
        <v>18.247</v>
      </c>
      <c r="H187" t="s">
        <v>58</v>
      </c>
      <c r="I187">
        <v>2</v>
      </c>
      <c r="J187">
        <v>2</v>
      </c>
      <c r="K187">
        <v>0</v>
      </c>
      <c r="L187">
        <v>5.26</v>
      </c>
      <c r="M187">
        <v>31453</v>
      </c>
      <c r="N187">
        <v>4</v>
      </c>
      <c r="O187">
        <v>1</v>
      </c>
      <c r="P187">
        <v>1</v>
      </c>
      <c r="Q187">
        <v>1</v>
      </c>
      <c r="R187">
        <v>1</v>
      </c>
      <c r="S187">
        <v>7</v>
      </c>
      <c r="T187">
        <v>7</v>
      </c>
      <c r="U187">
        <v>1</v>
      </c>
      <c r="V187">
        <v>1</v>
      </c>
      <c r="W187">
        <v>1</v>
      </c>
      <c r="Y187">
        <v>1</v>
      </c>
      <c r="AB187">
        <v>1</v>
      </c>
      <c r="AC187">
        <v>1</v>
      </c>
      <c r="AD187">
        <v>0</v>
      </c>
      <c r="AE187">
        <v>0</v>
      </c>
      <c r="AF187">
        <v>0</v>
      </c>
      <c r="AG187">
        <v>6</v>
      </c>
      <c r="AH187">
        <v>0</v>
      </c>
      <c r="AI187">
        <v>0</v>
      </c>
      <c r="AJ187">
        <v>1</v>
      </c>
      <c r="AK187">
        <v>1</v>
      </c>
      <c r="AL187">
        <v>843347.88</v>
      </c>
      <c r="AM187">
        <v>635444.12</v>
      </c>
      <c r="AO187">
        <v>9379704</v>
      </c>
      <c r="AR187">
        <v>2352990</v>
      </c>
      <c r="AS187">
        <v>3654254</v>
      </c>
      <c r="AT187">
        <v>230540.2</v>
      </c>
      <c r="AU187">
        <v>151500.23000000001</v>
      </c>
      <c r="AV187">
        <v>374615.16</v>
      </c>
      <c r="AW187">
        <v>3994735.75</v>
      </c>
      <c r="AX187">
        <v>278828.78000000003</v>
      </c>
      <c r="AY187">
        <v>249615.83</v>
      </c>
      <c r="AZ187">
        <v>1696086.5</v>
      </c>
      <c r="BA187">
        <v>2018069.38</v>
      </c>
    </row>
    <row r="188" spans="1:53">
      <c r="A188">
        <v>16759</v>
      </c>
      <c r="B188" t="s">
        <v>817</v>
      </c>
      <c r="C188" t="s">
        <v>818</v>
      </c>
      <c r="D188" t="s">
        <v>819</v>
      </c>
      <c r="F188" t="s">
        <v>820</v>
      </c>
      <c r="G188">
        <v>17.940999999999999</v>
      </c>
      <c r="H188" t="s">
        <v>58</v>
      </c>
      <c r="I188">
        <v>2</v>
      </c>
      <c r="J188">
        <v>21</v>
      </c>
      <c r="K188">
        <v>0</v>
      </c>
      <c r="L188">
        <v>11.54</v>
      </c>
      <c r="M188">
        <v>20605</v>
      </c>
      <c r="N188">
        <v>12</v>
      </c>
      <c r="O188">
        <v>2</v>
      </c>
      <c r="P188">
        <v>2</v>
      </c>
      <c r="Q188">
        <v>2</v>
      </c>
      <c r="R188">
        <v>2</v>
      </c>
      <c r="S188">
        <v>3</v>
      </c>
      <c r="T188">
        <v>3</v>
      </c>
      <c r="U188">
        <v>1</v>
      </c>
      <c r="V188">
        <v>1</v>
      </c>
      <c r="W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1</v>
      </c>
      <c r="AL188">
        <v>1065575.5</v>
      </c>
      <c r="AM188">
        <v>1029503.06</v>
      </c>
      <c r="AO188">
        <v>2321838.5</v>
      </c>
      <c r="AP188">
        <v>906061.06</v>
      </c>
      <c r="AQ188">
        <v>866503.69</v>
      </c>
      <c r="AR188">
        <v>877612.75</v>
      </c>
      <c r="AS188">
        <v>1055965.1200000001</v>
      </c>
      <c r="AT188">
        <v>1065575.5</v>
      </c>
      <c r="AU188">
        <v>1068530.3799999999</v>
      </c>
      <c r="AV188">
        <v>374615.16</v>
      </c>
      <c r="AW188">
        <v>776908.44</v>
      </c>
      <c r="AX188">
        <v>546982</v>
      </c>
      <c r="AY188">
        <v>475743.22</v>
      </c>
      <c r="AZ188">
        <v>447894.88</v>
      </c>
      <c r="BA188">
        <v>484388.66</v>
      </c>
    </row>
    <row r="189" spans="1:53">
      <c r="A189">
        <v>16727</v>
      </c>
      <c r="B189" t="s">
        <v>821</v>
      </c>
      <c r="C189" t="s">
        <v>822</v>
      </c>
      <c r="D189" t="s">
        <v>821</v>
      </c>
      <c r="F189" t="s">
        <v>823</v>
      </c>
      <c r="G189">
        <v>17.056000000000001</v>
      </c>
      <c r="H189" t="s">
        <v>58</v>
      </c>
      <c r="I189">
        <v>2</v>
      </c>
      <c r="J189">
        <v>1</v>
      </c>
      <c r="K189">
        <v>0</v>
      </c>
      <c r="L189">
        <v>4.6399999999999997</v>
      </c>
      <c r="M189">
        <v>51192</v>
      </c>
      <c r="N189">
        <v>28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X189">
        <v>1</v>
      </c>
      <c r="Y189">
        <v>1</v>
      </c>
      <c r="Z189">
        <v>1</v>
      </c>
      <c r="AA189">
        <v>1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N189">
        <v>1159532.6200000001</v>
      </c>
      <c r="AO189">
        <v>1172029.25</v>
      </c>
      <c r="AP189">
        <v>973037.06</v>
      </c>
      <c r="AQ189">
        <v>711535.81</v>
      </c>
      <c r="AS189">
        <v>986346.25</v>
      </c>
      <c r="AT189">
        <v>99934.65</v>
      </c>
      <c r="AU189">
        <v>151704.31</v>
      </c>
      <c r="AV189">
        <v>554074.68999999994</v>
      </c>
      <c r="AW189">
        <v>392171.72</v>
      </c>
      <c r="AX189">
        <v>587414.88</v>
      </c>
      <c r="AY189">
        <v>390660</v>
      </c>
      <c r="AZ189">
        <v>274135.90999999997</v>
      </c>
      <c r="BA189">
        <v>452453.34</v>
      </c>
    </row>
    <row r="190" spans="1:53">
      <c r="A190">
        <v>16806</v>
      </c>
      <c r="B190" t="s">
        <v>824</v>
      </c>
      <c r="C190" t="s">
        <v>825</v>
      </c>
      <c r="D190" t="s">
        <v>826</v>
      </c>
      <c r="F190" t="s">
        <v>827</v>
      </c>
      <c r="G190">
        <v>16.315000000000001</v>
      </c>
      <c r="H190" t="s">
        <v>58</v>
      </c>
      <c r="I190">
        <v>2</v>
      </c>
      <c r="J190">
        <v>3</v>
      </c>
      <c r="K190">
        <v>0</v>
      </c>
      <c r="L190">
        <v>10.57</v>
      </c>
      <c r="M190">
        <v>28203</v>
      </c>
      <c r="N190">
        <v>18</v>
      </c>
      <c r="O190">
        <v>2</v>
      </c>
      <c r="P190">
        <v>2</v>
      </c>
      <c r="Q190">
        <v>2</v>
      </c>
      <c r="R190">
        <v>2</v>
      </c>
      <c r="S190">
        <v>3</v>
      </c>
      <c r="T190">
        <v>3</v>
      </c>
      <c r="U190">
        <v>2</v>
      </c>
      <c r="W190">
        <v>1</v>
      </c>
      <c r="X190">
        <v>1</v>
      </c>
      <c r="Y190">
        <v>2</v>
      </c>
      <c r="Z190">
        <v>1</v>
      </c>
      <c r="AA190">
        <v>1</v>
      </c>
      <c r="AB190">
        <v>2</v>
      </c>
      <c r="AC190">
        <v>1</v>
      </c>
      <c r="AD190">
        <v>0</v>
      </c>
      <c r="AE190">
        <v>0</v>
      </c>
      <c r="AF190">
        <v>0</v>
      </c>
      <c r="AG190">
        <v>2</v>
      </c>
      <c r="AH190">
        <v>0</v>
      </c>
      <c r="AI190">
        <v>1</v>
      </c>
      <c r="AJ190">
        <v>0</v>
      </c>
      <c r="AK190">
        <v>0</v>
      </c>
      <c r="AM190">
        <v>461477.75</v>
      </c>
      <c r="AN190">
        <v>1264990.75</v>
      </c>
      <c r="AO190">
        <v>2727538.75</v>
      </c>
      <c r="AP190">
        <v>457610.75</v>
      </c>
      <c r="AQ190">
        <v>1050023.3799999999</v>
      </c>
      <c r="AR190">
        <v>1143210.1200000001</v>
      </c>
      <c r="AS190">
        <v>915890</v>
      </c>
      <c r="AT190">
        <v>99934.65</v>
      </c>
      <c r="AU190">
        <v>151871.28</v>
      </c>
      <c r="AV190">
        <v>143339.22</v>
      </c>
      <c r="AW190">
        <v>1270942.5</v>
      </c>
      <c r="AX190">
        <v>112417.63</v>
      </c>
      <c r="AY190">
        <v>210750.84</v>
      </c>
      <c r="AZ190">
        <v>1645051</v>
      </c>
      <c r="BA190">
        <v>223590.84</v>
      </c>
    </row>
    <row r="191" spans="1:53">
      <c r="A191">
        <v>16831</v>
      </c>
      <c r="B191" t="s">
        <v>828</v>
      </c>
      <c r="C191" t="s">
        <v>829</v>
      </c>
      <c r="D191" t="s">
        <v>830</v>
      </c>
      <c r="F191" t="s">
        <v>831</v>
      </c>
      <c r="G191">
        <v>14.75</v>
      </c>
      <c r="H191" t="s">
        <v>58</v>
      </c>
      <c r="I191">
        <v>2</v>
      </c>
      <c r="J191">
        <v>2</v>
      </c>
      <c r="K191">
        <v>0</v>
      </c>
      <c r="L191">
        <v>3.64</v>
      </c>
      <c r="M191">
        <v>32730</v>
      </c>
      <c r="N191">
        <v>19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N191">
        <v>501104.84</v>
      </c>
      <c r="AO191">
        <v>843894.31</v>
      </c>
      <c r="AP191">
        <v>425144.5</v>
      </c>
      <c r="AQ191">
        <v>415432.75</v>
      </c>
      <c r="AR191">
        <v>381300.16</v>
      </c>
      <c r="AT191">
        <v>99934.65</v>
      </c>
      <c r="AU191">
        <v>151704.31</v>
      </c>
      <c r="AV191">
        <v>239449.48</v>
      </c>
      <c r="AW191">
        <v>282374.78000000003</v>
      </c>
      <c r="AX191">
        <v>256656.41</v>
      </c>
      <c r="AY191">
        <v>228088.23</v>
      </c>
      <c r="AZ191">
        <v>194598.81</v>
      </c>
      <c r="BA191">
        <v>275347</v>
      </c>
    </row>
    <row r="192" spans="1:53">
      <c r="A192">
        <v>16723</v>
      </c>
      <c r="B192" t="s">
        <v>832</v>
      </c>
      <c r="C192" t="s">
        <v>833</v>
      </c>
      <c r="D192" t="s">
        <v>834</v>
      </c>
      <c r="F192" t="s">
        <v>835</v>
      </c>
      <c r="G192">
        <v>13.887</v>
      </c>
      <c r="H192" t="s">
        <v>58</v>
      </c>
      <c r="I192">
        <v>2</v>
      </c>
      <c r="J192">
        <v>20</v>
      </c>
      <c r="K192">
        <v>0</v>
      </c>
      <c r="L192">
        <v>6.83</v>
      </c>
      <c r="M192">
        <v>17360</v>
      </c>
      <c r="N192">
        <v>6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C192">
        <v>1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952996.81</v>
      </c>
      <c r="AM192">
        <v>1070348.1200000001</v>
      </c>
      <c r="AN192">
        <v>1017293.94</v>
      </c>
      <c r="AO192">
        <v>1378773.25</v>
      </c>
      <c r="AP192">
        <v>529692.12</v>
      </c>
      <c r="AQ192">
        <v>453723.75</v>
      </c>
      <c r="AS192">
        <v>616923.06000000006</v>
      </c>
      <c r="AT192">
        <v>952996.81</v>
      </c>
      <c r="AU192">
        <v>1110923.8799999999</v>
      </c>
      <c r="AV192">
        <v>486106.91</v>
      </c>
      <c r="AW192">
        <v>461350.19</v>
      </c>
      <c r="AX192">
        <v>319771</v>
      </c>
      <c r="AY192">
        <v>249111.45</v>
      </c>
      <c r="AZ192">
        <v>274135.90999999997</v>
      </c>
      <c r="BA192">
        <v>282992.81</v>
      </c>
    </row>
    <row r="193" spans="1:53">
      <c r="A193">
        <v>16844</v>
      </c>
      <c r="B193" t="s">
        <v>836</v>
      </c>
      <c r="C193" t="s">
        <v>837</v>
      </c>
      <c r="D193" t="s">
        <v>836</v>
      </c>
      <c r="F193" t="s">
        <v>838</v>
      </c>
      <c r="G193">
        <v>13.419</v>
      </c>
      <c r="H193" t="s">
        <v>58</v>
      </c>
      <c r="I193">
        <v>2</v>
      </c>
      <c r="J193">
        <v>1</v>
      </c>
      <c r="K193">
        <v>0</v>
      </c>
      <c r="L193">
        <v>4.88</v>
      </c>
      <c r="M193">
        <v>27797</v>
      </c>
      <c r="N193">
        <v>14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1</v>
      </c>
      <c r="AN193">
        <v>593552.31000000006</v>
      </c>
      <c r="AO193">
        <v>662546.38</v>
      </c>
      <c r="AP193">
        <v>289420.5</v>
      </c>
      <c r="AQ193">
        <v>444718.66</v>
      </c>
      <c r="AR193">
        <v>286749.53000000003</v>
      </c>
      <c r="AS193">
        <v>412964.97</v>
      </c>
      <c r="AT193">
        <v>99934.65</v>
      </c>
      <c r="AU193">
        <v>151704.31</v>
      </c>
      <c r="AV193">
        <v>283624.90999999997</v>
      </c>
      <c r="AW193">
        <v>221694.09</v>
      </c>
      <c r="AX193">
        <v>174720.89</v>
      </c>
      <c r="AY193">
        <v>244167.3</v>
      </c>
      <c r="AZ193">
        <v>146344.32999999999</v>
      </c>
      <c r="BA193">
        <v>189433.86</v>
      </c>
    </row>
    <row r="194" spans="1:53">
      <c r="A194">
        <v>16755</v>
      </c>
      <c r="B194" t="s">
        <v>839</v>
      </c>
      <c r="C194" t="s">
        <v>840</v>
      </c>
      <c r="D194" t="s">
        <v>841</v>
      </c>
      <c r="F194" t="s">
        <v>842</v>
      </c>
      <c r="G194">
        <v>12.491</v>
      </c>
      <c r="H194" t="s">
        <v>58</v>
      </c>
      <c r="I194">
        <v>2</v>
      </c>
      <c r="J194">
        <v>2</v>
      </c>
      <c r="K194">
        <v>0</v>
      </c>
      <c r="L194">
        <v>3.18</v>
      </c>
      <c r="M194">
        <v>37389</v>
      </c>
      <c r="N194">
        <v>14</v>
      </c>
      <c r="O194">
        <v>1</v>
      </c>
      <c r="P194">
        <v>1</v>
      </c>
      <c r="Q194">
        <v>1</v>
      </c>
      <c r="R194">
        <v>1</v>
      </c>
      <c r="S194">
        <v>3</v>
      </c>
      <c r="T194">
        <v>3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0</v>
      </c>
      <c r="AE194">
        <v>0</v>
      </c>
      <c r="AF194">
        <v>1</v>
      </c>
      <c r="AG194">
        <v>1</v>
      </c>
      <c r="AH194">
        <v>0</v>
      </c>
      <c r="AI194">
        <v>1</v>
      </c>
      <c r="AJ194">
        <v>0</v>
      </c>
      <c r="AK194">
        <v>0</v>
      </c>
      <c r="AL194">
        <v>559103.5</v>
      </c>
      <c r="AM194">
        <v>350763.81</v>
      </c>
      <c r="AN194">
        <v>1213961.5</v>
      </c>
      <c r="AO194">
        <v>1540407.38</v>
      </c>
      <c r="AP194">
        <v>641012.5</v>
      </c>
      <c r="AQ194">
        <v>895949.56</v>
      </c>
      <c r="AR194">
        <v>661868.38</v>
      </c>
      <c r="AS194">
        <v>647693</v>
      </c>
      <c r="AT194">
        <v>559103.5</v>
      </c>
      <c r="AU194">
        <v>364060.84</v>
      </c>
      <c r="AV194">
        <v>580083.12</v>
      </c>
      <c r="AW194">
        <v>515434.44</v>
      </c>
      <c r="AX194">
        <v>386974.25</v>
      </c>
      <c r="AY194">
        <v>491910.09</v>
      </c>
      <c r="AZ194">
        <v>337788.47</v>
      </c>
      <c r="BA194">
        <v>297107.5</v>
      </c>
    </row>
    <row r="195" spans="1:53">
      <c r="A195">
        <v>16711</v>
      </c>
      <c r="B195" t="s">
        <v>843</v>
      </c>
      <c r="C195" t="s">
        <v>844</v>
      </c>
      <c r="D195" t="s">
        <v>845</v>
      </c>
      <c r="F195" t="s">
        <v>846</v>
      </c>
      <c r="G195">
        <v>12.438000000000001</v>
      </c>
      <c r="H195" t="s">
        <v>58</v>
      </c>
      <c r="I195">
        <v>2</v>
      </c>
      <c r="J195">
        <v>19</v>
      </c>
      <c r="K195">
        <v>0</v>
      </c>
      <c r="L195">
        <v>6.23</v>
      </c>
      <c r="M195">
        <v>37972</v>
      </c>
      <c r="N195">
        <v>21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1</v>
      </c>
      <c r="AA195">
        <v>1</v>
      </c>
      <c r="AB195">
        <v>2</v>
      </c>
      <c r="AC195">
        <v>2</v>
      </c>
      <c r="AD195">
        <v>0</v>
      </c>
      <c r="AE195">
        <v>0</v>
      </c>
      <c r="AF195">
        <v>1</v>
      </c>
      <c r="AG195">
        <v>2</v>
      </c>
      <c r="AH195">
        <v>0</v>
      </c>
      <c r="AI195">
        <v>0</v>
      </c>
      <c r="AJ195">
        <v>0</v>
      </c>
      <c r="AK195">
        <v>0</v>
      </c>
      <c r="AL195">
        <v>627066.88</v>
      </c>
      <c r="AM195">
        <v>590824.31000000006</v>
      </c>
      <c r="AN195">
        <v>2220470.75</v>
      </c>
      <c r="AO195">
        <v>2772021</v>
      </c>
      <c r="AP195">
        <v>482583.72</v>
      </c>
      <c r="AQ195">
        <v>598249.75</v>
      </c>
      <c r="AR195">
        <v>839941.25</v>
      </c>
      <c r="AS195">
        <v>978458.88</v>
      </c>
      <c r="AT195">
        <v>586254.93999999994</v>
      </c>
      <c r="AU195">
        <v>563630.68999999994</v>
      </c>
      <c r="AV195">
        <v>988714.69</v>
      </c>
      <c r="AW195">
        <v>844469.75</v>
      </c>
      <c r="AX195">
        <v>121750.62</v>
      </c>
      <c r="AY195">
        <v>132782.20000000001</v>
      </c>
      <c r="AZ195">
        <v>699156.75</v>
      </c>
      <c r="BA195">
        <v>760112.81</v>
      </c>
    </row>
    <row r="196" spans="1:53">
      <c r="A196">
        <v>16762</v>
      </c>
      <c r="B196" t="s">
        <v>847</v>
      </c>
      <c r="C196" t="s">
        <v>848</v>
      </c>
      <c r="D196" t="s">
        <v>849</v>
      </c>
      <c r="F196" t="s">
        <v>850</v>
      </c>
      <c r="G196">
        <v>11.132</v>
      </c>
      <c r="H196" t="s">
        <v>58</v>
      </c>
      <c r="I196">
        <v>2</v>
      </c>
      <c r="J196">
        <v>19</v>
      </c>
      <c r="K196">
        <v>0</v>
      </c>
      <c r="L196">
        <v>4.96</v>
      </c>
      <c r="M196">
        <v>42363</v>
      </c>
      <c r="N196">
        <v>18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>
        <v>2</v>
      </c>
      <c r="V196">
        <v>1</v>
      </c>
      <c r="W196">
        <v>2</v>
      </c>
      <c r="X196">
        <v>1</v>
      </c>
      <c r="Y196">
        <v>2</v>
      </c>
      <c r="Z196">
        <v>1</v>
      </c>
      <c r="AA196">
        <v>1</v>
      </c>
      <c r="AB196">
        <v>2</v>
      </c>
      <c r="AC196">
        <v>2</v>
      </c>
      <c r="AD196">
        <v>0</v>
      </c>
      <c r="AE196">
        <v>0</v>
      </c>
      <c r="AF196">
        <v>0</v>
      </c>
      <c r="AG196">
        <v>2</v>
      </c>
      <c r="AH196">
        <v>0</v>
      </c>
      <c r="AI196">
        <v>0</v>
      </c>
      <c r="AJ196">
        <v>0</v>
      </c>
      <c r="AK196">
        <v>1</v>
      </c>
      <c r="AL196">
        <v>51308.74</v>
      </c>
      <c r="AM196">
        <v>372479.5</v>
      </c>
      <c r="AN196">
        <v>53362.93</v>
      </c>
      <c r="AO196">
        <v>5615783</v>
      </c>
      <c r="AP196">
        <v>847713.56</v>
      </c>
      <c r="AQ196">
        <v>539961.12</v>
      </c>
      <c r="AR196">
        <v>1692292.25</v>
      </c>
      <c r="AS196">
        <v>1829131.88</v>
      </c>
      <c r="AT196">
        <v>46945.04</v>
      </c>
      <c r="AU196">
        <v>257071.86</v>
      </c>
      <c r="AV196">
        <v>21698.61</v>
      </c>
      <c r="AW196">
        <v>1320813.25</v>
      </c>
      <c r="AX196">
        <v>128674.61</v>
      </c>
      <c r="AY196">
        <v>89316.19</v>
      </c>
      <c r="AZ196">
        <v>1438560.12</v>
      </c>
      <c r="BA196">
        <v>1521378.12</v>
      </c>
    </row>
    <row r="197" spans="1:53">
      <c r="A197">
        <v>16774</v>
      </c>
      <c r="B197" t="s">
        <v>851</v>
      </c>
      <c r="C197" t="s">
        <v>852</v>
      </c>
      <c r="D197" t="s">
        <v>853</v>
      </c>
      <c r="F197" t="s">
        <v>854</v>
      </c>
      <c r="G197">
        <v>10.484999999999999</v>
      </c>
      <c r="H197" t="s">
        <v>58</v>
      </c>
      <c r="I197">
        <v>2</v>
      </c>
      <c r="J197">
        <v>22</v>
      </c>
      <c r="K197">
        <v>0</v>
      </c>
      <c r="L197">
        <v>1.64</v>
      </c>
      <c r="M197">
        <v>57328</v>
      </c>
      <c r="N197">
        <v>34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1</v>
      </c>
      <c r="AJ197">
        <v>0</v>
      </c>
      <c r="AK197">
        <v>1</v>
      </c>
      <c r="AL197">
        <v>693655.5</v>
      </c>
      <c r="AM197">
        <v>636614.75</v>
      </c>
      <c r="AN197">
        <v>1794133.75</v>
      </c>
      <c r="AO197">
        <v>1677711.5</v>
      </c>
      <c r="AP197">
        <v>817734.25</v>
      </c>
      <c r="AQ197">
        <v>349728.91</v>
      </c>
      <c r="AR197">
        <v>406034.38</v>
      </c>
      <c r="AS197">
        <v>816156.25</v>
      </c>
      <c r="AT197">
        <v>693655.5</v>
      </c>
      <c r="AU197">
        <v>660748.06000000006</v>
      </c>
      <c r="AV197">
        <v>857314.44</v>
      </c>
      <c r="AW197">
        <v>561377.68999999994</v>
      </c>
      <c r="AX197">
        <v>493659.78</v>
      </c>
      <c r="AY197">
        <v>192014.36</v>
      </c>
      <c r="AZ197">
        <v>207222.06</v>
      </c>
      <c r="BA197">
        <v>374384.38</v>
      </c>
    </row>
    <row r="198" spans="1:53">
      <c r="A198">
        <v>16867</v>
      </c>
      <c r="B198" t="s">
        <v>855</v>
      </c>
      <c r="C198" t="s">
        <v>856</v>
      </c>
      <c r="D198" t="s">
        <v>855</v>
      </c>
      <c r="F198" t="s">
        <v>857</v>
      </c>
      <c r="G198">
        <v>10.391</v>
      </c>
      <c r="H198" t="s">
        <v>58</v>
      </c>
      <c r="I198">
        <v>2</v>
      </c>
      <c r="J198">
        <v>1</v>
      </c>
      <c r="K198">
        <v>0</v>
      </c>
      <c r="L198">
        <v>8.85</v>
      </c>
      <c r="M198">
        <v>20694</v>
      </c>
      <c r="N198">
        <v>8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0</v>
      </c>
      <c r="AE198">
        <v>0</v>
      </c>
      <c r="AF198">
        <v>1</v>
      </c>
      <c r="AG198">
        <v>1</v>
      </c>
      <c r="AH198">
        <v>1</v>
      </c>
      <c r="AI198">
        <v>1</v>
      </c>
      <c r="AJ198">
        <v>0</v>
      </c>
      <c r="AK198">
        <v>0</v>
      </c>
      <c r="AL198">
        <v>961477.88</v>
      </c>
      <c r="AN198">
        <v>1767073.12</v>
      </c>
      <c r="AO198">
        <v>1401943.5</v>
      </c>
      <c r="AP198">
        <v>609480.62</v>
      </c>
      <c r="AQ198">
        <v>774621.44</v>
      </c>
      <c r="AR198">
        <v>1027803.44</v>
      </c>
      <c r="AS198">
        <v>939401.38</v>
      </c>
      <c r="AT198">
        <v>961477.88</v>
      </c>
      <c r="AU198">
        <v>151704.31</v>
      </c>
      <c r="AV198">
        <v>844383.69</v>
      </c>
      <c r="AW198">
        <v>469103.19</v>
      </c>
      <c r="AX198">
        <v>367938.69</v>
      </c>
      <c r="AY198">
        <v>425296.41</v>
      </c>
      <c r="AZ198">
        <v>524545.62</v>
      </c>
      <c r="BA198">
        <v>430918.94</v>
      </c>
    </row>
    <row r="199" spans="1:53">
      <c r="A199">
        <v>16811</v>
      </c>
      <c r="B199" t="s">
        <v>858</v>
      </c>
      <c r="C199" t="s">
        <v>859</v>
      </c>
      <c r="D199" t="s">
        <v>860</v>
      </c>
      <c r="F199" t="s">
        <v>861</v>
      </c>
      <c r="G199">
        <v>10.324999999999999</v>
      </c>
      <c r="H199" t="s">
        <v>58</v>
      </c>
      <c r="I199">
        <v>2</v>
      </c>
      <c r="J199">
        <v>3</v>
      </c>
      <c r="K199">
        <v>0</v>
      </c>
      <c r="L199">
        <v>1.93</v>
      </c>
      <c r="M199">
        <v>52667</v>
      </c>
      <c r="N199">
        <v>26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1371500.5</v>
      </c>
      <c r="AM199">
        <v>1525312.5</v>
      </c>
      <c r="AN199">
        <v>965119.38</v>
      </c>
      <c r="AO199">
        <v>1469976.25</v>
      </c>
      <c r="AP199">
        <v>1089235.25</v>
      </c>
      <c r="AQ199">
        <v>1121270.5</v>
      </c>
      <c r="AR199">
        <v>555266.68999999994</v>
      </c>
      <c r="AS199">
        <v>359680.69</v>
      </c>
      <c r="AT199">
        <v>1371500.5</v>
      </c>
      <c r="AU199">
        <v>1583135.38</v>
      </c>
      <c r="AV199">
        <v>461175.66</v>
      </c>
      <c r="AW199">
        <v>491867.53</v>
      </c>
      <c r="AX199">
        <v>657562.81000000006</v>
      </c>
      <c r="AY199">
        <v>615619.75</v>
      </c>
      <c r="AZ199">
        <v>283383.65999999997</v>
      </c>
      <c r="BA199">
        <v>164991.48000000001</v>
      </c>
    </row>
    <row r="200" spans="1:53">
      <c r="A200">
        <v>16782</v>
      </c>
      <c r="B200" t="s">
        <v>862</v>
      </c>
      <c r="C200" t="s">
        <v>863</v>
      </c>
      <c r="D200" t="s">
        <v>864</v>
      </c>
      <c r="F200" t="s">
        <v>865</v>
      </c>
      <c r="G200">
        <v>9.5559999999999992</v>
      </c>
      <c r="H200" t="s">
        <v>58</v>
      </c>
      <c r="I200">
        <v>2</v>
      </c>
      <c r="J200">
        <v>3</v>
      </c>
      <c r="K200">
        <v>0</v>
      </c>
      <c r="L200">
        <v>4.37</v>
      </c>
      <c r="M200">
        <v>28547</v>
      </c>
      <c r="N200">
        <v>11</v>
      </c>
      <c r="O200">
        <v>1</v>
      </c>
      <c r="P200">
        <v>1</v>
      </c>
      <c r="Q200">
        <v>1</v>
      </c>
      <c r="R200">
        <v>1</v>
      </c>
      <c r="S200">
        <v>2</v>
      </c>
      <c r="T200">
        <v>2</v>
      </c>
      <c r="U200">
        <v>1</v>
      </c>
      <c r="X200">
        <v>1</v>
      </c>
      <c r="Z200">
        <v>1</v>
      </c>
      <c r="AA200">
        <v>1</v>
      </c>
      <c r="AB200">
        <v>1</v>
      </c>
      <c r="AD200">
        <v>0</v>
      </c>
      <c r="AE200">
        <v>0</v>
      </c>
      <c r="AF200">
        <v>2</v>
      </c>
      <c r="AG200">
        <v>0</v>
      </c>
      <c r="AH200">
        <v>1</v>
      </c>
      <c r="AI200">
        <v>1</v>
      </c>
      <c r="AJ200">
        <v>0</v>
      </c>
      <c r="AK200">
        <v>0</v>
      </c>
      <c r="AN200">
        <v>1404409.88</v>
      </c>
      <c r="AP200">
        <v>530415.38</v>
      </c>
      <c r="AQ200">
        <v>719736.62</v>
      </c>
      <c r="AR200">
        <v>768169.88</v>
      </c>
      <c r="AT200">
        <v>99934.65</v>
      </c>
      <c r="AU200">
        <v>151704.31</v>
      </c>
      <c r="AV200">
        <v>671087.56000000006</v>
      </c>
      <c r="AW200">
        <v>360097.09</v>
      </c>
      <c r="AX200">
        <v>320207.62</v>
      </c>
      <c r="AY200">
        <v>395162.56</v>
      </c>
      <c r="AZ200">
        <v>392040.06</v>
      </c>
      <c r="BA200">
        <v>275347</v>
      </c>
    </row>
    <row r="201" spans="1:53">
      <c r="A201">
        <v>16807</v>
      </c>
      <c r="B201" t="s">
        <v>866</v>
      </c>
      <c r="C201" t="s">
        <v>867</v>
      </c>
      <c r="D201" t="s">
        <v>868</v>
      </c>
      <c r="F201" t="s">
        <v>869</v>
      </c>
      <c r="G201">
        <v>9.2750000000000004</v>
      </c>
      <c r="H201" t="s">
        <v>58</v>
      </c>
      <c r="I201">
        <v>2</v>
      </c>
      <c r="J201">
        <v>11</v>
      </c>
      <c r="K201">
        <v>0</v>
      </c>
      <c r="L201">
        <v>1.38</v>
      </c>
      <c r="M201">
        <v>80038</v>
      </c>
      <c r="N201">
        <v>43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Y201">
        <v>1</v>
      </c>
      <c r="AA201">
        <v>1</v>
      </c>
      <c r="AB201">
        <v>1</v>
      </c>
      <c r="AC201">
        <v>1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O201">
        <v>841323.25</v>
      </c>
      <c r="AQ201">
        <v>405213.97</v>
      </c>
      <c r="AR201">
        <v>428977.25</v>
      </c>
      <c r="AS201">
        <v>368183.03</v>
      </c>
      <c r="AT201">
        <v>99934.65</v>
      </c>
      <c r="AU201">
        <v>151704.31</v>
      </c>
      <c r="AV201">
        <v>374615.16</v>
      </c>
      <c r="AW201">
        <v>281514.5</v>
      </c>
      <c r="AX201">
        <v>278828.78000000003</v>
      </c>
      <c r="AY201">
        <v>222477.73</v>
      </c>
      <c r="AZ201">
        <v>218931.11</v>
      </c>
      <c r="BA201">
        <v>168891.64</v>
      </c>
    </row>
    <row r="202" spans="1:53">
      <c r="A202">
        <v>16868</v>
      </c>
      <c r="B202" t="s">
        <v>870</v>
      </c>
      <c r="C202" t="s">
        <v>871</v>
      </c>
      <c r="D202" t="s">
        <v>872</v>
      </c>
      <c r="F202" t="s">
        <v>873</v>
      </c>
      <c r="G202">
        <v>9.2650000000000006</v>
      </c>
      <c r="H202" t="s">
        <v>58</v>
      </c>
      <c r="I202">
        <v>2</v>
      </c>
      <c r="J202">
        <v>3</v>
      </c>
      <c r="K202">
        <v>0</v>
      </c>
      <c r="L202">
        <v>2.7</v>
      </c>
      <c r="M202">
        <v>107806</v>
      </c>
      <c r="N202">
        <v>54</v>
      </c>
      <c r="O202">
        <v>2</v>
      </c>
      <c r="P202">
        <v>2</v>
      </c>
      <c r="Q202">
        <v>2</v>
      </c>
      <c r="R202">
        <v>2</v>
      </c>
      <c r="S202">
        <v>4</v>
      </c>
      <c r="T202">
        <v>4</v>
      </c>
      <c r="U202">
        <v>2</v>
      </c>
      <c r="V202">
        <v>1</v>
      </c>
      <c r="X202">
        <v>2</v>
      </c>
      <c r="Y202">
        <v>2</v>
      </c>
      <c r="Z202">
        <v>2</v>
      </c>
      <c r="AA202">
        <v>2</v>
      </c>
      <c r="AB202">
        <v>2</v>
      </c>
      <c r="AC202">
        <v>2</v>
      </c>
      <c r="AD202">
        <v>0</v>
      </c>
      <c r="AE202">
        <v>0</v>
      </c>
      <c r="AF202">
        <v>1</v>
      </c>
      <c r="AG202">
        <v>3</v>
      </c>
      <c r="AH202">
        <v>2</v>
      </c>
      <c r="AI202">
        <v>2</v>
      </c>
      <c r="AJ202">
        <v>1</v>
      </c>
      <c r="AK202">
        <v>1</v>
      </c>
      <c r="AL202">
        <v>22785034</v>
      </c>
      <c r="AN202">
        <v>17668172</v>
      </c>
      <c r="AO202">
        <v>23070016</v>
      </c>
      <c r="AP202">
        <v>18221692</v>
      </c>
      <c r="AQ202">
        <v>20563384</v>
      </c>
      <c r="AR202">
        <v>16399928</v>
      </c>
      <c r="AS202">
        <v>23595024</v>
      </c>
      <c r="AT202">
        <v>82918.12</v>
      </c>
      <c r="AU202">
        <v>151704.31</v>
      </c>
      <c r="AV202">
        <v>9095386</v>
      </c>
      <c r="AW202">
        <v>10037723</v>
      </c>
      <c r="AX202">
        <v>14843719</v>
      </c>
      <c r="AY202">
        <v>15451343</v>
      </c>
      <c r="AZ202">
        <v>11500998</v>
      </c>
      <c r="BA202">
        <v>14509054</v>
      </c>
    </row>
    <row r="203" spans="1:53">
      <c r="A203">
        <v>16731</v>
      </c>
      <c r="B203" t="s">
        <v>874</v>
      </c>
      <c r="C203" t="s">
        <v>875</v>
      </c>
      <c r="D203" t="s">
        <v>876</v>
      </c>
      <c r="F203" t="s">
        <v>877</v>
      </c>
      <c r="G203">
        <v>8.2720000000000002</v>
      </c>
      <c r="H203" t="s">
        <v>58</v>
      </c>
      <c r="I203">
        <v>2</v>
      </c>
      <c r="J203">
        <v>21</v>
      </c>
      <c r="K203">
        <v>0</v>
      </c>
      <c r="L203">
        <v>2.88</v>
      </c>
      <c r="M203">
        <v>45316</v>
      </c>
      <c r="N203">
        <v>22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0</v>
      </c>
      <c r="AE203">
        <v>0</v>
      </c>
      <c r="AF203">
        <v>1</v>
      </c>
      <c r="AG203">
        <v>1</v>
      </c>
      <c r="AH203">
        <v>0</v>
      </c>
      <c r="AI203">
        <v>1</v>
      </c>
      <c r="AJ203">
        <v>0</v>
      </c>
      <c r="AK203">
        <v>0</v>
      </c>
      <c r="AL203">
        <v>740286.31</v>
      </c>
      <c r="AM203">
        <v>593224.18999999994</v>
      </c>
      <c r="AN203">
        <v>1100317.3799999999</v>
      </c>
      <c r="AO203">
        <v>1489882</v>
      </c>
      <c r="AP203">
        <v>320968.06</v>
      </c>
      <c r="AQ203">
        <v>345948.41</v>
      </c>
      <c r="AR203">
        <v>362924.22</v>
      </c>
      <c r="AS203">
        <v>361340.94</v>
      </c>
      <c r="AT203">
        <v>740286.31</v>
      </c>
      <c r="AU203">
        <v>615712.62</v>
      </c>
      <c r="AV203">
        <v>525779.06000000006</v>
      </c>
      <c r="AW203">
        <v>498528.19</v>
      </c>
      <c r="AX203">
        <v>193765.91</v>
      </c>
      <c r="AY203">
        <v>189938.72</v>
      </c>
      <c r="AZ203">
        <v>185220.55</v>
      </c>
      <c r="BA203">
        <v>165753.06</v>
      </c>
    </row>
    <row r="204" spans="1:53">
      <c r="A204">
        <v>16814</v>
      </c>
      <c r="B204" t="s">
        <v>878</v>
      </c>
      <c r="C204" t="s">
        <v>879</v>
      </c>
      <c r="D204" t="s">
        <v>880</v>
      </c>
      <c r="F204" t="s">
        <v>881</v>
      </c>
      <c r="G204">
        <v>7.3810000000000002</v>
      </c>
      <c r="H204" t="s">
        <v>58</v>
      </c>
      <c r="I204">
        <v>2</v>
      </c>
      <c r="J204">
        <v>3</v>
      </c>
      <c r="K204">
        <v>0</v>
      </c>
      <c r="L204">
        <v>3.74</v>
      </c>
      <c r="M204">
        <v>34031</v>
      </c>
      <c r="N204">
        <v>19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N204">
        <v>810505.62</v>
      </c>
      <c r="AO204">
        <v>987273.5</v>
      </c>
      <c r="AP204">
        <v>458474.09</v>
      </c>
      <c r="AQ204">
        <v>646688.31000000006</v>
      </c>
      <c r="AR204">
        <v>498483.16</v>
      </c>
      <c r="AS204">
        <v>632683.25</v>
      </c>
      <c r="AT204">
        <v>99934.65</v>
      </c>
      <c r="AU204">
        <v>151704.31</v>
      </c>
      <c r="AV204">
        <v>387294.53</v>
      </c>
      <c r="AW204">
        <v>330350.78000000003</v>
      </c>
      <c r="AX204">
        <v>276777.21999999997</v>
      </c>
      <c r="AY204">
        <v>355056.25</v>
      </c>
      <c r="AZ204">
        <v>254403.84</v>
      </c>
      <c r="BA204">
        <v>290222.28000000003</v>
      </c>
    </row>
    <row r="205" spans="1:53">
      <c r="A205">
        <v>16808</v>
      </c>
      <c r="B205" t="s">
        <v>882</v>
      </c>
      <c r="C205" t="s">
        <v>883</v>
      </c>
      <c r="D205" t="s">
        <v>884</v>
      </c>
      <c r="F205" t="s">
        <v>885</v>
      </c>
      <c r="G205">
        <v>7.3230000000000004</v>
      </c>
      <c r="H205" t="s">
        <v>58</v>
      </c>
      <c r="I205">
        <v>2</v>
      </c>
      <c r="J205">
        <v>10</v>
      </c>
      <c r="K205">
        <v>0</v>
      </c>
      <c r="L205">
        <v>1.75</v>
      </c>
      <c r="M205">
        <v>51859</v>
      </c>
      <c r="N205">
        <v>33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686346.5</v>
      </c>
      <c r="AM205">
        <v>537392.88</v>
      </c>
      <c r="AN205">
        <v>1679491.88</v>
      </c>
      <c r="AO205">
        <v>1957946.25</v>
      </c>
      <c r="AP205">
        <v>829214.12</v>
      </c>
      <c r="AQ205">
        <v>835627.56</v>
      </c>
      <c r="AR205">
        <v>665648.38</v>
      </c>
      <c r="AS205">
        <v>908491.5</v>
      </c>
      <c r="AT205">
        <v>686346.5</v>
      </c>
      <c r="AU205">
        <v>557764.81000000006</v>
      </c>
      <c r="AV205">
        <v>802533.62</v>
      </c>
      <c r="AW205">
        <v>655146.81000000006</v>
      </c>
      <c r="AX205">
        <v>500590.06</v>
      </c>
      <c r="AY205">
        <v>458791.03</v>
      </c>
      <c r="AZ205">
        <v>339717.62</v>
      </c>
      <c r="BA205">
        <v>416740.06</v>
      </c>
    </row>
    <row r="206" spans="1:53">
      <c r="A206">
        <v>16752</v>
      </c>
      <c r="B206" t="s">
        <v>886</v>
      </c>
      <c r="C206" t="s">
        <v>887</v>
      </c>
      <c r="D206" t="s">
        <v>888</v>
      </c>
      <c r="F206" t="s">
        <v>889</v>
      </c>
      <c r="G206">
        <v>7.306</v>
      </c>
      <c r="H206" t="s">
        <v>58</v>
      </c>
      <c r="I206">
        <v>2</v>
      </c>
      <c r="J206">
        <v>18</v>
      </c>
      <c r="K206">
        <v>0</v>
      </c>
      <c r="L206">
        <v>2.2200000000000002</v>
      </c>
      <c r="M206">
        <v>36359</v>
      </c>
      <c r="N206">
        <v>18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375279.06</v>
      </c>
      <c r="AM206">
        <v>382199.69</v>
      </c>
      <c r="AN206">
        <v>964201.38</v>
      </c>
      <c r="AO206">
        <v>1165349.1200000001</v>
      </c>
      <c r="AP206">
        <v>590663.93999999994</v>
      </c>
      <c r="AQ206">
        <v>684834.62</v>
      </c>
      <c r="AR206">
        <v>516278</v>
      </c>
      <c r="AS206">
        <v>510664.34</v>
      </c>
      <c r="AT206">
        <v>375279.06</v>
      </c>
      <c r="AU206">
        <v>396688.44</v>
      </c>
      <c r="AV206">
        <v>460737</v>
      </c>
      <c r="AW206">
        <v>389936.53</v>
      </c>
      <c r="AX206">
        <v>356579.22</v>
      </c>
      <c r="AY206">
        <v>376000.03</v>
      </c>
      <c r="AZ206">
        <v>263485.56</v>
      </c>
      <c r="BA206">
        <v>234250.17</v>
      </c>
    </row>
    <row r="207" spans="1:53">
      <c r="A207">
        <v>16746</v>
      </c>
      <c r="B207" t="s">
        <v>890</v>
      </c>
      <c r="C207" t="s">
        <v>891</v>
      </c>
      <c r="D207" t="s">
        <v>892</v>
      </c>
      <c r="E207" t="s">
        <v>893</v>
      </c>
      <c r="F207" t="s">
        <v>894</v>
      </c>
      <c r="G207">
        <v>7.056</v>
      </c>
      <c r="H207" t="s">
        <v>58</v>
      </c>
      <c r="I207">
        <v>2</v>
      </c>
      <c r="J207">
        <v>3</v>
      </c>
      <c r="K207">
        <v>1</v>
      </c>
      <c r="L207">
        <v>4.83</v>
      </c>
      <c r="M207">
        <v>35532</v>
      </c>
      <c r="N207">
        <v>24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2</v>
      </c>
      <c r="AA207">
        <v>1</v>
      </c>
      <c r="AB207">
        <v>1</v>
      </c>
      <c r="AD207">
        <v>0</v>
      </c>
      <c r="AE207">
        <v>2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18454528</v>
      </c>
      <c r="AM207">
        <v>21967140</v>
      </c>
      <c r="AQ207">
        <v>181949.16</v>
      </c>
      <c r="AR207">
        <v>150616.03</v>
      </c>
      <c r="AT207">
        <v>14311312</v>
      </c>
      <c r="AU207">
        <v>25092926</v>
      </c>
      <c r="AV207">
        <v>374615.16</v>
      </c>
      <c r="AW207">
        <v>360097.09</v>
      </c>
      <c r="AX207">
        <v>278828.78000000003</v>
      </c>
      <c r="AY207">
        <v>948097.75</v>
      </c>
      <c r="AZ207">
        <v>731947.62</v>
      </c>
      <c r="BA207">
        <v>275347</v>
      </c>
    </row>
    <row r="208" spans="1:53">
      <c r="A208">
        <v>16697</v>
      </c>
      <c r="B208" t="s">
        <v>895</v>
      </c>
      <c r="C208" t="s">
        <v>896</v>
      </c>
      <c r="D208" t="s">
        <v>897</v>
      </c>
      <c r="F208" t="s">
        <v>898</v>
      </c>
      <c r="G208">
        <v>6.8179999999999996</v>
      </c>
      <c r="H208" t="s">
        <v>58</v>
      </c>
      <c r="I208">
        <v>2</v>
      </c>
      <c r="J208">
        <v>3</v>
      </c>
      <c r="K208">
        <v>0</v>
      </c>
      <c r="L208">
        <v>3.36</v>
      </c>
      <c r="M208">
        <v>129898</v>
      </c>
      <c r="N208">
        <v>76</v>
      </c>
      <c r="O208">
        <v>4</v>
      </c>
      <c r="P208">
        <v>4</v>
      </c>
      <c r="Q208">
        <v>4</v>
      </c>
      <c r="R208">
        <v>4</v>
      </c>
      <c r="S208">
        <v>4</v>
      </c>
      <c r="T208">
        <v>4</v>
      </c>
      <c r="U208">
        <v>4</v>
      </c>
      <c r="V208">
        <v>3</v>
      </c>
      <c r="W208">
        <v>3</v>
      </c>
      <c r="X208">
        <v>4</v>
      </c>
      <c r="Y208">
        <v>4</v>
      </c>
      <c r="Z208">
        <v>4</v>
      </c>
      <c r="AA208">
        <v>3</v>
      </c>
      <c r="AB208">
        <v>4</v>
      </c>
      <c r="AC208">
        <v>4</v>
      </c>
      <c r="AD208">
        <v>0</v>
      </c>
      <c r="AE208">
        <v>0</v>
      </c>
      <c r="AF208">
        <v>0</v>
      </c>
      <c r="AG208">
        <v>2</v>
      </c>
      <c r="AH208">
        <v>0</v>
      </c>
      <c r="AI208">
        <v>1</v>
      </c>
      <c r="AJ208">
        <v>2</v>
      </c>
      <c r="AK208">
        <v>1</v>
      </c>
      <c r="AL208">
        <v>1072091.75</v>
      </c>
      <c r="AM208">
        <v>1116550</v>
      </c>
      <c r="AN208">
        <v>3972200.5</v>
      </c>
      <c r="AO208">
        <v>4682863</v>
      </c>
      <c r="AP208">
        <v>1949414.5</v>
      </c>
      <c r="AQ208">
        <v>1728115.88</v>
      </c>
      <c r="AR208">
        <v>2168782.75</v>
      </c>
      <c r="AS208">
        <v>2189201.75</v>
      </c>
      <c r="AT208">
        <v>689333.25</v>
      </c>
      <c r="AU208">
        <v>1072552.1200000001</v>
      </c>
      <c r="AV208">
        <v>2009980.5</v>
      </c>
      <c r="AW208">
        <v>1746035.38</v>
      </c>
      <c r="AX208">
        <v>1192973.8799999999</v>
      </c>
      <c r="AY208">
        <v>1070496.1200000001</v>
      </c>
      <c r="AZ208">
        <v>1080069.25</v>
      </c>
      <c r="BA208">
        <v>968719.31</v>
      </c>
    </row>
    <row r="209" spans="1:53">
      <c r="A209">
        <v>16804</v>
      </c>
      <c r="B209" t="s">
        <v>899</v>
      </c>
      <c r="C209" t="s">
        <v>900</v>
      </c>
      <c r="D209" t="s">
        <v>901</v>
      </c>
      <c r="F209" t="s">
        <v>902</v>
      </c>
      <c r="G209">
        <v>6.641</v>
      </c>
      <c r="H209" t="s">
        <v>58</v>
      </c>
      <c r="I209">
        <v>2</v>
      </c>
      <c r="J209">
        <v>3</v>
      </c>
      <c r="K209">
        <v>0</v>
      </c>
      <c r="L209">
        <v>9.2799999999999994</v>
      </c>
      <c r="M209">
        <v>10783</v>
      </c>
      <c r="N209">
        <v>7</v>
      </c>
      <c r="O209">
        <v>1</v>
      </c>
      <c r="P209">
        <v>1</v>
      </c>
      <c r="Q209">
        <v>1</v>
      </c>
      <c r="R209">
        <v>1</v>
      </c>
      <c r="S209">
        <v>2</v>
      </c>
      <c r="T209">
        <v>2</v>
      </c>
      <c r="U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</v>
      </c>
      <c r="AN209">
        <v>11637938</v>
      </c>
      <c r="AO209">
        <v>10113879</v>
      </c>
      <c r="AP209">
        <v>7639404</v>
      </c>
      <c r="AQ209">
        <v>6620152</v>
      </c>
      <c r="AR209">
        <v>6874028</v>
      </c>
      <c r="AS209">
        <v>7819862.5</v>
      </c>
      <c r="AT209">
        <v>99934.65</v>
      </c>
      <c r="AU209">
        <v>151704.31</v>
      </c>
      <c r="AV209">
        <v>6821532.5</v>
      </c>
      <c r="AW209">
        <v>6241384.5</v>
      </c>
      <c r="AX209">
        <v>5890405</v>
      </c>
      <c r="AY209">
        <v>5125438</v>
      </c>
      <c r="AZ209">
        <v>4733588.5</v>
      </c>
      <c r="BA209">
        <v>5721715.5</v>
      </c>
    </row>
    <row r="210" spans="1:53">
      <c r="A210">
        <v>16702</v>
      </c>
      <c r="B210" t="s">
        <v>903</v>
      </c>
      <c r="C210" t="s">
        <v>904</v>
      </c>
      <c r="D210" t="s">
        <v>905</v>
      </c>
      <c r="F210" t="s">
        <v>906</v>
      </c>
      <c r="G210">
        <v>6.1120000000000001</v>
      </c>
      <c r="H210" t="s">
        <v>58</v>
      </c>
      <c r="I210">
        <v>2</v>
      </c>
      <c r="J210">
        <v>17</v>
      </c>
      <c r="K210">
        <v>0</v>
      </c>
      <c r="L210">
        <v>1.63</v>
      </c>
      <c r="M210">
        <v>52932</v>
      </c>
      <c r="N210">
        <v>25</v>
      </c>
      <c r="O210">
        <v>1</v>
      </c>
      <c r="P210">
        <v>1</v>
      </c>
      <c r="Q210">
        <v>1</v>
      </c>
      <c r="R210">
        <v>1</v>
      </c>
      <c r="S210">
        <v>2</v>
      </c>
      <c r="T210">
        <v>2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0</v>
      </c>
      <c r="AH210">
        <v>2</v>
      </c>
      <c r="AI210">
        <v>2</v>
      </c>
      <c r="AJ210">
        <v>1</v>
      </c>
      <c r="AK210">
        <v>0</v>
      </c>
      <c r="AL210">
        <v>4443353</v>
      </c>
      <c r="AM210">
        <v>4196692.5</v>
      </c>
      <c r="AN210">
        <v>20221118</v>
      </c>
      <c r="AO210">
        <v>21378596</v>
      </c>
      <c r="AP210">
        <v>8546025</v>
      </c>
      <c r="AQ210">
        <v>8487204</v>
      </c>
      <c r="AR210">
        <v>8387340.5</v>
      </c>
      <c r="AS210">
        <v>10086005</v>
      </c>
      <c r="AT210">
        <v>4443353</v>
      </c>
      <c r="AU210">
        <v>4355784.5</v>
      </c>
      <c r="AV210">
        <v>9662522</v>
      </c>
      <c r="AW210">
        <v>7153474.5</v>
      </c>
      <c r="AX210">
        <v>5159168.5</v>
      </c>
      <c r="AY210">
        <v>4659795</v>
      </c>
      <c r="AZ210">
        <v>4280529.5</v>
      </c>
      <c r="BA210">
        <v>4626617</v>
      </c>
    </row>
    <row r="211" spans="1:53">
      <c r="A211">
        <v>16861</v>
      </c>
      <c r="B211" t="s">
        <v>907</v>
      </c>
      <c r="C211" t="s">
        <v>908</v>
      </c>
      <c r="D211" t="s">
        <v>909</v>
      </c>
      <c r="F211" t="s">
        <v>910</v>
      </c>
      <c r="G211">
        <v>5.8769999999999998</v>
      </c>
      <c r="H211" t="s">
        <v>58</v>
      </c>
      <c r="I211">
        <v>2</v>
      </c>
      <c r="J211">
        <v>3</v>
      </c>
      <c r="K211">
        <v>0</v>
      </c>
      <c r="L211">
        <v>0.82</v>
      </c>
      <c r="M211">
        <v>95583</v>
      </c>
      <c r="N211">
        <v>58</v>
      </c>
      <c r="O211">
        <v>1</v>
      </c>
      <c r="P211">
        <v>1</v>
      </c>
      <c r="Q211">
        <v>1</v>
      </c>
      <c r="R211">
        <v>1</v>
      </c>
      <c r="S211">
        <v>14</v>
      </c>
      <c r="T211">
        <v>14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2</v>
      </c>
      <c r="AE211">
        <v>0</v>
      </c>
      <c r="AF211">
        <v>1</v>
      </c>
      <c r="AG211">
        <v>3</v>
      </c>
      <c r="AH211">
        <v>2</v>
      </c>
      <c r="AI211">
        <v>3</v>
      </c>
      <c r="AJ211">
        <v>2</v>
      </c>
      <c r="AK211">
        <v>3</v>
      </c>
      <c r="AL211">
        <v>44601080</v>
      </c>
      <c r="AM211">
        <v>40584352</v>
      </c>
      <c r="AN211">
        <v>47071700</v>
      </c>
      <c r="AO211">
        <v>68604624</v>
      </c>
      <c r="AP211">
        <v>35575856</v>
      </c>
      <c r="AQ211">
        <v>35674004</v>
      </c>
      <c r="AR211">
        <v>30349004</v>
      </c>
      <c r="AS211">
        <v>30041428</v>
      </c>
      <c r="AT211">
        <v>44601080</v>
      </c>
      <c r="AU211">
        <v>42122856</v>
      </c>
      <c r="AV211">
        <v>22492888</v>
      </c>
      <c r="AW211">
        <v>22955736</v>
      </c>
      <c r="AX211">
        <v>21476866</v>
      </c>
      <c r="AY211">
        <v>19586374</v>
      </c>
      <c r="AZ211">
        <v>15488796</v>
      </c>
      <c r="BA211">
        <v>13780500</v>
      </c>
    </row>
    <row r="212" spans="1:53">
      <c r="A212">
        <v>16653</v>
      </c>
      <c r="B212" t="s">
        <v>911</v>
      </c>
      <c r="C212" t="s">
        <v>912</v>
      </c>
      <c r="D212" t="s">
        <v>913</v>
      </c>
      <c r="F212" t="s">
        <v>914</v>
      </c>
      <c r="G212">
        <v>5.7869999999999999</v>
      </c>
      <c r="H212" t="s">
        <v>58</v>
      </c>
      <c r="I212">
        <v>2</v>
      </c>
      <c r="J212">
        <v>21</v>
      </c>
      <c r="K212">
        <v>0</v>
      </c>
      <c r="L212">
        <v>9.15</v>
      </c>
      <c r="M212">
        <v>17120</v>
      </c>
      <c r="N212">
        <v>12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1</v>
      </c>
      <c r="AL212">
        <v>711412.88</v>
      </c>
      <c r="AN212">
        <v>1282679.5</v>
      </c>
      <c r="AO212">
        <v>1003179.12</v>
      </c>
      <c r="AP212">
        <v>1158820.8799999999</v>
      </c>
      <c r="AQ212">
        <v>952727.81</v>
      </c>
      <c r="AR212">
        <v>723927.19</v>
      </c>
      <c r="AS212">
        <v>1071403.1200000001</v>
      </c>
      <c r="AT212">
        <v>711412.88</v>
      </c>
      <c r="AU212">
        <v>151704.31</v>
      </c>
      <c r="AV212">
        <v>612919.56000000006</v>
      </c>
      <c r="AW212">
        <v>335672.94</v>
      </c>
      <c r="AX212">
        <v>699571.12</v>
      </c>
      <c r="AY212">
        <v>523083.5</v>
      </c>
      <c r="AZ212">
        <v>369460.53</v>
      </c>
      <c r="BA212">
        <v>491470.31</v>
      </c>
    </row>
    <row r="213" spans="1:53">
      <c r="A213">
        <v>16853</v>
      </c>
      <c r="B213" t="s">
        <v>915</v>
      </c>
      <c r="C213" t="s">
        <v>916</v>
      </c>
      <c r="D213" t="s">
        <v>917</v>
      </c>
      <c r="F213" t="s">
        <v>918</v>
      </c>
      <c r="G213">
        <v>5.3959999999999999</v>
      </c>
      <c r="H213" t="s">
        <v>58</v>
      </c>
      <c r="I213">
        <v>2</v>
      </c>
      <c r="J213">
        <v>4</v>
      </c>
      <c r="K213">
        <v>0</v>
      </c>
      <c r="L213">
        <v>1.1499999999999999</v>
      </c>
      <c r="M213">
        <v>67354</v>
      </c>
      <c r="N213">
        <v>29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AD213">
        <v>0</v>
      </c>
      <c r="AE213">
        <v>1</v>
      </c>
      <c r="AF213">
        <v>1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673312.81</v>
      </c>
      <c r="AM213">
        <v>1122494.6200000001</v>
      </c>
      <c r="AN213">
        <v>15659772</v>
      </c>
      <c r="AO213">
        <v>24145492</v>
      </c>
      <c r="AT213">
        <v>673312.81</v>
      </c>
      <c r="AU213">
        <v>1165047.1200000001</v>
      </c>
      <c r="AV213">
        <v>7482914</v>
      </c>
      <c r="AW213">
        <v>8079303</v>
      </c>
      <c r="AX213">
        <v>278828.78000000003</v>
      </c>
      <c r="AY213">
        <v>249615.83</v>
      </c>
      <c r="AZ213">
        <v>274135.90999999997</v>
      </c>
      <c r="BA213">
        <v>275347</v>
      </c>
    </row>
    <row r="214" spans="1:53">
      <c r="A214">
        <v>16696</v>
      </c>
      <c r="B214" t="s">
        <v>919</v>
      </c>
      <c r="C214" t="s">
        <v>920</v>
      </c>
      <c r="D214" t="s">
        <v>919</v>
      </c>
      <c r="F214" t="s">
        <v>921</v>
      </c>
      <c r="G214">
        <v>4.0670000000000002</v>
      </c>
      <c r="H214" t="s">
        <v>58</v>
      </c>
      <c r="I214">
        <v>2</v>
      </c>
      <c r="J214">
        <v>1</v>
      </c>
      <c r="K214">
        <v>0</v>
      </c>
      <c r="L214">
        <v>1.51</v>
      </c>
      <c r="M214">
        <v>51569</v>
      </c>
      <c r="N214">
        <v>29</v>
      </c>
      <c r="O214">
        <v>1</v>
      </c>
      <c r="P214">
        <v>1</v>
      </c>
      <c r="Q214">
        <v>1</v>
      </c>
      <c r="R214">
        <v>1</v>
      </c>
      <c r="S214">
        <v>2</v>
      </c>
      <c r="T214">
        <v>2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0</v>
      </c>
      <c r="AE214">
        <v>0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194904.17</v>
      </c>
      <c r="AM214">
        <v>927074.19</v>
      </c>
      <c r="AN214">
        <v>1333389</v>
      </c>
      <c r="AO214">
        <v>1014399.62</v>
      </c>
      <c r="AP214">
        <v>2258257.25</v>
      </c>
      <c r="AQ214">
        <v>2392747.5</v>
      </c>
      <c r="AR214">
        <v>1678912.88</v>
      </c>
      <c r="AS214">
        <v>1599825.75</v>
      </c>
      <c r="AT214">
        <v>194904.17</v>
      </c>
      <c r="AU214">
        <v>962218.5</v>
      </c>
      <c r="AV214">
        <v>637150.75</v>
      </c>
      <c r="AW214">
        <v>339427.44</v>
      </c>
      <c r="AX214">
        <v>1363292.25</v>
      </c>
      <c r="AY214">
        <v>1313708.6200000001</v>
      </c>
      <c r="AZ214">
        <v>856843.12</v>
      </c>
      <c r="BA214">
        <v>733866.56</v>
      </c>
    </row>
    <row r="215" spans="1:53">
      <c r="A215">
        <v>16673</v>
      </c>
      <c r="B215" t="s">
        <v>922</v>
      </c>
      <c r="C215" t="s">
        <v>923</v>
      </c>
      <c r="D215" t="s">
        <v>924</v>
      </c>
      <c r="F215" t="s">
        <v>925</v>
      </c>
      <c r="G215">
        <v>3.706</v>
      </c>
      <c r="H215" t="s">
        <v>58</v>
      </c>
      <c r="I215">
        <v>2</v>
      </c>
      <c r="J215">
        <v>15</v>
      </c>
      <c r="K215">
        <v>0</v>
      </c>
      <c r="L215">
        <v>11.49</v>
      </c>
      <c r="M215">
        <v>9920</v>
      </c>
      <c r="N215">
        <v>6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0</v>
      </c>
      <c r="AE215">
        <v>0</v>
      </c>
      <c r="AF215">
        <v>1</v>
      </c>
      <c r="AG215">
        <v>0</v>
      </c>
      <c r="AH215">
        <v>1</v>
      </c>
      <c r="AI215">
        <v>1</v>
      </c>
      <c r="AJ215">
        <v>0</v>
      </c>
      <c r="AK215">
        <v>0</v>
      </c>
      <c r="AN215">
        <v>1620050.62</v>
      </c>
      <c r="AO215">
        <v>1604526.12</v>
      </c>
      <c r="AP215">
        <v>815199.5</v>
      </c>
      <c r="AQ215">
        <v>834081.5</v>
      </c>
      <c r="AR215">
        <v>843734.62</v>
      </c>
      <c r="AS215">
        <v>600856.56000000006</v>
      </c>
      <c r="AT215">
        <v>99934.65</v>
      </c>
      <c r="AU215">
        <v>151704.31</v>
      </c>
      <c r="AV215">
        <v>774130.06</v>
      </c>
      <c r="AW215">
        <v>536889.12</v>
      </c>
      <c r="AX215">
        <v>492129.53</v>
      </c>
      <c r="AY215">
        <v>457942.19</v>
      </c>
      <c r="AZ215">
        <v>430604.97</v>
      </c>
      <c r="BA215">
        <v>275622.84000000003</v>
      </c>
    </row>
    <row r="216" spans="1:53">
      <c r="A216">
        <v>16878</v>
      </c>
      <c r="B216" t="s">
        <v>926</v>
      </c>
      <c r="C216" t="s">
        <v>927</v>
      </c>
      <c r="D216" t="s">
        <v>926</v>
      </c>
      <c r="F216" t="s">
        <v>928</v>
      </c>
      <c r="G216">
        <v>3.4529999999999998</v>
      </c>
      <c r="H216" t="s">
        <v>58</v>
      </c>
      <c r="I216">
        <v>2</v>
      </c>
      <c r="J216">
        <v>1</v>
      </c>
      <c r="K216">
        <v>0</v>
      </c>
      <c r="L216">
        <v>2.37</v>
      </c>
      <c r="M216">
        <v>37188</v>
      </c>
      <c r="N216">
        <v>21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862291.25</v>
      </c>
      <c r="AM216">
        <v>1122016.5</v>
      </c>
      <c r="AN216">
        <v>76905936</v>
      </c>
      <c r="AO216">
        <v>4913409</v>
      </c>
      <c r="AP216">
        <v>18770686</v>
      </c>
      <c r="AQ216">
        <v>22364524</v>
      </c>
      <c r="AT216">
        <v>862291.25</v>
      </c>
      <c r="AU216">
        <v>1164550.8799999999</v>
      </c>
      <c r="AV216">
        <v>36748972</v>
      </c>
      <c r="AW216">
        <v>1644071.88</v>
      </c>
      <c r="AX216">
        <v>11331716</v>
      </c>
      <c r="AY216">
        <v>12278967</v>
      </c>
      <c r="AZ216">
        <v>274135.90999999997</v>
      </c>
      <c r="BA216">
        <v>275347</v>
      </c>
    </row>
    <row r="217" spans="1:53">
      <c r="A217">
        <v>16763</v>
      </c>
      <c r="B217" t="s">
        <v>929</v>
      </c>
      <c r="C217" t="s">
        <v>930</v>
      </c>
      <c r="D217" t="s">
        <v>931</v>
      </c>
      <c r="F217" t="s">
        <v>932</v>
      </c>
      <c r="G217">
        <v>1.1259999999999999</v>
      </c>
      <c r="H217" t="s">
        <v>58</v>
      </c>
      <c r="I217">
        <v>2</v>
      </c>
      <c r="J217">
        <v>3</v>
      </c>
      <c r="K217">
        <v>0</v>
      </c>
      <c r="L217">
        <v>2.4500000000000002</v>
      </c>
      <c r="M217">
        <v>103882</v>
      </c>
      <c r="N217">
        <v>52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2</v>
      </c>
      <c r="W217">
        <v>1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2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1</v>
      </c>
      <c r="AJ217">
        <v>0</v>
      </c>
      <c r="AK217">
        <v>2</v>
      </c>
      <c r="AL217">
        <v>3788682.25</v>
      </c>
      <c r="AM217">
        <v>1957333.5</v>
      </c>
      <c r="AN217">
        <v>6136436.5</v>
      </c>
      <c r="AO217">
        <v>6505323</v>
      </c>
      <c r="AP217">
        <v>4112426</v>
      </c>
      <c r="AQ217">
        <v>4661367</v>
      </c>
      <c r="AR217">
        <v>3710715</v>
      </c>
      <c r="AS217">
        <v>4677075.5</v>
      </c>
      <c r="AT217">
        <v>2793850.75</v>
      </c>
      <c r="AU217">
        <v>172274.89</v>
      </c>
      <c r="AV217">
        <v>4006427.5</v>
      </c>
      <c r="AW217">
        <v>2793850.75</v>
      </c>
      <c r="AX217">
        <v>2531254</v>
      </c>
      <c r="AY217">
        <v>2479625.5</v>
      </c>
      <c r="AZ217">
        <v>1944106.75</v>
      </c>
      <c r="BA217">
        <v>2640687</v>
      </c>
    </row>
    <row r="218" spans="1:53">
      <c r="A218">
        <v>16849</v>
      </c>
      <c r="B218" t="s">
        <v>933</v>
      </c>
      <c r="C218" t="s">
        <v>934</v>
      </c>
      <c r="D218" t="s">
        <v>935</v>
      </c>
      <c r="F218" t="s">
        <v>936</v>
      </c>
      <c r="G218">
        <v>0.78600000000000003</v>
      </c>
      <c r="H218" t="s">
        <v>58</v>
      </c>
      <c r="I218">
        <v>2</v>
      </c>
      <c r="J218">
        <v>2</v>
      </c>
      <c r="K218">
        <v>0</v>
      </c>
      <c r="L218">
        <v>18.100000000000001</v>
      </c>
      <c r="M218">
        <v>11582</v>
      </c>
      <c r="N218">
        <v>5</v>
      </c>
      <c r="O218">
        <v>2</v>
      </c>
      <c r="P218">
        <v>2</v>
      </c>
      <c r="Q218">
        <v>2</v>
      </c>
      <c r="R218">
        <v>2</v>
      </c>
      <c r="S218">
        <v>5</v>
      </c>
      <c r="T218">
        <v>5</v>
      </c>
      <c r="U218">
        <v>2</v>
      </c>
      <c r="V218">
        <v>2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5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5446587</v>
      </c>
      <c r="AM218">
        <v>3399948.75</v>
      </c>
      <c r="AN218">
        <v>1479116.12</v>
      </c>
      <c r="AO218">
        <v>4211220.5</v>
      </c>
      <c r="AP218">
        <v>1926647.38</v>
      </c>
      <c r="AQ218">
        <v>2147555.5</v>
      </c>
      <c r="AR218">
        <v>1698329.75</v>
      </c>
      <c r="AS218">
        <v>2275591.25</v>
      </c>
      <c r="AT218">
        <v>5601043</v>
      </c>
      <c r="AU218">
        <v>3480977.75</v>
      </c>
      <c r="AV218">
        <v>697479.88</v>
      </c>
      <c r="AW218">
        <v>1389906.25</v>
      </c>
      <c r="AX218">
        <v>1147655.5</v>
      </c>
      <c r="AY218">
        <v>1163415.5</v>
      </c>
      <c r="AZ218">
        <v>856552.38</v>
      </c>
      <c r="BA218">
        <v>1029768.19</v>
      </c>
    </row>
    <row r="219" spans="1:53">
      <c r="A219">
        <v>16657</v>
      </c>
      <c r="B219" t="s">
        <v>937</v>
      </c>
      <c r="C219" t="s">
        <v>938</v>
      </c>
      <c r="D219" t="s">
        <v>939</v>
      </c>
      <c r="F219" t="s">
        <v>940</v>
      </c>
      <c r="G219">
        <v>0</v>
      </c>
      <c r="H219" t="s">
        <v>58</v>
      </c>
      <c r="I219">
        <v>2</v>
      </c>
      <c r="J219">
        <v>21</v>
      </c>
      <c r="K219">
        <v>0</v>
      </c>
      <c r="L219">
        <v>5.22</v>
      </c>
      <c r="M219">
        <v>50324</v>
      </c>
      <c r="N219">
        <v>24</v>
      </c>
      <c r="O219">
        <v>2</v>
      </c>
      <c r="P219">
        <v>2</v>
      </c>
      <c r="Q219">
        <v>2</v>
      </c>
      <c r="R219">
        <v>2</v>
      </c>
      <c r="S219">
        <v>4</v>
      </c>
      <c r="T219">
        <v>4</v>
      </c>
      <c r="U219">
        <v>2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1</v>
      </c>
      <c r="AE219">
        <v>0</v>
      </c>
      <c r="AF219">
        <v>1</v>
      </c>
      <c r="AG219">
        <v>1</v>
      </c>
      <c r="AH219">
        <v>1</v>
      </c>
      <c r="AI219">
        <v>2</v>
      </c>
      <c r="AJ219">
        <v>1</v>
      </c>
      <c r="AK219">
        <v>2</v>
      </c>
      <c r="AL219">
        <v>12366136</v>
      </c>
      <c r="AM219">
        <v>10782563</v>
      </c>
      <c r="AN219">
        <v>21119706</v>
      </c>
      <c r="AO219">
        <v>25144328</v>
      </c>
      <c r="AP219">
        <v>16692434</v>
      </c>
      <c r="AQ219">
        <v>18743626</v>
      </c>
      <c r="AR219">
        <v>13697930</v>
      </c>
      <c r="AS219">
        <v>5550724</v>
      </c>
      <c r="AT219">
        <v>13882680</v>
      </c>
      <c r="AU219">
        <v>7515283</v>
      </c>
      <c r="AV219">
        <v>11028301</v>
      </c>
      <c r="AW219">
        <v>8112712</v>
      </c>
      <c r="AX219">
        <v>10467376</v>
      </c>
      <c r="AY219">
        <v>9495820</v>
      </c>
      <c r="AZ219">
        <v>7189334</v>
      </c>
      <c r="BA219">
        <v>3755368.75</v>
      </c>
    </row>
    <row r="220" spans="1:53">
      <c r="A220">
        <v>16687</v>
      </c>
      <c r="B220" t="s">
        <v>941</v>
      </c>
      <c r="C220" t="s">
        <v>942</v>
      </c>
      <c r="D220" t="s">
        <v>941</v>
      </c>
      <c r="F220" t="s">
        <v>943</v>
      </c>
      <c r="G220">
        <v>0</v>
      </c>
      <c r="H220" t="s">
        <v>58</v>
      </c>
      <c r="I220">
        <v>2</v>
      </c>
      <c r="J220">
        <v>1</v>
      </c>
      <c r="K220">
        <v>0</v>
      </c>
      <c r="L220">
        <v>10.199999999999999</v>
      </c>
      <c r="M220">
        <v>33519</v>
      </c>
      <c r="N220">
        <v>22</v>
      </c>
      <c r="O220">
        <v>3</v>
      </c>
      <c r="P220">
        <v>3</v>
      </c>
      <c r="Q220">
        <v>3</v>
      </c>
      <c r="R220">
        <v>3</v>
      </c>
      <c r="S220">
        <v>5</v>
      </c>
      <c r="T220">
        <v>5</v>
      </c>
      <c r="U220">
        <v>3</v>
      </c>
      <c r="V220">
        <v>2</v>
      </c>
      <c r="W220">
        <v>2</v>
      </c>
      <c r="X220">
        <v>2</v>
      </c>
      <c r="Y220">
        <v>3</v>
      </c>
      <c r="Z220">
        <v>3</v>
      </c>
      <c r="AA220">
        <v>3</v>
      </c>
      <c r="AB220">
        <v>3</v>
      </c>
      <c r="AC220">
        <v>3</v>
      </c>
      <c r="AD220">
        <v>0</v>
      </c>
      <c r="AE220">
        <v>0</v>
      </c>
      <c r="AF220">
        <v>0</v>
      </c>
      <c r="AG220">
        <v>3</v>
      </c>
      <c r="AH220">
        <v>0</v>
      </c>
      <c r="AI220">
        <v>0</v>
      </c>
      <c r="AJ220">
        <v>2</v>
      </c>
      <c r="AK220">
        <v>0</v>
      </c>
      <c r="AL220">
        <v>842636.19</v>
      </c>
      <c r="AM220">
        <v>680203.19</v>
      </c>
      <c r="AN220">
        <v>1411533.75</v>
      </c>
      <c r="AO220">
        <v>3003206.5</v>
      </c>
      <c r="AP220">
        <v>1220052</v>
      </c>
      <c r="AQ220">
        <v>1229688.25</v>
      </c>
      <c r="AR220">
        <v>1440009.25</v>
      </c>
      <c r="AS220">
        <v>1489800</v>
      </c>
      <c r="AT220">
        <v>257312.12</v>
      </c>
      <c r="AU220">
        <v>290273.90999999997</v>
      </c>
      <c r="AV220">
        <v>307826.94</v>
      </c>
      <c r="AW220">
        <v>1731114.62</v>
      </c>
      <c r="AX220">
        <v>1313197</v>
      </c>
      <c r="AY220">
        <v>1283459.3799999999</v>
      </c>
      <c r="AZ220">
        <v>1175957.25</v>
      </c>
      <c r="BA220">
        <v>1172122.75</v>
      </c>
    </row>
    <row r="221" spans="1:53">
      <c r="A221">
        <v>16700</v>
      </c>
      <c r="B221" t="s">
        <v>944</v>
      </c>
      <c r="C221" t="s">
        <v>945</v>
      </c>
      <c r="D221" t="s">
        <v>946</v>
      </c>
      <c r="F221" t="s">
        <v>947</v>
      </c>
      <c r="G221">
        <v>0</v>
      </c>
      <c r="H221" t="s">
        <v>58</v>
      </c>
      <c r="I221">
        <v>2</v>
      </c>
      <c r="J221">
        <v>20</v>
      </c>
      <c r="K221">
        <v>0</v>
      </c>
      <c r="L221">
        <v>8.16</v>
      </c>
      <c r="M221">
        <v>21740</v>
      </c>
      <c r="N221">
        <v>9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>
        <v>2</v>
      </c>
      <c r="X221">
        <v>2</v>
      </c>
      <c r="Y221">
        <v>2</v>
      </c>
      <c r="Z221">
        <v>2</v>
      </c>
      <c r="AA221">
        <v>2</v>
      </c>
      <c r="AB221">
        <v>2</v>
      </c>
      <c r="AC221">
        <v>2</v>
      </c>
      <c r="AD221">
        <v>0</v>
      </c>
      <c r="AE221">
        <v>0</v>
      </c>
      <c r="AF221">
        <v>1</v>
      </c>
      <c r="AG221">
        <v>2</v>
      </c>
      <c r="AH221">
        <v>1</v>
      </c>
      <c r="AI221">
        <v>1</v>
      </c>
      <c r="AJ221">
        <v>0</v>
      </c>
      <c r="AK221">
        <v>0</v>
      </c>
      <c r="AN221">
        <v>2782912.25</v>
      </c>
      <c r="AO221">
        <v>3489835.5</v>
      </c>
      <c r="AP221">
        <v>1774601.25</v>
      </c>
      <c r="AQ221">
        <v>1296349.5</v>
      </c>
      <c r="AR221">
        <v>1385528.5</v>
      </c>
      <c r="AS221">
        <v>1769823</v>
      </c>
      <c r="AT221">
        <v>99934.65</v>
      </c>
      <c r="AU221">
        <v>151704.31</v>
      </c>
      <c r="AV221">
        <v>712770.62</v>
      </c>
      <c r="AW221">
        <v>1328785.8799999999</v>
      </c>
      <c r="AX221">
        <v>1087138.6200000001</v>
      </c>
      <c r="AY221">
        <v>601907.25</v>
      </c>
      <c r="AZ221">
        <v>935246.62</v>
      </c>
      <c r="BA221">
        <v>1106567.3799999999</v>
      </c>
    </row>
    <row r="222" spans="1:53">
      <c r="A222">
        <v>16712</v>
      </c>
      <c r="B222" t="s">
        <v>1042</v>
      </c>
      <c r="C222" t="s">
        <v>1043</v>
      </c>
      <c r="D222" t="s">
        <v>1044</v>
      </c>
      <c r="F222" t="s">
        <v>1045</v>
      </c>
      <c r="G222">
        <v>0</v>
      </c>
      <c r="H222" t="s">
        <v>58</v>
      </c>
      <c r="I222">
        <v>2</v>
      </c>
      <c r="J222">
        <v>19</v>
      </c>
      <c r="K222">
        <v>0</v>
      </c>
      <c r="L222">
        <v>3.3</v>
      </c>
      <c r="M222">
        <v>33992</v>
      </c>
      <c r="N222">
        <v>20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2</v>
      </c>
      <c r="V222">
        <v>1</v>
      </c>
      <c r="W222">
        <v>1</v>
      </c>
      <c r="X222">
        <v>2</v>
      </c>
      <c r="Y222">
        <v>2</v>
      </c>
      <c r="Z222">
        <v>2</v>
      </c>
      <c r="AA222">
        <v>2</v>
      </c>
      <c r="AB222">
        <v>1</v>
      </c>
      <c r="AC222">
        <v>1</v>
      </c>
      <c r="AD222">
        <v>0</v>
      </c>
      <c r="AE222">
        <v>0</v>
      </c>
      <c r="AF222">
        <v>1</v>
      </c>
      <c r="AG222">
        <v>0</v>
      </c>
      <c r="AH222">
        <v>2</v>
      </c>
      <c r="AI222">
        <v>1</v>
      </c>
      <c r="AJ222">
        <v>1</v>
      </c>
      <c r="AK222">
        <v>0</v>
      </c>
      <c r="AL222">
        <v>3915422.25</v>
      </c>
      <c r="AM222">
        <v>6041013</v>
      </c>
      <c r="AN222">
        <v>2106611.25</v>
      </c>
      <c r="AO222">
        <v>5488123</v>
      </c>
      <c r="AP222">
        <v>4191303</v>
      </c>
      <c r="AQ222">
        <v>4342254.5</v>
      </c>
      <c r="AR222">
        <v>3175508.25</v>
      </c>
      <c r="AS222">
        <v>4730925</v>
      </c>
      <c r="AT222">
        <v>519196.41</v>
      </c>
      <c r="AU222">
        <v>497839.75</v>
      </c>
      <c r="AV222">
        <v>1252043.8799999999</v>
      </c>
      <c r="AW222">
        <v>4605436</v>
      </c>
      <c r="AX222">
        <v>5399415</v>
      </c>
      <c r="AY222">
        <v>5155977.5</v>
      </c>
      <c r="AZ222">
        <v>974604.19</v>
      </c>
      <c r="BA222">
        <v>1282773.6200000001</v>
      </c>
    </row>
    <row r="223" spans="1:53">
      <c r="A223">
        <v>16732</v>
      </c>
      <c r="B223" t="s">
        <v>1046</v>
      </c>
      <c r="C223" t="s">
        <v>1047</v>
      </c>
      <c r="D223" t="s">
        <v>1048</v>
      </c>
      <c r="F223" t="s">
        <v>1049</v>
      </c>
      <c r="G223">
        <v>0</v>
      </c>
      <c r="H223" t="s">
        <v>58</v>
      </c>
      <c r="I223">
        <v>2</v>
      </c>
      <c r="J223">
        <v>3</v>
      </c>
      <c r="K223">
        <v>0</v>
      </c>
      <c r="L223">
        <v>9.34</v>
      </c>
      <c r="M223">
        <v>20354</v>
      </c>
      <c r="N223">
        <v>13</v>
      </c>
      <c r="O223">
        <v>2</v>
      </c>
      <c r="P223">
        <v>2</v>
      </c>
      <c r="Q223">
        <v>2</v>
      </c>
      <c r="R223">
        <v>2</v>
      </c>
      <c r="S223">
        <v>3</v>
      </c>
      <c r="T223">
        <v>3</v>
      </c>
      <c r="U223">
        <v>2</v>
      </c>
      <c r="V223">
        <v>2</v>
      </c>
      <c r="W223">
        <v>1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2</v>
      </c>
      <c r="AD223">
        <v>5</v>
      </c>
      <c r="AE223">
        <v>0</v>
      </c>
      <c r="AF223">
        <v>2</v>
      </c>
      <c r="AG223">
        <v>3</v>
      </c>
      <c r="AH223">
        <v>2</v>
      </c>
      <c r="AI223">
        <v>2</v>
      </c>
      <c r="AJ223">
        <v>2</v>
      </c>
      <c r="AK223">
        <v>2</v>
      </c>
      <c r="AL223">
        <v>142333936</v>
      </c>
      <c r="AM223">
        <v>510755.03</v>
      </c>
      <c r="AN223">
        <v>150715200</v>
      </c>
      <c r="AO223">
        <v>201968224</v>
      </c>
      <c r="AP223">
        <v>112748152</v>
      </c>
      <c r="AQ223">
        <v>126821968</v>
      </c>
      <c r="AR223">
        <v>79654304</v>
      </c>
      <c r="AS223">
        <v>90549856</v>
      </c>
      <c r="AT223">
        <v>13632181</v>
      </c>
      <c r="AU223">
        <v>67120.59</v>
      </c>
      <c r="AV223">
        <v>140846368</v>
      </c>
      <c r="AW223">
        <v>101881880</v>
      </c>
      <c r="AX223">
        <v>61353352</v>
      </c>
      <c r="AY223">
        <v>54924384</v>
      </c>
      <c r="AZ223">
        <v>54713596</v>
      </c>
      <c r="BA223">
        <v>47020144</v>
      </c>
    </row>
    <row r="224" spans="1:53">
      <c r="A224">
        <v>16760</v>
      </c>
      <c r="B224" t="s">
        <v>1050</v>
      </c>
      <c r="C224" t="s">
        <v>1051</v>
      </c>
      <c r="D224" t="s">
        <v>1052</v>
      </c>
      <c r="F224" t="s">
        <v>1053</v>
      </c>
      <c r="G224">
        <v>0</v>
      </c>
      <c r="H224" t="s">
        <v>58</v>
      </c>
      <c r="I224">
        <v>2</v>
      </c>
      <c r="J224">
        <v>3</v>
      </c>
      <c r="K224">
        <v>0</v>
      </c>
      <c r="L224">
        <v>1.68</v>
      </c>
      <c r="M224">
        <v>117854</v>
      </c>
      <c r="N224">
        <v>64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2</v>
      </c>
      <c r="V224">
        <v>1</v>
      </c>
      <c r="W224">
        <v>1</v>
      </c>
      <c r="X224">
        <v>2</v>
      </c>
      <c r="Y224">
        <v>1</v>
      </c>
      <c r="Z224">
        <v>1</v>
      </c>
      <c r="AA224">
        <v>2</v>
      </c>
      <c r="AB224">
        <v>2</v>
      </c>
      <c r="AC224">
        <v>2</v>
      </c>
      <c r="AD224">
        <v>1</v>
      </c>
      <c r="AE224">
        <v>1</v>
      </c>
      <c r="AF224">
        <v>2</v>
      </c>
      <c r="AG224">
        <v>1</v>
      </c>
      <c r="AH224">
        <v>1</v>
      </c>
      <c r="AI224">
        <v>1</v>
      </c>
      <c r="AJ224">
        <v>2</v>
      </c>
      <c r="AK224">
        <v>1</v>
      </c>
      <c r="AL224">
        <v>10658665</v>
      </c>
      <c r="AM224">
        <v>16470037</v>
      </c>
      <c r="AN224">
        <v>33594804</v>
      </c>
      <c r="AO224">
        <v>38112764</v>
      </c>
      <c r="AP224">
        <v>19759766</v>
      </c>
      <c r="AQ224">
        <v>19639332</v>
      </c>
      <c r="AR224">
        <v>50423816</v>
      </c>
      <c r="AS224">
        <v>69642752</v>
      </c>
      <c r="AT224">
        <v>254907.03</v>
      </c>
      <c r="AU224">
        <v>246387.05</v>
      </c>
      <c r="AV224">
        <v>2262398.75</v>
      </c>
      <c r="AW224">
        <v>173643.8</v>
      </c>
      <c r="AX224">
        <v>213826.27</v>
      </c>
      <c r="AY224">
        <v>3542808.75</v>
      </c>
      <c r="AZ224">
        <v>65569516</v>
      </c>
      <c r="BA224">
        <v>58201296</v>
      </c>
    </row>
    <row r="225" spans="1:53">
      <c r="A225">
        <v>16772</v>
      </c>
      <c r="B225" t="s">
        <v>1054</v>
      </c>
      <c r="C225" t="s">
        <v>1055</v>
      </c>
      <c r="D225" t="s">
        <v>1056</v>
      </c>
      <c r="F225" t="s">
        <v>1057</v>
      </c>
      <c r="G225">
        <v>0</v>
      </c>
      <c r="H225" t="s">
        <v>58</v>
      </c>
      <c r="I225">
        <v>2</v>
      </c>
      <c r="J225">
        <v>3</v>
      </c>
      <c r="K225">
        <v>0</v>
      </c>
      <c r="L225">
        <v>3.66</v>
      </c>
      <c r="M225">
        <v>53870</v>
      </c>
      <c r="N225">
        <v>33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2</v>
      </c>
      <c r="V225">
        <v>2</v>
      </c>
      <c r="W225">
        <v>1</v>
      </c>
      <c r="X225">
        <v>2</v>
      </c>
      <c r="Y225">
        <v>2</v>
      </c>
      <c r="Z225">
        <v>1</v>
      </c>
      <c r="AA225">
        <v>2</v>
      </c>
      <c r="AB225">
        <v>1</v>
      </c>
      <c r="AC225">
        <v>1</v>
      </c>
      <c r="AD225">
        <v>1</v>
      </c>
      <c r="AE225">
        <v>0</v>
      </c>
      <c r="AF225">
        <v>0</v>
      </c>
      <c r="AG225">
        <v>2</v>
      </c>
      <c r="AH225">
        <v>0</v>
      </c>
      <c r="AI225">
        <v>0</v>
      </c>
      <c r="AJ225">
        <v>0</v>
      </c>
      <c r="AK225">
        <v>0</v>
      </c>
      <c r="AL225">
        <v>2320864</v>
      </c>
      <c r="AM225">
        <v>2138845.75</v>
      </c>
      <c r="AN225">
        <v>9588926</v>
      </c>
      <c r="AO225">
        <v>7449629.5</v>
      </c>
      <c r="AP225">
        <v>1955799.88</v>
      </c>
      <c r="AQ225">
        <v>4916678.5</v>
      </c>
      <c r="AR225">
        <v>1475952</v>
      </c>
      <c r="AS225">
        <v>1371813.12</v>
      </c>
      <c r="AT225">
        <v>1476104.5</v>
      </c>
      <c r="AU225">
        <v>271512.81</v>
      </c>
      <c r="AV225">
        <v>4646150</v>
      </c>
      <c r="AW225">
        <v>3052691.5</v>
      </c>
      <c r="AX225">
        <v>463533.94</v>
      </c>
      <c r="AY225">
        <v>5464184</v>
      </c>
      <c r="AZ225">
        <v>504817.97</v>
      </c>
      <c r="BA225">
        <v>416627.16</v>
      </c>
    </row>
    <row r="226" spans="1:53">
      <c r="A226">
        <v>16813</v>
      </c>
      <c r="B226" t="s">
        <v>1058</v>
      </c>
      <c r="C226" t="s">
        <v>1059</v>
      </c>
      <c r="D226" t="s">
        <v>1060</v>
      </c>
      <c r="F226" t="s">
        <v>1061</v>
      </c>
      <c r="G226">
        <v>0</v>
      </c>
      <c r="H226" t="s">
        <v>58</v>
      </c>
      <c r="I226">
        <v>2</v>
      </c>
      <c r="J226">
        <v>12</v>
      </c>
      <c r="K226">
        <v>0</v>
      </c>
      <c r="L226">
        <v>1.42</v>
      </c>
      <c r="M226">
        <v>78750</v>
      </c>
      <c r="N226">
        <v>45</v>
      </c>
      <c r="O226">
        <v>1</v>
      </c>
      <c r="P226">
        <v>1</v>
      </c>
      <c r="Q226">
        <v>2</v>
      </c>
      <c r="R226">
        <v>2</v>
      </c>
      <c r="S226">
        <v>3</v>
      </c>
      <c r="T226">
        <v>3</v>
      </c>
      <c r="U226">
        <v>2</v>
      </c>
      <c r="V226">
        <v>1</v>
      </c>
      <c r="W226">
        <v>1</v>
      </c>
      <c r="X226">
        <v>1</v>
      </c>
      <c r="Y226">
        <v>2</v>
      </c>
      <c r="Z226">
        <v>1</v>
      </c>
      <c r="AA226">
        <v>1</v>
      </c>
      <c r="AB226">
        <v>2</v>
      </c>
      <c r="AC226">
        <v>2</v>
      </c>
      <c r="AD226">
        <v>0</v>
      </c>
      <c r="AE226">
        <v>0</v>
      </c>
      <c r="AF226">
        <v>0</v>
      </c>
      <c r="AG226">
        <v>3</v>
      </c>
      <c r="AH226">
        <v>0</v>
      </c>
      <c r="AI226">
        <v>0</v>
      </c>
      <c r="AJ226">
        <v>0</v>
      </c>
      <c r="AK226">
        <v>0</v>
      </c>
      <c r="AL226">
        <v>1017512.56</v>
      </c>
      <c r="AM226">
        <v>1028206.75</v>
      </c>
      <c r="AN226">
        <v>2045694.38</v>
      </c>
      <c r="AO226">
        <v>282543680</v>
      </c>
      <c r="AP226">
        <v>11490783</v>
      </c>
      <c r="AQ226">
        <v>9947339</v>
      </c>
      <c r="AR226">
        <v>128217272</v>
      </c>
      <c r="AS226">
        <v>148566624</v>
      </c>
      <c r="AT226">
        <v>20251.59</v>
      </c>
      <c r="AU226">
        <v>16869.13</v>
      </c>
      <c r="AV226">
        <v>11778.92</v>
      </c>
      <c r="AW226">
        <v>15815971</v>
      </c>
      <c r="AX226">
        <v>139284.56</v>
      </c>
      <c r="AY226">
        <v>116212.3</v>
      </c>
      <c r="AZ226">
        <v>112784480</v>
      </c>
      <c r="BA226">
        <v>116079976</v>
      </c>
    </row>
    <row r="227" spans="1:53">
      <c r="A227">
        <v>16825</v>
      </c>
      <c r="B227" t="s">
        <v>1062</v>
      </c>
      <c r="C227" t="s">
        <v>1063</v>
      </c>
      <c r="D227" t="s">
        <v>1064</v>
      </c>
      <c r="F227" t="s">
        <v>1065</v>
      </c>
      <c r="G227">
        <v>0</v>
      </c>
      <c r="H227" t="s">
        <v>58</v>
      </c>
      <c r="I227">
        <v>2</v>
      </c>
      <c r="J227">
        <v>17</v>
      </c>
      <c r="K227">
        <v>0</v>
      </c>
      <c r="L227">
        <v>3.94</v>
      </c>
      <c r="M227">
        <v>47606</v>
      </c>
      <c r="N227">
        <v>26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0</v>
      </c>
      <c r="AE227">
        <v>0</v>
      </c>
      <c r="AF227">
        <v>1</v>
      </c>
      <c r="AG227">
        <v>0</v>
      </c>
      <c r="AH227">
        <v>4</v>
      </c>
      <c r="AI227">
        <v>2</v>
      </c>
      <c r="AJ227">
        <v>2</v>
      </c>
      <c r="AK227">
        <v>0</v>
      </c>
      <c r="AL227">
        <v>32713676</v>
      </c>
      <c r="AM227">
        <v>91889736</v>
      </c>
      <c r="AN227">
        <v>305296832</v>
      </c>
      <c r="AO227">
        <v>29565060</v>
      </c>
      <c r="AP227">
        <v>342269760</v>
      </c>
      <c r="AQ227">
        <v>293188192</v>
      </c>
      <c r="AR227">
        <v>280767232</v>
      </c>
      <c r="AS227">
        <v>114130096</v>
      </c>
      <c r="AT227">
        <v>55100972</v>
      </c>
      <c r="AU227">
        <v>128675304</v>
      </c>
      <c r="AV227">
        <v>133845112</v>
      </c>
      <c r="AW227">
        <v>18314576</v>
      </c>
      <c r="AX227">
        <v>166638304</v>
      </c>
      <c r="AY227">
        <v>177831136</v>
      </c>
      <c r="AZ227">
        <v>112981584</v>
      </c>
      <c r="BA227">
        <v>65216704</v>
      </c>
    </row>
    <row r="228" spans="1:53">
      <c r="A228">
        <v>16852</v>
      </c>
      <c r="B228" t="s">
        <v>1066</v>
      </c>
      <c r="C228" t="s">
        <v>1067</v>
      </c>
      <c r="D228" t="s">
        <v>1066</v>
      </c>
      <c r="E228" t="s">
        <v>1068</v>
      </c>
      <c r="F228" t="s">
        <v>1069</v>
      </c>
      <c r="G228">
        <v>0</v>
      </c>
      <c r="H228" t="s">
        <v>58</v>
      </c>
      <c r="I228">
        <v>2</v>
      </c>
      <c r="J228">
        <v>1</v>
      </c>
      <c r="K228">
        <v>1</v>
      </c>
      <c r="L228">
        <v>2.44</v>
      </c>
      <c r="M228">
        <v>77850</v>
      </c>
      <c r="N228">
        <v>39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W228">
        <v>1</v>
      </c>
      <c r="X228">
        <v>2</v>
      </c>
      <c r="Y228">
        <v>2</v>
      </c>
      <c r="Z228">
        <v>2</v>
      </c>
      <c r="AA228">
        <v>2</v>
      </c>
      <c r="AB228">
        <v>2</v>
      </c>
      <c r="AC228">
        <v>2</v>
      </c>
      <c r="AD228">
        <v>0</v>
      </c>
      <c r="AE228">
        <v>1</v>
      </c>
      <c r="AF228">
        <v>1</v>
      </c>
      <c r="AG228">
        <v>2</v>
      </c>
      <c r="AH228">
        <v>1</v>
      </c>
      <c r="AI228">
        <v>0</v>
      </c>
      <c r="AJ228">
        <v>1</v>
      </c>
      <c r="AK228">
        <v>1</v>
      </c>
      <c r="AM228">
        <v>359845.09</v>
      </c>
      <c r="AN228">
        <v>73820360</v>
      </c>
      <c r="AO228">
        <v>64788384</v>
      </c>
      <c r="AP228">
        <v>38910468</v>
      </c>
      <c r="AQ228">
        <v>37511424</v>
      </c>
      <c r="AR228">
        <v>26536184</v>
      </c>
      <c r="AS228">
        <v>34317004</v>
      </c>
      <c r="AT228">
        <v>99934.65</v>
      </c>
      <c r="AU228">
        <v>422298.97</v>
      </c>
      <c r="AV228">
        <v>27830706</v>
      </c>
      <c r="AW228">
        <v>23604212</v>
      </c>
      <c r="AX228">
        <v>19642130</v>
      </c>
      <c r="AY228">
        <v>25916946</v>
      </c>
      <c r="AZ228">
        <v>16922386</v>
      </c>
      <c r="BA228">
        <v>16246298</v>
      </c>
    </row>
    <row r="229" spans="1:53">
      <c r="A229">
        <v>16854</v>
      </c>
      <c r="B229" t="s">
        <v>1070</v>
      </c>
      <c r="C229" t="s">
        <v>1071</v>
      </c>
      <c r="D229" t="s">
        <v>1072</v>
      </c>
      <c r="E229" t="s">
        <v>1073</v>
      </c>
      <c r="F229" t="s">
        <v>1074</v>
      </c>
      <c r="G229">
        <v>0</v>
      </c>
      <c r="H229" t="s">
        <v>58</v>
      </c>
      <c r="I229">
        <v>2</v>
      </c>
      <c r="J229">
        <v>2</v>
      </c>
      <c r="K229">
        <v>1</v>
      </c>
      <c r="L229">
        <v>3.46</v>
      </c>
      <c r="M229">
        <v>46238</v>
      </c>
      <c r="N229">
        <v>20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X229">
        <v>1</v>
      </c>
      <c r="Y229">
        <v>2</v>
      </c>
      <c r="Z229">
        <v>1</v>
      </c>
      <c r="AA229">
        <v>1</v>
      </c>
      <c r="AB229">
        <v>2</v>
      </c>
      <c r="AC229">
        <v>2</v>
      </c>
      <c r="AD229">
        <v>0</v>
      </c>
      <c r="AE229">
        <v>0</v>
      </c>
      <c r="AF229">
        <v>1</v>
      </c>
      <c r="AG229">
        <v>1</v>
      </c>
      <c r="AH229">
        <v>1</v>
      </c>
      <c r="AI229">
        <v>1</v>
      </c>
      <c r="AJ229">
        <v>2</v>
      </c>
      <c r="AK229">
        <v>0</v>
      </c>
      <c r="AN229">
        <v>581957.62</v>
      </c>
      <c r="AO229">
        <v>620114624</v>
      </c>
      <c r="AP229">
        <v>211995952</v>
      </c>
      <c r="AQ229">
        <v>224938816</v>
      </c>
      <c r="AR229">
        <v>168222368</v>
      </c>
      <c r="AS229">
        <v>221178064</v>
      </c>
      <c r="AT229">
        <v>99934.65</v>
      </c>
      <c r="AU229">
        <v>151704.31</v>
      </c>
      <c r="AV229">
        <v>167556.25</v>
      </c>
      <c r="AW229">
        <v>103218504</v>
      </c>
      <c r="AX229">
        <v>12327739</v>
      </c>
      <c r="AY229">
        <v>12010521</v>
      </c>
      <c r="AZ229">
        <v>258582640</v>
      </c>
      <c r="BA229">
        <v>258464112</v>
      </c>
    </row>
    <row r="230" spans="1:53">
      <c r="A230">
        <v>16857</v>
      </c>
      <c r="B230" t="s">
        <v>1075</v>
      </c>
      <c r="C230" t="s">
        <v>1076</v>
      </c>
      <c r="D230" t="s">
        <v>1077</v>
      </c>
      <c r="F230" t="s">
        <v>1078</v>
      </c>
      <c r="G230">
        <v>0</v>
      </c>
      <c r="H230" t="s">
        <v>58</v>
      </c>
      <c r="I230">
        <v>2</v>
      </c>
      <c r="J230">
        <v>2</v>
      </c>
      <c r="K230">
        <v>0</v>
      </c>
      <c r="L230">
        <v>2.99</v>
      </c>
      <c r="M230">
        <v>79341</v>
      </c>
      <c r="N230">
        <v>39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2</v>
      </c>
      <c r="W230">
        <v>1</v>
      </c>
      <c r="X230">
        <v>2</v>
      </c>
      <c r="Y230">
        <v>2</v>
      </c>
      <c r="Z230">
        <v>1</v>
      </c>
      <c r="AA230">
        <v>2</v>
      </c>
      <c r="AB230">
        <v>1</v>
      </c>
      <c r="AC230">
        <v>1</v>
      </c>
      <c r="AD230">
        <v>0</v>
      </c>
      <c r="AE230">
        <v>0</v>
      </c>
      <c r="AF230">
        <v>0</v>
      </c>
      <c r="AG230">
        <v>2</v>
      </c>
      <c r="AH230">
        <v>0</v>
      </c>
      <c r="AI230">
        <v>0</v>
      </c>
      <c r="AJ230">
        <v>0</v>
      </c>
      <c r="AK230">
        <v>0</v>
      </c>
      <c r="AM230">
        <v>225280.95</v>
      </c>
      <c r="AN230">
        <v>846233.12</v>
      </c>
      <c r="AO230">
        <v>1046126.5</v>
      </c>
      <c r="AP230">
        <v>62662.720000000001</v>
      </c>
      <c r="AQ230">
        <v>234510.66</v>
      </c>
      <c r="AR230">
        <v>106866.86</v>
      </c>
      <c r="AS230">
        <v>101422.59</v>
      </c>
      <c r="AT230">
        <v>99934.65</v>
      </c>
      <c r="AU230">
        <v>52351.77</v>
      </c>
      <c r="AV230">
        <v>445045.06</v>
      </c>
      <c r="AW230">
        <v>347308.78</v>
      </c>
      <c r="AX230">
        <v>47986.55</v>
      </c>
      <c r="AY230">
        <v>157301.5</v>
      </c>
      <c r="AZ230">
        <v>91288.6</v>
      </c>
      <c r="BA230">
        <v>74588.84</v>
      </c>
    </row>
    <row r="231" spans="1:53">
      <c r="A231">
        <v>16880</v>
      </c>
      <c r="B231" t="s">
        <v>1079</v>
      </c>
      <c r="C231" t="s">
        <v>1080</v>
      </c>
      <c r="D231" t="s">
        <v>1079</v>
      </c>
      <c r="F231" t="s">
        <v>1081</v>
      </c>
      <c r="G231">
        <v>0</v>
      </c>
      <c r="H231" t="s">
        <v>58</v>
      </c>
      <c r="I231">
        <v>2</v>
      </c>
      <c r="J231">
        <v>1</v>
      </c>
      <c r="K231">
        <v>0</v>
      </c>
      <c r="L231">
        <v>0.9</v>
      </c>
      <c r="M231">
        <v>187250</v>
      </c>
      <c r="N231">
        <v>108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>
        <v>2</v>
      </c>
      <c r="W231">
        <v>1</v>
      </c>
      <c r="X231">
        <v>1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0</v>
      </c>
      <c r="AE231">
        <v>0</v>
      </c>
      <c r="AF231">
        <v>0</v>
      </c>
      <c r="AG231">
        <v>2</v>
      </c>
      <c r="AH231">
        <v>0</v>
      </c>
      <c r="AI231">
        <v>2</v>
      </c>
      <c r="AJ231">
        <v>1</v>
      </c>
      <c r="AK231">
        <v>1</v>
      </c>
      <c r="AM231">
        <v>477062.94</v>
      </c>
      <c r="AN231">
        <v>2397177.25</v>
      </c>
      <c r="AO231">
        <v>4607283</v>
      </c>
      <c r="AP231">
        <v>912431.31</v>
      </c>
      <c r="AQ231">
        <v>1822684.75</v>
      </c>
      <c r="AR231">
        <v>1465328.88</v>
      </c>
      <c r="AS231">
        <v>1343048.25</v>
      </c>
      <c r="AT231">
        <v>99934.65</v>
      </c>
      <c r="AU231">
        <v>77499.759999999995</v>
      </c>
      <c r="AV231">
        <v>57496.26</v>
      </c>
      <c r="AW231">
        <v>1151699</v>
      </c>
      <c r="AX231">
        <v>763011.94</v>
      </c>
      <c r="AY231">
        <v>2122789.5</v>
      </c>
      <c r="AZ231">
        <v>1036143.75</v>
      </c>
      <c r="BA231">
        <v>807408.88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A4BB5-A47C-4192-B504-02D4DE57E9A2}">
  <sheetPr filterMode="1"/>
  <dimension ref="A1:BD231"/>
  <sheetViews>
    <sheetView topLeftCell="AU244" workbookViewId="0">
      <selection activeCell="AT5" sqref="AT5:BD78"/>
    </sheetView>
  </sheetViews>
  <sheetFormatPr baseColWidth="10" defaultColWidth="8.625" defaultRowHeight="14.25"/>
  <cols>
    <col min="1" max="1" width="15" customWidth="1"/>
    <col min="2" max="2" width="23" customWidth="1"/>
    <col min="3" max="3" width="10" customWidth="1"/>
    <col min="4" max="4" width="95.625" customWidth="1"/>
    <col min="5" max="5" width="82.125" customWidth="1"/>
    <col min="6" max="6" width="31" customWidth="1"/>
    <col min="7" max="7" width="18" customWidth="1"/>
    <col min="8" max="8" width="13" customWidth="1"/>
    <col min="9" max="9" width="16" customWidth="1"/>
    <col min="10" max="10" width="25" customWidth="1"/>
    <col min="11" max="11" width="24" customWidth="1"/>
    <col min="12" max="13" width="13" customWidth="1"/>
    <col min="14" max="14" width="21" customWidth="1"/>
    <col min="15" max="15" width="13" customWidth="1"/>
    <col min="16" max="16" width="20" customWidth="1"/>
    <col min="17" max="17" width="13" customWidth="1"/>
    <col min="18" max="18" width="19" customWidth="1"/>
    <col min="19" max="19" width="15" customWidth="1"/>
    <col min="20" max="20" width="24" customWidth="1"/>
    <col min="21" max="21" width="26" customWidth="1"/>
    <col min="22" max="24" width="30" customWidth="1"/>
    <col min="25" max="25" width="31" customWidth="1"/>
    <col min="26" max="26" width="30" customWidth="1"/>
    <col min="27" max="27" width="31" customWidth="1"/>
    <col min="28" max="28" width="30" customWidth="1"/>
    <col min="29" max="29" width="31" customWidth="1"/>
    <col min="30" max="32" width="25" customWidth="1"/>
    <col min="33" max="33" width="26" customWidth="1"/>
    <col min="34" max="34" width="25" customWidth="1"/>
    <col min="35" max="35" width="26" customWidth="1"/>
    <col min="36" max="36" width="25" customWidth="1"/>
    <col min="37" max="37" width="26" customWidth="1"/>
    <col min="38" max="40" width="29" customWidth="1"/>
    <col min="41" max="41" width="30" customWidth="1"/>
    <col min="42" max="42" width="29" customWidth="1"/>
    <col min="43" max="43" width="30" customWidth="1"/>
    <col min="44" max="44" width="29" customWidth="1"/>
    <col min="45" max="45" width="30" customWidth="1"/>
    <col min="46" max="48" width="25" style="11" customWidth="1"/>
    <col min="49" max="49" width="25" style="14" customWidth="1"/>
    <col min="50" max="51" width="26" style="14" customWidth="1"/>
    <col min="52" max="52" width="25" style="16" customWidth="1"/>
    <col min="53" max="54" width="26" style="16" customWidth="1"/>
    <col min="55" max="55" width="25" style="18" customWidth="1"/>
    <col min="56" max="56" width="26" style="18" customWidth="1"/>
  </cols>
  <sheetData>
    <row r="1" spans="1:56" ht="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12" t="s">
        <v>45</v>
      </c>
      <c r="AU1" s="10" t="s">
        <v>46</v>
      </c>
      <c r="AV1" s="10"/>
      <c r="AW1" s="13" t="s">
        <v>47</v>
      </c>
      <c r="AX1" s="13" t="s">
        <v>48</v>
      </c>
      <c r="AY1" s="13"/>
      <c r="AZ1" s="15" t="s">
        <v>49</v>
      </c>
      <c r="BA1" s="15" t="s">
        <v>50</v>
      </c>
      <c r="BB1" s="15"/>
      <c r="BC1" s="17" t="s">
        <v>51</v>
      </c>
      <c r="BD1" s="17" t="s">
        <v>52</v>
      </c>
    </row>
    <row r="2" spans="1:56" hidden="1">
      <c r="A2">
        <v>16786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>
        <v>3169.0309999999999</v>
      </c>
      <c r="H2" t="s">
        <v>58</v>
      </c>
      <c r="I2">
        <v>2</v>
      </c>
      <c r="J2">
        <v>20</v>
      </c>
      <c r="K2">
        <v>1</v>
      </c>
      <c r="L2">
        <v>81.680000000000007</v>
      </c>
      <c r="M2">
        <v>77580</v>
      </c>
      <c r="N2">
        <v>43</v>
      </c>
      <c r="O2">
        <v>57</v>
      </c>
      <c r="P2">
        <v>57</v>
      </c>
      <c r="Q2">
        <v>65</v>
      </c>
      <c r="R2">
        <v>65</v>
      </c>
      <c r="S2">
        <v>5383</v>
      </c>
      <c r="T2">
        <v>5383</v>
      </c>
      <c r="U2">
        <v>65</v>
      </c>
      <c r="V2">
        <v>47</v>
      </c>
      <c r="W2">
        <v>51</v>
      </c>
      <c r="X2">
        <v>57</v>
      </c>
      <c r="Y2">
        <v>63</v>
      </c>
      <c r="Z2">
        <v>60</v>
      </c>
      <c r="AA2">
        <v>60</v>
      </c>
      <c r="AB2">
        <v>60</v>
      </c>
      <c r="AC2">
        <v>59</v>
      </c>
      <c r="AD2">
        <v>392</v>
      </c>
      <c r="AE2">
        <v>360</v>
      </c>
      <c r="AF2">
        <v>785</v>
      </c>
      <c r="AG2">
        <v>835</v>
      </c>
      <c r="AH2">
        <v>792</v>
      </c>
      <c r="AI2">
        <v>817</v>
      </c>
      <c r="AJ2">
        <v>615</v>
      </c>
      <c r="AK2">
        <v>787</v>
      </c>
      <c r="AL2">
        <v>2182097152</v>
      </c>
      <c r="AM2">
        <v>1865604480</v>
      </c>
      <c r="AN2">
        <v>5362102272</v>
      </c>
      <c r="AO2">
        <v>8320054784</v>
      </c>
      <c r="AP2">
        <v>4089943296</v>
      </c>
      <c r="AQ2">
        <v>4664014848</v>
      </c>
      <c r="AR2">
        <v>3693956096</v>
      </c>
      <c r="AS2">
        <v>4848675840</v>
      </c>
      <c r="AT2" s="11">
        <v>1638980992</v>
      </c>
      <c r="AU2" s="11">
        <v>1337588736</v>
      </c>
      <c r="AW2" s="14">
        <v>2799779840</v>
      </c>
      <c r="AX2" s="14">
        <v>3695418112</v>
      </c>
      <c r="AZ2" s="16">
        <v>3152617728</v>
      </c>
      <c r="BA2" s="16">
        <v>3273308928</v>
      </c>
      <c r="BC2" s="18">
        <v>2702001920</v>
      </c>
      <c r="BD2" s="18">
        <v>3069323776</v>
      </c>
    </row>
    <row r="3" spans="1:56" hidden="1">
      <c r="A3">
        <v>16829</v>
      </c>
      <c r="B3" t="s">
        <v>59</v>
      </c>
      <c r="C3" t="s">
        <v>60</v>
      </c>
      <c r="D3" t="s">
        <v>61</v>
      </c>
      <c r="F3" t="s">
        <v>62</v>
      </c>
      <c r="G3">
        <v>3150.3739999999998</v>
      </c>
      <c r="H3" t="s">
        <v>58</v>
      </c>
      <c r="I3">
        <v>2</v>
      </c>
      <c r="J3">
        <v>3</v>
      </c>
      <c r="K3">
        <v>0</v>
      </c>
      <c r="L3">
        <v>76.12</v>
      </c>
      <c r="M3">
        <v>61157</v>
      </c>
      <c r="N3">
        <v>35</v>
      </c>
      <c r="O3">
        <v>55</v>
      </c>
      <c r="P3">
        <v>55</v>
      </c>
      <c r="Q3">
        <v>58</v>
      </c>
      <c r="R3">
        <v>58</v>
      </c>
      <c r="S3">
        <v>9288</v>
      </c>
      <c r="T3">
        <v>9288</v>
      </c>
      <c r="U3">
        <v>58</v>
      </c>
      <c r="V3">
        <v>48</v>
      </c>
      <c r="W3">
        <v>49</v>
      </c>
      <c r="X3">
        <v>54</v>
      </c>
      <c r="Y3">
        <v>55</v>
      </c>
      <c r="Z3">
        <v>56</v>
      </c>
      <c r="AA3">
        <v>57</v>
      </c>
      <c r="AB3">
        <v>57</v>
      </c>
      <c r="AC3">
        <v>56</v>
      </c>
      <c r="AD3">
        <v>924</v>
      </c>
      <c r="AE3">
        <v>989</v>
      </c>
      <c r="AF3">
        <v>1333</v>
      </c>
      <c r="AG3">
        <v>1427</v>
      </c>
      <c r="AH3">
        <v>1413</v>
      </c>
      <c r="AI3">
        <v>1335</v>
      </c>
      <c r="AJ3">
        <v>1037</v>
      </c>
      <c r="AK3">
        <v>829</v>
      </c>
      <c r="AL3">
        <v>5071682048</v>
      </c>
      <c r="AM3">
        <v>4869823488</v>
      </c>
      <c r="AN3">
        <v>9463989248</v>
      </c>
      <c r="AO3">
        <v>11447007232</v>
      </c>
      <c r="AP3">
        <v>6379252736</v>
      </c>
      <c r="AQ3">
        <v>6611609088</v>
      </c>
      <c r="AR3">
        <v>6586499584</v>
      </c>
      <c r="AS3">
        <v>5490465280</v>
      </c>
      <c r="AT3" s="11">
        <v>4292909568</v>
      </c>
      <c r="AU3" s="11">
        <v>4611912704</v>
      </c>
      <c r="AW3" s="14">
        <v>5316688896</v>
      </c>
      <c r="AX3" s="14">
        <v>4718388736</v>
      </c>
      <c r="AZ3" s="16">
        <v>4811970048</v>
      </c>
      <c r="BA3" s="16">
        <v>4409207808</v>
      </c>
      <c r="BC3" s="18">
        <v>4280950272</v>
      </c>
      <c r="BD3" s="18">
        <v>3152657408</v>
      </c>
    </row>
    <row r="4" spans="1:56" hidden="1">
      <c r="A4">
        <v>16721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>
        <v>2651.1570000000002</v>
      </c>
      <c r="H4" t="s">
        <v>58</v>
      </c>
      <c r="I4">
        <v>2</v>
      </c>
      <c r="J4">
        <v>3</v>
      </c>
      <c r="K4">
        <v>17</v>
      </c>
      <c r="L4">
        <v>62.64</v>
      </c>
      <c r="M4">
        <v>93695</v>
      </c>
      <c r="N4">
        <v>51</v>
      </c>
      <c r="O4">
        <v>49</v>
      </c>
      <c r="P4">
        <v>49</v>
      </c>
      <c r="Q4">
        <v>62</v>
      </c>
      <c r="R4">
        <v>62</v>
      </c>
      <c r="S4">
        <v>7522</v>
      </c>
      <c r="T4">
        <v>7522</v>
      </c>
      <c r="U4">
        <v>62</v>
      </c>
      <c r="V4">
        <v>50</v>
      </c>
      <c r="W4">
        <v>54</v>
      </c>
      <c r="X4">
        <v>57</v>
      </c>
      <c r="Y4">
        <v>60</v>
      </c>
      <c r="Z4">
        <v>55</v>
      </c>
      <c r="AA4">
        <v>56</v>
      </c>
      <c r="AB4">
        <v>62</v>
      </c>
      <c r="AC4">
        <v>62</v>
      </c>
      <c r="AD4">
        <v>598</v>
      </c>
      <c r="AE4">
        <v>663</v>
      </c>
      <c r="AF4">
        <v>1054</v>
      </c>
      <c r="AG4">
        <v>892</v>
      </c>
      <c r="AH4">
        <v>542</v>
      </c>
      <c r="AI4">
        <v>526</v>
      </c>
      <c r="AJ4">
        <v>1520</v>
      </c>
      <c r="AK4">
        <v>1727</v>
      </c>
      <c r="AL4">
        <v>7062929408</v>
      </c>
      <c r="AM4">
        <v>6096701952</v>
      </c>
      <c r="AN4">
        <v>12136049664</v>
      </c>
      <c r="AO4">
        <v>13151027200</v>
      </c>
      <c r="AP4">
        <v>3762981120</v>
      </c>
      <c r="AQ4">
        <v>4052071424</v>
      </c>
      <c r="AR4">
        <v>18020900864</v>
      </c>
      <c r="AS4">
        <v>21608833024</v>
      </c>
      <c r="AT4" s="11">
        <v>5277456896</v>
      </c>
      <c r="AU4" s="11">
        <v>4879404544</v>
      </c>
      <c r="AW4" s="14">
        <v>5952979456</v>
      </c>
      <c r="AX4" s="14">
        <v>4830801408</v>
      </c>
      <c r="AZ4" s="16">
        <v>2339232512</v>
      </c>
      <c r="BA4" s="16">
        <v>2363166208</v>
      </c>
      <c r="BC4" s="18">
        <v>10993537024</v>
      </c>
      <c r="BD4" s="18">
        <v>12211140608</v>
      </c>
    </row>
    <row r="5" spans="1:56">
      <c r="A5">
        <v>16871</v>
      </c>
      <c r="B5" t="s">
        <v>68</v>
      </c>
      <c r="C5" t="s">
        <v>1198</v>
      </c>
      <c r="D5" t="s">
        <v>68</v>
      </c>
      <c r="F5" t="s">
        <v>70</v>
      </c>
      <c r="G5">
        <v>2082.4810000000002</v>
      </c>
      <c r="H5" t="s">
        <v>58</v>
      </c>
      <c r="I5">
        <v>2</v>
      </c>
      <c r="J5">
        <v>1</v>
      </c>
      <c r="K5">
        <v>0</v>
      </c>
      <c r="L5">
        <v>70.61</v>
      </c>
      <c r="M5">
        <v>66713</v>
      </c>
      <c r="N5">
        <v>40</v>
      </c>
      <c r="O5">
        <v>46</v>
      </c>
      <c r="P5">
        <v>46</v>
      </c>
      <c r="Q5">
        <v>47</v>
      </c>
      <c r="R5">
        <v>47</v>
      </c>
      <c r="S5">
        <v>4323</v>
      </c>
      <c r="T5">
        <v>4323</v>
      </c>
      <c r="U5">
        <v>47</v>
      </c>
      <c r="V5">
        <v>36</v>
      </c>
      <c r="W5">
        <v>38</v>
      </c>
      <c r="X5">
        <v>45</v>
      </c>
      <c r="Y5">
        <v>47</v>
      </c>
      <c r="Z5">
        <v>42</v>
      </c>
      <c r="AA5">
        <v>45</v>
      </c>
      <c r="AB5">
        <v>47</v>
      </c>
      <c r="AC5">
        <v>45</v>
      </c>
      <c r="AD5">
        <v>501</v>
      </c>
      <c r="AE5">
        <v>516</v>
      </c>
      <c r="AF5">
        <v>745</v>
      </c>
      <c r="AG5">
        <v>646</v>
      </c>
      <c r="AH5">
        <v>398</v>
      </c>
      <c r="AI5">
        <v>372</v>
      </c>
      <c r="AJ5">
        <v>588</v>
      </c>
      <c r="AK5">
        <v>557</v>
      </c>
      <c r="AL5">
        <v>3875154688</v>
      </c>
      <c r="AM5">
        <v>3359524096</v>
      </c>
      <c r="AN5">
        <v>6278807040</v>
      </c>
      <c r="AO5">
        <v>7675360256</v>
      </c>
      <c r="AP5">
        <v>2221802752</v>
      </c>
      <c r="AQ5">
        <v>2413990912</v>
      </c>
      <c r="AR5">
        <v>5120246272</v>
      </c>
      <c r="AS5">
        <v>4226421248</v>
      </c>
      <c r="AT5" s="11">
        <v>2918830592</v>
      </c>
      <c r="AU5" s="11">
        <v>2796321024</v>
      </c>
      <c r="AW5" s="14">
        <v>3361662208</v>
      </c>
      <c r="AX5" s="14">
        <v>3118186752</v>
      </c>
      <c r="AZ5" s="16">
        <v>1527015040</v>
      </c>
      <c r="BA5" s="16">
        <v>1471797760</v>
      </c>
      <c r="BC5" s="18">
        <v>3422046208</v>
      </c>
      <c r="BD5" s="18">
        <v>2544448256</v>
      </c>
    </row>
    <row r="6" spans="1:56" hidden="1">
      <c r="A6">
        <v>16664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>
        <v>2047.42</v>
      </c>
      <c r="H6" t="s">
        <v>58</v>
      </c>
      <c r="I6">
        <v>2</v>
      </c>
      <c r="J6">
        <v>7</v>
      </c>
      <c r="K6">
        <v>9</v>
      </c>
      <c r="L6">
        <v>81.73</v>
      </c>
      <c r="M6">
        <v>43283</v>
      </c>
      <c r="N6">
        <v>26</v>
      </c>
      <c r="O6">
        <v>33</v>
      </c>
      <c r="P6">
        <v>33</v>
      </c>
      <c r="Q6">
        <v>39</v>
      </c>
      <c r="R6">
        <v>39</v>
      </c>
      <c r="S6">
        <v>9323</v>
      </c>
      <c r="T6">
        <v>9323</v>
      </c>
      <c r="U6">
        <v>39</v>
      </c>
      <c r="V6">
        <v>27</v>
      </c>
      <c r="W6">
        <v>27</v>
      </c>
      <c r="X6">
        <v>36</v>
      </c>
      <c r="Y6">
        <v>38</v>
      </c>
      <c r="Z6">
        <v>38</v>
      </c>
      <c r="AA6">
        <v>39</v>
      </c>
      <c r="AB6">
        <v>38</v>
      </c>
      <c r="AC6">
        <v>39</v>
      </c>
      <c r="AD6">
        <v>703</v>
      </c>
      <c r="AE6">
        <v>764</v>
      </c>
      <c r="AF6">
        <v>1188</v>
      </c>
      <c r="AG6">
        <v>1406</v>
      </c>
      <c r="AH6">
        <v>1297</v>
      </c>
      <c r="AI6">
        <v>1349</v>
      </c>
      <c r="AJ6">
        <v>1312</v>
      </c>
      <c r="AK6">
        <v>1304</v>
      </c>
      <c r="AL6">
        <v>4193328128</v>
      </c>
      <c r="AM6">
        <v>3974820352</v>
      </c>
      <c r="AN6">
        <v>9674161152</v>
      </c>
      <c r="AO6">
        <v>12910504960</v>
      </c>
      <c r="AP6">
        <v>7836724224</v>
      </c>
      <c r="AQ6">
        <v>9476875264</v>
      </c>
      <c r="AR6">
        <v>7780093952</v>
      </c>
      <c r="AS6">
        <v>9225899008</v>
      </c>
      <c r="AT6" s="11">
        <v>3003825152</v>
      </c>
      <c r="AU6" s="11">
        <v>2798942464</v>
      </c>
      <c r="AW6" s="14">
        <v>5597512192</v>
      </c>
      <c r="AX6" s="14">
        <v>6589564416</v>
      </c>
      <c r="AZ6" s="16">
        <v>5849209856</v>
      </c>
      <c r="BA6" s="16">
        <v>6594433536</v>
      </c>
      <c r="BC6" s="18">
        <v>5191266816</v>
      </c>
      <c r="BD6" s="18">
        <v>5928875520</v>
      </c>
    </row>
    <row r="7" spans="1:56" hidden="1">
      <c r="A7">
        <v>16819</v>
      </c>
      <c r="B7" t="s">
        <v>76</v>
      </c>
      <c r="C7" t="s">
        <v>77</v>
      </c>
      <c r="D7" t="s">
        <v>78</v>
      </c>
      <c r="E7" t="s">
        <v>79</v>
      </c>
      <c r="F7" t="s">
        <v>80</v>
      </c>
      <c r="G7">
        <v>2030.7819999999999</v>
      </c>
      <c r="H7" t="s">
        <v>58</v>
      </c>
      <c r="I7">
        <v>2</v>
      </c>
      <c r="J7">
        <v>3</v>
      </c>
      <c r="K7">
        <v>7</v>
      </c>
      <c r="L7">
        <v>61.3</v>
      </c>
      <c r="M7">
        <v>96031</v>
      </c>
      <c r="N7">
        <v>59</v>
      </c>
      <c r="O7">
        <v>49</v>
      </c>
      <c r="P7">
        <v>49</v>
      </c>
      <c r="Q7">
        <v>50</v>
      </c>
      <c r="R7">
        <v>50</v>
      </c>
      <c r="S7">
        <v>956</v>
      </c>
      <c r="T7">
        <v>956</v>
      </c>
      <c r="U7">
        <v>50</v>
      </c>
      <c r="V7">
        <v>33</v>
      </c>
      <c r="W7">
        <v>39</v>
      </c>
      <c r="X7">
        <v>42</v>
      </c>
      <c r="Y7">
        <v>47</v>
      </c>
      <c r="Z7">
        <v>49</v>
      </c>
      <c r="AA7">
        <v>50</v>
      </c>
      <c r="AB7">
        <v>49</v>
      </c>
      <c r="AC7">
        <v>49</v>
      </c>
      <c r="AD7">
        <v>102</v>
      </c>
      <c r="AE7">
        <v>104</v>
      </c>
      <c r="AF7">
        <v>88</v>
      </c>
      <c r="AG7">
        <v>101</v>
      </c>
      <c r="AH7">
        <v>142</v>
      </c>
      <c r="AI7">
        <v>167</v>
      </c>
      <c r="AJ7">
        <v>107</v>
      </c>
      <c r="AK7">
        <v>144</v>
      </c>
      <c r="AL7">
        <v>623074048</v>
      </c>
      <c r="AM7">
        <v>2080943744</v>
      </c>
      <c r="AN7">
        <v>2611674112</v>
      </c>
      <c r="AO7">
        <v>1457060480</v>
      </c>
      <c r="AP7">
        <v>2189307904</v>
      </c>
      <c r="AQ7">
        <v>2495125760</v>
      </c>
      <c r="AR7">
        <v>1141066752</v>
      </c>
      <c r="AS7">
        <v>2398300928</v>
      </c>
      <c r="AT7" s="11">
        <v>927420672</v>
      </c>
      <c r="AU7" s="11">
        <v>1079577472</v>
      </c>
      <c r="AW7" s="14">
        <v>890225280</v>
      </c>
      <c r="AX7" s="14">
        <v>936472960</v>
      </c>
      <c r="AZ7" s="16">
        <v>1327956480</v>
      </c>
      <c r="BA7" s="16">
        <v>1536904064</v>
      </c>
      <c r="BC7" s="18">
        <v>1101986944</v>
      </c>
      <c r="BD7" s="18">
        <v>1236866048</v>
      </c>
    </row>
    <row r="8" spans="1:56" hidden="1">
      <c r="A8">
        <v>16667</v>
      </c>
      <c r="B8" t="s">
        <v>81</v>
      </c>
      <c r="C8" t="s">
        <v>82</v>
      </c>
      <c r="D8" t="s">
        <v>83</v>
      </c>
      <c r="E8" t="s">
        <v>84</v>
      </c>
      <c r="F8" t="s">
        <v>85</v>
      </c>
      <c r="G8">
        <v>1888.3420000000001</v>
      </c>
      <c r="H8" t="s">
        <v>58</v>
      </c>
      <c r="I8">
        <v>2</v>
      </c>
      <c r="J8">
        <v>5</v>
      </c>
      <c r="K8">
        <v>16</v>
      </c>
      <c r="L8">
        <v>69.52</v>
      </c>
      <c r="M8">
        <v>76812</v>
      </c>
      <c r="N8">
        <v>46</v>
      </c>
      <c r="O8">
        <v>46</v>
      </c>
      <c r="P8">
        <v>46</v>
      </c>
      <c r="Q8">
        <v>47</v>
      </c>
      <c r="R8">
        <v>47</v>
      </c>
      <c r="S8">
        <v>609</v>
      </c>
      <c r="T8">
        <v>609</v>
      </c>
      <c r="U8">
        <v>47</v>
      </c>
      <c r="V8">
        <v>34</v>
      </c>
      <c r="W8">
        <v>32</v>
      </c>
      <c r="X8">
        <v>41</v>
      </c>
      <c r="Y8">
        <v>46</v>
      </c>
      <c r="Z8">
        <v>44</v>
      </c>
      <c r="AA8">
        <v>46</v>
      </c>
      <c r="AB8">
        <v>46</v>
      </c>
      <c r="AC8">
        <v>47</v>
      </c>
      <c r="AD8">
        <v>47</v>
      </c>
      <c r="AE8">
        <v>49</v>
      </c>
      <c r="AF8">
        <v>65</v>
      </c>
      <c r="AG8">
        <v>70</v>
      </c>
      <c r="AH8">
        <v>88</v>
      </c>
      <c r="AI8">
        <v>97</v>
      </c>
      <c r="AJ8">
        <v>87</v>
      </c>
      <c r="AK8">
        <v>106</v>
      </c>
      <c r="AL8">
        <v>207593584</v>
      </c>
      <c r="AM8">
        <v>208713840</v>
      </c>
      <c r="AN8">
        <v>420518688</v>
      </c>
      <c r="AO8">
        <v>596326976</v>
      </c>
      <c r="AP8">
        <v>467637760</v>
      </c>
      <c r="AQ8">
        <v>594142720</v>
      </c>
      <c r="AR8">
        <v>497052320</v>
      </c>
      <c r="AS8">
        <v>584335232</v>
      </c>
      <c r="AT8" s="11">
        <v>223580400</v>
      </c>
      <c r="AU8" s="11">
        <v>230065840</v>
      </c>
      <c r="AW8" s="14">
        <v>226611184</v>
      </c>
      <c r="AX8" s="14">
        <v>221647296</v>
      </c>
      <c r="AZ8" s="16">
        <v>326966400</v>
      </c>
      <c r="BA8" s="16">
        <v>367050080</v>
      </c>
      <c r="BC8" s="18">
        <v>315216608</v>
      </c>
      <c r="BD8" s="18">
        <v>315204544</v>
      </c>
    </row>
    <row r="9" spans="1:56" hidden="1">
      <c r="A9">
        <v>16788</v>
      </c>
      <c r="B9" t="s">
        <v>86</v>
      </c>
      <c r="C9" t="s">
        <v>87</v>
      </c>
      <c r="D9" t="s">
        <v>88</v>
      </c>
      <c r="F9" t="s">
        <v>89</v>
      </c>
      <c r="G9">
        <v>1675.183</v>
      </c>
      <c r="H9" t="s">
        <v>58</v>
      </c>
      <c r="I9">
        <v>2</v>
      </c>
      <c r="J9">
        <v>20</v>
      </c>
      <c r="K9">
        <v>0</v>
      </c>
      <c r="L9">
        <v>84.19</v>
      </c>
      <c r="M9">
        <v>24729</v>
      </c>
      <c r="N9">
        <v>15</v>
      </c>
      <c r="O9">
        <v>26</v>
      </c>
      <c r="P9">
        <v>26</v>
      </c>
      <c r="Q9">
        <v>31</v>
      </c>
      <c r="R9">
        <v>31</v>
      </c>
      <c r="S9">
        <v>6701</v>
      </c>
      <c r="T9">
        <v>6701</v>
      </c>
      <c r="U9">
        <v>31</v>
      </c>
      <c r="V9">
        <v>26</v>
      </c>
      <c r="W9">
        <v>26</v>
      </c>
      <c r="X9">
        <v>27</v>
      </c>
      <c r="Y9">
        <v>31</v>
      </c>
      <c r="Z9">
        <v>29</v>
      </c>
      <c r="AA9">
        <v>30</v>
      </c>
      <c r="AB9">
        <v>29</v>
      </c>
      <c r="AC9">
        <v>30</v>
      </c>
      <c r="AD9">
        <v>606</v>
      </c>
      <c r="AE9">
        <v>694</v>
      </c>
      <c r="AF9">
        <v>902</v>
      </c>
      <c r="AG9">
        <v>965</v>
      </c>
      <c r="AH9">
        <v>970</v>
      </c>
      <c r="AI9">
        <v>945</v>
      </c>
      <c r="AJ9">
        <v>861</v>
      </c>
      <c r="AK9">
        <v>758</v>
      </c>
      <c r="AL9">
        <v>7322373632</v>
      </c>
      <c r="AM9">
        <v>7181896192</v>
      </c>
      <c r="AN9">
        <v>10766523392</v>
      </c>
      <c r="AO9">
        <v>12166329344</v>
      </c>
      <c r="AP9">
        <v>7214319616</v>
      </c>
      <c r="AQ9">
        <v>7423108096</v>
      </c>
      <c r="AR9">
        <v>7313180160</v>
      </c>
      <c r="AS9">
        <v>6373597696</v>
      </c>
      <c r="AT9" s="11">
        <v>6671104512</v>
      </c>
      <c r="AU9" s="11">
        <v>6961717248</v>
      </c>
      <c r="AW9" s="14">
        <v>5638069248</v>
      </c>
      <c r="AX9" s="14">
        <v>5438311936</v>
      </c>
      <c r="AZ9" s="16">
        <v>5638650880</v>
      </c>
      <c r="BA9" s="16">
        <v>5492911616</v>
      </c>
      <c r="BC9" s="18">
        <v>4987500544</v>
      </c>
      <c r="BD9" s="18">
        <v>4077285888</v>
      </c>
    </row>
    <row r="10" spans="1:56" hidden="1">
      <c r="A10">
        <v>16766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>
        <v>1619.625</v>
      </c>
      <c r="H10" t="s">
        <v>58</v>
      </c>
      <c r="I10">
        <v>2</v>
      </c>
      <c r="J10">
        <v>13</v>
      </c>
      <c r="K10">
        <v>8</v>
      </c>
      <c r="L10">
        <v>55.17</v>
      </c>
      <c r="M10">
        <v>97348</v>
      </c>
      <c r="N10">
        <v>59</v>
      </c>
      <c r="O10">
        <v>41</v>
      </c>
      <c r="P10">
        <v>41</v>
      </c>
      <c r="Q10">
        <v>41</v>
      </c>
      <c r="R10">
        <v>41</v>
      </c>
      <c r="S10">
        <v>652</v>
      </c>
      <c r="T10">
        <v>652</v>
      </c>
      <c r="U10">
        <v>41</v>
      </c>
      <c r="V10">
        <v>34</v>
      </c>
      <c r="W10">
        <v>33</v>
      </c>
      <c r="X10">
        <v>38</v>
      </c>
      <c r="Y10">
        <v>37</v>
      </c>
      <c r="Z10">
        <v>39</v>
      </c>
      <c r="AA10">
        <v>40</v>
      </c>
      <c r="AB10">
        <v>38</v>
      </c>
      <c r="AC10">
        <v>37</v>
      </c>
      <c r="AD10">
        <v>133</v>
      </c>
      <c r="AE10">
        <v>121</v>
      </c>
      <c r="AF10">
        <v>86</v>
      </c>
      <c r="AG10">
        <v>78</v>
      </c>
      <c r="AH10">
        <v>74</v>
      </c>
      <c r="AI10">
        <v>63</v>
      </c>
      <c r="AJ10">
        <v>48</v>
      </c>
      <c r="AK10">
        <v>48</v>
      </c>
      <c r="AL10">
        <v>581290432</v>
      </c>
      <c r="AM10">
        <v>516910976</v>
      </c>
      <c r="AN10">
        <v>531270656</v>
      </c>
      <c r="AO10">
        <v>592395008</v>
      </c>
      <c r="AP10">
        <v>297187072</v>
      </c>
      <c r="AQ10">
        <v>333520288</v>
      </c>
      <c r="AR10">
        <v>287584064</v>
      </c>
      <c r="AS10">
        <v>292437632</v>
      </c>
      <c r="AT10" s="11">
        <v>548881408</v>
      </c>
      <c r="AU10" s="11">
        <v>545138496</v>
      </c>
      <c r="AW10" s="14">
        <v>294084576</v>
      </c>
      <c r="AX10" s="14">
        <v>271499200</v>
      </c>
      <c r="AZ10" s="16">
        <v>230618848</v>
      </c>
      <c r="BA10" s="16">
        <v>211535152</v>
      </c>
      <c r="BC10" s="18">
        <v>205311712</v>
      </c>
      <c r="BD10" s="18">
        <v>192700416</v>
      </c>
    </row>
    <row r="11" spans="1:56" hidden="1">
      <c r="A11">
        <v>16799</v>
      </c>
      <c r="B11" t="s">
        <v>95</v>
      </c>
      <c r="C11" t="s">
        <v>96</v>
      </c>
      <c r="D11" t="s">
        <v>97</v>
      </c>
      <c r="F11" t="s">
        <v>98</v>
      </c>
      <c r="G11">
        <v>1453.809</v>
      </c>
      <c r="H11" t="s">
        <v>58</v>
      </c>
      <c r="I11">
        <v>2</v>
      </c>
      <c r="J11">
        <v>3</v>
      </c>
      <c r="K11">
        <v>0</v>
      </c>
      <c r="L11">
        <v>85.64</v>
      </c>
      <c r="M11">
        <v>40323</v>
      </c>
      <c r="N11">
        <v>24</v>
      </c>
      <c r="O11">
        <v>25</v>
      </c>
      <c r="P11">
        <v>25</v>
      </c>
      <c r="Q11">
        <v>26</v>
      </c>
      <c r="R11">
        <v>26</v>
      </c>
      <c r="S11">
        <v>1197</v>
      </c>
      <c r="T11">
        <v>1197</v>
      </c>
      <c r="U11">
        <v>26</v>
      </c>
      <c r="V11">
        <v>23</v>
      </c>
      <c r="W11">
        <v>23</v>
      </c>
      <c r="X11">
        <v>26</v>
      </c>
      <c r="Y11">
        <v>26</v>
      </c>
      <c r="Z11">
        <v>26</v>
      </c>
      <c r="AA11">
        <v>24</v>
      </c>
      <c r="AB11">
        <v>24</v>
      </c>
      <c r="AC11">
        <v>25</v>
      </c>
      <c r="AD11">
        <v>132</v>
      </c>
      <c r="AE11">
        <v>158</v>
      </c>
      <c r="AF11">
        <v>220</v>
      </c>
      <c r="AG11">
        <v>190</v>
      </c>
      <c r="AH11">
        <v>68</v>
      </c>
      <c r="AI11">
        <v>70</v>
      </c>
      <c r="AJ11">
        <v>185</v>
      </c>
      <c r="AK11">
        <v>174</v>
      </c>
      <c r="AL11">
        <v>544774144</v>
      </c>
      <c r="AM11">
        <v>591065472</v>
      </c>
      <c r="AN11">
        <v>1467126272</v>
      </c>
      <c r="AO11">
        <v>2038535040</v>
      </c>
      <c r="AP11">
        <v>387915936</v>
      </c>
      <c r="AQ11">
        <v>436069088</v>
      </c>
      <c r="AR11">
        <v>965568960</v>
      </c>
      <c r="AS11">
        <v>1174204672</v>
      </c>
      <c r="AT11" s="11">
        <v>444778304</v>
      </c>
      <c r="AU11" s="11">
        <v>619225152</v>
      </c>
      <c r="AW11" s="14">
        <v>809379392</v>
      </c>
      <c r="AX11" s="14">
        <v>847743040</v>
      </c>
      <c r="AZ11" s="16">
        <v>299623520</v>
      </c>
      <c r="BA11" s="16">
        <v>295364704</v>
      </c>
      <c r="BC11" s="18">
        <v>640100608</v>
      </c>
      <c r="BD11" s="18">
        <v>617986368</v>
      </c>
    </row>
    <row r="12" spans="1:56" hidden="1">
      <c r="A12">
        <v>16662</v>
      </c>
      <c r="B12" t="s">
        <v>99</v>
      </c>
      <c r="C12" t="s">
        <v>100</v>
      </c>
      <c r="D12" t="s">
        <v>101</v>
      </c>
      <c r="F12" t="s">
        <v>102</v>
      </c>
      <c r="G12">
        <v>1408.4290000000001</v>
      </c>
      <c r="H12" t="s">
        <v>58</v>
      </c>
      <c r="I12">
        <v>2</v>
      </c>
      <c r="J12">
        <v>20</v>
      </c>
      <c r="K12">
        <v>0</v>
      </c>
      <c r="L12">
        <v>79.510000000000005</v>
      </c>
      <c r="M12">
        <v>30422</v>
      </c>
      <c r="N12">
        <v>22</v>
      </c>
      <c r="O12">
        <v>29</v>
      </c>
      <c r="P12">
        <v>29</v>
      </c>
      <c r="Q12">
        <v>32</v>
      </c>
      <c r="R12">
        <v>32</v>
      </c>
      <c r="S12">
        <v>2188</v>
      </c>
      <c r="T12">
        <v>2188</v>
      </c>
      <c r="U12">
        <v>32</v>
      </c>
      <c r="V12">
        <v>19</v>
      </c>
      <c r="W12">
        <v>21</v>
      </c>
      <c r="X12">
        <v>25</v>
      </c>
      <c r="Y12">
        <v>30</v>
      </c>
      <c r="Z12">
        <v>31</v>
      </c>
      <c r="AA12">
        <v>32</v>
      </c>
      <c r="AB12">
        <v>32</v>
      </c>
      <c r="AC12">
        <v>30</v>
      </c>
      <c r="AD12">
        <v>113</v>
      </c>
      <c r="AE12">
        <v>123</v>
      </c>
      <c r="AF12">
        <v>307</v>
      </c>
      <c r="AG12">
        <v>320</v>
      </c>
      <c r="AH12">
        <v>300</v>
      </c>
      <c r="AI12">
        <v>301</v>
      </c>
      <c r="AJ12">
        <v>352</v>
      </c>
      <c r="AK12">
        <v>372</v>
      </c>
      <c r="AL12">
        <v>1642401664</v>
      </c>
      <c r="AM12">
        <v>1692480896</v>
      </c>
      <c r="AN12">
        <v>4594163712</v>
      </c>
      <c r="AO12">
        <v>6371596288</v>
      </c>
      <c r="AP12">
        <v>3258672128</v>
      </c>
      <c r="AQ12">
        <v>3650570496</v>
      </c>
      <c r="AR12">
        <v>2917267712</v>
      </c>
      <c r="AS12">
        <v>3569909504</v>
      </c>
      <c r="AT12" s="11">
        <v>732026432</v>
      </c>
      <c r="AU12" s="11">
        <v>996123264</v>
      </c>
      <c r="AW12" s="14">
        <v>1849008384</v>
      </c>
      <c r="AX12" s="14">
        <v>2474083328</v>
      </c>
      <c r="AZ12" s="16">
        <v>2178059008</v>
      </c>
      <c r="BA12" s="16">
        <v>2500052480</v>
      </c>
      <c r="BC12" s="18">
        <v>2241334528</v>
      </c>
      <c r="BD12" s="18">
        <v>2165370624</v>
      </c>
    </row>
    <row r="13" spans="1:56" hidden="1">
      <c r="A13">
        <v>16737</v>
      </c>
      <c r="B13" t="s">
        <v>103</v>
      </c>
      <c r="C13" t="s">
        <v>104</v>
      </c>
      <c r="D13" t="s">
        <v>105</v>
      </c>
      <c r="F13" t="s">
        <v>106</v>
      </c>
      <c r="G13">
        <v>1252.1369999999999</v>
      </c>
      <c r="H13" t="s">
        <v>58</v>
      </c>
      <c r="I13">
        <v>2</v>
      </c>
      <c r="J13">
        <v>9</v>
      </c>
      <c r="K13">
        <v>0</v>
      </c>
      <c r="L13">
        <v>89.22</v>
      </c>
      <c r="M13">
        <v>17603</v>
      </c>
      <c r="N13">
        <v>13</v>
      </c>
      <c r="O13">
        <v>18</v>
      </c>
      <c r="P13">
        <v>18</v>
      </c>
      <c r="Q13">
        <v>23</v>
      </c>
      <c r="R13">
        <v>23</v>
      </c>
      <c r="S13">
        <v>4797</v>
      </c>
      <c r="T13">
        <v>4797</v>
      </c>
      <c r="U13">
        <v>23</v>
      </c>
      <c r="V13">
        <v>19</v>
      </c>
      <c r="W13">
        <v>18</v>
      </c>
      <c r="X13">
        <v>22</v>
      </c>
      <c r="Y13">
        <v>22</v>
      </c>
      <c r="Z13">
        <v>21</v>
      </c>
      <c r="AA13">
        <v>22</v>
      </c>
      <c r="AB13">
        <v>22</v>
      </c>
      <c r="AC13">
        <v>21</v>
      </c>
      <c r="AD13">
        <v>523</v>
      </c>
      <c r="AE13">
        <v>549</v>
      </c>
      <c r="AF13">
        <v>644</v>
      </c>
      <c r="AG13">
        <v>561</v>
      </c>
      <c r="AH13">
        <v>621</v>
      </c>
      <c r="AI13">
        <v>642</v>
      </c>
      <c r="AJ13">
        <v>656</v>
      </c>
      <c r="AK13">
        <v>601</v>
      </c>
      <c r="AL13">
        <v>7071316992</v>
      </c>
      <c r="AM13">
        <v>6641914368</v>
      </c>
      <c r="AN13">
        <v>8185460224</v>
      </c>
      <c r="AO13">
        <v>9775966208</v>
      </c>
      <c r="AP13">
        <v>6440173056</v>
      </c>
      <c r="AQ13">
        <v>6412802048</v>
      </c>
      <c r="AR13">
        <v>6046216704</v>
      </c>
      <c r="AS13">
        <v>5565711360</v>
      </c>
      <c r="AT13" s="11">
        <v>6280121344</v>
      </c>
      <c r="AU13" s="11">
        <v>6161567744</v>
      </c>
      <c r="AW13" s="14">
        <v>5487814656</v>
      </c>
      <c r="AX13" s="14">
        <v>5186496000</v>
      </c>
      <c r="AZ13" s="16">
        <v>5156470272</v>
      </c>
      <c r="BA13" s="16">
        <v>4752842752</v>
      </c>
      <c r="BC13" s="18">
        <v>4428551168</v>
      </c>
      <c r="BD13" s="18">
        <v>3464333824</v>
      </c>
    </row>
    <row r="14" spans="1:56" hidden="1">
      <c r="A14">
        <v>16742</v>
      </c>
      <c r="B14" t="s">
        <v>107</v>
      </c>
      <c r="C14" t="s">
        <v>108</v>
      </c>
      <c r="D14" t="s">
        <v>109</v>
      </c>
      <c r="F14" t="s">
        <v>110</v>
      </c>
      <c r="G14">
        <v>1217.0840000000001</v>
      </c>
      <c r="H14" t="s">
        <v>58</v>
      </c>
      <c r="I14">
        <v>2</v>
      </c>
      <c r="J14">
        <v>20</v>
      </c>
      <c r="K14">
        <v>0</v>
      </c>
      <c r="L14">
        <v>88.84</v>
      </c>
      <c r="M14">
        <v>25982</v>
      </c>
      <c r="N14">
        <v>16</v>
      </c>
      <c r="O14">
        <v>34</v>
      </c>
      <c r="P14">
        <v>34</v>
      </c>
      <c r="Q14">
        <v>35</v>
      </c>
      <c r="R14">
        <v>35</v>
      </c>
      <c r="S14">
        <v>3561</v>
      </c>
      <c r="T14">
        <v>3561</v>
      </c>
      <c r="U14">
        <v>35</v>
      </c>
      <c r="V14">
        <v>21</v>
      </c>
      <c r="W14">
        <v>20</v>
      </c>
      <c r="X14">
        <v>31</v>
      </c>
      <c r="Y14">
        <v>34</v>
      </c>
      <c r="Z14">
        <v>31</v>
      </c>
      <c r="AA14">
        <v>32</v>
      </c>
      <c r="AB14">
        <v>34</v>
      </c>
      <c r="AC14">
        <v>31</v>
      </c>
      <c r="AD14">
        <v>404</v>
      </c>
      <c r="AE14">
        <v>373</v>
      </c>
      <c r="AF14">
        <v>536</v>
      </c>
      <c r="AG14">
        <v>483</v>
      </c>
      <c r="AH14">
        <v>490</v>
      </c>
      <c r="AI14">
        <v>462</v>
      </c>
      <c r="AJ14">
        <v>466</v>
      </c>
      <c r="AK14">
        <v>347</v>
      </c>
      <c r="AL14">
        <v>5245452800</v>
      </c>
      <c r="AM14">
        <v>4679107072</v>
      </c>
      <c r="AN14">
        <v>6963904512</v>
      </c>
      <c r="AO14">
        <v>8632132608</v>
      </c>
      <c r="AP14">
        <v>5210189824</v>
      </c>
      <c r="AQ14">
        <v>5380754432</v>
      </c>
      <c r="AR14">
        <v>5292330496</v>
      </c>
      <c r="AS14">
        <v>4930893312</v>
      </c>
      <c r="AT14" s="11">
        <v>3480246784</v>
      </c>
      <c r="AU14" s="11">
        <v>2969474560</v>
      </c>
      <c r="AW14" s="14">
        <v>4303929856</v>
      </c>
      <c r="AX14" s="14">
        <v>4888607744</v>
      </c>
      <c r="AZ14" s="16">
        <v>4095766784</v>
      </c>
      <c r="BA14" s="16">
        <v>3790770176</v>
      </c>
      <c r="BC14" s="18">
        <v>4220770560</v>
      </c>
      <c r="BD14" s="18">
        <v>3097070336</v>
      </c>
    </row>
    <row r="15" spans="1:56" hidden="1">
      <c r="A15">
        <v>16671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>
        <v>1202.3019999999999</v>
      </c>
      <c r="H15" t="s">
        <v>58</v>
      </c>
      <c r="I15">
        <v>2</v>
      </c>
      <c r="J15">
        <v>2</v>
      </c>
      <c r="K15">
        <v>18</v>
      </c>
      <c r="L15">
        <v>48.37</v>
      </c>
      <c r="M15">
        <v>97232</v>
      </c>
      <c r="N15">
        <v>52</v>
      </c>
      <c r="O15">
        <v>34</v>
      </c>
      <c r="P15">
        <v>34</v>
      </c>
      <c r="Q15">
        <v>34</v>
      </c>
      <c r="R15">
        <v>34</v>
      </c>
      <c r="S15">
        <v>254</v>
      </c>
      <c r="T15">
        <v>254</v>
      </c>
      <c r="U15">
        <v>34</v>
      </c>
      <c r="V15">
        <v>26</v>
      </c>
      <c r="W15">
        <v>26</v>
      </c>
      <c r="X15">
        <v>31</v>
      </c>
      <c r="Y15">
        <v>33</v>
      </c>
      <c r="Z15">
        <v>33</v>
      </c>
      <c r="AA15">
        <v>33</v>
      </c>
      <c r="AB15">
        <v>33</v>
      </c>
      <c r="AC15">
        <v>33</v>
      </c>
      <c r="AD15">
        <v>27</v>
      </c>
      <c r="AE15">
        <v>25</v>
      </c>
      <c r="AF15">
        <v>24</v>
      </c>
      <c r="AG15">
        <v>29</v>
      </c>
      <c r="AH15">
        <v>33</v>
      </c>
      <c r="AI15">
        <v>42</v>
      </c>
      <c r="AJ15">
        <v>36</v>
      </c>
      <c r="AK15">
        <v>38</v>
      </c>
      <c r="AL15">
        <v>109123688</v>
      </c>
      <c r="AM15">
        <v>89564744</v>
      </c>
      <c r="AN15">
        <v>153752624</v>
      </c>
      <c r="AO15">
        <v>230466688</v>
      </c>
      <c r="AP15">
        <v>194136800</v>
      </c>
      <c r="AQ15">
        <v>237017424</v>
      </c>
      <c r="AR15">
        <v>176371696</v>
      </c>
      <c r="AS15">
        <v>243219632</v>
      </c>
      <c r="AT15" s="11">
        <v>95918464</v>
      </c>
      <c r="AU15" s="11">
        <v>95487064</v>
      </c>
      <c r="AW15" s="14">
        <v>80871112</v>
      </c>
      <c r="AX15" s="14">
        <v>85934120</v>
      </c>
      <c r="AZ15" s="16">
        <v>135479568</v>
      </c>
      <c r="BA15" s="16">
        <v>147728016</v>
      </c>
      <c r="BC15" s="18">
        <v>101923416</v>
      </c>
      <c r="BD15" s="18">
        <v>132912184</v>
      </c>
    </row>
    <row r="16" spans="1:56" hidden="1">
      <c r="A16">
        <v>16872</v>
      </c>
      <c r="B16" t="s">
        <v>116</v>
      </c>
      <c r="C16" t="s">
        <v>117</v>
      </c>
      <c r="D16" t="s">
        <v>116</v>
      </c>
      <c r="F16" t="s">
        <v>118</v>
      </c>
      <c r="G16">
        <v>1173.1669999999999</v>
      </c>
      <c r="H16" t="s">
        <v>58</v>
      </c>
      <c r="I16">
        <v>2</v>
      </c>
      <c r="J16">
        <v>1</v>
      </c>
      <c r="K16">
        <v>0</v>
      </c>
      <c r="L16">
        <v>63.41</v>
      </c>
      <c r="M16">
        <v>52801</v>
      </c>
      <c r="N16">
        <v>29</v>
      </c>
      <c r="O16">
        <v>25</v>
      </c>
      <c r="P16">
        <v>25</v>
      </c>
      <c r="Q16">
        <v>26</v>
      </c>
      <c r="R16">
        <v>26</v>
      </c>
      <c r="S16">
        <v>1362</v>
      </c>
      <c r="T16">
        <v>1362</v>
      </c>
      <c r="U16">
        <v>26</v>
      </c>
      <c r="V16">
        <v>21</v>
      </c>
      <c r="W16">
        <v>21</v>
      </c>
      <c r="X16">
        <v>23</v>
      </c>
      <c r="Y16">
        <v>26</v>
      </c>
      <c r="Z16">
        <v>25</v>
      </c>
      <c r="AA16">
        <v>22</v>
      </c>
      <c r="AB16">
        <v>26</v>
      </c>
      <c r="AC16">
        <v>26</v>
      </c>
      <c r="AD16">
        <v>141</v>
      </c>
      <c r="AE16">
        <v>183</v>
      </c>
      <c r="AF16">
        <v>236</v>
      </c>
      <c r="AG16">
        <v>170</v>
      </c>
      <c r="AH16">
        <v>109</v>
      </c>
      <c r="AI16">
        <v>102</v>
      </c>
      <c r="AJ16">
        <v>197</v>
      </c>
      <c r="AK16">
        <v>224</v>
      </c>
      <c r="AL16">
        <v>838305728</v>
      </c>
      <c r="AM16">
        <v>837583744</v>
      </c>
      <c r="AN16">
        <v>1681263232</v>
      </c>
      <c r="AO16">
        <v>2051321088</v>
      </c>
      <c r="AP16">
        <v>522160192</v>
      </c>
      <c r="AQ16">
        <v>554441728</v>
      </c>
      <c r="AR16">
        <v>1360577152</v>
      </c>
      <c r="AS16">
        <v>1502067456</v>
      </c>
      <c r="AT16" s="11">
        <v>764708160</v>
      </c>
      <c r="AU16" s="11">
        <v>842193728</v>
      </c>
      <c r="AW16" s="14">
        <v>885238464</v>
      </c>
      <c r="AX16" s="14">
        <v>875286592</v>
      </c>
      <c r="AZ16" s="16">
        <v>359320576</v>
      </c>
      <c r="BA16" s="16">
        <v>345878272</v>
      </c>
      <c r="BC16" s="18">
        <v>790283648</v>
      </c>
      <c r="BD16" s="18">
        <v>802509760</v>
      </c>
    </row>
    <row r="17" spans="1:56" hidden="1">
      <c r="A17">
        <v>16779</v>
      </c>
      <c r="B17" t="s">
        <v>119</v>
      </c>
      <c r="C17" t="s">
        <v>120</v>
      </c>
      <c r="D17" t="s">
        <v>121</v>
      </c>
      <c r="E17" t="s">
        <v>122</v>
      </c>
      <c r="F17" t="s">
        <v>123</v>
      </c>
      <c r="G17">
        <v>1142.5889999999999</v>
      </c>
      <c r="H17" t="s">
        <v>58</v>
      </c>
      <c r="I17">
        <v>2</v>
      </c>
      <c r="J17">
        <v>3</v>
      </c>
      <c r="K17">
        <v>18</v>
      </c>
      <c r="L17">
        <v>60.84</v>
      </c>
      <c r="M17">
        <v>63691</v>
      </c>
      <c r="N17">
        <v>33</v>
      </c>
      <c r="O17">
        <v>26</v>
      </c>
      <c r="P17">
        <v>26</v>
      </c>
      <c r="Q17">
        <v>26</v>
      </c>
      <c r="R17">
        <v>26</v>
      </c>
      <c r="S17">
        <v>245</v>
      </c>
      <c r="T17">
        <v>245</v>
      </c>
      <c r="U17">
        <v>26</v>
      </c>
      <c r="V17">
        <v>20</v>
      </c>
      <c r="W17">
        <v>20</v>
      </c>
      <c r="X17">
        <v>22</v>
      </c>
      <c r="Y17">
        <v>26</v>
      </c>
      <c r="Z17">
        <v>26</v>
      </c>
      <c r="AA17">
        <v>26</v>
      </c>
      <c r="AB17">
        <v>26</v>
      </c>
      <c r="AC17">
        <v>25</v>
      </c>
      <c r="AD17">
        <v>24</v>
      </c>
      <c r="AE17">
        <v>21</v>
      </c>
      <c r="AF17">
        <v>19</v>
      </c>
      <c r="AG17">
        <v>25</v>
      </c>
      <c r="AH17">
        <v>39</v>
      </c>
      <c r="AI17">
        <v>40</v>
      </c>
      <c r="AJ17">
        <v>36</v>
      </c>
      <c r="AK17">
        <v>40</v>
      </c>
      <c r="AL17">
        <v>101240480</v>
      </c>
      <c r="AM17">
        <v>98601432</v>
      </c>
      <c r="AN17">
        <v>171332816</v>
      </c>
      <c r="AO17">
        <v>230267088</v>
      </c>
      <c r="AP17">
        <v>222598512</v>
      </c>
      <c r="AQ17">
        <v>262031712</v>
      </c>
      <c r="AR17">
        <v>210467728</v>
      </c>
      <c r="AS17">
        <v>262177824</v>
      </c>
      <c r="AT17" s="11">
        <v>104659480</v>
      </c>
      <c r="AU17" s="11">
        <v>100922568</v>
      </c>
      <c r="AW17" s="14">
        <v>85363408</v>
      </c>
      <c r="AX17" s="14">
        <v>85854120</v>
      </c>
      <c r="AZ17" s="16">
        <v>152305568</v>
      </c>
      <c r="BA17" s="16">
        <v>162252400</v>
      </c>
      <c r="BC17" s="18">
        <v>121819408</v>
      </c>
      <c r="BD17" s="18">
        <v>146981344</v>
      </c>
    </row>
    <row r="18" spans="1:56" hidden="1">
      <c r="A18">
        <v>16801</v>
      </c>
      <c r="B18" t="s">
        <v>124</v>
      </c>
      <c r="C18" t="s">
        <v>125</v>
      </c>
      <c r="D18" t="s">
        <v>126</v>
      </c>
      <c r="E18" t="s">
        <v>127</v>
      </c>
      <c r="F18" t="s">
        <v>128</v>
      </c>
      <c r="G18">
        <v>1091.8800000000001</v>
      </c>
      <c r="H18" t="s">
        <v>58</v>
      </c>
      <c r="I18">
        <v>2</v>
      </c>
      <c r="J18">
        <v>2</v>
      </c>
      <c r="K18">
        <v>1</v>
      </c>
      <c r="L18">
        <v>37.43</v>
      </c>
      <c r="M18">
        <v>108177</v>
      </c>
      <c r="N18">
        <v>64</v>
      </c>
      <c r="O18">
        <v>31</v>
      </c>
      <c r="P18">
        <v>31</v>
      </c>
      <c r="Q18">
        <v>31</v>
      </c>
      <c r="R18">
        <v>31</v>
      </c>
      <c r="S18">
        <v>276</v>
      </c>
      <c r="T18">
        <v>276</v>
      </c>
      <c r="U18">
        <v>31</v>
      </c>
      <c r="V18">
        <v>24</v>
      </c>
      <c r="W18">
        <v>23</v>
      </c>
      <c r="X18">
        <v>28</v>
      </c>
      <c r="Y18">
        <v>31</v>
      </c>
      <c r="Z18">
        <v>28</v>
      </c>
      <c r="AA18">
        <v>31</v>
      </c>
      <c r="AB18">
        <v>30</v>
      </c>
      <c r="AC18">
        <v>31</v>
      </c>
      <c r="AD18">
        <v>26</v>
      </c>
      <c r="AE18">
        <v>18</v>
      </c>
      <c r="AF18">
        <v>31</v>
      </c>
      <c r="AG18">
        <v>41</v>
      </c>
      <c r="AH18">
        <v>39</v>
      </c>
      <c r="AI18">
        <v>43</v>
      </c>
      <c r="AJ18">
        <v>35</v>
      </c>
      <c r="AK18">
        <v>43</v>
      </c>
      <c r="AL18">
        <v>156814736</v>
      </c>
      <c r="AM18">
        <v>153096832</v>
      </c>
      <c r="AN18">
        <v>237295184</v>
      </c>
      <c r="AO18">
        <v>331544288</v>
      </c>
      <c r="AP18">
        <v>257720736</v>
      </c>
      <c r="AQ18">
        <v>317166336</v>
      </c>
      <c r="AR18">
        <v>255095568</v>
      </c>
      <c r="AS18">
        <v>312434016</v>
      </c>
      <c r="AT18" s="11">
        <v>159970832</v>
      </c>
      <c r="AU18" s="11">
        <v>163451408</v>
      </c>
      <c r="AW18" s="14">
        <v>113508192</v>
      </c>
      <c r="AX18" s="14">
        <v>124947224</v>
      </c>
      <c r="AZ18" s="16">
        <v>164180672</v>
      </c>
      <c r="BA18" s="16">
        <v>187702000</v>
      </c>
      <c r="BC18" s="18">
        <v>143508816</v>
      </c>
      <c r="BD18" s="18">
        <v>161858832</v>
      </c>
    </row>
    <row r="19" spans="1:56" hidden="1">
      <c r="A19">
        <v>16676</v>
      </c>
      <c r="B19" t="s">
        <v>129</v>
      </c>
      <c r="C19" t="s">
        <v>130</v>
      </c>
      <c r="D19" t="s">
        <v>131</v>
      </c>
      <c r="F19" t="s">
        <v>132</v>
      </c>
      <c r="G19">
        <v>1057.3620000000001</v>
      </c>
      <c r="H19" t="s">
        <v>58</v>
      </c>
      <c r="I19">
        <v>2</v>
      </c>
      <c r="J19">
        <v>3</v>
      </c>
      <c r="K19">
        <v>0</v>
      </c>
      <c r="L19">
        <v>62.96</v>
      </c>
      <c r="M19">
        <v>29613</v>
      </c>
      <c r="N19">
        <v>16</v>
      </c>
      <c r="O19">
        <v>20</v>
      </c>
      <c r="P19">
        <v>20</v>
      </c>
      <c r="Q19">
        <v>22</v>
      </c>
      <c r="R19">
        <v>22</v>
      </c>
      <c r="S19">
        <v>4057</v>
      </c>
      <c r="T19">
        <v>4057</v>
      </c>
      <c r="U19">
        <v>22</v>
      </c>
      <c r="V19">
        <v>19</v>
      </c>
      <c r="W19">
        <v>21</v>
      </c>
      <c r="X19">
        <v>20</v>
      </c>
      <c r="Y19">
        <v>21</v>
      </c>
      <c r="Z19">
        <v>21</v>
      </c>
      <c r="AA19">
        <v>21</v>
      </c>
      <c r="AB19">
        <v>22</v>
      </c>
      <c r="AC19">
        <v>22</v>
      </c>
      <c r="AD19">
        <v>450</v>
      </c>
      <c r="AE19">
        <v>460</v>
      </c>
      <c r="AF19">
        <v>450</v>
      </c>
      <c r="AG19">
        <v>421</v>
      </c>
      <c r="AH19">
        <v>376</v>
      </c>
      <c r="AI19">
        <v>387</v>
      </c>
      <c r="AJ19">
        <v>754</v>
      </c>
      <c r="AK19">
        <v>759</v>
      </c>
      <c r="AL19">
        <v>6125257216</v>
      </c>
      <c r="AM19">
        <v>5309486080</v>
      </c>
      <c r="AN19">
        <v>5856991232</v>
      </c>
      <c r="AO19">
        <v>5914333696</v>
      </c>
      <c r="AP19">
        <v>3023700992</v>
      </c>
      <c r="AQ19">
        <v>3240923904</v>
      </c>
      <c r="AR19">
        <v>7933167616</v>
      </c>
      <c r="AS19">
        <v>8054853120</v>
      </c>
      <c r="AT19" s="11">
        <v>5361149440</v>
      </c>
      <c r="AU19" s="11">
        <v>5321134080</v>
      </c>
      <c r="AW19" s="14">
        <v>2874567168</v>
      </c>
      <c r="AX19" s="14">
        <v>2178234368</v>
      </c>
      <c r="AZ19" s="16">
        <v>1930479232</v>
      </c>
      <c r="BA19" s="16">
        <v>1867681536</v>
      </c>
      <c r="BC19" s="18">
        <v>5432747008</v>
      </c>
      <c r="BD19" s="18">
        <v>5265046016</v>
      </c>
    </row>
    <row r="20" spans="1:56" hidden="1">
      <c r="A20">
        <v>16669</v>
      </c>
      <c r="B20" t="s">
        <v>133</v>
      </c>
      <c r="C20" t="s">
        <v>134</v>
      </c>
      <c r="D20" t="s">
        <v>135</v>
      </c>
      <c r="E20" t="s">
        <v>136</v>
      </c>
      <c r="F20" t="s">
        <v>137</v>
      </c>
      <c r="G20">
        <v>1027.7650000000001</v>
      </c>
      <c r="H20" t="s">
        <v>58</v>
      </c>
      <c r="I20">
        <v>2</v>
      </c>
      <c r="J20">
        <v>19</v>
      </c>
      <c r="K20">
        <v>1</v>
      </c>
      <c r="L20">
        <v>87.6</v>
      </c>
      <c r="M20">
        <v>12295</v>
      </c>
      <c r="N20">
        <v>8</v>
      </c>
      <c r="O20">
        <v>14</v>
      </c>
      <c r="P20">
        <v>14</v>
      </c>
      <c r="Q20">
        <v>18</v>
      </c>
      <c r="R20">
        <v>18</v>
      </c>
      <c r="S20">
        <v>5597</v>
      </c>
      <c r="T20">
        <v>5597</v>
      </c>
      <c r="U20">
        <v>18</v>
      </c>
      <c r="V20">
        <v>13</v>
      </c>
      <c r="W20">
        <v>13</v>
      </c>
      <c r="X20">
        <v>17</v>
      </c>
      <c r="Y20">
        <v>16</v>
      </c>
      <c r="Z20">
        <v>17</v>
      </c>
      <c r="AA20">
        <v>17</v>
      </c>
      <c r="AB20">
        <v>18</v>
      </c>
      <c r="AC20">
        <v>18</v>
      </c>
      <c r="AD20">
        <v>512</v>
      </c>
      <c r="AE20">
        <v>649</v>
      </c>
      <c r="AF20">
        <v>794</v>
      </c>
      <c r="AG20">
        <v>737</v>
      </c>
      <c r="AH20">
        <v>739</v>
      </c>
      <c r="AI20">
        <v>747</v>
      </c>
      <c r="AJ20">
        <v>759</v>
      </c>
      <c r="AK20">
        <v>660</v>
      </c>
      <c r="AL20">
        <v>5575203328</v>
      </c>
      <c r="AM20">
        <v>5414010368</v>
      </c>
      <c r="AN20">
        <v>7386821120</v>
      </c>
      <c r="AO20">
        <v>8355008000</v>
      </c>
      <c r="AP20">
        <v>5672336384</v>
      </c>
      <c r="AQ20">
        <v>5816019968</v>
      </c>
      <c r="AR20">
        <v>5833744896</v>
      </c>
      <c r="AS20">
        <v>4962781696</v>
      </c>
      <c r="AT20" s="11">
        <v>1867452032</v>
      </c>
      <c r="AU20" s="11">
        <v>2663020800</v>
      </c>
      <c r="AW20" s="14">
        <v>4525495296</v>
      </c>
      <c r="AX20" s="14">
        <v>4177560576</v>
      </c>
      <c r="AZ20" s="16">
        <v>6347730432</v>
      </c>
      <c r="BA20" s="16">
        <v>4584872448</v>
      </c>
      <c r="BC20" s="18">
        <v>5313876480</v>
      </c>
      <c r="BD20" s="18">
        <v>3311430144</v>
      </c>
    </row>
    <row r="21" spans="1:56" hidden="1">
      <c r="A21">
        <v>16678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>
        <v>1023.016</v>
      </c>
      <c r="H21" t="s">
        <v>58</v>
      </c>
      <c r="I21">
        <v>2</v>
      </c>
      <c r="J21">
        <v>16</v>
      </c>
      <c r="K21">
        <v>5</v>
      </c>
      <c r="L21">
        <v>80.08</v>
      </c>
      <c r="M21">
        <v>26743</v>
      </c>
      <c r="N21">
        <v>14</v>
      </c>
      <c r="O21">
        <v>22</v>
      </c>
      <c r="P21">
        <v>22</v>
      </c>
      <c r="Q21">
        <v>26</v>
      </c>
      <c r="R21">
        <v>26</v>
      </c>
      <c r="S21">
        <v>5426</v>
      </c>
      <c r="T21">
        <v>5426</v>
      </c>
      <c r="U21">
        <v>26</v>
      </c>
      <c r="V21">
        <v>20</v>
      </c>
      <c r="W21">
        <v>21</v>
      </c>
      <c r="X21">
        <v>24</v>
      </c>
      <c r="Y21">
        <v>25</v>
      </c>
      <c r="Z21">
        <v>24</v>
      </c>
      <c r="AA21">
        <v>25</v>
      </c>
      <c r="AB21">
        <v>26</v>
      </c>
      <c r="AC21">
        <v>25</v>
      </c>
      <c r="AD21">
        <v>589</v>
      </c>
      <c r="AE21">
        <v>595</v>
      </c>
      <c r="AF21">
        <v>719</v>
      </c>
      <c r="AG21">
        <v>688</v>
      </c>
      <c r="AH21">
        <v>756</v>
      </c>
      <c r="AI21">
        <v>730</v>
      </c>
      <c r="AJ21">
        <v>701</v>
      </c>
      <c r="AK21">
        <v>648</v>
      </c>
      <c r="AL21">
        <v>4586444288</v>
      </c>
      <c r="AM21">
        <v>3979266560</v>
      </c>
      <c r="AN21">
        <v>6100925952</v>
      </c>
      <c r="AO21">
        <v>7539854848</v>
      </c>
      <c r="AP21">
        <v>4474926592</v>
      </c>
      <c r="AQ21">
        <v>4432740352</v>
      </c>
      <c r="AR21">
        <v>4074432768</v>
      </c>
      <c r="AS21">
        <v>3596506112</v>
      </c>
      <c r="AT21" s="11">
        <v>3584189696</v>
      </c>
      <c r="AU21" s="11">
        <v>3338498304</v>
      </c>
      <c r="AW21" s="14">
        <v>3536885760</v>
      </c>
      <c r="AX21" s="14">
        <v>3542478336</v>
      </c>
      <c r="AZ21" s="16">
        <v>3013306112</v>
      </c>
      <c r="BA21" s="16">
        <v>2943471872</v>
      </c>
      <c r="BC21" s="18">
        <v>2841422080</v>
      </c>
      <c r="BD21" s="18">
        <v>2072940672</v>
      </c>
    </row>
    <row r="22" spans="1:56" hidden="1">
      <c r="A22">
        <v>16855</v>
      </c>
      <c r="B22" t="s">
        <v>143</v>
      </c>
      <c r="C22" t="s">
        <v>144</v>
      </c>
      <c r="D22" t="s">
        <v>145</v>
      </c>
      <c r="F22" t="s">
        <v>146</v>
      </c>
      <c r="G22">
        <v>1010.318</v>
      </c>
      <c r="H22" t="s">
        <v>58</v>
      </c>
      <c r="I22">
        <v>2</v>
      </c>
      <c r="J22">
        <v>2</v>
      </c>
      <c r="K22">
        <v>0</v>
      </c>
      <c r="L22">
        <v>45.21</v>
      </c>
      <c r="M22">
        <v>99667</v>
      </c>
      <c r="N22">
        <v>55</v>
      </c>
      <c r="O22">
        <v>33</v>
      </c>
      <c r="P22">
        <v>33</v>
      </c>
      <c r="Q22">
        <v>33</v>
      </c>
      <c r="R22">
        <v>33</v>
      </c>
      <c r="S22">
        <v>206</v>
      </c>
      <c r="T22">
        <v>206</v>
      </c>
      <c r="U22">
        <v>33</v>
      </c>
      <c r="V22">
        <v>26</v>
      </c>
      <c r="W22">
        <v>23</v>
      </c>
      <c r="X22">
        <v>32</v>
      </c>
      <c r="Y22">
        <v>33</v>
      </c>
      <c r="Z22">
        <v>33</v>
      </c>
      <c r="AA22">
        <v>31</v>
      </c>
      <c r="AB22">
        <v>32</v>
      </c>
      <c r="AC22">
        <v>32</v>
      </c>
      <c r="AD22">
        <v>18</v>
      </c>
      <c r="AE22">
        <v>11</v>
      </c>
      <c r="AF22">
        <v>35</v>
      </c>
      <c r="AG22">
        <v>32</v>
      </c>
      <c r="AH22">
        <v>29</v>
      </c>
      <c r="AI22">
        <v>28</v>
      </c>
      <c r="AJ22">
        <v>24</v>
      </c>
      <c r="AK22">
        <v>29</v>
      </c>
      <c r="AL22">
        <v>75328600</v>
      </c>
      <c r="AM22">
        <v>57794212</v>
      </c>
      <c r="AN22">
        <v>254824096</v>
      </c>
      <c r="AO22">
        <v>306221056</v>
      </c>
      <c r="AP22">
        <v>143047744</v>
      </c>
      <c r="AQ22">
        <v>147530512</v>
      </c>
      <c r="AR22">
        <v>136003472</v>
      </c>
      <c r="AS22">
        <v>147875792</v>
      </c>
      <c r="AT22" s="11">
        <v>76201464</v>
      </c>
      <c r="AU22" s="11">
        <v>58752148</v>
      </c>
      <c r="AW22" s="14">
        <v>128482800</v>
      </c>
      <c r="AX22" s="14">
        <v>108234560</v>
      </c>
      <c r="AZ22" s="16">
        <v>90895928</v>
      </c>
      <c r="BA22" s="16">
        <v>87472816</v>
      </c>
      <c r="BC22" s="18">
        <v>75445088</v>
      </c>
      <c r="BD22" s="18">
        <v>73674112</v>
      </c>
    </row>
    <row r="23" spans="1:56">
      <c r="A23">
        <v>16834</v>
      </c>
      <c r="B23" t="s">
        <v>147</v>
      </c>
      <c r="C23" t="s">
        <v>1199</v>
      </c>
      <c r="D23" t="s">
        <v>147</v>
      </c>
      <c r="F23" t="s">
        <v>149</v>
      </c>
      <c r="G23">
        <v>989.62599999999998</v>
      </c>
      <c r="H23" t="s">
        <v>58</v>
      </c>
      <c r="I23">
        <v>2</v>
      </c>
      <c r="J23">
        <v>1</v>
      </c>
      <c r="K23">
        <v>0</v>
      </c>
      <c r="L23">
        <v>72.56</v>
      </c>
      <c r="M23">
        <v>31048</v>
      </c>
      <c r="N23">
        <v>16</v>
      </c>
      <c r="O23">
        <v>20</v>
      </c>
      <c r="P23">
        <v>20</v>
      </c>
      <c r="Q23">
        <v>20</v>
      </c>
      <c r="R23">
        <v>20</v>
      </c>
      <c r="S23">
        <v>1059</v>
      </c>
      <c r="T23">
        <v>1059</v>
      </c>
      <c r="U23">
        <v>20</v>
      </c>
      <c r="V23">
        <v>16</v>
      </c>
      <c r="W23">
        <v>16</v>
      </c>
      <c r="X23">
        <v>19</v>
      </c>
      <c r="Y23">
        <v>20</v>
      </c>
      <c r="Z23">
        <v>18</v>
      </c>
      <c r="AA23">
        <v>19</v>
      </c>
      <c r="AB23">
        <v>20</v>
      </c>
      <c r="AC23">
        <v>20</v>
      </c>
      <c r="AD23">
        <v>121</v>
      </c>
      <c r="AE23">
        <v>117</v>
      </c>
      <c r="AF23">
        <v>195</v>
      </c>
      <c r="AG23">
        <v>133</v>
      </c>
      <c r="AH23">
        <v>82</v>
      </c>
      <c r="AI23">
        <v>74</v>
      </c>
      <c r="AJ23">
        <v>154</v>
      </c>
      <c r="AK23">
        <v>183</v>
      </c>
      <c r="AL23">
        <v>690151168</v>
      </c>
      <c r="AM23">
        <v>571848384</v>
      </c>
      <c r="AN23">
        <v>1476163584</v>
      </c>
      <c r="AO23">
        <v>1554743552</v>
      </c>
      <c r="AP23">
        <v>345881856</v>
      </c>
      <c r="AQ23">
        <v>369629120</v>
      </c>
      <c r="AR23">
        <v>1031865280</v>
      </c>
      <c r="AS23">
        <v>1257675520</v>
      </c>
      <c r="AT23" s="11">
        <v>505644512</v>
      </c>
      <c r="AU23" s="11">
        <v>426261984</v>
      </c>
      <c r="AW23" s="14">
        <v>711247872</v>
      </c>
      <c r="AX23" s="14">
        <v>695637120</v>
      </c>
      <c r="AZ23" s="16">
        <v>250216752</v>
      </c>
      <c r="BA23" s="16">
        <v>256954240</v>
      </c>
      <c r="BC23" s="18">
        <v>713439168</v>
      </c>
      <c r="BD23" s="18">
        <v>780376960</v>
      </c>
    </row>
    <row r="24" spans="1:56" hidden="1">
      <c r="A24">
        <v>16677</v>
      </c>
      <c r="B24" t="s">
        <v>150</v>
      </c>
      <c r="C24" t="s">
        <v>151</v>
      </c>
      <c r="D24" t="s">
        <v>152</v>
      </c>
      <c r="E24" t="s">
        <v>153</v>
      </c>
      <c r="F24" t="s">
        <v>154</v>
      </c>
      <c r="G24">
        <v>988.24599999999998</v>
      </c>
      <c r="H24" t="s">
        <v>58</v>
      </c>
      <c r="I24">
        <v>2</v>
      </c>
      <c r="J24">
        <v>17</v>
      </c>
      <c r="K24">
        <v>1</v>
      </c>
      <c r="L24">
        <v>44.23</v>
      </c>
      <c r="M24">
        <v>59589</v>
      </c>
      <c r="N24">
        <v>28</v>
      </c>
      <c r="O24">
        <v>22</v>
      </c>
      <c r="P24">
        <v>22</v>
      </c>
      <c r="Q24">
        <v>22</v>
      </c>
      <c r="R24">
        <v>22</v>
      </c>
      <c r="S24">
        <v>408</v>
      </c>
      <c r="T24">
        <v>408</v>
      </c>
      <c r="U24">
        <v>22</v>
      </c>
      <c r="V24">
        <v>16</v>
      </c>
      <c r="W24">
        <v>16</v>
      </c>
      <c r="X24">
        <v>20</v>
      </c>
      <c r="Y24">
        <v>22</v>
      </c>
      <c r="Z24">
        <v>20</v>
      </c>
      <c r="AA24">
        <v>21</v>
      </c>
      <c r="AB24">
        <v>21</v>
      </c>
      <c r="AC24">
        <v>21</v>
      </c>
      <c r="AD24">
        <v>24</v>
      </c>
      <c r="AE24">
        <v>29</v>
      </c>
      <c r="AF24">
        <v>59</v>
      </c>
      <c r="AG24">
        <v>84</v>
      </c>
      <c r="AH24">
        <v>68</v>
      </c>
      <c r="AI24">
        <v>60</v>
      </c>
      <c r="AJ24">
        <v>37</v>
      </c>
      <c r="AK24">
        <v>47</v>
      </c>
      <c r="AL24">
        <v>119175520</v>
      </c>
      <c r="AM24">
        <v>90142552</v>
      </c>
      <c r="AN24">
        <v>429323392</v>
      </c>
      <c r="AO24">
        <v>579661824</v>
      </c>
      <c r="AP24">
        <v>233436576</v>
      </c>
      <c r="AQ24">
        <v>268165440</v>
      </c>
      <c r="AR24">
        <v>211990432</v>
      </c>
      <c r="AS24">
        <v>254826256</v>
      </c>
      <c r="AT24" s="11">
        <v>124415016</v>
      </c>
      <c r="AU24" s="11">
        <v>98738352</v>
      </c>
      <c r="AW24" s="14">
        <v>242593008</v>
      </c>
      <c r="AX24" s="14">
        <v>275027456</v>
      </c>
      <c r="AZ24" s="16">
        <v>224534000</v>
      </c>
      <c r="BA24" s="16">
        <v>235998368</v>
      </c>
      <c r="BC24" s="18">
        <v>167764048</v>
      </c>
      <c r="BD24" s="18">
        <v>190418848</v>
      </c>
    </row>
    <row r="25" spans="1:56" hidden="1">
      <c r="A25">
        <v>16655</v>
      </c>
      <c r="B25" t="s">
        <v>155</v>
      </c>
      <c r="C25" t="s">
        <v>156</v>
      </c>
      <c r="D25" t="s">
        <v>157</v>
      </c>
      <c r="E25" t="s">
        <v>158</v>
      </c>
      <c r="F25" t="s">
        <v>159</v>
      </c>
      <c r="G25">
        <v>963.72900000000004</v>
      </c>
      <c r="H25" t="s">
        <v>58</v>
      </c>
      <c r="I25">
        <v>2</v>
      </c>
      <c r="J25">
        <v>3</v>
      </c>
      <c r="K25">
        <v>18</v>
      </c>
      <c r="L25">
        <v>83.24</v>
      </c>
      <c r="M25">
        <v>20018</v>
      </c>
      <c r="N25">
        <v>14</v>
      </c>
      <c r="O25">
        <v>24</v>
      </c>
      <c r="P25">
        <v>24</v>
      </c>
      <c r="Q25">
        <v>26</v>
      </c>
      <c r="R25">
        <v>26</v>
      </c>
      <c r="S25">
        <v>4721</v>
      </c>
      <c r="T25">
        <v>4721</v>
      </c>
      <c r="U25">
        <v>26</v>
      </c>
      <c r="V25">
        <v>19</v>
      </c>
      <c r="W25">
        <v>22</v>
      </c>
      <c r="X25">
        <v>24</v>
      </c>
      <c r="Y25">
        <v>26</v>
      </c>
      <c r="Z25">
        <v>25</v>
      </c>
      <c r="AA25">
        <v>24</v>
      </c>
      <c r="AB25">
        <v>26</v>
      </c>
      <c r="AC25">
        <v>24</v>
      </c>
      <c r="AD25">
        <v>486</v>
      </c>
      <c r="AE25">
        <v>503</v>
      </c>
      <c r="AF25">
        <v>595</v>
      </c>
      <c r="AG25">
        <v>667</v>
      </c>
      <c r="AH25">
        <v>667</v>
      </c>
      <c r="AI25">
        <v>616</v>
      </c>
      <c r="AJ25">
        <v>612</v>
      </c>
      <c r="AK25">
        <v>575</v>
      </c>
      <c r="AL25">
        <v>5470430720</v>
      </c>
      <c r="AM25">
        <v>5260189696</v>
      </c>
      <c r="AN25">
        <v>6626149376</v>
      </c>
      <c r="AO25">
        <v>8417418240</v>
      </c>
      <c r="AP25">
        <v>5165466624</v>
      </c>
      <c r="AQ25">
        <v>5470114816</v>
      </c>
      <c r="AR25">
        <v>5073891840</v>
      </c>
      <c r="AS25">
        <v>5231333376</v>
      </c>
      <c r="AT25" s="11">
        <v>4026620160</v>
      </c>
      <c r="AU25" s="11">
        <v>3849208064</v>
      </c>
      <c r="AW25" s="14">
        <v>3760369152</v>
      </c>
      <c r="AX25" s="14">
        <v>4424702976</v>
      </c>
      <c r="AZ25" s="16">
        <v>4026620160</v>
      </c>
      <c r="BA25" s="16">
        <v>3735573760</v>
      </c>
      <c r="BC25" s="18">
        <v>3784062976</v>
      </c>
      <c r="BD25" s="18">
        <v>3198250240</v>
      </c>
    </row>
    <row r="26" spans="1:56" hidden="1">
      <c r="A26">
        <v>16778</v>
      </c>
      <c r="B26" t="s">
        <v>160</v>
      </c>
      <c r="C26" t="s">
        <v>161</v>
      </c>
      <c r="D26" t="s">
        <v>162</v>
      </c>
      <c r="F26" t="s">
        <v>163</v>
      </c>
      <c r="G26">
        <v>949.52099999999996</v>
      </c>
      <c r="H26" t="s">
        <v>58</v>
      </c>
      <c r="I26">
        <v>2</v>
      </c>
      <c r="J26">
        <v>21</v>
      </c>
      <c r="K26">
        <v>0</v>
      </c>
      <c r="L26">
        <v>75.819999999999993</v>
      </c>
      <c r="M26">
        <v>29860</v>
      </c>
      <c r="N26">
        <v>18</v>
      </c>
      <c r="O26">
        <v>26</v>
      </c>
      <c r="P26">
        <v>26</v>
      </c>
      <c r="Q26">
        <v>27</v>
      </c>
      <c r="R26">
        <v>27</v>
      </c>
      <c r="S26">
        <v>1600</v>
      </c>
      <c r="T26">
        <v>1600</v>
      </c>
      <c r="U26">
        <v>27</v>
      </c>
      <c r="V26">
        <v>20</v>
      </c>
      <c r="W26">
        <v>21</v>
      </c>
      <c r="X26">
        <v>21</v>
      </c>
      <c r="Y26">
        <v>25</v>
      </c>
      <c r="Z26">
        <v>23</v>
      </c>
      <c r="AA26">
        <v>22</v>
      </c>
      <c r="AB26">
        <v>25</v>
      </c>
      <c r="AC26">
        <v>26</v>
      </c>
      <c r="AD26">
        <v>252</v>
      </c>
      <c r="AE26">
        <v>271</v>
      </c>
      <c r="AF26">
        <v>171</v>
      </c>
      <c r="AG26">
        <v>189</v>
      </c>
      <c r="AH26">
        <v>193</v>
      </c>
      <c r="AI26">
        <v>202</v>
      </c>
      <c r="AJ26">
        <v>166</v>
      </c>
      <c r="AK26">
        <v>156</v>
      </c>
      <c r="AL26">
        <v>1225583744</v>
      </c>
      <c r="AM26">
        <v>1618680704</v>
      </c>
      <c r="AN26">
        <v>1366115072</v>
      </c>
      <c r="AO26">
        <v>2040406656</v>
      </c>
      <c r="AP26">
        <v>918845248</v>
      </c>
      <c r="AQ26">
        <v>1290439808</v>
      </c>
      <c r="AR26">
        <v>1267096576</v>
      </c>
      <c r="AS26">
        <v>998277312</v>
      </c>
      <c r="AT26" s="11">
        <v>1290060416</v>
      </c>
      <c r="AU26" s="11">
        <v>1734891776</v>
      </c>
      <c r="AW26" s="14">
        <v>663920384</v>
      </c>
      <c r="AX26" s="14">
        <v>960637376</v>
      </c>
      <c r="AZ26" s="16">
        <v>734403968</v>
      </c>
      <c r="BA26" s="16">
        <v>884093376</v>
      </c>
      <c r="BC26" s="18">
        <v>889290368</v>
      </c>
      <c r="BD26" s="18">
        <v>661069952</v>
      </c>
    </row>
    <row r="27" spans="1:56" hidden="1">
      <c r="A27">
        <v>16757</v>
      </c>
      <c r="B27" t="s">
        <v>164</v>
      </c>
      <c r="C27" t="s">
        <v>165</v>
      </c>
      <c r="D27" t="s">
        <v>166</v>
      </c>
      <c r="F27" t="s">
        <v>167</v>
      </c>
      <c r="G27">
        <v>947.81200000000001</v>
      </c>
      <c r="H27" t="s">
        <v>58</v>
      </c>
      <c r="I27">
        <v>2</v>
      </c>
      <c r="J27">
        <v>21</v>
      </c>
      <c r="K27">
        <v>0</v>
      </c>
      <c r="L27">
        <v>87.15</v>
      </c>
      <c r="M27">
        <v>20301</v>
      </c>
      <c r="N27">
        <v>13</v>
      </c>
      <c r="O27">
        <v>21</v>
      </c>
      <c r="P27">
        <v>21</v>
      </c>
      <c r="Q27">
        <v>22</v>
      </c>
      <c r="R27">
        <v>22</v>
      </c>
      <c r="S27">
        <v>1113</v>
      </c>
      <c r="T27">
        <v>1113</v>
      </c>
      <c r="U27">
        <v>22</v>
      </c>
      <c r="V27">
        <v>17</v>
      </c>
      <c r="W27">
        <v>17</v>
      </c>
      <c r="X27">
        <v>17</v>
      </c>
      <c r="Y27">
        <v>22</v>
      </c>
      <c r="Z27">
        <v>21</v>
      </c>
      <c r="AA27">
        <v>20</v>
      </c>
      <c r="AB27">
        <v>21</v>
      </c>
      <c r="AC27">
        <v>20</v>
      </c>
      <c r="AD27">
        <v>236</v>
      </c>
      <c r="AE27">
        <v>252</v>
      </c>
      <c r="AF27">
        <v>76</v>
      </c>
      <c r="AG27">
        <v>112</v>
      </c>
      <c r="AH27">
        <v>116</v>
      </c>
      <c r="AI27">
        <v>127</v>
      </c>
      <c r="AJ27">
        <v>105</v>
      </c>
      <c r="AK27">
        <v>89</v>
      </c>
      <c r="AL27">
        <v>1191142528</v>
      </c>
      <c r="AM27">
        <v>1033377536</v>
      </c>
      <c r="AN27">
        <v>832164864</v>
      </c>
      <c r="AO27">
        <v>1331694976</v>
      </c>
      <c r="AP27">
        <v>919053440</v>
      </c>
      <c r="AQ27">
        <v>1114256768</v>
      </c>
      <c r="AR27">
        <v>1035159232</v>
      </c>
      <c r="AS27">
        <v>881934016</v>
      </c>
      <c r="AT27" s="11">
        <v>966216192</v>
      </c>
      <c r="AU27" s="11">
        <v>1021637248</v>
      </c>
      <c r="AW27" s="14">
        <v>489213568</v>
      </c>
      <c r="AX27" s="14">
        <v>622743104</v>
      </c>
      <c r="AZ27" s="16">
        <v>719437312</v>
      </c>
      <c r="BA27" s="16">
        <v>767552064</v>
      </c>
      <c r="BC27" s="18">
        <v>700527616</v>
      </c>
      <c r="BD27" s="18">
        <v>538257984</v>
      </c>
    </row>
    <row r="28" spans="1:56" hidden="1">
      <c r="A28">
        <v>16750</v>
      </c>
      <c r="B28" t="s">
        <v>168</v>
      </c>
      <c r="C28" t="s">
        <v>169</v>
      </c>
      <c r="D28" t="s">
        <v>170</v>
      </c>
      <c r="F28" t="s">
        <v>171</v>
      </c>
      <c r="G28">
        <v>908.49400000000003</v>
      </c>
      <c r="H28" t="s">
        <v>58</v>
      </c>
      <c r="I28">
        <v>2</v>
      </c>
      <c r="J28">
        <v>21</v>
      </c>
      <c r="K28">
        <v>0</v>
      </c>
      <c r="L28">
        <v>80.58</v>
      </c>
      <c r="M28">
        <v>23468</v>
      </c>
      <c r="N28">
        <v>14</v>
      </c>
      <c r="O28">
        <v>22</v>
      </c>
      <c r="P28">
        <v>22</v>
      </c>
      <c r="Q28">
        <v>24</v>
      </c>
      <c r="R28">
        <v>24</v>
      </c>
      <c r="S28">
        <v>3694</v>
      </c>
      <c r="T28">
        <v>3694</v>
      </c>
      <c r="U28">
        <v>24</v>
      </c>
      <c r="V28">
        <v>17</v>
      </c>
      <c r="W28">
        <v>17</v>
      </c>
      <c r="X28">
        <v>24</v>
      </c>
      <c r="Y28">
        <v>24</v>
      </c>
      <c r="Z28">
        <v>24</v>
      </c>
      <c r="AA28">
        <v>24</v>
      </c>
      <c r="AB28">
        <v>23</v>
      </c>
      <c r="AC28">
        <v>22</v>
      </c>
      <c r="AD28">
        <v>455</v>
      </c>
      <c r="AE28">
        <v>490</v>
      </c>
      <c r="AF28">
        <v>466</v>
      </c>
      <c r="AG28">
        <v>468</v>
      </c>
      <c r="AH28">
        <v>473</v>
      </c>
      <c r="AI28">
        <v>468</v>
      </c>
      <c r="AJ28">
        <v>383</v>
      </c>
      <c r="AK28">
        <v>491</v>
      </c>
      <c r="AL28">
        <v>8129657856</v>
      </c>
      <c r="AM28">
        <v>7942187520</v>
      </c>
      <c r="AN28">
        <v>7326640640</v>
      </c>
      <c r="AO28">
        <v>9000622080</v>
      </c>
      <c r="AP28">
        <v>4889567744</v>
      </c>
      <c r="AQ28">
        <v>4931318784</v>
      </c>
      <c r="AR28">
        <v>4019471360</v>
      </c>
      <c r="AS28">
        <v>5554583552</v>
      </c>
      <c r="AT28" s="11">
        <v>8084281344</v>
      </c>
      <c r="AU28" s="11">
        <v>7500784128</v>
      </c>
      <c r="AW28" s="14">
        <v>3716151296</v>
      </c>
      <c r="AX28" s="14">
        <v>4107075072</v>
      </c>
      <c r="AZ28" s="16">
        <v>3662341120</v>
      </c>
      <c r="BA28" s="16">
        <v>3166458112</v>
      </c>
      <c r="BC28" s="18">
        <v>2509748736</v>
      </c>
      <c r="BD28" s="18">
        <v>2923160064</v>
      </c>
    </row>
    <row r="29" spans="1:56" hidden="1">
      <c r="A29">
        <v>16734</v>
      </c>
      <c r="B29" t="s">
        <v>172</v>
      </c>
      <c r="C29" t="s">
        <v>173</v>
      </c>
      <c r="D29" t="s">
        <v>174</v>
      </c>
      <c r="E29" t="s">
        <v>175</v>
      </c>
      <c r="F29" t="s">
        <v>176</v>
      </c>
      <c r="G29">
        <v>898.19299999999998</v>
      </c>
      <c r="H29" t="s">
        <v>58</v>
      </c>
      <c r="I29">
        <v>2</v>
      </c>
      <c r="J29">
        <v>11</v>
      </c>
      <c r="K29">
        <v>10</v>
      </c>
      <c r="L29">
        <v>43.87</v>
      </c>
      <c r="M29">
        <v>76239</v>
      </c>
      <c r="N29">
        <v>41</v>
      </c>
      <c r="O29">
        <v>25</v>
      </c>
      <c r="P29">
        <v>25</v>
      </c>
      <c r="Q29">
        <v>25</v>
      </c>
      <c r="R29">
        <v>25</v>
      </c>
      <c r="S29">
        <v>173</v>
      </c>
      <c r="T29">
        <v>173</v>
      </c>
      <c r="U29">
        <v>25</v>
      </c>
      <c r="V29">
        <v>18</v>
      </c>
      <c r="W29">
        <v>18</v>
      </c>
      <c r="X29">
        <v>22</v>
      </c>
      <c r="Y29">
        <v>24</v>
      </c>
      <c r="Z29">
        <v>24</v>
      </c>
      <c r="AA29">
        <v>24</v>
      </c>
      <c r="AB29">
        <v>24</v>
      </c>
      <c r="AC29">
        <v>24</v>
      </c>
      <c r="AD29">
        <v>14</v>
      </c>
      <c r="AE29">
        <v>13</v>
      </c>
      <c r="AF29">
        <v>14</v>
      </c>
      <c r="AG29">
        <v>21</v>
      </c>
      <c r="AH29">
        <v>28</v>
      </c>
      <c r="AI29">
        <v>29</v>
      </c>
      <c r="AJ29">
        <v>26</v>
      </c>
      <c r="AK29">
        <v>28</v>
      </c>
      <c r="AL29">
        <v>86954968</v>
      </c>
      <c r="AM29">
        <v>65090004</v>
      </c>
      <c r="AN29">
        <v>119472984</v>
      </c>
      <c r="AO29">
        <v>177192640</v>
      </c>
      <c r="AP29">
        <v>158512992</v>
      </c>
      <c r="AQ29">
        <v>201945104</v>
      </c>
      <c r="AR29">
        <v>150822896</v>
      </c>
      <c r="AS29">
        <v>195734496</v>
      </c>
      <c r="AT29" s="11">
        <v>96694328</v>
      </c>
      <c r="AU29" s="11">
        <v>81769120</v>
      </c>
      <c r="AW29" s="14">
        <v>64925888</v>
      </c>
      <c r="AX29" s="14">
        <v>65452608</v>
      </c>
      <c r="AZ29" s="16">
        <v>101273544</v>
      </c>
      <c r="BA29" s="16">
        <v>119423672</v>
      </c>
      <c r="BC29" s="18">
        <v>88231032</v>
      </c>
      <c r="BD29" s="18">
        <v>99981312</v>
      </c>
    </row>
    <row r="30" spans="1:56" hidden="1">
      <c r="A30">
        <v>16684</v>
      </c>
      <c r="B30" t="s">
        <v>177</v>
      </c>
      <c r="C30" t="s">
        <v>178</v>
      </c>
      <c r="D30" t="s">
        <v>179</v>
      </c>
      <c r="E30" t="s">
        <v>180</v>
      </c>
      <c r="F30" t="s">
        <v>181</v>
      </c>
      <c r="G30">
        <v>871.63900000000001</v>
      </c>
      <c r="H30" t="s">
        <v>58</v>
      </c>
      <c r="I30">
        <v>2</v>
      </c>
      <c r="J30">
        <v>3</v>
      </c>
      <c r="K30">
        <v>18</v>
      </c>
      <c r="L30">
        <v>55.75</v>
      </c>
      <c r="M30">
        <v>52201</v>
      </c>
      <c r="N30">
        <v>25</v>
      </c>
      <c r="O30">
        <v>21</v>
      </c>
      <c r="P30">
        <v>21</v>
      </c>
      <c r="Q30">
        <v>21</v>
      </c>
      <c r="R30">
        <v>21</v>
      </c>
      <c r="S30">
        <v>264</v>
      </c>
      <c r="T30">
        <v>264</v>
      </c>
      <c r="U30">
        <v>21</v>
      </c>
      <c r="V30">
        <v>16</v>
      </c>
      <c r="W30">
        <v>17</v>
      </c>
      <c r="X30">
        <v>19</v>
      </c>
      <c r="Y30">
        <v>20</v>
      </c>
      <c r="Z30">
        <v>20</v>
      </c>
      <c r="AA30">
        <v>21</v>
      </c>
      <c r="AB30">
        <v>20</v>
      </c>
      <c r="AC30">
        <v>21</v>
      </c>
      <c r="AD30">
        <v>27</v>
      </c>
      <c r="AE30">
        <v>25</v>
      </c>
      <c r="AF30">
        <v>25</v>
      </c>
      <c r="AG30">
        <v>28</v>
      </c>
      <c r="AH30">
        <v>37</v>
      </c>
      <c r="AI30">
        <v>42</v>
      </c>
      <c r="AJ30">
        <v>40</v>
      </c>
      <c r="AK30">
        <v>40</v>
      </c>
      <c r="AL30">
        <v>122426048</v>
      </c>
      <c r="AM30">
        <v>118409304</v>
      </c>
      <c r="AN30">
        <v>210657648</v>
      </c>
      <c r="AO30">
        <v>286984320</v>
      </c>
      <c r="AP30">
        <v>221586944</v>
      </c>
      <c r="AQ30">
        <v>267526416</v>
      </c>
      <c r="AR30">
        <v>239209984</v>
      </c>
      <c r="AS30">
        <v>264647424</v>
      </c>
      <c r="AT30" s="11">
        <v>131149536</v>
      </c>
      <c r="AU30" s="11">
        <v>119454624</v>
      </c>
      <c r="AW30" s="14">
        <v>106470216</v>
      </c>
      <c r="AX30" s="14">
        <v>98273496</v>
      </c>
      <c r="AZ30" s="16">
        <v>150098368</v>
      </c>
      <c r="BA30" s="16">
        <v>170119440</v>
      </c>
      <c r="BC30" s="18">
        <v>142651472</v>
      </c>
      <c r="BD30" s="18">
        <v>138664992</v>
      </c>
    </row>
    <row r="31" spans="1:56" hidden="1">
      <c r="A31">
        <v>16794</v>
      </c>
      <c r="B31" t="s">
        <v>182</v>
      </c>
      <c r="C31" t="s">
        <v>183</v>
      </c>
      <c r="D31" t="s">
        <v>184</v>
      </c>
      <c r="F31" t="s">
        <v>185</v>
      </c>
      <c r="G31">
        <v>869.39700000000005</v>
      </c>
      <c r="H31" t="s">
        <v>58</v>
      </c>
      <c r="I31">
        <v>2</v>
      </c>
      <c r="J31">
        <v>20</v>
      </c>
      <c r="K31">
        <v>0</v>
      </c>
      <c r="L31">
        <v>65.41</v>
      </c>
      <c r="M31">
        <v>20638</v>
      </c>
      <c r="N31">
        <v>14</v>
      </c>
      <c r="O31">
        <v>18</v>
      </c>
      <c r="P31">
        <v>18</v>
      </c>
      <c r="Q31">
        <v>22</v>
      </c>
      <c r="R31">
        <v>22</v>
      </c>
      <c r="S31">
        <v>2308</v>
      </c>
      <c r="T31">
        <v>2308</v>
      </c>
      <c r="U31">
        <v>22</v>
      </c>
      <c r="V31">
        <v>20</v>
      </c>
      <c r="W31">
        <v>20</v>
      </c>
      <c r="X31">
        <v>21</v>
      </c>
      <c r="Y31">
        <v>22</v>
      </c>
      <c r="Z31">
        <v>21</v>
      </c>
      <c r="AA31">
        <v>22</v>
      </c>
      <c r="AB31">
        <v>21</v>
      </c>
      <c r="AC31">
        <v>21</v>
      </c>
      <c r="AD31">
        <v>204</v>
      </c>
      <c r="AE31">
        <v>188</v>
      </c>
      <c r="AF31">
        <v>353</v>
      </c>
      <c r="AG31">
        <v>328</v>
      </c>
      <c r="AH31">
        <v>311</v>
      </c>
      <c r="AI31">
        <v>337</v>
      </c>
      <c r="AJ31">
        <v>287</v>
      </c>
      <c r="AK31">
        <v>300</v>
      </c>
      <c r="AL31">
        <v>1703096960</v>
      </c>
      <c r="AM31">
        <v>1500184320</v>
      </c>
      <c r="AN31">
        <v>5738438144</v>
      </c>
      <c r="AO31">
        <v>6905111040</v>
      </c>
      <c r="AP31">
        <v>3309444608</v>
      </c>
      <c r="AQ31">
        <v>3634151680</v>
      </c>
      <c r="AR31">
        <v>3136047360</v>
      </c>
      <c r="AS31">
        <v>3305489920</v>
      </c>
      <c r="AT31" s="11">
        <v>1476009216</v>
      </c>
      <c r="AU31" s="11">
        <v>1301302784</v>
      </c>
      <c r="AW31" s="14">
        <v>2981579008</v>
      </c>
      <c r="AX31" s="14">
        <v>2507820800</v>
      </c>
      <c r="AZ31" s="16">
        <v>2302728960</v>
      </c>
      <c r="BA31" s="16">
        <v>2246641408</v>
      </c>
      <c r="BC31" s="18">
        <v>1875733376</v>
      </c>
      <c r="BD31" s="18">
        <v>1707115776</v>
      </c>
    </row>
    <row r="32" spans="1:56" hidden="1">
      <c r="A32">
        <v>16710</v>
      </c>
      <c r="B32" t="s">
        <v>186</v>
      </c>
      <c r="C32" t="s">
        <v>187</v>
      </c>
      <c r="D32" t="s">
        <v>188</v>
      </c>
      <c r="F32" t="s">
        <v>189</v>
      </c>
      <c r="G32">
        <v>868.697</v>
      </c>
      <c r="H32" t="s">
        <v>58</v>
      </c>
      <c r="I32">
        <v>2</v>
      </c>
      <c r="J32">
        <v>21</v>
      </c>
      <c r="K32">
        <v>0</v>
      </c>
      <c r="L32">
        <v>75.599999999999994</v>
      </c>
      <c r="M32">
        <v>22243</v>
      </c>
      <c r="N32">
        <v>16</v>
      </c>
      <c r="O32">
        <v>23</v>
      </c>
      <c r="P32">
        <v>23</v>
      </c>
      <c r="Q32">
        <v>24</v>
      </c>
      <c r="R32">
        <v>24</v>
      </c>
      <c r="S32">
        <v>1007</v>
      </c>
      <c r="T32">
        <v>1007</v>
      </c>
      <c r="U32">
        <v>24</v>
      </c>
      <c r="V32">
        <v>21</v>
      </c>
      <c r="W32">
        <v>18</v>
      </c>
      <c r="X32">
        <v>21</v>
      </c>
      <c r="Y32">
        <v>24</v>
      </c>
      <c r="Z32">
        <v>23</v>
      </c>
      <c r="AA32">
        <v>22</v>
      </c>
      <c r="AB32">
        <v>21</v>
      </c>
      <c r="AC32">
        <v>22</v>
      </c>
      <c r="AD32">
        <v>186</v>
      </c>
      <c r="AE32">
        <v>209</v>
      </c>
      <c r="AF32">
        <v>88</v>
      </c>
      <c r="AG32">
        <v>95</v>
      </c>
      <c r="AH32">
        <v>117</v>
      </c>
      <c r="AI32">
        <v>114</v>
      </c>
      <c r="AJ32">
        <v>109</v>
      </c>
      <c r="AK32">
        <v>89</v>
      </c>
      <c r="AL32">
        <v>900094336</v>
      </c>
      <c r="AM32">
        <v>936051840</v>
      </c>
      <c r="AN32">
        <v>630087040</v>
      </c>
      <c r="AO32">
        <v>915666880</v>
      </c>
      <c r="AP32">
        <v>650995968</v>
      </c>
      <c r="AQ32">
        <v>560314176</v>
      </c>
      <c r="AR32">
        <v>518146528</v>
      </c>
      <c r="AS32">
        <v>599881152</v>
      </c>
      <c r="AT32" s="11">
        <v>889682368</v>
      </c>
      <c r="AU32" s="11">
        <v>890345984</v>
      </c>
      <c r="AW32" s="14">
        <v>463822208</v>
      </c>
      <c r="AX32" s="14">
        <v>478901472</v>
      </c>
      <c r="AZ32" s="16">
        <v>576887488</v>
      </c>
      <c r="BA32" s="16">
        <v>524078688</v>
      </c>
      <c r="BC32" s="18">
        <v>488045440</v>
      </c>
      <c r="BD32" s="18">
        <v>384132416</v>
      </c>
    </row>
    <row r="33" spans="1:56" hidden="1">
      <c r="A33">
        <v>16675</v>
      </c>
      <c r="B33" t="s">
        <v>190</v>
      </c>
      <c r="C33" t="s">
        <v>191</v>
      </c>
      <c r="D33" t="s">
        <v>192</v>
      </c>
      <c r="E33" t="s">
        <v>193</v>
      </c>
      <c r="F33" t="s">
        <v>194</v>
      </c>
      <c r="G33">
        <v>828.03499999999997</v>
      </c>
      <c r="H33" t="s">
        <v>58</v>
      </c>
      <c r="I33">
        <v>2</v>
      </c>
      <c r="J33">
        <v>18</v>
      </c>
      <c r="K33">
        <v>3</v>
      </c>
      <c r="L33">
        <v>57.31</v>
      </c>
      <c r="M33">
        <v>47028</v>
      </c>
      <c r="N33">
        <v>29</v>
      </c>
      <c r="O33">
        <v>20</v>
      </c>
      <c r="P33">
        <v>20</v>
      </c>
      <c r="Q33">
        <v>20</v>
      </c>
      <c r="R33">
        <v>20</v>
      </c>
      <c r="S33">
        <v>264</v>
      </c>
      <c r="T33">
        <v>264</v>
      </c>
      <c r="U33">
        <v>20</v>
      </c>
      <c r="V33">
        <v>18</v>
      </c>
      <c r="W33">
        <v>17</v>
      </c>
      <c r="X33">
        <v>18</v>
      </c>
      <c r="Y33">
        <v>20</v>
      </c>
      <c r="Z33">
        <v>20</v>
      </c>
      <c r="AA33">
        <v>20</v>
      </c>
      <c r="AB33">
        <v>20</v>
      </c>
      <c r="AC33">
        <v>20</v>
      </c>
      <c r="AD33">
        <v>23</v>
      </c>
      <c r="AE33">
        <v>23</v>
      </c>
      <c r="AF33">
        <v>34</v>
      </c>
      <c r="AG33">
        <v>27</v>
      </c>
      <c r="AH33">
        <v>40</v>
      </c>
      <c r="AI33">
        <v>40</v>
      </c>
      <c r="AJ33">
        <v>38</v>
      </c>
      <c r="AK33">
        <v>39</v>
      </c>
      <c r="AL33">
        <v>122627664</v>
      </c>
      <c r="AM33">
        <v>122738840</v>
      </c>
      <c r="AN33">
        <v>203514896</v>
      </c>
      <c r="AO33">
        <v>319699456</v>
      </c>
      <c r="AP33">
        <v>238356512</v>
      </c>
      <c r="AQ33">
        <v>276944544</v>
      </c>
      <c r="AR33">
        <v>257921328</v>
      </c>
      <c r="AS33">
        <v>292392256</v>
      </c>
      <c r="AT33" s="11">
        <v>119050800</v>
      </c>
      <c r="AU33" s="11">
        <v>122989912</v>
      </c>
      <c r="AW33" s="14">
        <v>115215736</v>
      </c>
      <c r="AX33" s="14">
        <v>128647920</v>
      </c>
      <c r="AZ33" s="16">
        <v>167511760</v>
      </c>
      <c r="BA33" s="16">
        <v>185030304</v>
      </c>
      <c r="BC33" s="18">
        <v>158609552</v>
      </c>
      <c r="BD33" s="18">
        <v>158355248</v>
      </c>
    </row>
    <row r="34" spans="1:56" hidden="1">
      <c r="A34">
        <v>16681</v>
      </c>
      <c r="B34" t="s">
        <v>195</v>
      </c>
      <c r="C34" t="s">
        <v>196</v>
      </c>
      <c r="D34" t="s">
        <v>197</v>
      </c>
      <c r="F34" t="s">
        <v>198</v>
      </c>
      <c r="G34">
        <v>827.34900000000005</v>
      </c>
      <c r="H34" t="s">
        <v>58</v>
      </c>
      <c r="I34">
        <v>2</v>
      </c>
      <c r="J34">
        <v>21</v>
      </c>
      <c r="K34">
        <v>0</v>
      </c>
      <c r="L34">
        <v>85.07</v>
      </c>
      <c r="M34">
        <v>22086</v>
      </c>
      <c r="N34">
        <v>13</v>
      </c>
      <c r="O34">
        <v>23</v>
      </c>
      <c r="P34">
        <v>23</v>
      </c>
      <c r="Q34">
        <v>23</v>
      </c>
      <c r="R34">
        <v>23</v>
      </c>
      <c r="S34">
        <v>1090</v>
      </c>
      <c r="T34">
        <v>1090</v>
      </c>
      <c r="U34">
        <v>23</v>
      </c>
      <c r="V34">
        <v>19</v>
      </c>
      <c r="W34">
        <v>14</v>
      </c>
      <c r="X34">
        <v>18</v>
      </c>
      <c r="Y34">
        <v>22</v>
      </c>
      <c r="Z34">
        <v>22</v>
      </c>
      <c r="AA34">
        <v>22</v>
      </c>
      <c r="AB34">
        <v>22</v>
      </c>
      <c r="AC34">
        <v>22</v>
      </c>
      <c r="AD34">
        <v>144</v>
      </c>
      <c r="AE34">
        <v>171</v>
      </c>
      <c r="AF34">
        <v>104</v>
      </c>
      <c r="AG34">
        <v>102</v>
      </c>
      <c r="AH34">
        <v>150</v>
      </c>
      <c r="AI34">
        <v>175</v>
      </c>
      <c r="AJ34">
        <v>139</v>
      </c>
      <c r="AK34">
        <v>105</v>
      </c>
      <c r="AL34">
        <v>656609408</v>
      </c>
      <c r="AM34">
        <v>752035136</v>
      </c>
      <c r="AN34">
        <v>630178048</v>
      </c>
      <c r="AO34">
        <v>904934848</v>
      </c>
      <c r="AP34">
        <v>487044576</v>
      </c>
      <c r="AQ34">
        <v>703154048</v>
      </c>
      <c r="AR34">
        <v>652245056</v>
      </c>
      <c r="AS34">
        <v>542568768</v>
      </c>
      <c r="AT34" s="11">
        <v>619550592</v>
      </c>
      <c r="AU34" s="11">
        <v>545093312</v>
      </c>
      <c r="AW34" s="14">
        <v>305419360</v>
      </c>
      <c r="AX34" s="14">
        <v>330738176</v>
      </c>
      <c r="AZ34" s="16">
        <v>438251136</v>
      </c>
      <c r="BA34" s="16">
        <v>498701152</v>
      </c>
      <c r="BC34" s="18">
        <v>448053376</v>
      </c>
      <c r="BD34" s="18">
        <v>334860064</v>
      </c>
    </row>
    <row r="35" spans="1:56" hidden="1">
      <c r="A35">
        <v>16767</v>
      </c>
      <c r="B35" t="s">
        <v>199</v>
      </c>
      <c r="C35" t="s">
        <v>200</v>
      </c>
      <c r="D35" t="s">
        <v>201</v>
      </c>
      <c r="E35" t="s">
        <v>202</v>
      </c>
      <c r="F35" t="s">
        <v>203</v>
      </c>
      <c r="G35">
        <v>792.82100000000003</v>
      </c>
      <c r="H35" t="s">
        <v>58</v>
      </c>
      <c r="I35">
        <v>2</v>
      </c>
      <c r="J35">
        <v>14</v>
      </c>
      <c r="K35">
        <v>6</v>
      </c>
      <c r="L35">
        <v>73.290000000000006</v>
      </c>
      <c r="M35">
        <v>35933</v>
      </c>
      <c r="N35">
        <v>16</v>
      </c>
      <c r="O35">
        <v>19</v>
      </c>
      <c r="P35">
        <v>19</v>
      </c>
      <c r="Q35">
        <v>19</v>
      </c>
      <c r="R35">
        <v>19</v>
      </c>
      <c r="S35">
        <v>680</v>
      </c>
      <c r="T35">
        <v>680</v>
      </c>
      <c r="U35">
        <v>19</v>
      </c>
      <c r="V35">
        <v>14</v>
      </c>
      <c r="W35">
        <v>15</v>
      </c>
      <c r="X35">
        <v>17</v>
      </c>
      <c r="Y35">
        <v>19</v>
      </c>
      <c r="Z35">
        <v>16</v>
      </c>
      <c r="AA35">
        <v>17</v>
      </c>
      <c r="AB35">
        <v>19</v>
      </c>
      <c r="AC35">
        <v>19</v>
      </c>
      <c r="AD35">
        <v>80</v>
      </c>
      <c r="AE35">
        <v>89</v>
      </c>
      <c r="AF35">
        <v>137</v>
      </c>
      <c r="AG35">
        <v>110</v>
      </c>
      <c r="AH35">
        <v>28</v>
      </c>
      <c r="AI35">
        <v>25</v>
      </c>
      <c r="AJ35">
        <v>92</v>
      </c>
      <c r="AK35">
        <v>119</v>
      </c>
      <c r="AL35">
        <v>516288576</v>
      </c>
      <c r="AM35">
        <v>457125344</v>
      </c>
      <c r="AN35">
        <v>969326464</v>
      </c>
      <c r="AO35">
        <v>1180957952</v>
      </c>
      <c r="AP35">
        <v>217027392</v>
      </c>
      <c r="AQ35">
        <v>249056128</v>
      </c>
      <c r="AR35">
        <v>868298176</v>
      </c>
      <c r="AS35">
        <v>936133760</v>
      </c>
      <c r="AT35" s="11">
        <v>420957920</v>
      </c>
      <c r="AU35" s="11">
        <v>426705216</v>
      </c>
      <c r="AW35" s="14">
        <v>549725632</v>
      </c>
      <c r="AX35" s="14">
        <v>485863552</v>
      </c>
      <c r="AZ35" s="16">
        <v>141472784</v>
      </c>
      <c r="BA35" s="16">
        <v>150070752</v>
      </c>
      <c r="BC35" s="18">
        <v>520868832</v>
      </c>
      <c r="BD35" s="18">
        <v>517507968</v>
      </c>
    </row>
    <row r="36" spans="1:56" hidden="1">
      <c r="A36">
        <v>16823</v>
      </c>
      <c r="B36" t="s">
        <v>204</v>
      </c>
      <c r="C36" t="s">
        <v>205</v>
      </c>
      <c r="D36" t="s">
        <v>206</v>
      </c>
      <c r="E36" t="s">
        <v>207</v>
      </c>
      <c r="F36" t="s">
        <v>208</v>
      </c>
      <c r="G36">
        <v>778.428</v>
      </c>
      <c r="H36" t="s">
        <v>58</v>
      </c>
      <c r="I36">
        <v>2</v>
      </c>
      <c r="J36">
        <v>2</v>
      </c>
      <c r="K36">
        <v>1</v>
      </c>
      <c r="L36">
        <v>37.61</v>
      </c>
      <c r="M36">
        <v>87361</v>
      </c>
      <c r="N36">
        <v>44</v>
      </c>
      <c r="O36">
        <v>25</v>
      </c>
      <c r="P36">
        <v>25</v>
      </c>
      <c r="Q36">
        <v>25</v>
      </c>
      <c r="R36">
        <v>25</v>
      </c>
      <c r="S36">
        <v>201</v>
      </c>
      <c r="T36">
        <v>201</v>
      </c>
      <c r="U36">
        <v>25</v>
      </c>
      <c r="V36">
        <v>17</v>
      </c>
      <c r="W36">
        <v>21</v>
      </c>
      <c r="X36">
        <v>23</v>
      </c>
      <c r="Y36">
        <v>24</v>
      </c>
      <c r="Z36">
        <v>25</v>
      </c>
      <c r="AA36">
        <v>24</v>
      </c>
      <c r="AB36">
        <v>25</v>
      </c>
      <c r="AC36">
        <v>25</v>
      </c>
      <c r="AD36">
        <v>21</v>
      </c>
      <c r="AE36">
        <v>16</v>
      </c>
      <c r="AF36">
        <v>23</v>
      </c>
      <c r="AG36">
        <v>26</v>
      </c>
      <c r="AH36">
        <v>34</v>
      </c>
      <c r="AI36">
        <v>32</v>
      </c>
      <c r="AJ36">
        <v>24</v>
      </c>
      <c r="AK36">
        <v>25</v>
      </c>
      <c r="AL36">
        <v>97841216</v>
      </c>
      <c r="AM36">
        <v>92632136</v>
      </c>
      <c r="AN36">
        <v>189294736</v>
      </c>
      <c r="AO36">
        <v>267710160</v>
      </c>
      <c r="AP36">
        <v>231859104</v>
      </c>
      <c r="AQ36">
        <v>262369712</v>
      </c>
      <c r="AR36">
        <v>262106256</v>
      </c>
      <c r="AS36">
        <v>283406336</v>
      </c>
      <c r="AT36" s="11">
        <v>111968344</v>
      </c>
      <c r="AU36" s="11">
        <v>107032896</v>
      </c>
      <c r="AW36" s="14">
        <v>100618184</v>
      </c>
      <c r="AX36" s="14">
        <v>98029096</v>
      </c>
      <c r="AZ36" s="16">
        <v>156376800</v>
      </c>
      <c r="BA36" s="16">
        <v>163572128</v>
      </c>
      <c r="BC36" s="18">
        <v>140308784</v>
      </c>
      <c r="BD36" s="18">
        <v>136645552</v>
      </c>
    </row>
    <row r="37" spans="1:56" hidden="1">
      <c r="A37">
        <v>16797</v>
      </c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>
        <v>745.08299999999997</v>
      </c>
      <c r="H37" t="s">
        <v>58</v>
      </c>
      <c r="I37">
        <v>2</v>
      </c>
      <c r="J37">
        <v>19</v>
      </c>
      <c r="K37">
        <v>2</v>
      </c>
      <c r="L37">
        <v>55.56</v>
      </c>
      <c r="M37">
        <v>40516</v>
      </c>
      <c r="N37">
        <v>25</v>
      </c>
      <c r="O37">
        <v>19</v>
      </c>
      <c r="P37">
        <v>19</v>
      </c>
      <c r="Q37">
        <v>19</v>
      </c>
      <c r="R37">
        <v>19</v>
      </c>
      <c r="S37">
        <v>384</v>
      </c>
      <c r="T37">
        <v>384</v>
      </c>
      <c r="U37">
        <v>19</v>
      </c>
      <c r="V37">
        <v>17</v>
      </c>
      <c r="W37">
        <v>18</v>
      </c>
      <c r="X37">
        <v>19</v>
      </c>
      <c r="Y37">
        <v>19</v>
      </c>
      <c r="Z37">
        <v>19</v>
      </c>
      <c r="AA37">
        <v>19</v>
      </c>
      <c r="AB37">
        <v>19</v>
      </c>
      <c r="AC37">
        <v>19</v>
      </c>
      <c r="AD37">
        <v>50</v>
      </c>
      <c r="AE37">
        <v>37</v>
      </c>
      <c r="AF37">
        <v>59</v>
      </c>
      <c r="AG37">
        <v>55</v>
      </c>
      <c r="AH37">
        <v>47</v>
      </c>
      <c r="AI37">
        <v>52</v>
      </c>
      <c r="AJ37">
        <v>42</v>
      </c>
      <c r="AK37">
        <v>42</v>
      </c>
      <c r="AL37">
        <v>190306752</v>
      </c>
      <c r="AM37">
        <v>163852192</v>
      </c>
      <c r="AN37">
        <v>857176128</v>
      </c>
      <c r="AO37">
        <v>949921024</v>
      </c>
      <c r="AP37">
        <v>433843360</v>
      </c>
      <c r="AQ37">
        <v>482306016</v>
      </c>
      <c r="AR37">
        <v>435015872</v>
      </c>
      <c r="AS37">
        <v>463481504</v>
      </c>
      <c r="AT37" s="11">
        <v>190217376</v>
      </c>
      <c r="AU37" s="11">
        <v>172384192</v>
      </c>
      <c r="AW37" s="14">
        <v>448740800</v>
      </c>
      <c r="AX37" s="14">
        <v>364812992</v>
      </c>
      <c r="AZ37" s="16">
        <v>293536896</v>
      </c>
      <c r="BA37" s="16">
        <v>305062496</v>
      </c>
      <c r="BC37" s="18">
        <v>242038320</v>
      </c>
      <c r="BD37" s="18">
        <v>236576048</v>
      </c>
    </row>
    <row r="38" spans="1:56" hidden="1">
      <c r="A38">
        <v>16668</v>
      </c>
      <c r="B38" t="s">
        <v>214</v>
      </c>
      <c r="C38" t="s">
        <v>215</v>
      </c>
      <c r="D38" t="s">
        <v>216</v>
      </c>
      <c r="E38" t="s">
        <v>217</v>
      </c>
      <c r="F38" t="s">
        <v>218</v>
      </c>
      <c r="G38">
        <v>739.2</v>
      </c>
      <c r="H38" t="s">
        <v>58</v>
      </c>
      <c r="I38">
        <v>2</v>
      </c>
      <c r="J38">
        <v>13</v>
      </c>
      <c r="K38">
        <v>2</v>
      </c>
      <c r="L38">
        <v>51.78</v>
      </c>
      <c r="M38">
        <v>41220</v>
      </c>
      <c r="N38">
        <v>21</v>
      </c>
      <c r="O38">
        <v>19</v>
      </c>
      <c r="P38">
        <v>19</v>
      </c>
      <c r="Q38">
        <v>19</v>
      </c>
      <c r="R38">
        <v>19</v>
      </c>
      <c r="S38">
        <v>206</v>
      </c>
      <c r="T38">
        <v>206</v>
      </c>
      <c r="U38">
        <v>19</v>
      </c>
      <c r="V38">
        <v>15</v>
      </c>
      <c r="W38">
        <v>15</v>
      </c>
      <c r="X38">
        <v>19</v>
      </c>
      <c r="Y38">
        <v>19</v>
      </c>
      <c r="Z38">
        <v>19</v>
      </c>
      <c r="AA38">
        <v>19</v>
      </c>
      <c r="AB38">
        <v>19</v>
      </c>
      <c r="AC38">
        <v>19</v>
      </c>
      <c r="AD38">
        <v>17</v>
      </c>
      <c r="AE38">
        <v>14</v>
      </c>
      <c r="AF38">
        <v>39</v>
      </c>
      <c r="AG38">
        <v>39</v>
      </c>
      <c r="AH38">
        <v>24</v>
      </c>
      <c r="AI38">
        <v>28</v>
      </c>
      <c r="AJ38">
        <v>22</v>
      </c>
      <c r="AK38">
        <v>23</v>
      </c>
      <c r="AL38">
        <v>148694592</v>
      </c>
      <c r="AM38">
        <v>138331168</v>
      </c>
      <c r="AN38">
        <v>655185472</v>
      </c>
      <c r="AO38">
        <v>702209472</v>
      </c>
      <c r="AP38">
        <v>325740064</v>
      </c>
      <c r="AQ38">
        <v>367741408</v>
      </c>
      <c r="AR38">
        <v>299380448</v>
      </c>
      <c r="AS38">
        <v>302445056</v>
      </c>
      <c r="AT38" s="11">
        <v>145689600</v>
      </c>
      <c r="AU38" s="11">
        <v>122465224</v>
      </c>
      <c r="AW38" s="14">
        <v>299210368</v>
      </c>
      <c r="AX38" s="14">
        <v>246892144</v>
      </c>
      <c r="AZ38" s="16">
        <v>221551328</v>
      </c>
      <c r="BA38" s="16">
        <v>225319408</v>
      </c>
      <c r="BC38" s="18">
        <v>174883328</v>
      </c>
      <c r="BD38" s="18">
        <v>169167856</v>
      </c>
    </row>
    <row r="39" spans="1:56" hidden="1">
      <c r="A39">
        <v>16719</v>
      </c>
      <c r="B39" t="s">
        <v>219</v>
      </c>
      <c r="C39" t="s">
        <v>220</v>
      </c>
      <c r="D39" t="s">
        <v>221</v>
      </c>
      <c r="E39" t="s">
        <v>222</v>
      </c>
      <c r="F39" t="s">
        <v>223</v>
      </c>
      <c r="G39">
        <v>736.49099999999999</v>
      </c>
      <c r="H39" t="s">
        <v>58</v>
      </c>
      <c r="I39">
        <v>2</v>
      </c>
      <c r="J39">
        <v>12</v>
      </c>
      <c r="K39">
        <v>8</v>
      </c>
      <c r="L39">
        <v>43.63</v>
      </c>
      <c r="M39">
        <v>47526</v>
      </c>
      <c r="N39">
        <v>18</v>
      </c>
      <c r="O39">
        <v>14</v>
      </c>
      <c r="P39">
        <v>14</v>
      </c>
      <c r="Q39">
        <v>14</v>
      </c>
      <c r="R39">
        <v>14</v>
      </c>
      <c r="S39">
        <v>127</v>
      </c>
      <c r="T39">
        <v>127</v>
      </c>
      <c r="U39">
        <v>14</v>
      </c>
      <c r="V39">
        <v>8</v>
      </c>
      <c r="W39">
        <v>10</v>
      </c>
      <c r="X39">
        <v>11</v>
      </c>
      <c r="Y39">
        <v>13</v>
      </c>
      <c r="Z39">
        <v>12</v>
      </c>
      <c r="AA39">
        <v>13</v>
      </c>
      <c r="AB39">
        <v>12</v>
      </c>
      <c r="AC39">
        <v>13</v>
      </c>
      <c r="AD39">
        <v>5</v>
      </c>
      <c r="AE39">
        <v>11</v>
      </c>
      <c r="AF39">
        <v>12</v>
      </c>
      <c r="AG39">
        <v>17</v>
      </c>
      <c r="AH39">
        <v>21</v>
      </c>
      <c r="AI39">
        <v>25</v>
      </c>
      <c r="AJ39">
        <v>19</v>
      </c>
      <c r="AK39">
        <v>17</v>
      </c>
      <c r="AL39">
        <v>38033520</v>
      </c>
      <c r="AM39">
        <v>46154576</v>
      </c>
      <c r="AN39">
        <v>61492700</v>
      </c>
      <c r="AO39">
        <v>97263528</v>
      </c>
      <c r="AP39">
        <v>76370936</v>
      </c>
      <c r="AQ39">
        <v>96568496</v>
      </c>
      <c r="AR39">
        <v>90893000</v>
      </c>
      <c r="AS39">
        <v>104705560</v>
      </c>
      <c r="AT39" s="11">
        <v>22540424</v>
      </c>
      <c r="AU39" s="11">
        <v>41271940</v>
      </c>
      <c r="AW39" s="14">
        <v>40950716</v>
      </c>
      <c r="AX39" s="14">
        <v>49067524</v>
      </c>
      <c r="AZ39" s="16">
        <v>68442144</v>
      </c>
      <c r="BA39" s="16">
        <v>79106120</v>
      </c>
      <c r="BC39" s="18">
        <v>76352280</v>
      </c>
      <c r="BD39" s="18">
        <v>81159640</v>
      </c>
    </row>
    <row r="40" spans="1:56" hidden="1">
      <c r="A40">
        <v>16698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>
        <v>720.82</v>
      </c>
      <c r="H40" t="s">
        <v>58</v>
      </c>
      <c r="I40">
        <v>2</v>
      </c>
      <c r="J40">
        <v>12</v>
      </c>
      <c r="K40">
        <v>9</v>
      </c>
      <c r="L40">
        <v>32.520000000000003</v>
      </c>
      <c r="M40">
        <v>104279</v>
      </c>
      <c r="N40">
        <v>58</v>
      </c>
      <c r="O40">
        <v>25</v>
      </c>
      <c r="P40">
        <v>25</v>
      </c>
      <c r="Q40">
        <v>25</v>
      </c>
      <c r="R40">
        <v>25</v>
      </c>
      <c r="S40">
        <v>173</v>
      </c>
      <c r="T40">
        <v>173</v>
      </c>
      <c r="U40">
        <v>24</v>
      </c>
      <c r="V40">
        <v>20</v>
      </c>
      <c r="W40">
        <v>18</v>
      </c>
      <c r="X40">
        <v>22</v>
      </c>
      <c r="Y40">
        <v>22</v>
      </c>
      <c r="Z40">
        <v>24</v>
      </c>
      <c r="AA40">
        <v>24</v>
      </c>
      <c r="AB40">
        <v>24</v>
      </c>
      <c r="AC40">
        <v>24</v>
      </c>
      <c r="AD40">
        <v>21</v>
      </c>
      <c r="AE40">
        <v>15</v>
      </c>
      <c r="AF40">
        <v>12</v>
      </c>
      <c r="AG40">
        <v>14</v>
      </c>
      <c r="AH40">
        <v>29</v>
      </c>
      <c r="AI40">
        <v>35</v>
      </c>
      <c r="AJ40">
        <v>21</v>
      </c>
      <c r="AK40">
        <v>25</v>
      </c>
      <c r="AL40">
        <v>65374448</v>
      </c>
      <c r="AM40">
        <v>61350344</v>
      </c>
      <c r="AN40">
        <v>91100016</v>
      </c>
      <c r="AO40">
        <v>115957816</v>
      </c>
      <c r="AP40">
        <v>112903968</v>
      </c>
      <c r="AQ40">
        <v>152571248</v>
      </c>
      <c r="AR40">
        <v>110143440</v>
      </c>
      <c r="AS40">
        <v>142765104</v>
      </c>
      <c r="AT40" s="11">
        <v>64713792</v>
      </c>
      <c r="AU40" s="11">
        <v>66100204</v>
      </c>
      <c r="AW40" s="14">
        <v>46021460</v>
      </c>
      <c r="AX40" s="14">
        <v>42693428</v>
      </c>
      <c r="AZ40" s="16">
        <v>75235160</v>
      </c>
      <c r="BA40" s="16">
        <v>92659560</v>
      </c>
      <c r="BC40" s="18">
        <v>65655864</v>
      </c>
      <c r="BD40" s="18">
        <v>76897896</v>
      </c>
    </row>
    <row r="41" spans="1:56" hidden="1">
      <c r="A41">
        <v>16756</v>
      </c>
      <c r="B41" t="s">
        <v>229</v>
      </c>
      <c r="C41" t="s">
        <v>230</v>
      </c>
      <c r="D41" t="s">
        <v>231</v>
      </c>
      <c r="F41" t="s">
        <v>232</v>
      </c>
      <c r="G41">
        <v>713.99800000000005</v>
      </c>
      <c r="H41" t="s">
        <v>58</v>
      </c>
      <c r="I41">
        <v>2</v>
      </c>
      <c r="J41">
        <v>21</v>
      </c>
      <c r="K41">
        <v>0</v>
      </c>
      <c r="L41">
        <v>54.42</v>
      </c>
      <c r="M41">
        <v>48413</v>
      </c>
      <c r="N41">
        <v>28</v>
      </c>
      <c r="O41">
        <v>22</v>
      </c>
      <c r="P41">
        <v>22</v>
      </c>
      <c r="Q41">
        <v>22</v>
      </c>
      <c r="R41">
        <v>22</v>
      </c>
      <c r="S41">
        <v>315</v>
      </c>
      <c r="T41">
        <v>315</v>
      </c>
      <c r="U41">
        <v>22</v>
      </c>
      <c r="V41">
        <v>16</v>
      </c>
      <c r="W41">
        <v>19</v>
      </c>
      <c r="X41">
        <v>19</v>
      </c>
      <c r="Y41">
        <v>21</v>
      </c>
      <c r="Z41">
        <v>22</v>
      </c>
      <c r="AA41">
        <v>22</v>
      </c>
      <c r="AB41">
        <v>22</v>
      </c>
      <c r="AC41">
        <v>22</v>
      </c>
      <c r="AD41">
        <v>31</v>
      </c>
      <c r="AE41">
        <v>24</v>
      </c>
      <c r="AF41">
        <v>33</v>
      </c>
      <c r="AG41">
        <v>38</v>
      </c>
      <c r="AH41">
        <v>53</v>
      </c>
      <c r="AI41">
        <v>60</v>
      </c>
      <c r="AJ41">
        <v>35</v>
      </c>
      <c r="AK41">
        <v>41</v>
      </c>
      <c r="AL41">
        <v>232997456</v>
      </c>
      <c r="AM41">
        <v>243817680</v>
      </c>
      <c r="AN41">
        <v>426837280</v>
      </c>
      <c r="AO41">
        <v>542140864</v>
      </c>
      <c r="AP41">
        <v>515652000</v>
      </c>
      <c r="AQ41">
        <v>613203008</v>
      </c>
      <c r="AR41">
        <v>501194208</v>
      </c>
      <c r="AS41">
        <v>542066880</v>
      </c>
      <c r="AT41" s="11">
        <v>241727728</v>
      </c>
      <c r="AU41" s="11">
        <v>241443376</v>
      </c>
      <c r="AW41" s="14">
        <v>209115168</v>
      </c>
      <c r="AX41" s="14">
        <v>203048496</v>
      </c>
      <c r="AZ41" s="16">
        <v>319924256</v>
      </c>
      <c r="BA41" s="16">
        <v>362103008</v>
      </c>
      <c r="BC41" s="18">
        <v>277608256</v>
      </c>
      <c r="BD41" s="18">
        <v>273027296</v>
      </c>
    </row>
    <row r="42" spans="1:56" hidden="1">
      <c r="A42">
        <v>16741</v>
      </c>
      <c r="B42" t="s">
        <v>233</v>
      </c>
      <c r="C42" t="s">
        <v>234</v>
      </c>
      <c r="D42" t="s">
        <v>235</v>
      </c>
      <c r="F42" t="s">
        <v>236</v>
      </c>
      <c r="G42">
        <v>694.01199999999994</v>
      </c>
      <c r="H42" t="s">
        <v>58</v>
      </c>
      <c r="I42">
        <v>2</v>
      </c>
      <c r="J42">
        <v>3</v>
      </c>
      <c r="K42">
        <v>0</v>
      </c>
      <c r="L42">
        <v>55.25</v>
      </c>
      <c r="M42">
        <v>57630</v>
      </c>
      <c r="N42">
        <v>32</v>
      </c>
      <c r="O42">
        <v>23</v>
      </c>
      <c r="P42">
        <v>17</v>
      </c>
      <c r="Q42">
        <v>23</v>
      </c>
      <c r="R42">
        <v>17</v>
      </c>
      <c r="S42">
        <v>219</v>
      </c>
      <c r="T42">
        <v>185</v>
      </c>
      <c r="U42">
        <v>17</v>
      </c>
      <c r="V42">
        <v>13</v>
      </c>
      <c r="W42">
        <v>15</v>
      </c>
      <c r="X42">
        <v>14</v>
      </c>
      <c r="Y42">
        <v>16</v>
      </c>
      <c r="Z42">
        <v>16</v>
      </c>
      <c r="AA42">
        <v>16</v>
      </c>
      <c r="AB42">
        <v>16</v>
      </c>
      <c r="AC42">
        <v>16</v>
      </c>
      <c r="AD42">
        <v>18</v>
      </c>
      <c r="AE42">
        <v>20</v>
      </c>
      <c r="AF42">
        <v>19</v>
      </c>
      <c r="AG42">
        <v>21</v>
      </c>
      <c r="AH42">
        <v>28</v>
      </c>
      <c r="AI42">
        <v>29</v>
      </c>
      <c r="AJ42">
        <v>25</v>
      </c>
      <c r="AK42">
        <v>25</v>
      </c>
      <c r="AL42">
        <v>113751888</v>
      </c>
      <c r="AM42">
        <v>111027024</v>
      </c>
      <c r="AN42">
        <v>162775696</v>
      </c>
      <c r="AO42">
        <v>262913488</v>
      </c>
      <c r="AP42">
        <v>208736736</v>
      </c>
      <c r="AQ42">
        <v>257197808</v>
      </c>
      <c r="AR42">
        <v>220937696</v>
      </c>
      <c r="AS42">
        <v>260999088</v>
      </c>
      <c r="AT42" s="11">
        <v>79528872</v>
      </c>
      <c r="AU42" s="11">
        <v>81235184</v>
      </c>
      <c r="AW42" s="14">
        <v>62085916</v>
      </c>
      <c r="AX42" s="14">
        <v>65781392</v>
      </c>
      <c r="AZ42" s="16">
        <v>95008704</v>
      </c>
      <c r="BA42" s="16">
        <v>107158272</v>
      </c>
      <c r="BC42" s="18">
        <v>85891832</v>
      </c>
      <c r="BD42" s="18">
        <v>93996960</v>
      </c>
    </row>
    <row r="43" spans="1:56" hidden="1">
      <c r="A43">
        <v>16680</v>
      </c>
      <c r="B43" t="s">
        <v>237</v>
      </c>
      <c r="C43" t="s">
        <v>238</v>
      </c>
      <c r="D43" t="s">
        <v>239</v>
      </c>
      <c r="F43" t="s">
        <v>240</v>
      </c>
      <c r="G43">
        <v>676.43100000000004</v>
      </c>
      <c r="H43" t="s">
        <v>58</v>
      </c>
      <c r="I43">
        <v>2</v>
      </c>
      <c r="J43">
        <v>21</v>
      </c>
      <c r="K43">
        <v>0</v>
      </c>
      <c r="L43">
        <v>63.84</v>
      </c>
      <c r="M43">
        <v>18903</v>
      </c>
      <c r="N43">
        <v>10</v>
      </c>
      <c r="O43">
        <v>13</v>
      </c>
      <c r="P43">
        <v>13</v>
      </c>
      <c r="Q43">
        <v>14</v>
      </c>
      <c r="R43">
        <v>14</v>
      </c>
      <c r="S43">
        <v>1708</v>
      </c>
      <c r="T43">
        <v>1708</v>
      </c>
      <c r="U43">
        <v>14</v>
      </c>
      <c r="V43">
        <v>12</v>
      </c>
      <c r="W43">
        <v>13</v>
      </c>
      <c r="X43">
        <v>13</v>
      </c>
      <c r="Y43">
        <v>13</v>
      </c>
      <c r="Z43">
        <v>13</v>
      </c>
      <c r="AA43">
        <v>13</v>
      </c>
      <c r="AB43">
        <v>13</v>
      </c>
      <c r="AC43">
        <v>13</v>
      </c>
      <c r="AD43">
        <v>220</v>
      </c>
      <c r="AE43">
        <v>255</v>
      </c>
      <c r="AF43">
        <v>194</v>
      </c>
      <c r="AG43">
        <v>162</v>
      </c>
      <c r="AH43">
        <v>212</v>
      </c>
      <c r="AI43">
        <v>208</v>
      </c>
      <c r="AJ43">
        <v>234</v>
      </c>
      <c r="AK43">
        <v>223</v>
      </c>
      <c r="AL43">
        <v>2220992000</v>
      </c>
      <c r="AM43">
        <v>2355230464</v>
      </c>
      <c r="AN43">
        <v>2086898048</v>
      </c>
      <c r="AO43">
        <v>2676498688</v>
      </c>
      <c r="AP43">
        <v>1752514688</v>
      </c>
      <c r="AQ43">
        <v>1912764288</v>
      </c>
      <c r="AR43">
        <v>1924401408</v>
      </c>
      <c r="AS43">
        <v>1675879936</v>
      </c>
      <c r="AT43" s="11">
        <v>2046972544</v>
      </c>
      <c r="AU43" s="11">
        <v>2208443904</v>
      </c>
      <c r="AW43" s="14">
        <v>1031051712</v>
      </c>
      <c r="AX43" s="14">
        <v>1124198528</v>
      </c>
      <c r="AZ43" s="16">
        <v>1233377408</v>
      </c>
      <c r="BA43" s="16">
        <v>1246224384</v>
      </c>
      <c r="BC43" s="18">
        <v>1177793536</v>
      </c>
      <c r="BD43" s="18">
        <v>1015671296</v>
      </c>
    </row>
    <row r="44" spans="1:56" hidden="1">
      <c r="A44">
        <v>16728</v>
      </c>
      <c r="B44" t="s">
        <v>241</v>
      </c>
      <c r="C44" t="s">
        <v>242</v>
      </c>
      <c r="D44" t="s">
        <v>243</v>
      </c>
      <c r="F44" t="s">
        <v>244</v>
      </c>
      <c r="G44">
        <v>671.81299999999999</v>
      </c>
      <c r="H44" t="s">
        <v>58</v>
      </c>
      <c r="I44">
        <v>2</v>
      </c>
      <c r="J44">
        <v>21</v>
      </c>
      <c r="K44">
        <v>0</v>
      </c>
      <c r="L44">
        <v>77.27</v>
      </c>
      <c r="M44">
        <v>12226</v>
      </c>
      <c r="N44">
        <v>7</v>
      </c>
      <c r="O44">
        <v>16</v>
      </c>
      <c r="P44">
        <v>16</v>
      </c>
      <c r="Q44">
        <v>17</v>
      </c>
      <c r="R44">
        <v>17</v>
      </c>
      <c r="S44">
        <v>565</v>
      </c>
      <c r="T44">
        <v>565</v>
      </c>
      <c r="U44">
        <v>17</v>
      </c>
      <c r="V44">
        <v>13</v>
      </c>
      <c r="W44">
        <v>14</v>
      </c>
      <c r="X44">
        <v>12</v>
      </c>
      <c r="Y44">
        <v>17</v>
      </c>
      <c r="Z44">
        <v>16</v>
      </c>
      <c r="AA44">
        <v>15</v>
      </c>
      <c r="AB44">
        <v>17</v>
      </c>
      <c r="AC44">
        <v>16</v>
      </c>
      <c r="AD44">
        <v>90</v>
      </c>
      <c r="AE44">
        <v>112</v>
      </c>
      <c r="AF44">
        <v>40</v>
      </c>
      <c r="AG44">
        <v>81</v>
      </c>
      <c r="AH44">
        <v>62</v>
      </c>
      <c r="AI44">
        <v>58</v>
      </c>
      <c r="AJ44">
        <v>64</v>
      </c>
      <c r="AK44">
        <v>58</v>
      </c>
      <c r="AL44">
        <v>578875904</v>
      </c>
      <c r="AM44">
        <v>663820608</v>
      </c>
      <c r="AN44">
        <v>412764640</v>
      </c>
      <c r="AO44">
        <v>765846080</v>
      </c>
      <c r="AP44">
        <v>492290496</v>
      </c>
      <c r="AQ44">
        <v>611754496</v>
      </c>
      <c r="AR44">
        <v>517076736</v>
      </c>
      <c r="AS44">
        <v>419047712</v>
      </c>
      <c r="AT44" s="11">
        <v>547265088</v>
      </c>
      <c r="AU44" s="11">
        <v>713675072</v>
      </c>
      <c r="AW44" s="14">
        <v>215819296</v>
      </c>
      <c r="AX44" s="14">
        <v>364837856</v>
      </c>
      <c r="AZ44" s="16">
        <v>398513120</v>
      </c>
      <c r="BA44" s="16">
        <v>443743136</v>
      </c>
      <c r="BC44" s="18">
        <v>396651616</v>
      </c>
      <c r="BD44" s="18">
        <v>311046912</v>
      </c>
    </row>
    <row r="45" spans="1:56" hidden="1">
      <c r="A45">
        <v>16682</v>
      </c>
      <c r="B45" t="s">
        <v>245</v>
      </c>
      <c r="C45" t="s">
        <v>246</v>
      </c>
      <c r="D45" t="s">
        <v>247</v>
      </c>
      <c r="E45" t="s">
        <v>248</v>
      </c>
      <c r="F45" t="s">
        <v>249</v>
      </c>
      <c r="G45">
        <v>640.25599999999997</v>
      </c>
      <c r="H45" t="s">
        <v>58</v>
      </c>
      <c r="I45">
        <v>2</v>
      </c>
      <c r="J45">
        <v>18</v>
      </c>
      <c r="K45">
        <v>2</v>
      </c>
      <c r="L45">
        <v>86.26</v>
      </c>
      <c r="M45">
        <v>15186</v>
      </c>
      <c r="N45">
        <v>8</v>
      </c>
      <c r="O45">
        <v>12</v>
      </c>
      <c r="P45">
        <v>12</v>
      </c>
      <c r="Q45">
        <v>13</v>
      </c>
      <c r="R45">
        <v>13</v>
      </c>
      <c r="S45">
        <v>2437</v>
      </c>
      <c r="T45">
        <v>2437</v>
      </c>
      <c r="U45">
        <v>13</v>
      </c>
      <c r="V45">
        <v>10</v>
      </c>
      <c r="W45">
        <v>12</v>
      </c>
      <c r="X45">
        <v>12</v>
      </c>
      <c r="Y45">
        <v>13</v>
      </c>
      <c r="Z45">
        <v>13</v>
      </c>
      <c r="AA45">
        <v>12</v>
      </c>
      <c r="AB45">
        <v>13</v>
      </c>
      <c r="AC45">
        <v>13</v>
      </c>
      <c r="AD45">
        <v>224</v>
      </c>
      <c r="AE45">
        <v>345</v>
      </c>
      <c r="AF45">
        <v>343</v>
      </c>
      <c r="AG45">
        <v>310</v>
      </c>
      <c r="AH45">
        <v>327</v>
      </c>
      <c r="AI45">
        <v>290</v>
      </c>
      <c r="AJ45">
        <v>300</v>
      </c>
      <c r="AK45">
        <v>298</v>
      </c>
      <c r="AL45">
        <v>2879703296</v>
      </c>
      <c r="AM45">
        <v>3230817792</v>
      </c>
      <c r="AN45">
        <v>2796195072</v>
      </c>
      <c r="AO45">
        <v>3914401024</v>
      </c>
      <c r="AP45">
        <v>1847874944</v>
      </c>
      <c r="AQ45">
        <v>1890168704</v>
      </c>
      <c r="AR45">
        <v>1789926656</v>
      </c>
      <c r="AS45">
        <v>2363291136</v>
      </c>
      <c r="AT45" s="11">
        <v>1941515776</v>
      </c>
      <c r="AU45" s="11">
        <v>2495504384</v>
      </c>
      <c r="AW45" s="14">
        <v>1684292224</v>
      </c>
      <c r="AX45" s="14">
        <v>1755932416</v>
      </c>
      <c r="AZ45" s="16">
        <v>1397395840</v>
      </c>
      <c r="BA45" s="16">
        <v>1246131840</v>
      </c>
      <c r="BC45" s="18">
        <v>1201313664</v>
      </c>
      <c r="BD45" s="18">
        <v>1383296000</v>
      </c>
    </row>
    <row r="46" spans="1:56" hidden="1">
      <c r="A46">
        <v>16769</v>
      </c>
      <c r="B46" t="s">
        <v>250</v>
      </c>
      <c r="C46" t="s">
        <v>251</v>
      </c>
      <c r="D46" t="s">
        <v>252</v>
      </c>
      <c r="F46" t="s">
        <v>253</v>
      </c>
      <c r="G46">
        <v>616.65899999999999</v>
      </c>
      <c r="H46" t="s">
        <v>58</v>
      </c>
      <c r="I46">
        <v>2</v>
      </c>
      <c r="J46">
        <v>21</v>
      </c>
      <c r="K46">
        <v>0</v>
      </c>
      <c r="L46">
        <v>65.44</v>
      </c>
      <c r="M46">
        <v>15281</v>
      </c>
      <c r="N46">
        <v>5</v>
      </c>
      <c r="O46">
        <v>12</v>
      </c>
      <c r="P46">
        <v>12</v>
      </c>
      <c r="Q46">
        <v>13</v>
      </c>
      <c r="R46">
        <v>13</v>
      </c>
      <c r="S46">
        <v>586</v>
      </c>
      <c r="T46">
        <v>586</v>
      </c>
      <c r="U46">
        <v>13</v>
      </c>
      <c r="V46">
        <v>11</v>
      </c>
      <c r="W46">
        <v>11</v>
      </c>
      <c r="X46">
        <v>11</v>
      </c>
      <c r="Y46">
        <v>12</v>
      </c>
      <c r="Z46">
        <v>13</v>
      </c>
      <c r="AA46">
        <v>13</v>
      </c>
      <c r="AB46">
        <v>12</v>
      </c>
      <c r="AC46">
        <v>13</v>
      </c>
      <c r="AD46">
        <v>91</v>
      </c>
      <c r="AE46">
        <v>76</v>
      </c>
      <c r="AF46">
        <v>75</v>
      </c>
      <c r="AG46">
        <v>51</v>
      </c>
      <c r="AH46">
        <v>60</v>
      </c>
      <c r="AI46">
        <v>88</v>
      </c>
      <c r="AJ46">
        <v>89</v>
      </c>
      <c r="AK46">
        <v>56</v>
      </c>
      <c r="AL46">
        <v>532452064</v>
      </c>
      <c r="AM46">
        <v>503383360</v>
      </c>
      <c r="AN46">
        <v>666870912</v>
      </c>
      <c r="AO46">
        <v>840252416</v>
      </c>
      <c r="AP46">
        <v>520306784</v>
      </c>
      <c r="AQ46">
        <v>616944320</v>
      </c>
      <c r="AR46">
        <v>552430144</v>
      </c>
      <c r="AS46">
        <v>453648928</v>
      </c>
      <c r="AT46" s="11">
        <v>616155648</v>
      </c>
      <c r="AU46" s="11">
        <v>591081920</v>
      </c>
      <c r="AW46" s="14">
        <v>297722464</v>
      </c>
      <c r="AX46" s="14">
        <v>344445120</v>
      </c>
      <c r="AZ46" s="16">
        <v>405956800</v>
      </c>
      <c r="BA46" s="16">
        <v>401813632</v>
      </c>
      <c r="BC46" s="18">
        <v>367176960</v>
      </c>
      <c r="BD46" s="18">
        <v>292947328</v>
      </c>
    </row>
    <row r="47" spans="1:56" hidden="1">
      <c r="A47">
        <v>16793</v>
      </c>
      <c r="B47" t="s">
        <v>254</v>
      </c>
      <c r="C47" t="s">
        <v>255</v>
      </c>
      <c r="D47" t="s">
        <v>256</v>
      </c>
      <c r="F47" t="s">
        <v>257</v>
      </c>
      <c r="G47">
        <v>614.68499999999995</v>
      </c>
      <c r="H47" t="s">
        <v>58</v>
      </c>
      <c r="I47">
        <v>2</v>
      </c>
      <c r="J47">
        <v>6</v>
      </c>
      <c r="K47">
        <v>0</v>
      </c>
      <c r="L47">
        <v>47.78</v>
      </c>
      <c r="M47">
        <v>20563</v>
      </c>
      <c r="N47">
        <v>9</v>
      </c>
      <c r="O47">
        <v>11</v>
      </c>
      <c r="P47">
        <v>11</v>
      </c>
      <c r="Q47">
        <v>13</v>
      </c>
      <c r="R47">
        <v>13</v>
      </c>
      <c r="S47">
        <v>1949</v>
      </c>
      <c r="T47">
        <v>1949</v>
      </c>
      <c r="U47">
        <v>13</v>
      </c>
      <c r="V47">
        <v>13</v>
      </c>
      <c r="W47">
        <v>13</v>
      </c>
      <c r="X47">
        <v>13</v>
      </c>
      <c r="Y47">
        <v>13</v>
      </c>
      <c r="Z47">
        <v>12</v>
      </c>
      <c r="AA47">
        <v>12</v>
      </c>
      <c r="AB47">
        <v>12</v>
      </c>
      <c r="AC47">
        <v>13</v>
      </c>
      <c r="AD47">
        <v>348</v>
      </c>
      <c r="AE47">
        <v>384</v>
      </c>
      <c r="AF47">
        <v>253</v>
      </c>
      <c r="AG47">
        <v>187</v>
      </c>
      <c r="AH47">
        <v>204</v>
      </c>
      <c r="AI47">
        <v>199</v>
      </c>
      <c r="AJ47">
        <v>180</v>
      </c>
      <c r="AK47">
        <v>194</v>
      </c>
      <c r="AL47">
        <v>1814387072</v>
      </c>
      <c r="AM47">
        <v>1894461440</v>
      </c>
      <c r="AN47">
        <v>2306882560</v>
      </c>
      <c r="AO47">
        <v>2901306112</v>
      </c>
      <c r="AP47">
        <v>1402503936</v>
      </c>
      <c r="AQ47">
        <v>1401871360</v>
      </c>
      <c r="AR47">
        <v>1575069824</v>
      </c>
      <c r="AS47">
        <v>1574669696</v>
      </c>
      <c r="AT47" s="11">
        <v>1694979456</v>
      </c>
      <c r="AU47" s="11">
        <v>1862348928</v>
      </c>
      <c r="AW47" s="14">
        <v>1290530048</v>
      </c>
      <c r="AX47" s="14">
        <v>1199659136</v>
      </c>
      <c r="AZ47" s="16">
        <v>922120320</v>
      </c>
      <c r="BA47" s="16">
        <v>901670016</v>
      </c>
      <c r="BC47" s="18">
        <v>993074752</v>
      </c>
      <c r="BD47" s="18">
        <v>902855744</v>
      </c>
    </row>
    <row r="48" spans="1:56">
      <c r="A48">
        <v>16809</v>
      </c>
      <c r="B48" t="s">
        <v>258</v>
      </c>
      <c r="C48" t="s">
        <v>1197</v>
      </c>
      <c r="D48" t="s">
        <v>259</v>
      </c>
      <c r="F48" t="s">
        <v>260</v>
      </c>
      <c r="G48">
        <v>585.50099999999998</v>
      </c>
      <c r="H48" t="s">
        <v>58</v>
      </c>
      <c r="I48">
        <v>2</v>
      </c>
      <c r="J48">
        <v>4</v>
      </c>
      <c r="K48">
        <v>0</v>
      </c>
      <c r="L48">
        <v>20.16</v>
      </c>
      <c r="M48">
        <v>84600</v>
      </c>
      <c r="N48">
        <v>34</v>
      </c>
      <c r="O48">
        <v>13</v>
      </c>
      <c r="P48">
        <v>13</v>
      </c>
      <c r="Q48">
        <v>15</v>
      </c>
      <c r="R48">
        <v>15</v>
      </c>
      <c r="S48">
        <v>207</v>
      </c>
      <c r="T48">
        <v>207</v>
      </c>
      <c r="U48">
        <v>15</v>
      </c>
      <c r="V48">
        <v>10</v>
      </c>
      <c r="W48">
        <v>10</v>
      </c>
      <c r="X48">
        <v>13</v>
      </c>
      <c r="Y48">
        <v>15</v>
      </c>
      <c r="Z48">
        <v>7</v>
      </c>
      <c r="AA48">
        <v>9</v>
      </c>
      <c r="AB48">
        <v>13</v>
      </c>
      <c r="AC48">
        <v>13</v>
      </c>
      <c r="AD48">
        <v>44</v>
      </c>
      <c r="AE48">
        <v>44</v>
      </c>
      <c r="AF48">
        <v>45</v>
      </c>
      <c r="AG48">
        <v>42</v>
      </c>
      <c r="AH48">
        <v>3</v>
      </c>
      <c r="AI48">
        <v>4</v>
      </c>
      <c r="AJ48">
        <v>13</v>
      </c>
      <c r="AK48">
        <v>12</v>
      </c>
      <c r="AL48">
        <v>277297280</v>
      </c>
      <c r="AM48">
        <v>315308192</v>
      </c>
      <c r="AN48">
        <v>331450752</v>
      </c>
      <c r="AO48">
        <v>344165440</v>
      </c>
      <c r="AP48">
        <v>25383056</v>
      </c>
      <c r="AQ48">
        <v>32562996</v>
      </c>
      <c r="AR48">
        <v>85895376</v>
      </c>
      <c r="AS48">
        <v>81992168</v>
      </c>
      <c r="AT48" s="11">
        <v>215185360</v>
      </c>
      <c r="AU48" s="11">
        <v>276508224</v>
      </c>
      <c r="AW48" s="14">
        <v>207125008</v>
      </c>
      <c r="AX48" s="14">
        <v>167305872</v>
      </c>
      <c r="AZ48" s="16">
        <v>8091876.5</v>
      </c>
      <c r="BA48" s="16">
        <v>16174679</v>
      </c>
      <c r="BC48" s="18">
        <v>57765840</v>
      </c>
      <c r="BD48" s="18">
        <v>49816444</v>
      </c>
    </row>
    <row r="49" spans="1:56" hidden="1">
      <c r="A49">
        <v>16718</v>
      </c>
      <c r="B49" t="s">
        <v>261</v>
      </c>
      <c r="C49" t="s">
        <v>262</v>
      </c>
      <c r="D49" t="s">
        <v>263</v>
      </c>
      <c r="E49" t="s">
        <v>264</v>
      </c>
      <c r="F49" t="s">
        <v>265</v>
      </c>
      <c r="G49">
        <v>580.154</v>
      </c>
      <c r="H49" t="s">
        <v>58</v>
      </c>
      <c r="I49">
        <v>2</v>
      </c>
      <c r="J49">
        <v>19</v>
      </c>
      <c r="K49">
        <v>1</v>
      </c>
      <c r="L49">
        <v>48.84</v>
      </c>
      <c r="M49">
        <v>34715</v>
      </c>
      <c r="N49">
        <v>14</v>
      </c>
      <c r="O49">
        <v>12</v>
      </c>
      <c r="P49">
        <v>12</v>
      </c>
      <c r="Q49">
        <v>13</v>
      </c>
      <c r="R49">
        <v>13</v>
      </c>
      <c r="S49">
        <v>145</v>
      </c>
      <c r="T49">
        <v>145</v>
      </c>
      <c r="U49">
        <v>12</v>
      </c>
      <c r="V49">
        <v>9</v>
      </c>
      <c r="W49">
        <v>11</v>
      </c>
      <c r="X49">
        <v>12</v>
      </c>
      <c r="Y49">
        <v>12</v>
      </c>
      <c r="Z49">
        <v>12</v>
      </c>
      <c r="AA49">
        <v>12</v>
      </c>
      <c r="AB49">
        <v>12</v>
      </c>
      <c r="AC49">
        <v>12</v>
      </c>
      <c r="AD49">
        <v>14</v>
      </c>
      <c r="AE49">
        <v>11</v>
      </c>
      <c r="AF49">
        <v>15</v>
      </c>
      <c r="AG49">
        <v>14</v>
      </c>
      <c r="AH49">
        <v>26</v>
      </c>
      <c r="AI49">
        <v>26</v>
      </c>
      <c r="AJ49">
        <v>17</v>
      </c>
      <c r="AK49">
        <v>21</v>
      </c>
      <c r="AL49">
        <v>75006504</v>
      </c>
      <c r="AM49">
        <v>76353288</v>
      </c>
      <c r="AN49">
        <v>183467552</v>
      </c>
      <c r="AO49">
        <v>251025712</v>
      </c>
      <c r="AP49">
        <v>190949840</v>
      </c>
      <c r="AQ49">
        <v>225533056</v>
      </c>
      <c r="AR49">
        <v>208251712</v>
      </c>
      <c r="AS49">
        <v>235142592</v>
      </c>
      <c r="AT49" s="11">
        <v>101461352</v>
      </c>
      <c r="AU49" s="11">
        <v>109209912</v>
      </c>
      <c r="AW49" s="14">
        <v>87737376</v>
      </c>
      <c r="AX49" s="14">
        <v>81987528</v>
      </c>
      <c r="AZ49" s="16">
        <v>134257952</v>
      </c>
      <c r="BA49" s="16">
        <v>148643280</v>
      </c>
      <c r="BC49" s="18">
        <v>125278000</v>
      </c>
      <c r="BD49" s="18">
        <v>117637640</v>
      </c>
    </row>
    <row r="50" spans="1:56" hidden="1">
      <c r="A50">
        <v>16747</v>
      </c>
      <c r="B50" t="s">
        <v>266</v>
      </c>
      <c r="C50" t="s">
        <v>267</v>
      </c>
      <c r="D50" t="s">
        <v>268</v>
      </c>
      <c r="F50" t="s">
        <v>269</v>
      </c>
      <c r="G50">
        <v>579.65800000000002</v>
      </c>
      <c r="H50" t="s">
        <v>58</v>
      </c>
      <c r="I50">
        <v>2</v>
      </c>
      <c r="J50">
        <v>21</v>
      </c>
      <c r="K50">
        <v>0</v>
      </c>
      <c r="L50">
        <v>83.64</v>
      </c>
      <c r="M50">
        <v>17711</v>
      </c>
      <c r="N50">
        <v>12</v>
      </c>
      <c r="O50">
        <v>16</v>
      </c>
      <c r="P50">
        <v>16</v>
      </c>
      <c r="Q50">
        <v>18</v>
      </c>
      <c r="R50">
        <v>18</v>
      </c>
      <c r="S50">
        <v>582</v>
      </c>
      <c r="T50">
        <v>582</v>
      </c>
      <c r="U50">
        <v>18</v>
      </c>
      <c r="V50">
        <v>10</v>
      </c>
      <c r="W50">
        <v>10</v>
      </c>
      <c r="X50">
        <v>16</v>
      </c>
      <c r="Y50">
        <v>17</v>
      </c>
      <c r="Z50">
        <v>16</v>
      </c>
      <c r="AA50">
        <v>17</v>
      </c>
      <c r="AB50">
        <v>18</v>
      </c>
      <c r="AC50">
        <v>18</v>
      </c>
      <c r="AD50">
        <v>69</v>
      </c>
      <c r="AE50">
        <v>103</v>
      </c>
      <c r="AF50">
        <v>56</v>
      </c>
      <c r="AG50">
        <v>57</v>
      </c>
      <c r="AH50">
        <v>71</v>
      </c>
      <c r="AI50">
        <v>74</v>
      </c>
      <c r="AJ50">
        <v>79</v>
      </c>
      <c r="AK50">
        <v>73</v>
      </c>
      <c r="AL50">
        <v>1196486528</v>
      </c>
      <c r="AM50">
        <v>1086965504</v>
      </c>
      <c r="AN50">
        <v>1258601088</v>
      </c>
      <c r="AO50">
        <v>1824651520</v>
      </c>
      <c r="AP50">
        <v>1141528960</v>
      </c>
      <c r="AQ50">
        <v>1230698240</v>
      </c>
      <c r="AR50">
        <v>1160932096</v>
      </c>
      <c r="AS50">
        <v>1200939136</v>
      </c>
      <c r="AT50" s="11">
        <v>797648576</v>
      </c>
      <c r="AU50" s="11">
        <v>472779552</v>
      </c>
      <c r="AW50" s="14">
        <v>701761728</v>
      </c>
      <c r="AX50" s="14">
        <v>839566656</v>
      </c>
      <c r="AZ50" s="16">
        <v>820538432</v>
      </c>
      <c r="BA50" s="16">
        <v>790067968</v>
      </c>
      <c r="BC50" s="18">
        <v>743190400</v>
      </c>
      <c r="BD50" s="18">
        <v>888195968</v>
      </c>
    </row>
    <row r="51" spans="1:56" hidden="1">
      <c r="A51">
        <v>16692</v>
      </c>
      <c r="B51" t="s">
        <v>270</v>
      </c>
      <c r="C51" t="s">
        <v>271</v>
      </c>
      <c r="D51" t="s">
        <v>272</v>
      </c>
      <c r="E51" t="s">
        <v>273</v>
      </c>
      <c r="F51" t="s">
        <v>274</v>
      </c>
      <c r="G51">
        <v>566.28700000000003</v>
      </c>
      <c r="H51" t="s">
        <v>58</v>
      </c>
      <c r="I51">
        <v>2</v>
      </c>
      <c r="J51">
        <v>10</v>
      </c>
      <c r="K51">
        <v>11</v>
      </c>
      <c r="L51">
        <v>46.67</v>
      </c>
      <c r="M51">
        <v>34154</v>
      </c>
      <c r="N51">
        <v>21</v>
      </c>
      <c r="O51">
        <v>12</v>
      </c>
      <c r="P51">
        <v>12</v>
      </c>
      <c r="Q51">
        <v>12</v>
      </c>
      <c r="R51">
        <v>12</v>
      </c>
      <c r="S51">
        <v>125</v>
      </c>
      <c r="T51">
        <v>125</v>
      </c>
      <c r="U51">
        <v>12</v>
      </c>
      <c r="V51">
        <v>9</v>
      </c>
      <c r="W51">
        <v>10</v>
      </c>
      <c r="X51">
        <v>12</v>
      </c>
      <c r="Y51">
        <v>12</v>
      </c>
      <c r="Z51">
        <v>12</v>
      </c>
      <c r="AA51">
        <v>12</v>
      </c>
      <c r="AB51">
        <v>12</v>
      </c>
      <c r="AC51">
        <v>12</v>
      </c>
      <c r="AD51">
        <v>10</v>
      </c>
      <c r="AE51">
        <v>11</v>
      </c>
      <c r="AF51">
        <v>16</v>
      </c>
      <c r="AG51">
        <v>13</v>
      </c>
      <c r="AH51">
        <v>20</v>
      </c>
      <c r="AI51">
        <v>18</v>
      </c>
      <c r="AJ51">
        <v>18</v>
      </c>
      <c r="AK51">
        <v>19</v>
      </c>
      <c r="AL51">
        <v>74895896</v>
      </c>
      <c r="AM51">
        <v>62838528</v>
      </c>
      <c r="AN51">
        <v>123551040</v>
      </c>
      <c r="AO51">
        <v>188379568</v>
      </c>
      <c r="AP51">
        <v>163953536</v>
      </c>
      <c r="AQ51">
        <v>197536992</v>
      </c>
      <c r="AR51">
        <v>161021776</v>
      </c>
      <c r="AS51">
        <v>180831312</v>
      </c>
      <c r="AT51" s="11">
        <v>80730752</v>
      </c>
      <c r="AU51" s="11">
        <v>62170140</v>
      </c>
      <c r="AW51" s="14">
        <v>72136176</v>
      </c>
      <c r="AX51" s="14">
        <v>66010160</v>
      </c>
      <c r="AZ51" s="16">
        <v>112634048</v>
      </c>
      <c r="BA51" s="16">
        <v>117325192</v>
      </c>
      <c r="BC51" s="18">
        <v>90743976</v>
      </c>
      <c r="BD51" s="18">
        <v>89491672</v>
      </c>
    </row>
    <row r="52" spans="1:56" hidden="1">
      <c r="A52">
        <v>16729</v>
      </c>
      <c r="B52" t="s">
        <v>275</v>
      </c>
      <c r="C52" t="s">
        <v>276</v>
      </c>
      <c r="D52" t="s">
        <v>277</v>
      </c>
      <c r="F52" t="s">
        <v>278</v>
      </c>
      <c r="G52">
        <v>550.85799999999995</v>
      </c>
      <c r="H52" t="s">
        <v>58</v>
      </c>
      <c r="I52">
        <v>2</v>
      </c>
      <c r="J52">
        <v>21</v>
      </c>
      <c r="K52">
        <v>0</v>
      </c>
      <c r="L52">
        <v>68.459999999999994</v>
      </c>
      <c r="M52">
        <v>14126</v>
      </c>
      <c r="N52">
        <v>11</v>
      </c>
      <c r="O52">
        <v>11</v>
      </c>
      <c r="P52">
        <v>11</v>
      </c>
      <c r="Q52">
        <v>14</v>
      </c>
      <c r="R52">
        <v>14</v>
      </c>
      <c r="S52">
        <v>1127</v>
      </c>
      <c r="T52">
        <v>1127</v>
      </c>
      <c r="U52">
        <v>14</v>
      </c>
      <c r="V52">
        <v>12</v>
      </c>
      <c r="W52">
        <v>14</v>
      </c>
      <c r="X52">
        <v>12</v>
      </c>
      <c r="Y52">
        <v>14</v>
      </c>
      <c r="Z52">
        <v>13</v>
      </c>
      <c r="AA52">
        <v>13</v>
      </c>
      <c r="AB52">
        <v>13</v>
      </c>
      <c r="AC52">
        <v>13</v>
      </c>
      <c r="AD52">
        <v>154</v>
      </c>
      <c r="AE52">
        <v>212</v>
      </c>
      <c r="AF52">
        <v>119</v>
      </c>
      <c r="AG52">
        <v>127</v>
      </c>
      <c r="AH52">
        <v>152</v>
      </c>
      <c r="AI52">
        <v>123</v>
      </c>
      <c r="AJ52">
        <v>98</v>
      </c>
      <c r="AK52">
        <v>142</v>
      </c>
      <c r="AL52">
        <v>3333712896</v>
      </c>
      <c r="AM52">
        <v>3490234112</v>
      </c>
      <c r="AN52">
        <v>2062831616</v>
      </c>
      <c r="AO52">
        <v>2314607360</v>
      </c>
      <c r="AP52">
        <v>1657250944</v>
      </c>
      <c r="AQ52">
        <v>1606456832</v>
      </c>
      <c r="AR52">
        <v>1454441088</v>
      </c>
      <c r="AS52">
        <v>2050333056</v>
      </c>
      <c r="AT52" s="11">
        <v>2966195712</v>
      </c>
      <c r="AU52" s="11">
        <v>3210190592</v>
      </c>
      <c r="AW52" s="14">
        <v>986984192</v>
      </c>
      <c r="AX52" s="14">
        <v>843920640</v>
      </c>
      <c r="AZ52" s="16">
        <v>1129208064</v>
      </c>
      <c r="BA52" s="16">
        <v>1082485248</v>
      </c>
      <c r="BC52" s="18">
        <v>863269760</v>
      </c>
      <c r="BD52" s="18">
        <v>1094429952</v>
      </c>
    </row>
    <row r="53" spans="1:56" hidden="1">
      <c r="A53">
        <v>16817</v>
      </c>
      <c r="B53" t="s">
        <v>279</v>
      </c>
      <c r="C53" t="s">
        <v>280</v>
      </c>
      <c r="D53" t="s">
        <v>281</v>
      </c>
      <c r="F53" t="s">
        <v>282</v>
      </c>
      <c r="G53">
        <v>540.70600000000002</v>
      </c>
      <c r="H53" t="s">
        <v>58</v>
      </c>
      <c r="I53">
        <v>2</v>
      </c>
      <c r="J53">
        <v>21</v>
      </c>
      <c r="K53">
        <v>0</v>
      </c>
      <c r="L53">
        <v>90.6</v>
      </c>
      <c r="M53">
        <v>15768</v>
      </c>
      <c r="N53">
        <v>14</v>
      </c>
      <c r="O53">
        <v>16</v>
      </c>
      <c r="P53">
        <v>16</v>
      </c>
      <c r="Q53">
        <v>16</v>
      </c>
      <c r="R53">
        <v>16</v>
      </c>
      <c r="S53">
        <v>2380</v>
      </c>
      <c r="T53">
        <v>2380</v>
      </c>
      <c r="U53">
        <v>16</v>
      </c>
      <c r="V53">
        <v>12</v>
      </c>
      <c r="W53">
        <v>13</v>
      </c>
      <c r="X53">
        <v>15</v>
      </c>
      <c r="Y53">
        <v>16</v>
      </c>
      <c r="Z53">
        <v>16</v>
      </c>
      <c r="AA53">
        <v>16</v>
      </c>
      <c r="AB53">
        <v>16</v>
      </c>
      <c r="AC53">
        <v>16</v>
      </c>
      <c r="AD53">
        <v>207</v>
      </c>
      <c r="AE53">
        <v>234</v>
      </c>
      <c r="AF53">
        <v>274</v>
      </c>
      <c r="AG53">
        <v>323</v>
      </c>
      <c r="AH53">
        <v>377</v>
      </c>
      <c r="AI53">
        <v>364</v>
      </c>
      <c r="AJ53">
        <v>346</v>
      </c>
      <c r="AK53">
        <v>255</v>
      </c>
      <c r="AL53">
        <v>2738778368</v>
      </c>
      <c r="AM53">
        <v>2745584896</v>
      </c>
      <c r="AN53">
        <v>4021787904</v>
      </c>
      <c r="AO53">
        <v>5647090688</v>
      </c>
      <c r="AP53">
        <v>3003795456</v>
      </c>
      <c r="AQ53">
        <v>3290482432</v>
      </c>
      <c r="AR53">
        <v>2796586752</v>
      </c>
      <c r="AS53">
        <v>2446854656</v>
      </c>
      <c r="AT53" s="11">
        <v>2333088768</v>
      </c>
      <c r="AU53" s="11">
        <v>2669103360</v>
      </c>
      <c r="AW53" s="14">
        <v>1980963968</v>
      </c>
      <c r="AX53" s="14">
        <v>2170316800</v>
      </c>
      <c r="AZ53" s="16">
        <v>2204039168</v>
      </c>
      <c r="BA53" s="16">
        <v>2095733248</v>
      </c>
      <c r="BC53" s="18">
        <v>1770329728</v>
      </c>
      <c r="BD53" s="18">
        <v>1402813568</v>
      </c>
    </row>
    <row r="54" spans="1:56" hidden="1">
      <c r="A54">
        <v>16785</v>
      </c>
      <c r="B54" t="s">
        <v>283</v>
      </c>
      <c r="C54" t="s">
        <v>284</v>
      </c>
      <c r="D54" t="s">
        <v>285</v>
      </c>
      <c r="E54" t="s">
        <v>286</v>
      </c>
      <c r="F54" t="s">
        <v>287</v>
      </c>
      <c r="G54">
        <v>538.452</v>
      </c>
      <c r="H54" t="s">
        <v>58</v>
      </c>
      <c r="I54">
        <v>2</v>
      </c>
      <c r="J54">
        <v>7</v>
      </c>
      <c r="K54">
        <v>1</v>
      </c>
      <c r="L54">
        <v>37.340000000000003</v>
      </c>
      <c r="M54">
        <v>52569</v>
      </c>
      <c r="N54">
        <v>28</v>
      </c>
      <c r="O54">
        <v>16</v>
      </c>
      <c r="P54">
        <v>16</v>
      </c>
      <c r="Q54">
        <v>16</v>
      </c>
      <c r="R54">
        <v>16</v>
      </c>
      <c r="S54">
        <v>205</v>
      </c>
      <c r="T54">
        <v>205</v>
      </c>
      <c r="U54">
        <v>16</v>
      </c>
      <c r="V54">
        <v>13</v>
      </c>
      <c r="W54">
        <v>13</v>
      </c>
      <c r="X54">
        <v>14</v>
      </c>
      <c r="Y54">
        <v>16</v>
      </c>
      <c r="Z54">
        <v>14</v>
      </c>
      <c r="AA54">
        <v>15</v>
      </c>
      <c r="AB54">
        <v>16</v>
      </c>
      <c r="AC54">
        <v>16</v>
      </c>
      <c r="AD54">
        <v>18</v>
      </c>
      <c r="AE54">
        <v>17</v>
      </c>
      <c r="AF54">
        <v>17</v>
      </c>
      <c r="AG54">
        <v>29</v>
      </c>
      <c r="AH54">
        <v>34</v>
      </c>
      <c r="AI54">
        <v>34</v>
      </c>
      <c r="AJ54">
        <v>29</v>
      </c>
      <c r="AK54">
        <v>27</v>
      </c>
      <c r="AL54">
        <v>102100320</v>
      </c>
      <c r="AM54">
        <v>109873576</v>
      </c>
      <c r="AN54">
        <v>189051648</v>
      </c>
      <c r="AO54">
        <v>273835712</v>
      </c>
      <c r="AP54">
        <v>211783056</v>
      </c>
      <c r="AQ54">
        <v>260725984</v>
      </c>
      <c r="AR54">
        <v>244609728</v>
      </c>
      <c r="AS54">
        <v>270619744</v>
      </c>
      <c r="AT54" s="11">
        <v>112040136</v>
      </c>
      <c r="AU54" s="11">
        <v>114781320</v>
      </c>
      <c r="AW54" s="14">
        <v>94967200</v>
      </c>
      <c r="AX54" s="14">
        <v>96466128</v>
      </c>
      <c r="AZ54" s="16">
        <v>145082128</v>
      </c>
      <c r="BA54" s="16">
        <v>158507040</v>
      </c>
      <c r="BC54" s="18">
        <v>134881312</v>
      </c>
      <c r="BD54" s="18">
        <v>134680368</v>
      </c>
    </row>
    <row r="55" spans="1:56" hidden="1">
      <c r="A55">
        <v>16822</v>
      </c>
      <c r="B55" t="s">
        <v>288</v>
      </c>
      <c r="C55" t="s">
        <v>289</v>
      </c>
      <c r="D55" t="s">
        <v>290</v>
      </c>
      <c r="F55" t="s">
        <v>291</v>
      </c>
      <c r="G55">
        <v>524.29300000000001</v>
      </c>
      <c r="H55" t="s">
        <v>58</v>
      </c>
      <c r="I55">
        <v>2</v>
      </c>
      <c r="J55">
        <v>6</v>
      </c>
      <c r="K55">
        <v>0</v>
      </c>
      <c r="L55">
        <v>69.489999999999995</v>
      </c>
      <c r="M55">
        <v>13099</v>
      </c>
      <c r="N55">
        <v>7</v>
      </c>
      <c r="O55">
        <v>14</v>
      </c>
      <c r="P55">
        <v>14</v>
      </c>
      <c r="Q55">
        <v>17</v>
      </c>
      <c r="R55">
        <v>17</v>
      </c>
      <c r="S55">
        <v>2968</v>
      </c>
      <c r="T55">
        <v>2968</v>
      </c>
      <c r="U55">
        <v>17</v>
      </c>
      <c r="V55">
        <v>13</v>
      </c>
      <c r="W55">
        <v>14</v>
      </c>
      <c r="X55">
        <v>17</v>
      </c>
      <c r="Y55">
        <v>16</v>
      </c>
      <c r="Z55">
        <v>17</v>
      </c>
      <c r="AA55">
        <v>17</v>
      </c>
      <c r="AB55">
        <v>16</v>
      </c>
      <c r="AC55">
        <v>15</v>
      </c>
      <c r="AD55">
        <v>384</v>
      </c>
      <c r="AE55">
        <v>443</v>
      </c>
      <c r="AF55">
        <v>386</v>
      </c>
      <c r="AG55">
        <v>308</v>
      </c>
      <c r="AH55">
        <v>384</v>
      </c>
      <c r="AI55">
        <v>378</v>
      </c>
      <c r="AJ55">
        <v>339</v>
      </c>
      <c r="AK55">
        <v>346</v>
      </c>
      <c r="AL55">
        <v>1869422464</v>
      </c>
      <c r="AM55">
        <v>1980783488</v>
      </c>
      <c r="AN55">
        <v>2657822208</v>
      </c>
      <c r="AO55">
        <v>3959124224</v>
      </c>
      <c r="AP55">
        <v>2550149632</v>
      </c>
      <c r="AQ55">
        <v>2707806464</v>
      </c>
      <c r="AR55">
        <v>2469019392</v>
      </c>
      <c r="AS55">
        <v>2711337728</v>
      </c>
      <c r="AT55" s="11">
        <v>1965211776</v>
      </c>
      <c r="AU55" s="11">
        <v>2055332992</v>
      </c>
      <c r="AW55" s="14">
        <v>1606312320</v>
      </c>
      <c r="AX55" s="14">
        <v>1814349056</v>
      </c>
      <c r="AZ55" s="16">
        <v>1983745792</v>
      </c>
      <c r="BA55" s="16">
        <v>1869924736</v>
      </c>
      <c r="BC55" s="18">
        <v>1712623744</v>
      </c>
      <c r="BD55" s="18">
        <v>1581088128</v>
      </c>
    </row>
    <row r="56" spans="1:56" hidden="1">
      <c r="A56">
        <v>16874</v>
      </c>
      <c r="B56" t="s">
        <v>292</v>
      </c>
      <c r="C56" t="s">
        <v>293</v>
      </c>
      <c r="D56" t="s">
        <v>292</v>
      </c>
      <c r="F56" t="s">
        <v>294</v>
      </c>
      <c r="G56">
        <v>518.85299999999995</v>
      </c>
      <c r="H56" t="s">
        <v>58</v>
      </c>
      <c r="I56">
        <v>2</v>
      </c>
      <c r="J56">
        <v>1</v>
      </c>
      <c r="K56">
        <v>0</v>
      </c>
      <c r="L56">
        <v>52.86</v>
      </c>
      <c r="M56">
        <v>49988</v>
      </c>
      <c r="N56">
        <v>29</v>
      </c>
      <c r="O56">
        <v>19</v>
      </c>
      <c r="P56">
        <v>19</v>
      </c>
      <c r="Q56">
        <v>19</v>
      </c>
      <c r="R56">
        <v>19</v>
      </c>
      <c r="S56">
        <v>115</v>
      </c>
      <c r="T56">
        <v>115</v>
      </c>
      <c r="U56">
        <v>19</v>
      </c>
      <c r="V56">
        <v>10</v>
      </c>
      <c r="W56">
        <v>11</v>
      </c>
      <c r="X56">
        <v>13</v>
      </c>
      <c r="Y56">
        <v>19</v>
      </c>
      <c r="Z56">
        <v>16</v>
      </c>
      <c r="AA56">
        <v>17</v>
      </c>
      <c r="AB56">
        <v>16</v>
      </c>
      <c r="AC56">
        <v>17</v>
      </c>
      <c r="AD56">
        <v>6</v>
      </c>
      <c r="AE56">
        <v>7</v>
      </c>
      <c r="AF56">
        <v>18</v>
      </c>
      <c r="AG56">
        <v>26</v>
      </c>
      <c r="AH56">
        <v>13</v>
      </c>
      <c r="AI56">
        <v>17</v>
      </c>
      <c r="AJ56">
        <v>14</v>
      </c>
      <c r="AK56">
        <v>14</v>
      </c>
      <c r="AL56">
        <v>25689596</v>
      </c>
      <c r="AM56">
        <v>27024706</v>
      </c>
      <c r="AN56">
        <v>100632904</v>
      </c>
      <c r="AO56">
        <v>138655504</v>
      </c>
      <c r="AP56">
        <v>60396844</v>
      </c>
      <c r="AQ56">
        <v>71020688</v>
      </c>
      <c r="AR56">
        <v>74323320</v>
      </c>
      <c r="AS56">
        <v>66542980</v>
      </c>
      <c r="AT56" s="11">
        <v>7804886</v>
      </c>
      <c r="AU56" s="11">
        <v>11458021</v>
      </c>
      <c r="AW56" s="14">
        <v>46495312</v>
      </c>
      <c r="AX56" s="14">
        <v>93849344</v>
      </c>
      <c r="AZ56" s="16">
        <v>39106088</v>
      </c>
      <c r="BA56" s="16">
        <v>52073084</v>
      </c>
      <c r="BC56" s="18">
        <v>44533292</v>
      </c>
      <c r="BD56" s="18">
        <v>47068020</v>
      </c>
    </row>
    <row r="57" spans="1:56" hidden="1">
      <c r="A57">
        <v>16770</v>
      </c>
      <c r="B57" t="s">
        <v>295</v>
      </c>
      <c r="C57" t="s">
        <v>296</v>
      </c>
      <c r="D57" t="s">
        <v>297</v>
      </c>
      <c r="F57" t="s">
        <v>298</v>
      </c>
      <c r="G57">
        <v>509.00099999999998</v>
      </c>
      <c r="H57" t="s">
        <v>58</v>
      </c>
      <c r="I57">
        <v>2</v>
      </c>
      <c r="J57">
        <v>3</v>
      </c>
      <c r="K57">
        <v>0</v>
      </c>
      <c r="L57">
        <v>38.33</v>
      </c>
      <c r="M57">
        <v>45329</v>
      </c>
      <c r="N57">
        <v>20</v>
      </c>
      <c r="O57">
        <v>11</v>
      </c>
      <c r="P57">
        <v>11</v>
      </c>
      <c r="Q57">
        <v>11</v>
      </c>
      <c r="R57">
        <v>11</v>
      </c>
      <c r="S57">
        <v>125</v>
      </c>
      <c r="T57">
        <v>125</v>
      </c>
      <c r="U57">
        <v>11</v>
      </c>
      <c r="V57">
        <v>6</v>
      </c>
      <c r="W57">
        <v>6</v>
      </c>
      <c r="X57">
        <v>10</v>
      </c>
      <c r="Y57">
        <v>11</v>
      </c>
      <c r="Z57">
        <v>10</v>
      </c>
      <c r="AA57">
        <v>10</v>
      </c>
      <c r="AB57">
        <v>11</v>
      </c>
      <c r="AC57">
        <v>11</v>
      </c>
      <c r="AD57">
        <v>5</v>
      </c>
      <c r="AE57">
        <v>8</v>
      </c>
      <c r="AF57">
        <v>18</v>
      </c>
      <c r="AG57">
        <v>25</v>
      </c>
      <c r="AH57">
        <v>12</v>
      </c>
      <c r="AI57">
        <v>10</v>
      </c>
      <c r="AJ57">
        <v>26</v>
      </c>
      <c r="AK57">
        <v>21</v>
      </c>
      <c r="AL57">
        <v>22611804</v>
      </c>
      <c r="AM57">
        <v>26183000</v>
      </c>
      <c r="AN57">
        <v>111076192</v>
      </c>
      <c r="AO57">
        <v>180420000</v>
      </c>
      <c r="AP57">
        <v>37933628</v>
      </c>
      <c r="AQ57">
        <v>39044276</v>
      </c>
      <c r="AR57">
        <v>107341616</v>
      </c>
      <c r="AS57">
        <v>115763336</v>
      </c>
      <c r="AT57" s="11">
        <v>3435012</v>
      </c>
      <c r="AU57" s="11">
        <v>6161888.5</v>
      </c>
      <c r="AW57" s="14">
        <v>80985728</v>
      </c>
      <c r="AX57" s="14">
        <v>83807240</v>
      </c>
      <c r="AZ57" s="16">
        <v>24253324</v>
      </c>
      <c r="BA57" s="16">
        <v>29884488</v>
      </c>
      <c r="BC57" s="18">
        <v>81653040</v>
      </c>
      <c r="BD57" s="18">
        <v>78398688</v>
      </c>
    </row>
    <row r="58" spans="1:56" hidden="1">
      <c r="A58">
        <v>16672</v>
      </c>
      <c r="B58" t="s">
        <v>299</v>
      </c>
      <c r="C58" t="s">
        <v>300</v>
      </c>
      <c r="D58" t="s">
        <v>301</v>
      </c>
      <c r="F58" t="s">
        <v>302</v>
      </c>
      <c r="G58">
        <v>508.18799999999999</v>
      </c>
      <c r="H58" t="s">
        <v>58</v>
      </c>
      <c r="I58">
        <v>2</v>
      </c>
      <c r="J58">
        <v>21</v>
      </c>
      <c r="K58">
        <v>0</v>
      </c>
      <c r="L58">
        <v>81.55</v>
      </c>
      <c r="M58">
        <v>11735</v>
      </c>
      <c r="N58">
        <v>8</v>
      </c>
      <c r="O58">
        <v>14</v>
      </c>
      <c r="P58">
        <v>14</v>
      </c>
      <c r="Q58">
        <v>15</v>
      </c>
      <c r="R58">
        <v>15</v>
      </c>
      <c r="S58">
        <v>2667</v>
      </c>
      <c r="T58">
        <v>2667</v>
      </c>
      <c r="U58">
        <v>15</v>
      </c>
      <c r="V58">
        <v>11</v>
      </c>
      <c r="W58">
        <v>11</v>
      </c>
      <c r="X58">
        <v>13</v>
      </c>
      <c r="Y58">
        <v>15</v>
      </c>
      <c r="Z58">
        <v>14</v>
      </c>
      <c r="AA58">
        <v>14</v>
      </c>
      <c r="AB58">
        <v>15</v>
      </c>
      <c r="AC58">
        <v>15</v>
      </c>
      <c r="AD58">
        <v>316</v>
      </c>
      <c r="AE58">
        <v>340</v>
      </c>
      <c r="AF58">
        <v>363</v>
      </c>
      <c r="AG58">
        <v>336</v>
      </c>
      <c r="AH58">
        <v>352</v>
      </c>
      <c r="AI58">
        <v>350</v>
      </c>
      <c r="AJ58">
        <v>322</v>
      </c>
      <c r="AK58">
        <v>288</v>
      </c>
      <c r="AL58">
        <v>4104949504</v>
      </c>
      <c r="AM58">
        <v>4027813632</v>
      </c>
      <c r="AN58">
        <v>4826697728</v>
      </c>
      <c r="AO58">
        <v>6407365120</v>
      </c>
      <c r="AP58">
        <v>3730201344</v>
      </c>
      <c r="AQ58">
        <v>3936692224</v>
      </c>
      <c r="AR58">
        <v>3353433856</v>
      </c>
      <c r="AS58">
        <v>3045459200</v>
      </c>
      <c r="AT58" s="11">
        <v>2504459008</v>
      </c>
      <c r="AU58" s="11">
        <v>2345982464</v>
      </c>
      <c r="AW58" s="14">
        <v>2341217024</v>
      </c>
      <c r="AX58" s="14">
        <v>2909292288</v>
      </c>
      <c r="AZ58" s="16">
        <v>2980964096</v>
      </c>
      <c r="BA58" s="16">
        <v>2751115520</v>
      </c>
      <c r="BC58" s="18">
        <v>2743868416</v>
      </c>
      <c r="BD58" s="18">
        <v>2085777280</v>
      </c>
    </row>
    <row r="59" spans="1:56" hidden="1">
      <c r="A59">
        <v>16789</v>
      </c>
      <c r="B59" t="s">
        <v>303</v>
      </c>
      <c r="C59" t="s">
        <v>304</v>
      </c>
      <c r="D59" t="s">
        <v>305</v>
      </c>
      <c r="E59" t="s">
        <v>306</v>
      </c>
      <c r="F59" t="s">
        <v>307</v>
      </c>
      <c r="G59">
        <v>502.51799999999997</v>
      </c>
      <c r="H59" t="s">
        <v>58</v>
      </c>
      <c r="I59">
        <v>2</v>
      </c>
      <c r="J59">
        <v>19</v>
      </c>
      <c r="K59">
        <v>1</v>
      </c>
      <c r="L59">
        <v>81.44</v>
      </c>
      <c r="M59">
        <v>21082</v>
      </c>
      <c r="N59">
        <v>14</v>
      </c>
      <c r="O59">
        <v>15</v>
      </c>
      <c r="P59">
        <v>15</v>
      </c>
      <c r="Q59">
        <v>15</v>
      </c>
      <c r="R59">
        <v>15</v>
      </c>
      <c r="S59">
        <v>404</v>
      </c>
      <c r="T59">
        <v>404</v>
      </c>
      <c r="U59">
        <v>15</v>
      </c>
      <c r="V59">
        <v>14</v>
      </c>
      <c r="W59">
        <v>13</v>
      </c>
      <c r="X59">
        <v>12</v>
      </c>
      <c r="Y59">
        <v>11</v>
      </c>
      <c r="Z59">
        <v>14</v>
      </c>
      <c r="AA59">
        <v>13</v>
      </c>
      <c r="AB59">
        <v>14</v>
      </c>
      <c r="AC59">
        <v>14</v>
      </c>
      <c r="AD59">
        <v>83</v>
      </c>
      <c r="AE59">
        <v>83</v>
      </c>
      <c r="AF59">
        <v>18</v>
      </c>
      <c r="AG59">
        <v>17</v>
      </c>
      <c r="AH59">
        <v>59</v>
      </c>
      <c r="AI59">
        <v>60</v>
      </c>
      <c r="AJ59">
        <v>39</v>
      </c>
      <c r="AK59">
        <v>45</v>
      </c>
      <c r="AL59">
        <v>889334848</v>
      </c>
      <c r="AM59">
        <v>652391808</v>
      </c>
      <c r="AN59">
        <v>195897088</v>
      </c>
      <c r="AO59">
        <v>240964768</v>
      </c>
      <c r="AP59">
        <v>457734400</v>
      </c>
      <c r="AQ59">
        <v>450090208</v>
      </c>
      <c r="AR59">
        <v>409799616</v>
      </c>
      <c r="AS59">
        <v>454230368</v>
      </c>
      <c r="AT59" s="11">
        <v>921989440</v>
      </c>
      <c r="AU59" s="11">
        <v>698038272</v>
      </c>
      <c r="AW59" s="14">
        <v>95190112</v>
      </c>
      <c r="AX59" s="14">
        <v>82979448</v>
      </c>
      <c r="AZ59" s="16">
        <v>294538464</v>
      </c>
      <c r="BA59" s="16">
        <v>270786016</v>
      </c>
      <c r="BC59" s="18">
        <v>238602400</v>
      </c>
      <c r="BD59" s="18">
        <v>235111104</v>
      </c>
    </row>
    <row r="60" spans="1:56" hidden="1">
      <c r="A60">
        <v>16810</v>
      </c>
      <c r="B60" t="s">
        <v>308</v>
      </c>
      <c r="C60" t="s">
        <v>309</v>
      </c>
      <c r="D60" t="s">
        <v>310</v>
      </c>
      <c r="E60" t="s">
        <v>311</v>
      </c>
      <c r="F60" t="s">
        <v>312</v>
      </c>
      <c r="G60">
        <v>497.42</v>
      </c>
      <c r="H60" t="s">
        <v>58</v>
      </c>
      <c r="I60">
        <v>2</v>
      </c>
      <c r="J60">
        <v>5</v>
      </c>
      <c r="K60">
        <v>16</v>
      </c>
      <c r="L60">
        <v>74.31</v>
      </c>
      <c r="M60">
        <v>14980</v>
      </c>
      <c r="N60">
        <v>11</v>
      </c>
      <c r="O60">
        <v>15</v>
      </c>
      <c r="P60">
        <v>15</v>
      </c>
      <c r="Q60">
        <v>15</v>
      </c>
      <c r="R60">
        <v>15</v>
      </c>
      <c r="S60">
        <v>826</v>
      </c>
      <c r="T60">
        <v>826</v>
      </c>
      <c r="U60">
        <v>15</v>
      </c>
      <c r="V60">
        <v>10</v>
      </c>
      <c r="W60">
        <v>11</v>
      </c>
      <c r="X60">
        <v>13</v>
      </c>
      <c r="Y60">
        <v>15</v>
      </c>
      <c r="Z60">
        <v>15</v>
      </c>
      <c r="AA60">
        <v>13</v>
      </c>
      <c r="AB60">
        <v>14</v>
      </c>
      <c r="AC60">
        <v>13</v>
      </c>
      <c r="AD60">
        <v>144</v>
      </c>
      <c r="AE60">
        <v>157</v>
      </c>
      <c r="AF60">
        <v>77</v>
      </c>
      <c r="AG60">
        <v>66</v>
      </c>
      <c r="AH60">
        <v>97</v>
      </c>
      <c r="AI60">
        <v>107</v>
      </c>
      <c r="AJ60">
        <v>96</v>
      </c>
      <c r="AK60">
        <v>82</v>
      </c>
      <c r="AL60">
        <v>1001199552</v>
      </c>
      <c r="AM60">
        <v>1126690432</v>
      </c>
      <c r="AN60">
        <v>789408512</v>
      </c>
      <c r="AO60">
        <v>1073476672</v>
      </c>
      <c r="AP60">
        <v>693169344</v>
      </c>
      <c r="AQ60">
        <v>872017920</v>
      </c>
      <c r="AR60">
        <v>754993344</v>
      </c>
      <c r="AS60">
        <v>658434176</v>
      </c>
      <c r="AT60" s="11">
        <v>665790592</v>
      </c>
      <c r="AU60" s="11">
        <v>795714560</v>
      </c>
      <c r="AW60" s="14">
        <v>391465824</v>
      </c>
      <c r="AX60" s="14">
        <v>694498304</v>
      </c>
      <c r="AZ60" s="16">
        <v>504388736</v>
      </c>
      <c r="BA60" s="16">
        <v>536959552</v>
      </c>
      <c r="BC60" s="18">
        <v>518714432</v>
      </c>
      <c r="BD60" s="18">
        <v>364617472</v>
      </c>
    </row>
    <row r="61" spans="1:56" hidden="1">
      <c r="A61">
        <v>16768</v>
      </c>
      <c r="B61" t="s">
        <v>313</v>
      </c>
      <c r="C61" t="s">
        <v>314</v>
      </c>
      <c r="D61" t="s">
        <v>315</v>
      </c>
      <c r="F61" t="s">
        <v>316</v>
      </c>
      <c r="G61">
        <v>487.72500000000002</v>
      </c>
      <c r="H61" t="s">
        <v>58</v>
      </c>
      <c r="I61">
        <v>2</v>
      </c>
      <c r="J61">
        <v>21</v>
      </c>
      <c r="K61">
        <v>0</v>
      </c>
      <c r="L61">
        <v>87.18</v>
      </c>
      <c r="M61">
        <v>12769</v>
      </c>
      <c r="N61">
        <v>8</v>
      </c>
      <c r="O61">
        <v>15</v>
      </c>
      <c r="P61">
        <v>15</v>
      </c>
      <c r="Q61">
        <v>15</v>
      </c>
      <c r="R61">
        <v>15</v>
      </c>
      <c r="S61">
        <v>454</v>
      </c>
      <c r="T61">
        <v>454</v>
      </c>
      <c r="U61">
        <v>15</v>
      </c>
      <c r="V61">
        <v>10</v>
      </c>
      <c r="W61">
        <v>10</v>
      </c>
      <c r="X61">
        <v>12</v>
      </c>
      <c r="Y61">
        <v>15</v>
      </c>
      <c r="Z61">
        <v>14</v>
      </c>
      <c r="AA61">
        <v>13</v>
      </c>
      <c r="AB61">
        <v>14</v>
      </c>
      <c r="AC61">
        <v>14</v>
      </c>
      <c r="AD61">
        <v>47</v>
      </c>
      <c r="AE61">
        <v>70</v>
      </c>
      <c r="AF61">
        <v>35</v>
      </c>
      <c r="AG61">
        <v>58</v>
      </c>
      <c r="AH61">
        <v>68</v>
      </c>
      <c r="AI61">
        <v>64</v>
      </c>
      <c r="AJ61">
        <v>62</v>
      </c>
      <c r="AK61">
        <v>50</v>
      </c>
      <c r="AL61">
        <v>694535296</v>
      </c>
      <c r="AM61">
        <v>813604864</v>
      </c>
      <c r="AN61">
        <v>674000128</v>
      </c>
      <c r="AO61">
        <v>1129050880</v>
      </c>
      <c r="AP61">
        <v>607519040</v>
      </c>
      <c r="AQ61">
        <v>671895424</v>
      </c>
      <c r="AR61">
        <v>695405312</v>
      </c>
      <c r="AS61">
        <v>585942656</v>
      </c>
      <c r="AT61" s="11">
        <v>513681568</v>
      </c>
      <c r="AU61" s="11">
        <v>568268096</v>
      </c>
      <c r="AW61" s="14">
        <v>309823744</v>
      </c>
      <c r="AX61" s="14">
        <v>529389120</v>
      </c>
      <c r="AZ61" s="16">
        <v>492457632</v>
      </c>
      <c r="BA61" s="16">
        <v>455626752</v>
      </c>
      <c r="BC61" s="18">
        <v>422249376</v>
      </c>
      <c r="BD61" s="18">
        <v>329022784</v>
      </c>
    </row>
    <row r="62" spans="1:56" hidden="1">
      <c r="A62">
        <v>16661</v>
      </c>
      <c r="B62" t="s">
        <v>317</v>
      </c>
      <c r="C62" t="s">
        <v>318</v>
      </c>
      <c r="D62" t="s">
        <v>319</v>
      </c>
      <c r="F62" t="s">
        <v>320</v>
      </c>
      <c r="G62">
        <v>485.09100000000001</v>
      </c>
      <c r="H62" t="s">
        <v>58</v>
      </c>
      <c r="I62">
        <v>2</v>
      </c>
      <c r="J62">
        <v>20</v>
      </c>
      <c r="K62">
        <v>0</v>
      </c>
      <c r="L62">
        <v>53.52</v>
      </c>
      <c r="M62">
        <v>14875</v>
      </c>
      <c r="N62">
        <v>10</v>
      </c>
      <c r="O62">
        <v>11</v>
      </c>
      <c r="P62">
        <v>11</v>
      </c>
      <c r="Q62">
        <v>13</v>
      </c>
      <c r="R62">
        <v>13</v>
      </c>
      <c r="S62">
        <v>1178</v>
      </c>
      <c r="T62">
        <v>1178</v>
      </c>
      <c r="U62">
        <v>13</v>
      </c>
      <c r="V62">
        <v>10</v>
      </c>
      <c r="W62">
        <v>10</v>
      </c>
      <c r="X62">
        <v>12</v>
      </c>
      <c r="Y62">
        <v>10</v>
      </c>
      <c r="Z62">
        <v>12</v>
      </c>
      <c r="AA62">
        <v>12</v>
      </c>
      <c r="AB62">
        <v>12</v>
      </c>
      <c r="AC62">
        <v>13</v>
      </c>
      <c r="AD62">
        <v>130</v>
      </c>
      <c r="AE62">
        <v>158</v>
      </c>
      <c r="AF62">
        <v>133</v>
      </c>
      <c r="AG62">
        <v>111</v>
      </c>
      <c r="AH62">
        <v>165</v>
      </c>
      <c r="AI62">
        <v>153</v>
      </c>
      <c r="AJ62">
        <v>170</v>
      </c>
      <c r="AK62">
        <v>158</v>
      </c>
      <c r="AL62">
        <v>1211921280</v>
      </c>
      <c r="AM62">
        <v>1214595840</v>
      </c>
      <c r="AN62">
        <v>1121024768</v>
      </c>
      <c r="AO62">
        <v>1601525504</v>
      </c>
      <c r="AP62">
        <v>1000290240</v>
      </c>
      <c r="AQ62">
        <v>1130430336</v>
      </c>
      <c r="AR62">
        <v>978461248</v>
      </c>
      <c r="AS62">
        <v>978460480</v>
      </c>
      <c r="AT62" s="11">
        <v>1055957504</v>
      </c>
      <c r="AU62" s="11">
        <v>1113069184</v>
      </c>
      <c r="AW62" s="14">
        <v>544517824</v>
      </c>
      <c r="AX62" s="14">
        <v>540511104</v>
      </c>
      <c r="AZ62" s="16">
        <v>699667392</v>
      </c>
      <c r="BA62" s="16">
        <v>723148544</v>
      </c>
      <c r="BC62" s="18">
        <v>589338624</v>
      </c>
      <c r="BD62" s="18">
        <v>523054080</v>
      </c>
    </row>
    <row r="63" spans="1:56" hidden="1">
      <c r="A63">
        <v>16860</v>
      </c>
      <c r="B63" t="s">
        <v>321</v>
      </c>
      <c r="C63" t="s">
        <v>322</v>
      </c>
      <c r="D63" t="s">
        <v>321</v>
      </c>
      <c r="E63" t="s">
        <v>323</v>
      </c>
      <c r="F63" t="s">
        <v>324</v>
      </c>
      <c r="G63">
        <v>450.29700000000003</v>
      </c>
      <c r="H63" t="s">
        <v>58</v>
      </c>
      <c r="I63">
        <v>2</v>
      </c>
      <c r="J63">
        <v>1</v>
      </c>
      <c r="K63">
        <v>1</v>
      </c>
      <c r="L63">
        <v>37.75</v>
      </c>
      <c r="M63">
        <v>40302</v>
      </c>
      <c r="N63">
        <v>21</v>
      </c>
      <c r="O63">
        <v>13</v>
      </c>
      <c r="P63">
        <v>3</v>
      </c>
      <c r="Q63">
        <v>13</v>
      </c>
      <c r="R63">
        <v>3</v>
      </c>
      <c r="S63">
        <v>352</v>
      </c>
      <c r="T63">
        <v>38</v>
      </c>
      <c r="U63">
        <v>3</v>
      </c>
      <c r="V63">
        <v>2</v>
      </c>
      <c r="W63">
        <v>2</v>
      </c>
      <c r="X63">
        <v>3</v>
      </c>
      <c r="Y63">
        <v>2</v>
      </c>
      <c r="Z63">
        <v>3</v>
      </c>
      <c r="AA63">
        <v>3</v>
      </c>
      <c r="AB63">
        <v>2</v>
      </c>
      <c r="AC63">
        <v>2</v>
      </c>
      <c r="AD63">
        <v>5</v>
      </c>
      <c r="AE63">
        <v>6</v>
      </c>
      <c r="AF63">
        <v>5</v>
      </c>
      <c r="AG63">
        <v>4</v>
      </c>
      <c r="AH63">
        <v>4</v>
      </c>
      <c r="AI63">
        <v>4</v>
      </c>
      <c r="AJ63">
        <v>5</v>
      </c>
      <c r="AK63">
        <v>5</v>
      </c>
      <c r="AL63">
        <v>139339056</v>
      </c>
      <c r="AM63">
        <v>122892592</v>
      </c>
      <c r="AN63">
        <v>345796800</v>
      </c>
      <c r="AO63">
        <v>374817504</v>
      </c>
      <c r="AP63">
        <v>274354688</v>
      </c>
      <c r="AQ63">
        <v>295271008</v>
      </c>
      <c r="AR63">
        <v>257725152</v>
      </c>
      <c r="AS63">
        <v>275346048</v>
      </c>
      <c r="AT63" s="11">
        <v>16864600</v>
      </c>
      <c r="AU63" s="11">
        <v>16985626</v>
      </c>
      <c r="AW63" s="14">
        <v>19954286</v>
      </c>
      <c r="AX63" s="14">
        <v>14804809</v>
      </c>
      <c r="AZ63" s="16">
        <v>26138762</v>
      </c>
      <c r="BA63" s="16">
        <v>26169882</v>
      </c>
      <c r="BC63" s="18">
        <v>19798906</v>
      </c>
      <c r="BD63" s="18">
        <v>20081008</v>
      </c>
    </row>
    <row r="64" spans="1:56" hidden="1">
      <c r="A64">
        <v>16659</v>
      </c>
      <c r="B64" t="s">
        <v>325</v>
      </c>
      <c r="C64" t="s">
        <v>326</v>
      </c>
      <c r="D64" t="s">
        <v>327</v>
      </c>
      <c r="F64" t="s">
        <v>328</v>
      </c>
      <c r="G64">
        <v>448.34300000000002</v>
      </c>
      <c r="H64" t="s">
        <v>58</v>
      </c>
      <c r="I64">
        <v>2</v>
      </c>
      <c r="J64">
        <v>21</v>
      </c>
      <c r="K64">
        <v>0</v>
      </c>
      <c r="L64">
        <v>64.62</v>
      </c>
      <c r="M64">
        <v>14856</v>
      </c>
      <c r="N64">
        <v>8</v>
      </c>
      <c r="O64">
        <v>11</v>
      </c>
      <c r="P64">
        <v>11</v>
      </c>
      <c r="Q64">
        <v>13</v>
      </c>
      <c r="R64">
        <v>13</v>
      </c>
      <c r="S64">
        <v>1761</v>
      </c>
      <c r="T64">
        <v>1761</v>
      </c>
      <c r="U64">
        <v>13</v>
      </c>
      <c r="V64">
        <v>11</v>
      </c>
      <c r="W64">
        <v>11</v>
      </c>
      <c r="X64">
        <v>13</v>
      </c>
      <c r="Y64">
        <v>13</v>
      </c>
      <c r="Z64">
        <v>13</v>
      </c>
      <c r="AA64">
        <v>13</v>
      </c>
      <c r="AB64">
        <v>13</v>
      </c>
      <c r="AC64">
        <v>13</v>
      </c>
      <c r="AD64">
        <v>225</v>
      </c>
      <c r="AE64">
        <v>230</v>
      </c>
      <c r="AF64">
        <v>231</v>
      </c>
      <c r="AG64">
        <v>205</v>
      </c>
      <c r="AH64">
        <v>226</v>
      </c>
      <c r="AI64">
        <v>206</v>
      </c>
      <c r="AJ64">
        <v>241</v>
      </c>
      <c r="AK64">
        <v>197</v>
      </c>
      <c r="AL64">
        <v>5278656000</v>
      </c>
      <c r="AM64">
        <v>4843359232</v>
      </c>
      <c r="AN64">
        <v>6215636992</v>
      </c>
      <c r="AO64">
        <v>7429936640</v>
      </c>
      <c r="AP64">
        <v>4593166848</v>
      </c>
      <c r="AQ64">
        <v>4720791552</v>
      </c>
      <c r="AR64">
        <v>4397574144</v>
      </c>
      <c r="AS64">
        <v>3990212352</v>
      </c>
      <c r="AT64" s="11">
        <v>5138053120</v>
      </c>
      <c r="AU64" s="11">
        <v>5167301120</v>
      </c>
      <c r="AW64" s="14">
        <v>3008474112</v>
      </c>
      <c r="AX64" s="14">
        <v>2679647232</v>
      </c>
      <c r="AZ64" s="16">
        <v>2768743424</v>
      </c>
      <c r="BA64" s="16">
        <v>2505497600</v>
      </c>
      <c r="BC64" s="18">
        <v>2179551488</v>
      </c>
      <c r="BD64" s="18">
        <v>1780299776</v>
      </c>
    </row>
    <row r="65" spans="1:56" hidden="1">
      <c r="A65">
        <v>16679</v>
      </c>
      <c r="B65" t="s">
        <v>329</v>
      </c>
      <c r="C65" t="s">
        <v>330</v>
      </c>
      <c r="D65" t="s">
        <v>331</v>
      </c>
      <c r="E65" t="s">
        <v>332</v>
      </c>
      <c r="F65" t="s">
        <v>333</v>
      </c>
      <c r="G65">
        <v>421.76499999999999</v>
      </c>
      <c r="H65" t="s">
        <v>58</v>
      </c>
      <c r="I65">
        <v>2</v>
      </c>
      <c r="J65">
        <v>7</v>
      </c>
      <c r="K65">
        <v>12</v>
      </c>
      <c r="L65">
        <v>40.67</v>
      </c>
      <c r="M65">
        <v>36831</v>
      </c>
      <c r="N65">
        <v>22</v>
      </c>
      <c r="O65">
        <v>12</v>
      </c>
      <c r="P65">
        <v>12</v>
      </c>
      <c r="Q65">
        <v>12</v>
      </c>
      <c r="R65">
        <v>12</v>
      </c>
      <c r="S65">
        <v>193</v>
      </c>
      <c r="T65">
        <v>193</v>
      </c>
      <c r="U65">
        <v>12</v>
      </c>
      <c r="V65">
        <v>8</v>
      </c>
      <c r="W65">
        <v>9</v>
      </c>
      <c r="X65">
        <v>10</v>
      </c>
      <c r="Y65">
        <v>11</v>
      </c>
      <c r="Z65">
        <v>12</v>
      </c>
      <c r="AA65">
        <v>12</v>
      </c>
      <c r="AB65">
        <v>12</v>
      </c>
      <c r="AC65">
        <v>11</v>
      </c>
      <c r="AD65">
        <v>15</v>
      </c>
      <c r="AE65">
        <v>20</v>
      </c>
      <c r="AF65">
        <v>16</v>
      </c>
      <c r="AG65">
        <v>25</v>
      </c>
      <c r="AH65">
        <v>29</v>
      </c>
      <c r="AI65">
        <v>29</v>
      </c>
      <c r="AJ65">
        <v>27</v>
      </c>
      <c r="AK65">
        <v>32</v>
      </c>
      <c r="AL65">
        <v>57233848</v>
      </c>
      <c r="AM65">
        <v>60831312</v>
      </c>
      <c r="AN65">
        <v>100115008</v>
      </c>
      <c r="AO65">
        <v>138110400</v>
      </c>
      <c r="AP65">
        <v>118617320</v>
      </c>
      <c r="AQ65">
        <v>147091728</v>
      </c>
      <c r="AR65">
        <v>123279184</v>
      </c>
      <c r="AS65">
        <v>136757888</v>
      </c>
      <c r="AT65" s="11">
        <v>48685832</v>
      </c>
      <c r="AU65" s="11">
        <v>65923080</v>
      </c>
      <c r="AW65" s="14">
        <v>55509776</v>
      </c>
      <c r="AX65" s="14">
        <v>57381180</v>
      </c>
      <c r="AZ65" s="16">
        <v>85402472</v>
      </c>
      <c r="BA65" s="16">
        <v>98811704</v>
      </c>
      <c r="BC65" s="18">
        <v>76867992</v>
      </c>
      <c r="BD65" s="18">
        <v>76048216</v>
      </c>
    </row>
    <row r="66" spans="1:56" hidden="1">
      <c r="A66">
        <v>16781</v>
      </c>
      <c r="B66" t="s">
        <v>334</v>
      </c>
      <c r="C66" t="s">
        <v>335</v>
      </c>
      <c r="D66" t="s">
        <v>334</v>
      </c>
      <c r="E66" t="s">
        <v>336</v>
      </c>
      <c r="F66" t="s">
        <v>337</v>
      </c>
      <c r="G66">
        <v>419.43200000000002</v>
      </c>
      <c r="H66" t="s">
        <v>58</v>
      </c>
      <c r="I66">
        <v>2</v>
      </c>
      <c r="J66">
        <v>1</v>
      </c>
      <c r="K66">
        <v>2</v>
      </c>
      <c r="L66">
        <v>41.32</v>
      </c>
      <c r="M66">
        <v>37437</v>
      </c>
      <c r="N66">
        <v>17</v>
      </c>
      <c r="O66">
        <v>10</v>
      </c>
      <c r="P66">
        <v>10</v>
      </c>
      <c r="Q66">
        <v>10</v>
      </c>
      <c r="R66">
        <v>10</v>
      </c>
      <c r="S66">
        <v>105</v>
      </c>
      <c r="T66">
        <v>105</v>
      </c>
      <c r="U66">
        <v>10</v>
      </c>
      <c r="V66">
        <v>7</v>
      </c>
      <c r="W66">
        <v>9</v>
      </c>
      <c r="X66">
        <v>9</v>
      </c>
      <c r="Y66">
        <v>8</v>
      </c>
      <c r="Z66">
        <v>10</v>
      </c>
      <c r="AA66">
        <v>9</v>
      </c>
      <c r="AB66">
        <v>10</v>
      </c>
      <c r="AC66">
        <v>10</v>
      </c>
      <c r="AD66">
        <v>8</v>
      </c>
      <c r="AE66">
        <v>8</v>
      </c>
      <c r="AF66">
        <v>15</v>
      </c>
      <c r="AG66">
        <v>11</v>
      </c>
      <c r="AH66">
        <v>16</v>
      </c>
      <c r="AI66">
        <v>15</v>
      </c>
      <c r="AJ66">
        <v>16</v>
      </c>
      <c r="AK66">
        <v>16</v>
      </c>
      <c r="AL66">
        <v>37631348</v>
      </c>
      <c r="AM66">
        <v>37057288</v>
      </c>
      <c r="AN66">
        <v>75668448</v>
      </c>
      <c r="AO66">
        <v>99466944</v>
      </c>
      <c r="AP66">
        <v>81261216</v>
      </c>
      <c r="AQ66">
        <v>100852320</v>
      </c>
      <c r="AR66">
        <v>93104760</v>
      </c>
      <c r="AS66">
        <v>105315760</v>
      </c>
      <c r="AT66" s="11">
        <v>43992084</v>
      </c>
      <c r="AU66" s="11">
        <v>28153804</v>
      </c>
      <c r="AW66" s="14">
        <v>41863160</v>
      </c>
      <c r="AX66" s="14">
        <v>35619192</v>
      </c>
      <c r="AZ66" s="16">
        <v>55068236</v>
      </c>
      <c r="BA66" s="16">
        <v>59819204</v>
      </c>
      <c r="BC66" s="18">
        <v>58634744</v>
      </c>
      <c r="BD66" s="18">
        <v>61319856</v>
      </c>
    </row>
    <row r="67" spans="1:56" hidden="1">
      <c r="A67">
        <v>16758</v>
      </c>
      <c r="B67" t="s">
        <v>338</v>
      </c>
      <c r="C67" t="s">
        <v>339</v>
      </c>
      <c r="D67" t="s">
        <v>340</v>
      </c>
      <c r="E67" t="s">
        <v>341</v>
      </c>
      <c r="F67" t="s">
        <v>342</v>
      </c>
      <c r="G67">
        <v>412.584</v>
      </c>
      <c r="H67" t="s">
        <v>58</v>
      </c>
      <c r="I67">
        <v>2</v>
      </c>
      <c r="J67">
        <v>9</v>
      </c>
      <c r="K67">
        <v>10</v>
      </c>
      <c r="L67">
        <v>81.91</v>
      </c>
      <c r="M67">
        <v>10693</v>
      </c>
      <c r="N67">
        <v>7</v>
      </c>
      <c r="O67">
        <v>10</v>
      </c>
      <c r="P67">
        <v>10</v>
      </c>
      <c r="Q67">
        <v>12</v>
      </c>
      <c r="R67">
        <v>12</v>
      </c>
      <c r="S67">
        <v>961</v>
      </c>
      <c r="T67">
        <v>961</v>
      </c>
      <c r="U67">
        <v>12</v>
      </c>
      <c r="V67">
        <v>11</v>
      </c>
      <c r="W67">
        <v>11</v>
      </c>
      <c r="X67">
        <v>11</v>
      </c>
      <c r="Y67">
        <v>11</v>
      </c>
      <c r="Z67">
        <v>11</v>
      </c>
      <c r="AA67">
        <v>12</v>
      </c>
      <c r="AB67">
        <v>11</v>
      </c>
      <c r="AC67">
        <v>11</v>
      </c>
      <c r="AD67">
        <v>122</v>
      </c>
      <c r="AE67">
        <v>140</v>
      </c>
      <c r="AF67">
        <v>105</v>
      </c>
      <c r="AG67">
        <v>116</v>
      </c>
      <c r="AH67">
        <v>122</v>
      </c>
      <c r="AI67">
        <v>149</v>
      </c>
      <c r="AJ67">
        <v>112</v>
      </c>
      <c r="AK67">
        <v>95</v>
      </c>
      <c r="AL67">
        <v>487121120</v>
      </c>
      <c r="AM67">
        <v>452704640</v>
      </c>
      <c r="AN67">
        <v>468369344</v>
      </c>
      <c r="AO67">
        <v>696659648</v>
      </c>
      <c r="AP67">
        <v>512952736</v>
      </c>
      <c r="AQ67">
        <v>561622144</v>
      </c>
      <c r="AR67">
        <v>582402496</v>
      </c>
      <c r="AS67">
        <v>476699168</v>
      </c>
      <c r="AT67" s="11">
        <v>549298688</v>
      </c>
      <c r="AU67" s="11">
        <v>548847744</v>
      </c>
      <c r="AW67" s="14">
        <v>320397024</v>
      </c>
      <c r="AX67" s="14">
        <v>378291904</v>
      </c>
      <c r="AZ67" s="16">
        <v>422014592</v>
      </c>
      <c r="BA67" s="16">
        <v>424244864</v>
      </c>
      <c r="BC67" s="18">
        <v>394635616</v>
      </c>
      <c r="BD67" s="18">
        <v>332515616</v>
      </c>
    </row>
    <row r="68" spans="1:56" hidden="1">
      <c r="A68">
        <v>16800</v>
      </c>
      <c r="B68" t="s">
        <v>343</v>
      </c>
      <c r="C68" t="s">
        <v>344</v>
      </c>
      <c r="D68" t="s">
        <v>345</v>
      </c>
      <c r="F68" t="s">
        <v>346</v>
      </c>
      <c r="G68">
        <v>410.96600000000001</v>
      </c>
      <c r="H68" t="s">
        <v>58</v>
      </c>
      <c r="I68">
        <v>2</v>
      </c>
      <c r="J68">
        <v>2</v>
      </c>
      <c r="K68">
        <v>0</v>
      </c>
      <c r="L68">
        <v>59.09</v>
      </c>
      <c r="M68">
        <v>31347</v>
      </c>
      <c r="N68">
        <v>18</v>
      </c>
      <c r="O68">
        <v>11</v>
      </c>
      <c r="P68">
        <v>11</v>
      </c>
      <c r="Q68">
        <v>11</v>
      </c>
      <c r="R68">
        <v>11</v>
      </c>
      <c r="S68">
        <v>92</v>
      </c>
      <c r="T68">
        <v>92</v>
      </c>
      <c r="U68">
        <v>11</v>
      </c>
      <c r="V68">
        <v>7</v>
      </c>
      <c r="W68">
        <v>7</v>
      </c>
      <c r="X68">
        <v>11</v>
      </c>
      <c r="Y68">
        <v>11</v>
      </c>
      <c r="Z68">
        <v>11</v>
      </c>
      <c r="AA68">
        <v>11</v>
      </c>
      <c r="AB68">
        <v>11</v>
      </c>
      <c r="AC68">
        <v>11</v>
      </c>
      <c r="AD68">
        <v>5</v>
      </c>
      <c r="AE68">
        <v>2</v>
      </c>
      <c r="AF68">
        <v>15</v>
      </c>
      <c r="AG68">
        <v>17</v>
      </c>
      <c r="AH68">
        <v>15</v>
      </c>
      <c r="AI68">
        <v>11</v>
      </c>
      <c r="AJ68">
        <v>11</v>
      </c>
      <c r="AK68">
        <v>16</v>
      </c>
      <c r="AL68">
        <v>18742336</v>
      </c>
      <c r="AM68">
        <v>18258326</v>
      </c>
      <c r="AN68">
        <v>136222480</v>
      </c>
      <c r="AO68">
        <v>181693920</v>
      </c>
      <c r="AP68">
        <v>83369296</v>
      </c>
      <c r="AQ68">
        <v>92339632</v>
      </c>
      <c r="AR68">
        <v>78975376</v>
      </c>
      <c r="AS68">
        <v>93186104</v>
      </c>
      <c r="AT68" s="11">
        <v>23322206</v>
      </c>
      <c r="AU68" s="11">
        <v>9185748</v>
      </c>
      <c r="AW68" s="14">
        <v>69503104</v>
      </c>
      <c r="AX68" s="14">
        <v>67527824</v>
      </c>
      <c r="AZ68" s="16">
        <v>60073672</v>
      </c>
      <c r="BA68" s="16">
        <v>67819912</v>
      </c>
      <c r="BC68" s="18">
        <v>55360900</v>
      </c>
      <c r="BD68" s="18">
        <v>68340200</v>
      </c>
    </row>
    <row r="69" spans="1:56" hidden="1">
      <c r="A69">
        <v>16658</v>
      </c>
      <c r="B69" t="s">
        <v>347</v>
      </c>
      <c r="C69" t="s">
        <v>348</v>
      </c>
      <c r="D69" t="s">
        <v>349</v>
      </c>
      <c r="F69" t="s">
        <v>350</v>
      </c>
      <c r="G69">
        <v>394.16199999999998</v>
      </c>
      <c r="H69" t="s">
        <v>58</v>
      </c>
      <c r="I69">
        <v>2</v>
      </c>
      <c r="J69">
        <v>21</v>
      </c>
      <c r="K69">
        <v>0</v>
      </c>
      <c r="L69">
        <v>78.260000000000005</v>
      </c>
      <c r="M69">
        <v>13133</v>
      </c>
      <c r="N69">
        <v>9</v>
      </c>
      <c r="O69">
        <v>14</v>
      </c>
      <c r="P69">
        <v>14</v>
      </c>
      <c r="Q69">
        <v>14</v>
      </c>
      <c r="R69">
        <v>14</v>
      </c>
      <c r="S69">
        <v>504</v>
      </c>
      <c r="T69">
        <v>504</v>
      </c>
      <c r="U69">
        <v>14</v>
      </c>
      <c r="V69">
        <v>13</v>
      </c>
      <c r="W69">
        <v>12</v>
      </c>
      <c r="X69">
        <v>12</v>
      </c>
      <c r="Y69">
        <v>13</v>
      </c>
      <c r="Z69">
        <v>13</v>
      </c>
      <c r="AA69">
        <v>13</v>
      </c>
      <c r="AB69">
        <v>12</v>
      </c>
      <c r="AC69">
        <v>12</v>
      </c>
      <c r="AD69">
        <v>98</v>
      </c>
      <c r="AE69">
        <v>105</v>
      </c>
      <c r="AF69">
        <v>39</v>
      </c>
      <c r="AG69">
        <v>34</v>
      </c>
      <c r="AH69">
        <v>45</v>
      </c>
      <c r="AI69">
        <v>73</v>
      </c>
      <c r="AJ69">
        <v>55</v>
      </c>
      <c r="AK69">
        <v>54</v>
      </c>
      <c r="AL69">
        <v>481967648</v>
      </c>
      <c r="AM69">
        <v>413955392</v>
      </c>
      <c r="AN69">
        <v>137940176</v>
      </c>
      <c r="AO69">
        <v>200069728</v>
      </c>
      <c r="AP69">
        <v>156130016</v>
      </c>
      <c r="AQ69">
        <v>240049728</v>
      </c>
      <c r="AR69">
        <v>176369168</v>
      </c>
      <c r="AS69">
        <v>179023152</v>
      </c>
      <c r="AT69" s="11">
        <v>515015392</v>
      </c>
      <c r="AU69" s="11">
        <v>435065632</v>
      </c>
      <c r="AW69" s="14">
        <v>149045920</v>
      </c>
      <c r="AX69" s="14">
        <v>154031520</v>
      </c>
      <c r="AZ69" s="16">
        <v>223127600</v>
      </c>
      <c r="BA69" s="16">
        <v>319499808</v>
      </c>
      <c r="BC69" s="18">
        <v>206462240</v>
      </c>
      <c r="BD69" s="18">
        <v>203484608</v>
      </c>
    </row>
    <row r="70" spans="1:56" hidden="1">
      <c r="A70">
        <v>16805</v>
      </c>
      <c r="B70" t="s">
        <v>351</v>
      </c>
      <c r="C70" t="s">
        <v>352</v>
      </c>
      <c r="D70" t="s">
        <v>353</v>
      </c>
      <c r="F70" t="s">
        <v>354</v>
      </c>
      <c r="G70">
        <v>394.12599999999998</v>
      </c>
      <c r="H70" t="s">
        <v>58</v>
      </c>
      <c r="I70">
        <v>2</v>
      </c>
      <c r="J70">
        <v>21</v>
      </c>
      <c r="K70">
        <v>0</v>
      </c>
      <c r="L70">
        <v>52.71</v>
      </c>
      <c r="M70">
        <v>13844</v>
      </c>
      <c r="N70">
        <v>8</v>
      </c>
      <c r="O70">
        <v>7</v>
      </c>
      <c r="P70">
        <v>7</v>
      </c>
      <c r="Q70">
        <v>8</v>
      </c>
      <c r="R70">
        <v>8</v>
      </c>
      <c r="S70">
        <v>1244</v>
      </c>
      <c r="T70">
        <v>1244</v>
      </c>
      <c r="U70">
        <v>8</v>
      </c>
      <c r="V70">
        <v>6</v>
      </c>
      <c r="W70">
        <v>5</v>
      </c>
      <c r="X70">
        <v>6</v>
      </c>
      <c r="Y70">
        <v>7</v>
      </c>
      <c r="Z70">
        <v>8</v>
      </c>
      <c r="AA70">
        <v>8</v>
      </c>
      <c r="AB70">
        <v>8</v>
      </c>
      <c r="AC70">
        <v>8</v>
      </c>
      <c r="AD70">
        <v>133</v>
      </c>
      <c r="AE70">
        <v>109</v>
      </c>
      <c r="AF70">
        <v>135</v>
      </c>
      <c r="AG70">
        <v>140</v>
      </c>
      <c r="AH70">
        <v>194</v>
      </c>
      <c r="AI70">
        <v>205</v>
      </c>
      <c r="AJ70">
        <v>185</v>
      </c>
      <c r="AK70">
        <v>143</v>
      </c>
      <c r="AL70">
        <v>2940753664</v>
      </c>
      <c r="AM70">
        <v>2802541312</v>
      </c>
      <c r="AN70">
        <v>4277092096</v>
      </c>
      <c r="AO70">
        <v>4661261312</v>
      </c>
      <c r="AP70">
        <v>2693632256</v>
      </c>
      <c r="AQ70">
        <v>2828287744</v>
      </c>
      <c r="AR70">
        <v>2663045632</v>
      </c>
      <c r="AS70">
        <v>2247161088</v>
      </c>
      <c r="AT70" s="11">
        <v>2170492160</v>
      </c>
      <c r="AU70" s="11">
        <v>415108256</v>
      </c>
      <c r="AW70" s="14">
        <v>1717555584</v>
      </c>
      <c r="AX70" s="14">
        <v>1519729280</v>
      </c>
      <c r="AZ70" s="16">
        <v>1514702336</v>
      </c>
      <c r="BA70" s="16">
        <v>2078822400</v>
      </c>
      <c r="BC70" s="18">
        <v>2697489152</v>
      </c>
      <c r="BD70" s="18">
        <v>2399240192</v>
      </c>
    </row>
    <row r="71" spans="1:56" hidden="1">
      <c r="A71">
        <v>16882</v>
      </c>
      <c r="B71" t="s">
        <v>355</v>
      </c>
      <c r="C71" t="s">
        <v>356</v>
      </c>
      <c r="D71" t="s">
        <v>355</v>
      </c>
      <c r="F71" t="s">
        <v>357</v>
      </c>
      <c r="G71">
        <v>388.58100000000002</v>
      </c>
      <c r="H71" t="s">
        <v>58</v>
      </c>
      <c r="I71">
        <v>2</v>
      </c>
      <c r="J71">
        <v>1</v>
      </c>
      <c r="K71">
        <v>0</v>
      </c>
      <c r="L71">
        <v>39.590000000000003</v>
      </c>
      <c r="M71">
        <v>27452</v>
      </c>
      <c r="N71">
        <v>13</v>
      </c>
      <c r="O71">
        <v>7</v>
      </c>
      <c r="P71">
        <v>7</v>
      </c>
      <c r="Q71">
        <v>8</v>
      </c>
      <c r="R71">
        <v>8</v>
      </c>
      <c r="S71">
        <v>711</v>
      </c>
      <c r="T71">
        <v>711</v>
      </c>
      <c r="U71">
        <v>8</v>
      </c>
      <c r="V71">
        <v>6</v>
      </c>
      <c r="W71">
        <v>8</v>
      </c>
      <c r="X71">
        <v>8</v>
      </c>
      <c r="Y71">
        <v>8</v>
      </c>
      <c r="Z71">
        <v>7</v>
      </c>
      <c r="AA71">
        <v>7</v>
      </c>
      <c r="AB71">
        <v>8</v>
      </c>
      <c r="AC71">
        <v>8</v>
      </c>
      <c r="AD71">
        <v>85</v>
      </c>
      <c r="AE71">
        <v>85</v>
      </c>
      <c r="AF71">
        <v>166</v>
      </c>
      <c r="AG71">
        <v>129</v>
      </c>
      <c r="AH71">
        <v>38</v>
      </c>
      <c r="AI71">
        <v>32</v>
      </c>
      <c r="AJ71">
        <v>83</v>
      </c>
      <c r="AK71">
        <v>92</v>
      </c>
      <c r="AL71">
        <v>671595840</v>
      </c>
      <c r="AM71">
        <v>816440960</v>
      </c>
      <c r="AN71">
        <v>1194845184</v>
      </c>
      <c r="AO71">
        <v>1334610304</v>
      </c>
      <c r="AP71">
        <v>294812576</v>
      </c>
      <c r="AQ71">
        <v>347743616</v>
      </c>
      <c r="AR71">
        <v>774148160</v>
      </c>
      <c r="AS71">
        <v>830621504</v>
      </c>
      <c r="AT71" s="11">
        <v>687157248</v>
      </c>
      <c r="AU71" s="11">
        <v>668123008</v>
      </c>
      <c r="AW71" s="14">
        <v>765872256</v>
      </c>
      <c r="AX71" s="14">
        <v>558292096</v>
      </c>
      <c r="AZ71" s="16">
        <v>207641728</v>
      </c>
      <c r="BA71" s="16">
        <v>218508080</v>
      </c>
      <c r="BC71" s="18">
        <v>400804672</v>
      </c>
      <c r="BD71" s="18">
        <v>440179680</v>
      </c>
    </row>
    <row r="72" spans="1:56" hidden="1">
      <c r="A72">
        <v>16798</v>
      </c>
      <c r="B72" t="s">
        <v>358</v>
      </c>
      <c r="C72" t="s">
        <v>359</v>
      </c>
      <c r="D72" t="s">
        <v>360</v>
      </c>
      <c r="E72" t="s">
        <v>361</v>
      </c>
      <c r="F72" t="s">
        <v>362</v>
      </c>
      <c r="G72">
        <v>386.53399999999999</v>
      </c>
      <c r="H72" t="s">
        <v>58</v>
      </c>
      <c r="I72">
        <v>2</v>
      </c>
      <c r="J72">
        <v>12</v>
      </c>
      <c r="K72">
        <v>8</v>
      </c>
      <c r="L72">
        <v>70.08</v>
      </c>
      <c r="M72">
        <v>14284</v>
      </c>
      <c r="N72">
        <v>11</v>
      </c>
      <c r="O72">
        <v>9</v>
      </c>
      <c r="P72">
        <v>9</v>
      </c>
      <c r="Q72">
        <v>9</v>
      </c>
      <c r="R72">
        <v>9</v>
      </c>
      <c r="S72">
        <v>161</v>
      </c>
      <c r="T72">
        <v>161</v>
      </c>
      <c r="U72">
        <v>9</v>
      </c>
      <c r="V72">
        <v>9</v>
      </c>
      <c r="W72">
        <v>9</v>
      </c>
      <c r="X72">
        <v>8</v>
      </c>
      <c r="Y72">
        <v>8</v>
      </c>
      <c r="Z72">
        <v>8</v>
      </c>
      <c r="AA72">
        <v>8</v>
      </c>
      <c r="AB72">
        <v>8</v>
      </c>
      <c r="AC72">
        <v>8</v>
      </c>
      <c r="AD72">
        <v>39</v>
      </c>
      <c r="AE72">
        <v>34</v>
      </c>
      <c r="AF72">
        <v>17</v>
      </c>
      <c r="AG72">
        <v>15</v>
      </c>
      <c r="AH72">
        <v>19</v>
      </c>
      <c r="AI72">
        <v>17</v>
      </c>
      <c r="AJ72">
        <v>11</v>
      </c>
      <c r="AK72">
        <v>9</v>
      </c>
      <c r="AL72">
        <v>126625272</v>
      </c>
      <c r="AM72">
        <v>143421696</v>
      </c>
      <c r="AN72">
        <v>117498816</v>
      </c>
      <c r="AO72">
        <v>139998288</v>
      </c>
      <c r="AP72">
        <v>76106032</v>
      </c>
      <c r="AQ72">
        <v>75688504</v>
      </c>
      <c r="AR72">
        <v>50150840</v>
      </c>
      <c r="AS72">
        <v>40624920</v>
      </c>
      <c r="AT72" s="11">
        <v>151997792</v>
      </c>
      <c r="AU72" s="11">
        <v>180140048</v>
      </c>
      <c r="AW72" s="14">
        <v>59470724</v>
      </c>
      <c r="AX72" s="14">
        <v>51031892</v>
      </c>
      <c r="AZ72" s="16">
        <v>48116148</v>
      </c>
      <c r="BA72" s="16">
        <v>42443232</v>
      </c>
      <c r="BC72" s="18">
        <v>25946086</v>
      </c>
      <c r="BD72" s="18">
        <v>19841432</v>
      </c>
    </row>
    <row r="73" spans="1:56" hidden="1">
      <c r="A73">
        <v>16688</v>
      </c>
      <c r="B73" t="s">
        <v>363</v>
      </c>
      <c r="C73" t="s">
        <v>364</v>
      </c>
      <c r="D73" t="s">
        <v>365</v>
      </c>
      <c r="E73" t="s">
        <v>366</v>
      </c>
      <c r="F73" t="s">
        <v>367</v>
      </c>
      <c r="G73">
        <v>375.91</v>
      </c>
      <c r="H73" t="s">
        <v>58</v>
      </c>
      <c r="I73">
        <v>2</v>
      </c>
      <c r="J73">
        <v>15</v>
      </c>
      <c r="K73">
        <v>6</v>
      </c>
      <c r="L73">
        <v>28.35</v>
      </c>
      <c r="M73">
        <v>74013</v>
      </c>
      <c r="N73">
        <v>46</v>
      </c>
      <c r="O73">
        <v>19</v>
      </c>
      <c r="P73">
        <v>19</v>
      </c>
      <c r="Q73">
        <v>19</v>
      </c>
      <c r="R73">
        <v>19</v>
      </c>
      <c r="S73">
        <v>89</v>
      </c>
      <c r="T73">
        <v>89</v>
      </c>
      <c r="U73">
        <v>19</v>
      </c>
      <c r="V73">
        <v>14</v>
      </c>
      <c r="W73">
        <v>13</v>
      </c>
      <c r="X73">
        <v>19</v>
      </c>
      <c r="Y73">
        <v>18</v>
      </c>
      <c r="Z73">
        <v>18</v>
      </c>
      <c r="AA73">
        <v>17</v>
      </c>
      <c r="AB73">
        <v>18</v>
      </c>
      <c r="AC73">
        <v>19</v>
      </c>
      <c r="AD73">
        <v>14</v>
      </c>
      <c r="AE73">
        <v>4</v>
      </c>
      <c r="AF73">
        <v>6</v>
      </c>
      <c r="AG73">
        <v>12</v>
      </c>
      <c r="AH73">
        <v>11</v>
      </c>
      <c r="AI73">
        <v>16</v>
      </c>
      <c r="AJ73">
        <v>11</v>
      </c>
      <c r="AK73">
        <v>15</v>
      </c>
      <c r="AL73">
        <v>34153756</v>
      </c>
      <c r="AM73">
        <v>33494602</v>
      </c>
      <c r="AN73">
        <v>126040056</v>
      </c>
      <c r="AO73">
        <v>96234624</v>
      </c>
      <c r="AP73">
        <v>66803428</v>
      </c>
      <c r="AQ73">
        <v>80636400</v>
      </c>
      <c r="AR73">
        <v>75634368</v>
      </c>
      <c r="AS73">
        <v>86275992</v>
      </c>
      <c r="AT73" s="11">
        <v>43645964</v>
      </c>
      <c r="AU73" s="11">
        <v>40030344</v>
      </c>
      <c r="AW73" s="14">
        <v>40669956</v>
      </c>
      <c r="AX73" s="14">
        <v>33937048</v>
      </c>
      <c r="AZ73" s="16">
        <v>41497584</v>
      </c>
      <c r="BA73" s="16">
        <v>47838216</v>
      </c>
      <c r="BC73" s="18">
        <v>39396540</v>
      </c>
      <c r="BD73" s="18">
        <v>43645964</v>
      </c>
    </row>
    <row r="74" spans="1:56" hidden="1">
      <c r="A74">
        <v>16803</v>
      </c>
      <c r="B74" t="s">
        <v>368</v>
      </c>
      <c r="C74" t="s">
        <v>369</v>
      </c>
      <c r="D74" t="s">
        <v>370</v>
      </c>
      <c r="F74" t="s">
        <v>371</v>
      </c>
      <c r="G74">
        <v>374.96699999999998</v>
      </c>
      <c r="H74" t="s">
        <v>58</v>
      </c>
      <c r="I74">
        <v>2</v>
      </c>
      <c r="J74">
        <v>21</v>
      </c>
      <c r="K74">
        <v>0</v>
      </c>
      <c r="L74">
        <v>69.569999999999993</v>
      </c>
      <c r="M74">
        <v>10430</v>
      </c>
      <c r="N74">
        <v>6</v>
      </c>
      <c r="O74">
        <v>7</v>
      </c>
      <c r="P74">
        <v>7</v>
      </c>
      <c r="Q74">
        <v>8</v>
      </c>
      <c r="R74">
        <v>8</v>
      </c>
      <c r="S74">
        <v>1882</v>
      </c>
      <c r="T74">
        <v>1882</v>
      </c>
      <c r="U74">
        <v>8</v>
      </c>
      <c r="V74">
        <v>4</v>
      </c>
      <c r="W74">
        <v>5</v>
      </c>
      <c r="X74">
        <v>6</v>
      </c>
      <c r="Y74">
        <v>7</v>
      </c>
      <c r="Z74">
        <v>6</v>
      </c>
      <c r="AA74">
        <v>7</v>
      </c>
      <c r="AB74">
        <v>8</v>
      </c>
      <c r="AC74">
        <v>8</v>
      </c>
      <c r="AD74">
        <v>146</v>
      </c>
      <c r="AE74">
        <v>178</v>
      </c>
      <c r="AF74">
        <v>224</v>
      </c>
      <c r="AG74">
        <v>280</v>
      </c>
      <c r="AH74">
        <v>317</v>
      </c>
      <c r="AI74">
        <v>266</v>
      </c>
      <c r="AJ74">
        <v>235</v>
      </c>
      <c r="AK74">
        <v>236</v>
      </c>
      <c r="AL74">
        <v>1606820864</v>
      </c>
      <c r="AM74">
        <v>1433182080</v>
      </c>
      <c r="AN74">
        <v>1446503680</v>
      </c>
      <c r="AO74">
        <v>1849489664</v>
      </c>
      <c r="AP74">
        <v>1178465792</v>
      </c>
      <c r="AQ74">
        <v>1270247168</v>
      </c>
      <c r="AR74">
        <v>1133269504</v>
      </c>
      <c r="AS74">
        <v>1104341120</v>
      </c>
      <c r="AT74" s="11">
        <v>378385056</v>
      </c>
      <c r="AU74" s="11">
        <v>964562560</v>
      </c>
      <c r="AW74" s="14">
        <v>939776256</v>
      </c>
      <c r="AX74" s="14">
        <v>1240424704</v>
      </c>
      <c r="AZ74" s="16">
        <v>1078793472</v>
      </c>
      <c r="BA74" s="16">
        <v>1051120000</v>
      </c>
      <c r="BC74" s="18">
        <v>1119666304</v>
      </c>
      <c r="BD74" s="18">
        <v>989721984</v>
      </c>
    </row>
    <row r="75" spans="1:56" hidden="1">
      <c r="A75">
        <v>16694</v>
      </c>
      <c r="B75" t="s">
        <v>372</v>
      </c>
      <c r="C75" t="s">
        <v>373</v>
      </c>
      <c r="D75" t="s">
        <v>374</v>
      </c>
      <c r="F75" t="s">
        <v>375</v>
      </c>
      <c r="G75">
        <v>374.00900000000001</v>
      </c>
      <c r="H75" t="s">
        <v>58</v>
      </c>
      <c r="I75">
        <v>2</v>
      </c>
      <c r="J75">
        <v>21</v>
      </c>
      <c r="K75">
        <v>0</v>
      </c>
      <c r="L75">
        <v>76.14</v>
      </c>
      <c r="M75">
        <v>10234</v>
      </c>
      <c r="N75">
        <v>7</v>
      </c>
      <c r="O75">
        <v>7</v>
      </c>
      <c r="P75">
        <v>7</v>
      </c>
      <c r="Q75">
        <v>8</v>
      </c>
      <c r="R75">
        <v>8</v>
      </c>
      <c r="S75">
        <v>578</v>
      </c>
      <c r="T75">
        <v>578</v>
      </c>
      <c r="U75">
        <v>8</v>
      </c>
      <c r="V75">
        <v>8</v>
      </c>
      <c r="W75">
        <v>8</v>
      </c>
      <c r="X75">
        <v>8</v>
      </c>
      <c r="Y75">
        <v>8</v>
      </c>
      <c r="Z75">
        <v>6</v>
      </c>
      <c r="AA75">
        <v>8</v>
      </c>
      <c r="AB75">
        <v>7</v>
      </c>
      <c r="AC75">
        <v>8</v>
      </c>
      <c r="AD75">
        <v>117</v>
      </c>
      <c r="AE75">
        <v>113</v>
      </c>
      <c r="AF75">
        <v>141</v>
      </c>
      <c r="AG75">
        <v>107</v>
      </c>
      <c r="AH75">
        <v>19</v>
      </c>
      <c r="AI75">
        <v>13</v>
      </c>
      <c r="AJ75">
        <v>28</v>
      </c>
      <c r="AK75">
        <v>40</v>
      </c>
      <c r="AL75">
        <v>174090496</v>
      </c>
      <c r="AM75">
        <v>119813320</v>
      </c>
      <c r="AN75">
        <v>282365408</v>
      </c>
      <c r="AO75">
        <v>385399904</v>
      </c>
      <c r="AP75">
        <v>67453032</v>
      </c>
      <c r="AQ75">
        <v>64157356</v>
      </c>
      <c r="AR75">
        <v>174006720</v>
      </c>
      <c r="AS75">
        <v>203640672</v>
      </c>
      <c r="AT75" s="11">
        <v>230040384</v>
      </c>
      <c r="AU75" s="11">
        <v>174788928</v>
      </c>
      <c r="AW75" s="14">
        <v>194730064</v>
      </c>
      <c r="AX75" s="14">
        <v>187295296</v>
      </c>
      <c r="AZ75" s="16">
        <v>56884088</v>
      </c>
      <c r="BA75" s="16">
        <v>54533076</v>
      </c>
      <c r="BC75" s="18">
        <v>137524496</v>
      </c>
      <c r="BD75" s="18">
        <v>141835984</v>
      </c>
    </row>
    <row r="76" spans="1:56" hidden="1">
      <c r="A76">
        <v>16859</v>
      </c>
      <c r="B76" t="s">
        <v>376</v>
      </c>
      <c r="C76" t="s">
        <v>322</v>
      </c>
      <c r="D76" t="s">
        <v>376</v>
      </c>
      <c r="F76" t="s">
        <v>377</v>
      </c>
      <c r="G76">
        <v>373.02100000000002</v>
      </c>
      <c r="H76" t="s">
        <v>58</v>
      </c>
      <c r="I76">
        <v>2</v>
      </c>
      <c r="J76">
        <v>1</v>
      </c>
      <c r="K76">
        <v>0</v>
      </c>
      <c r="L76">
        <v>32.11</v>
      </c>
      <c r="M76">
        <v>40277</v>
      </c>
      <c r="N76">
        <v>21</v>
      </c>
      <c r="O76">
        <v>11</v>
      </c>
      <c r="P76">
        <v>1</v>
      </c>
      <c r="Q76">
        <v>11</v>
      </c>
      <c r="R76">
        <v>1</v>
      </c>
      <c r="S76">
        <v>322</v>
      </c>
      <c r="T76">
        <v>8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2</v>
      </c>
      <c r="AI76">
        <v>1</v>
      </c>
      <c r="AJ76">
        <v>0</v>
      </c>
      <c r="AK76">
        <v>1</v>
      </c>
      <c r="AL76">
        <v>140447568</v>
      </c>
      <c r="AM76">
        <v>121469656</v>
      </c>
      <c r="AN76">
        <v>340904320</v>
      </c>
      <c r="AO76">
        <v>373798528</v>
      </c>
      <c r="AP76">
        <v>268876512</v>
      </c>
      <c r="AQ76">
        <v>286885728</v>
      </c>
      <c r="AR76">
        <v>252962400</v>
      </c>
      <c r="AS76">
        <v>269694496</v>
      </c>
      <c r="AT76" s="11">
        <v>16180059</v>
      </c>
      <c r="AU76" s="11">
        <v>12826388</v>
      </c>
      <c r="AW76" s="14">
        <v>13603721</v>
      </c>
      <c r="AX76" s="14">
        <v>11890271</v>
      </c>
      <c r="AZ76" s="16">
        <v>17990024</v>
      </c>
      <c r="BA76" s="16">
        <v>17161070</v>
      </c>
      <c r="BC76" s="18">
        <v>13031321</v>
      </c>
      <c r="BD76" s="18">
        <v>13702510</v>
      </c>
    </row>
    <row r="77" spans="1:56" hidden="1">
      <c r="A77">
        <v>16764</v>
      </c>
      <c r="B77" t="s">
        <v>378</v>
      </c>
      <c r="C77" t="s">
        <v>379</v>
      </c>
      <c r="D77" t="s">
        <v>380</v>
      </c>
      <c r="F77" t="s">
        <v>381</v>
      </c>
      <c r="G77">
        <v>371.55099999999999</v>
      </c>
      <c r="H77" t="s">
        <v>58</v>
      </c>
      <c r="I77">
        <v>2</v>
      </c>
      <c r="J77">
        <v>20</v>
      </c>
      <c r="K77">
        <v>0</v>
      </c>
      <c r="L77">
        <v>48.28</v>
      </c>
      <c r="M77">
        <v>9684</v>
      </c>
      <c r="N77">
        <v>4</v>
      </c>
      <c r="O77">
        <v>8</v>
      </c>
      <c r="P77">
        <v>8</v>
      </c>
      <c r="Q77">
        <v>9</v>
      </c>
      <c r="R77">
        <v>9</v>
      </c>
      <c r="S77">
        <v>1321</v>
      </c>
      <c r="T77">
        <v>1321</v>
      </c>
      <c r="U77">
        <v>9</v>
      </c>
      <c r="V77">
        <v>4</v>
      </c>
      <c r="W77">
        <v>7</v>
      </c>
      <c r="X77">
        <v>8</v>
      </c>
      <c r="Y77">
        <v>9</v>
      </c>
      <c r="Z77">
        <v>9</v>
      </c>
      <c r="AA77">
        <v>8</v>
      </c>
      <c r="AB77">
        <v>8</v>
      </c>
      <c r="AC77">
        <v>9</v>
      </c>
      <c r="AD77">
        <v>199</v>
      </c>
      <c r="AE77">
        <v>214</v>
      </c>
      <c r="AF77">
        <v>182</v>
      </c>
      <c r="AG77">
        <v>162</v>
      </c>
      <c r="AH77">
        <v>155</v>
      </c>
      <c r="AI77">
        <v>147</v>
      </c>
      <c r="AJ77">
        <v>106</v>
      </c>
      <c r="AK77">
        <v>156</v>
      </c>
      <c r="AL77">
        <v>1902126208</v>
      </c>
      <c r="AM77">
        <v>2091141248</v>
      </c>
      <c r="AN77">
        <v>1329081344</v>
      </c>
      <c r="AO77">
        <v>1719872512</v>
      </c>
      <c r="AP77">
        <v>1055136384</v>
      </c>
      <c r="AQ77">
        <v>1056120448</v>
      </c>
      <c r="AR77">
        <v>834818112</v>
      </c>
      <c r="AS77">
        <v>1409396224</v>
      </c>
      <c r="AT77" s="11">
        <v>72418856</v>
      </c>
      <c r="AU77" s="11">
        <v>897612608</v>
      </c>
      <c r="AW77" s="14">
        <v>781321472</v>
      </c>
      <c r="AX77" s="14">
        <v>1507972608</v>
      </c>
      <c r="AZ77" s="16">
        <v>1116693376</v>
      </c>
      <c r="BA77" s="16">
        <v>842564096</v>
      </c>
      <c r="BC77" s="18">
        <v>868217536</v>
      </c>
      <c r="BD77" s="18">
        <v>1004225856</v>
      </c>
    </row>
    <row r="78" spans="1:56">
      <c r="A78">
        <v>16751</v>
      </c>
      <c r="B78" t="s">
        <v>382</v>
      </c>
      <c r="C78" t="s">
        <v>1200</v>
      </c>
      <c r="D78" t="s">
        <v>382</v>
      </c>
      <c r="E78" t="s">
        <v>383</v>
      </c>
      <c r="F78" t="s">
        <v>384</v>
      </c>
      <c r="G78">
        <v>371.238</v>
      </c>
      <c r="H78" t="s">
        <v>58</v>
      </c>
      <c r="I78">
        <v>2</v>
      </c>
      <c r="J78">
        <v>1</v>
      </c>
      <c r="K78">
        <v>1</v>
      </c>
      <c r="L78">
        <v>55.92</v>
      </c>
      <c r="M78">
        <v>27714</v>
      </c>
      <c r="N78">
        <v>13</v>
      </c>
      <c r="O78">
        <v>9</v>
      </c>
      <c r="P78">
        <v>9</v>
      </c>
      <c r="Q78">
        <v>10</v>
      </c>
      <c r="R78">
        <v>10</v>
      </c>
      <c r="S78">
        <v>422</v>
      </c>
      <c r="T78">
        <v>422</v>
      </c>
      <c r="U78">
        <v>10</v>
      </c>
      <c r="V78">
        <v>7</v>
      </c>
      <c r="W78">
        <v>7</v>
      </c>
      <c r="X78">
        <v>9</v>
      </c>
      <c r="Y78">
        <v>8</v>
      </c>
      <c r="Z78">
        <v>7</v>
      </c>
      <c r="AA78">
        <v>7</v>
      </c>
      <c r="AB78">
        <v>8</v>
      </c>
      <c r="AC78">
        <v>9</v>
      </c>
      <c r="AD78">
        <v>72</v>
      </c>
      <c r="AE78">
        <v>83</v>
      </c>
      <c r="AF78">
        <v>82</v>
      </c>
      <c r="AG78">
        <v>56</v>
      </c>
      <c r="AH78">
        <v>22</v>
      </c>
      <c r="AI78">
        <v>22</v>
      </c>
      <c r="AJ78">
        <v>40</v>
      </c>
      <c r="AK78">
        <v>43</v>
      </c>
      <c r="AL78">
        <v>164938720</v>
      </c>
      <c r="AM78">
        <v>161214672</v>
      </c>
      <c r="AN78">
        <v>262732336</v>
      </c>
      <c r="AO78">
        <v>319299008</v>
      </c>
      <c r="AP78">
        <v>48546400</v>
      </c>
      <c r="AQ78">
        <v>52987348</v>
      </c>
      <c r="AR78">
        <v>131162688</v>
      </c>
      <c r="AS78">
        <v>125733376</v>
      </c>
      <c r="AT78" s="11">
        <v>142710512</v>
      </c>
      <c r="AU78" s="11">
        <v>136497488</v>
      </c>
      <c r="AW78" s="14">
        <v>134165056</v>
      </c>
      <c r="AX78" s="14">
        <v>108473904</v>
      </c>
      <c r="AZ78" s="16">
        <v>34972336</v>
      </c>
      <c r="BA78" s="16">
        <v>33299914</v>
      </c>
      <c r="BC78" s="18">
        <v>86870544</v>
      </c>
      <c r="BD78" s="18">
        <v>86586024</v>
      </c>
    </row>
    <row r="79" spans="1:56" hidden="1">
      <c r="A79">
        <v>16722</v>
      </c>
      <c r="B79" t="s">
        <v>385</v>
      </c>
      <c r="C79" t="s">
        <v>386</v>
      </c>
      <c r="D79" t="s">
        <v>387</v>
      </c>
      <c r="F79" t="s">
        <v>388</v>
      </c>
      <c r="G79">
        <v>356.62799999999999</v>
      </c>
      <c r="H79" t="s">
        <v>58</v>
      </c>
      <c r="I79">
        <v>2</v>
      </c>
      <c r="J79">
        <v>21</v>
      </c>
      <c r="K79">
        <v>0</v>
      </c>
      <c r="L79">
        <v>81.69</v>
      </c>
      <c r="M79">
        <v>16018</v>
      </c>
      <c r="N79">
        <v>8</v>
      </c>
      <c r="O79">
        <v>13</v>
      </c>
      <c r="P79">
        <v>13</v>
      </c>
      <c r="Q79">
        <v>13</v>
      </c>
      <c r="R79">
        <v>13</v>
      </c>
      <c r="S79">
        <v>371</v>
      </c>
      <c r="T79">
        <v>371</v>
      </c>
      <c r="U79">
        <v>13</v>
      </c>
      <c r="V79">
        <v>10</v>
      </c>
      <c r="W79">
        <v>11</v>
      </c>
      <c r="X79">
        <v>11</v>
      </c>
      <c r="Y79">
        <v>13</v>
      </c>
      <c r="Z79">
        <v>11</v>
      </c>
      <c r="AA79">
        <v>12</v>
      </c>
      <c r="AB79">
        <v>12</v>
      </c>
      <c r="AC79">
        <v>12</v>
      </c>
      <c r="AD79">
        <v>69</v>
      </c>
      <c r="AE79">
        <v>69</v>
      </c>
      <c r="AF79">
        <v>22</v>
      </c>
      <c r="AG79">
        <v>35</v>
      </c>
      <c r="AH79">
        <v>37</v>
      </c>
      <c r="AI79">
        <v>49</v>
      </c>
      <c r="AJ79">
        <v>43</v>
      </c>
      <c r="AK79">
        <v>47</v>
      </c>
      <c r="AL79">
        <v>485638336</v>
      </c>
      <c r="AM79">
        <v>604378816</v>
      </c>
      <c r="AN79">
        <v>231604224</v>
      </c>
      <c r="AO79">
        <v>302244832</v>
      </c>
      <c r="AP79">
        <v>280283136</v>
      </c>
      <c r="AQ79">
        <v>398240192</v>
      </c>
      <c r="AR79">
        <v>326438720</v>
      </c>
      <c r="AS79">
        <v>337329856</v>
      </c>
      <c r="AT79" s="11">
        <v>403559360</v>
      </c>
      <c r="AU79" s="11">
        <v>555920576</v>
      </c>
      <c r="AW79" s="14">
        <v>121770240</v>
      </c>
      <c r="AX79" s="14">
        <v>153035712</v>
      </c>
      <c r="AZ79" s="16">
        <v>187952464</v>
      </c>
      <c r="BA79" s="16">
        <v>250085712</v>
      </c>
      <c r="BC79" s="18">
        <v>211626800</v>
      </c>
      <c r="BD79" s="18">
        <v>205146912</v>
      </c>
    </row>
    <row r="80" spans="1:56" hidden="1">
      <c r="A80">
        <v>16795</v>
      </c>
      <c r="B80" t="s">
        <v>389</v>
      </c>
      <c r="C80" t="s">
        <v>390</v>
      </c>
      <c r="D80" t="s">
        <v>391</v>
      </c>
      <c r="F80" t="s">
        <v>392</v>
      </c>
      <c r="G80">
        <v>356.56200000000001</v>
      </c>
      <c r="H80" t="s">
        <v>58</v>
      </c>
      <c r="I80">
        <v>2</v>
      </c>
      <c r="J80">
        <v>9</v>
      </c>
      <c r="K80">
        <v>0</v>
      </c>
      <c r="L80">
        <v>19.75</v>
      </c>
      <c r="M80">
        <v>69114</v>
      </c>
      <c r="N80">
        <v>39</v>
      </c>
      <c r="O80">
        <v>11</v>
      </c>
      <c r="P80">
        <v>11</v>
      </c>
      <c r="Q80">
        <v>11</v>
      </c>
      <c r="R80">
        <v>11</v>
      </c>
      <c r="S80">
        <v>72</v>
      </c>
      <c r="T80">
        <v>72</v>
      </c>
      <c r="U80">
        <v>11</v>
      </c>
      <c r="V80">
        <v>8</v>
      </c>
      <c r="W80">
        <v>6</v>
      </c>
      <c r="X80">
        <v>9</v>
      </c>
      <c r="Y80">
        <v>10</v>
      </c>
      <c r="Z80">
        <v>11</v>
      </c>
      <c r="AA80">
        <v>10</v>
      </c>
      <c r="AB80">
        <v>10</v>
      </c>
      <c r="AC80">
        <v>11</v>
      </c>
      <c r="AD80">
        <v>7</v>
      </c>
      <c r="AE80">
        <v>5</v>
      </c>
      <c r="AF80">
        <v>9</v>
      </c>
      <c r="AG80">
        <v>10</v>
      </c>
      <c r="AH80">
        <v>12</v>
      </c>
      <c r="AI80">
        <v>12</v>
      </c>
      <c r="AJ80">
        <v>8</v>
      </c>
      <c r="AK80">
        <v>9</v>
      </c>
      <c r="AL80">
        <v>19527196</v>
      </c>
      <c r="AM80">
        <v>12361025</v>
      </c>
      <c r="AN80">
        <v>46686248</v>
      </c>
      <c r="AO80">
        <v>69466344</v>
      </c>
      <c r="AP80">
        <v>36698244</v>
      </c>
      <c r="AQ80">
        <v>41960800</v>
      </c>
      <c r="AR80">
        <v>29341724</v>
      </c>
      <c r="AS80">
        <v>34499244</v>
      </c>
      <c r="AT80" s="11">
        <v>17311950</v>
      </c>
      <c r="AU80" s="11">
        <v>4188656.25</v>
      </c>
      <c r="AW80" s="14">
        <v>17781756</v>
      </c>
      <c r="AX80" s="14">
        <v>30408982</v>
      </c>
      <c r="AZ80" s="16">
        <v>23345356</v>
      </c>
      <c r="BA80" s="16">
        <v>22642400</v>
      </c>
      <c r="BC80" s="18">
        <v>17605328</v>
      </c>
      <c r="BD80" s="18">
        <v>20585470</v>
      </c>
    </row>
    <row r="81" spans="1:56" hidden="1">
      <c r="A81">
        <v>16826</v>
      </c>
      <c r="B81" t="s">
        <v>393</v>
      </c>
      <c r="C81" t="s">
        <v>394</v>
      </c>
      <c r="D81" t="s">
        <v>395</v>
      </c>
      <c r="F81" t="s">
        <v>396</v>
      </c>
      <c r="G81">
        <v>352.517</v>
      </c>
      <c r="H81" t="s">
        <v>58</v>
      </c>
      <c r="I81">
        <v>2</v>
      </c>
      <c r="J81">
        <v>2</v>
      </c>
      <c r="K81">
        <v>0</v>
      </c>
      <c r="L81">
        <v>29.02</v>
      </c>
      <c r="M81">
        <v>43110</v>
      </c>
      <c r="N81">
        <v>21</v>
      </c>
      <c r="O81">
        <v>13</v>
      </c>
      <c r="P81">
        <v>13</v>
      </c>
      <c r="Q81">
        <v>13</v>
      </c>
      <c r="R81">
        <v>13</v>
      </c>
      <c r="S81">
        <v>103</v>
      </c>
      <c r="T81">
        <v>103</v>
      </c>
      <c r="U81">
        <v>13</v>
      </c>
      <c r="V81">
        <v>8</v>
      </c>
      <c r="W81">
        <v>10</v>
      </c>
      <c r="X81">
        <v>12</v>
      </c>
      <c r="Y81">
        <v>13</v>
      </c>
      <c r="Z81">
        <v>12</v>
      </c>
      <c r="AA81">
        <v>12</v>
      </c>
      <c r="AB81">
        <v>12</v>
      </c>
      <c r="AC81">
        <v>13</v>
      </c>
      <c r="AD81">
        <v>8</v>
      </c>
      <c r="AE81">
        <v>13</v>
      </c>
      <c r="AF81">
        <v>14</v>
      </c>
      <c r="AG81">
        <v>14</v>
      </c>
      <c r="AH81">
        <v>13</v>
      </c>
      <c r="AI81">
        <v>14</v>
      </c>
      <c r="AJ81">
        <v>14</v>
      </c>
      <c r="AK81">
        <v>13</v>
      </c>
      <c r="AL81">
        <v>34905752</v>
      </c>
      <c r="AM81">
        <v>48297512</v>
      </c>
      <c r="AN81">
        <v>135061696</v>
      </c>
      <c r="AO81">
        <v>171899344</v>
      </c>
      <c r="AP81">
        <v>69680360</v>
      </c>
      <c r="AQ81">
        <v>76504544</v>
      </c>
      <c r="AR81">
        <v>62798080</v>
      </c>
      <c r="AS81">
        <v>79979832</v>
      </c>
      <c r="AT81" s="11">
        <v>31749206</v>
      </c>
      <c r="AU81" s="11">
        <v>38919636</v>
      </c>
      <c r="AW81" s="14">
        <v>64038180</v>
      </c>
      <c r="AX81" s="14">
        <v>78660944</v>
      </c>
      <c r="AZ81" s="16">
        <v>39864988</v>
      </c>
      <c r="BA81" s="16">
        <v>40683848</v>
      </c>
      <c r="BC81" s="18">
        <v>36238636</v>
      </c>
      <c r="BD81" s="18">
        <v>40637704</v>
      </c>
    </row>
    <row r="82" spans="1:56" hidden="1">
      <c r="A82">
        <v>16691</v>
      </c>
      <c r="B82" t="s">
        <v>397</v>
      </c>
      <c r="C82" t="s">
        <v>398</v>
      </c>
      <c r="D82" t="s">
        <v>399</v>
      </c>
      <c r="E82" t="s">
        <v>400</v>
      </c>
      <c r="F82" t="s">
        <v>401</v>
      </c>
      <c r="G82">
        <v>351.29700000000003</v>
      </c>
      <c r="H82" t="s">
        <v>58</v>
      </c>
      <c r="I82">
        <v>2</v>
      </c>
      <c r="J82">
        <v>10</v>
      </c>
      <c r="K82">
        <v>11</v>
      </c>
      <c r="L82">
        <v>24.26</v>
      </c>
      <c r="M82">
        <v>64640</v>
      </c>
      <c r="N82">
        <v>37</v>
      </c>
      <c r="O82">
        <v>12</v>
      </c>
      <c r="P82">
        <v>12</v>
      </c>
      <c r="Q82">
        <v>12</v>
      </c>
      <c r="R82">
        <v>12</v>
      </c>
      <c r="S82">
        <v>49</v>
      </c>
      <c r="T82">
        <v>49</v>
      </c>
      <c r="U82">
        <v>12</v>
      </c>
      <c r="V82">
        <v>9</v>
      </c>
      <c r="W82">
        <v>8</v>
      </c>
      <c r="X82">
        <v>10</v>
      </c>
      <c r="Y82">
        <v>10</v>
      </c>
      <c r="Z82">
        <v>12</v>
      </c>
      <c r="AA82">
        <v>12</v>
      </c>
      <c r="AB82">
        <v>11</v>
      </c>
      <c r="AC82">
        <v>10</v>
      </c>
      <c r="AD82">
        <v>5</v>
      </c>
      <c r="AE82">
        <v>2</v>
      </c>
      <c r="AF82">
        <v>3</v>
      </c>
      <c r="AG82">
        <v>4</v>
      </c>
      <c r="AH82">
        <v>7</v>
      </c>
      <c r="AI82">
        <v>12</v>
      </c>
      <c r="AJ82">
        <v>4</v>
      </c>
      <c r="AK82">
        <v>12</v>
      </c>
      <c r="AL82">
        <v>15464687</v>
      </c>
      <c r="AM82">
        <v>15145338</v>
      </c>
      <c r="AN82">
        <v>15858089</v>
      </c>
      <c r="AO82">
        <v>18824152</v>
      </c>
      <c r="AP82">
        <v>23635928</v>
      </c>
      <c r="AQ82">
        <v>34065260</v>
      </c>
      <c r="AR82">
        <v>21302576</v>
      </c>
      <c r="AS82">
        <v>29478742</v>
      </c>
      <c r="AT82" s="11">
        <v>15462984</v>
      </c>
      <c r="AU82" s="11">
        <v>15024726</v>
      </c>
      <c r="AW82" s="14">
        <v>7496217</v>
      </c>
      <c r="AX82" s="14">
        <v>7220628.5</v>
      </c>
      <c r="AZ82" s="16">
        <v>13938579</v>
      </c>
      <c r="BA82" s="16">
        <v>18997706</v>
      </c>
      <c r="BC82" s="18">
        <v>11162094</v>
      </c>
      <c r="BD82" s="18">
        <v>13928578</v>
      </c>
    </row>
    <row r="83" spans="1:56" hidden="1">
      <c r="A83">
        <v>16706</v>
      </c>
      <c r="B83" t="s">
        <v>402</v>
      </c>
      <c r="C83" t="s">
        <v>403</v>
      </c>
      <c r="D83" t="s">
        <v>404</v>
      </c>
      <c r="F83" t="s">
        <v>405</v>
      </c>
      <c r="G83">
        <v>336.59199999999998</v>
      </c>
      <c r="H83" t="s">
        <v>58</v>
      </c>
      <c r="I83">
        <v>2</v>
      </c>
      <c r="J83">
        <v>3</v>
      </c>
      <c r="K83">
        <v>0</v>
      </c>
      <c r="L83">
        <v>17.899999999999999</v>
      </c>
      <c r="M83">
        <v>105060</v>
      </c>
      <c r="N83">
        <v>51</v>
      </c>
      <c r="O83">
        <v>13</v>
      </c>
      <c r="P83">
        <v>13</v>
      </c>
      <c r="Q83">
        <v>13</v>
      </c>
      <c r="R83">
        <v>13</v>
      </c>
      <c r="S83">
        <v>48</v>
      </c>
      <c r="T83">
        <v>48</v>
      </c>
      <c r="U83">
        <v>13</v>
      </c>
      <c r="V83">
        <v>5</v>
      </c>
      <c r="W83">
        <v>6</v>
      </c>
      <c r="X83">
        <v>13</v>
      </c>
      <c r="Y83">
        <v>13</v>
      </c>
      <c r="Z83">
        <v>12</v>
      </c>
      <c r="AA83">
        <v>13</v>
      </c>
      <c r="AB83">
        <v>12</v>
      </c>
      <c r="AC83">
        <v>13</v>
      </c>
      <c r="AD83">
        <v>0</v>
      </c>
      <c r="AE83">
        <v>0</v>
      </c>
      <c r="AF83">
        <v>6</v>
      </c>
      <c r="AG83">
        <v>12</v>
      </c>
      <c r="AH83">
        <v>5</v>
      </c>
      <c r="AI83">
        <v>10</v>
      </c>
      <c r="AJ83">
        <v>8</v>
      </c>
      <c r="AK83">
        <v>7</v>
      </c>
      <c r="AL83">
        <v>4758183</v>
      </c>
      <c r="AM83">
        <v>5794201</v>
      </c>
      <c r="AN83">
        <v>24808878</v>
      </c>
      <c r="AO83">
        <v>31537796</v>
      </c>
      <c r="AP83">
        <v>14045788</v>
      </c>
      <c r="AQ83">
        <v>16165631</v>
      </c>
      <c r="AR83">
        <v>14575203</v>
      </c>
      <c r="AS83">
        <v>17655578</v>
      </c>
      <c r="AT83" s="11">
        <v>531274.12</v>
      </c>
      <c r="AU83" s="11">
        <v>496453.91</v>
      </c>
      <c r="AW83" s="14">
        <v>14898365</v>
      </c>
      <c r="AX83" s="14">
        <v>12629201</v>
      </c>
      <c r="AZ83" s="16">
        <v>9026881</v>
      </c>
      <c r="BA83" s="16">
        <v>9164639</v>
      </c>
      <c r="BC83" s="18">
        <v>8406478</v>
      </c>
      <c r="BD83" s="18">
        <v>9346403</v>
      </c>
    </row>
    <row r="84" spans="1:56" hidden="1">
      <c r="A84">
        <v>16695</v>
      </c>
      <c r="B84" t="s">
        <v>406</v>
      </c>
      <c r="C84" t="s">
        <v>407</v>
      </c>
      <c r="D84" t="s">
        <v>408</v>
      </c>
      <c r="F84" t="s">
        <v>409</v>
      </c>
      <c r="G84">
        <v>334.31599999999997</v>
      </c>
      <c r="H84" t="s">
        <v>58</v>
      </c>
      <c r="I84">
        <v>2</v>
      </c>
      <c r="J84">
        <v>19</v>
      </c>
      <c r="K84">
        <v>0</v>
      </c>
      <c r="L84">
        <v>58.54</v>
      </c>
      <c r="M84">
        <v>9190</v>
      </c>
      <c r="N84">
        <v>4</v>
      </c>
      <c r="O84">
        <v>7</v>
      </c>
      <c r="P84">
        <v>7</v>
      </c>
      <c r="Q84">
        <v>7</v>
      </c>
      <c r="R84">
        <v>7</v>
      </c>
      <c r="S84">
        <v>1449</v>
      </c>
      <c r="T84">
        <v>1449</v>
      </c>
      <c r="U84">
        <v>7</v>
      </c>
      <c r="V84">
        <v>6</v>
      </c>
      <c r="W84">
        <v>7</v>
      </c>
      <c r="X84">
        <v>7</v>
      </c>
      <c r="Y84">
        <v>7</v>
      </c>
      <c r="Z84">
        <v>7</v>
      </c>
      <c r="AA84">
        <v>7</v>
      </c>
      <c r="AB84">
        <v>7</v>
      </c>
      <c r="AC84">
        <v>7</v>
      </c>
      <c r="AD84">
        <v>153</v>
      </c>
      <c r="AE84">
        <v>176</v>
      </c>
      <c r="AF84">
        <v>237</v>
      </c>
      <c r="AG84">
        <v>202</v>
      </c>
      <c r="AH84">
        <v>193</v>
      </c>
      <c r="AI84">
        <v>181</v>
      </c>
      <c r="AJ84">
        <v>138</v>
      </c>
      <c r="AK84">
        <v>169</v>
      </c>
      <c r="AL84">
        <v>1162873344</v>
      </c>
      <c r="AM84">
        <v>1203464576</v>
      </c>
      <c r="AN84">
        <v>1373198848</v>
      </c>
      <c r="AO84">
        <v>1785121536</v>
      </c>
      <c r="AP84">
        <v>1088250752</v>
      </c>
      <c r="AQ84">
        <v>1087653120</v>
      </c>
      <c r="AR84">
        <v>776024192</v>
      </c>
      <c r="AS84">
        <v>1210152704</v>
      </c>
      <c r="AT84" s="11">
        <v>985642496</v>
      </c>
      <c r="AU84" s="11">
        <v>1117698304</v>
      </c>
      <c r="AW84" s="14">
        <v>1233983232</v>
      </c>
      <c r="AX84" s="14">
        <v>1268739840</v>
      </c>
      <c r="AZ84" s="16">
        <v>1195821952</v>
      </c>
      <c r="BA84" s="16">
        <v>1070647424</v>
      </c>
      <c r="BC84" s="18">
        <v>821056128</v>
      </c>
      <c r="BD84" s="18">
        <v>1044942144</v>
      </c>
    </row>
    <row r="85" spans="1:56" hidden="1">
      <c r="A85">
        <v>16704</v>
      </c>
      <c r="B85" t="s">
        <v>410</v>
      </c>
      <c r="C85" t="s">
        <v>411</v>
      </c>
      <c r="D85" t="s">
        <v>412</v>
      </c>
      <c r="E85" t="s">
        <v>413</v>
      </c>
      <c r="F85" t="s">
        <v>414</v>
      </c>
      <c r="G85">
        <v>332.78500000000003</v>
      </c>
      <c r="H85" t="s">
        <v>58</v>
      </c>
      <c r="I85">
        <v>2</v>
      </c>
      <c r="J85">
        <v>10</v>
      </c>
      <c r="K85">
        <v>3</v>
      </c>
      <c r="L85">
        <v>36.31</v>
      </c>
      <c r="M85">
        <v>53815</v>
      </c>
      <c r="N85">
        <v>27</v>
      </c>
      <c r="O85">
        <v>13</v>
      </c>
      <c r="P85">
        <v>13</v>
      </c>
      <c r="Q85">
        <v>13</v>
      </c>
      <c r="R85">
        <v>13</v>
      </c>
      <c r="S85">
        <v>80</v>
      </c>
      <c r="T85">
        <v>80</v>
      </c>
      <c r="U85">
        <v>13</v>
      </c>
      <c r="V85">
        <v>8</v>
      </c>
      <c r="W85">
        <v>10</v>
      </c>
      <c r="X85">
        <v>11</v>
      </c>
      <c r="Y85">
        <v>11</v>
      </c>
      <c r="Z85">
        <v>13</v>
      </c>
      <c r="AA85">
        <v>12</v>
      </c>
      <c r="AB85">
        <v>12</v>
      </c>
      <c r="AC85">
        <v>12</v>
      </c>
      <c r="AD85">
        <v>9</v>
      </c>
      <c r="AE85">
        <v>11</v>
      </c>
      <c r="AF85">
        <v>6</v>
      </c>
      <c r="AG85">
        <v>9</v>
      </c>
      <c r="AH85">
        <v>10</v>
      </c>
      <c r="AI85">
        <v>14</v>
      </c>
      <c r="AJ85">
        <v>11</v>
      </c>
      <c r="AK85">
        <v>10</v>
      </c>
      <c r="AL85">
        <v>28605516</v>
      </c>
      <c r="AM85">
        <v>26284622</v>
      </c>
      <c r="AN85">
        <v>391880224</v>
      </c>
      <c r="AO85">
        <v>48399216</v>
      </c>
      <c r="AP85">
        <v>245756800</v>
      </c>
      <c r="AQ85">
        <v>254847584</v>
      </c>
      <c r="AR85">
        <v>185338128</v>
      </c>
      <c r="AS85">
        <v>47552256</v>
      </c>
      <c r="AT85" s="11">
        <v>42307692</v>
      </c>
      <c r="AU85" s="11">
        <v>67521552</v>
      </c>
      <c r="AW85" s="14">
        <v>76206968</v>
      </c>
      <c r="AX85" s="14">
        <v>60860648</v>
      </c>
      <c r="AZ85" s="16">
        <v>126080392</v>
      </c>
      <c r="BA85" s="16">
        <v>126529280</v>
      </c>
      <c r="BC85" s="18">
        <v>86915928</v>
      </c>
      <c r="BD85" s="18">
        <v>90876040</v>
      </c>
    </row>
    <row r="86" spans="1:56" hidden="1">
      <c r="A86">
        <v>16699</v>
      </c>
      <c r="B86" t="s">
        <v>415</v>
      </c>
      <c r="C86" t="s">
        <v>416</v>
      </c>
      <c r="D86" t="s">
        <v>417</v>
      </c>
      <c r="E86" t="s">
        <v>418</v>
      </c>
      <c r="F86" t="s">
        <v>419</v>
      </c>
      <c r="G86">
        <v>321.435</v>
      </c>
      <c r="H86" t="s">
        <v>58</v>
      </c>
      <c r="I86">
        <v>2</v>
      </c>
      <c r="J86">
        <v>12</v>
      </c>
      <c r="K86">
        <v>9</v>
      </c>
      <c r="L86">
        <v>60.84</v>
      </c>
      <c r="M86">
        <v>15463</v>
      </c>
      <c r="N86">
        <v>10</v>
      </c>
      <c r="O86">
        <v>7</v>
      </c>
      <c r="P86">
        <v>7</v>
      </c>
      <c r="Q86">
        <v>7</v>
      </c>
      <c r="R86">
        <v>7</v>
      </c>
      <c r="S86">
        <v>158</v>
      </c>
      <c r="T86">
        <v>158</v>
      </c>
      <c r="U86">
        <v>7</v>
      </c>
      <c r="V86">
        <v>7</v>
      </c>
      <c r="W86">
        <v>7</v>
      </c>
      <c r="X86">
        <v>5</v>
      </c>
      <c r="Y86">
        <v>6</v>
      </c>
      <c r="Z86">
        <v>6</v>
      </c>
      <c r="AA86">
        <v>7</v>
      </c>
      <c r="AB86">
        <v>6</v>
      </c>
      <c r="AC86">
        <v>7</v>
      </c>
      <c r="AD86">
        <v>42</v>
      </c>
      <c r="AE86">
        <v>46</v>
      </c>
      <c r="AF86">
        <v>7</v>
      </c>
      <c r="AG86">
        <v>7</v>
      </c>
      <c r="AH86">
        <v>15</v>
      </c>
      <c r="AI86">
        <v>15</v>
      </c>
      <c r="AJ86">
        <v>11</v>
      </c>
      <c r="AK86">
        <v>14</v>
      </c>
      <c r="AL86">
        <v>293139296</v>
      </c>
      <c r="AM86">
        <v>293829504</v>
      </c>
      <c r="AN86">
        <v>79452880</v>
      </c>
      <c r="AO86">
        <v>94274192</v>
      </c>
      <c r="AP86">
        <v>181884160</v>
      </c>
      <c r="AQ86">
        <v>206713008</v>
      </c>
      <c r="AR86">
        <v>165971344</v>
      </c>
      <c r="AS86">
        <v>189849552</v>
      </c>
      <c r="AT86" s="11">
        <v>313706880</v>
      </c>
      <c r="AU86" s="11">
        <v>322417792</v>
      </c>
      <c r="AW86" s="14">
        <v>40129772</v>
      </c>
      <c r="AX86" s="14">
        <v>34083012</v>
      </c>
      <c r="AZ86" s="16">
        <v>111570000</v>
      </c>
      <c r="BA86" s="16">
        <v>121490200</v>
      </c>
      <c r="BC86" s="18">
        <v>91379184</v>
      </c>
      <c r="BD86" s="18">
        <v>90659056</v>
      </c>
    </row>
    <row r="87" spans="1:56" hidden="1">
      <c r="A87">
        <v>16753</v>
      </c>
      <c r="B87" t="s">
        <v>420</v>
      </c>
      <c r="C87" t="s">
        <v>421</v>
      </c>
      <c r="D87" t="s">
        <v>422</v>
      </c>
      <c r="F87" t="s">
        <v>423</v>
      </c>
      <c r="G87">
        <v>319.334</v>
      </c>
      <c r="H87" t="s">
        <v>58</v>
      </c>
      <c r="I87">
        <v>2</v>
      </c>
      <c r="J87">
        <v>20</v>
      </c>
      <c r="K87">
        <v>0</v>
      </c>
      <c r="L87">
        <v>60</v>
      </c>
      <c r="M87">
        <v>8986</v>
      </c>
      <c r="N87">
        <v>4</v>
      </c>
      <c r="O87">
        <v>7</v>
      </c>
      <c r="P87">
        <v>7</v>
      </c>
      <c r="Q87">
        <v>7</v>
      </c>
      <c r="R87">
        <v>7</v>
      </c>
      <c r="S87">
        <v>732</v>
      </c>
      <c r="T87">
        <v>732</v>
      </c>
      <c r="U87">
        <v>7</v>
      </c>
      <c r="V87">
        <v>5</v>
      </c>
      <c r="W87">
        <v>4</v>
      </c>
      <c r="X87">
        <v>7</v>
      </c>
      <c r="Y87">
        <v>7</v>
      </c>
      <c r="Z87">
        <v>7</v>
      </c>
      <c r="AA87">
        <v>7</v>
      </c>
      <c r="AB87">
        <v>7</v>
      </c>
      <c r="AC87">
        <v>7</v>
      </c>
      <c r="AD87">
        <v>102</v>
      </c>
      <c r="AE87">
        <v>133</v>
      </c>
      <c r="AF87">
        <v>83</v>
      </c>
      <c r="AG87">
        <v>87</v>
      </c>
      <c r="AH87">
        <v>79</v>
      </c>
      <c r="AI87">
        <v>75</v>
      </c>
      <c r="AJ87">
        <v>78</v>
      </c>
      <c r="AK87">
        <v>95</v>
      </c>
      <c r="AL87">
        <v>1765390720</v>
      </c>
      <c r="AM87">
        <v>1772220800</v>
      </c>
      <c r="AN87">
        <v>1421424512</v>
      </c>
      <c r="AO87">
        <v>1712943488</v>
      </c>
      <c r="AP87">
        <v>1007060608</v>
      </c>
      <c r="AQ87">
        <v>1079790336</v>
      </c>
      <c r="AR87">
        <v>910056384</v>
      </c>
      <c r="AS87">
        <v>1170210176</v>
      </c>
      <c r="AT87" s="11">
        <v>436600608</v>
      </c>
      <c r="AU87" s="11">
        <v>351794112</v>
      </c>
      <c r="AW87" s="14">
        <v>707336640</v>
      </c>
      <c r="AX87" s="14">
        <v>1295470720</v>
      </c>
      <c r="AZ87" s="16">
        <v>1063375552</v>
      </c>
      <c r="BA87" s="16">
        <v>757551424</v>
      </c>
      <c r="BC87" s="18">
        <v>962607936</v>
      </c>
      <c r="BD87" s="18">
        <v>890599744</v>
      </c>
    </row>
    <row r="88" spans="1:56" hidden="1">
      <c r="A88">
        <v>16725</v>
      </c>
      <c r="B88" t="s">
        <v>424</v>
      </c>
      <c r="C88" t="s">
        <v>425</v>
      </c>
      <c r="D88" t="s">
        <v>426</v>
      </c>
      <c r="F88" t="s">
        <v>427</v>
      </c>
      <c r="G88">
        <v>317.678</v>
      </c>
      <c r="H88" t="s">
        <v>58</v>
      </c>
      <c r="I88">
        <v>2</v>
      </c>
      <c r="J88">
        <v>16</v>
      </c>
      <c r="K88">
        <v>0</v>
      </c>
      <c r="L88">
        <v>53.47</v>
      </c>
      <c r="M88">
        <v>11580</v>
      </c>
      <c r="N88">
        <v>7</v>
      </c>
      <c r="O88">
        <v>11</v>
      </c>
      <c r="P88">
        <v>2</v>
      </c>
      <c r="Q88">
        <v>11</v>
      </c>
      <c r="R88">
        <v>2</v>
      </c>
      <c r="S88">
        <v>1413</v>
      </c>
      <c r="T88">
        <v>757</v>
      </c>
      <c r="U88">
        <v>2</v>
      </c>
      <c r="V88">
        <v>2</v>
      </c>
      <c r="W88">
        <v>2</v>
      </c>
      <c r="X88">
        <v>2</v>
      </c>
      <c r="Y88">
        <v>2</v>
      </c>
      <c r="Z88">
        <v>2</v>
      </c>
      <c r="AA88">
        <v>2</v>
      </c>
      <c r="AB88">
        <v>2</v>
      </c>
      <c r="AC88">
        <v>2</v>
      </c>
      <c r="AD88">
        <v>101</v>
      </c>
      <c r="AE88">
        <v>113</v>
      </c>
      <c r="AF88">
        <v>92</v>
      </c>
      <c r="AG88">
        <v>81</v>
      </c>
      <c r="AH88">
        <v>100</v>
      </c>
      <c r="AI88">
        <v>100</v>
      </c>
      <c r="AJ88">
        <v>85</v>
      </c>
      <c r="AK88">
        <v>85</v>
      </c>
      <c r="AL88">
        <v>555466816</v>
      </c>
      <c r="AM88">
        <v>516959296</v>
      </c>
      <c r="AN88">
        <v>859135040</v>
      </c>
      <c r="AO88">
        <v>1312527232</v>
      </c>
      <c r="AP88">
        <v>722952000</v>
      </c>
      <c r="AQ88">
        <v>741898240</v>
      </c>
      <c r="AR88">
        <v>721151552</v>
      </c>
      <c r="AS88">
        <v>655127872</v>
      </c>
      <c r="AT88" s="11">
        <v>37913516</v>
      </c>
      <c r="AU88" s="11">
        <v>48139752</v>
      </c>
      <c r="AW88" s="14">
        <v>61049296</v>
      </c>
      <c r="AX88" s="14">
        <v>92697776</v>
      </c>
      <c r="AZ88" s="16">
        <v>136442560</v>
      </c>
      <c r="BA88" s="16">
        <v>129593976</v>
      </c>
      <c r="BC88" s="18">
        <v>137672256</v>
      </c>
      <c r="BD88" s="18">
        <v>139516896</v>
      </c>
    </row>
    <row r="89" spans="1:56" hidden="1">
      <c r="A89">
        <v>16730</v>
      </c>
      <c r="B89" t="s">
        <v>428</v>
      </c>
      <c r="C89" t="s">
        <v>429</v>
      </c>
      <c r="D89" t="s">
        <v>430</v>
      </c>
      <c r="E89" t="s">
        <v>431</v>
      </c>
      <c r="F89" t="s">
        <v>432</v>
      </c>
      <c r="G89">
        <v>307.50099999999998</v>
      </c>
      <c r="H89" t="s">
        <v>58</v>
      </c>
      <c r="I89">
        <v>2</v>
      </c>
      <c r="J89">
        <v>19</v>
      </c>
      <c r="K89">
        <v>2</v>
      </c>
      <c r="L89">
        <v>31.33</v>
      </c>
      <c r="M89">
        <v>51559</v>
      </c>
      <c r="N89">
        <v>27</v>
      </c>
      <c r="O89">
        <v>10</v>
      </c>
      <c r="P89">
        <v>10</v>
      </c>
      <c r="Q89">
        <v>10</v>
      </c>
      <c r="R89">
        <v>10</v>
      </c>
      <c r="S89">
        <v>21</v>
      </c>
      <c r="T89">
        <v>21</v>
      </c>
      <c r="U89">
        <v>10</v>
      </c>
      <c r="V89">
        <v>5</v>
      </c>
      <c r="W89">
        <v>6</v>
      </c>
      <c r="X89">
        <v>9</v>
      </c>
      <c r="Y89">
        <v>10</v>
      </c>
      <c r="Z89">
        <v>9</v>
      </c>
      <c r="AA89">
        <v>10</v>
      </c>
      <c r="AB89">
        <v>10</v>
      </c>
      <c r="AC89">
        <v>10</v>
      </c>
      <c r="AD89">
        <v>1</v>
      </c>
      <c r="AE89">
        <v>1</v>
      </c>
      <c r="AF89">
        <v>2</v>
      </c>
      <c r="AG89">
        <v>11</v>
      </c>
      <c r="AH89">
        <v>0</v>
      </c>
      <c r="AI89">
        <v>3</v>
      </c>
      <c r="AJ89">
        <v>1</v>
      </c>
      <c r="AK89">
        <v>3</v>
      </c>
      <c r="AL89">
        <v>85934672</v>
      </c>
      <c r="AM89">
        <v>92816328</v>
      </c>
      <c r="AN89">
        <v>156380960</v>
      </c>
      <c r="AO89">
        <v>180032832</v>
      </c>
      <c r="AP89">
        <v>72190072</v>
      </c>
      <c r="AQ89">
        <v>78196968</v>
      </c>
      <c r="AR89">
        <v>193831392</v>
      </c>
      <c r="AS89">
        <v>259092112</v>
      </c>
      <c r="AT89" s="11">
        <v>4092697.75</v>
      </c>
      <c r="AU89" s="11">
        <v>40787676</v>
      </c>
      <c r="AW89" s="14">
        <v>107240680</v>
      </c>
      <c r="AX89" s="14">
        <v>119789200</v>
      </c>
      <c r="AZ89" s="16">
        <v>79395096</v>
      </c>
      <c r="BA89" s="16">
        <v>84384464</v>
      </c>
      <c r="BC89" s="18">
        <v>85182224</v>
      </c>
      <c r="BD89" s="18">
        <v>83615200</v>
      </c>
    </row>
    <row r="90" spans="1:56" hidden="1">
      <c r="A90">
        <v>16773</v>
      </c>
      <c r="B90" t="s">
        <v>433</v>
      </c>
      <c r="C90" t="s">
        <v>434</v>
      </c>
      <c r="D90" t="s">
        <v>435</v>
      </c>
      <c r="F90" t="s">
        <v>436</v>
      </c>
      <c r="G90">
        <v>306.71199999999999</v>
      </c>
      <c r="H90" t="s">
        <v>58</v>
      </c>
      <c r="I90">
        <v>2</v>
      </c>
      <c r="J90">
        <v>21</v>
      </c>
      <c r="K90">
        <v>0</v>
      </c>
      <c r="L90">
        <v>63.16</v>
      </c>
      <c r="M90">
        <v>15154</v>
      </c>
      <c r="N90">
        <v>10</v>
      </c>
      <c r="O90">
        <v>7</v>
      </c>
      <c r="P90">
        <v>7</v>
      </c>
      <c r="Q90">
        <v>7</v>
      </c>
      <c r="R90">
        <v>7</v>
      </c>
      <c r="S90">
        <v>73</v>
      </c>
      <c r="T90">
        <v>73</v>
      </c>
      <c r="U90">
        <v>7</v>
      </c>
      <c r="V90">
        <v>6</v>
      </c>
      <c r="W90">
        <v>6</v>
      </c>
      <c r="X90">
        <v>6</v>
      </c>
      <c r="Y90">
        <v>7</v>
      </c>
      <c r="Z90">
        <v>6</v>
      </c>
      <c r="AA90">
        <v>6</v>
      </c>
      <c r="AB90">
        <v>7</v>
      </c>
      <c r="AC90">
        <v>7</v>
      </c>
      <c r="AD90">
        <v>12</v>
      </c>
      <c r="AE90">
        <v>7</v>
      </c>
      <c r="AF90">
        <v>9</v>
      </c>
      <c r="AG90">
        <v>12</v>
      </c>
      <c r="AH90">
        <v>9</v>
      </c>
      <c r="AI90">
        <v>9</v>
      </c>
      <c r="AJ90">
        <v>9</v>
      </c>
      <c r="AK90">
        <v>6</v>
      </c>
      <c r="AL90">
        <v>83383256</v>
      </c>
      <c r="AM90">
        <v>78841512</v>
      </c>
      <c r="AN90">
        <v>158210208</v>
      </c>
      <c r="AO90">
        <v>184838320</v>
      </c>
      <c r="AP90">
        <v>87238584</v>
      </c>
      <c r="AQ90">
        <v>98238640</v>
      </c>
      <c r="AR90">
        <v>90432208</v>
      </c>
      <c r="AS90">
        <v>68239712</v>
      </c>
      <c r="AT90" s="11">
        <v>90523208</v>
      </c>
      <c r="AU90" s="11">
        <v>64383368</v>
      </c>
      <c r="AW90" s="14">
        <v>69080872</v>
      </c>
      <c r="AX90" s="14">
        <v>70306224</v>
      </c>
      <c r="AZ90" s="16">
        <v>57006220</v>
      </c>
      <c r="BA90" s="16">
        <v>56330036</v>
      </c>
      <c r="BC90" s="18">
        <v>52838568</v>
      </c>
      <c r="BD90" s="18">
        <v>38541236</v>
      </c>
    </row>
    <row r="91" spans="1:56" hidden="1">
      <c r="A91">
        <v>16689</v>
      </c>
      <c r="B91" t="s">
        <v>437</v>
      </c>
      <c r="C91" t="s">
        <v>438</v>
      </c>
      <c r="D91" t="s">
        <v>437</v>
      </c>
      <c r="F91" t="s">
        <v>439</v>
      </c>
      <c r="G91">
        <v>297.51600000000002</v>
      </c>
      <c r="H91" t="s">
        <v>58</v>
      </c>
      <c r="I91">
        <v>2</v>
      </c>
      <c r="J91">
        <v>1</v>
      </c>
      <c r="K91">
        <v>0</v>
      </c>
      <c r="L91">
        <v>46.99</v>
      </c>
      <c r="M91">
        <v>28633</v>
      </c>
      <c r="N91">
        <v>14</v>
      </c>
      <c r="O91">
        <v>8</v>
      </c>
      <c r="P91">
        <v>8</v>
      </c>
      <c r="Q91">
        <v>8</v>
      </c>
      <c r="R91">
        <v>8</v>
      </c>
      <c r="S91">
        <v>39</v>
      </c>
      <c r="T91">
        <v>39</v>
      </c>
      <c r="U91">
        <v>8</v>
      </c>
      <c r="V91">
        <v>5</v>
      </c>
      <c r="W91">
        <v>4</v>
      </c>
      <c r="X91">
        <v>5</v>
      </c>
      <c r="Y91">
        <v>8</v>
      </c>
      <c r="Z91">
        <v>7</v>
      </c>
      <c r="AA91">
        <v>8</v>
      </c>
      <c r="AB91">
        <v>8</v>
      </c>
      <c r="AC91">
        <v>8</v>
      </c>
      <c r="AD91">
        <v>2</v>
      </c>
      <c r="AE91">
        <v>2</v>
      </c>
      <c r="AF91">
        <v>4</v>
      </c>
      <c r="AG91">
        <v>7</v>
      </c>
      <c r="AH91">
        <v>5</v>
      </c>
      <c r="AI91">
        <v>6</v>
      </c>
      <c r="AJ91">
        <v>6</v>
      </c>
      <c r="AK91">
        <v>7</v>
      </c>
      <c r="AL91">
        <v>5135334</v>
      </c>
      <c r="AM91">
        <v>4126657.5</v>
      </c>
      <c r="AN91">
        <v>18890034</v>
      </c>
      <c r="AO91">
        <v>29347892</v>
      </c>
      <c r="AP91">
        <v>13567132</v>
      </c>
      <c r="AQ91">
        <v>14231710</v>
      </c>
      <c r="AR91">
        <v>14934888</v>
      </c>
      <c r="AS91">
        <v>15918568</v>
      </c>
      <c r="AT91" s="11">
        <v>4877041.5</v>
      </c>
      <c r="AU91" s="11">
        <v>1381226.25</v>
      </c>
      <c r="AW91" s="14">
        <v>7731622.5</v>
      </c>
      <c r="AX91" s="14">
        <v>11516428</v>
      </c>
      <c r="AZ91" s="16">
        <v>6605317.5</v>
      </c>
      <c r="BA91" s="16">
        <v>8585543</v>
      </c>
      <c r="BC91" s="18">
        <v>8880927</v>
      </c>
      <c r="BD91" s="18">
        <v>8793157</v>
      </c>
    </row>
    <row r="92" spans="1:56" hidden="1">
      <c r="A92">
        <v>16863</v>
      </c>
      <c r="B92" t="s">
        <v>440</v>
      </c>
      <c r="C92" t="s">
        <v>441</v>
      </c>
      <c r="D92" t="s">
        <v>442</v>
      </c>
      <c r="E92" t="s">
        <v>443</v>
      </c>
      <c r="F92" t="s">
        <v>444</v>
      </c>
      <c r="G92">
        <v>285.24299999999999</v>
      </c>
      <c r="H92" t="s">
        <v>58</v>
      </c>
      <c r="I92">
        <v>2</v>
      </c>
      <c r="J92">
        <v>2</v>
      </c>
      <c r="K92">
        <v>1</v>
      </c>
      <c r="L92">
        <v>22.57</v>
      </c>
      <c r="M92">
        <v>38009</v>
      </c>
      <c r="N92">
        <v>19</v>
      </c>
      <c r="O92">
        <v>6</v>
      </c>
      <c r="P92">
        <v>6</v>
      </c>
      <c r="Q92">
        <v>6</v>
      </c>
      <c r="R92">
        <v>6</v>
      </c>
      <c r="S92">
        <v>63</v>
      </c>
      <c r="T92">
        <v>63</v>
      </c>
      <c r="U92">
        <v>6</v>
      </c>
      <c r="V92">
        <v>3</v>
      </c>
      <c r="W92">
        <v>4</v>
      </c>
      <c r="X92">
        <v>6</v>
      </c>
      <c r="Y92">
        <v>6</v>
      </c>
      <c r="Z92">
        <v>6</v>
      </c>
      <c r="AA92">
        <v>6</v>
      </c>
      <c r="AB92">
        <v>6</v>
      </c>
      <c r="AC92">
        <v>6</v>
      </c>
      <c r="AD92">
        <v>2</v>
      </c>
      <c r="AE92">
        <v>1</v>
      </c>
      <c r="AF92">
        <v>11</v>
      </c>
      <c r="AG92">
        <v>11</v>
      </c>
      <c r="AH92">
        <v>12</v>
      </c>
      <c r="AI92">
        <v>10</v>
      </c>
      <c r="AJ92">
        <v>8</v>
      </c>
      <c r="AK92">
        <v>8</v>
      </c>
      <c r="AL92">
        <v>19685512</v>
      </c>
      <c r="AM92">
        <v>35007324</v>
      </c>
      <c r="AN92">
        <v>114294704</v>
      </c>
      <c r="AO92">
        <v>176193056</v>
      </c>
      <c r="AP92">
        <v>76855928</v>
      </c>
      <c r="AQ92">
        <v>208380128</v>
      </c>
      <c r="AR92">
        <v>79908432</v>
      </c>
      <c r="AS92">
        <v>82303792</v>
      </c>
      <c r="AT92" s="11">
        <v>891917.19</v>
      </c>
      <c r="AU92" s="11">
        <v>586075.5</v>
      </c>
      <c r="AW92" s="14">
        <v>81079464</v>
      </c>
      <c r="AX92" s="14">
        <v>100137240</v>
      </c>
      <c r="AZ92" s="16">
        <v>70756304</v>
      </c>
      <c r="BA92" s="16">
        <v>85968960</v>
      </c>
      <c r="BC92" s="18">
        <v>75095416</v>
      </c>
      <c r="BD92" s="18">
        <v>66004788</v>
      </c>
    </row>
    <row r="93" spans="1:56" hidden="1">
      <c r="A93">
        <v>16771</v>
      </c>
      <c r="B93" t="s">
        <v>445</v>
      </c>
      <c r="C93" t="s">
        <v>446</v>
      </c>
      <c r="D93" t="s">
        <v>447</v>
      </c>
      <c r="E93" t="s">
        <v>448</v>
      </c>
      <c r="F93" t="s">
        <v>449</v>
      </c>
      <c r="G93">
        <v>284.33100000000002</v>
      </c>
      <c r="H93" t="s">
        <v>58</v>
      </c>
      <c r="I93">
        <v>2</v>
      </c>
      <c r="J93">
        <v>6</v>
      </c>
      <c r="K93">
        <v>15</v>
      </c>
      <c r="L93">
        <v>35.880000000000003</v>
      </c>
      <c r="M93">
        <v>27337</v>
      </c>
      <c r="N93">
        <v>7</v>
      </c>
      <c r="O93">
        <v>6</v>
      </c>
      <c r="P93">
        <v>6</v>
      </c>
      <c r="Q93">
        <v>6</v>
      </c>
      <c r="R93">
        <v>6</v>
      </c>
      <c r="S93">
        <v>35</v>
      </c>
      <c r="T93">
        <v>35</v>
      </c>
      <c r="U93">
        <v>6</v>
      </c>
      <c r="V93">
        <v>3</v>
      </c>
      <c r="W93">
        <v>4</v>
      </c>
      <c r="X93">
        <v>4</v>
      </c>
      <c r="Y93">
        <v>6</v>
      </c>
      <c r="Z93">
        <v>6</v>
      </c>
      <c r="AA93">
        <v>5</v>
      </c>
      <c r="AB93">
        <v>6</v>
      </c>
      <c r="AC93">
        <v>6</v>
      </c>
      <c r="AD93">
        <v>3</v>
      </c>
      <c r="AE93">
        <v>1</v>
      </c>
      <c r="AF93">
        <v>4</v>
      </c>
      <c r="AG93">
        <v>5</v>
      </c>
      <c r="AH93">
        <v>7</v>
      </c>
      <c r="AI93">
        <v>4</v>
      </c>
      <c r="AJ93">
        <v>5</v>
      </c>
      <c r="AK93">
        <v>5</v>
      </c>
      <c r="AL93">
        <v>8282245.5</v>
      </c>
      <c r="AM93">
        <v>9991462</v>
      </c>
      <c r="AN93">
        <v>26045228</v>
      </c>
      <c r="AO93">
        <v>32480930</v>
      </c>
      <c r="AP93">
        <v>24338314</v>
      </c>
      <c r="AQ93">
        <v>26569818</v>
      </c>
      <c r="AR93">
        <v>24556366</v>
      </c>
      <c r="AS93">
        <v>26702522</v>
      </c>
      <c r="AT93" s="11">
        <v>8405412</v>
      </c>
      <c r="AU93" s="11">
        <v>7682900</v>
      </c>
      <c r="AW93" s="14">
        <v>11239710</v>
      </c>
      <c r="AX93" s="14">
        <v>9562922</v>
      </c>
      <c r="AZ93" s="16">
        <v>15793011</v>
      </c>
      <c r="BA93" s="16">
        <v>16544955</v>
      </c>
      <c r="BC93" s="18">
        <v>15399817</v>
      </c>
      <c r="BD93" s="18">
        <v>15436980</v>
      </c>
    </row>
    <row r="94" spans="1:56" s="19" customFormat="1" hidden="1">
      <c r="A94" s="19">
        <v>16802</v>
      </c>
      <c r="B94" s="19" t="s">
        <v>450</v>
      </c>
      <c r="D94" s="19" t="s">
        <v>450</v>
      </c>
      <c r="F94" s="19" t="s">
        <v>451</v>
      </c>
      <c r="G94" s="19">
        <v>270.84100000000001</v>
      </c>
      <c r="H94" s="19" t="s">
        <v>58</v>
      </c>
      <c r="I94" s="19">
        <v>2</v>
      </c>
      <c r="J94" s="19">
        <v>1</v>
      </c>
      <c r="K94" s="19">
        <v>0</v>
      </c>
      <c r="L94" s="19">
        <v>25.11</v>
      </c>
      <c r="M94" s="19">
        <v>24409</v>
      </c>
      <c r="N94" s="19">
        <v>12</v>
      </c>
      <c r="O94" s="19">
        <v>4</v>
      </c>
      <c r="P94" s="19">
        <v>4</v>
      </c>
      <c r="Q94" s="19">
        <v>5</v>
      </c>
      <c r="R94" s="19">
        <v>5</v>
      </c>
      <c r="S94" s="19">
        <v>421</v>
      </c>
      <c r="T94" s="19">
        <v>421</v>
      </c>
      <c r="U94" s="19">
        <v>5</v>
      </c>
      <c r="V94" s="19">
        <v>5</v>
      </c>
      <c r="W94" s="19">
        <v>5</v>
      </c>
      <c r="X94" s="19">
        <v>4</v>
      </c>
      <c r="Y94" s="19">
        <v>5</v>
      </c>
      <c r="Z94" s="19">
        <v>4</v>
      </c>
      <c r="AA94" s="19">
        <v>5</v>
      </c>
      <c r="AB94" s="19">
        <v>5</v>
      </c>
      <c r="AC94" s="19">
        <v>4</v>
      </c>
      <c r="AD94" s="19">
        <v>46</v>
      </c>
      <c r="AE94" s="19">
        <v>45</v>
      </c>
      <c r="AF94" s="19">
        <v>27</v>
      </c>
      <c r="AG94" s="19">
        <v>31</v>
      </c>
      <c r="AH94" s="19">
        <v>64</v>
      </c>
      <c r="AI94" s="19">
        <v>71</v>
      </c>
      <c r="AJ94" s="19">
        <v>71</v>
      </c>
      <c r="AK94" s="19">
        <v>66</v>
      </c>
      <c r="AL94" s="19">
        <v>1026200128</v>
      </c>
      <c r="AM94" s="19">
        <v>971142016</v>
      </c>
      <c r="AN94" s="19">
        <v>1031823232</v>
      </c>
      <c r="AO94" s="19">
        <v>1121117568</v>
      </c>
      <c r="AP94" s="19">
        <v>1054858624</v>
      </c>
      <c r="AQ94" s="19">
        <v>1085889280</v>
      </c>
      <c r="AR94" s="19">
        <v>918272192</v>
      </c>
      <c r="AS94" s="19">
        <v>939814656</v>
      </c>
      <c r="AT94" s="20">
        <v>748378880</v>
      </c>
      <c r="AU94" s="20">
        <v>670937600</v>
      </c>
      <c r="AV94" s="20"/>
      <c r="AW94" s="21">
        <v>416678688</v>
      </c>
      <c r="AX94" s="21">
        <v>458414464</v>
      </c>
      <c r="AY94" s="21"/>
      <c r="AZ94" s="22">
        <v>684117696</v>
      </c>
      <c r="BA94" s="22">
        <v>746946624</v>
      </c>
      <c r="BB94" s="22"/>
      <c r="BC94" s="23">
        <v>692789952</v>
      </c>
      <c r="BD94" s="23">
        <v>624637760</v>
      </c>
    </row>
    <row r="95" spans="1:56" hidden="1">
      <c r="A95">
        <v>16660</v>
      </c>
      <c r="B95" t="s">
        <v>452</v>
      </c>
      <c r="C95" t="s">
        <v>453</v>
      </c>
      <c r="D95" t="s">
        <v>454</v>
      </c>
      <c r="F95" t="s">
        <v>455</v>
      </c>
      <c r="G95">
        <v>262.96499999999997</v>
      </c>
      <c r="H95" t="s">
        <v>58</v>
      </c>
      <c r="I95">
        <v>2</v>
      </c>
      <c r="J95">
        <v>21</v>
      </c>
      <c r="K95">
        <v>0</v>
      </c>
      <c r="L95">
        <v>47.97</v>
      </c>
      <c r="M95">
        <v>13540</v>
      </c>
      <c r="N95">
        <v>7</v>
      </c>
      <c r="O95">
        <v>9</v>
      </c>
      <c r="P95">
        <v>9</v>
      </c>
      <c r="Q95">
        <v>11</v>
      </c>
      <c r="R95">
        <v>11</v>
      </c>
      <c r="S95">
        <v>382</v>
      </c>
      <c r="T95">
        <v>382</v>
      </c>
      <c r="U95">
        <v>11</v>
      </c>
      <c r="V95">
        <v>11</v>
      </c>
      <c r="W95">
        <v>10</v>
      </c>
      <c r="X95">
        <v>9</v>
      </c>
      <c r="Y95">
        <v>9</v>
      </c>
      <c r="Z95">
        <v>10</v>
      </c>
      <c r="AA95">
        <v>10</v>
      </c>
      <c r="AB95">
        <v>9</v>
      </c>
      <c r="AC95">
        <v>10</v>
      </c>
      <c r="AD95">
        <v>72</v>
      </c>
      <c r="AE95">
        <v>81</v>
      </c>
      <c r="AF95">
        <v>20</v>
      </c>
      <c r="AG95">
        <v>35</v>
      </c>
      <c r="AH95">
        <v>43</v>
      </c>
      <c r="AI95">
        <v>47</v>
      </c>
      <c r="AJ95">
        <v>42</v>
      </c>
      <c r="AK95">
        <v>41</v>
      </c>
      <c r="AL95">
        <v>588458048</v>
      </c>
      <c r="AM95">
        <v>593927936</v>
      </c>
      <c r="AN95">
        <v>371452096</v>
      </c>
      <c r="AO95">
        <v>613759744</v>
      </c>
      <c r="AP95">
        <v>436400992</v>
      </c>
      <c r="AQ95">
        <v>545170496</v>
      </c>
      <c r="AR95">
        <v>499518080</v>
      </c>
      <c r="AS95">
        <v>424520032</v>
      </c>
      <c r="AT95" s="11">
        <v>652688128</v>
      </c>
      <c r="AU95" s="11">
        <v>743906944</v>
      </c>
      <c r="AW95" s="14">
        <v>200332800</v>
      </c>
      <c r="AX95" s="14">
        <v>187852528</v>
      </c>
      <c r="AZ95" s="16">
        <v>293445024</v>
      </c>
      <c r="BA95" s="16">
        <v>336629152</v>
      </c>
      <c r="BC95" s="18">
        <v>298274272</v>
      </c>
      <c r="BD95" s="18">
        <v>214258528</v>
      </c>
    </row>
    <row r="96" spans="1:56" hidden="1">
      <c r="A96">
        <v>16714</v>
      </c>
      <c r="B96" t="s">
        <v>456</v>
      </c>
      <c r="C96" t="s">
        <v>457</v>
      </c>
      <c r="D96" t="s">
        <v>458</v>
      </c>
      <c r="F96" t="s">
        <v>459</v>
      </c>
      <c r="G96">
        <v>261.09699999999998</v>
      </c>
      <c r="H96" t="s">
        <v>58</v>
      </c>
      <c r="I96">
        <v>2</v>
      </c>
      <c r="J96">
        <v>3</v>
      </c>
      <c r="K96">
        <v>0</v>
      </c>
      <c r="L96">
        <v>46.43</v>
      </c>
      <c r="M96">
        <v>20852</v>
      </c>
      <c r="N96">
        <v>5</v>
      </c>
      <c r="O96">
        <v>5</v>
      </c>
      <c r="P96">
        <v>5</v>
      </c>
      <c r="Q96">
        <v>5</v>
      </c>
      <c r="R96">
        <v>5</v>
      </c>
      <c r="S96">
        <v>77</v>
      </c>
      <c r="T96">
        <v>77</v>
      </c>
      <c r="U96">
        <v>5</v>
      </c>
      <c r="V96">
        <v>3</v>
      </c>
      <c r="W96">
        <v>3</v>
      </c>
      <c r="X96">
        <v>5</v>
      </c>
      <c r="Y96">
        <v>5</v>
      </c>
      <c r="Z96">
        <v>4</v>
      </c>
      <c r="AA96">
        <v>4</v>
      </c>
      <c r="AB96">
        <v>5</v>
      </c>
      <c r="AC96">
        <v>5</v>
      </c>
      <c r="AD96">
        <v>0</v>
      </c>
      <c r="AE96">
        <v>0</v>
      </c>
      <c r="AF96">
        <v>15</v>
      </c>
      <c r="AG96">
        <v>16</v>
      </c>
      <c r="AH96">
        <v>13</v>
      </c>
      <c r="AI96">
        <v>13</v>
      </c>
      <c r="AJ96">
        <v>7</v>
      </c>
      <c r="AK96">
        <v>12</v>
      </c>
      <c r="AL96">
        <v>14249614</v>
      </c>
      <c r="AM96">
        <v>8878714</v>
      </c>
      <c r="AN96">
        <v>43281124</v>
      </c>
      <c r="AO96">
        <v>88288144</v>
      </c>
      <c r="AP96">
        <v>49793308</v>
      </c>
      <c r="AQ96">
        <v>58982596</v>
      </c>
      <c r="AR96">
        <v>58060548</v>
      </c>
      <c r="AS96">
        <v>65911980</v>
      </c>
      <c r="AT96" s="11">
        <v>13484303</v>
      </c>
      <c r="AU96" s="11">
        <v>10849554</v>
      </c>
      <c r="AW96" s="14">
        <v>21997814</v>
      </c>
      <c r="AX96" s="14">
        <v>27719122</v>
      </c>
      <c r="AZ96" s="16">
        <v>30030364</v>
      </c>
      <c r="BA96" s="16">
        <v>32074992</v>
      </c>
      <c r="BC96" s="18">
        <v>29426924</v>
      </c>
      <c r="BD96" s="18">
        <v>30697658</v>
      </c>
    </row>
    <row r="97" spans="1:56" hidden="1">
      <c r="A97">
        <v>16827</v>
      </c>
      <c r="B97" t="s">
        <v>460</v>
      </c>
      <c r="C97" t="s">
        <v>461</v>
      </c>
      <c r="D97" t="s">
        <v>462</v>
      </c>
      <c r="F97" t="s">
        <v>463</v>
      </c>
      <c r="G97">
        <v>251.66499999999999</v>
      </c>
      <c r="H97" t="s">
        <v>58</v>
      </c>
      <c r="I97">
        <v>2</v>
      </c>
      <c r="J97">
        <v>3</v>
      </c>
      <c r="K97">
        <v>0</v>
      </c>
      <c r="L97">
        <v>46.62</v>
      </c>
      <c r="M97">
        <v>16794</v>
      </c>
      <c r="N97">
        <v>9</v>
      </c>
      <c r="O97">
        <v>5</v>
      </c>
      <c r="P97">
        <v>5</v>
      </c>
      <c r="Q97">
        <v>5</v>
      </c>
      <c r="R97">
        <v>5</v>
      </c>
      <c r="S97">
        <v>56</v>
      </c>
      <c r="T97">
        <v>56</v>
      </c>
      <c r="U97">
        <v>5</v>
      </c>
      <c r="V97">
        <v>4</v>
      </c>
      <c r="W97">
        <v>3</v>
      </c>
      <c r="X97">
        <v>5</v>
      </c>
      <c r="Y97">
        <v>5</v>
      </c>
      <c r="Z97">
        <v>5</v>
      </c>
      <c r="AA97">
        <v>5</v>
      </c>
      <c r="AB97">
        <v>5</v>
      </c>
      <c r="AC97">
        <v>5</v>
      </c>
      <c r="AD97">
        <v>3</v>
      </c>
      <c r="AE97">
        <v>4</v>
      </c>
      <c r="AF97">
        <v>9</v>
      </c>
      <c r="AG97">
        <v>9</v>
      </c>
      <c r="AH97">
        <v>8</v>
      </c>
      <c r="AI97">
        <v>10</v>
      </c>
      <c r="AJ97">
        <v>6</v>
      </c>
      <c r="AK97">
        <v>7</v>
      </c>
      <c r="AL97">
        <v>19331596</v>
      </c>
      <c r="AM97">
        <v>18727552</v>
      </c>
      <c r="AN97">
        <v>74735600</v>
      </c>
      <c r="AO97">
        <v>115859240</v>
      </c>
      <c r="AP97">
        <v>47824344</v>
      </c>
      <c r="AQ97">
        <v>55365004</v>
      </c>
      <c r="AR97">
        <v>53446440</v>
      </c>
      <c r="AS97">
        <v>63112828</v>
      </c>
      <c r="AT97" s="11">
        <v>3352492</v>
      </c>
      <c r="AU97" s="11">
        <v>2378300.75</v>
      </c>
      <c r="AW97" s="14">
        <v>39996276</v>
      </c>
      <c r="AX97" s="14">
        <v>54997128</v>
      </c>
      <c r="AZ97" s="16">
        <v>26666372</v>
      </c>
      <c r="BA97" s="16">
        <v>44370024</v>
      </c>
      <c r="BC97" s="18">
        <v>39274628</v>
      </c>
      <c r="BD97" s="18">
        <v>43384508</v>
      </c>
    </row>
    <row r="98" spans="1:56" hidden="1">
      <c r="A98">
        <v>16708</v>
      </c>
      <c r="B98" t="s">
        <v>464</v>
      </c>
      <c r="C98" t="s">
        <v>465</v>
      </c>
      <c r="D98" t="s">
        <v>466</v>
      </c>
      <c r="F98" t="s">
        <v>467</v>
      </c>
      <c r="G98">
        <v>247.39400000000001</v>
      </c>
      <c r="H98" t="s">
        <v>58</v>
      </c>
      <c r="I98">
        <v>2</v>
      </c>
      <c r="J98">
        <v>20</v>
      </c>
      <c r="K98">
        <v>0</v>
      </c>
      <c r="L98">
        <v>71.430000000000007</v>
      </c>
      <c r="M98">
        <v>7273</v>
      </c>
      <c r="N98">
        <v>4</v>
      </c>
      <c r="O98">
        <v>7</v>
      </c>
      <c r="P98">
        <v>7</v>
      </c>
      <c r="Q98">
        <v>8</v>
      </c>
      <c r="R98">
        <v>8</v>
      </c>
      <c r="S98">
        <v>206</v>
      </c>
      <c r="T98">
        <v>206</v>
      </c>
      <c r="U98">
        <v>8</v>
      </c>
      <c r="V98">
        <v>5</v>
      </c>
      <c r="W98">
        <v>5</v>
      </c>
      <c r="X98">
        <v>7</v>
      </c>
      <c r="Y98">
        <v>8</v>
      </c>
      <c r="Z98">
        <v>8</v>
      </c>
      <c r="AA98">
        <v>8</v>
      </c>
      <c r="AB98">
        <v>8</v>
      </c>
      <c r="AC98">
        <v>8</v>
      </c>
      <c r="AD98">
        <v>41</v>
      </c>
      <c r="AE98">
        <v>47</v>
      </c>
      <c r="AF98">
        <v>12</v>
      </c>
      <c r="AG98">
        <v>17</v>
      </c>
      <c r="AH98">
        <v>21</v>
      </c>
      <c r="AI98">
        <v>21</v>
      </c>
      <c r="AJ98">
        <v>26</v>
      </c>
      <c r="AK98">
        <v>21</v>
      </c>
      <c r="AL98">
        <v>135888784</v>
      </c>
      <c r="AM98">
        <v>126266976</v>
      </c>
      <c r="AN98">
        <v>125686112</v>
      </c>
      <c r="AO98">
        <v>256956448</v>
      </c>
      <c r="AP98">
        <v>154683216</v>
      </c>
      <c r="AQ98">
        <v>190311120</v>
      </c>
      <c r="AR98">
        <v>175730384</v>
      </c>
      <c r="AS98">
        <v>151090064</v>
      </c>
      <c r="AT98" s="11">
        <v>149749792</v>
      </c>
      <c r="AU98" s="11">
        <v>97690688</v>
      </c>
      <c r="AW98" s="14">
        <v>71643800</v>
      </c>
      <c r="AX98" s="14">
        <v>116881904</v>
      </c>
      <c r="AZ98" s="16">
        <v>110792696</v>
      </c>
      <c r="BA98" s="16">
        <v>123905392</v>
      </c>
      <c r="BC98" s="18">
        <v>111220048</v>
      </c>
      <c r="BD98" s="18">
        <v>83904696</v>
      </c>
    </row>
    <row r="99" spans="1:56" hidden="1">
      <c r="A99">
        <v>16715</v>
      </c>
      <c r="B99" t="s">
        <v>468</v>
      </c>
      <c r="C99" t="s">
        <v>469</v>
      </c>
      <c r="D99" t="s">
        <v>470</v>
      </c>
      <c r="E99" t="s">
        <v>471</v>
      </c>
      <c r="F99" t="s">
        <v>472</v>
      </c>
      <c r="G99">
        <v>235.785</v>
      </c>
      <c r="H99" t="s">
        <v>58</v>
      </c>
      <c r="I99">
        <v>2</v>
      </c>
      <c r="J99">
        <v>14</v>
      </c>
      <c r="K99">
        <v>7</v>
      </c>
      <c r="L99">
        <v>74.040000000000006</v>
      </c>
      <c r="M99">
        <v>11316</v>
      </c>
      <c r="N99">
        <v>6</v>
      </c>
      <c r="O99">
        <v>10</v>
      </c>
      <c r="P99">
        <v>10</v>
      </c>
      <c r="Q99">
        <v>10</v>
      </c>
      <c r="R99">
        <v>10</v>
      </c>
      <c r="S99">
        <v>128</v>
      </c>
      <c r="T99">
        <v>128</v>
      </c>
      <c r="U99">
        <v>10</v>
      </c>
      <c r="V99">
        <v>6</v>
      </c>
      <c r="W99">
        <v>7</v>
      </c>
      <c r="X99">
        <v>6</v>
      </c>
      <c r="Y99">
        <v>6</v>
      </c>
      <c r="Z99">
        <v>8</v>
      </c>
      <c r="AA99">
        <v>8</v>
      </c>
      <c r="AB99">
        <v>8</v>
      </c>
      <c r="AC99">
        <v>7</v>
      </c>
      <c r="AD99">
        <v>15</v>
      </c>
      <c r="AE99">
        <v>19</v>
      </c>
      <c r="AF99">
        <v>10</v>
      </c>
      <c r="AG99">
        <v>22</v>
      </c>
      <c r="AH99">
        <v>13</v>
      </c>
      <c r="AI99">
        <v>16</v>
      </c>
      <c r="AJ99">
        <v>15</v>
      </c>
      <c r="AK99">
        <v>18</v>
      </c>
      <c r="AL99">
        <v>192690608</v>
      </c>
      <c r="AM99">
        <v>232145728</v>
      </c>
      <c r="AN99">
        <v>100154104</v>
      </c>
      <c r="AO99">
        <v>148606528</v>
      </c>
      <c r="AP99">
        <v>113474472</v>
      </c>
      <c r="AQ99">
        <v>153569536</v>
      </c>
      <c r="AR99">
        <v>141780288</v>
      </c>
      <c r="AS99">
        <v>118856384</v>
      </c>
      <c r="AT99" s="11">
        <v>14551038</v>
      </c>
      <c r="AU99" s="11">
        <v>147385792</v>
      </c>
      <c r="AW99" s="14">
        <v>45093340</v>
      </c>
      <c r="AX99" s="14">
        <v>113884192</v>
      </c>
      <c r="AZ99" s="16">
        <v>112431536</v>
      </c>
      <c r="BA99" s="16">
        <v>125505760</v>
      </c>
      <c r="BC99" s="18">
        <v>125079096</v>
      </c>
      <c r="BD99" s="18">
        <v>90162024</v>
      </c>
    </row>
    <row r="100" spans="1:56" hidden="1">
      <c r="A100">
        <v>16739</v>
      </c>
      <c r="B100" t="s">
        <v>473</v>
      </c>
      <c r="C100" t="s">
        <v>474</v>
      </c>
      <c r="D100" t="s">
        <v>475</v>
      </c>
      <c r="F100" t="s">
        <v>476</v>
      </c>
      <c r="G100">
        <v>227.209</v>
      </c>
      <c r="H100" t="s">
        <v>58</v>
      </c>
      <c r="I100">
        <v>2</v>
      </c>
      <c r="J100">
        <v>20</v>
      </c>
      <c r="K100">
        <v>0</v>
      </c>
      <c r="L100">
        <v>93.22</v>
      </c>
      <c r="M100">
        <v>6541</v>
      </c>
      <c r="N100">
        <v>4</v>
      </c>
      <c r="O100">
        <v>10</v>
      </c>
      <c r="P100">
        <v>10</v>
      </c>
      <c r="Q100">
        <v>10</v>
      </c>
      <c r="R100">
        <v>10</v>
      </c>
      <c r="S100">
        <v>416</v>
      </c>
      <c r="T100">
        <v>416</v>
      </c>
      <c r="U100">
        <v>10</v>
      </c>
      <c r="V100">
        <v>8</v>
      </c>
      <c r="W100">
        <v>7</v>
      </c>
      <c r="X100">
        <v>7</v>
      </c>
      <c r="Y100">
        <v>9</v>
      </c>
      <c r="Z100">
        <v>9</v>
      </c>
      <c r="AA100">
        <v>8</v>
      </c>
      <c r="AB100">
        <v>9</v>
      </c>
      <c r="AC100">
        <v>9</v>
      </c>
      <c r="AD100">
        <v>73</v>
      </c>
      <c r="AE100">
        <v>76</v>
      </c>
      <c r="AF100">
        <v>31</v>
      </c>
      <c r="AG100">
        <v>49</v>
      </c>
      <c r="AH100">
        <v>38</v>
      </c>
      <c r="AI100">
        <v>43</v>
      </c>
      <c r="AJ100">
        <v>62</v>
      </c>
      <c r="AK100">
        <v>44</v>
      </c>
      <c r="AL100">
        <v>379042848</v>
      </c>
      <c r="AM100">
        <v>363901888</v>
      </c>
      <c r="AN100">
        <v>249776976</v>
      </c>
      <c r="AO100">
        <v>503085920</v>
      </c>
      <c r="AP100">
        <v>183199664</v>
      </c>
      <c r="AQ100">
        <v>330900416</v>
      </c>
      <c r="AR100">
        <v>324100224</v>
      </c>
      <c r="AS100">
        <v>297080960</v>
      </c>
      <c r="AT100" s="11">
        <v>379114816</v>
      </c>
      <c r="AU100" s="11">
        <v>373548288</v>
      </c>
      <c r="AW100" s="14">
        <v>141076032</v>
      </c>
      <c r="AX100" s="14">
        <v>180123328</v>
      </c>
      <c r="AZ100" s="16">
        <v>178419664</v>
      </c>
      <c r="BA100" s="16">
        <v>172996992</v>
      </c>
      <c r="BC100" s="18">
        <v>171287200</v>
      </c>
      <c r="BD100" s="18">
        <v>138317968</v>
      </c>
    </row>
    <row r="101" spans="1:56" hidden="1">
      <c r="A101">
        <v>16733</v>
      </c>
      <c r="B101" t="s">
        <v>477</v>
      </c>
      <c r="C101" t="s">
        <v>478</v>
      </c>
      <c r="D101" t="s">
        <v>479</v>
      </c>
      <c r="E101" t="s">
        <v>480</v>
      </c>
      <c r="F101" t="s">
        <v>481</v>
      </c>
      <c r="G101">
        <v>226.54599999999999</v>
      </c>
      <c r="H101" t="s">
        <v>58</v>
      </c>
      <c r="I101">
        <v>2</v>
      </c>
      <c r="J101">
        <v>18</v>
      </c>
      <c r="K101">
        <v>2</v>
      </c>
      <c r="L101">
        <v>46.77</v>
      </c>
      <c r="M101">
        <v>13736</v>
      </c>
      <c r="N101">
        <v>7</v>
      </c>
      <c r="O101">
        <v>7</v>
      </c>
      <c r="P101">
        <v>7</v>
      </c>
      <c r="Q101">
        <v>7</v>
      </c>
      <c r="R101">
        <v>7</v>
      </c>
      <c r="S101">
        <v>696</v>
      </c>
      <c r="T101">
        <v>696</v>
      </c>
      <c r="U101">
        <v>7</v>
      </c>
      <c r="V101">
        <v>5</v>
      </c>
      <c r="W101">
        <v>5</v>
      </c>
      <c r="X101">
        <v>4</v>
      </c>
      <c r="Y101">
        <v>7</v>
      </c>
      <c r="Z101">
        <v>6</v>
      </c>
      <c r="AA101">
        <v>6</v>
      </c>
      <c r="AB101">
        <v>7</v>
      </c>
      <c r="AC101">
        <v>7</v>
      </c>
      <c r="AD101">
        <v>86</v>
      </c>
      <c r="AE101">
        <v>91</v>
      </c>
      <c r="AF101">
        <v>89</v>
      </c>
      <c r="AG101">
        <v>58</v>
      </c>
      <c r="AH101">
        <v>77</v>
      </c>
      <c r="AI101">
        <v>90</v>
      </c>
      <c r="AJ101">
        <v>92</v>
      </c>
      <c r="AK101">
        <v>113</v>
      </c>
      <c r="AL101">
        <v>1647115264</v>
      </c>
      <c r="AM101">
        <v>1617261952</v>
      </c>
      <c r="AN101">
        <v>2002524928</v>
      </c>
      <c r="AO101">
        <v>2339552000</v>
      </c>
      <c r="AP101">
        <v>1349579008</v>
      </c>
      <c r="AQ101">
        <v>1303155200</v>
      </c>
      <c r="AR101">
        <v>1112962432</v>
      </c>
      <c r="AS101">
        <v>1219664640</v>
      </c>
      <c r="AT101" s="11">
        <v>1340310912</v>
      </c>
      <c r="AU101" s="11">
        <v>953763328</v>
      </c>
      <c r="AW101" s="14">
        <v>502349632</v>
      </c>
      <c r="AX101" s="14">
        <v>1163890560</v>
      </c>
      <c r="AZ101" s="16">
        <v>869929856</v>
      </c>
      <c r="BA101" s="16">
        <v>739090304</v>
      </c>
      <c r="BC101" s="18">
        <v>1120563840</v>
      </c>
      <c r="BD101" s="18">
        <v>809463808</v>
      </c>
    </row>
    <row r="102" spans="1:56" hidden="1">
      <c r="A102">
        <v>16842</v>
      </c>
      <c r="B102" t="s">
        <v>482</v>
      </c>
      <c r="C102" t="s">
        <v>483</v>
      </c>
      <c r="D102" t="s">
        <v>484</v>
      </c>
      <c r="F102" t="s">
        <v>485</v>
      </c>
      <c r="G102">
        <v>224.63200000000001</v>
      </c>
      <c r="H102" t="s">
        <v>58</v>
      </c>
      <c r="I102">
        <v>2</v>
      </c>
      <c r="J102">
        <v>3</v>
      </c>
      <c r="K102">
        <v>0</v>
      </c>
      <c r="L102">
        <v>49.43</v>
      </c>
      <c r="M102">
        <v>19736</v>
      </c>
      <c r="N102">
        <v>8</v>
      </c>
      <c r="O102">
        <v>6</v>
      </c>
      <c r="P102">
        <v>6</v>
      </c>
      <c r="Q102">
        <v>6</v>
      </c>
      <c r="R102">
        <v>6</v>
      </c>
      <c r="S102">
        <v>74</v>
      </c>
      <c r="T102">
        <v>74</v>
      </c>
      <c r="U102">
        <v>6</v>
      </c>
      <c r="V102">
        <v>3</v>
      </c>
      <c r="W102">
        <v>4</v>
      </c>
      <c r="X102">
        <v>6</v>
      </c>
      <c r="Y102">
        <v>5</v>
      </c>
      <c r="Z102">
        <v>5</v>
      </c>
      <c r="AA102">
        <v>5</v>
      </c>
      <c r="AB102">
        <v>6</v>
      </c>
      <c r="AC102">
        <v>6</v>
      </c>
      <c r="AD102">
        <v>9</v>
      </c>
      <c r="AE102">
        <v>11</v>
      </c>
      <c r="AF102">
        <v>13</v>
      </c>
      <c r="AG102">
        <v>12</v>
      </c>
      <c r="AH102">
        <v>4</v>
      </c>
      <c r="AI102">
        <v>7</v>
      </c>
      <c r="AJ102">
        <v>8</v>
      </c>
      <c r="AK102">
        <v>10</v>
      </c>
      <c r="AL102">
        <v>37260764</v>
      </c>
      <c r="AM102">
        <v>48299684</v>
      </c>
      <c r="AN102">
        <v>74780032</v>
      </c>
      <c r="AO102">
        <v>79894376</v>
      </c>
      <c r="AP102">
        <v>24361820</v>
      </c>
      <c r="AQ102">
        <v>32524804</v>
      </c>
      <c r="AR102">
        <v>32378706</v>
      </c>
      <c r="AS102">
        <v>55180920</v>
      </c>
      <c r="AT102" s="11">
        <v>2157959</v>
      </c>
      <c r="AU102" s="11">
        <v>10638538</v>
      </c>
      <c r="AW102" s="14">
        <v>51558240</v>
      </c>
      <c r="AX102" s="14">
        <v>85746056</v>
      </c>
      <c r="AZ102" s="16">
        <v>45769872</v>
      </c>
      <c r="BA102" s="16">
        <v>51189592</v>
      </c>
      <c r="BC102" s="18">
        <v>33548216</v>
      </c>
      <c r="BD102" s="18">
        <v>43451276</v>
      </c>
    </row>
    <row r="103" spans="1:56" hidden="1">
      <c r="A103">
        <v>16841</v>
      </c>
      <c r="B103" t="s">
        <v>486</v>
      </c>
      <c r="C103" t="s">
        <v>487</v>
      </c>
      <c r="D103" t="s">
        <v>488</v>
      </c>
      <c r="F103" t="s">
        <v>489</v>
      </c>
      <c r="G103">
        <v>221.14599999999999</v>
      </c>
      <c r="H103" t="s">
        <v>58</v>
      </c>
      <c r="I103">
        <v>2</v>
      </c>
      <c r="J103">
        <v>7</v>
      </c>
      <c r="K103">
        <v>0</v>
      </c>
      <c r="L103">
        <v>66.67</v>
      </c>
      <c r="M103">
        <v>8249</v>
      </c>
      <c r="N103">
        <v>4</v>
      </c>
      <c r="O103">
        <v>3</v>
      </c>
      <c r="P103">
        <v>3</v>
      </c>
      <c r="Q103">
        <v>3</v>
      </c>
      <c r="R103">
        <v>3</v>
      </c>
      <c r="S103">
        <v>112</v>
      </c>
      <c r="T103">
        <v>112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3</v>
      </c>
      <c r="AB103">
        <v>3</v>
      </c>
      <c r="AC103">
        <v>3</v>
      </c>
      <c r="AD103">
        <v>20</v>
      </c>
      <c r="AE103">
        <v>19</v>
      </c>
      <c r="AF103">
        <v>10</v>
      </c>
      <c r="AG103">
        <v>18</v>
      </c>
      <c r="AH103">
        <v>12</v>
      </c>
      <c r="AI103">
        <v>13</v>
      </c>
      <c r="AJ103">
        <v>12</v>
      </c>
      <c r="AK103">
        <v>8</v>
      </c>
      <c r="AL103">
        <v>76607912</v>
      </c>
      <c r="AM103">
        <v>66595592</v>
      </c>
      <c r="AN103">
        <v>70913328</v>
      </c>
      <c r="AO103">
        <v>97451296</v>
      </c>
      <c r="AP103">
        <v>49435720</v>
      </c>
      <c r="AQ103">
        <v>51024008</v>
      </c>
      <c r="AR103">
        <v>52013644</v>
      </c>
      <c r="AS103">
        <v>50519896</v>
      </c>
      <c r="AT103" s="11">
        <v>83527024</v>
      </c>
      <c r="AU103" s="11">
        <v>71431672</v>
      </c>
      <c r="AW103" s="14">
        <v>33536610</v>
      </c>
      <c r="AX103" s="14">
        <v>38934152</v>
      </c>
      <c r="AZ103" s="16">
        <v>29528290</v>
      </c>
      <c r="BA103" s="16">
        <v>26994534</v>
      </c>
      <c r="BC103" s="18">
        <v>25808700</v>
      </c>
      <c r="BD103" s="18">
        <v>25766312</v>
      </c>
    </row>
    <row r="104" spans="1:56" s="19" customFormat="1" hidden="1">
      <c r="A104" s="19">
        <v>16873</v>
      </c>
      <c r="B104" s="19" t="s">
        <v>490</v>
      </c>
      <c r="D104" s="19" t="s">
        <v>490</v>
      </c>
      <c r="F104" s="19" t="s">
        <v>491</v>
      </c>
      <c r="G104" s="19">
        <v>220.06299999999999</v>
      </c>
      <c r="H104" s="19" t="s">
        <v>58</v>
      </c>
      <c r="I104" s="19">
        <v>2</v>
      </c>
      <c r="J104" s="19">
        <v>1</v>
      </c>
      <c r="K104" s="19">
        <v>0</v>
      </c>
      <c r="L104" s="19">
        <v>37.700000000000003</v>
      </c>
      <c r="M104" s="19">
        <v>18833</v>
      </c>
      <c r="N104" s="19">
        <v>8</v>
      </c>
      <c r="O104" s="19">
        <v>4</v>
      </c>
      <c r="P104" s="19">
        <v>4</v>
      </c>
      <c r="Q104" s="19">
        <v>4</v>
      </c>
      <c r="R104" s="19">
        <v>4</v>
      </c>
      <c r="S104" s="19">
        <v>42</v>
      </c>
      <c r="T104" s="19">
        <v>42</v>
      </c>
      <c r="U104" s="19">
        <v>4</v>
      </c>
      <c r="V104" s="19">
        <v>4</v>
      </c>
      <c r="W104" s="19">
        <v>4</v>
      </c>
      <c r="X104" s="19">
        <v>3</v>
      </c>
      <c r="Y104" s="19">
        <v>3</v>
      </c>
      <c r="Z104" s="19">
        <v>2</v>
      </c>
      <c r="AA104" s="19">
        <v>3</v>
      </c>
      <c r="AB104" s="19">
        <v>2</v>
      </c>
      <c r="AC104" s="19">
        <v>3</v>
      </c>
      <c r="AD104" s="19">
        <v>23</v>
      </c>
      <c r="AE104" s="19">
        <v>5</v>
      </c>
      <c r="AF104" s="19">
        <v>3</v>
      </c>
      <c r="AG104" s="19">
        <v>3</v>
      </c>
      <c r="AH104" s="19">
        <v>2</v>
      </c>
      <c r="AI104" s="19">
        <v>2</v>
      </c>
      <c r="AJ104" s="19">
        <v>2</v>
      </c>
      <c r="AK104" s="19">
        <v>2</v>
      </c>
      <c r="AL104" s="19">
        <v>18444136</v>
      </c>
      <c r="AM104" s="19">
        <v>4676755</v>
      </c>
      <c r="AN104" s="19">
        <v>5807492</v>
      </c>
      <c r="AO104" s="19">
        <v>6063735</v>
      </c>
      <c r="AP104" s="19">
        <v>4161032.5</v>
      </c>
      <c r="AQ104" s="19">
        <v>5151331</v>
      </c>
      <c r="AR104" s="19">
        <v>3805117.25</v>
      </c>
      <c r="AS104" s="19">
        <v>5050851</v>
      </c>
      <c r="AT104" s="20">
        <v>36017964</v>
      </c>
      <c r="AU104" s="20">
        <v>10476236</v>
      </c>
      <c r="AV104" s="20"/>
      <c r="AW104" s="21">
        <v>1097948.8799999999</v>
      </c>
      <c r="AX104" s="21">
        <v>1179673.6200000001</v>
      </c>
      <c r="AY104" s="21"/>
      <c r="AZ104" s="22">
        <v>389125.19</v>
      </c>
      <c r="BA104" s="22">
        <v>817302.19</v>
      </c>
      <c r="BB104" s="22"/>
      <c r="BC104" s="23">
        <v>405656.97</v>
      </c>
      <c r="BD104" s="23">
        <v>650386.88</v>
      </c>
    </row>
    <row r="105" spans="1:56" hidden="1">
      <c r="A105">
        <v>16717</v>
      </c>
      <c r="B105" t="s">
        <v>492</v>
      </c>
      <c r="C105" t="s">
        <v>493</v>
      </c>
      <c r="D105" t="s">
        <v>494</v>
      </c>
      <c r="F105" t="s">
        <v>495</v>
      </c>
      <c r="G105">
        <v>218.30099999999999</v>
      </c>
      <c r="H105" t="s">
        <v>58</v>
      </c>
      <c r="I105">
        <v>2</v>
      </c>
      <c r="J105">
        <v>20</v>
      </c>
      <c r="K105">
        <v>0</v>
      </c>
      <c r="L105">
        <v>46.48</v>
      </c>
      <c r="M105">
        <v>8499</v>
      </c>
      <c r="N105">
        <v>2</v>
      </c>
      <c r="O105">
        <v>8</v>
      </c>
      <c r="P105">
        <v>8</v>
      </c>
      <c r="Q105">
        <v>8</v>
      </c>
      <c r="R105">
        <v>8</v>
      </c>
      <c r="S105">
        <v>1563</v>
      </c>
      <c r="T105">
        <v>1563</v>
      </c>
      <c r="U105">
        <v>8</v>
      </c>
      <c r="V105">
        <v>5</v>
      </c>
      <c r="W105">
        <v>5</v>
      </c>
      <c r="X105">
        <v>7</v>
      </c>
      <c r="Y105">
        <v>7</v>
      </c>
      <c r="Z105">
        <v>6</v>
      </c>
      <c r="AA105">
        <v>6</v>
      </c>
      <c r="AB105">
        <v>7</v>
      </c>
      <c r="AC105">
        <v>6</v>
      </c>
      <c r="AD105">
        <v>159</v>
      </c>
      <c r="AE105">
        <v>173</v>
      </c>
      <c r="AF105">
        <v>230</v>
      </c>
      <c r="AG105">
        <v>210</v>
      </c>
      <c r="AH105">
        <v>224</v>
      </c>
      <c r="AI105">
        <v>224</v>
      </c>
      <c r="AJ105">
        <v>190</v>
      </c>
      <c r="AK105">
        <v>153</v>
      </c>
      <c r="AL105">
        <v>1967809408</v>
      </c>
      <c r="AM105">
        <v>1926311936</v>
      </c>
      <c r="AN105">
        <v>3628012544</v>
      </c>
      <c r="AO105">
        <v>3887547136</v>
      </c>
      <c r="AP105">
        <v>2052391296</v>
      </c>
      <c r="AQ105">
        <v>2136950272</v>
      </c>
      <c r="AR105">
        <v>1976674176</v>
      </c>
      <c r="AS105">
        <v>1532517248</v>
      </c>
      <c r="AT105" s="11">
        <v>1480768256</v>
      </c>
      <c r="AU105" s="11">
        <v>1797645824</v>
      </c>
      <c r="AW105" s="14">
        <v>2086882560</v>
      </c>
      <c r="AX105" s="14">
        <v>2096700416</v>
      </c>
      <c r="AZ105" s="16">
        <v>1481826176</v>
      </c>
      <c r="BA105" s="16">
        <v>1420468608</v>
      </c>
      <c r="BC105" s="18">
        <v>1530124928</v>
      </c>
      <c r="BD105" s="18">
        <v>1017065408</v>
      </c>
    </row>
    <row r="106" spans="1:56" hidden="1">
      <c r="A106">
        <v>16724</v>
      </c>
      <c r="B106" t="s">
        <v>496</v>
      </c>
      <c r="C106" t="s">
        <v>425</v>
      </c>
      <c r="D106" t="s">
        <v>496</v>
      </c>
      <c r="F106" t="s">
        <v>497</v>
      </c>
      <c r="G106">
        <v>218.25200000000001</v>
      </c>
      <c r="H106" t="s">
        <v>58</v>
      </c>
      <c r="I106">
        <v>2</v>
      </c>
      <c r="J106">
        <v>1</v>
      </c>
      <c r="K106">
        <v>0</v>
      </c>
      <c r="L106">
        <v>47.52</v>
      </c>
      <c r="M106">
        <v>11594</v>
      </c>
      <c r="N106">
        <v>7</v>
      </c>
      <c r="O106">
        <v>10</v>
      </c>
      <c r="P106">
        <v>1</v>
      </c>
      <c r="Q106">
        <v>10</v>
      </c>
      <c r="R106">
        <v>1</v>
      </c>
      <c r="S106">
        <v>664</v>
      </c>
      <c r="T106">
        <v>8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464540352</v>
      </c>
      <c r="AM106">
        <v>417875552</v>
      </c>
      <c r="AN106">
        <v>765996608</v>
      </c>
      <c r="AO106">
        <v>1138573056</v>
      </c>
      <c r="AP106">
        <v>551283520</v>
      </c>
      <c r="AQ106">
        <v>575965888</v>
      </c>
      <c r="AR106">
        <v>546232512</v>
      </c>
      <c r="AS106">
        <v>463024320</v>
      </c>
      <c r="AT106" s="11">
        <v>1687351.5</v>
      </c>
      <c r="AU106" s="11">
        <v>1315168.25</v>
      </c>
      <c r="AW106" s="14">
        <v>730309.38</v>
      </c>
      <c r="AX106" s="14">
        <v>473269.19</v>
      </c>
      <c r="AZ106" s="16">
        <v>733588.94</v>
      </c>
      <c r="BA106" s="16">
        <v>670954.68999999994</v>
      </c>
      <c r="BC106" s="18">
        <v>565044.5</v>
      </c>
      <c r="BD106" s="18">
        <v>416458.72</v>
      </c>
    </row>
    <row r="107" spans="1:56" hidden="1">
      <c r="A107">
        <v>16783</v>
      </c>
      <c r="B107" t="s">
        <v>498</v>
      </c>
      <c r="C107" t="s">
        <v>499</v>
      </c>
      <c r="D107" t="s">
        <v>500</v>
      </c>
      <c r="F107" t="s">
        <v>501</v>
      </c>
      <c r="G107">
        <v>210.536</v>
      </c>
      <c r="H107" t="s">
        <v>58</v>
      </c>
      <c r="I107">
        <v>2</v>
      </c>
      <c r="J107">
        <v>5</v>
      </c>
      <c r="K107">
        <v>0</v>
      </c>
      <c r="L107">
        <v>77</v>
      </c>
      <c r="M107">
        <v>11198</v>
      </c>
      <c r="N107">
        <v>6</v>
      </c>
      <c r="O107">
        <v>11</v>
      </c>
      <c r="P107">
        <v>11</v>
      </c>
      <c r="Q107">
        <v>11</v>
      </c>
      <c r="R107">
        <v>11</v>
      </c>
      <c r="S107">
        <v>190</v>
      </c>
      <c r="T107">
        <v>190</v>
      </c>
      <c r="U107">
        <v>10</v>
      </c>
      <c r="V107">
        <v>6</v>
      </c>
      <c r="W107">
        <v>8</v>
      </c>
      <c r="X107">
        <v>8</v>
      </c>
      <c r="Y107">
        <v>10</v>
      </c>
      <c r="Z107">
        <v>9</v>
      </c>
      <c r="AA107">
        <v>8</v>
      </c>
      <c r="AB107">
        <v>7</v>
      </c>
      <c r="AC107">
        <v>7</v>
      </c>
      <c r="AD107">
        <v>23</v>
      </c>
      <c r="AE107">
        <v>36</v>
      </c>
      <c r="AF107">
        <v>13</v>
      </c>
      <c r="AG107">
        <v>49</v>
      </c>
      <c r="AH107">
        <v>27</v>
      </c>
      <c r="AI107">
        <v>23</v>
      </c>
      <c r="AJ107">
        <v>17</v>
      </c>
      <c r="AK107">
        <v>1</v>
      </c>
      <c r="AL107">
        <v>189549664</v>
      </c>
      <c r="AM107">
        <v>237239088</v>
      </c>
      <c r="AN107">
        <v>115204744</v>
      </c>
      <c r="AO107">
        <v>150002304</v>
      </c>
      <c r="AP107">
        <v>159622880</v>
      </c>
      <c r="AQ107">
        <v>61268992</v>
      </c>
      <c r="AR107">
        <v>149034176</v>
      </c>
      <c r="AS107">
        <v>115587192</v>
      </c>
      <c r="AT107" s="11">
        <v>52480196</v>
      </c>
      <c r="AU107" s="11">
        <v>140521616</v>
      </c>
      <c r="AW107" s="14">
        <v>59865836</v>
      </c>
      <c r="AX107" s="14">
        <v>241335776</v>
      </c>
      <c r="AZ107" s="16">
        <v>127372944</v>
      </c>
      <c r="BA107" s="16">
        <v>49914408</v>
      </c>
      <c r="BC107" s="18">
        <v>80882448</v>
      </c>
      <c r="BD107" s="18">
        <v>31156926</v>
      </c>
    </row>
    <row r="108" spans="1:56" hidden="1">
      <c r="A108">
        <v>16654</v>
      </c>
      <c r="B108" t="s">
        <v>502</v>
      </c>
      <c r="C108" t="s">
        <v>503</v>
      </c>
      <c r="D108" t="s">
        <v>504</v>
      </c>
      <c r="E108" t="s">
        <v>505</v>
      </c>
      <c r="F108" t="s">
        <v>506</v>
      </c>
      <c r="G108">
        <v>208.291</v>
      </c>
      <c r="H108" t="s">
        <v>58</v>
      </c>
      <c r="I108">
        <v>2</v>
      </c>
      <c r="J108">
        <v>4</v>
      </c>
      <c r="K108">
        <v>17</v>
      </c>
      <c r="L108">
        <v>17.63</v>
      </c>
      <c r="M108">
        <v>65912</v>
      </c>
      <c r="N108">
        <v>38</v>
      </c>
      <c r="O108">
        <v>9</v>
      </c>
      <c r="P108">
        <v>9</v>
      </c>
      <c r="Q108">
        <v>9</v>
      </c>
      <c r="R108">
        <v>9</v>
      </c>
      <c r="S108">
        <v>29</v>
      </c>
      <c r="T108">
        <v>29</v>
      </c>
      <c r="U108">
        <v>9</v>
      </c>
      <c r="V108">
        <v>5</v>
      </c>
      <c r="W108">
        <v>4</v>
      </c>
      <c r="X108">
        <v>6</v>
      </c>
      <c r="Y108">
        <v>9</v>
      </c>
      <c r="Z108">
        <v>8</v>
      </c>
      <c r="AA108">
        <v>9</v>
      </c>
      <c r="AB108">
        <v>8</v>
      </c>
      <c r="AC108">
        <v>9</v>
      </c>
      <c r="AD108">
        <v>2</v>
      </c>
      <c r="AE108">
        <v>1</v>
      </c>
      <c r="AF108">
        <v>2</v>
      </c>
      <c r="AG108">
        <v>3</v>
      </c>
      <c r="AH108">
        <v>4</v>
      </c>
      <c r="AI108">
        <v>9</v>
      </c>
      <c r="AJ108">
        <v>2</v>
      </c>
      <c r="AK108">
        <v>7</v>
      </c>
      <c r="AL108">
        <v>3612421.5</v>
      </c>
      <c r="AM108">
        <v>3412624.75</v>
      </c>
      <c r="AN108">
        <v>10205745</v>
      </c>
      <c r="AO108">
        <v>22020324</v>
      </c>
      <c r="AP108">
        <v>17515108</v>
      </c>
      <c r="AQ108">
        <v>24719022</v>
      </c>
      <c r="AR108">
        <v>16500258</v>
      </c>
      <c r="AS108">
        <v>24169554</v>
      </c>
      <c r="AT108" s="11">
        <v>948003.5</v>
      </c>
      <c r="AU108" s="11">
        <v>449080.53</v>
      </c>
      <c r="AW108" s="14">
        <v>3303095.25</v>
      </c>
      <c r="AX108" s="14">
        <v>8701705</v>
      </c>
      <c r="AZ108" s="16">
        <v>11881274</v>
      </c>
      <c r="BA108" s="16">
        <v>15803346</v>
      </c>
      <c r="BC108" s="18">
        <v>8713909</v>
      </c>
      <c r="BD108" s="18">
        <v>13303526</v>
      </c>
    </row>
    <row r="109" spans="1:56" hidden="1">
      <c r="A109">
        <v>16840</v>
      </c>
      <c r="B109" t="s">
        <v>507</v>
      </c>
      <c r="C109" t="s">
        <v>508</v>
      </c>
      <c r="D109" t="s">
        <v>507</v>
      </c>
      <c r="F109" t="s">
        <v>509</v>
      </c>
      <c r="G109">
        <v>204.88800000000001</v>
      </c>
      <c r="H109" t="s">
        <v>58</v>
      </c>
      <c r="I109">
        <v>2</v>
      </c>
      <c r="J109">
        <v>1</v>
      </c>
      <c r="K109">
        <v>0</v>
      </c>
      <c r="L109">
        <v>20</v>
      </c>
      <c r="M109">
        <v>25096</v>
      </c>
      <c r="N109">
        <v>11</v>
      </c>
      <c r="O109">
        <v>5</v>
      </c>
      <c r="P109">
        <v>5</v>
      </c>
      <c r="Q109">
        <v>5</v>
      </c>
      <c r="R109">
        <v>5</v>
      </c>
      <c r="S109">
        <v>43</v>
      </c>
      <c r="T109">
        <v>43</v>
      </c>
      <c r="U109">
        <v>5</v>
      </c>
      <c r="V109">
        <v>3</v>
      </c>
      <c r="W109">
        <v>3</v>
      </c>
      <c r="X109">
        <v>4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1</v>
      </c>
      <c r="AE109">
        <v>2</v>
      </c>
      <c r="AF109">
        <v>7</v>
      </c>
      <c r="AG109">
        <v>8</v>
      </c>
      <c r="AH109">
        <v>5</v>
      </c>
      <c r="AI109">
        <v>9</v>
      </c>
      <c r="AJ109">
        <v>4</v>
      </c>
      <c r="AK109">
        <v>8</v>
      </c>
      <c r="AL109">
        <v>4786409</v>
      </c>
      <c r="AM109">
        <v>10212294</v>
      </c>
      <c r="AN109">
        <v>26013598</v>
      </c>
      <c r="AO109">
        <v>38040128</v>
      </c>
      <c r="AP109">
        <v>22110832</v>
      </c>
      <c r="AQ109">
        <v>26518442</v>
      </c>
      <c r="AR109">
        <v>20190730</v>
      </c>
      <c r="AS109">
        <v>25999076</v>
      </c>
      <c r="AT109" s="11">
        <v>648107.31000000006</v>
      </c>
      <c r="AU109" s="11">
        <v>664822.5</v>
      </c>
      <c r="AW109" s="14">
        <v>9786912</v>
      </c>
      <c r="AX109" s="14">
        <v>20114032</v>
      </c>
      <c r="AZ109" s="16">
        <v>18229992</v>
      </c>
      <c r="BA109" s="16">
        <v>18957298</v>
      </c>
      <c r="BC109" s="18">
        <v>13480206</v>
      </c>
      <c r="BD109" s="18">
        <v>20803200</v>
      </c>
    </row>
    <row r="110" spans="1:56" hidden="1">
      <c r="A110">
        <v>16745</v>
      </c>
      <c r="B110" t="s">
        <v>510</v>
      </c>
      <c r="C110" t="s">
        <v>511</v>
      </c>
      <c r="D110" t="s">
        <v>512</v>
      </c>
      <c r="E110" t="s">
        <v>513</v>
      </c>
      <c r="F110" t="s">
        <v>514</v>
      </c>
      <c r="G110">
        <v>203.726</v>
      </c>
      <c r="H110" t="s">
        <v>58</v>
      </c>
      <c r="I110">
        <v>2</v>
      </c>
      <c r="J110">
        <v>19</v>
      </c>
      <c r="K110">
        <v>2</v>
      </c>
      <c r="L110">
        <v>69.66</v>
      </c>
      <c r="M110">
        <v>10268</v>
      </c>
      <c r="N110">
        <v>5</v>
      </c>
      <c r="O110">
        <v>7</v>
      </c>
      <c r="P110">
        <v>7</v>
      </c>
      <c r="Q110">
        <v>7</v>
      </c>
      <c r="R110">
        <v>7</v>
      </c>
      <c r="S110">
        <v>445</v>
      </c>
      <c r="T110">
        <v>445</v>
      </c>
      <c r="U110">
        <v>7</v>
      </c>
      <c r="V110">
        <v>5</v>
      </c>
      <c r="W110">
        <v>6</v>
      </c>
      <c r="X110">
        <v>5</v>
      </c>
      <c r="Y110">
        <v>6</v>
      </c>
      <c r="Z110">
        <v>5</v>
      </c>
      <c r="AA110">
        <v>6</v>
      </c>
      <c r="AB110">
        <v>6</v>
      </c>
      <c r="AC110">
        <v>7</v>
      </c>
      <c r="AD110">
        <v>59</v>
      </c>
      <c r="AE110">
        <v>63</v>
      </c>
      <c r="AF110">
        <v>47</v>
      </c>
      <c r="AG110">
        <v>67</v>
      </c>
      <c r="AH110">
        <v>46</v>
      </c>
      <c r="AI110">
        <v>39</v>
      </c>
      <c r="AJ110">
        <v>55</v>
      </c>
      <c r="AK110">
        <v>69</v>
      </c>
      <c r="AL110">
        <v>1758916736</v>
      </c>
      <c r="AM110">
        <v>2028986240</v>
      </c>
      <c r="AN110">
        <v>1001179008</v>
      </c>
      <c r="AO110">
        <v>1238642432</v>
      </c>
      <c r="AP110">
        <v>580257536</v>
      </c>
      <c r="AQ110">
        <v>612988544</v>
      </c>
      <c r="AR110">
        <v>525718816</v>
      </c>
      <c r="AS110">
        <v>729491392</v>
      </c>
      <c r="AT110" s="11">
        <v>543188032</v>
      </c>
      <c r="AU110" s="11">
        <v>1601233408</v>
      </c>
      <c r="AW110" s="14">
        <v>444881408</v>
      </c>
      <c r="AX110" s="14">
        <v>652098688</v>
      </c>
      <c r="AZ110" s="16">
        <v>413137792</v>
      </c>
      <c r="BA110" s="16">
        <v>375782976</v>
      </c>
      <c r="BC110" s="18">
        <v>748493440</v>
      </c>
      <c r="BD110" s="18">
        <v>889521856</v>
      </c>
    </row>
    <row r="111" spans="1:56" hidden="1">
      <c r="A111">
        <v>16761</v>
      </c>
      <c r="B111" t="s">
        <v>515</v>
      </c>
      <c r="C111" t="s">
        <v>516</v>
      </c>
      <c r="D111" t="s">
        <v>517</v>
      </c>
      <c r="F111" t="s">
        <v>518</v>
      </c>
      <c r="G111">
        <v>202.48599999999999</v>
      </c>
      <c r="H111" t="s">
        <v>58</v>
      </c>
      <c r="I111">
        <v>2</v>
      </c>
      <c r="J111">
        <v>20</v>
      </c>
      <c r="K111">
        <v>0</v>
      </c>
      <c r="L111">
        <v>76.36</v>
      </c>
      <c r="M111">
        <v>6371</v>
      </c>
      <c r="N111">
        <v>3</v>
      </c>
      <c r="O111">
        <v>5</v>
      </c>
      <c r="P111">
        <v>5</v>
      </c>
      <c r="Q111">
        <v>5</v>
      </c>
      <c r="R111">
        <v>5</v>
      </c>
      <c r="S111">
        <v>373</v>
      </c>
      <c r="T111">
        <v>373</v>
      </c>
      <c r="U111">
        <v>5</v>
      </c>
      <c r="V111">
        <v>4</v>
      </c>
      <c r="W111">
        <v>5</v>
      </c>
      <c r="X111">
        <v>4</v>
      </c>
      <c r="Y111">
        <v>5</v>
      </c>
      <c r="Z111">
        <v>5</v>
      </c>
      <c r="AA111">
        <v>5</v>
      </c>
      <c r="AB111">
        <v>5</v>
      </c>
      <c r="AC111">
        <v>4</v>
      </c>
      <c r="AD111">
        <v>57</v>
      </c>
      <c r="AE111">
        <v>51</v>
      </c>
      <c r="AF111">
        <v>39</v>
      </c>
      <c r="AG111">
        <v>41</v>
      </c>
      <c r="AH111">
        <v>53</v>
      </c>
      <c r="AI111">
        <v>52</v>
      </c>
      <c r="AJ111">
        <v>49</v>
      </c>
      <c r="AK111">
        <v>31</v>
      </c>
      <c r="AL111">
        <v>59152180</v>
      </c>
      <c r="AM111">
        <v>57467620</v>
      </c>
      <c r="AN111">
        <v>115666536</v>
      </c>
      <c r="AO111">
        <v>83785360</v>
      </c>
      <c r="AP111">
        <v>103524696</v>
      </c>
      <c r="AQ111">
        <v>114504544</v>
      </c>
      <c r="AR111">
        <v>149898464</v>
      </c>
      <c r="AS111">
        <v>131704872</v>
      </c>
      <c r="AT111" s="11">
        <v>110359152</v>
      </c>
      <c r="AU111" s="11">
        <v>168244128</v>
      </c>
      <c r="AW111" s="14">
        <v>118247696</v>
      </c>
      <c r="AX111" s="14">
        <v>174625504</v>
      </c>
      <c r="AZ111" s="16">
        <v>129767056</v>
      </c>
      <c r="BA111" s="16">
        <v>131791888</v>
      </c>
      <c r="BC111" s="18">
        <v>155633008</v>
      </c>
      <c r="BD111" s="18">
        <v>129305464</v>
      </c>
    </row>
    <row r="112" spans="1:56" hidden="1">
      <c r="A112">
        <v>16683</v>
      </c>
      <c r="B112" t="s">
        <v>519</v>
      </c>
      <c r="C112" t="s">
        <v>520</v>
      </c>
      <c r="D112" t="s">
        <v>521</v>
      </c>
      <c r="E112" t="s">
        <v>522</v>
      </c>
      <c r="F112" t="s">
        <v>523</v>
      </c>
      <c r="G112">
        <v>201.53399999999999</v>
      </c>
      <c r="H112" t="s">
        <v>58</v>
      </c>
      <c r="I112">
        <v>2</v>
      </c>
      <c r="J112">
        <v>20</v>
      </c>
      <c r="K112">
        <v>1</v>
      </c>
      <c r="L112">
        <v>55.12</v>
      </c>
      <c r="M112">
        <v>14364</v>
      </c>
      <c r="N112">
        <v>8</v>
      </c>
      <c r="O112">
        <v>8</v>
      </c>
      <c r="P112">
        <v>8</v>
      </c>
      <c r="Q112">
        <v>8</v>
      </c>
      <c r="R112">
        <v>8</v>
      </c>
      <c r="S112">
        <v>153</v>
      </c>
      <c r="T112">
        <v>153</v>
      </c>
      <c r="U112">
        <v>8</v>
      </c>
      <c r="V112">
        <v>7</v>
      </c>
      <c r="W112">
        <v>6</v>
      </c>
      <c r="X112">
        <v>6</v>
      </c>
      <c r="Y112">
        <v>8</v>
      </c>
      <c r="Z112">
        <v>6</v>
      </c>
      <c r="AA112">
        <v>6</v>
      </c>
      <c r="AB112">
        <v>7</v>
      </c>
      <c r="AC112">
        <v>7</v>
      </c>
      <c r="AD112">
        <v>36</v>
      </c>
      <c r="AE112">
        <v>34</v>
      </c>
      <c r="AF112">
        <v>10</v>
      </c>
      <c r="AG112">
        <v>20</v>
      </c>
      <c r="AH112">
        <v>12</v>
      </c>
      <c r="AI112">
        <v>13</v>
      </c>
      <c r="AJ112">
        <v>15</v>
      </c>
      <c r="AK112">
        <v>13</v>
      </c>
      <c r="AL112">
        <v>336534112</v>
      </c>
      <c r="AM112">
        <v>421478464</v>
      </c>
      <c r="AN112">
        <v>241997984</v>
      </c>
      <c r="AO112">
        <v>324066144</v>
      </c>
      <c r="AP112">
        <v>257981536</v>
      </c>
      <c r="AQ112">
        <v>343679360</v>
      </c>
      <c r="AR112">
        <v>331831072</v>
      </c>
      <c r="AS112">
        <v>297383360</v>
      </c>
      <c r="AT112" s="11">
        <v>289092128</v>
      </c>
      <c r="AU112" s="11">
        <v>345050400</v>
      </c>
      <c r="AW112" s="14">
        <v>117222136</v>
      </c>
      <c r="AX112" s="14">
        <v>148228752</v>
      </c>
      <c r="AZ112" s="16">
        <v>167941200</v>
      </c>
      <c r="BA112" s="16">
        <v>204401312</v>
      </c>
      <c r="BC112" s="18">
        <v>190520128</v>
      </c>
      <c r="BD112" s="18">
        <v>153338448</v>
      </c>
    </row>
    <row r="113" spans="1:56" hidden="1">
      <c r="A113">
        <v>16703</v>
      </c>
      <c r="B113" t="s">
        <v>524</v>
      </c>
      <c r="C113" t="s">
        <v>525</v>
      </c>
      <c r="D113" t="s">
        <v>526</v>
      </c>
      <c r="F113" t="s">
        <v>527</v>
      </c>
      <c r="G113">
        <v>189.32300000000001</v>
      </c>
      <c r="H113" t="s">
        <v>58</v>
      </c>
      <c r="I113">
        <v>2</v>
      </c>
      <c r="J113">
        <v>20</v>
      </c>
      <c r="K113">
        <v>0</v>
      </c>
      <c r="L113">
        <v>27.06</v>
      </c>
      <c r="M113">
        <v>28422</v>
      </c>
      <c r="N113">
        <v>16</v>
      </c>
      <c r="O113">
        <v>7</v>
      </c>
      <c r="P113">
        <v>7</v>
      </c>
      <c r="Q113">
        <v>7</v>
      </c>
      <c r="R113">
        <v>7</v>
      </c>
      <c r="S113">
        <v>27</v>
      </c>
      <c r="T113">
        <v>27</v>
      </c>
      <c r="U113">
        <v>7</v>
      </c>
      <c r="V113">
        <v>4</v>
      </c>
      <c r="W113">
        <v>3</v>
      </c>
      <c r="X113">
        <v>6</v>
      </c>
      <c r="Y113">
        <v>7</v>
      </c>
      <c r="Z113">
        <v>7</v>
      </c>
      <c r="AA113">
        <v>7</v>
      </c>
      <c r="AB113">
        <v>7</v>
      </c>
      <c r="AC113">
        <v>7</v>
      </c>
      <c r="AD113">
        <v>1</v>
      </c>
      <c r="AE113">
        <v>1</v>
      </c>
      <c r="AF113">
        <v>4</v>
      </c>
      <c r="AG113">
        <v>8</v>
      </c>
      <c r="AH113">
        <v>1</v>
      </c>
      <c r="AI113">
        <v>5</v>
      </c>
      <c r="AJ113">
        <v>4</v>
      </c>
      <c r="AK113">
        <v>5</v>
      </c>
      <c r="AL113">
        <v>8487632</v>
      </c>
      <c r="AM113">
        <v>7672545.5</v>
      </c>
      <c r="AN113">
        <v>27000178</v>
      </c>
      <c r="AO113">
        <v>35941188</v>
      </c>
      <c r="AP113">
        <v>11949553</v>
      </c>
      <c r="AQ113">
        <v>16947238</v>
      </c>
      <c r="AR113">
        <v>15520900</v>
      </c>
      <c r="AS113">
        <v>16598280</v>
      </c>
      <c r="AT113" s="11">
        <v>1334611.1200000001</v>
      </c>
      <c r="AU113" s="11">
        <v>384443.78</v>
      </c>
      <c r="AW113" s="14">
        <v>14313863</v>
      </c>
      <c r="AX113" s="14">
        <v>17651224</v>
      </c>
      <c r="AZ113" s="16">
        <v>14156634</v>
      </c>
      <c r="BA113" s="16">
        <v>14765507</v>
      </c>
      <c r="BC113" s="18">
        <v>12499440</v>
      </c>
      <c r="BD113" s="18">
        <v>13143422</v>
      </c>
    </row>
    <row r="114" spans="1:56" hidden="1">
      <c r="A114">
        <v>16787</v>
      </c>
      <c r="B114" t="s">
        <v>528</v>
      </c>
      <c r="C114" t="s">
        <v>529</v>
      </c>
      <c r="D114" t="s">
        <v>530</v>
      </c>
      <c r="F114" t="s">
        <v>531</v>
      </c>
      <c r="G114">
        <v>188.23400000000001</v>
      </c>
      <c r="H114" t="s">
        <v>58</v>
      </c>
      <c r="I114">
        <v>2</v>
      </c>
      <c r="J114">
        <v>3</v>
      </c>
      <c r="K114">
        <v>0</v>
      </c>
      <c r="L114">
        <v>33.33</v>
      </c>
      <c r="M114">
        <v>8323</v>
      </c>
      <c r="N114">
        <v>5</v>
      </c>
      <c r="O114">
        <v>2</v>
      </c>
      <c r="P114">
        <v>2</v>
      </c>
      <c r="Q114">
        <v>3</v>
      </c>
      <c r="R114">
        <v>3</v>
      </c>
      <c r="S114">
        <v>59</v>
      </c>
      <c r="T114">
        <v>59</v>
      </c>
      <c r="U114">
        <v>3</v>
      </c>
      <c r="V114">
        <v>3</v>
      </c>
      <c r="W114">
        <v>3</v>
      </c>
      <c r="X114">
        <v>3</v>
      </c>
      <c r="Y114">
        <v>3</v>
      </c>
      <c r="Z114">
        <v>3</v>
      </c>
      <c r="AA114">
        <v>3</v>
      </c>
      <c r="AB114">
        <v>3</v>
      </c>
      <c r="AC114">
        <v>3</v>
      </c>
      <c r="AD114">
        <v>14</v>
      </c>
      <c r="AE114">
        <v>11</v>
      </c>
      <c r="AF114">
        <v>6</v>
      </c>
      <c r="AG114">
        <v>4</v>
      </c>
      <c r="AH114">
        <v>7</v>
      </c>
      <c r="AI114">
        <v>8</v>
      </c>
      <c r="AJ114">
        <v>5</v>
      </c>
      <c r="AK114">
        <v>4</v>
      </c>
      <c r="AL114">
        <v>60520220</v>
      </c>
      <c r="AM114">
        <v>64406620</v>
      </c>
      <c r="AN114">
        <v>57516324</v>
      </c>
      <c r="AO114">
        <v>61994880</v>
      </c>
      <c r="AP114">
        <v>50661240</v>
      </c>
      <c r="AQ114">
        <v>50925532</v>
      </c>
      <c r="AR114">
        <v>31039406</v>
      </c>
      <c r="AS114">
        <v>32790860</v>
      </c>
      <c r="AT114" s="11">
        <v>75547192</v>
      </c>
      <c r="AU114" s="11">
        <v>77462504</v>
      </c>
      <c r="AW114" s="14">
        <v>31256746</v>
      </c>
      <c r="AX114" s="14">
        <v>22449038</v>
      </c>
      <c r="AZ114" s="16">
        <v>32987686</v>
      </c>
      <c r="BA114" s="16">
        <v>27395378</v>
      </c>
      <c r="BC114" s="18">
        <v>15990702</v>
      </c>
      <c r="BD114" s="18">
        <v>12779059</v>
      </c>
    </row>
    <row r="115" spans="1:56" hidden="1">
      <c r="A115">
        <v>16735</v>
      </c>
      <c r="B115" t="s">
        <v>532</v>
      </c>
      <c r="C115" t="s">
        <v>533</v>
      </c>
      <c r="D115" t="s">
        <v>534</v>
      </c>
      <c r="F115" t="s">
        <v>535</v>
      </c>
      <c r="G115">
        <v>184.048</v>
      </c>
      <c r="H115" t="s">
        <v>58</v>
      </c>
      <c r="I115">
        <v>2</v>
      </c>
      <c r="J115">
        <v>21</v>
      </c>
      <c r="K115">
        <v>0</v>
      </c>
      <c r="L115">
        <v>48.31</v>
      </c>
      <c r="M115">
        <v>13496</v>
      </c>
      <c r="N115">
        <v>10</v>
      </c>
      <c r="O115">
        <v>8</v>
      </c>
      <c r="P115">
        <v>8</v>
      </c>
      <c r="Q115">
        <v>8</v>
      </c>
      <c r="R115">
        <v>8</v>
      </c>
      <c r="S115">
        <v>119</v>
      </c>
      <c r="T115">
        <v>119</v>
      </c>
      <c r="U115">
        <v>8</v>
      </c>
      <c r="V115">
        <v>8</v>
      </c>
      <c r="W115">
        <v>7</v>
      </c>
      <c r="X115">
        <v>6</v>
      </c>
      <c r="Y115">
        <v>6</v>
      </c>
      <c r="Z115">
        <v>7</v>
      </c>
      <c r="AA115">
        <v>7</v>
      </c>
      <c r="AB115">
        <v>7</v>
      </c>
      <c r="AC115">
        <v>7</v>
      </c>
      <c r="AD115">
        <v>37</v>
      </c>
      <c r="AE115">
        <v>23</v>
      </c>
      <c r="AF115">
        <v>5</v>
      </c>
      <c r="AG115">
        <v>9</v>
      </c>
      <c r="AH115">
        <v>10</v>
      </c>
      <c r="AI115">
        <v>13</v>
      </c>
      <c r="AJ115">
        <v>12</v>
      </c>
      <c r="AK115">
        <v>10</v>
      </c>
      <c r="AL115">
        <v>103055536</v>
      </c>
      <c r="AM115">
        <v>130768576</v>
      </c>
      <c r="AN115">
        <v>53807492</v>
      </c>
      <c r="AO115">
        <v>133563584</v>
      </c>
      <c r="AP115">
        <v>116785328</v>
      </c>
      <c r="AQ115">
        <v>165937664</v>
      </c>
      <c r="AR115">
        <v>149247744</v>
      </c>
      <c r="AS115">
        <v>127591968</v>
      </c>
      <c r="AT115" s="11">
        <v>109643824</v>
      </c>
      <c r="AU115" s="11">
        <v>140338544</v>
      </c>
      <c r="AW115" s="14">
        <v>22616694</v>
      </c>
      <c r="AX115" s="14">
        <v>41930872</v>
      </c>
      <c r="AZ115" s="16">
        <v>69347984</v>
      </c>
      <c r="BA115" s="16">
        <v>91643496</v>
      </c>
      <c r="BC115" s="18">
        <v>76646504</v>
      </c>
      <c r="BD115" s="18">
        <v>55892548</v>
      </c>
    </row>
    <row r="116" spans="1:56" hidden="1">
      <c r="A116">
        <v>16690</v>
      </c>
      <c r="B116" t="s">
        <v>536</v>
      </c>
      <c r="C116" t="s">
        <v>537</v>
      </c>
      <c r="D116" t="s">
        <v>538</v>
      </c>
      <c r="E116" t="s">
        <v>539</v>
      </c>
      <c r="F116" t="s">
        <v>540</v>
      </c>
      <c r="G116">
        <v>180.70500000000001</v>
      </c>
      <c r="H116" t="s">
        <v>58</v>
      </c>
      <c r="I116">
        <v>2</v>
      </c>
      <c r="J116">
        <v>3</v>
      </c>
      <c r="K116">
        <v>17</v>
      </c>
      <c r="L116">
        <v>67.09</v>
      </c>
      <c r="M116">
        <v>9402</v>
      </c>
      <c r="N116">
        <v>6</v>
      </c>
      <c r="O116">
        <v>4</v>
      </c>
      <c r="P116">
        <v>4</v>
      </c>
      <c r="Q116">
        <v>4</v>
      </c>
      <c r="R116">
        <v>4</v>
      </c>
      <c r="S116">
        <v>26</v>
      </c>
      <c r="T116">
        <v>26</v>
      </c>
      <c r="U116">
        <v>4</v>
      </c>
      <c r="V116">
        <v>4</v>
      </c>
      <c r="W116">
        <v>3</v>
      </c>
      <c r="X116">
        <v>3</v>
      </c>
      <c r="Y116">
        <v>4</v>
      </c>
      <c r="Z116">
        <v>4</v>
      </c>
      <c r="AA116">
        <v>4</v>
      </c>
      <c r="AB116">
        <v>4</v>
      </c>
      <c r="AC116">
        <v>3</v>
      </c>
      <c r="AD116">
        <v>5</v>
      </c>
      <c r="AE116">
        <v>5</v>
      </c>
      <c r="AF116">
        <v>1</v>
      </c>
      <c r="AG116">
        <v>2</v>
      </c>
      <c r="AH116">
        <v>6</v>
      </c>
      <c r="AI116">
        <v>5</v>
      </c>
      <c r="AJ116">
        <v>2</v>
      </c>
      <c r="AK116">
        <v>0</v>
      </c>
      <c r="AL116">
        <v>10230323</v>
      </c>
      <c r="AM116">
        <v>8510340</v>
      </c>
      <c r="AN116">
        <v>5886291</v>
      </c>
      <c r="AO116">
        <v>9399941</v>
      </c>
      <c r="AP116">
        <v>11011052</v>
      </c>
      <c r="AQ116">
        <v>10800816</v>
      </c>
      <c r="AR116">
        <v>5499109</v>
      </c>
      <c r="AS116">
        <v>3596094</v>
      </c>
      <c r="AT116" s="11">
        <v>16457024</v>
      </c>
      <c r="AU116" s="11">
        <v>19942250</v>
      </c>
      <c r="AW116" s="14">
        <v>5483877</v>
      </c>
      <c r="AX116" s="14">
        <v>4368589.5</v>
      </c>
      <c r="AZ116" s="16">
        <v>10567637</v>
      </c>
      <c r="BA116" s="16">
        <v>9490013</v>
      </c>
      <c r="BC116" s="18">
        <v>3148518.75</v>
      </c>
      <c r="BD116" s="18">
        <v>1967250.25</v>
      </c>
    </row>
    <row r="117" spans="1:56" hidden="1">
      <c r="A117">
        <v>16824</v>
      </c>
      <c r="B117" t="s">
        <v>541</v>
      </c>
      <c r="C117" t="s">
        <v>542</v>
      </c>
      <c r="D117" t="s">
        <v>543</v>
      </c>
      <c r="F117" t="s">
        <v>544</v>
      </c>
      <c r="G117">
        <v>178.697</v>
      </c>
      <c r="H117" t="s">
        <v>58</v>
      </c>
      <c r="I117">
        <v>2</v>
      </c>
      <c r="J117">
        <v>3</v>
      </c>
      <c r="K117">
        <v>0</v>
      </c>
      <c r="L117">
        <v>56.64</v>
      </c>
      <c r="M117">
        <v>12784</v>
      </c>
      <c r="N117">
        <v>8</v>
      </c>
      <c r="O117">
        <v>5</v>
      </c>
      <c r="P117">
        <v>5</v>
      </c>
      <c r="Q117">
        <v>5</v>
      </c>
      <c r="R117">
        <v>5</v>
      </c>
      <c r="S117">
        <v>50</v>
      </c>
      <c r="T117">
        <v>50</v>
      </c>
      <c r="U117">
        <v>5</v>
      </c>
      <c r="V117">
        <v>4</v>
      </c>
      <c r="W117">
        <v>4</v>
      </c>
      <c r="X117">
        <v>5</v>
      </c>
      <c r="Y117">
        <v>5</v>
      </c>
      <c r="Z117">
        <v>5</v>
      </c>
      <c r="AA117">
        <v>5</v>
      </c>
      <c r="AB117">
        <v>5</v>
      </c>
      <c r="AC117">
        <v>5</v>
      </c>
      <c r="AD117">
        <v>5</v>
      </c>
      <c r="AE117">
        <v>9</v>
      </c>
      <c r="AF117">
        <v>10</v>
      </c>
      <c r="AG117">
        <v>4</v>
      </c>
      <c r="AH117">
        <v>7</v>
      </c>
      <c r="AI117">
        <v>8</v>
      </c>
      <c r="AJ117">
        <v>3</v>
      </c>
      <c r="AK117">
        <v>4</v>
      </c>
      <c r="AL117">
        <v>43028960</v>
      </c>
      <c r="AM117">
        <v>42127112</v>
      </c>
      <c r="AN117">
        <v>71784920</v>
      </c>
      <c r="AO117">
        <v>74534192</v>
      </c>
      <c r="AP117">
        <v>43310892</v>
      </c>
      <c r="AQ117">
        <v>43285920</v>
      </c>
      <c r="AR117">
        <v>37092136</v>
      </c>
      <c r="AS117">
        <v>30264782</v>
      </c>
      <c r="AT117" s="11">
        <v>27354888</v>
      </c>
      <c r="AU117" s="11">
        <v>29675872</v>
      </c>
      <c r="AW117" s="14">
        <v>37650552</v>
      </c>
      <c r="AX117" s="14">
        <v>33052520</v>
      </c>
      <c r="AZ117" s="16">
        <v>34797092</v>
      </c>
      <c r="BA117" s="16">
        <v>33785500</v>
      </c>
      <c r="BC117" s="18">
        <v>27125970</v>
      </c>
      <c r="BD117" s="18">
        <v>21416020</v>
      </c>
    </row>
    <row r="118" spans="1:56" hidden="1">
      <c r="A118">
        <v>16754</v>
      </c>
      <c r="B118" t="s">
        <v>545</v>
      </c>
      <c r="C118" t="s">
        <v>546</v>
      </c>
      <c r="D118" t="s">
        <v>547</v>
      </c>
      <c r="F118" t="s">
        <v>548</v>
      </c>
      <c r="G118">
        <v>159.87200000000001</v>
      </c>
      <c r="H118" t="s">
        <v>58</v>
      </c>
      <c r="I118">
        <v>2</v>
      </c>
      <c r="J118">
        <v>18</v>
      </c>
      <c r="K118">
        <v>0</v>
      </c>
      <c r="L118">
        <v>70.180000000000007</v>
      </c>
      <c r="M118">
        <v>6446</v>
      </c>
      <c r="N118">
        <v>3</v>
      </c>
      <c r="O118">
        <v>4</v>
      </c>
      <c r="P118">
        <v>4</v>
      </c>
      <c r="Q118">
        <v>4</v>
      </c>
      <c r="R118">
        <v>4</v>
      </c>
      <c r="S118">
        <v>91</v>
      </c>
      <c r="T118">
        <v>91</v>
      </c>
      <c r="U118">
        <v>4</v>
      </c>
      <c r="V118">
        <v>1</v>
      </c>
      <c r="W118">
        <v>4</v>
      </c>
      <c r="X118">
        <v>3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8</v>
      </c>
      <c r="AE118">
        <v>16</v>
      </c>
      <c r="AF118">
        <v>4</v>
      </c>
      <c r="AG118">
        <v>8</v>
      </c>
      <c r="AH118">
        <v>10</v>
      </c>
      <c r="AI118">
        <v>13</v>
      </c>
      <c r="AJ118">
        <v>15</v>
      </c>
      <c r="AK118">
        <v>17</v>
      </c>
      <c r="AL118">
        <v>2630127.75</v>
      </c>
      <c r="AM118">
        <v>8070280.5</v>
      </c>
      <c r="AN118">
        <v>5838565</v>
      </c>
      <c r="AO118">
        <v>7028606.5</v>
      </c>
      <c r="AP118">
        <v>4916360.5</v>
      </c>
      <c r="AQ118">
        <v>6249675</v>
      </c>
      <c r="AR118">
        <v>5056534</v>
      </c>
      <c r="AS118">
        <v>7351869</v>
      </c>
      <c r="AT118" s="11">
        <v>6090418</v>
      </c>
      <c r="AU118" s="11">
        <v>13761362</v>
      </c>
      <c r="AW118" s="14">
        <v>4026056.75</v>
      </c>
      <c r="AX118" s="14">
        <v>4009283.75</v>
      </c>
      <c r="AZ118" s="16">
        <v>4784054</v>
      </c>
      <c r="BA118" s="16">
        <v>3609220</v>
      </c>
      <c r="BC118" s="18">
        <v>7235832.5</v>
      </c>
      <c r="BD118" s="18">
        <v>11585821</v>
      </c>
    </row>
    <row r="119" spans="1:56" hidden="1">
      <c r="A119">
        <v>16833</v>
      </c>
      <c r="B119" t="s">
        <v>549</v>
      </c>
      <c r="C119" t="s">
        <v>550</v>
      </c>
      <c r="D119" t="s">
        <v>549</v>
      </c>
      <c r="F119" t="s">
        <v>551</v>
      </c>
      <c r="G119">
        <v>158.59700000000001</v>
      </c>
      <c r="H119" t="s">
        <v>58</v>
      </c>
      <c r="I119">
        <v>2</v>
      </c>
      <c r="J119">
        <v>1</v>
      </c>
      <c r="K119">
        <v>0</v>
      </c>
      <c r="L119">
        <v>32.36</v>
      </c>
      <c r="M119">
        <v>37093</v>
      </c>
      <c r="N119">
        <v>20</v>
      </c>
      <c r="O119">
        <v>7</v>
      </c>
      <c r="P119">
        <v>7</v>
      </c>
      <c r="Q119">
        <v>7</v>
      </c>
      <c r="R119">
        <v>7</v>
      </c>
      <c r="S119">
        <v>25</v>
      </c>
      <c r="T119">
        <v>25</v>
      </c>
      <c r="U119">
        <v>7</v>
      </c>
      <c r="V119">
        <v>4</v>
      </c>
      <c r="W119">
        <v>3</v>
      </c>
      <c r="X119">
        <v>5</v>
      </c>
      <c r="Y119">
        <v>7</v>
      </c>
      <c r="Z119">
        <v>5</v>
      </c>
      <c r="AA119">
        <v>6</v>
      </c>
      <c r="AB119">
        <v>5</v>
      </c>
      <c r="AC119">
        <v>6</v>
      </c>
      <c r="AD119">
        <v>0</v>
      </c>
      <c r="AE119">
        <v>0</v>
      </c>
      <c r="AF119">
        <v>6</v>
      </c>
      <c r="AG119">
        <v>8</v>
      </c>
      <c r="AH119">
        <v>3</v>
      </c>
      <c r="AI119">
        <v>4</v>
      </c>
      <c r="AJ119">
        <v>1</v>
      </c>
      <c r="AK119">
        <v>3</v>
      </c>
      <c r="AL119">
        <v>7517134</v>
      </c>
      <c r="AM119">
        <v>5114048.5</v>
      </c>
      <c r="AN119">
        <v>25027736</v>
      </c>
      <c r="AO119">
        <v>34384060</v>
      </c>
      <c r="AP119">
        <v>13930087</v>
      </c>
      <c r="AQ119">
        <v>15431991</v>
      </c>
      <c r="AR119">
        <v>11988273</v>
      </c>
      <c r="AS119">
        <v>16242856</v>
      </c>
      <c r="AT119" s="11">
        <v>8429874</v>
      </c>
      <c r="AU119" s="11">
        <v>4673973</v>
      </c>
      <c r="AW119" s="14">
        <v>12383356</v>
      </c>
      <c r="AX119" s="14">
        <v>13659153</v>
      </c>
      <c r="AZ119" s="16">
        <v>8405643</v>
      </c>
      <c r="BA119" s="16">
        <v>9016830</v>
      </c>
      <c r="BC119" s="18">
        <v>8138768.5</v>
      </c>
      <c r="BD119" s="18">
        <v>7730341</v>
      </c>
    </row>
    <row r="120" spans="1:56" hidden="1">
      <c r="A120">
        <v>16685</v>
      </c>
      <c r="B120" t="s">
        <v>552</v>
      </c>
      <c r="C120" t="s">
        <v>553</v>
      </c>
      <c r="D120" t="s">
        <v>554</v>
      </c>
      <c r="F120" t="s">
        <v>555</v>
      </c>
      <c r="G120">
        <v>152.77500000000001</v>
      </c>
      <c r="H120" t="s">
        <v>58</v>
      </c>
      <c r="I120">
        <v>2</v>
      </c>
      <c r="J120">
        <v>19</v>
      </c>
      <c r="K120">
        <v>0</v>
      </c>
      <c r="L120">
        <v>69.900000000000006</v>
      </c>
      <c r="M120">
        <v>11564</v>
      </c>
      <c r="N120">
        <v>7</v>
      </c>
      <c r="O120">
        <v>7</v>
      </c>
      <c r="P120">
        <v>7</v>
      </c>
      <c r="Q120">
        <v>8</v>
      </c>
      <c r="R120">
        <v>8</v>
      </c>
      <c r="S120">
        <v>149</v>
      </c>
      <c r="T120">
        <v>149</v>
      </c>
      <c r="U120">
        <v>8</v>
      </c>
      <c r="V120">
        <v>6</v>
      </c>
      <c r="W120">
        <v>7</v>
      </c>
      <c r="X120">
        <v>8</v>
      </c>
      <c r="Y120">
        <v>8</v>
      </c>
      <c r="Z120">
        <v>8</v>
      </c>
      <c r="AA120">
        <v>8</v>
      </c>
      <c r="AB120">
        <v>8</v>
      </c>
      <c r="AC120">
        <v>8</v>
      </c>
      <c r="AD120">
        <v>29</v>
      </c>
      <c r="AE120">
        <v>38</v>
      </c>
      <c r="AF120">
        <v>9</v>
      </c>
      <c r="AG120">
        <v>12</v>
      </c>
      <c r="AH120">
        <v>16</v>
      </c>
      <c r="AI120">
        <v>20</v>
      </c>
      <c r="AJ120">
        <v>15</v>
      </c>
      <c r="AK120">
        <v>10</v>
      </c>
      <c r="AL120">
        <v>234399696</v>
      </c>
      <c r="AM120">
        <v>289054144</v>
      </c>
      <c r="AN120">
        <v>148273696</v>
      </c>
      <c r="AO120">
        <v>208826944</v>
      </c>
      <c r="AP120">
        <v>168483472</v>
      </c>
      <c r="AQ120">
        <v>248007408</v>
      </c>
      <c r="AR120">
        <v>227928640</v>
      </c>
      <c r="AS120">
        <v>230875408</v>
      </c>
      <c r="AT120" s="11">
        <v>164624928</v>
      </c>
      <c r="AU120" s="11">
        <v>276466336</v>
      </c>
      <c r="AW120" s="14">
        <v>80588144</v>
      </c>
      <c r="AX120" s="14">
        <v>79978832</v>
      </c>
      <c r="AZ120" s="16">
        <v>122476896</v>
      </c>
      <c r="BA120" s="16">
        <v>138445632</v>
      </c>
      <c r="BC120" s="18">
        <v>140351824</v>
      </c>
      <c r="BD120" s="18">
        <v>115350288</v>
      </c>
    </row>
    <row r="121" spans="1:56" hidden="1">
      <c r="A121">
        <v>16869</v>
      </c>
      <c r="B121" t="s">
        <v>556</v>
      </c>
      <c r="C121" t="s">
        <v>557</v>
      </c>
      <c r="D121" t="s">
        <v>558</v>
      </c>
      <c r="F121" t="s">
        <v>559</v>
      </c>
      <c r="G121">
        <v>150.27199999999999</v>
      </c>
      <c r="H121" t="s">
        <v>58</v>
      </c>
      <c r="I121">
        <v>2</v>
      </c>
      <c r="J121">
        <v>3</v>
      </c>
      <c r="K121">
        <v>0</v>
      </c>
      <c r="L121">
        <v>26.23</v>
      </c>
      <c r="M121">
        <v>34275</v>
      </c>
      <c r="N121">
        <v>17</v>
      </c>
      <c r="O121">
        <v>7</v>
      </c>
      <c r="P121">
        <v>7</v>
      </c>
      <c r="Q121">
        <v>7</v>
      </c>
      <c r="R121">
        <v>7</v>
      </c>
      <c r="S121">
        <v>19</v>
      </c>
      <c r="T121">
        <v>19</v>
      </c>
      <c r="U121">
        <v>7</v>
      </c>
      <c r="V121">
        <v>5</v>
      </c>
      <c r="W121">
        <v>5</v>
      </c>
      <c r="X121">
        <v>5</v>
      </c>
      <c r="Y121">
        <v>7</v>
      </c>
      <c r="Z121">
        <v>6</v>
      </c>
      <c r="AA121">
        <v>6</v>
      </c>
      <c r="AB121">
        <v>7</v>
      </c>
      <c r="AC121">
        <v>7</v>
      </c>
      <c r="AD121">
        <v>1</v>
      </c>
      <c r="AE121">
        <v>1</v>
      </c>
      <c r="AF121">
        <v>3</v>
      </c>
      <c r="AG121">
        <v>5</v>
      </c>
      <c r="AH121">
        <v>3</v>
      </c>
      <c r="AI121">
        <v>2</v>
      </c>
      <c r="AJ121">
        <v>2</v>
      </c>
      <c r="AK121">
        <v>4</v>
      </c>
      <c r="AL121">
        <v>5694465</v>
      </c>
      <c r="AM121">
        <v>5516037.5</v>
      </c>
      <c r="AN121">
        <v>20161792</v>
      </c>
      <c r="AO121">
        <v>32559656</v>
      </c>
      <c r="AP121">
        <v>13154864</v>
      </c>
      <c r="AQ121">
        <v>15148425</v>
      </c>
      <c r="AR121">
        <v>15161223</v>
      </c>
      <c r="AS121">
        <v>16642450</v>
      </c>
      <c r="AT121" s="11">
        <v>5617039.5</v>
      </c>
      <c r="AU121" s="11">
        <v>6342964</v>
      </c>
      <c r="AW121" s="14">
        <v>9277716</v>
      </c>
      <c r="AX121" s="14">
        <v>9207329</v>
      </c>
      <c r="AZ121" s="16">
        <v>8923863</v>
      </c>
      <c r="BA121" s="16">
        <v>8804957</v>
      </c>
      <c r="BC121" s="18">
        <v>7928519.5</v>
      </c>
      <c r="BD121" s="18">
        <v>7669032.5</v>
      </c>
    </row>
    <row r="122" spans="1:56" hidden="1">
      <c r="A122">
        <v>16743</v>
      </c>
      <c r="B122" t="s">
        <v>560</v>
      </c>
      <c r="C122" t="s">
        <v>561</v>
      </c>
      <c r="D122" t="s">
        <v>562</v>
      </c>
      <c r="E122" t="s">
        <v>563</v>
      </c>
      <c r="F122" t="s">
        <v>564</v>
      </c>
      <c r="G122">
        <v>148.69499999999999</v>
      </c>
      <c r="H122" t="s">
        <v>58</v>
      </c>
      <c r="I122">
        <v>2</v>
      </c>
      <c r="J122">
        <v>21</v>
      </c>
      <c r="K122">
        <v>2</v>
      </c>
      <c r="L122">
        <v>22.16</v>
      </c>
      <c r="M122">
        <v>19092</v>
      </c>
      <c r="N122">
        <v>7</v>
      </c>
      <c r="O122">
        <v>3</v>
      </c>
      <c r="P122">
        <v>3</v>
      </c>
      <c r="Q122">
        <v>3</v>
      </c>
      <c r="R122">
        <v>3</v>
      </c>
      <c r="S122">
        <v>8</v>
      </c>
      <c r="T122">
        <v>8</v>
      </c>
      <c r="U122">
        <v>3</v>
      </c>
      <c r="V122">
        <v>2</v>
      </c>
      <c r="W122">
        <v>2</v>
      </c>
      <c r="X122">
        <v>2</v>
      </c>
      <c r="Y122">
        <v>3</v>
      </c>
      <c r="Z122">
        <v>3</v>
      </c>
      <c r="AA122">
        <v>2</v>
      </c>
      <c r="AB122">
        <v>3</v>
      </c>
      <c r="AC122">
        <v>3</v>
      </c>
      <c r="AD122">
        <v>1</v>
      </c>
      <c r="AE122">
        <v>1</v>
      </c>
      <c r="AF122">
        <v>1</v>
      </c>
      <c r="AG122">
        <v>5</v>
      </c>
      <c r="AH122">
        <v>0</v>
      </c>
      <c r="AI122">
        <v>0</v>
      </c>
      <c r="AJ122">
        <v>0</v>
      </c>
      <c r="AK122">
        <v>2</v>
      </c>
      <c r="AL122">
        <v>5606279</v>
      </c>
      <c r="AM122">
        <v>4324543.5</v>
      </c>
      <c r="AN122">
        <v>16321972</v>
      </c>
      <c r="AO122">
        <v>55690400</v>
      </c>
      <c r="AP122">
        <v>4950264</v>
      </c>
      <c r="AQ122">
        <v>6403864.5</v>
      </c>
      <c r="AR122">
        <v>4311483</v>
      </c>
      <c r="AS122">
        <v>18102336</v>
      </c>
      <c r="AT122" s="11">
        <v>5050800</v>
      </c>
      <c r="AU122" s="11">
        <v>713060.44</v>
      </c>
      <c r="AW122" s="14">
        <v>813233.94</v>
      </c>
      <c r="AX122" s="14">
        <v>20575046</v>
      </c>
      <c r="AZ122" s="16">
        <v>10398202</v>
      </c>
      <c r="BA122" s="16">
        <v>3556654.75</v>
      </c>
      <c r="BC122" s="18">
        <v>1543163.5</v>
      </c>
      <c r="BD122" s="18">
        <v>11808895</v>
      </c>
    </row>
    <row r="123" spans="1:56" hidden="1">
      <c r="A123">
        <v>16858</v>
      </c>
      <c r="B123" t="s">
        <v>565</v>
      </c>
      <c r="C123" t="s">
        <v>566</v>
      </c>
      <c r="D123" t="s">
        <v>567</v>
      </c>
      <c r="F123" t="s">
        <v>568</v>
      </c>
      <c r="G123">
        <v>145.791</v>
      </c>
      <c r="H123" t="s">
        <v>58</v>
      </c>
      <c r="I123">
        <v>2</v>
      </c>
      <c r="J123">
        <v>2</v>
      </c>
      <c r="K123">
        <v>0</v>
      </c>
      <c r="L123">
        <v>14.07</v>
      </c>
      <c r="M123">
        <v>44010</v>
      </c>
      <c r="N123">
        <v>21</v>
      </c>
      <c r="O123">
        <v>4</v>
      </c>
      <c r="P123">
        <v>4</v>
      </c>
      <c r="Q123">
        <v>4</v>
      </c>
      <c r="R123">
        <v>4</v>
      </c>
      <c r="S123">
        <v>14</v>
      </c>
      <c r="T123">
        <v>14</v>
      </c>
      <c r="U123">
        <v>4</v>
      </c>
      <c r="V123">
        <v>1</v>
      </c>
      <c r="W123">
        <v>1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0</v>
      </c>
      <c r="AE123">
        <v>0</v>
      </c>
      <c r="AF123">
        <v>3</v>
      </c>
      <c r="AG123">
        <v>3</v>
      </c>
      <c r="AH123">
        <v>2</v>
      </c>
      <c r="AI123">
        <v>2</v>
      </c>
      <c r="AJ123">
        <v>2</v>
      </c>
      <c r="AK123">
        <v>2</v>
      </c>
      <c r="AL123">
        <v>289945.38</v>
      </c>
      <c r="AM123">
        <v>767986.56</v>
      </c>
      <c r="AN123">
        <v>5122344</v>
      </c>
      <c r="AO123">
        <v>6575393</v>
      </c>
      <c r="AP123">
        <v>3089509.25</v>
      </c>
      <c r="AQ123">
        <v>3330741</v>
      </c>
      <c r="AR123">
        <v>3370097</v>
      </c>
      <c r="AS123">
        <v>3468180.75</v>
      </c>
      <c r="AT123" s="11">
        <v>111278.99</v>
      </c>
      <c r="AU123" s="11">
        <v>63106</v>
      </c>
      <c r="AW123" s="14">
        <v>2666272.75</v>
      </c>
      <c r="AX123" s="14">
        <v>2502848.25</v>
      </c>
      <c r="AZ123" s="16">
        <v>2023231.25</v>
      </c>
      <c r="BA123" s="16">
        <v>1734086</v>
      </c>
      <c r="BC123" s="18">
        <v>1729782.25</v>
      </c>
      <c r="BD123" s="18">
        <v>1693844.88</v>
      </c>
    </row>
    <row r="124" spans="1:56" hidden="1">
      <c r="A124">
        <v>16846</v>
      </c>
      <c r="B124" t="s">
        <v>569</v>
      </c>
      <c r="C124" t="s">
        <v>570</v>
      </c>
      <c r="D124" t="s">
        <v>569</v>
      </c>
      <c r="F124" t="s">
        <v>571</v>
      </c>
      <c r="G124">
        <v>145.75200000000001</v>
      </c>
      <c r="H124" t="s">
        <v>58</v>
      </c>
      <c r="I124">
        <v>2</v>
      </c>
      <c r="J124">
        <v>1</v>
      </c>
      <c r="K124">
        <v>0</v>
      </c>
      <c r="L124">
        <v>14.59</v>
      </c>
      <c r="M124">
        <v>56176</v>
      </c>
      <c r="N124">
        <v>30</v>
      </c>
      <c r="O124">
        <v>6</v>
      </c>
      <c r="P124">
        <v>6</v>
      </c>
      <c r="Q124">
        <v>6</v>
      </c>
      <c r="R124">
        <v>6</v>
      </c>
      <c r="S124">
        <v>31</v>
      </c>
      <c r="T124">
        <v>31</v>
      </c>
      <c r="U124">
        <v>6</v>
      </c>
      <c r="V124">
        <v>3</v>
      </c>
      <c r="W124">
        <v>2</v>
      </c>
      <c r="X124">
        <v>5</v>
      </c>
      <c r="Y124">
        <v>6</v>
      </c>
      <c r="Z124">
        <v>6</v>
      </c>
      <c r="AA124">
        <v>6</v>
      </c>
      <c r="AB124">
        <v>6</v>
      </c>
      <c r="AC124">
        <v>6</v>
      </c>
      <c r="AD124">
        <v>0</v>
      </c>
      <c r="AE124">
        <v>0</v>
      </c>
      <c r="AF124">
        <v>3</v>
      </c>
      <c r="AG124">
        <v>8</v>
      </c>
      <c r="AH124">
        <v>4</v>
      </c>
      <c r="AI124">
        <v>6</v>
      </c>
      <c r="AJ124">
        <v>4</v>
      </c>
      <c r="AK124">
        <v>6</v>
      </c>
      <c r="AL124">
        <v>5671044</v>
      </c>
      <c r="AM124">
        <v>2705665</v>
      </c>
      <c r="AN124">
        <v>12422135</v>
      </c>
      <c r="AO124">
        <v>24176676</v>
      </c>
      <c r="AP124">
        <v>11992912</v>
      </c>
      <c r="AQ124">
        <v>12227359</v>
      </c>
      <c r="AR124">
        <v>10215641</v>
      </c>
      <c r="AS124">
        <v>13210746</v>
      </c>
      <c r="AT124" s="11">
        <v>393692.47</v>
      </c>
      <c r="AU124" s="11">
        <v>159764.73000000001</v>
      </c>
      <c r="AW124" s="14">
        <v>6997461</v>
      </c>
      <c r="AX124" s="14">
        <v>10450500</v>
      </c>
      <c r="AZ124" s="16">
        <v>8613555</v>
      </c>
      <c r="BA124" s="16">
        <v>8558400</v>
      </c>
      <c r="BC124" s="18">
        <v>7081649</v>
      </c>
      <c r="BD124" s="18">
        <v>7553335.5</v>
      </c>
    </row>
    <row r="125" spans="1:56" hidden="1">
      <c r="A125">
        <v>16835</v>
      </c>
      <c r="B125" t="s">
        <v>572</v>
      </c>
      <c r="C125" t="s">
        <v>573</v>
      </c>
      <c r="D125" t="s">
        <v>574</v>
      </c>
      <c r="F125" t="s">
        <v>575</v>
      </c>
      <c r="G125">
        <v>145.09100000000001</v>
      </c>
      <c r="H125" t="s">
        <v>58</v>
      </c>
      <c r="I125">
        <v>2</v>
      </c>
      <c r="J125">
        <v>3</v>
      </c>
      <c r="K125">
        <v>0</v>
      </c>
      <c r="L125">
        <v>14.29</v>
      </c>
      <c r="M125">
        <v>64421</v>
      </c>
      <c r="N125">
        <v>37</v>
      </c>
      <c r="O125">
        <v>8</v>
      </c>
      <c r="P125">
        <v>8</v>
      </c>
      <c r="Q125">
        <v>8</v>
      </c>
      <c r="R125">
        <v>8</v>
      </c>
      <c r="S125">
        <v>24</v>
      </c>
      <c r="T125">
        <v>24</v>
      </c>
      <c r="U125">
        <v>8</v>
      </c>
      <c r="V125">
        <v>4</v>
      </c>
      <c r="W125">
        <v>3</v>
      </c>
      <c r="X125">
        <v>8</v>
      </c>
      <c r="Y125">
        <v>8</v>
      </c>
      <c r="Z125">
        <v>7</v>
      </c>
      <c r="AA125">
        <v>7</v>
      </c>
      <c r="AB125">
        <v>8</v>
      </c>
      <c r="AC125">
        <v>7</v>
      </c>
      <c r="AD125">
        <v>0</v>
      </c>
      <c r="AE125">
        <v>0</v>
      </c>
      <c r="AF125">
        <v>5</v>
      </c>
      <c r="AG125">
        <v>6</v>
      </c>
      <c r="AH125">
        <v>3</v>
      </c>
      <c r="AI125">
        <v>4</v>
      </c>
      <c r="AJ125">
        <v>3</v>
      </c>
      <c r="AK125">
        <v>3</v>
      </c>
      <c r="AL125">
        <v>3937871</v>
      </c>
      <c r="AM125">
        <v>2923550.5</v>
      </c>
      <c r="AN125">
        <v>15403408</v>
      </c>
      <c r="AO125">
        <v>17596352</v>
      </c>
      <c r="AP125">
        <v>8656170</v>
      </c>
      <c r="AQ125">
        <v>8901939</v>
      </c>
      <c r="AR125">
        <v>8516230</v>
      </c>
      <c r="AS125">
        <v>7977235</v>
      </c>
      <c r="AT125" s="11">
        <v>2094627.88</v>
      </c>
      <c r="AU125" s="11">
        <v>444942.53</v>
      </c>
      <c r="AW125" s="14">
        <v>8335285.5</v>
      </c>
      <c r="AX125" s="14">
        <v>7009304</v>
      </c>
      <c r="AZ125" s="16">
        <v>5720524</v>
      </c>
      <c r="BA125" s="16">
        <v>5026544</v>
      </c>
      <c r="BC125" s="18">
        <v>5069343.5</v>
      </c>
      <c r="BD125" s="18">
        <v>3645033.5</v>
      </c>
    </row>
    <row r="126" spans="1:56" hidden="1">
      <c r="A126">
        <v>16740</v>
      </c>
      <c r="B126" t="s">
        <v>576</v>
      </c>
      <c r="C126" t="s">
        <v>577</v>
      </c>
      <c r="D126" t="s">
        <v>578</v>
      </c>
      <c r="F126" t="s">
        <v>579</v>
      </c>
      <c r="G126">
        <v>142.685</v>
      </c>
      <c r="H126" t="s">
        <v>58</v>
      </c>
      <c r="I126">
        <v>2</v>
      </c>
      <c r="J126">
        <v>3</v>
      </c>
      <c r="K126">
        <v>0</v>
      </c>
      <c r="L126">
        <v>13.66</v>
      </c>
      <c r="M126">
        <v>57825</v>
      </c>
      <c r="N126">
        <v>33</v>
      </c>
      <c r="O126">
        <v>7</v>
      </c>
      <c r="P126">
        <v>1</v>
      </c>
      <c r="Q126">
        <v>7</v>
      </c>
      <c r="R126">
        <v>1</v>
      </c>
      <c r="S126">
        <v>38</v>
      </c>
      <c r="T126">
        <v>4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1</v>
      </c>
      <c r="AJ126">
        <v>1</v>
      </c>
      <c r="AK126">
        <v>1</v>
      </c>
      <c r="AL126">
        <v>41461720</v>
      </c>
      <c r="AM126">
        <v>41645336</v>
      </c>
      <c r="AN126">
        <v>65642804</v>
      </c>
      <c r="AO126">
        <v>97656512</v>
      </c>
      <c r="AP126">
        <v>77317024</v>
      </c>
      <c r="AQ126">
        <v>92739048</v>
      </c>
      <c r="AR126">
        <v>80217984</v>
      </c>
      <c r="AS126">
        <v>98464240</v>
      </c>
      <c r="AT126" s="11">
        <v>865196.69</v>
      </c>
      <c r="AU126" s="11">
        <v>1968174.25</v>
      </c>
      <c r="AW126" s="14">
        <v>978162.06</v>
      </c>
      <c r="AX126" s="14">
        <v>965563.19</v>
      </c>
      <c r="AZ126" s="16">
        <v>1682560.5</v>
      </c>
      <c r="BA126" s="16">
        <v>1528308.62</v>
      </c>
      <c r="BC126" s="18">
        <v>1126346</v>
      </c>
      <c r="BD126" s="18">
        <v>1242262.25</v>
      </c>
    </row>
    <row r="127" spans="1:56" hidden="1">
      <c r="A127">
        <v>16792</v>
      </c>
      <c r="B127" t="s">
        <v>580</v>
      </c>
      <c r="C127" t="s">
        <v>581</v>
      </c>
      <c r="D127" t="s">
        <v>582</v>
      </c>
      <c r="F127" t="s">
        <v>583</v>
      </c>
      <c r="G127">
        <v>141.19800000000001</v>
      </c>
      <c r="H127" t="s">
        <v>58</v>
      </c>
      <c r="I127">
        <v>2</v>
      </c>
      <c r="J127">
        <v>3</v>
      </c>
      <c r="K127">
        <v>0</v>
      </c>
      <c r="L127">
        <v>10.78</v>
      </c>
      <c r="M127">
        <v>37998</v>
      </c>
      <c r="N127">
        <v>18</v>
      </c>
      <c r="O127">
        <v>3</v>
      </c>
      <c r="P127">
        <v>3</v>
      </c>
      <c r="Q127">
        <v>3</v>
      </c>
      <c r="R127">
        <v>3</v>
      </c>
      <c r="S127">
        <v>9</v>
      </c>
      <c r="T127">
        <v>9</v>
      </c>
      <c r="U127">
        <v>3</v>
      </c>
      <c r="V127">
        <v>3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3</v>
      </c>
      <c r="AC127">
        <v>3</v>
      </c>
      <c r="AD127">
        <v>1</v>
      </c>
      <c r="AE127">
        <v>0</v>
      </c>
      <c r="AF127">
        <v>2</v>
      </c>
      <c r="AG127">
        <v>2</v>
      </c>
      <c r="AH127">
        <v>1</v>
      </c>
      <c r="AI127">
        <v>2</v>
      </c>
      <c r="AJ127">
        <v>0</v>
      </c>
      <c r="AK127">
        <v>1</v>
      </c>
      <c r="AL127">
        <v>3155448.25</v>
      </c>
      <c r="AM127">
        <v>3315396.75</v>
      </c>
      <c r="AN127">
        <v>10155270</v>
      </c>
      <c r="AO127">
        <v>11084841</v>
      </c>
      <c r="AP127">
        <v>5906533</v>
      </c>
      <c r="AQ127">
        <v>6414725.5</v>
      </c>
      <c r="AR127">
        <v>5808894.5</v>
      </c>
      <c r="AS127">
        <v>6217016</v>
      </c>
      <c r="AT127" s="11">
        <v>3019568.5</v>
      </c>
      <c r="AU127" s="11">
        <v>3155165</v>
      </c>
      <c r="AW127" s="14">
        <v>4724996.5</v>
      </c>
      <c r="AX127" s="14">
        <v>3680143</v>
      </c>
      <c r="AZ127" s="16">
        <v>3657025.75</v>
      </c>
      <c r="BA127" s="16">
        <v>3628748</v>
      </c>
      <c r="BC127" s="18">
        <v>3028027.75</v>
      </c>
      <c r="BD127" s="18">
        <v>3070710.25</v>
      </c>
    </row>
    <row r="128" spans="1:56" hidden="1">
      <c r="A128">
        <v>16720</v>
      </c>
      <c r="B128" t="s">
        <v>584</v>
      </c>
      <c r="C128" t="s">
        <v>585</v>
      </c>
      <c r="D128" t="s">
        <v>584</v>
      </c>
      <c r="E128" t="s">
        <v>586</v>
      </c>
      <c r="F128" t="s">
        <v>587</v>
      </c>
      <c r="G128">
        <v>134.22200000000001</v>
      </c>
      <c r="H128" t="s">
        <v>58</v>
      </c>
      <c r="I128">
        <v>2</v>
      </c>
      <c r="J128">
        <v>1</v>
      </c>
      <c r="K128">
        <v>6</v>
      </c>
      <c r="L128">
        <v>11.72</v>
      </c>
      <c r="M128">
        <v>40367</v>
      </c>
      <c r="N128">
        <v>21</v>
      </c>
      <c r="O128">
        <v>3</v>
      </c>
      <c r="P128">
        <v>3</v>
      </c>
      <c r="Q128">
        <v>3</v>
      </c>
      <c r="R128">
        <v>3</v>
      </c>
      <c r="S128">
        <v>23</v>
      </c>
      <c r="T128">
        <v>23</v>
      </c>
      <c r="U128">
        <v>3</v>
      </c>
      <c r="V128">
        <v>2</v>
      </c>
      <c r="W128">
        <v>2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3</v>
      </c>
      <c r="AD128">
        <v>3</v>
      </c>
      <c r="AE128">
        <v>4</v>
      </c>
      <c r="AF128">
        <v>4</v>
      </c>
      <c r="AG128">
        <v>4</v>
      </c>
      <c r="AH128">
        <v>3</v>
      </c>
      <c r="AI128">
        <v>3</v>
      </c>
      <c r="AJ128">
        <v>1</v>
      </c>
      <c r="AK128">
        <v>1</v>
      </c>
      <c r="AL128">
        <v>11685135</v>
      </c>
      <c r="AM128">
        <v>12584517</v>
      </c>
      <c r="AN128">
        <v>8796011</v>
      </c>
      <c r="AO128">
        <v>11948313</v>
      </c>
      <c r="AP128">
        <v>7971927</v>
      </c>
      <c r="AQ128">
        <v>6272084</v>
      </c>
      <c r="AR128">
        <v>2982563.5</v>
      </c>
      <c r="AS128">
        <v>2281527</v>
      </c>
      <c r="AT128" s="11">
        <v>18912598</v>
      </c>
      <c r="AU128" s="11">
        <v>18878614</v>
      </c>
      <c r="AW128" s="14">
        <v>8359395.5</v>
      </c>
      <c r="AX128" s="14">
        <v>6574579</v>
      </c>
      <c r="AZ128" s="16">
        <v>6390978.5</v>
      </c>
      <c r="BA128" s="16">
        <v>5079481</v>
      </c>
      <c r="BC128" s="18">
        <v>2267571.25</v>
      </c>
      <c r="BD128" s="18">
        <v>1414629.88</v>
      </c>
    </row>
    <row r="129" spans="1:56" hidden="1">
      <c r="A129">
        <v>16738</v>
      </c>
      <c r="B129" t="s">
        <v>588</v>
      </c>
      <c r="C129" t="s">
        <v>589</v>
      </c>
      <c r="D129" t="s">
        <v>590</v>
      </c>
      <c r="E129" t="s">
        <v>591</v>
      </c>
      <c r="F129" t="s">
        <v>592</v>
      </c>
      <c r="G129">
        <v>128.96</v>
      </c>
      <c r="H129" t="s">
        <v>58</v>
      </c>
      <c r="I129">
        <v>2</v>
      </c>
      <c r="J129">
        <v>19</v>
      </c>
      <c r="K129">
        <v>1</v>
      </c>
      <c r="L129">
        <v>44.71</v>
      </c>
      <c r="M129">
        <v>9124</v>
      </c>
      <c r="N129">
        <v>5</v>
      </c>
      <c r="O129">
        <v>6</v>
      </c>
      <c r="P129">
        <v>6</v>
      </c>
      <c r="Q129">
        <v>6</v>
      </c>
      <c r="R129">
        <v>6</v>
      </c>
      <c r="S129">
        <v>65</v>
      </c>
      <c r="T129">
        <v>65</v>
      </c>
      <c r="U129">
        <v>6</v>
      </c>
      <c r="V129">
        <v>5</v>
      </c>
      <c r="W129">
        <v>5</v>
      </c>
      <c r="X129">
        <v>4</v>
      </c>
      <c r="Y129">
        <v>5</v>
      </c>
      <c r="Z129">
        <v>4</v>
      </c>
      <c r="AA129">
        <v>4</v>
      </c>
      <c r="AB129">
        <v>6</v>
      </c>
      <c r="AC129">
        <v>6</v>
      </c>
      <c r="AD129">
        <v>7</v>
      </c>
      <c r="AE129">
        <v>10</v>
      </c>
      <c r="AF129">
        <v>4</v>
      </c>
      <c r="AG129">
        <v>7</v>
      </c>
      <c r="AH129">
        <v>8</v>
      </c>
      <c r="AI129">
        <v>11</v>
      </c>
      <c r="AJ129">
        <v>10</v>
      </c>
      <c r="AK129">
        <v>8</v>
      </c>
      <c r="AL129">
        <v>74418880</v>
      </c>
      <c r="AM129">
        <v>77831424</v>
      </c>
      <c r="AN129">
        <v>65127100</v>
      </c>
      <c r="AO129">
        <v>219594736</v>
      </c>
      <c r="AP129">
        <v>97847456</v>
      </c>
      <c r="AQ129">
        <v>117966688</v>
      </c>
      <c r="AR129">
        <v>156408944</v>
      </c>
      <c r="AS129">
        <v>150919584</v>
      </c>
      <c r="AT129" s="11">
        <v>101788408</v>
      </c>
      <c r="AU129" s="11">
        <v>114770776</v>
      </c>
      <c r="AW129" s="14">
        <v>31125014</v>
      </c>
      <c r="AX129" s="14">
        <v>58720268</v>
      </c>
      <c r="AZ129" s="16">
        <v>53270356</v>
      </c>
      <c r="BA129" s="16">
        <v>53703860</v>
      </c>
      <c r="BC129" s="18">
        <v>73049024</v>
      </c>
      <c r="BD129" s="18">
        <v>60305584</v>
      </c>
    </row>
    <row r="130" spans="1:56" hidden="1">
      <c r="A130">
        <v>16816</v>
      </c>
      <c r="B130" t="s">
        <v>593</v>
      </c>
      <c r="C130" t="s">
        <v>594</v>
      </c>
      <c r="D130" t="s">
        <v>595</v>
      </c>
      <c r="F130" t="s">
        <v>596</v>
      </c>
      <c r="G130">
        <v>124.726</v>
      </c>
      <c r="H130" t="s">
        <v>58</v>
      </c>
      <c r="I130">
        <v>2</v>
      </c>
      <c r="J130">
        <v>3</v>
      </c>
      <c r="K130">
        <v>0</v>
      </c>
      <c r="L130">
        <v>39.42</v>
      </c>
      <c r="M130">
        <v>15539</v>
      </c>
      <c r="N130">
        <v>11</v>
      </c>
      <c r="O130">
        <v>4</v>
      </c>
      <c r="P130">
        <v>4</v>
      </c>
      <c r="Q130">
        <v>4</v>
      </c>
      <c r="R130">
        <v>4</v>
      </c>
      <c r="S130">
        <v>20</v>
      </c>
      <c r="T130">
        <v>20</v>
      </c>
      <c r="U130">
        <v>4</v>
      </c>
      <c r="V130">
        <v>3</v>
      </c>
      <c r="W130">
        <v>4</v>
      </c>
      <c r="X130">
        <v>3</v>
      </c>
      <c r="Y130">
        <v>4</v>
      </c>
      <c r="Z130">
        <v>4</v>
      </c>
      <c r="AA130">
        <v>3</v>
      </c>
      <c r="AB130">
        <v>3</v>
      </c>
      <c r="AC130">
        <v>4</v>
      </c>
      <c r="AD130">
        <v>3</v>
      </c>
      <c r="AE130">
        <v>8</v>
      </c>
      <c r="AF130">
        <v>1</v>
      </c>
      <c r="AG130">
        <v>2</v>
      </c>
      <c r="AH130">
        <v>4</v>
      </c>
      <c r="AI130">
        <v>2</v>
      </c>
      <c r="AJ130">
        <v>1</v>
      </c>
      <c r="AK130">
        <v>0</v>
      </c>
      <c r="AL130">
        <v>5733494</v>
      </c>
      <c r="AM130">
        <v>8417316</v>
      </c>
      <c r="AN130">
        <v>5149871.5</v>
      </c>
      <c r="AO130">
        <v>6645236.5</v>
      </c>
      <c r="AP130">
        <v>5823717</v>
      </c>
      <c r="AQ130">
        <v>3371835.5</v>
      </c>
      <c r="AR130">
        <v>1962802.25</v>
      </c>
      <c r="AS130">
        <v>2816446.25</v>
      </c>
      <c r="AT130" s="11">
        <v>5063475</v>
      </c>
      <c r="AU130" s="11">
        <v>9105978</v>
      </c>
      <c r="AW130" s="14">
        <v>2900519.75</v>
      </c>
      <c r="AX130" s="14">
        <v>2093490.12</v>
      </c>
      <c r="AZ130" s="16">
        <v>3274153.25</v>
      </c>
      <c r="BA130" s="16">
        <v>2352095.75</v>
      </c>
      <c r="BC130" s="18">
        <v>1046351.25</v>
      </c>
      <c r="BD130" s="18">
        <v>951376.88</v>
      </c>
    </row>
    <row r="131" spans="1:56" hidden="1">
      <c r="A131">
        <v>16815</v>
      </c>
      <c r="B131" t="s">
        <v>597</v>
      </c>
      <c r="C131" t="s">
        <v>598</v>
      </c>
      <c r="D131" t="s">
        <v>599</v>
      </c>
      <c r="E131" t="s">
        <v>600</v>
      </c>
      <c r="F131" t="s">
        <v>601</v>
      </c>
      <c r="G131">
        <v>123.497</v>
      </c>
      <c r="H131" t="s">
        <v>58</v>
      </c>
      <c r="I131">
        <v>2</v>
      </c>
      <c r="J131">
        <v>10</v>
      </c>
      <c r="K131">
        <v>2</v>
      </c>
      <c r="L131">
        <v>12.17</v>
      </c>
      <c r="M131">
        <v>42323</v>
      </c>
      <c r="N131">
        <v>22</v>
      </c>
      <c r="O131">
        <v>3</v>
      </c>
      <c r="P131">
        <v>3</v>
      </c>
      <c r="Q131">
        <v>3</v>
      </c>
      <c r="R131">
        <v>3</v>
      </c>
      <c r="S131">
        <v>9</v>
      </c>
      <c r="T131">
        <v>9</v>
      </c>
      <c r="U131">
        <v>3</v>
      </c>
      <c r="V131">
        <v>3</v>
      </c>
      <c r="W131">
        <v>2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0</v>
      </c>
      <c r="AE131">
        <v>0</v>
      </c>
      <c r="AF131">
        <v>2</v>
      </c>
      <c r="AG131">
        <v>2</v>
      </c>
      <c r="AH131">
        <v>1</v>
      </c>
      <c r="AI131">
        <v>2</v>
      </c>
      <c r="AJ131">
        <v>1</v>
      </c>
      <c r="AK131">
        <v>1</v>
      </c>
      <c r="AL131">
        <v>3582661</v>
      </c>
      <c r="AM131">
        <v>2601680</v>
      </c>
      <c r="AN131">
        <v>9135645</v>
      </c>
      <c r="AO131">
        <v>8478521</v>
      </c>
      <c r="AP131">
        <v>5250869</v>
      </c>
      <c r="AQ131">
        <v>5597124.5</v>
      </c>
      <c r="AR131">
        <v>5820890.5</v>
      </c>
      <c r="AS131">
        <v>5394547.5</v>
      </c>
      <c r="AT131" s="11">
        <v>3472502.25</v>
      </c>
      <c r="AU131" s="11">
        <v>2845261.5</v>
      </c>
      <c r="AW131" s="14">
        <v>4398687</v>
      </c>
      <c r="AX131" s="14">
        <v>2920164.75</v>
      </c>
      <c r="AZ131" s="16">
        <v>2992807.5</v>
      </c>
      <c r="BA131" s="16">
        <v>3054585.75</v>
      </c>
      <c r="BC131" s="18">
        <v>2975961.5</v>
      </c>
      <c r="BD131" s="18">
        <v>2518391</v>
      </c>
    </row>
    <row r="132" spans="1:56" hidden="1">
      <c r="A132">
        <v>16851</v>
      </c>
      <c r="B132" t="s">
        <v>602</v>
      </c>
      <c r="C132" t="s">
        <v>603</v>
      </c>
      <c r="D132" t="s">
        <v>602</v>
      </c>
      <c r="F132" t="s">
        <v>604</v>
      </c>
      <c r="G132">
        <v>122.4</v>
      </c>
      <c r="H132" t="s">
        <v>58</v>
      </c>
      <c r="I132">
        <v>2</v>
      </c>
      <c r="J132">
        <v>1</v>
      </c>
      <c r="K132">
        <v>0</v>
      </c>
      <c r="L132">
        <v>11.2</v>
      </c>
      <c r="M132">
        <v>71136</v>
      </c>
      <c r="N132">
        <v>44</v>
      </c>
      <c r="O132">
        <v>7</v>
      </c>
      <c r="P132">
        <v>7</v>
      </c>
      <c r="Q132">
        <v>7</v>
      </c>
      <c r="R132">
        <v>7</v>
      </c>
      <c r="S132">
        <v>19</v>
      </c>
      <c r="T132">
        <v>19</v>
      </c>
      <c r="U132">
        <v>7</v>
      </c>
      <c r="V132">
        <v>4</v>
      </c>
      <c r="W132">
        <v>2</v>
      </c>
      <c r="X132">
        <v>7</v>
      </c>
      <c r="Y132">
        <v>7</v>
      </c>
      <c r="Z132">
        <v>7</v>
      </c>
      <c r="AA132">
        <v>7</v>
      </c>
      <c r="AB132">
        <v>7</v>
      </c>
      <c r="AC132">
        <v>7</v>
      </c>
      <c r="AD132">
        <v>0</v>
      </c>
      <c r="AE132">
        <v>0</v>
      </c>
      <c r="AF132">
        <v>3</v>
      </c>
      <c r="AG132">
        <v>8</v>
      </c>
      <c r="AH132">
        <v>2</v>
      </c>
      <c r="AI132">
        <v>3</v>
      </c>
      <c r="AJ132">
        <v>2</v>
      </c>
      <c r="AK132">
        <v>1</v>
      </c>
      <c r="AL132">
        <v>2407607</v>
      </c>
      <c r="AM132">
        <v>677077.75</v>
      </c>
      <c r="AN132">
        <v>14250931</v>
      </c>
      <c r="AO132">
        <v>17740702</v>
      </c>
      <c r="AP132">
        <v>6696874</v>
      </c>
      <c r="AQ132">
        <v>7034130.5</v>
      </c>
      <c r="AR132">
        <v>6623407.5</v>
      </c>
      <c r="AS132">
        <v>7339415</v>
      </c>
      <c r="AT132" s="11">
        <v>497677.84</v>
      </c>
      <c r="AU132" s="11">
        <v>110854.42</v>
      </c>
      <c r="AW132" s="14">
        <v>9076647</v>
      </c>
      <c r="AX132" s="14">
        <v>7319452</v>
      </c>
      <c r="AZ132" s="16">
        <v>5004439.5</v>
      </c>
      <c r="BA132" s="16">
        <v>4994918</v>
      </c>
      <c r="BC132" s="18">
        <v>4375565</v>
      </c>
      <c r="BD132" s="18">
        <v>4521904</v>
      </c>
    </row>
    <row r="133" spans="1:56" hidden="1">
      <c r="A133">
        <v>16830</v>
      </c>
      <c r="B133" t="s">
        <v>605</v>
      </c>
      <c r="C133" t="s">
        <v>606</v>
      </c>
      <c r="D133" t="s">
        <v>605</v>
      </c>
      <c r="F133" t="s">
        <v>607</v>
      </c>
      <c r="G133">
        <v>121.992</v>
      </c>
      <c r="H133" t="s">
        <v>58</v>
      </c>
      <c r="I133">
        <v>2</v>
      </c>
      <c r="J133">
        <v>1</v>
      </c>
      <c r="K133">
        <v>0</v>
      </c>
      <c r="L133">
        <v>12.62</v>
      </c>
      <c r="M133">
        <v>46215</v>
      </c>
      <c r="N133">
        <v>24</v>
      </c>
      <c r="O133">
        <v>6</v>
      </c>
      <c r="P133">
        <v>6</v>
      </c>
      <c r="Q133">
        <v>6</v>
      </c>
      <c r="R133">
        <v>6</v>
      </c>
      <c r="S133">
        <v>23</v>
      </c>
      <c r="T133">
        <v>23</v>
      </c>
      <c r="U133">
        <v>6</v>
      </c>
      <c r="V133">
        <v>5</v>
      </c>
      <c r="W133">
        <v>5</v>
      </c>
      <c r="X133">
        <v>6</v>
      </c>
      <c r="Y133">
        <v>6</v>
      </c>
      <c r="Z133">
        <v>5</v>
      </c>
      <c r="AA133">
        <v>5</v>
      </c>
      <c r="AB133">
        <v>5</v>
      </c>
      <c r="AC133">
        <v>6</v>
      </c>
      <c r="AD133">
        <v>1</v>
      </c>
      <c r="AE133">
        <v>0</v>
      </c>
      <c r="AF133">
        <v>5</v>
      </c>
      <c r="AG133">
        <v>4</v>
      </c>
      <c r="AH133">
        <v>3</v>
      </c>
      <c r="AI133">
        <v>4</v>
      </c>
      <c r="AJ133">
        <v>3</v>
      </c>
      <c r="AK133">
        <v>3</v>
      </c>
      <c r="AL133">
        <v>5232864</v>
      </c>
      <c r="AM133">
        <v>4109146.25</v>
      </c>
      <c r="AN133">
        <v>18399006</v>
      </c>
      <c r="AO133">
        <v>13214294</v>
      </c>
      <c r="AP133">
        <v>7668990</v>
      </c>
      <c r="AQ133">
        <v>8311687</v>
      </c>
      <c r="AR133">
        <v>4969165.5</v>
      </c>
      <c r="AS133">
        <v>9804410</v>
      </c>
      <c r="AT133" s="11">
        <v>5040485.5</v>
      </c>
      <c r="AU133" s="11">
        <v>3332186.75</v>
      </c>
      <c r="AW133" s="14">
        <v>7950727</v>
      </c>
      <c r="AX133" s="14">
        <v>5580042</v>
      </c>
      <c r="AZ133" s="16">
        <v>4369002.5</v>
      </c>
      <c r="BA133" s="16">
        <v>4291132</v>
      </c>
      <c r="BC133" s="18">
        <v>3920439.75</v>
      </c>
      <c r="BD133" s="18">
        <v>4150463.25</v>
      </c>
    </row>
    <row r="134" spans="1:56" hidden="1">
      <c r="A134">
        <v>16726</v>
      </c>
      <c r="B134" t="s">
        <v>608</v>
      </c>
      <c r="C134" t="s">
        <v>609</v>
      </c>
      <c r="D134" t="s">
        <v>610</v>
      </c>
      <c r="F134" t="s">
        <v>611</v>
      </c>
      <c r="G134">
        <v>116.78</v>
      </c>
      <c r="H134" t="s">
        <v>58</v>
      </c>
      <c r="I134">
        <v>2</v>
      </c>
      <c r="J134">
        <v>20</v>
      </c>
      <c r="K134">
        <v>0</v>
      </c>
      <c r="L134">
        <v>46.15</v>
      </c>
      <c r="M134">
        <v>9006</v>
      </c>
      <c r="N134">
        <v>6</v>
      </c>
      <c r="O134">
        <v>6</v>
      </c>
      <c r="P134">
        <v>6</v>
      </c>
      <c r="Q134">
        <v>6</v>
      </c>
      <c r="R134">
        <v>6</v>
      </c>
      <c r="S134">
        <v>595</v>
      </c>
      <c r="T134">
        <v>595</v>
      </c>
      <c r="U134">
        <v>6</v>
      </c>
      <c r="V134">
        <v>4</v>
      </c>
      <c r="W134">
        <v>5</v>
      </c>
      <c r="X134">
        <v>6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63</v>
      </c>
      <c r="AE134">
        <v>88</v>
      </c>
      <c r="AF134">
        <v>70</v>
      </c>
      <c r="AG134">
        <v>57</v>
      </c>
      <c r="AH134">
        <v>69</v>
      </c>
      <c r="AI134">
        <v>90</v>
      </c>
      <c r="AJ134">
        <v>80</v>
      </c>
      <c r="AK134">
        <v>78</v>
      </c>
      <c r="AL134">
        <v>225112000</v>
      </c>
      <c r="AM134">
        <v>248803200</v>
      </c>
      <c r="AN134">
        <v>154487104</v>
      </c>
      <c r="AO134">
        <v>202345152</v>
      </c>
      <c r="AP134">
        <v>152456192</v>
      </c>
      <c r="AQ134">
        <v>265900304</v>
      </c>
      <c r="AR134">
        <v>206059552</v>
      </c>
      <c r="AS134">
        <v>191797264</v>
      </c>
      <c r="AT134" s="11">
        <v>213700656</v>
      </c>
      <c r="AU134" s="11">
        <v>252713984</v>
      </c>
      <c r="AW134" s="14">
        <v>96363672</v>
      </c>
      <c r="AX134" s="14">
        <v>75142944</v>
      </c>
      <c r="AZ134" s="16">
        <v>105645952</v>
      </c>
      <c r="BA134" s="16">
        <v>142645264</v>
      </c>
      <c r="BC134" s="18">
        <v>124051104</v>
      </c>
      <c r="BD134" s="18">
        <v>110257640</v>
      </c>
    </row>
    <row r="135" spans="1:56" hidden="1">
      <c r="A135">
        <v>16749</v>
      </c>
      <c r="B135" t="s">
        <v>612</v>
      </c>
      <c r="C135" t="s">
        <v>613</v>
      </c>
      <c r="D135" t="s">
        <v>614</v>
      </c>
      <c r="E135" t="s">
        <v>615</v>
      </c>
      <c r="F135" t="s">
        <v>616</v>
      </c>
      <c r="G135">
        <v>113.437</v>
      </c>
      <c r="H135" t="s">
        <v>58</v>
      </c>
      <c r="I135">
        <v>2</v>
      </c>
      <c r="J135">
        <v>20</v>
      </c>
      <c r="K135">
        <v>1</v>
      </c>
      <c r="L135">
        <v>35</v>
      </c>
      <c r="M135">
        <v>18268</v>
      </c>
      <c r="N135">
        <v>8</v>
      </c>
      <c r="O135">
        <v>6</v>
      </c>
      <c r="P135">
        <v>6</v>
      </c>
      <c r="Q135">
        <v>6</v>
      </c>
      <c r="R135">
        <v>6</v>
      </c>
      <c r="S135">
        <v>82</v>
      </c>
      <c r="T135">
        <v>82</v>
      </c>
      <c r="U135">
        <v>6</v>
      </c>
      <c r="V135">
        <v>3</v>
      </c>
      <c r="W135">
        <v>3</v>
      </c>
      <c r="X135">
        <v>5</v>
      </c>
      <c r="Y135">
        <v>6</v>
      </c>
      <c r="Z135">
        <v>5</v>
      </c>
      <c r="AA135">
        <v>5</v>
      </c>
      <c r="AB135">
        <v>5</v>
      </c>
      <c r="AC135">
        <v>6</v>
      </c>
      <c r="AD135">
        <v>7</v>
      </c>
      <c r="AE135">
        <v>3</v>
      </c>
      <c r="AF135">
        <v>16</v>
      </c>
      <c r="AG135">
        <v>14</v>
      </c>
      <c r="AH135">
        <v>18</v>
      </c>
      <c r="AI135">
        <v>12</v>
      </c>
      <c r="AJ135">
        <v>8</v>
      </c>
      <c r="AK135">
        <v>4</v>
      </c>
      <c r="AL135">
        <v>35696024</v>
      </c>
      <c r="AM135">
        <v>40601272</v>
      </c>
      <c r="AN135">
        <v>97925408</v>
      </c>
      <c r="AO135">
        <v>131736360</v>
      </c>
      <c r="AP135">
        <v>37681112</v>
      </c>
      <c r="AQ135">
        <v>69847472</v>
      </c>
      <c r="AR135">
        <v>70582624</v>
      </c>
      <c r="AS135">
        <v>73195536</v>
      </c>
      <c r="AT135" s="11">
        <v>4413478.5</v>
      </c>
      <c r="AU135" s="11">
        <v>3819581.75</v>
      </c>
      <c r="AW135" s="14">
        <v>74690808</v>
      </c>
      <c r="AX135" s="14">
        <v>62357372</v>
      </c>
      <c r="AZ135" s="16">
        <v>41390312</v>
      </c>
      <c r="BA135" s="16">
        <v>23760164</v>
      </c>
      <c r="BC135" s="18">
        <v>35373304</v>
      </c>
      <c r="BD135" s="18">
        <v>39894296</v>
      </c>
    </row>
    <row r="136" spans="1:56" hidden="1">
      <c r="A136">
        <v>16777</v>
      </c>
      <c r="B136" t="s">
        <v>617</v>
      </c>
      <c r="C136" t="s">
        <v>618</v>
      </c>
      <c r="D136" t="s">
        <v>619</v>
      </c>
      <c r="F136" t="s">
        <v>620</v>
      </c>
      <c r="G136">
        <v>108.253</v>
      </c>
      <c r="H136" t="s">
        <v>58</v>
      </c>
      <c r="I136">
        <v>2</v>
      </c>
      <c r="J136">
        <v>3</v>
      </c>
      <c r="K136">
        <v>0</v>
      </c>
      <c r="L136">
        <v>11.25</v>
      </c>
      <c r="M136">
        <v>37093</v>
      </c>
      <c r="N136">
        <v>19</v>
      </c>
      <c r="O136">
        <v>3</v>
      </c>
      <c r="P136">
        <v>3</v>
      </c>
      <c r="Q136">
        <v>3</v>
      </c>
      <c r="R136">
        <v>3</v>
      </c>
      <c r="S136">
        <v>20</v>
      </c>
      <c r="T136">
        <v>20</v>
      </c>
      <c r="U136">
        <v>3</v>
      </c>
      <c r="V136">
        <v>3</v>
      </c>
      <c r="W136">
        <v>3</v>
      </c>
      <c r="X136">
        <v>3</v>
      </c>
      <c r="Y136">
        <v>3</v>
      </c>
      <c r="Z136">
        <v>3</v>
      </c>
      <c r="AA136">
        <v>3</v>
      </c>
      <c r="AB136">
        <v>3</v>
      </c>
      <c r="AC136">
        <v>3</v>
      </c>
      <c r="AD136">
        <v>1</v>
      </c>
      <c r="AE136">
        <v>1</v>
      </c>
      <c r="AF136">
        <v>4</v>
      </c>
      <c r="AG136">
        <v>5</v>
      </c>
      <c r="AH136">
        <v>3</v>
      </c>
      <c r="AI136">
        <v>3</v>
      </c>
      <c r="AJ136">
        <v>1</v>
      </c>
      <c r="AK136">
        <v>4</v>
      </c>
      <c r="AL136">
        <v>3910434</v>
      </c>
      <c r="AM136">
        <v>3315582.75</v>
      </c>
      <c r="AN136">
        <v>12467895</v>
      </c>
      <c r="AO136">
        <v>13159762</v>
      </c>
      <c r="AP136">
        <v>6208437</v>
      </c>
      <c r="AQ136">
        <v>6665962.5</v>
      </c>
      <c r="AR136">
        <v>6685726</v>
      </c>
      <c r="AS136">
        <v>6036847</v>
      </c>
      <c r="AT136" s="11">
        <v>3703931.75</v>
      </c>
      <c r="AU136" s="11">
        <v>3701173.5</v>
      </c>
      <c r="AW136" s="14">
        <v>6208535.5</v>
      </c>
      <c r="AX136" s="14">
        <v>4535208</v>
      </c>
      <c r="AZ136" s="16">
        <v>3665378.5</v>
      </c>
      <c r="BA136" s="16">
        <v>3514100.5</v>
      </c>
      <c r="BC136" s="18">
        <v>3247349</v>
      </c>
      <c r="BD136" s="18">
        <v>2737726</v>
      </c>
    </row>
    <row r="137" spans="1:56" hidden="1">
      <c r="A137">
        <v>16845</v>
      </c>
      <c r="B137" t="s">
        <v>621</v>
      </c>
      <c r="C137" t="s">
        <v>622</v>
      </c>
      <c r="D137" t="s">
        <v>621</v>
      </c>
      <c r="F137" t="s">
        <v>623</v>
      </c>
      <c r="G137">
        <v>106.223</v>
      </c>
      <c r="H137" t="s">
        <v>58</v>
      </c>
      <c r="I137">
        <v>2</v>
      </c>
      <c r="J137">
        <v>1</v>
      </c>
      <c r="K137">
        <v>0</v>
      </c>
      <c r="L137">
        <v>9.93</v>
      </c>
      <c r="M137">
        <v>62983</v>
      </c>
      <c r="N137">
        <v>31</v>
      </c>
      <c r="O137">
        <v>6</v>
      </c>
      <c r="P137">
        <v>6</v>
      </c>
      <c r="Q137">
        <v>6</v>
      </c>
      <c r="R137">
        <v>6</v>
      </c>
      <c r="S137">
        <v>12</v>
      </c>
      <c r="T137">
        <v>12</v>
      </c>
      <c r="U137">
        <v>6</v>
      </c>
      <c r="V137">
        <v>4</v>
      </c>
      <c r="W137">
        <v>3</v>
      </c>
      <c r="X137">
        <v>5</v>
      </c>
      <c r="Y137">
        <v>6</v>
      </c>
      <c r="Z137">
        <v>6</v>
      </c>
      <c r="AA137">
        <v>6</v>
      </c>
      <c r="AB137">
        <v>5</v>
      </c>
      <c r="AC137">
        <v>5</v>
      </c>
      <c r="AD137">
        <v>0</v>
      </c>
      <c r="AE137">
        <v>0</v>
      </c>
      <c r="AF137">
        <v>0</v>
      </c>
      <c r="AG137">
        <v>5</v>
      </c>
      <c r="AH137">
        <v>2</v>
      </c>
      <c r="AI137">
        <v>4</v>
      </c>
      <c r="AJ137">
        <v>1</v>
      </c>
      <c r="AK137">
        <v>1</v>
      </c>
      <c r="AL137">
        <v>6256308</v>
      </c>
      <c r="AM137">
        <v>4701586.5</v>
      </c>
      <c r="AN137">
        <v>14286705</v>
      </c>
      <c r="AO137">
        <v>27604598</v>
      </c>
      <c r="AP137">
        <v>10242367</v>
      </c>
      <c r="AQ137">
        <v>14018895</v>
      </c>
      <c r="AR137">
        <v>12274786</v>
      </c>
      <c r="AS137">
        <v>10822785</v>
      </c>
      <c r="AT137" s="11">
        <v>4341190</v>
      </c>
      <c r="AU137" s="11">
        <v>1769727.12</v>
      </c>
      <c r="AW137" s="14">
        <v>5781912.5</v>
      </c>
      <c r="AX137" s="14">
        <v>11468268</v>
      </c>
      <c r="AZ137" s="16">
        <v>9199218</v>
      </c>
      <c r="BA137" s="16">
        <v>9000287</v>
      </c>
      <c r="BC137" s="18">
        <v>4893029</v>
      </c>
      <c r="BD137" s="18">
        <v>4673333</v>
      </c>
    </row>
    <row r="138" spans="1:56" hidden="1">
      <c r="A138">
        <v>16820</v>
      </c>
      <c r="B138" t="s">
        <v>624</v>
      </c>
      <c r="C138" t="s">
        <v>625</v>
      </c>
      <c r="D138" t="s">
        <v>624</v>
      </c>
      <c r="F138" t="s">
        <v>626</v>
      </c>
      <c r="G138">
        <v>104.17100000000001</v>
      </c>
      <c r="H138" t="s">
        <v>58</v>
      </c>
      <c r="I138">
        <v>2</v>
      </c>
      <c r="J138">
        <v>1</v>
      </c>
      <c r="K138">
        <v>0</v>
      </c>
      <c r="L138">
        <v>17.46</v>
      </c>
      <c r="M138">
        <v>28047</v>
      </c>
      <c r="N138">
        <v>11</v>
      </c>
      <c r="O138">
        <v>4</v>
      </c>
      <c r="P138">
        <v>4</v>
      </c>
      <c r="Q138">
        <v>4</v>
      </c>
      <c r="R138">
        <v>4</v>
      </c>
      <c r="S138">
        <v>10</v>
      </c>
      <c r="T138">
        <v>10</v>
      </c>
      <c r="U138">
        <v>4</v>
      </c>
      <c r="V138">
        <v>2</v>
      </c>
      <c r="W138">
        <v>2</v>
      </c>
      <c r="X138">
        <v>3</v>
      </c>
      <c r="Y138">
        <v>4</v>
      </c>
      <c r="Z138">
        <v>3</v>
      </c>
      <c r="AA138">
        <v>3</v>
      </c>
      <c r="AB138">
        <v>4</v>
      </c>
      <c r="AC138">
        <v>4</v>
      </c>
      <c r="AD138">
        <v>0</v>
      </c>
      <c r="AE138">
        <v>0</v>
      </c>
      <c r="AF138">
        <v>1</v>
      </c>
      <c r="AG138">
        <v>3</v>
      </c>
      <c r="AH138">
        <v>1</v>
      </c>
      <c r="AI138">
        <v>2</v>
      </c>
      <c r="AJ138">
        <v>1</v>
      </c>
      <c r="AK138">
        <v>2</v>
      </c>
      <c r="AL138">
        <v>1837134</v>
      </c>
      <c r="AM138">
        <v>1934720.5</v>
      </c>
      <c r="AN138">
        <v>6657813</v>
      </c>
      <c r="AO138">
        <v>10621534</v>
      </c>
      <c r="AP138">
        <v>3905080.5</v>
      </c>
      <c r="AQ138">
        <v>4425740</v>
      </c>
      <c r="AR138">
        <v>3806767</v>
      </c>
      <c r="AS138">
        <v>4951177.5</v>
      </c>
      <c r="AT138" s="11">
        <v>804294.81</v>
      </c>
      <c r="AU138" s="11">
        <v>702358.25</v>
      </c>
      <c r="AW138" s="14">
        <v>2587921.25</v>
      </c>
      <c r="AX138" s="14">
        <v>5009414.5</v>
      </c>
      <c r="AZ138" s="16">
        <v>1974480</v>
      </c>
      <c r="BA138" s="16">
        <v>1973519</v>
      </c>
      <c r="BC138" s="18">
        <v>2418221.25</v>
      </c>
      <c r="BD138" s="18">
        <v>3489848.25</v>
      </c>
    </row>
    <row r="139" spans="1:56" hidden="1">
      <c r="A139">
        <v>16674</v>
      </c>
      <c r="B139" t="s">
        <v>627</v>
      </c>
      <c r="C139" t="s">
        <v>628</v>
      </c>
      <c r="D139" t="s">
        <v>629</v>
      </c>
      <c r="F139" t="s">
        <v>630</v>
      </c>
      <c r="G139">
        <v>103.80200000000001</v>
      </c>
      <c r="H139" t="s">
        <v>58</v>
      </c>
      <c r="I139">
        <v>2</v>
      </c>
      <c r="J139">
        <v>21</v>
      </c>
      <c r="K139">
        <v>0</v>
      </c>
      <c r="L139">
        <v>39.29</v>
      </c>
      <c r="M139">
        <v>9704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274</v>
      </c>
      <c r="T139">
        <v>274</v>
      </c>
      <c r="U139">
        <v>4</v>
      </c>
      <c r="V139">
        <v>3</v>
      </c>
      <c r="W139">
        <v>3</v>
      </c>
      <c r="X139">
        <v>4</v>
      </c>
      <c r="Y139">
        <v>4</v>
      </c>
      <c r="Z139">
        <v>4</v>
      </c>
      <c r="AA139">
        <v>4</v>
      </c>
      <c r="AB139">
        <v>4</v>
      </c>
      <c r="AC139">
        <v>4</v>
      </c>
      <c r="AD139">
        <v>51</v>
      </c>
      <c r="AE139">
        <v>44</v>
      </c>
      <c r="AF139">
        <v>54</v>
      </c>
      <c r="AG139">
        <v>36</v>
      </c>
      <c r="AH139">
        <v>24</v>
      </c>
      <c r="AI139">
        <v>20</v>
      </c>
      <c r="AJ139">
        <v>18</v>
      </c>
      <c r="AK139">
        <v>27</v>
      </c>
      <c r="AL139">
        <v>318848416</v>
      </c>
      <c r="AM139">
        <v>384822016</v>
      </c>
      <c r="AN139">
        <v>337953472</v>
      </c>
      <c r="AO139">
        <v>468231008</v>
      </c>
      <c r="AP139">
        <v>210481408</v>
      </c>
      <c r="AQ139">
        <v>218180704</v>
      </c>
      <c r="AR139">
        <v>167365296</v>
      </c>
      <c r="AS139">
        <v>273089888</v>
      </c>
      <c r="AT139" s="11">
        <v>278697184</v>
      </c>
      <c r="AU139" s="11">
        <v>94476520</v>
      </c>
      <c r="AW139" s="14">
        <v>270566752</v>
      </c>
      <c r="AX139" s="14">
        <v>231518864</v>
      </c>
      <c r="AZ139" s="16">
        <v>163416288</v>
      </c>
      <c r="BA139" s="16">
        <v>119248624</v>
      </c>
      <c r="BC139" s="18">
        <v>126355352</v>
      </c>
      <c r="BD139" s="18">
        <v>137222608</v>
      </c>
    </row>
    <row r="140" spans="1:56" hidden="1">
      <c r="A140">
        <v>16837</v>
      </c>
      <c r="B140" t="s">
        <v>631</v>
      </c>
      <c r="C140" t="s">
        <v>632</v>
      </c>
      <c r="D140" t="s">
        <v>631</v>
      </c>
      <c r="F140" t="s">
        <v>633</v>
      </c>
      <c r="G140">
        <v>98.314999999999998</v>
      </c>
      <c r="H140" t="s">
        <v>58</v>
      </c>
      <c r="I140">
        <v>2</v>
      </c>
      <c r="J140">
        <v>1</v>
      </c>
      <c r="K140">
        <v>0</v>
      </c>
      <c r="L140">
        <v>15.69</v>
      </c>
      <c r="M140">
        <v>29738</v>
      </c>
      <c r="N140">
        <v>16</v>
      </c>
      <c r="O140">
        <v>3</v>
      </c>
      <c r="P140">
        <v>3</v>
      </c>
      <c r="Q140">
        <v>3</v>
      </c>
      <c r="R140">
        <v>3</v>
      </c>
      <c r="S140">
        <v>10</v>
      </c>
      <c r="T140">
        <v>10</v>
      </c>
      <c r="U140">
        <v>3</v>
      </c>
      <c r="V140">
        <v>1</v>
      </c>
      <c r="W140">
        <v>2</v>
      </c>
      <c r="X140">
        <v>3</v>
      </c>
      <c r="Y140">
        <v>3</v>
      </c>
      <c r="Z140">
        <v>3</v>
      </c>
      <c r="AA140">
        <v>3</v>
      </c>
      <c r="AB140">
        <v>3</v>
      </c>
      <c r="AC140">
        <v>3</v>
      </c>
      <c r="AD140">
        <v>0</v>
      </c>
      <c r="AE140">
        <v>0</v>
      </c>
      <c r="AF140">
        <v>1</v>
      </c>
      <c r="AG140">
        <v>3</v>
      </c>
      <c r="AH140">
        <v>1</v>
      </c>
      <c r="AI140">
        <v>2</v>
      </c>
      <c r="AJ140">
        <v>1</v>
      </c>
      <c r="AK140">
        <v>2</v>
      </c>
      <c r="AL140">
        <v>599804.12</v>
      </c>
      <c r="AM140">
        <v>1546304.25</v>
      </c>
      <c r="AN140">
        <v>6448781</v>
      </c>
      <c r="AO140">
        <v>6660197</v>
      </c>
      <c r="AP140">
        <v>2851257</v>
      </c>
      <c r="AQ140">
        <v>3427757.25</v>
      </c>
      <c r="AR140">
        <v>3325708.5</v>
      </c>
      <c r="AS140">
        <v>3893638.5</v>
      </c>
      <c r="AT140" s="11">
        <v>49923.93</v>
      </c>
      <c r="AU140" s="11">
        <v>2315981.5</v>
      </c>
      <c r="AW140" s="14">
        <v>2965851.75</v>
      </c>
      <c r="AX140" s="14">
        <v>2363967.25</v>
      </c>
      <c r="AZ140" s="16">
        <v>1687432.38</v>
      </c>
      <c r="BA140" s="16">
        <v>1719980.12</v>
      </c>
      <c r="BC140" s="18">
        <v>1851187</v>
      </c>
      <c r="BD140" s="18">
        <v>1682794.25</v>
      </c>
    </row>
    <row r="141" spans="1:56" hidden="1">
      <c r="A141">
        <v>16666</v>
      </c>
      <c r="B141" t="s">
        <v>634</v>
      </c>
      <c r="C141" t="s">
        <v>635</v>
      </c>
      <c r="D141" t="s">
        <v>636</v>
      </c>
      <c r="E141" t="s">
        <v>637</v>
      </c>
      <c r="F141" t="s">
        <v>638</v>
      </c>
      <c r="G141">
        <v>95.965000000000003</v>
      </c>
      <c r="H141" t="s">
        <v>58</v>
      </c>
      <c r="I141">
        <v>2</v>
      </c>
      <c r="J141">
        <v>19</v>
      </c>
      <c r="K141">
        <v>2</v>
      </c>
      <c r="L141">
        <v>11.19</v>
      </c>
      <c r="M141">
        <v>63477</v>
      </c>
      <c r="N141">
        <v>41</v>
      </c>
      <c r="O141">
        <v>6</v>
      </c>
      <c r="P141">
        <v>6</v>
      </c>
      <c r="Q141">
        <v>6</v>
      </c>
      <c r="R141">
        <v>6</v>
      </c>
      <c r="S141">
        <v>13</v>
      </c>
      <c r="T141">
        <v>13</v>
      </c>
      <c r="U141">
        <v>6</v>
      </c>
      <c r="V141">
        <v>5</v>
      </c>
      <c r="W141">
        <v>6</v>
      </c>
      <c r="X141">
        <v>6</v>
      </c>
      <c r="Y141">
        <v>6</v>
      </c>
      <c r="Z141">
        <v>5</v>
      </c>
      <c r="AA141">
        <v>5</v>
      </c>
      <c r="AB141">
        <v>5</v>
      </c>
      <c r="AC141">
        <v>6</v>
      </c>
      <c r="AD141">
        <v>1</v>
      </c>
      <c r="AE141">
        <v>1</v>
      </c>
      <c r="AF141">
        <v>1</v>
      </c>
      <c r="AG141">
        <v>3</v>
      </c>
      <c r="AH141">
        <v>2</v>
      </c>
      <c r="AI141">
        <v>5</v>
      </c>
      <c r="AJ141">
        <v>1</v>
      </c>
      <c r="AK141">
        <v>2</v>
      </c>
      <c r="AL141">
        <v>5740617</v>
      </c>
      <c r="AM141">
        <v>5425318.5</v>
      </c>
      <c r="AN141">
        <v>7049797.5</v>
      </c>
      <c r="AO141">
        <v>9138012</v>
      </c>
      <c r="AP141">
        <v>5911956.5</v>
      </c>
      <c r="AQ141">
        <v>7323273</v>
      </c>
      <c r="AR141">
        <v>5134146</v>
      </c>
      <c r="AS141">
        <v>7971702.5</v>
      </c>
      <c r="AT141" s="11">
        <v>5576643.5</v>
      </c>
      <c r="AU141" s="11">
        <v>5570264.5</v>
      </c>
      <c r="AW141" s="14">
        <v>3370636.25</v>
      </c>
      <c r="AX141" s="14">
        <v>3217917.25</v>
      </c>
      <c r="AZ141" s="16">
        <v>3307839</v>
      </c>
      <c r="BA141" s="16">
        <v>4090869.5</v>
      </c>
      <c r="BC141" s="18">
        <v>2672278</v>
      </c>
      <c r="BD141" s="18">
        <v>3800729.5</v>
      </c>
    </row>
    <row r="142" spans="1:56" s="19" customFormat="1" hidden="1">
      <c r="A142" s="19">
        <v>16864</v>
      </c>
      <c r="B142" s="19" t="s">
        <v>639</v>
      </c>
      <c r="C142" s="19" t="s">
        <v>640</v>
      </c>
      <c r="D142" s="19" t="s">
        <v>639</v>
      </c>
      <c r="E142" s="19" t="s">
        <v>641</v>
      </c>
      <c r="F142" s="19" t="s">
        <v>642</v>
      </c>
      <c r="G142" s="19">
        <v>90.498999999999995</v>
      </c>
      <c r="H142" s="19" t="s">
        <v>58</v>
      </c>
      <c r="I142" s="19">
        <v>2</v>
      </c>
      <c r="J142" s="19">
        <v>1</v>
      </c>
      <c r="K142" s="19">
        <v>6</v>
      </c>
      <c r="L142" s="19">
        <v>7.3</v>
      </c>
      <c r="M142" s="19">
        <v>66037</v>
      </c>
      <c r="N142" s="19">
        <v>35</v>
      </c>
      <c r="O142" s="19">
        <v>4</v>
      </c>
      <c r="P142" s="19">
        <v>4</v>
      </c>
      <c r="Q142" s="19">
        <v>4</v>
      </c>
      <c r="R142" s="19">
        <v>4</v>
      </c>
      <c r="S142" s="19">
        <v>4</v>
      </c>
      <c r="T142" s="19">
        <v>4</v>
      </c>
      <c r="U142" s="19">
        <v>4</v>
      </c>
      <c r="V142" s="19">
        <v>4</v>
      </c>
      <c r="AD142" s="19">
        <v>4</v>
      </c>
      <c r="AE142" s="19">
        <v>0</v>
      </c>
      <c r="AF142" s="19">
        <v>0</v>
      </c>
      <c r="AG142" s="19">
        <v>0</v>
      </c>
      <c r="AH142" s="19">
        <v>0</v>
      </c>
      <c r="AI142" s="19">
        <v>0</v>
      </c>
      <c r="AJ142" s="19">
        <v>0</v>
      </c>
      <c r="AK142" s="19">
        <v>0</v>
      </c>
      <c r="AL142" s="19">
        <v>4575558</v>
      </c>
      <c r="AT142" s="20">
        <v>4575558</v>
      </c>
      <c r="AU142" s="20">
        <v>151704.31</v>
      </c>
      <c r="AV142" s="20"/>
      <c r="AW142" s="21">
        <v>374615.16</v>
      </c>
      <c r="AX142" s="21">
        <v>360097.09</v>
      </c>
      <c r="AY142" s="21"/>
      <c r="AZ142" s="22">
        <v>278828.78000000003</v>
      </c>
      <c r="BA142" s="22">
        <v>249615.83</v>
      </c>
      <c r="BB142" s="22"/>
      <c r="BC142" s="23">
        <v>274135.90999999997</v>
      </c>
      <c r="BD142" s="23">
        <v>275347</v>
      </c>
    </row>
    <row r="143" spans="1:56" hidden="1">
      <c r="A143">
        <v>16836</v>
      </c>
      <c r="B143" t="s">
        <v>643</v>
      </c>
      <c r="C143" t="s">
        <v>644</v>
      </c>
      <c r="D143" t="s">
        <v>643</v>
      </c>
      <c r="F143" t="s">
        <v>645</v>
      </c>
      <c r="G143">
        <v>87.753</v>
      </c>
      <c r="H143" t="s">
        <v>58</v>
      </c>
      <c r="I143">
        <v>2</v>
      </c>
      <c r="J143">
        <v>1</v>
      </c>
      <c r="K143">
        <v>0</v>
      </c>
      <c r="L143">
        <v>16.23</v>
      </c>
      <c r="M143">
        <v>25258</v>
      </c>
      <c r="N143">
        <v>14</v>
      </c>
      <c r="O143">
        <v>4</v>
      </c>
      <c r="P143">
        <v>4</v>
      </c>
      <c r="Q143">
        <v>4</v>
      </c>
      <c r="R143">
        <v>4</v>
      </c>
      <c r="S143">
        <v>19</v>
      </c>
      <c r="T143">
        <v>19</v>
      </c>
      <c r="U143">
        <v>4</v>
      </c>
      <c r="V143">
        <v>3</v>
      </c>
      <c r="W143">
        <v>3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2</v>
      </c>
      <c r="AE143">
        <v>0</v>
      </c>
      <c r="AF143">
        <v>4</v>
      </c>
      <c r="AG143">
        <v>4</v>
      </c>
      <c r="AH143">
        <v>2</v>
      </c>
      <c r="AI143">
        <v>3</v>
      </c>
      <c r="AJ143">
        <v>3</v>
      </c>
      <c r="AK143">
        <v>3</v>
      </c>
      <c r="AL143">
        <v>1681945.88</v>
      </c>
      <c r="AM143">
        <v>2371699.5</v>
      </c>
      <c r="AN143">
        <v>9155653</v>
      </c>
      <c r="AO143">
        <v>11388222</v>
      </c>
      <c r="AP143">
        <v>5194922.5</v>
      </c>
      <c r="AQ143">
        <v>5755115.5</v>
      </c>
      <c r="AR143">
        <v>4769956</v>
      </c>
      <c r="AS143">
        <v>5579790</v>
      </c>
      <c r="AT143" s="11">
        <v>826168.06</v>
      </c>
      <c r="AU143" s="11">
        <v>3509032.25</v>
      </c>
      <c r="AW143" s="14">
        <v>6674543</v>
      </c>
      <c r="AX143" s="14">
        <v>6346179</v>
      </c>
      <c r="AZ143" s="16">
        <v>4483755</v>
      </c>
      <c r="BA143" s="16">
        <v>4624210.5</v>
      </c>
      <c r="BC143" s="18">
        <v>3794012.25</v>
      </c>
      <c r="BD143" s="18">
        <v>3858476.5</v>
      </c>
    </row>
    <row r="144" spans="1:56" hidden="1">
      <c r="A144">
        <v>16716</v>
      </c>
      <c r="B144" t="s">
        <v>646</v>
      </c>
      <c r="C144" t="s">
        <v>647</v>
      </c>
      <c r="D144" t="s">
        <v>648</v>
      </c>
      <c r="E144" t="s">
        <v>649</v>
      </c>
      <c r="F144" t="s">
        <v>650</v>
      </c>
      <c r="G144">
        <v>82.412000000000006</v>
      </c>
      <c r="H144" t="s">
        <v>58</v>
      </c>
      <c r="I144">
        <v>2</v>
      </c>
      <c r="J144">
        <v>18</v>
      </c>
      <c r="K144">
        <v>3</v>
      </c>
      <c r="L144">
        <v>9.98</v>
      </c>
      <c r="M144">
        <v>53597</v>
      </c>
      <c r="N144">
        <v>20</v>
      </c>
      <c r="O144">
        <v>5</v>
      </c>
      <c r="P144">
        <v>5</v>
      </c>
      <c r="Q144">
        <v>5</v>
      </c>
      <c r="R144">
        <v>5</v>
      </c>
      <c r="S144">
        <v>27</v>
      </c>
      <c r="T144">
        <v>27</v>
      </c>
      <c r="U144">
        <v>5</v>
      </c>
      <c r="V144">
        <v>4</v>
      </c>
      <c r="W144">
        <v>4</v>
      </c>
      <c r="X144">
        <v>4</v>
      </c>
      <c r="Y144">
        <v>4</v>
      </c>
      <c r="Z144">
        <v>4</v>
      </c>
      <c r="AA144">
        <v>4</v>
      </c>
      <c r="AB144">
        <v>4</v>
      </c>
      <c r="AC144">
        <v>5</v>
      </c>
      <c r="AD144">
        <v>0</v>
      </c>
      <c r="AE144">
        <v>2</v>
      </c>
      <c r="AF144">
        <v>5</v>
      </c>
      <c r="AG144">
        <v>6</v>
      </c>
      <c r="AH144">
        <v>2</v>
      </c>
      <c r="AI144">
        <v>5</v>
      </c>
      <c r="AJ144">
        <v>5</v>
      </c>
      <c r="AK144">
        <v>4</v>
      </c>
      <c r="AL144">
        <v>10496198</v>
      </c>
      <c r="AM144">
        <v>9057115</v>
      </c>
      <c r="AN144">
        <v>21843266</v>
      </c>
      <c r="AO144">
        <v>19969942</v>
      </c>
      <c r="AP144">
        <v>13283638</v>
      </c>
      <c r="AQ144">
        <v>14573185</v>
      </c>
      <c r="AR144">
        <v>9732081</v>
      </c>
      <c r="AS144">
        <v>13977784</v>
      </c>
      <c r="AT144" s="11">
        <v>6763682</v>
      </c>
      <c r="AU144" s="11">
        <v>8296725</v>
      </c>
      <c r="AW144" s="14">
        <v>11468995</v>
      </c>
      <c r="AX144" s="14">
        <v>10578286</v>
      </c>
      <c r="AZ144" s="16">
        <v>7396864</v>
      </c>
      <c r="BA144" s="16">
        <v>7489633</v>
      </c>
      <c r="BC144" s="18">
        <v>6622268.5</v>
      </c>
      <c r="BD144" s="18">
        <v>7190543.5</v>
      </c>
    </row>
    <row r="145" spans="1:56" hidden="1">
      <c r="A145">
        <v>16856</v>
      </c>
      <c r="B145" t="s">
        <v>651</v>
      </c>
      <c r="C145" t="s">
        <v>652</v>
      </c>
      <c r="D145" t="s">
        <v>653</v>
      </c>
      <c r="F145" t="s">
        <v>654</v>
      </c>
      <c r="G145">
        <v>79.040999999999997</v>
      </c>
      <c r="H145" t="s">
        <v>58</v>
      </c>
      <c r="I145">
        <v>2</v>
      </c>
      <c r="J145">
        <v>2</v>
      </c>
      <c r="K145">
        <v>0</v>
      </c>
      <c r="L145">
        <v>10.19</v>
      </c>
      <c r="M145">
        <v>39666</v>
      </c>
      <c r="N145">
        <v>22</v>
      </c>
      <c r="O145">
        <v>3</v>
      </c>
      <c r="P145">
        <v>3</v>
      </c>
      <c r="Q145">
        <v>3</v>
      </c>
      <c r="R145">
        <v>3</v>
      </c>
      <c r="S145">
        <v>3</v>
      </c>
      <c r="T145">
        <v>3</v>
      </c>
      <c r="U145">
        <v>3</v>
      </c>
      <c r="V145">
        <v>1</v>
      </c>
      <c r="W145">
        <v>2</v>
      </c>
      <c r="X145">
        <v>3</v>
      </c>
      <c r="Y145">
        <v>2</v>
      </c>
      <c r="Z145">
        <v>2</v>
      </c>
      <c r="AA145">
        <v>2</v>
      </c>
      <c r="AB145">
        <v>2</v>
      </c>
      <c r="AC145">
        <v>1</v>
      </c>
      <c r="AD145">
        <v>0</v>
      </c>
      <c r="AE145">
        <v>0</v>
      </c>
      <c r="AF145">
        <v>2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1442390.88</v>
      </c>
      <c r="AM145">
        <v>1858043.12</v>
      </c>
      <c r="AN145">
        <v>5945442.5</v>
      </c>
      <c r="AO145">
        <v>6837624.5</v>
      </c>
      <c r="AP145">
        <v>2659295.5</v>
      </c>
      <c r="AQ145">
        <v>2652999.5</v>
      </c>
      <c r="AR145">
        <v>2881935.5</v>
      </c>
      <c r="AS145">
        <v>1185959.5</v>
      </c>
      <c r="AT145" s="11">
        <v>72366.880000000005</v>
      </c>
      <c r="AU145" s="11">
        <v>1315640.1200000001</v>
      </c>
      <c r="AW145" s="14">
        <v>4307313.5</v>
      </c>
      <c r="AX145" s="14">
        <v>2449870</v>
      </c>
      <c r="AZ145" s="16">
        <v>1575850.25</v>
      </c>
      <c r="BA145" s="16">
        <v>1531525</v>
      </c>
      <c r="BC145" s="18">
        <v>1567748.75</v>
      </c>
      <c r="BD145" s="18">
        <v>355214.12</v>
      </c>
    </row>
    <row r="146" spans="1:56" hidden="1">
      <c r="A146">
        <v>16866</v>
      </c>
      <c r="B146" t="s">
        <v>655</v>
      </c>
      <c r="C146" t="s">
        <v>656</v>
      </c>
      <c r="D146" t="s">
        <v>655</v>
      </c>
      <c r="F146" t="s">
        <v>657</v>
      </c>
      <c r="G146">
        <v>71.509</v>
      </c>
      <c r="H146" t="s">
        <v>58</v>
      </c>
      <c r="I146">
        <v>2</v>
      </c>
      <c r="J146">
        <v>1</v>
      </c>
      <c r="K146">
        <v>0</v>
      </c>
      <c r="L146">
        <v>6.19</v>
      </c>
      <c r="M146">
        <v>46587</v>
      </c>
      <c r="N146">
        <v>20</v>
      </c>
      <c r="O146">
        <v>2</v>
      </c>
      <c r="P146">
        <v>2</v>
      </c>
      <c r="Q146">
        <v>2</v>
      </c>
      <c r="R146">
        <v>2</v>
      </c>
      <c r="S146">
        <v>9</v>
      </c>
      <c r="T146">
        <v>9</v>
      </c>
      <c r="U146">
        <v>2</v>
      </c>
      <c r="V146">
        <v>1</v>
      </c>
      <c r="W146">
        <v>1</v>
      </c>
      <c r="X146">
        <v>1</v>
      </c>
      <c r="Y146">
        <v>2</v>
      </c>
      <c r="Z146">
        <v>2</v>
      </c>
      <c r="AA146">
        <v>2</v>
      </c>
      <c r="AB146">
        <v>2</v>
      </c>
      <c r="AC146">
        <v>2</v>
      </c>
      <c r="AD146">
        <v>0</v>
      </c>
      <c r="AE146">
        <v>0</v>
      </c>
      <c r="AF146">
        <v>0</v>
      </c>
      <c r="AG146">
        <v>2</v>
      </c>
      <c r="AH146">
        <v>2</v>
      </c>
      <c r="AI146">
        <v>2</v>
      </c>
      <c r="AJ146">
        <v>1</v>
      </c>
      <c r="AK146">
        <v>2</v>
      </c>
      <c r="AL146">
        <v>598358.93999999994</v>
      </c>
      <c r="AM146">
        <v>485248.84</v>
      </c>
      <c r="AN146">
        <v>1351189.38</v>
      </c>
      <c r="AO146">
        <v>4020858.75</v>
      </c>
      <c r="AP146">
        <v>2030545.5</v>
      </c>
      <c r="AQ146">
        <v>2268609</v>
      </c>
      <c r="AR146">
        <v>1822648.5</v>
      </c>
      <c r="AS146">
        <v>2836309.25</v>
      </c>
      <c r="AT146" s="11">
        <v>47621.71</v>
      </c>
      <c r="AU146" s="11">
        <v>31420.07</v>
      </c>
      <c r="AW146" s="14">
        <v>20857.02</v>
      </c>
      <c r="AX146" s="14">
        <v>1668451.38</v>
      </c>
      <c r="AZ146" s="16">
        <v>1513152.12</v>
      </c>
      <c r="BA146" s="16">
        <v>1550471.38</v>
      </c>
      <c r="BC146" s="18">
        <v>1149379.25</v>
      </c>
      <c r="BD146" s="18">
        <v>1566419.5</v>
      </c>
    </row>
    <row r="147" spans="1:56" hidden="1">
      <c r="A147">
        <v>16850</v>
      </c>
      <c r="B147" t="s">
        <v>658</v>
      </c>
      <c r="C147" t="s">
        <v>659</v>
      </c>
      <c r="D147" t="s">
        <v>660</v>
      </c>
      <c r="F147" t="s">
        <v>661</v>
      </c>
      <c r="G147">
        <v>70.578999999999994</v>
      </c>
      <c r="H147" t="s">
        <v>58</v>
      </c>
      <c r="I147">
        <v>2</v>
      </c>
      <c r="J147">
        <v>2</v>
      </c>
      <c r="K147">
        <v>0</v>
      </c>
      <c r="L147">
        <v>13.02</v>
      </c>
      <c r="M147">
        <v>37126</v>
      </c>
      <c r="N147">
        <v>12</v>
      </c>
      <c r="O147">
        <v>4</v>
      </c>
      <c r="P147">
        <v>4</v>
      </c>
      <c r="Q147">
        <v>4</v>
      </c>
      <c r="R147">
        <v>4</v>
      </c>
      <c r="S147">
        <v>18</v>
      </c>
      <c r="T147">
        <v>18</v>
      </c>
      <c r="U147">
        <v>4</v>
      </c>
      <c r="V147">
        <v>3</v>
      </c>
      <c r="W147">
        <v>3</v>
      </c>
      <c r="X147">
        <v>4</v>
      </c>
      <c r="Y147">
        <v>4</v>
      </c>
      <c r="Z147">
        <v>4</v>
      </c>
      <c r="AA147">
        <v>4</v>
      </c>
      <c r="AB147">
        <v>4</v>
      </c>
      <c r="AC147">
        <v>4</v>
      </c>
      <c r="AD147">
        <v>0</v>
      </c>
      <c r="AE147">
        <v>2</v>
      </c>
      <c r="AF147">
        <v>1</v>
      </c>
      <c r="AG147">
        <v>2</v>
      </c>
      <c r="AH147">
        <v>3</v>
      </c>
      <c r="AI147">
        <v>3</v>
      </c>
      <c r="AJ147">
        <v>4</v>
      </c>
      <c r="AK147">
        <v>4</v>
      </c>
      <c r="AL147">
        <v>6091010</v>
      </c>
      <c r="AM147">
        <v>5552329</v>
      </c>
      <c r="AN147">
        <v>18346404</v>
      </c>
      <c r="AO147">
        <v>21860610</v>
      </c>
      <c r="AP147">
        <v>10866882</v>
      </c>
      <c r="AQ147">
        <v>11228190</v>
      </c>
      <c r="AR147">
        <v>10924322</v>
      </c>
      <c r="AS147">
        <v>11051464</v>
      </c>
      <c r="AT147" s="11">
        <v>6323740</v>
      </c>
      <c r="AU147" s="11">
        <v>5495984</v>
      </c>
      <c r="AW147" s="14">
        <v>8823807</v>
      </c>
      <c r="AX147" s="14">
        <v>7475739</v>
      </c>
      <c r="AZ147" s="16">
        <v>6451250.5</v>
      </c>
      <c r="BA147" s="16">
        <v>6124510</v>
      </c>
      <c r="BC147" s="18">
        <v>5563957</v>
      </c>
      <c r="BD147" s="18">
        <v>5030342</v>
      </c>
    </row>
    <row r="148" spans="1:56" hidden="1">
      <c r="A148">
        <v>16812</v>
      </c>
      <c r="B148" t="s">
        <v>662</v>
      </c>
      <c r="C148" t="s">
        <v>663</v>
      </c>
      <c r="D148" t="s">
        <v>664</v>
      </c>
      <c r="F148" t="s">
        <v>665</v>
      </c>
      <c r="G148">
        <v>69.05</v>
      </c>
      <c r="H148" t="s">
        <v>58</v>
      </c>
      <c r="I148">
        <v>2</v>
      </c>
      <c r="J148">
        <v>3</v>
      </c>
      <c r="K148">
        <v>0</v>
      </c>
      <c r="L148">
        <v>22.39</v>
      </c>
      <c r="M148">
        <v>7276</v>
      </c>
      <c r="N148">
        <v>6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Y148">
        <v>1</v>
      </c>
      <c r="AC148">
        <v>1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2789542.5</v>
      </c>
      <c r="AM148">
        <v>2557843.5</v>
      </c>
      <c r="AO148">
        <v>2975933</v>
      </c>
      <c r="AS148">
        <v>1254802.25</v>
      </c>
      <c r="AT148" s="11">
        <v>2789542.5</v>
      </c>
      <c r="AU148" s="11">
        <v>2654808.5</v>
      </c>
      <c r="AW148" s="14">
        <v>374615.16</v>
      </c>
      <c r="AX148" s="14">
        <v>995774.5</v>
      </c>
      <c r="AZ148" s="16">
        <v>278828.78000000003</v>
      </c>
      <c r="BA148" s="16">
        <v>249615.83</v>
      </c>
      <c r="BC148" s="18">
        <v>274135.90999999997</v>
      </c>
      <c r="BD148" s="18">
        <v>575598.56000000006</v>
      </c>
    </row>
    <row r="149" spans="1:56" hidden="1">
      <c r="A149">
        <v>16670</v>
      </c>
      <c r="B149" t="s">
        <v>666</v>
      </c>
      <c r="C149" t="s">
        <v>667</v>
      </c>
      <c r="D149" t="s">
        <v>668</v>
      </c>
      <c r="F149" t="s">
        <v>669</v>
      </c>
      <c r="G149">
        <v>65.888000000000005</v>
      </c>
      <c r="H149" t="s">
        <v>58</v>
      </c>
      <c r="I149">
        <v>2</v>
      </c>
      <c r="J149">
        <v>19</v>
      </c>
      <c r="K149">
        <v>0</v>
      </c>
      <c r="L149">
        <v>8.51</v>
      </c>
      <c r="M149">
        <v>41043</v>
      </c>
      <c r="N149">
        <v>17</v>
      </c>
      <c r="O149">
        <v>3</v>
      </c>
      <c r="P149">
        <v>3</v>
      </c>
      <c r="Q149">
        <v>3</v>
      </c>
      <c r="R149">
        <v>3</v>
      </c>
      <c r="S149">
        <v>18</v>
      </c>
      <c r="T149">
        <v>18</v>
      </c>
      <c r="U149">
        <v>3</v>
      </c>
      <c r="V149">
        <v>2</v>
      </c>
      <c r="W149">
        <v>2</v>
      </c>
      <c r="X149">
        <v>3</v>
      </c>
      <c r="Y149">
        <v>3</v>
      </c>
      <c r="Z149">
        <v>3</v>
      </c>
      <c r="AA149">
        <v>3</v>
      </c>
      <c r="AB149">
        <v>3</v>
      </c>
      <c r="AC149">
        <v>3</v>
      </c>
      <c r="AD149">
        <v>0</v>
      </c>
      <c r="AE149">
        <v>0</v>
      </c>
      <c r="AF149">
        <v>2</v>
      </c>
      <c r="AG149">
        <v>3</v>
      </c>
      <c r="AH149">
        <v>2</v>
      </c>
      <c r="AI149">
        <v>4</v>
      </c>
      <c r="AJ149">
        <v>4</v>
      </c>
      <c r="AK149">
        <v>3</v>
      </c>
      <c r="AL149">
        <v>2397378.75</v>
      </c>
      <c r="AM149">
        <v>2499497</v>
      </c>
      <c r="AN149">
        <v>10985312</v>
      </c>
      <c r="AO149">
        <v>11765584</v>
      </c>
      <c r="AP149">
        <v>5035711</v>
      </c>
      <c r="AQ149">
        <v>5697196</v>
      </c>
      <c r="AR149">
        <v>5555770</v>
      </c>
      <c r="AS149">
        <v>5872357.5</v>
      </c>
      <c r="AT149" s="11">
        <v>2116047.5</v>
      </c>
      <c r="AU149" s="11">
        <v>2255379.5</v>
      </c>
      <c r="AW149" s="14">
        <v>5165649.5</v>
      </c>
      <c r="AX149" s="14">
        <v>4086797</v>
      </c>
      <c r="AZ149" s="16">
        <v>3229521</v>
      </c>
      <c r="BA149" s="16">
        <v>3345274</v>
      </c>
      <c r="BC149" s="18">
        <v>2845927.5</v>
      </c>
      <c r="BD149" s="18">
        <v>2691317</v>
      </c>
    </row>
    <row r="150" spans="1:56" hidden="1">
      <c r="A150">
        <v>16713</v>
      </c>
      <c r="B150" t="s">
        <v>670</v>
      </c>
      <c r="C150" t="s">
        <v>671</v>
      </c>
      <c r="D150" t="s">
        <v>672</v>
      </c>
      <c r="F150" t="s">
        <v>673</v>
      </c>
      <c r="G150">
        <v>64.355999999999995</v>
      </c>
      <c r="H150" t="s">
        <v>58</v>
      </c>
      <c r="I150">
        <v>2</v>
      </c>
      <c r="J150">
        <v>18</v>
      </c>
      <c r="K150">
        <v>0</v>
      </c>
      <c r="L150">
        <v>42.31</v>
      </c>
      <c r="M150">
        <v>8639</v>
      </c>
      <c r="N150">
        <v>3</v>
      </c>
      <c r="O150">
        <v>4</v>
      </c>
      <c r="P150">
        <v>4</v>
      </c>
      <c r="Q150">
        <v>4</v>
      </c>
      <c r="R150">
        <v>4</v>
      </c>
      <c r="S150">
        <v>24</v>
      </c>
      <c r="T150">
        <v>24</v>
      </c>
      <c r="U150">
        <v>4</v>
      </c>
      <c r="V150">
        <v>3</v>
      </c>
      <c r="W150">
        <v>3</v>
      </c>
      <c r="X150">
        <v>3</v>
      </c>
      <c r="Y150">
        <v>4</v>
      </c>
      <c r="Z150">
        <v>3</v>
      </c>
      <c r="AA150">
        <v>4</v>
      </c>
      <c r="AB150">
        <v>4</v>
      </c>
      <c r="AC150">
        <v>4</v>
      </c>
      <c r="AD150">
        <v>7</v>
      </c>
      <c r="AE150">
        <v>3</v>
      </c>
      <c r="AF150">
        <v>4</v>
      </c>
      <c r="AG150">
        <v>4</v>
      </c>
      <c r="AH150">
        <v>2</v>
      </c>
      <c r="AI150">
        <v>1</v>
      </c>
      <c r="AJ150">
        <v>1</v>
      </c>
      <c r="AK150">
        <v>2</v>
      </c>
      <c r="AL150">
        <v>34334744</v>
      </c>
      <c r="AM150">
        <v>33400920</v>
      </c>
      <c r="AN150">
        <v>28864970</v>
      </c>
      <c r="AO150">
        <v>38336008</v>
      </c>
      <c r="AP150">
        <v>15341479</v>
      </c>
      <c r="AQ150">
        <v>20886746</v>
      </c>
      <c r="AR150">
        <v>15852143</v>
      </c>
      <c r="AS150">
        <v>15140707</v>
      </c>
      <c r="AT150" s="11">
        <v>44004412</v>
      </c>
      <c r="AU150" s="11">
        <v>42407280</v>
      </c>
      <c r="AW150" s="14">
        <v>17942978</v>
      </c>
      <c r="AX150" s="14">
        <v>16134794</v>
      </c>
      <c r="AZ150" s="16">
        <v>12276946</v>
      </c>
      <c r="BA150" s="16">
        <v>14494105</v>
      </c>
      <c r="BC150" s="18">
        <v>10273623</v>
      </c>
      <c r="BD150" s="18">
        <v>9857787</v>
      </c>
    </row>
    <row r="151" spans="1:56" hidden="1">
      <c r="A151">
        <v>16784</v>
      </c>
      <c r="B151" t="s">
        <v>674</v>
      </c>
      <c r="C151" t="s">
        <v>675</v>
      </c>
      <c r="D151" t="s">
        <v>676</v>
      </c>
      <c r="F151" t="s">
        <v>677</v>
      </c>
      <c r="G151">
        <v>63.55</v>
      </c>
      <c r="H151" t="s">
        <v>58</v>
      </c>
      <c r="I151">
        <v>2</v>
      </c>
      <c r="J151">
        <v>8</v>
      </c>
      <c r="K151">
        <v>0</v>
      </c>
      <c r="L151">
        <v>8.27</v>
      </c>
      <c r="M151">
        <v>41117</v>
      </c>
      <c r="N151">
        <v>23</v>
      </c>
      <c r="O151">
        <v>5</v>
      </c>
      <c r="P151">
        <v>5</v>
      </c>
      <c r="Q151">
        <v>5</v>
      </c>
      <c r="R151">
        <v>5</v>
      </c>
      <c r="S151">
        <v>19</v>
      </c>
      <c r="T151">
        <v>19</v>
      </c>
      <c r="U151">
        <v>5</v>
      </c>
      <c r="V151">
        <v>3</v>
      </c>
      <c r="W151">
        <v>4</v>
      </c>
      <c r="X151">
        <v>5</v>
      </c>
      <c r="Y151">
        <v>5</v>
      </c>
      <c r="Z151">
        <v>5</v>
      </c>
      <c r="AA151">
        <v>5</v>
      </c>
      <c r="AB151">
        <v>3</v>
      </c>
      <c r="AC151">
        <v>4</v>
      </c>
      <c r="AD151">
        <v>2</v>
      </c>
      <c r="AE151">
        <v>2</v>
      </c>
      <c r="AF151">
        <v>4</v>
      </c>
      <c r="AG151">
        <v>5</v>
      </c>
      <c r="AH151">
        <v>3</v>
      </c>
      <c r="AI151">
        <v>3</v>
      </c>
      <c r="AJ151">
        <v>0</v>
      </c>
      <c r="AK151">
        <v>0</v>
      </c>
      <c r="AL151">
        <v>14944800</v>
      </c>
      <c r="AM151">
        <v>23513036</v>
      </c>
      <c r="AN151">
        <v>22226648</v>
      </c>
      <c r="AO151">
        <v>20722722</v>
      </c>
      <c r="AP151">
        <v>20231604</v>
      </c>
      <c r="AQ151">
        <v>17980348</v>
      </c>
      <c r="AR151">
        <v>10554956</v>
      </c>
      <c r="AS151">
        <v>10792353</v>
      </c>
      <c r="AT151" s="11">
        <v>2022768.38</v>
      </c>
      <c r="AU151" s="11">
        <v>19406292</v>
      </c>
      <c r="AW151" s="14">
        <v>17262058</v>
      </c>
      <c r="AX151" s="14">
        <v>11552267</v>
      </c>
      <c r="AZ151" s="16">
        <v>15025843</v>
      </c>
      <c r="BA151" s="16">
        <v>12982031</v>
      </c>
      <c r="BC151" s="18">
        <v>6517047.5</v>
      </c>
      <c r="BD151" s="18">
        <v>6927917.5</v>
      </c>
    </row>
    <row r="152" spans="1:56" hidden="1">
      <c r="A152">
        <v>16736</v>
      </c>
      <c r="B152" t="s">
        <v>678</v>
      </c>
      <c r="C152" t="s">
        <v>679</v>
      </c>
      <c r="D152" t="s">
        <v>680</v>
      </c>
      <c r="F152" t="s">
        <v>681</v>
      </c>
      <c r="G152">
        <v>61.521999999999998</v>
      </c>
      <c r="H152" t="s">
        <v>58</v>
      </c>
      <c r="I152">
        <v>2</v>
      </c>
      <c r="J152">
        <v>3</v>
      </c>
      <c r="K152">
        <v>0</v>
      </c>
      <c r="L152">
        <v>39.58</v>
      </c>
      <c r="M152">
        <v>4809</v>
      </c>
      <c r="N152">
        <v>2</v>
      </c>
      <c r="O152">
        <v>1</v>
      </c>
      <c r="P152">
        <v>1</v>
      </c>
      <c r="Q152">
        <v>1</v>
      </c>
      <c r="R152">
        <v>1</v>
      </c>
      <c r="S152">
        <v>8</v>
      </c>
      <c r="T152">
        <v>8</v>
      </c>
      <c r="U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0</v>
      </c>
      <c r="AE152">
        <v>2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M152">
        <v>2512229.25</v>
      </c>
      <c r="AN152">
        <v>1407074.88</v>
      </c>
      <c r="AO152">
        <v>1547342</v>
      </c>
      <c r="AP152">
        <v>1134925</v>
      </c>
      <c r="AQ152">
        <v>1268150.8799999999</v>
      </c>
      <c r="AR152">
        <v>750676.19</v>
      </c>
      <c r="AS152">
        <v>650210.62</v>
      </c>
      <c r="AT152" s="11">
        <v>99934.65</v>
      </c>
      <c r="AU152" s="11">
        <v>2607465</v>
      </c>
      <c r="AW152" s="14">
        <v>672361</v>
      </c>
      <c r="AX152" s="14">
        <v>517754.84</v>
      </c>
      <c r="AZ152" s="16">
        <v>685145.38</v>
      </c>
      <c r="BA152" s="16">
        <v>696262.69</v>
      </c>
      <c r="BC152" s="18">
        <v>383112.06</v>
      </c>
      <c r="BD152" s="18">
        <v>298262.38</v>
      </c>
    </row>
    <row r="153" spans="1:56" hidden="1">
      <c r="A153">
        <v>16848</v>
      </c>
      <c r="B153" t="s">
        <v>682</v>
      </c>
      <c r="C153" t="s">
        <v>683</v>
      </c>
      <c r="D153" t="s">
        <v>682</v>
      </c>
      <c r="E153" t="s">
        <v>684</v>
      </c>
      <c r="F153" t="s">
        <v>685</v>
      </c>
      <c r="G153">
        <v>59.481000000000002</v>
      </c>
      <c r="H153" t="s">
        <v>58</v>
      </c>
      <c r="I153">
        <v>2</v>
      </c>
      <c r="J153">
        <v>1</v>
      </c>
      <c r="K153">
        <v>2</v>
      </c>
      <c r="L153">
        <v>49.12</v>
      </c>
      <c r="M153">
        <v>6547</v>
      </c>
      <c r="N153">
        <v>4</v>
      </c>
      <c r="O153">
        <v>3</v>
      </c>
      <c r="P153">
        <v>3</v>
      </c>
      <c r="Q153">
        <v>3</v>
      </c>
      <c r="R153">
        <v>3</v>
      </c>
      <c r="S153">
        <v>11</v>
      </c>
      <c r="T153">
        <v>11</v>
      </c>
      <c r="U153">
        <v>3</v>
      </c>
      <c r="V153">
        <v>2</v>
      </c>
      <c r="W153">
        <v>2</v>
      </c>
      <c r="X153">
        <v>3</v>
      </c>
      <c r="Y153">
        <v>3</v>
      </c>
      <c r="Z153">
        <v>3</v>
      </c>
      <c r="AA153">
        <v>3</v>
      </c>
      <c r="AB153">
        <v>3</v>
      </c>
      <c r="AC153">
        <v>3</v>
      </c>
      <c r="AD153">
        <v>0</v>
      </c>
      <c r="AE153">
        <v>2</v>
      </c>
      <c r="AF153">
        <v>0</v>
      </c>
      <c r="AG153">
        <v>1</v>
      </c>
      <c r="AH153">
        <v>3</v>
      </c>
      <c r="AI153">
        <v>3</v>
      </c>
      <c r="AJ153">
        <v>1</v>
      </c>
      <c r="AK153">
        <v>1</v>
      </c>
      <c r="AL153">
        <v>5473524</v>
      </c>
      <c r="AM153">
        <v>7242350.5</v>
      </c>
      <c r="AN153">
        <v>4794818</v>
      </c>
      <c r="AO153">
        <v>5602085.5</v>
      </c>
      <c r="AP153">
        <v>7622089</v>
      </c>
      <c r="AQ153">
        <v>7469263.5</v>
      </c>
      <c r="AR153">
        <v>3635681</v>
      </c>
      <c r="AS153">
        <v>3836538</v>
      </c>
      <c r="AT153" s="11">
        <v>5464561</v>
      </c>
      <c r="AU153" s="11">
        <v>7653844</v>
      </c>
      <c r="AW153" s="14">
        <v>2273727.5</v>
      </c>
      <c r="AX153" s="14">
        <v>1945413.75</v>
      </c>
      <c r="AZ153" s="16">
        <v>4572569</v>
      </c>
      <c r="BA153" s="16">
        <v>4061557.5</v>
      </c>
      <c r="BC153" s="18">
        <v>1728634.75</v>
      </c>
      <c r="BD153" s="18">
        <v>1797017.38</v>
      </c>
    </row>
    <row r="154" spans="1:56" hidden="1">
      <c r="A154">
        <v>16663</v>
      </c>
      <c r="B154" t="s">
        <v>686</v>
      </c>
      <c r="C154" t="s">
        <v>687</v>
      </c>
      <c r="D154" t="s">
        <v>688</v>
      </c>
      <c r="F154" t="s">
        <v>689</v>
      </c>
      <c r="G154">
        <v>58.171999999999997</v>
      </c>
      <c r="H154" t="s">
        <v>58</v>
      </c>
      <c r="I154">
        <v>2</v>
      </c>
      <c r="J154">
        <v>19</v>
      </c>
      <c r="K154">
        <v>0</v>
      </c>
      <c r="L154">
        <v>69.569999999999993</v>
      </c>
      <c r="M154">
        <v>5380</v>
      </c>
      <c r="N154">
        <v>1</v>
      </c>
      <c r="O154">
        <v>6</v>
      </c>
      <c r="P154">
        <v>6</v>
      </c>
      <c r="Q154">
        <v>6</v>
      </c>
      <c r="R154">
        <v>6</v>
      </c>
      <c r="S154">
        <v>163</v>
      </c>
      <c r="T154">
        <v>163</v>
      </c>
      <c r="U154">
        <v>6</v>
      </c>
      <c r="V154">
        <v>3</v>
      </c>
      <c r="W154">
        <v>6</v>
      </c>
      <c r="X154">
        <v>6</v>
      </c>
      <c r="Y154">
        <v>6</v>
      </c>
      <c r="Z154">
        <v>6</v>
      </c>
      <c r="AA154">
        <v>6</v>
      </c>
      <c r="AB154">
        <v>6</v>
      </c>
      <c r="AC154">
        <v>6</v>
      </c>
      <c r="AD154">
        <v>21</v>
      </c>
      <c r="AE154">
        <v>32</v>
      </c>
      <c r="AF154">
        <v>19</v>
      </c>
      <c r="AG154">
        <v>20</v>
      </c>
      <c r="AH154">
        <v>20</v>
      </c>
      <c r="AI154">
        <v>16</v>
      </c>
      <c r="AJ154">
        <v>20</v>
      </c>
      <c r="AK154">
        <v>15</v>
      </c>
      <c r="AL154">
        <v>174242048</v>
      </c>
      <c r="AM154">
        <v>242857312</v>
      </c>
      <c r="AN154">
        <v>203804928</v>
      </c>
      <c r="AO154">
        <v>280668192</v>
      </c>
      <c r="AP154">
        <v>128697400</v>
      </c>
      <c r="AQ154">
        <v>144151312</v>
      </c>
      <c r="AR154">
        <v>161523536</v>
      </c>
      <c r="AS154">
        <v>147686464</v>
      </c>
      <c r="AT154" s="11">
        <v>112834624</v>
      </c>
      <c r="AU154" s="11">
        <v>174845328</v>
      </c>
      <c r="AW154" s="14">
        <v>123016656</v>
      </c>
      <c r="AX154" s="14">
        <v>165533408</v>
      </c>
      <c r="AZ154" s="16">
        <v>117450032</v>
      </c>
      <c r="BA154" s="16">
        <v>118143384</v>
      </c>
      <c r="BC154" s="18">
        <v>118221440</v>
      </c>
      <c r="BD154" s="18">
        <v>110704376</v>
      </c>
    </row>
    <row r="155" spans="1:56" hidden="1">
      <c r="A155">
        <v>16875</v>
      </c>
      <c r="B155" t="s">
        <v>690</v>
      </c>
      <c r="C155" t="s">
        <v>691</v>
      </c>
      <c r="D155" t="s">
        <v>692</v>
      </c>
      <c r="F155" t="s">
        <v>693</v>
      </c>
      <c r="G155">
        <v>55.841000000000001</v>
      </c>
      <c r="H155" t="s">
        <v>58</v>
      </c>
      <c r="I155">
        <v>2</v>
      </c>
      <c r="J155">
        <v>2</v>
      </c>
      <c r="K155">
        <v>0</v>
      </c>
      <c r="L155">
        <v>10.44</v>
      </c>
      <c r="M155">
        <v>18110</v>
      </c>
      <c r="N155">
        <v>4</v>
      </c>
      <c r="O155">
        <v>1</v>
      </c>
      <c r="P155">
        <v>1</v>
      </c>
      <c r="Q155">
        <v>1</v>
      </c>
      <c r="R155">
        <v>1</v>
      </c>
      <c r="S155">
        <v>6</v>
      </c>
      <c r="T155">
        <v>6</v>
      </c>
      <c r="U155">
        <v>1</v>
      </c>
      <c r="V155">
        <v>1</v>
      </c>
      <c r="W155">
        <v>1</v>
      </c>
      <c r="X155">
        <v>1</v>
      </c>
      <c r="Y155">
        <v>1</v>
      </c>
      <c r="AD155">
        <v>2</v>
      </c>
      <c r="AE155">
        <v>2</v>
      </c>
      <c r="AF155">
        <v>1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3461892</v>
      </c>
      <c r="AM155">
        <v>3826781</v>
      </c>
      <c r="AN155">
        <v>2262206.75</v>
      </c>
      <c r="AO155">
        <v>2774975.5</v>
      </c>
      <c r="AT155" s="11">
        <v>3461892</v>
      </c>
      <c r="AU155" s="11">
        <v>3971849.75</v>
      </c>
      <c r="AW155" s="14">
        <v>1080979.8799999999</v>
      </c>
      <c r="AX155" s="14">
        <v>928532.25</v>
      </c>
      <c r="AZ155" s="16">
        <v>278828.78000000003</v>
      </c>
      <c r="BA155" s="16">
        <v>249615.83</v>
      </c>
      <c r="BC155" s="18">
        <v>274135.90999999997</v>
      </c>
      <c r="BD155" s="18">
        <v>275347</v>
      </c>
    </row>
    <row r="156" spans="1:56" hidden="1">
      <c r="A156">
        <v>16796</v>
      </c>
      <c r="B156" t="s">
        <v>694</v>
      </c>
      <c r="C156" t="s">
        <v>695</v>
      </c>
      <c r="D156" t="s">
        <v>694</v>
      </c>
      <c r="E156" t="s">
        <v>696</v>
      </c>
      <c r="F156" t="s">
        <v>697</v>
      </c>
      <c r="G156">
        <v>51.302999999999997</v>
      </c>
      <c r="H156" t="s">
        <v>58</v>
      </c>
      <c r="I156">
        <v>2</v>
      </c>
      <c r="J156">
        <v>1</v>
      </c>
      <c r="K156">
        <v>3</v>
      </c>
      <c r="L156">
        <v>18.059999999999999</v>
      </c>
      <c r="M156">
        <v>16016</v>
      </c>
      <c r="N156">
        <v>8</v>
      </c>
      <c r="O156">
        <v>2</v>
      </c>
      <c r="P156">
        <v>2</v>
      </c>
      <c r="Q156">
        <v>2</v>
      </c>
      <c r="R156">
        <v>2</v>
      </c>
      <c r="S156">
        <v>4</v>
      </c>
      <c r="T156">
        <v>4</v>
      </c>
      <c r="U156">
        <v>2</v>
      </c>
      <c r="V156">
        <v>1</v>
      </c>
      <c r="W156">
        <v>1</v>
      </c>
      <c r="X156">
        <v>2</v>
      </c>
      <c r="Y156">
        <v>2</v>
      </c>
      <c r="Z156">
        <v>2</v>
      </c>
      <c r="AA156">
        <v>2</v>
      </c>
      <c r="AB156">
        <v>1</v>
      </c>
      <c r="AC156">
        <v>2</v>
      </c>
      <c r="AD156">
        <v>0</v>
      </c>
      <c r="AE156">
        <v>1</v>
      </c>
      <c r="AF156">
        <v>0</v>
      </c>
      <c r="AG156">
        <v>0</v>
      </c>
      <c r="AH156">
        <v>2</v>
      </c>
      <c r="AI156">
        <v>1</v>
      </c>
      <c r="AJ156">
        <v>0</v>
      </c>
      <c r="AK156">
        <v>0</v>
      </c>
      <c r="AL156">
        <v>1808708.38</v>
      </c>
      <c r="AM156">
        <v>1527824.5</v>
      </c>
      <c r="AN156">
        <v>1288882.6200000001</v>
      </c>
      <c r="AO156">
        <v>1557511.5</v>
      </c>
      <c r="AP156">
        <v>1860812.25</v>
      </c>
      <c r="AQ156">
        <v>1693274</v>
      </c>
      <c r="AR156">
        <v>255525.62</v>
      </c>
      <c r="AS156">
        <v>828636.38</v>
      </c>
      <c r="AT156" s="11">
        <v>247882.7</v>
      </c>
      <c r="AU156" s="11">
        <v>161474.17000000001</v>
      </c>
      <c r="AW156" s="14">
        <v>1086984.75</v>
      </c>
      <c r="AX156" s="14">
        <v>895505.56</v>
      </c>
      <c r="AZ156" s="16">
        <v>1857177.38</v>
      </c>
      <c r="BA156" s="16">
        <v>1476331.5</v>
      </c>
      <c r="BC156" s="18">
        <v>274135.90999999997</v>
      </c>
      <c r="BD156" s="18">
        <v>447633.47</v>
      </c>
    </row>
    <row r="157" spans="1:56" hidden="1">
      <c r="A157">
        <v>16656</v>
      </c>
      <c r="B157" t="s">
        <v>698</v>
      </c>
      <c r="C157" t="s">
        <v>699</v>
      </c>
      <c r="D157" t="s">
        <v>700</v>
      </c>
      <c r="F157" t="s">
        <v>701</v>
      </c>
      <c r="G157">
        <v>50.119</v>
      </c>
      <c r="H157" t="s">
        <v>58</v>
      </c>
      <c r="I157">
        <v>2</v>
      </c>
      <c r="J157">
        <v>21</v>
      </c>
      <c r="K157">
        <v>0</v>
      </c>
      <c r="L157">
        <v>11.11</v>
      </c>
      <c r="M157">
        <v>48178</v>
      </c>
      <c r="N157">
        <v>30</v>
      </c>
      <c r="O157">
        <v>4</v>
      </c>
      <c r="P157">
        <v>4</v>
      </c>
      <c r="Q157">
        <v>4</v>
      </c>
      <c r="R157">
        <v>4</v>
      </c>
      <c r="S157">
        <v>12</v>
      </c>
      <c r="T157">
        <v>12</v>
      </c>
      <c r="U157">
        <v>4</v>
      </c>
      <c r="V157">
        <v>3</v>
      </c>
      <c r="W157">
        <v>3</v>
      </c>
      <c r="X157">
        <v>4</v>
      </c>
      <c r="Y157">
        <v>4</v>
      </c>
      <c r="Z157">
        <v>4</v>
      </c>
      <c r="AA157">
        <v>4</v>
      </c>
      <c r="AB157">
        <v>4</v>
      </c>
      <c r="AC157">
        <v>4</v>
      </c>
      <c r="AD157">
        <v>1</v>
      </c>
      <c r="AE157">
        <v>2</v>
      </c>
      <c r="AF157">
        <v>2</v>
      </c>
      <c r="AG157">
        <v>3</v>
      </c>
      <c r="AH157">
        <v>1</v>
      </c>
      <c r="AI157">
        <v>1</v>
      </c>
      <c r="AJ157">
        <v>3</v>
      </c>
      <c r="AK157">
        <v>0</v>
      </c>
      <c r="AL157">
        <v>1761579.25</v>
      </c>
      <c r="AM157">
        <v>1493499</v>
      </c>
      <c r="AN157">
        <v>7474425.5</v>
      </c>
      <c r="AO157">
        <v>11524577</v>
      </c>
      <c r="AP157">
        <v>2563846.5</v>
      </c>
      <c r="AQ157">
        <v>3322075</v>
      </c>
      <c r="AR157">
        <v>3740797.5</v>
      </c>
      <c r="AS157">
        <v>3925793.75</v>
      </c>
      <c r="AT157" s="11">
        <v>1807202.5</v>
      </c>
      <c r="AU157" s="11">
        <v>1937371.12</v>
      </c>
      <c r="AW157" s="14">
        <v>3368597</v>
      </c>
      <c r="AX157" s="14">
        <v>3469757</v>
      </c>
      <c r="AZ157" s="16">
        <v>1789741.38</v>
      </c>
      <c r="BA157" s="16">
        <v>1954857.5</v>
      </c>
      <c r="BC157" s="18">
        <v>1914080.25</v>
      </c>
      <c r="BD157" s="18">
        <v>1693508</v>
      </c>
    </row>
    <row r="158" spans="1:56" hidden="1">
      <c r="A158">
        <v>16744</v>
      </c>
      <c r="B158" t="s">
        <v>702</v>
      </c>
      <c r="C158" t="s">
        <v>703</v>
      </c>
      <c r="D158" t="s">
        <v>704</v>
      </c>
      <c r="E158" t="s">
        <v>705</v>
      </c>
      <c r="F158" t="s">
        <v>706</v>
      </c>
      <c r="G158">
        <v>48.146999999999998</v>
      </c>
      <c r="H158" t="s">
        <v>58</v>
      </c>
      <c r="I158">
        <v>2</v>
      </c>
      <c r="J158">
        <v>18</v>
      </c>
      <c r="K158">
        <v>3</v>
      </c>
      <c r="L158">
        <v>4.24</v>
      </c>
      <c r="M158">
        <v>74228</v>
      </c>
      <c r="N158">
        <v>41</v>
      </c>
      <c r="O158">
        <v>3</v>
      </c>
      <c r="P158">
        <v>3</v>
      </c>
      <c r="Q158">
        <v>3</v>
      </c>
      <c r="R158">
        <v>3</v>
      </c>
      <c r="S158">
        <v>4</v>
      </c>
      <c r="T158">
        <v>4</v>
      </c>
      <c r="U158">
        <v>3</v>
      </c>
      <c r="V158">
        <v>3</v>
      </c>
      <c r="W158">
        <v>2</v>
      </c>
      <c r="X158">
        <v>3</v>
      </c>
      <c r="Y158">
        <v>3</v>
      </c>
      <c r="Z158">
        <v>3</v>
      </c>
      <c r="AA158">
        <v>3</v>
      </c>
      <c r="AB158">
        <v>3</v>
      </c>
      <c r="AC158">
        <v>3</v>
      </c>
      <c r="AD158">
        <v>2</v>
      </c>
      <c r="AE158">
        <v>1</v>
      </c>
      <c r="AF158">
        <v>3</v>
      </c>
      <c r="AG158">
        <v>1</v>
      </c>
      <c r="AH158">
        <v>2</v>
      </c>
      <c r="AI158">
        <v>3</v>
      </c>
      <c r="AJ158">
        <v>1</v>
      </c>
      <c r="AK158">
        <v>2</v>
      </c>
      <c r="AL158">
        <v>995579.75</v>
      </c>
      <c r="AM158">
        <v>498900.12</v>
      </c>
      <c r="AN158">
        <v>26672762</v>
      </c>
      <c r="AO158">
        <v>58031512</v>
      </c>
      <c r="AP158">
        <v>12525392</v>
      </c>
      <c r="AQ158">
        <v>13439301</v>
      </c>
      <c r="AR158">
        <v>18723254</v>
      </c>
      <c r="AS158">
        <v>15939012</v>
      </c>
      <c r="AT158" s="11">
        <v>6567529</v>
      </c>
      <c r="AU158" s="11">
        <v>349446.59</v>
      </c>
      <c r="AW158" s="14">
        <v>13082904</v>
      </c>
      <c r="AX158" s="14">
        <v>12258912</v>
      </c>
      <c r="AZ158" s="16">
        <v>9515979</v>
      </c>
      <c r="BA158" s="16">
        <v>8518194</v>
      </c>
      <c r="BC158" s="18">
        <v>7736031</v>
      </c>
      <c r="BD158" s="18">
        <v>8865815</v>
      </c>
    </row>
    <row r="159" spans="1:56" hidden="1">
      <c r="A159">
        <v>16879</v>
      </c>
      <c r="B159" t="s">
        <v>707</v>
      </c>
      <c r="C159" t="s">
        <v>708</v>
      </c>
      <c r="D159" t="s">
        <v>707</v>
      </c>
      <c r="F159" t="s">
        <v>709</v>
      </c>
      <c r="G159">
        <v>46.671999999999997</v>
      </c>
      <c r="H159" t="s">
        <v>58</v>
      </c>
      <c r="I159">
        <v>2</v>
      </c>
      <c r="J159">
        <v>1</v>
      </c>
      <c r="K159">
        <v>0</v>
      </c>
      <c r="L159">
        <v>2.2400000000000002</v>
      </c>
      <c r="M159">
        <v>85356</v>
      </c>
      <c r="N159">
        <v>50</v>
      </c>
      <c r="O159">
        <v>2</v>
      </c>
      <c r="P159">
        <v>2</v>
      </c>
      <c r="Q159">
        <v>2</v>
      </c>
      <c r="R159">
        <v>2</v>
      </c>
      <c r="S159">
        <v>10</v>
      </c>
      <c r="T159">
        <v>10</v>
      </c>
      <c r="U159">
        <v>2</v>
      </c>
      <c r="V159">
        <v>2</v>
      </c>
      <c r="W159">
        <v>2</v>
      </c>
      <c r="X159">
        <v>2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2</v>
      </c>
      <c r="AE159">
        <v>3</v>
      </c>
      <c r="AF159">
        <v>1</v>
      </c>
      <c r="AG159">
        <v>1</v>
      </c>
      <c r="AH159">
        <v>0</v>
      </c>
      <c r="AI159">
        <v>1</v>
      </c>
      <c r="AJ159">
        <v>1</v>
      </c>
      <c r="AK159">
        <v>1</v>
      </c>
      <c r="AL159">
        <v>11395344</v>
      </c>
      <c r="AM159">
        <v>13409068</v>
      </c>
      <c r="AN159">
        <v>7862918.5</v>
      </c>
      <c r="AO159">
        <v>9571113</v>
      </c>
      <c r="AP159">
        <v>11010917</v>
      </c>
      <c r="AQ159">
        <v>11755885</v>
      </c>
      <c r="AR159">
        <v>4979188</v>
      </c>
      <c r="AS159">
        <v>4639408.5</v>
      </c>
      <c r="AT159" s="11">
        <v>10796907</v>
      </c>
      <c r="AU159" s="11">
        <v>21932474</v>
      </c>
      <c r="AW159" s="14">
        <v>4576158</v>
      </c>
      <c r="AX159" s="14">
        <v>2182707.75</v>
      </c>
      <c r="AZ159" s="16">
        <v>4525754</v>
      </c>
      <c r="BA159" s="16">
        <v>4396041.5</v>
      </c>
      <c r="BC159" s="18">
        <v>1870457.25</v>
      </c>
      <c r="BD159" s="18">
        <v>1467217.5</v>
      </c>
    </row>
    <row r="160" spans="1:56" hidden="1">
      <c r="A160">
        <v>16790</v>
      </c>
      <c r="B160" t="s">
        <v>710</v>
      </c>
      <c r="C160" t="s">
        <v>711</v>
      </c>
      <c r="D160" t="s">
        <v>712</v>
      </c>
      <c r="F160" t="s">
        <v>713</v>
      </c>
      <c r="G160">
        <v>46.378</v>
      </c>
      <c r="H160" t="s">
        <v>58</v>
      </c>
      <c r="I160">
        <v>2</v>
      </c>
      <c r="J160">
        <v>3</v>
      </c>
      <c r="K160">
        <v>0</v>
      </c>
      <c r="L160">
        <v>34.44</v>
      </c>
      <c r="M160">
        <v>9225</v>
      </c>
      <c r="N160">
        <v>6</v>
      </c>
      <c r="O160">
        <v>3</v>
      </c>
      <c r="P160">
        <v>3</v>
      </c>
      <c r="Q160">
        <v>3</v>
      </c>
      <c r="R160">
        <v>3</v>
      </c>
      <c r="S160">
        <v>5</v>
      </c>
      <c r="T160">
        <v>5</v>
      </c>
      <c r="U160">
        <v>3</v>
      </c>
      <c r="V160">
        <v>1</v>
      </c>
      <c r="W160">
        <v>2</v>
      </c>
      <c r="X160">
        <v>1</v>
      </c>
      <c r="Y160">
        <v>2</v>
      </c>
      <c r="Z160">
        <v>2</v>
      </c>
      <c r="AA160">
        <v>2</v>
      </c>
      <c r="AB160">
        <v>2</v>
      </c>
      <c r="AC160">
        <v>1</v>
      </c>
      <c r="AD160">
        <v>1</v>
      </c>
      <c r="AE160">
        <v>2</v>
      </c>
      <c r="AF160">
        <v>0</v>
      </c>
      <c r="AG160">
        <v>1</v>
      </c>
      <c r="AH160">
        <v>1</v>
      </c>
      <c r="AI160">
        <v>0</v>
      </c>
      <c r="AJ160">
        <v>0</v>
      </c>
      <c r="AK160">
        <v>0</v>
      </c>
      <c r="AL160">
        <v>29750872</v>
      </c>
      <c r="AM160">
        <v>63027020</v>
      </c>
      <c r="AN160">
        <v>13740936</v>
      </c>
      <c r="AO160">
        <v>19424702</v>
      </c>
      <c r="AP160">
        <v>16771890</v>
      </c>
      <c r="AQ160">
        <v>16515109</v>
      </c>
      <c r="AR160">
        <v>6817893</v>
      </c>
      <c r="AS160">
        <v>4019618.75</v>
      </c>
      <c r="AT160" s="11">
        <v>587900.81000000006</v>
      </c>
      <c r="AU160" s="11">
        <v>60638084</v>
      </c>
      <c r="AW160" s="14">
        <v>300837.15999999997</v>
      </c>
      <c r="AX160" s="14">
        <v>13038441</v>
      </c>
      <c r="AZ160" s="16">
        <v>21872242</v>
      </c>
      <c r="BA160" s="16">
        <v>19523688</v>
      </c>
      <c r="BC160" s="18">
        <v>8610599</v>
      </c>
      <c r="BD160" s="18">
        <v>788144.44</v>
      </c>
    </row>
    <row r="161" spans="1:56" s="19" customFormat="1" hidden="1">
      <c r="A161" s="19">
        <v>16881</v>
      </c>
      <c r="B161" s="19" t="s">
        <v>714</v>
      </c>
      <c r="C161" s="19" t="s">
        <v>715</v>
      </c>
      <c r="D161" s="19" t="s">
        <v>714</v>
      </c>
      <c r="F161" s="19" t="s">
        <v>716</v>
      </c>
      <c r="G161" s="19">
        <v>43.683999999999997</v>
      </c>
      <c r="H161" s="19" t="s">
        <v>58</v>
      </c>
      <c r="I161" s="19">
        <v>2</v>
      </c>
      <c r="J161" s="19">
        <v>1</v>
      </c>
      <c r="K161" s="19">
        <v>0</v>
      </c>
      <c r="L161" s="19">
        <v>4.33</v>
      </c>
      <c r="M161" s="19">
        <v>62063</v>
      </c>
      <c r="N161" s="19">
        <v>30</v>
      </c>
      <c r="O161" s="19">
        <v>2</v>
      </c>
      <c r="P161" s="19">
        <v>2</v>
      </c>
      <c r="Q161" s="19">
        <v>2</v>
      </c>
      <c r="R161" s="19">
        <v>2</v>
      </c>
      <c r="S161" s="19">
        <v>2</v>
      </c>
      <c r="T161" s="19">
        <v>2</v>
      </c>
      <c r="U161" s="19">
        <v>2</v>
      </c>
      <c r="V161" s="19">
        <v>2</v>
      </c>
      <c r="AD161" s="19">
        <v>2</v>
      </c>
      <c r="AE161" s="19">
        <v>0</v>
      </c>
      <c r="AF161" s="19">
        <v>0</v>
      </c>
      <c r="AG161" s="19">
        <v>0</v>
      </c>
      <c r="AH161" s="19">
        <v>0</v>
      </c>
      <c r="AI161" s="19">
        <v>0</v>
      </c>
      <c r="AJ161" s="19">
        <v>0</v>
      </c>
      <c r="AK161" s="19">
        <v>0</v>
      </c>
      <c r="AL161" s="19">
        <v>1643194.25</v>
      </c>
      <c r="AT161" s="20">
        <v>1643194.25</v>
      </c>
      <c r="AU161" s="20">
        <v>151704.31</v>
      </c>
      <c r="AV161" s="20"/>
      <c r="AW161" s="21">
        <v>374615.16</v>
      </c>
      <c r="AX161" s="21">
        <v>360097.09</v>
      </c>
      <c r="AY161" s="21"/>
      <c r="AZ161" s="22">
        <v>278828.78000000003</v>
      </c>
      <c r="BA161" s="22">
        <v>249615.83</v>
      </c>
      <c r="BB161" s="22"/>
      <c r="BC161" s="23">
        <v>274135.90999999997</v>
      </c>
      <c r="BD161" s="23">
        <v>275347</v>
      </c>
    </row>
    <row r="162" spans="1:56" hidden="1">
      <c r="A162">
        <v>16828</v>
      </c>
      <c r="B162" t="s">
        <v>717</v>
      </c>
      <c r="C162" t="s">
        <v>718</v>
      </c>
      <c r="D162" t="s">
        <v>719</v>
      </c>
      <c r="F162" t="s">
        <v>720</v>
      </c>
      <c r="G162">
        <v>43.337000000000003</v>
      </c>
      <c r="H162" t="s">
        <v>58</v>
      </c>
      <c r="I162">
        <v>2</v>
      </c>
      <c r="J162">
        <v>2</v>
      </c>
      <c r="K162">
        <v>0</v>
      </c>
      <c r="L162">
        <v>13.38</v>
      </c>
      <c r="M162">
        <v>51542</v>
      </c>
      <c r="N162">
        <v>25</v>
      </c>
      <c r="O162">
        <v>6</v>
      </c>
      <c r="P162">
        <v>6</v>
      </c>
      <c r="Q162">
        <v>6</v>
      </c>
      <c r="R162">
        <v>6</v>
      </c>
      <c r="S162">
        <v>18</v>
      </c>
      <c r="T162">
        <v>18</v>
      </c>
      <c r="U162">
        <v>6</v>
      </c>
      <c r="V162">
        <v>3</v>
      </c>
      <c r="W162">
        <v>4</v>
      </c>
      <c r="X162">
        <v>6</v>
      </c>
      <c r="Y162">
        <v>6</v>
      </c>
      <c r="Z162">
        <v>6</v>
      </c>
      <c r="AA162">
        <v>6</v>
      </c>
      <c r="AB162">
        <v>5</v>
      </c>
      <c r="AC162">
        <v>6</v>
      </c>
      <c r="AD162">
        <v>0</v>
      </c>
      <c r="AE162">
        <v>0</v>
      </c>
      <c r="AF162">
        <v>3</v>
      </c>
      <c r="AG162">
        <v>4</v>
      </c>
      <c r="AH162">
        <v>3</v>
      </c>
      <c r="AI162">
        <v>3</v>
      </c>
      <c r="AJ162">
        <v>2</v>
      </c>
      <c r="AK162">
        <v>3</v>
      </c>
      <c r="AL162">
        <v>2314292</v>
      </c>
      <c r="AM162">
        <v>2549946</v>
      </c>
      <c r="AN162">
        <v>11351385</v>
      </c>
      <c r="AO162">
        <v>16426720</v>
      </c>
      <c r="AP162">
        <v>5953659</v>
      </c>
      <c r="AQ162">
        <v>6352479</v>
      </c>
      <c r="AR162">
        <v>4946668</v>
      </c>
      <c r="AS162">
        <v>8277753.5</v>
      </c>
      <c r="AT162" s="11">
        <v>281709.84000000003</v>
      </c>
      <c r="AU162" s="11">
        <v>1489541.38</v>
      </c>
      <c r="AW162" s="14">
        <v>7183500.5</v>
      </c>
      <c r="AX162" s="14">
        <v>6713306.5</v>
      </c>
      <c r="AZ162" s="16">
        <v>4313160</v>
      </c>
      <c r="BA162" s="16">
        <v>4269262.5</v>
      </c>
      <c r="BC162" s="18">
        <v>3350650.75</v>
      </c>
      <c r="BD162" s="18">
        <v>4411403</v>
      </c>
    </row>
    <row r="163" spans="1:56" hidden="1">
      <c r="A163">
        <v>16686</v>
      </c>
      <c r="B163" t="s">
        <v>721</v>
      </c>
      <c r="C163" t="s">
        <v>722</v>
      </c>
      <c r="D163" t="s">
        <v>723</v>
      </c>
      <c r="F163" t="s">
        <v>724</v>
      </c>
      <c r="G163">
        <v>43.335000000000001</v>
      </c>
      <c r="H163" t="s">
        <v>58</v>
      </c>
      <c r="I163">
        <v>2</v>
      </c>
      <c r="J163">
        <v>13</v>
      </c>
      <c r="K163">
        <v>0</v>
      </c>
      <c r="L163">
        <v>15.41</v>
      </c>
      <c r="M163">
        <v>32534</v>
      </c>
      <c r="N163">
        <v>14</v>
      </c>
      <c r="O163">
        <v>4</v>
      </c>
      <c r="P163">
        <v>4</v>
      </c>
      <c r="Q163">
        <v>4</v>
      </c>
      <c r="R163">
        <v>4</v>
      </c>
      <c r="S163">
        <v>21</v>
      </c>
      <c r="T163">
        <v>21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3</v>
      </c>
      <c r="AE163">
        <v>1</v>
      </c>
      <c r="AF163">
        <v>4</v>
      </c>
      <c r="AG163">
        <v>4</v>
      </c>
      <c r="AH163">
        <v>1</v>
      </c>
      <c r="AI163">
        <v>3</v>
      </c>
      <c r="AJ163">
        <v>3</v>
      </c>
      <c r="AK163">
        <v>3</v>
      </c>
      <c r="AL163">
        <v>9602965</v>
      </c>
      <c r="AM163">
        <v>4262272</v>
      </c>
      <c r="AN163">
        <v>17366782</v>
      </c>
      <c r="AO163">
        <v>23960668</v>
      </c>
      <c r="AP163">
        <v>10743535</v>
      </c>
      <c r="AQ163">
        <v>11095602</v>
      </c>
      <c r="AR163">
        <v>9816307</v>
      </c>
      <c r="AS163">
        <v>11774316</v>
      </c>
      <c r="AT163" s="11">
        <v>9227979</v>
      </c>
      <c r="AU163" s="11">
        <v>2133867.25</v>
      </c>
      <c r="AW163" s="14">
        <v>8877065</v>
      </c>
      <c r="AX163" s="14">
        <v>8766793</v>
      </c>
      <c r="AZ163" s="16">
        <v>6890392</v>
      </c>
      <c r="BA163" s="16">
        <v>6404075.5</v>
      </c>
      <c r="BC163" s="18">
        <v>4781575</v>
      </c>
      <c r="BD163" s="18">
        <v>5635775</v>
      </c>
    </row>
    <row r="164" spans="1:56" hidden="1">
      <c r="A164">
        <v>16838</v>
      </c>
      <c r="B164" t="s">
        <v>725</v>
      </c>
      <c r="C164" t="s">
        <v>726</v>
      </c>
      <c r="D164" t="s">
        <v>727</v>
      </c>
      <c r="F164" t="s">
        <v>728</v>
      </c>
      <c r="G164">
        <v>41.808999999999997</v>
      </c>
      <c r="H164" t="s">
        <v>58</v>
      </c>
      <c r="I164">
        <v>2</v>
      </c>
      <c r="J164">
        <v>4</v>
      </c>
      <c r="K164">
        <v>0</v>
      </c>
      <c r="L164">
        <v>46.38</v>
      </c>
      <c r="M164">
        <v>7463</v>
      </c>
      <c r="N164">
        <v>6</v>
      </c>
      <c r="O164">
        <v>3</v>
      </c>
      <c r="P164">
        <v>3</v>
      </c>
      <c r="Q164">
        <v>3</v>
      </c>
      <c r="R164">
        <v>3</v>
      </c>
      <c r="S164">
        <v>16</v>
      </c>
      <c r="T164">
        <v>16</v>
      </c>
      <c r="U164">
        <v>3</v>
      </c>
      <c r="V164">
        <v>3</v>
      </c>
      <c r="W164">
        <v>3</v>
      </c>
      <c r="X164">
        <v>3</v>
      </c>
      <c r="Y164">
        <v>3</v>
      </c>
      <c r="Z164">
        <v>3</v>
      </c>
      <c r="AA164">
        <v>3</v>
      </c>
      <c r="AB164">
        <v>3</v>
      </c>
      <c r="AC164">
        <v>3</v>
      </c>
      <c r="AD164">
        <v>5</v>
      </c>
      <c r="AE164">
        <v>0</v>
      </c>
      <c r="AF164">
        <v>3</v>
      </c>
      <c r="AG164">
        <v>3</v>
      </c>
      <c r="AH164">
        <v>2</v>
      </c>
      <c r="AI164">
        <v>3</v>
      </c>
      <c r="AJ164">
        <v>1</v>
      </c>
      <c r="AK164">
        <v>0</v>
      </c>
      <c r="AL164">
        <v>38866508</v>
      </c>
      <c r="AM164">
        <v>40134620</v>
      </c>
      <c r="AN164">
        <v>21477524</v>
      </c>
      <c r="AO164">
        <v>28120630</v>
      </c>
      <c r="AP164">
        <v>12826614</v>
      </c>
      <c r="AQ164">
        <v>13910340</v>
      </c>
      <c r="AR164">
        <v>9751811</v>
      </c>
      <c r="AS164">
        <v>8041654.5</v>
      </c>
      <c r="AT164" s="11">
        <v>39523676</v>
      </c>
      <c r="AU164" s="11">
        <v>41448604</v>
      </c>
      <c r="AW164" s="14">
        <v>10906173</v>
      </c>
      <c r="AX164" s="14">
        <v>8788326</v>
      </c>
      <c r="AZ164" s="16">
        <v>7652779</v>
      </c>
      <c r="BA164" s="16">
        <v>7539799.5</v>
      </c>
      <c r="BC164" s="18">
        <v>4795997</v>
      </c>
      <c r="BD164" s="18">
        <v>3712260.75</v>
      </c>
    </row>
    <row r="165" spans="1:56" hidden="1">
      <c r="A165">
        <v>16818</v>
      </c>
      <c r="B165" t="s">
        <v>729</v>
      </c>
      <c r="C165" t="s">
        <v>730</v>
      </c>
      <c r="D165" t="s">
        <v>731</v>
      </c>
      <c r="F165" t="s">
        <v>732</v>
      </c>
      <c r="G165">
        <v>41.168999999999997</v>
      </c>
      <c r="H165" t="s">
        <v>58</v>
      </c>
      <c r="I165">
        <v>2</v>
      </c>
      <c r="J165">
        <v>5</v>
      </c>
      <c r="K165">
        <v>0</v>
      </c>
      <c r="L165">
        <v>22.22</v>
      </c>
      <c r="M165">
        <v>5095</v>
      </c>
      <c r="N165">
        <v>3</v>
      </c>
      <c r="O165">
        <v>1</v>
      </c>
      <c r="P165">
        <v>1</v>
      </c>
      <c r="Q165">
        <v>1</v>
      </c>
      <c r="R165">
        <v>1</v>
      </c>
      <c r="S165">
        <v>8</v>
      </c>
      <c r="T165">
        <v>8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2</v>
      </c>
      <c r="AE165">
        <v>2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9058433</v>
      </c>
      <c r="AM165">
        <v>8780371</v>
      </c>
      <c r="AN165">
        <v>11319976</v>
      </c>
      <c r="AO165">
        <v>12676747</v>
      </c>
      <c r="AP165">
        <v>6298693.5</v>
      </c>
      <c r="AQ165">
        <v>5670608.5</v>
      </c>
      <c r="AR165">
        <v>5375219</v>
      </c>
      <c r="AS165">
        <v>4408605.5</v>
      </c>
      <c r="AT165" s="11">
        <v>9058433</v>
      </c>
      <c r="AU165" s="11">
        <v>9113224</v>
      </c>
      <c r="AW165" s="14">
        <v>5409172.5</v>
      </c>
      <c r="AX165" s="14">
        <v>4241756</v>
      </c>
      <c r="AZ165" s="16">
        <v>3802472</v>
      </c>
      <c r="BA165" s="16">
        <v>3113378</v>
      </c>
      <c r="BC165" s="18">
        <v>2743275</v>
      </c>
      <c r="BD165" s="18">
        <v>2022300.25</v>
      </c>
    </row>
    <row r="166" spans="1:56" hidden="1">
      <c r="A166">
        <v>16877</v>
      </c>
      <c r="B166" t="s">
        <v>733</v>
      </c>
      <c r="C166" t="s">
        <v>734</v>
      </c>
      <c r="D166" t="s">
        <v>733</v>
      </c>
      <c r="F166" t="s">
        <v>735</v>
      </c>
      <c r="G166">
        <v>37.479999999999997</v>
      </c>
      <c r="H166" t="s">
        <v>58</v>
      </c>
      <c r="I166">
        <v>2</v>
      </c>
      <c r="J166">
        <v>1</v>
      </c>
      <c r="K166">
        <v>0</v>
      </c>
      <c r="L166">
        <v>4.16</v>
      </c>
      <c r="M166">
        <v>49873</v>
      </c>
      <c r="N166">
        <v>22</v>
      </c>
      <c r="O166">
        <v>2</v>
      </c>
      <c r="P166">
        <v>2</v>
      </c>
      <c r="Q166">
        <v>2</v>
      </c>
      <c r="R166">
        <v>2</v>
      </c>
      <c r="S166">
        <v>7</v>
      </c>
      <c r="T166">
        <v>7</v>
      </c>
      <c r="U166">
        <v>2</v>
      </c>
      <c r="V166">
        <v>1</v>
      </c>
      <c r="W166">
        <v>1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0</v>
      </c>
      <c r="AE166">
        <v>1</v>
      </c>
      <c r="AF166">
        <v>2</v>
      </c>
      <c r="AG166">
        <v>2</v>
      </c>
      <c r="AH166">
        <v>1</v>
      </c>
      <c r="AI166">
        <v>1</v>
      </c>
      <c r="AJ166">
        <v>1</v>
      </c>
      <c r="AK166">
        <v>0</v>
      </c>
      <c r="AL166">
        <v>1280924.6200000001</v>
      </c>
      <c r="AM166">
        <v>1272319.8799999999</v>
      </c>
      <c r="AN166">
        <v>12895891</v>
      </c>
      <c r="AO166">
        <v>18676132</v>
      </c>
      <c r="AP166">
        <v>9132051</v>
      </c>
      <c r="AQ166">
        <v>9013477</v>
      </c>
      <c r="AR166">
        <v>7763120</v>
      </c>
      <c r="AS166">
        <v>9136897</v>
      </c>
      <c r="AT166" s="11">
        <v>48416.29</v>
      </c>
      <c r="AU166" s="11">
        <v>31963.439999999999</v>
      </c>
      <c r="AW166" s="14">
        <v>6568256.5</v>
      </c>
      <c r="AX166" s="14">
        <v>6456595.5</v>
      </c>
      <c r="AZ166" s="16">
        <v>5903691</v>
      </c>
      <c r="BA166" s="16">
        <v>5307223.5</v>
      </c>
      <c r="BC166" s="18">
        <v>4255511</v>
      </c>
      <c r="BD166" s="18">
        <v>4503745.5</v>
      </c>
    </row>
    <row r="167" spans="1:56" hidden="1">
      <c r="A167">
        <v>16775</v>
      </c>
      <c r="B167" t="s">
        <v>736</v>
      </c>
      <c r="C167" t="s">
        <v>737</v>
      </c>
      <c r="D167" t="s">
        <v>738</v>
      </c>
      <c r="F167" t="s">
        <v>739</v>
      </c>
      <c r="G167">
        <v>37.450000000000003</v>
      </c>
      <c r="H167" t="s">
        <v>58</v>
      </c>
      <c r="I167">
        <v>2</v>
      </c>
      <c r="J167">
        <v>20</v>
      </c>
      <c r="K167">
        <v>0</v>
      </c>
      <c r="L167">
        <v>12.5</v>
      </c>
      <c r="M167">
        <v>8951</v>
      </c>
      <c r="N167">
        <v>6</v>
      </c>
      <c r="O167">
        <v>2</v>
      </c>
      <c r="P167">
        <v>2</v>
      </c>
      <c r="Q167">
        <v>2</v>
      </c>
      <c r="R167">
        <v>2</v>
      </c>
      <c r="S167">
        <v>11</v>
      </c>
      <c r="T167">
        <v>11</v>
      </c>
      <c r="U167">
        <v>2</v>
      </c>
      <c r="V167">
        <v>1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1</v>
      </c>
      <c r="AE167">
        <v>2</v>
      </c>
      <c r="AF167">
        <v>1</v>
      </c>
      <c r="AG167">
        <v>2</v>
      </c>
      <c r="AH167">
        <v>1</v>
      </c>
      <c r="AI167">
        <v>1</v>
      </c>
      <c r="AJ167">
        <v>2</v>
      </c>
      <c r="AK167">
        <v>2</v>
      </c>
      <c r="AL167">
        <v>1170714</v>
      </c>
      <c r="AM167">
        <v>1367194</v>
      </c>
      <c r="AN167">
        <v>5129861</v>
      </c>
      <c r="AO167">
        <v>6213301</v>
      </c>
      <c r="AP167">
        <v>2667790</v>
      </c>
      <c r="AQ167">
        <v>2914751.5</v>
      </c>
      <c r="AR167">
        <v>2475343.75</v>
      </c>
      <c r="AS167">
        <v>2839085.5</v>
      </c>
      <c r="AT167" s="11">
        <v>56715.519999999997</v>
      </c>
      <c r="AU167" s="11">
        <v>1353997.12</v>
      </c>
      <c r="AW167" s="14">
        <v>2661609.25</v>
      </c>
      <c r="AX167" s="14">
        <v>2189338.25</v>
      </c>
      <c r="AZ167" s="16">
        <v>1779812.38</v>
      </c>
      <c r="BA167" s="16">
        <v>1764443.25</v>
      </c>
      <c r="BC167" s="18">
        <v>1396273.25</v>
      </c>
      <c r="BD167" s="18">
        <v>1442509.88</v>
      </c>
    </row>
    <row r="168" spans="1:56" hidden="1">
      <c r="A168">
        <v>16748</v>
      </c>
      <c r="B168" t="s">
        <v>740</v>
      </c>
      <c r="C168" t="s">
        <v>741</v>
      </c>
      <c r="D168" t="s">
        <v>742</v>
      </c>
      <c r="F168" t="s">
        <v>743</v>
      </c>
      <c r="G168">
        <v>32.35</v>
      </c>
      <c r="H168" t="s">
        <v>58</v>
      </c>
      <c r="I168">
        <v>2</v>
      </c>
      <c r="J168">
        <v>20</v>
      </c>
      <c r="K168">
        <v>0</v>
      </c>
      <c r="L168">
        <v>10.18</v>
      </c>
      <c r="M168">
        <v>18695</v>
      </c>
      <c r="N168">
        <v>13</v>
      </c>
      <c r="O168">
        <v>2</v>
      </c>
      <c r="P168">
        <v>2</v>
      </c>
      <c r="Q168">
        <v>2</v>
      </c>
      <c r="R168">
        <v>2</v>
      </c>
      <c r="S168">
        <v>7</v>
      </c>
      <c r="T168">
        <v>7</v>
      </c>
      <c r="U168">
        <v>2</v>
      </c>
      <c r="V168">
        <v>2</v>
      </c>
      <c r="W168">
        <v>2</v>
      </c>
      <c r="X168">
        <v>2</v>
      </c>
      <c r="Y168">
        <v>1</v>
      </c>
      <c r="Z168">
        <v>2</v>
      </c>
      <c r="AA168">
        <v>2</v>
      </c>
      <c r="AB168">
        <v>1</v>
      </c>
      <c r="AD168">
        <v>1</v>
      </c>
      <c r="AE168">
        <v>3</v>
      </c>
      <c r="AF168">
        <v>0</v>
      </c>
      <c r="AG168">
        <v>0</v>
      </c>
      <c r="AH168">
        <v>1</v>
      </c>
      <c r="AI168">
        <v>2</v>
      </c>
      <c r="AJ168">
        <v>1</v>
      </c>
      <c r="AK168">
        <v>0</v>
      </c>
      <c r="AL168">
        <v>4479768.5</v>
      </c>
      <c r="AM168">
        <v>5098633.5</v>
      </c>
      <c r="AN168">
        <v>3265524</v>
      </c>
      <c r="AO168">
        <v>2761425</v>
      </c>
      <c r="AP168">
        <v>3462750.5</v>
      </c>
      <c r="AQ168">
        <v>2765176.25</v>
      </c>
      <c r="AR168">
        <v>1505215.75</v>
      </c>
      <c r="AT168" s="11">
        <v>4176750.25</v>
      </c>
      <c r="AU168" s="11">
        <v>4873465</v>
      </c>
      <c r="AW168" s="14">
        <v>1586303.38</v>
      </c>
      <c r="AX168" s="14">
        <v>240822.3</v>
      </c>
      <c r="AZ168" s="16">
        <v>3017440.5</v>
      </c>
      <c r="BA168" s="16">
        <v>2137996.5</v>
      </c>
      <c r="BC168" s="18">
        <v>481028.81</v>
      </c>
      <c r="BD168" s="18">
        <v>275347</v>
      </c>
    </row>
    <row r="169" spans="1:56" hidden="1">
      <c r="A169">
        <v>16839</v>
      </c>
      <c r="B169" t="s">
        <v>744</v>
      </c>
      <c r="C169" t="s">
        <v>745</v>
      </c>
      <c r="D169" t="s">
        <v>746</v>
      </c>
      <c r="F169" t="s">
        <v>747</v>
      </c>
      <c r="G169">
        <v>31.751999999999999</v>
      </c>
      <c r="H169" t="s">
        <v>58</v>
      </c>
      <c r="I169">
        <v>2</v>
      </c>
      <c r="J169">
        <v>2</v>
      </c>
      <c r="K169">
        <v>0</v>
      </c>
      <c r="L169">
        <v>2.4700000000000002</v>
      </c>
      <c r="M169">
        <v>96126</v>
      </c>
      <c r="N169">
        <v>47</v>
      </c>
      <c r="O169">
        <v>2</v>
      </c>
      <c r="P169">
        <v>2</v>
      </c>
      <c r="Q169">
        <v>2</v>
      </c>
      <c r="R169">
        <v>2</v>
      </c>
      <c r="S169">
        <v>3</v>
      </c>
      <c r="T169">
        <v>3</v>
      </c>
      <c r="U169">
        <v>2</v>
      </c>
      <c r="V169">
        <v>1</v>
      </c>
      <c r="W169">
        <v>1</v>
      </c>
      <c r="X169">
        <v>2</v>
      </c>
      <c r="Y169">
        <v>2</v>
      </c>
      <c r="Z169">
        <v>2</v>
      </c>
      <c r="AA169">
        <v>2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2</v>
      </c>
      <c r="AH169">
        <v>0</v>
      </c>
      <c r="AI169">
        <v>0</v>
      </c>
      <c r="AJ169">
        <v>0</v>
      </c>
      <c r="AK169">
        <v>1</v>
      </c>
      <c r="AL169">
        <v>695911.81</v>
      </c>
      <c r="AM169">
        <v>2495000.25</v>
      </c>
      <c r="AN169">
        <v>2864964.5</v>
      </c>
      <c r="AO169">
        <v>3476092</v>
      </c>
      <c r="AP169">
        <v>1574647.75</v>
      </c>
      <c r="AQ169">
        <v>559223.12</v>
      </c>
      <c r="AR169">
        <v>1102312.3799999999</v>
      </c>
      <c r="AS169">
        <v>735022.69</v>
      </c>
      <c r="AT169" s="11">
        <v>76981.62</v>
      </c>
      <c r="AU169" s="11">
        <v>275203.65999999997</v>
      </c>
      <c r="AW169" s="14">
        <v>2230870.75</v>
      </c>
      <c r="AX169" s="14">
        <v>1857429.88</v>
      </c>
      <c r="AZ169" s="16">
        <v>1573814.38</v>
      </c>
      <c r="BA169" s="16">
        <v>565858.31000000006</v>
      </c>
      <c r="BC169" s="18">
        <v>466023.03</v>
      </c>
      <c r="BD169" s="18">
        <v>272864.25</v>
      </c>
    </row>
    <row r="170" spans="1:56" hidden="1">
      <c r="A170">
        <v>16876</v>
      </c>
      <c r="B170" t="s">
        <v>748</v>
      </c>
      <c r="C170" t="s">
        <v>749</v>
      </c>
      <c r="D170" t="s">
        <v>748</v>
      </c>
      <c r="F170" t="s">
        <v>750</v>
      </c>
      <c r="G170">
        <v>31.297000000000001</v>
      </c>
      <c r="H170" t="s">
        <v>58</v>
      </c>
      <c r="I170">
        <v>2</v>
      </c>
      <c r="J170">
        <v>1</v>
      </c>
      <c r="K170">
        <v>0</v>
      </c>
      <c r="L170">
        <v>3.65</v>
      </c>
      <c r="M170">
        <v>63561</v>
      </c>
      <c r="N170">
        <v>34</v>
      </c>
      <c r="O170">
        <v>2</v>
      </c>
      <c r="P170">
        <v>2</v>
      </c>
      <c r="Q170">
        <v>2</v>
      </c>
      <c r="R170">
        <v>2</v>
      </c>
      <c r="S170">
        <v>6</v>
      </c>
      <c r="T170">
        <v>6</v>
      </c>
      <c r="U170">
        <v>2</v>
      </c>
      <c r="V170">
        <v>2</v>
      </c>
      <c r="W170">
        <v>2</v>
      </c>
      <c r="X170">
        <v>2</v>
      </c>
      <c r="Y170">
        <v>2</v>
      </c>
      <c r="Z170">
        <v>2</v>
      </c>
      <c r="AA170">
        <v>2</v>
      </c>
      <c r="AB170">
        <v>2</v>
      </c>
      <c r="AC170">
        <v>2</v>
      </c>
      <c r="AD170">
        <v>0</v>
      </c>
      <c r="AE170">
        <v>2</v>
      </c>
      <c r="AF170">
        <v>2</v>
      </c>
      <c r="AG170">
        <v>2</v>
      </c>
      <c r="AH170">
        <v>0</v>
      </c>
      <c r="AI170">
        <v>0</v>
      </c>
      <c r="AJ170">
        <v>0</v>
      </c>
      <c r="AK170">
        <v>0</v>
      </c>
      <c r="AL170">
        <v>2321267</v>
      </c>
      <c r="AM170">
        <v>1528438</v>
      </c>
      <c r="AN170">
        <v>3306524</v>
      </c>
      <c r="AO170">
        <v>3095427.75</v>
      </c>
      <c r="AP170">
        <v>1300777.1200000001</v>
      </c>
      <c r="AQ170">
        <v>1253122.75</v>
      </c>
      <c r="AR170">
        <v>2481473.5</v>
      </c>
      <c r="AS170">
        <v>2021357.5</v>
      </c>
      <c r="AT170" s="11">
        <v>2420896.75</v>
      </c>
      <c r="AU170" s="11">
        <v>1669574.38</v>
      </c>
      <c r="AW170" s="14">
        <v>1535071.75</v>
      </c>
      <c r="AX170" s="14">
        <v>1060636</v>
      </c>
      <c r="AZ170" s="16">
        <v>828254.19</v>
      </c>
      <c r="BA170" s="16">
        <v>732708.44</v>
      </c>
      <c r="BC170" s="18">
        <v>1127294.75</v>
      </c>
      <c r="BD170" s="18">
        <v>856308.88</v>
      </c>
    </row>
    <row r="171" spans="1:56" hidden="1">
      <c r="A171">
        <v>16821</v>
      </c>
      <c r="B171" t="s">
        <v>751</v>
      </c>
      <c r="C171" t="s">
        <v>752</v>
      </c>
      <c r="D171" t="s">
        <v>751</v>
      </c>
      <c r="F171" t="s">
        <v>753</v>
      </c>
      <c r="G171">
        <v>30.818999999999999</v>
      </c>
      <c r="H171" t="s">
        <v>58</v>
      </c>
      <c r="I171">
        <v>2</v>
      </c>
      <c r="J171">
        <v>1</v>
      </c>
      <c r="K171">
        <v>0</v>
      </c>
      <c r="L171">
        <v>4.5</v>
      </c>
      <c r="M171">
        <v>32343</v>
      </c>
      <c r="N171">
        <v>10</v>
      </c>
      <c r="O171">
        <v>1</v>
      </c>
      <c r="P171">
        <v>1</v>
      </c>
      <c r="Q171">
        <v>1</v>
      </c>
      <c r="R171">
        <v>1</v>
      </c>
      <c r="S171">
        <v>2</v>
      </c>
      <c r="T171">
        <v>2</v>
      </c>
      <c r="U171">
        <v>1</v>
      </c>
      <c r="V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1350156.62</v>
      </c>
      <c r="AN171">
        <v>3902244.25</v>
      </c>
      <c r="AO171">
        <v>3509634.75</v>
      </c>
      <c r="AP171">
        <v>1427461.5</v>
      </c>
      <c r="AQ171">
        <v>1763003.38</v>
      </c>
      <c r="AR171">
        <v>1581169.5</v>
      </c>
      <c r="AS171">
        <v>1570985.12</v>
      </c>
      <c r="AT171" s="11">
        <v>1350156.62</v>
      </c>
      <c r="AU171" s="11">
        <v>151704.31</v>
      </c>
      <c r="AW171" s="14">
        <v>1864660.5</v>
      </c>
      <c r="AX171" s="14">
        <v>1174356</v>
      </c>
      <c r="AZ171" s="16">
        <v>861747.31</v>
      </c>
      <c r="BA171" s="16">
        <v>967955.31</v>
      </c>
      <c r="BC171" s="18">
        <v>806959.25</v>
      </c>
      <c r="BD171" s="18">
        <v>720636.88</v>
      </c>
    </row>
    <row r="172" spans="1:56" hidden="1">
      <c r="A172">
        <v>16870</v>
      </c>
      <c r="B172" t="s">
        <v>754</v>
      </c>
      <c r="C172" t="s">
        <v>755</v>
      </c>
      <c r="D172" t="s">
        <v>756</v>
      </c>
      <c r="F172" t="s">
        <v>757</v>
      </c>
      <c r="G172">
        <v>28.625</v>
      </c>
      <c r="H172" t="s">
        <v>58</v>
      </c>
      <c r="I172">
        <v>2</v>
      </c>
      <c r="J172">
        <v>3</v>
      </c>
      <c r="K172">
        <v>0</v>
      </c>
      <c r="L172">
        <v>15.32</v>
      </c>
      <c r="M172">
        <v>12344</v>
      </c>
      <c r="N172">
        <v>5</v>
      </c>
      <c r="O172">
        <v>1</v>
      </c>
      <c r="P172">
        <v>1</v>
      </c>
      <c r="Q172">
        <v>1</v>
      </c>
      <c r="R172">
        <v>1</v>
      </c>
      <c r="S172">
        <v>2</v>
      </c>
      <c r="T172">
        <v>2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1398921.88</v>
      </c>
      <c r="AM172">
        <v>1254302.1200000001</v>
      </c>
      <c r="AN172">
        <v>1113551.25</v>
      </c>
      <c r="AO172">
        <v>1693935.88</v>
      </c>
      <c r="AP172">
        <v>773570.62</v>
      </c>
      <c r="AQ172">
        <v>994405.88</v>
      </c>
      <c r="AR172">
        <v>693711.38</v>
      </c>
      <c r="AS172">
        <v>657173.75</v>
      </c>
      <c r="AT172" s="11">
        <v>1398921.88</v>
      </c>
      <c r="AU172" s="11">
        <v>1301851.25</v>
      </c>
      <c r="AW172" s="14">
        <v>532102.81000000006</v>
      </c>
      <c r="AX172" s="14">
        <v>566806.5</v>
      </c>
      <c r="AZ172" s="16">
        <v>466998.56</v>
      </c>
      <c r="BA172" s="16">
        <v>545966.31000000006</v>
      </c>
      <c r="BC172" s="18">
        <v>354039.72</v>
      </c>
      <c r="BD172" s="18">
        <v>301456.46999999997</v>
      </c>
    </row>
    <row r="173" spans="1:56" hidden="1">
      <c r="A173">
        <v>16865</v>
      </c>
      <c r="B173" t="s">
        <v>758</v>
      </c>
      <c r="C173" t="s">
        <v>759</v>
      </c>
      <c r="D173" t="s">
        <v>760</v>
      </c>
      <c r="F173" t="s">
        <v>761</v>
      </c>
      <c r="G173">
        <v>26.768999999999998</v>
      </c>
      <c r="H173" t="s">
        <v>58</v>
      </c>
      <c r="I173">
        <v>2</v>
      </c>
      <c r="J173">
        <v>2</v>
      </c>
      <c r="K173">
        <v>0</v>
      </c>
      <c r="L173">
        <v>2.56</v>
      </c>
      <c r="M173">
        <v>43285</v>
      </c>
      <c r="N173">
        <v>21</v>
      </c>
      <c r="O173">
        <v>1</v>
      </c>
      <c r="P173">
        <v>1</v>
      </c>
      <c r="Q173">
        <v>1</v>
      </c>
      <c r="R173">
        <v>1</v>
      </c>
      <c r="S173">
        <v>3</v>
      </c>
      <c r="T173">
        <v>3</v>
      </c>
      <c r="U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0</v>
      </c>
      <c r="AE173">
        <v>0</v>
      </c>
      <c r="AF173">
        <v>1</v>
      </c>
      <c r="AG173">
        <v>1</v>
      </c>
      <c r="AH173">
        <v>0</v>
      </c>
      <c r="AI173">
        <v>1</v>
      </c>
      <c r="AJ173">
        <v>1</v>
      </c>
      <c r="AK173">
        <v>1</v>
      </c>
      <c r="AN173">
        <v>1197586.25</v>
      </c>
      <c r="AO173">
        <v>1241210.1200000001</v>
      </c>
      <c r="AP173">
        <v>674168.94</v>
      </c>
      <c r="AQ173">
        <v>554927</v>
      </c>
      <c r="AR173">
        <v>561886.25</v>
      </c>
      <c r="AS173">
        <v>424636.15999999997</v>
      </c>
      <c r="AT173" s="11">
        <v>99934.65</v>
      </c>
      <c r="AU173" s="11">
        <v>151704.31</v>
      </c>
      <c r="AW173" s="14">
        <v>572258.31000000006</v>
      </c>
      <c r="AX173" s="14">
        <v>415320.28</v>
      </c>
      <c r="AZ173" s="16">
        <v>406990.53</v>
      </c>
      <c r="BA173" s="16">
        <v>304675.84000000003</v>
      </c>
      <c r="BC173" s="18">
        <v>286762</v>
      </c>
      <c r="BD173" s="18">
        <v>194787.62</v>
      </c>
    </row>
    <row r="174" spans="1:56" hidden="1">
      <c r="A174">
        <v>16847</v>
      </c>
      <c r="B174" t="s">
        <v>762</v>
      </c>
      <c r="C174" t="s">
        <v>763</v>
      </c>
      <c r="D174" t="s">
        <v>764</v>
      </c>
      <c r="F174" t="s">
        <v>765</v>
      </c>
      <c r="G174">
        <v>25.253</v>
      </c>
      <c r="H174" t="s">
        <v>58</v>
      </c>
      <c r="I174">
        <v>2</v>
      </c>
      <c r="J174">
        <v>3</v>
      </c>
      <c r="K174">
        <v>0</v>
      </c>
      <c r="L174">
        <v>1.64</v>
      </c>
      <c r="M174">
        <v>66907</v>
      </c>
      <c r="N174">
        <v>32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1</v>
      </c>
      <c r="W174">
        <v>1</v>
      </c>
      <c r="X174">
        <v>2</v>
      </c>
      <c r="Y174">
        <v>2</v>
      </c>
      <c r="Z174">
        <v>2</v>
      </c>
      <c r="AA174">
        <v>2</v>
      </c>
      <c r="AB174">
        <v>2</v>
      </c>
      <c r="AC174">
        <v>2</v>
      </c>
      <c r="AD174">
        <v>0</v>
      </c>
      <c r="AE174">
        <v>0</v>
      </c>
      <c r="AF174">
        <v>0</v>
      </c>
      <c r="AG174">
        <v>1</v>
      </c>
      <c r="AH174">
        <v>1</v>
      </c>
      <c r="AI174">
        <v>1</v>
      </c>
      <c r="AJ174">
        <v>0</v>
      </c>
      <c r="AK174">
        <v>0</v>
      </c>
      <c r="AL174">
        <v>466379.16</v>
      </c>
      <c r="AM174">
        <v>448633.19</v>
      </c>
      <c r="AN174">
        <v>1594205.25</v>
      </c>
      <c r="AO174">
        <v>2104094</v>
      </c>
      <c r="AP174">
        <v>796765</v>
      </c>
      <c r="AQ174">
        <v>959450.62</v>
      </c>
      <c r="AR174">
        <v>748412.5</v>
      </c>
      <c r="AS174">
        <v>1052796.8799999999</v>
      </c>
      <c r="AT174" s="11">
        <v>74964.3</v>
      </c>
      <c r="AU174" s="11">
        <v>38848.93</v>
      </c>
      <c r="AW174" s="14">
        <v>917972</v>
      </c>
      <c r="AX174" s="14">
        <v>727006.44</v>
      </c>
      <c r="AZ174" s="16">
        <v>597168.12</v>
      </c>
      <c r="BA174" s="16">
        <v>658352.93999999994</v>
      </c>
      <c r="BC174" s="18">
        <v>477330.56</v>
      </c>
      <c r="BD174" s="18">
        <v>601511.31000000006</v>
      </c>
    </row>
    <row r="175" spans="1:56" hidden="1">
      <c r="A175">
        <v>16705</v>
      </c>
      <c r="B175" t="s">
        <v>766</v>
      </c>
      <c r="C175" t="s">
        <v>767</v>
      </c>
      <c r="D175" t="s">
        <v>768</v>
      </c>
      <c r="F175" t="s">
        <v>769</v>
      </c>
      <c r="G175">
        <v>23.45</v>
      </c>
      <c r="H175" t="s">
        <v>58</v>
      </c>
      <c r="I175">
        <v>2</v>
      </c>
      <c r="J175">
        <v>18</v>
      </c>
      <c r="K175">
        <v>0</v>
      </c>
      <c r="L175">
        <v>10.77</v>
      </c>
      <c r="M175">
        <v>7302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18</v>
      </c>
      <c r="T175">
        <v>18</v>
      </c>
      <c r="U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0</v>
      </c>
      <c r="AE175">
        <v>0</v>
      </c>
      <c r="AF175">
        <v>0</v>
      </c>
      <c r="AG175">
        <v>7</v>
      </c>
      <c r="AH175">
        <v>4</v>
      </c>
      <c r="AI175">
        <v>3</v>
      </c>
      <c r="AJ175">
        <v>4</v>
      </c>
      <c r="AK175">
        <v>3</v>
      </c>
      <c r="AO175">
        <v>8038559.5</v>
      </c>
      <c r="AP175">
        <v>526441.25</v>
      </c>
      <c r="AQ175">
        <v>556929</v>
      </c>
      <c r="AR175">
        <v>721808.19</v>
      </c>
      <c r="AS175">
        <v>431671.75</v>
      </c>
      <c r="AT175" s="11">
        <v>99934.65</v>
      </c>
      <c r="AU175" s="11">
        <v>151704.31</v>
      </c>
      <c r="AW175" s="14">
        <v>374615.16</v>
      </c>
      <c r="AX175" s="14">
        <v>2689775.75</v>
      </c>
      <c r="AZ175" s="16">
        <v>317808.46999999997</v>
      </c>
      <c r="BA175" s="16">
        <v>305775.03000000003</v>
      </c>
      <c r="BC175" s="18">
        <v>368379.09</v>
      </c>
      <c r="BD175" s="18">
        <v>198014.97</v>
      </c>
    </row>
    <row r="176" spans="1:56" hidden="1">
      <c r="A176">
        <v>16765</v>
      </c>
      <c r="B176" t="s">
        <v>770</v>
      </c>
      <c r="C176" t="s">
        <v>771</v>
      </c>
      <c r="D176" t="s">
        <v>770</v>
      </c>
      <c r="F176" t="s">
        <v>772</v>
      </c>
      <c r="G176">
        <v>21.728000000000002</v>
      </c>
      <c r="H176" t="s">
        <v>58</v>
      </c>
      <c r="I176">
        <v>2</v>
      </c>
      <c r="J176">
        <v>1</v>
      </c>
      <c r="K176">
        <v>0</v>
      </c>
      <c r="L176">
        <v>3.04</v>
      </c>
      <c r="M176">
        <v>28232</v>
      </c>
      <c r="N176">
        <v>12</v>
      </c>
      <c r="O176">
        <v>1</v>
      </c>
      <c r="P176">
        <v>1</v>
      </c>
      <c r="Q176">
        <v>1</v>
      </c>
      <c r="R176">
        <v>1</v>
      </c>
      <c r="S176">
        <v>16</v>
      </c>
      <c r="T176">
        <v>16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2</v>
      </c>
      <c r="AE176">
        <v>0</v>
      </c>
      <c r="AF176">
        <v>2</v>
      </c>
      <c r="AG176">
        <v>2</v>
      </c>
      <c r="AH176">
        <v>2</v>
      </c>
      <c r="AI176">
        <v>3</v>
      </c>
      <c r="AJ176">
        <v>2</v>
      </c>
      <c r="AK176">
        <v>3</v>
      </c>
      <c r="AL176">
        <v>19992314</v>
      </c>
      <c r="AM176">
        <v>28666430</v>
      </c>
      <c r="AN176">
        <v>37345812</v>
      </c>
      <c r="AO176">
        <v>73016416</v>
      </c>
      <c r="AP176">
        <v>30896386</v>
      </c>
      <c r="AQ176">
        <v>35927916</v>
      </c>
      <c r="AR176">
        <v>38376556</v>
      </c>
      <c r="AS176">
        <v>31379266</v>
      </c>
      <c r="AT176" s="11">
        <v>19992314</v>
      </c>
      <c r="AU176" s="11">
        <v>29753140</v>
      </c>
      <c r="AW176" s="14">
        <v>17845438</v>
      </c>
      <c r="AX176" s="14">
        <v>24431962</v>
      </c>
      <c r="AZ176" s="16">
        <v>18651906</v>
      </c>
      <c r="BA176" s="16">
        <v>19725780</v>
      </c>
      <c r="BC176" s="18">
        <v>19585704</v>
      </c>
      <c r="BD176" s="18">
        <v>14394188</v>
      </c>
    </row>
    <row r="177" spans="1:56" hidden="1">
      <c r="A177">
        <v>16693</v>
      </c>
      <c r="B177" t="s">
        <v>773</v>
      </c>
      <c r="C177" t="s">
        <v>774</v>
      </c>
      <c r="D177" t="s">
        <v>775</v>
      </c>
      <c r="F177" t="s">
        <v>776</v>
      </c>
      <c r="G177">
        <v>21.396999999999998</v>
      </c>
      <c r="H177" t="s">
        <v>58</v>
      </c>
      <c r="I177">
        <v>2</v>
      </c>
      <c r="J177">
        <v>21</v>
      </c>
      <c r="K177">
        <v>0</v>
      </c>
      <c r="L177">
        <v>3.27</v>
      </c>
      <c r="M177">
        <v>34424</v>
      </c>
      <c r="N177">
        <v>16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345603.91</v>
      </c>
      <c r="AM177">
        <v>263928.69</v>
      </c>
      <c r="AN177">
        <v>788757.5</v>
      </c>
      <c r="AO177">
        <v>849508.56</v>
      </c>
      <c r="AP177">
        <v>440942.75</v>
      </c>
      <c r="AQ177">
        <v>458317</v>
      </c>
      <c r="AR177">
        <v>277029.78000000003</v>
      </c>
      <c r="AT177" s="11">
        <v>345603.91</v>
      </c>
      <c r="AU177" s="11">
        <v>273933.94</v>
      </c>
      <c r="AW177" s="14">
        <v>376902.34</v>
      </c>
      <c r="AX177" s="14">
        <v>284253.34000000003</v>
      </c>
      <c r="AZ177" s="16">
        <v>266193.69</v>
      </c>
      <c r="BA177" s="16">
        <v>251633.33</v>
      </c>
      <c r="BC177" s="18">
        <v>141383.79999999999</v>
      </c>
      <c r="BD177" s="18">
        <v>275347</v>
      </c>
    </row>
    <row r="178" spans="1:56" hidden="1">
      <c r="A178">
        <v>16832</v>
      </c>
      <c r="B178" t="s">
        <v>777</v>
      </c>
      <c r="C178" t="s">
        <v>778</v>
      </c>
      <c r="D178" t="s">
        <v>779</v>
      </c>
      <c r="F178" t="s">
        <v>780</v>
      </c>
      <c r="G178">
        <v>21.256</v>
      </c>
      <c r="H178" t="s">
        <v>58</v>
      </c>
      <c r="I178">
        <v>2</v>
      </c>
      <c r="J178">
        <v>2</v>
      </c>
      <c r="K178">
        <v>0</v>
      </c>
      <c r="L178">
        <v>2.6</v>
      </c>
      <c r="M178">
        <v>37200</v>
      </c>
      <c r="N178">
        <v>21</v>
      </c>
      <c r="O178">
        <v>1</v>
      </c>
      <c r="P178">
        <v>1</v>
      </c>
      <c r="Q178">
        <v>1</v>
      </c>
      <c r="R178">
        <v>1</v>
      </c>
      <c r="S178">
        <v>3</v>
      </c>
      <c r="T178">
        <v>3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2</v>
      </c>
      <c r="AE178">
        <v>0</v>
      </c>
      <c r="AF178">
        <v>1</v>
      </c>
      <c r="AG178">
        <v>1</v>
      </c>
      <c r="AH178">
        <v>0</v>
      </c>
      <c r="AI178">
        <v>0</v>
      </c>
      <c r="AJ178">
        <v>1</v>
      </c>
      <c r="AK178">
        <v>1</v>
      </c>
      <c r="AL178">
        <v>6891198</v>
      </c>
      <c r="AM178">
        <v>8830874</v>
      </c>
      <c r="AN178">
        <v>5513921</v>
      </c>
      <c r="AO178">
        <v>5599760.5</v>
      </c>
      <c r="AP178">
        <v>5038212</v>
      </c>
      <c r="AQ178">
        <v>4683371.5</v>
      </c>
      <c r="AR178">
        <v>3026369</v>
      </c>
      <c r="AS178">
        <v>2823445.25</v>
      </c>
      <c r="AT178" s="11">
        <v>6891198</v>
      </c>
      <c r="AU178" s="11">
        <v>9165643</v>
      </c>
      <c r="AW178" s="14">
        <v>2634789.25</v>
      </c>
      <c r="AX178" s="14">
        <v>1873731.25</v>
      </c>
      <c r="AZ178" s="16">
        <v>3041529</v>
      </c>
      <c r="BA178" s="16">
        <v>2571347.5</v>
      </c>
      <c r="BC178" s="18">
        <v>1544525.5</v>
      </c>
      <c r="BD178" s="18">
        <v>1295161</v>
      </c>
    </row>
    <row r="179" spans="1:56" hidden="1">
      <c r="A179">
        <v>16707</v>
      </c>
      <c r="B179" t="s">
        <v>781</v>
      </c>
      <c r="C179" t="s">
        <v>782</v>
      </c>
      <c r="D179" t="s">
        <v>783</v>
      </c>
      <c r="F179" t="s">
        <v>784</v>
      </c>
      <c r="G179">
        <v>20.675000000000001</v>
      </c>
      <c r="H179" t="s">
        <v>58</v>
      </c>
      <c r="I179">
        <v>2</v>
      </c>
      <c r="J179">
        <v>20</v>
      </c>
      <c r="K179">
        <v>0</v>
      </c>
      <c r="L179">
        <v>21.84</v>
      </c>
      <c r="M179">
        <v>9827</v>
      </c>
      <c r="N179">
        <v>4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W179">
        <v>1</v>
      </c>
      <c r="X179">
        <v>1</v>
      </c>
      <c r="Y179">
        <v>1</v>
      </c>
      <c r="AA179">
        <v>1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M179">
        <v>734009.31</v>
      </c>
      <c r="AN179">
        <v>783439.25</v>
      </c>
      <c r="AO179">
        <v>924829.5</v>
      </c>
      <c r="AQ179">
        <v>657168.38</v>
      </c>
      <c r="AT179" s="11">
        <v>99934.65</v>
      </c>
      <c r="AU179" s="11">
        <v>761834.75</v>
      </c>
      <c r="AW179" s="14">
        <v>374361.03</v>
      </c>
      <c r="AX179" s="14">
        <v>309456.44</v>
      </c>
      <c r="AZ179" s="16">
        <v>278828.78000000003</v>
      </c>
      <c r="BA179" s="16">
        <v>360810.22</v>
      </c>
      <c r="BC179" s="18">
        <v>274135.90999999997</v>
      </c>
      <c r="BD179" s="18">
        <v>275347</v>
      </c>
    </row>
    <row r="180" spans="1:56" hidden="1">
      <c r="A180">
        <v>16780</v>
      </c>
      <c r="B180" t="s">
        <v>785</v>
      </c>
      <c r="C180" t="s">
        <v>786</v>
      </c>
      <c r="D180" t="s">
        <v>787</v>
      </c>
      <c r="F180" t="s">
        <v>788</v>
      </c>
      <c r="G180">
        <v>20.271999999999998</v>
      </c>
      <c r="H180" t="s">
        <v>58</v>
      </c>
      <c r="I180">
        <v>2</v>
      </c>
      <c r="J180">
        <v>3</v>
      </c>
      <c r="K180">
        <v>0</v>
      </c>
      <c r="L180">
        <v>3.66</v>
      </c>
      <c r="M180">
        <v>70575</v>
      </c>
      <c r="N180">
        <v>40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2</v>
      </c>
      <c r="AD180">
        <v>0</v>
      </c>
      <c r="AE180">
        <v>0</v>
      </c>
      <c r="AF180">
        <v>2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1042906.19</v>
      </c>
      <c r="AM180">
        <v>1059604</v>
      </c>
      <c r="AN180">
        <v>2376175</v>
      </c>
      <c r="AO180">
        <v>2883629</v>
      </c>
      <c r="AP180">
        <v>1020468.5</v>
      </c>
      <c r="AQ180">
        <v>1094062.1200000001</v>
      </c>
      <c r="AR180">
        <v>1426472.38</v>
      </c>
      <c r="AS180">
        <v>1478122.75</v>
      </c>
      <c r="AT180" s="11">
        <v>1045362</v>
      </c>
      <c r="AU180" s="11">
        <v>1092513.5</v>
      </c>
      <c r="AW180" s="14">
        <v>1133725.25</v>
      </c>
      <c r="AX180" s="14">
        <v>996342.88</v>
      </c>
      <c r="AZ180" s="16">
        <v>599436.75</v>
      </c>
      <c r="BA180" s="16">
        <v>603783.68999999994</v>
      </c>
      <c r="BC180" s="18">
        <v>743386.31</v>
      </c>
      <c r="BD180" s="18">
        <v>649704.56000000006</v>
      </c>
    </row>
    <row r="181" spans="1:56" hidden="1">
      <c r="A181">
        <v>16701</v>
      </c>
      <c r="B181" t="s">
        <v>789</v>
      </c>
      <c r="C181" t="s">
        <v>790</v>
      </c>
      <c r="D181" t="s">
        <v>791</v>
      </c>
      <c r="F181" t="s">
        <v>792</v>
      </c>
      <c r="G181">
        <v>19.408999999999999</v>
      </c>
      <c r="H181" t="s">
        <v>58</v>
      </c>
      <c r="I181">
        <v>2</v>
      </c>
      <c r="J181">
        <v>3</v>
      </c>
      <c r="K181">
        <v>0</v>
      </c>
      <c r="L181">
        <v>7.45</v>
      </c>
      <c r="M181">
        <v>17688</v>
      </c>
      <c r="N181">
        <v>11</v>
      </c>
      <c r="O181">
        <v>1</v>
      </c>
      <c r="P181">
        <v>1</v>
      </c>
      <c r="Q181">
        <v>1</v>
      </c>
      <c r="R181">
        <v>1</v>
      </c>
      <c r="S181">
        <v>2</v>
      </c>
      <c r="T181">
        <v>2</v>
      </c>
      <c r="U181">
        <v>1</v>
      </c>
      <c r="V181">
        <v>1</v>
      </c>
      <c r="W181">
        <v>1</v>
      </c>
      <c r="AD181">
        <v>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1309864.8799999999</v>
      </c>
      <c r="AM181">
        <v>1566276.75</v>
      </c>
      <c r="AT181" s="11">
        <v>1309864.8799999999</v>
      </c>
      <c r="AU181" s="11">
        <v>1625652.5</v>
      </c>
      <c r="AW181" s="14">
        <v>374615.16</v>
      </c>
      <c r="AX181" s="14">
        <v>360097.09</v>
      </c>
      <c r="AZ181" s="16">
        <v>278828.78000000003</v>
      </c>
      <c r="BA181" s="16">
        <v>249615.83</v>
      </c>
      <c r="BC181" s="18">
        <v>274135.90999999997</v>
      </c>
      <c r="BD181" s="18">
        <v>275347</v>
      </c>
    </row>
    <row r="182" spans="1:56" hidden="1">
      <c r="A182">
        <v>16776</v>
      </c>
      <c r="B182" t="s">
        <v>793</v>
      </c>
      <c r="C182" t="s">
        <v>794</v>
      </c>
      <c r="D182" t="s">
        <v>795</v>
      </c>
      <c r="F182" t="s">
        <v>796</v>
      </c>
      <c r="G182">
        <v>19.277999999999999</v>
      </c>
      <c r="H182" t="s">
        <v>58</v>
      </c>
      <c r="I182">
        <v>2</v>
      </c>
      <c r="J182">
        <v>3</v>
      </c>
      <c r="K182">
        <v>0</v>
      </c>
      <c r="L182">
        <v>1.45</v>
      </c>
      <c r="M182">
        <v>80430</v>
      </c>
      <c r="N182">
        <v>49</v>
      </c>
      <c r="O182">
        <v>1</v>
      </c>
      <c r="P182">
        <v>1</v>
      </c>
      <c r="Q182">
        <v>1</v>
      </c>
      <c r="R182">
        <v>1</v>
      </c>
      <c r="S182">
        <v>2</v>
      </c>
      <c r="T182">
        <v>2</v>
      </c>
      <c r="U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0</v>
      </c>
      <c r="AE182">
        <v>0</v>
      </c>
      <c r="AF182">
        <v>0</v>
      </c>
      <c r="AG182">
        <v>2</v>
      </c>
      <c r="AH182">
        <v>0</v>
      </c>
      <c r="AI182">
        <v>0</v>
      </c>
      <c r="AJ182">
        <v>0</v>
      </c>
      <c r="AK182">
        <v>0</v>
      </c>
      <c r="AN182">
        <v>1821369.25</v>
      </c>
      <c r="AO182">
        <v>2420361</v>
      </c>
      <c r="AP182">
        <v>687465.31</v>
      </c>
      <c r="AQ182">
        <v>881891.06</v>
      </c>
      <c r="AR182">
        <v>644748.12</v>
      </c>
      <c r="AS182">
        <v>636100.93999999994</v>
      </c>
      <c r="AT182" s="11">
        <v>99934.65</v>
      </c>
      <c r="AU182" s="11">
        <v>151704.31</v>
      </c>
      <c r="AW182" s="14">
        <v>1283042.8799999999</v>
      </c>
      <c r="AX182" s="14">
        <v>1223069.1200000001</v>
      </c>
      <c r="AZ182" s="16">
        <v>589359.06000000006</v>
      </c>
      <c r="BA182" s="16">
        <v>916762.38</v>
      </c>
      <c r="BC182" s="18">
        <v>543860.18999999994</v>
      </c>
      <c r="BD182" s="18">
        <v>499706.66</v>
      </c>
    </row>
    <row r="183" spans="1:56" hidden="1">
      <c r="A183">
        <v>16843</v>
      </c>
      <c r="B183" t="s">
        <v>797</v>
      </c>
      <c r="C183" t="s">
        <v>798</v>
      </c>
      <c r="D183" t="s">
        <v>799</v>
      </c>
      <c r="F183" t="s">
        <v>800</v>
      </c>
      <c r="G183">
        <v>19.119</v>
      </c>
      <c r="H183" t="s">
        <v>58</v>
      </c>
      <c r="I183">
        <v>2</v>
      </c>
      <c r="J183">
        <v>2</v>
      </c>
      <c r="K183">
        <v>0</v>
      </c>
      <c r="L183">
        <v>6.45</v>
      </c>
      <c r="M183">
        <v>21886</v>
      </c>
      <c r="N183">
        <v>13</v>
      </c>
      <c r="O183">
        <v>1</v>
      </c>
      <c r="P183">
        <v>1</v>
      </c>
      <c r="Q183">
        <v>1</v>
      </c>
      <c r="R183">
        <v>1</v>
      </c>
      <c r="S183">
        <v>2</v>
      </c>
      <c r="T183">
        <v>2</v>
      </c>
      <c r="U183">
        <v>1</v>
      </c>
      <c r="V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0</v>
      </c>
      <c r="AE183">
        <v>0</v>
      </c>
      <c r="AF183">
        <v>1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799774.38</v>
      </c>
      <c r="AN183">
        <v>1869034.25</v>
      </c>
      <c r="AO183">
        <v>2031977.12</v>
      </c>
      <c r="AP183">
        <v>924808.06</v>
      </c>
      <c r="AQ183">
        <v>906888.5</v>
      </c>
      <c r="AR183">
        <v>466887.38</v>
      </c>
      <c r="AS183">
        <v>923658.31</v>
      </c>
      <c r="AT183" s="11">
        <v>799774.38</v>
      </c>
      <c r="AU183" s="11">
        <v>151704.31</v>
      </c>
      <c r="AW183" s="14">
        <v>893105.19</v>
      </c>
      <c r="AX183" s="14">
        <v>679918.19</v>
      </c>
      <c r="AZ183" s="16">
        <v>558299.43999999994</v>
      </c>
      <c r="BA183" s="16">
        <v>497915.97</v>
      </c>
      <c r="BC183" s="18">
        <v>238278.75</v>
      </c>
      <c r="BD183" s="18">
        <v>423697.38</v>
      </c>
    </row>
    <row r="184" spans="1:56" hidden="1">
      <c r="A184">
        <v>16665</v>
      </c>
      <c r="B184" t="s">
        <v>801</v>
      </c>
      <c r="C184" t="s">
        <v>802</v>
      </c>
      <c r="D184" t="s">
        <v>803</v>
      </c>
      <c r="F184" t="s">
        <v>804</v>
      </c>
      <c r="G184">
        <v>19.073</v>
      </c>
      <c r="H184" t="s">
        <v>58</v>
      </c>
      <c r="I184">
        <v>2</v>
      </c>
      <c r="J184">
        <v>19</v>
      </c>
      <c r="K184">
        <v>0</v>
      </c>
      <c r="L184">
        <v>5.62</v>
      </c>
      <c r="M184">
        <v>34841</v>
      </c>
      <c r="N184">
        <v>19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1577799.62</v>
      </c>
      <c r="AM184">
        <v>1650598.38</v>
      </c>
      <c r="AN184">
        <v>1878519.12</v>
      </c>
      <c r="AO184">
        <v>1478787.75</v>
      </c>
      <c r="AP184">
        <v>1198856.6200000001</v>
      </c>
      <c r="AQ184">
        <v>740008.44</v>
      </c>
      <c r="AT184" s="11">
        <v>1577799.62</v>
      </c>
      <c r="AU184" s="11">
        <v>1713170.62</v>
      </c>
      <c r="AW184" s="14">
        <v>897637.44</v>
      </c>
      <c r="AX184" s="14">
        <v>494815.97</v>
      </c>
      <c r="AZ184" s="16">
        <v>723740.38</v>
      </c>
      <c r="BA184" s="16">
        <v>406292.53</v>
      </c>
      <c r="BC184" s="18">
        <v>274135.90999999997</v>
      </c>
      <c r="BD184" s="18">
        <v>275347</v>
      </c>
    </row>
    <row r="185" spans="1:56" hidden="1">
      <c r="A185">
        <v>16709</v>
      </c>
      <c r="B185" t="s">
        <v>805</v>
      </c>
      <c r="C185" t="s">
        <v>806</v>
      </c>
      <c r="D185" t="s">
        <v>807</v>
      </c>
      <c r="F185" t="s">
        <v>808</v>
      </c>
      <c r="G185">
        <v>18.931000000000001</v>
      </c>
      <c r="H185" t="s">
        <v>58</v>
      </c>
      <c r="I185">
        <v>2</v>
      </c>
      <c r="J185">
        <v>9</v>
      </c>
      <c r="K185">
        <v>0</v>
      </c>
      <c r="L185">
        <v>3.85</v>
      </c>
      <c r="M185">
        <v>71447</v>
      </c>
      <c r="N185">
        <v>40</v>
      </c>
      <c r="O185">
        <v>2</v>
      </c>
      <c r="P185">
        <v>2</v>
      </c>
      <c r="Q185">
        <v>2</v>
      </c>
      <c r="R185">
        <v>2</v>
      </c>
      <c r="S185">
        <v>4</v>
      </c>
      <c r="T185">
        <v>4</v>
      </c>
      <c r="U185">
        <v>2</v>
      </c>
      <c r="V185">
        <v>2</v>
      </c>
      <c r="W185">
        <v>2</v>
      </c>
      <c r="X185">
        <v>2</v>
      </c>
      <c r="Y185">
        <v>2</v>
      </c>
      <c r="Z185">
        <v>1</v>
      </c>
      <c r="AA185">
        <v>1</v>
      </c>
      <c r="AB185">
        <v>1</v>
      </c>
      <c r="AC185">
        <v>1</v>
      </c>
      <c r="AD185">
        <v>0</v>
      </c>
      <c r="AE185">
        <v>0</v>
      </c>
      <c r="AF185">
        <v>2</v>
      </c>
      <c r="AG185">
        <v>2</v>
      </c>
      <c r="AH185">
        <v>1</v>
      </c>
      <c r="AI185">
        <v>1</v>
      </c>
      <c r="AJ185">
        <v>1</v>
      </c>
      <c r="AK185">
        <v>1</v>
      </c>
      <c r="AL185">
        <v>227871616</v>
      </c>
      <c r="AM185">
        <v>214239584</v>
      </c>
      <c r="AN185">
        <v>16634864</v>
      </c>
      <c r="AO185">
        <v>17619286</v>
      </c>
      <c r="AP185">
        <v>523810.59</v>
      </c>
      <c r="AQ185">
        <v>459283</v>
      </c>
      <c r="AR185">
        <v>472658.62</v>
      </c>
      <c r="AS185">
        <v>494888.25</v>
      </c>
      <c r="AT185" s="11">
        <v>57110484</v>
      </c>
      <c r="AU185" s="11">
        <v>82526104</v>
      </c>
      <c r="AW185" s="14">
        <v>84981608</v>
      </c>
      <c r="AX185" s="14">
        <v>59370160</v>
      </c>
      <c r="AZ185" s="16">
        <v>34378652</v>
      </c>
      <c r="BA185" s="16">
        <v>27416276</v>
      </c>
      <c r="BC185" s="18">
        <v>26241288</v>
      </c>
      <c r="BD185" s="18">
        <v>24679158</v>
      </c>
    </row>
    <row r="186" spans="1:56" hidden="1">
      <c r="A186">
        <v>16791</v>
      </c>
      <c r="B186" t="s">
        <v>809</v>
      </c>
      <c r="C186" t="s">
        <v>810</v>
      </c>
      <c r="D186" t="s">
        <v>811</v>
      </c>
      <c r="F186" t="s">
        <v>812</v>
      </c>
      <c r="G186">
        <v>18.64</v>
      </c>
      <c r="H186" t="s">
        <v>58</v>
      </c>
      <c r="I186">
        <v>2</v>
      </c>
      <c r="J186">
        <v>20</v>
      </c>
      <c r="K186">
        <v>0</v>
      </c>
      <c r="L186">
        <v>11.43</v>
      </c>
      <c r="M186">
        <v>7870</v>
      </c>
      <c r="N186">
        <v>5</v>
      </c>
      <c r="O186">
        <v>2</v>
      </c>
      <c r="P186">
        <v>2</v>
      </c>
      <c r="Q186">
        <v>2</v>
      </c>
      <c r="R186">
        <v>2</v>
      </c>
      <c r="S186">
        <v>44</v>
      </c>
      <c r="T186">
        <v>44</v>
      </c>
      <c r="U186">
        <v>2</v>
      </c>
      <c r="V186">
        <v>1</v>
      </c>
      <c r="W186">
        <v>1</v>
      </c>
      <c r="X186">
        <v>1</v>
      </c>
      <c r="Y186">
        <v>2</v>
      </c>
      <c r="Z186">
        <v>2</v>
      </c>
      <c r="AA186">
        <v>2</v>
      </c>
      <c r="AB186">
        <v>2</v>
      </c>
      <c r="AC186">
        <v>2</v>
      </c>
      <c r="AD186">
        <v>4</v>
      </c>
      <c r="AE186">
        <v>6</v>
      </c>
      <c r="AF186">
        <v>6</v>
      </c>
      <c r="AG186">
        <v>6</v>
      </c>
      <c r="AH186">
        <v>7</v>
      </c>
      <c r="AI186">
        <v>8</v>
      </c>
      <c r="AJ186">
        <v>7</v>
      </c>
      <c r="AK186">
        <v>4</v>
      </c>
      <c r="AL186">
        <v>127400472</v>
      </c>
      <c r="AM186">
        <v>102388120</v>
      </c>
      <c r="AN186">
        <v>195913872</v>
      </c>
      <c r="AO186">
        <v>327696896</v>
      </c>
      <c r="AP186">
        <v>112116728</v>
      </c>
      <c r="AQ186">
        <v>117524776</v>
      </c>
      <c r="AR186">
        <v>128747592</v>
      </c>
      <c r="AS186">
        <v>97739120</v>
      </c>
      <c r="AT186" s="11">
        <v>1037102.69</v>
      </c>
      <c r="AU186" s="11">
        <v>680064.94</v>
      </c>
      <c r="AW186" s="14">
        <v>390653.75</v>
      </c>
      <c r="AX186" s="14">
        <v>179552544</v>
      </c>
      <c r="AZ186" s="16">
        <v>128905032</v>
      </c>
      <c r="BA186" s="16">
        <v>120545392</v>
      </c>
      <c r="BC186" s="18">
        <v>113488920</v>
      </c>
      <c r="BD186" s="18">
        <v>80332944</v>
      </c>
    </row>
    <row r="187" spans="1:56" hidden="1">
      <c r="A187">
        <v>16862</v>
      </c>
      <c r="B187" t="s">
        <v>813</v>
      </c>
      <c r="C187" t="s">
        <v>814</v>
      </c>
      <c r="D187" t="s">
        <v>815</v>
      </c>
      <c r="F187" t="s">
        <v>816</v>
      </c>
      <c r="G187">
        <v>18.247</v>
      </c>
      <c r="H187" t="s">
        <v>58</v>
      </c>
      <c r="I187">
        <v>2</v>
      </c>
      <c r="J187">
        <v>2</v>
      </c>
      <c r="K187">
        <v>0</v>
      </c>
      <c r="L187">
        <v>5.26</v>
      </c>
      <c r="M187">
        <v>31453</v>
      </c>
      <c r="N187">
        <v>4</v>
      </c>
      <c r="O187">
        <v>1</v>
      </c>
      <c r="P187">
        <v>1</v>
      </c>
      <c r="Q187">
        <v>1</v>
      </c>
      <c r="R187">
        <v>1</v>
      </c>
      <c r="S187">
        <v>7</v>
      </c>
      <c r="T187">
        <v>7</v>
      </c>
      <c r="U187">
        <v>1</v>
      </c>
      <c r="V187">
        <v>1</v>
      </c>
      <c r="W187">
        <v>1</v>
      </c>
      <c r="Y187">
        <v>1</v>
      </c>
      <c r="AB187">
        <v>1</v>
      </c>
      <c r="AC187">
        <v>1</v>
      </c>
      <c r="AD187">
        <v>0</v>
      </c>
      <c r="AE187">
        <v>0</v>
      </c>
      <c r="AF187">
        <v>0</v>
      </c>
      <c r="AG187">
        <v>6</v>
      </c>
      <c r="AH187">
        <v>0</v>
      </c>
      <c r="AI187">
        <v>0</v>
      </c>
      <c r="AJ187">
        <v>1</v>
      </c>
      <c r="AK187">
        <v>1</v>
      </c>
      <c r="AL187">
        <v>843347.88</v>
      </c>
      <c r="AM187">
        <v>635444.12</v>
      </c>
      <c r="AO187">
        <v>9379704</v>
      </c>
      <c r="AR187">
        <v>2352990</v>
      </c>
      <c r="AS187">
        <v>3654254</v>
      </c>
      <c r="AT187" s="11">
        <v>230540.2</v>
      </c>
      <c r="AU187" s="11">
        <v>151500.23000000001</v>
      </c>
      <c r="AW187" s="14">
        <v>374615.16</v>
      </c>
      <c r="AX187" s="14">
        <v>3994735.75</v>
      </c>
      <c r="AZ187" s="16">
        <v>278828.78000000003</v>
      </c>
      <c r="BA187" s="16">
        <v>249615.83</v>
      </c>
      <c r="BC187" s="18">
        <v>1696086.5</v>
      </c>
      <c r="BD187" s="18">
        <v>2018069.38</v>
      </c>
    </row>
    <row r="188" spans="1:56" hidden="1">
      <c r="A188">
        <v>16759</v>
      </c>
      <c r="B188" t="s">
        <v>817</v>
      </c>
      <c r="C188" t="s">
        <v>818</v>
      </c>
      <c r="D188" t="s">
        <v>819</v>
      </c>
      <c r="F188" t="s">
        <v>820</v>
      </c>
      <c r="G188">
        <v>17.940999999999999</v>
      </c>
      <c r="H188" t="s">
        <v>58</v>
      </c>
      <c r="I188">
        <v>2</v>
      </c>
      <c r="J188">
        <v>21</v>
      </c>
      <c r="K188">
        <v>0</v>
      </c>
      <c r="L188">
        <v>11.54</v>
      </c>
      <c r="M188">
        <v>20605</v>
      </c>
      <c r="N188">
        <v>12</v>
      </c>
      <c r="O188">
        <v>2</v>
      </c>
      <c r="P188">
        <v>2</v>
      </c>
      <c r="Q188">
        <v>2</v>
      </c>
      <c r="R188">
        <v>2</v>
      </c>
      <c r="S188">
        <v>3</v>
      </c>
      <c r="T188">
        <v>3</v>
      </c>
      <c r="U188">
        <v>1</v>
      </c>
      <c r="V188">
        <v>1</v>
      </c>
      <c r="W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1</v>
      </c>
      <c r="AL188">
        <v>1065575.5</v>
      </c>
      <c r="AM188">
        <v>1029503.06</v>
      </c>
      <c r="AO188">
        <v>2321838.5</v>
      </c>
      <c r="AP188">
        <v>906061.06</v>
      </c>
      <c r="AQ188">
        <v>866503.69</v>
      </c>
      <c r="AR188">
        <v>877612.75</v>
      </c>
      <c r="AS188">
        <v>1055965.1200000001</v>
      </c>
      <c r="AT188" s="11">
        <v>1065575.5</v>
      </c>
      <c r="AU188" s="11">
        <v>1068530.3799999999</v>
      </c>
      <c r="AW188" s="14">
        <v>374615.16</v>
      </c>
      <c r="AX188" s="14">
        <v>776908.44</v>
      </c>
      <c r="AZ188" s="16">
        <v>546982</v>
      </c>
      <c r="BA188" s="16">
        <v>475743.22</v>
      </c>
      <c r="BC188" s="18">
        <v>447894.88</v>
      </c>
      <c r="BD188" s="18">
        <v>484388.66</v>
      </c>
    </row>
    <row r="189" spans="1:56" hidden="1">
      <c r="A189">
        <v>16727</v>
      </c>
      <c r="B189" t="s">
        <v>821</v>
      </c>
      <c r="C189" t="s">
        <v>822</v>
      </c>
      <c r="D189" t="s">
        <v>821</v>
      </c>
      <c r="F189" t="s">
        <v>823</v>
      </c>
      <c r="G189">
        <v>17.056000000000001</v>
      </c>
      <c r="H189" t="s">
        <v>58</v>
      </c>
      <c r="I189">
        <v>2</v>
      </c>
      <c r="J189">
        <v>1</v>
      </c>
      <c r="K189">
        <v>0</v>
      </c>
      <c r="L189">
        <v>4.6399999999999997</v>
      </c>
      <c r="M189">
        <v>51192</v>
      </c>
      <c r="N189">
        <v>28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X189">
        <v>1</v>
      </c>
      <c r="Y189">
        <v>1</v>
      </c>
      <c r="Z189">
        <v>1</v>
      </c>
      <c r="AA189">
        <v>1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N189">
        <v>1159532.6200000001</v>
      </c>
      <c r="AO189">
        <v>1172029.25</v>
      </c>
      <c r="AP189">
        <v>973037.06</v>
      </c>
      <c r="AQ189">
        <v>711535.81</v>
      </c>
      <c r="AS189">
        <v>986346.25</v>
      </c>
      <c r="AT189" s="11">
        <v>99934.65</v>
      </c>
      <c r="AU189" s="11">
        <v>151704.31</v>
      </c>
      <c r="AW189" s="14">
        <v>554074.68999999994</v>
      </c>
      <c r="AX189" s="14">
        <v>392171.72</v>
      </c>
      <c r="AZ189" s="16">
        <v>587414.88</v>
      </c>
      <c r="BA189" s="16">
        <v>390660</v>
      </c>
      <c r="BC189" s="18">
        <v>274135.90999999997</v>
      </c>
      <c r="BD189" s="18">
        <v>452453.34</v>
      </c>
    </row>
    <row r="190" spans="1:56" hidden="1">
      <c r="A190">
        <v>16806</v>
      </c>
      <c r="B190" t="s">
        <v>824</v>
      </c>
      <c r="C190" t="s">
        <v>825</v>
      </c>
      <c r="D190" t="s">
        <v>826</v>
      </c>
      <c r="F190" t="s">
        <v>827</v>
      </c>
      <c r="G190">
        <v>16.315000000000001</v>
      </c>
      <c r="H190" t="s">
        <v>58</v>
      </c>
      <c r="I190">
        <v>2</v>
      </c>
      <c r="J190">
        <v>3</v>
      </c>
      <c r="K190">
        <v>0</v>
      </c>
      <c r="L190">
        <v>10.57</v>
      </c>
      <c r="M190">
        <v>28203</v>
      </c>
      <c r="N190">
        <v>18</v>
      </c>
      <c r="O190">
        <v>2</v>
      </c>
      <c r="P190">
        <v>2</v>
      </c>
      <c r="Q190">
        <v>2</v>
      </c>
      <c r="R190">
        <v>2</v>
      </c>
      <c r="S190">
        <v>3</v>
      </c>
      <c r="T190">
        <v>3</v>
      </c>
      <c r="U190">
        <v>2</v>
      </c>
      <c r="W190">
        <v>1</v>
      </c>
      <c r="X190">
        <v>1</v>
      </c>
      <c r="Y190">
        <v>2</v>
      </c>
      <c r="Z190">
        <v>1</v>
      </c>
      <c r="AA190">
        <v>1</v>
      </c>
      <c r="AB190">
        <v>2</v>
      </c>
      <c r="AC190">
        <v>1</v>
      </c>
      <c r="AD190">
        <v>0</v>
      </c>
      <c r="AE190">
        <v>0</v>
      </c>
      <c r="AF190">
        <v>0</v>
      </c>
      <c r="AG190">
        <v>2</v>
      </c>
      <c r="AH190">
        <v>0</v>
      </c>
      <c r="AI190">
        <v>1</v>
      </c>
      <c r="AJ190">
        <v>0</v>
      </c>
      <c r="AK190">
        <v>0</v>
      </c>
      <c r="AM190">
        <v>461477.75</v>
      </c>
      <c r="AN190">
        <v>1264990.75</v>
      </c>
      <c r="AO190">
        <v>2727538.75</v>
      </c>
      <c r="AP190">
        <v>457610.75</v>
      </c>
      <c r="AQ190">
        <v>1050023.3799999999</v>
      </c>
      <c r="AR190">
        <v>1143210.1200000001</v>
      </c>
      <c r="AS190">
        <v>915890</v>
      </c>
      <c r="AT190" s="11">
        <v>99934.65</v>
      </c>
      <c r="AU190" s="11">
        <v>151871.28</v>
      </c>
      <c r="AW190" s="14">
        <v>143339.22</v>
      </c>
      <c r="AX190" s="14">
        <v>1270942.5</v>
      </c>
      <c r="AZ190" s="16">
        <v>112417.63</v>
      </c>
      <c r="BA190" s="16">
        <v>210750.84</v>
      </c>
      <c r="BC190" s="18">
        <v>1645051</v>
      </c>
      <c r="BD190" s="18">
        <v>223590.84</v>
      </c>
    </row>
    <row r="191" spans="1:56" hidden="1">
      <c r="A191">
        <v>16831</v>
      </c>
      <c r="B191" t="s">
        <v>828</v>
      </c>
      <c r="C191" t="s">
        <v>829</v>
      </c>
      <c r="D191" t="s">
        <v>830</v>
      </c>
      <c r="F191" t="s">
        <v>831</v>
      </c>
      <c r="G191">
        <v>14.75</v>
      </c>
      <c r="H191" t="s">
        <v>58</v>
      </c>
      <c r="I191">
        <v>2</v>
      </c>
      <c r="J191">
        <v>2</v>
      </c>
      <c r="K191">
        <v>0</v>
      </c>
      <c r="L191">
        <v>3.64</v>
      </c>
      <c r="M191">
        <v>32730</v>
      </c>
      <c r="N191">
        <v>19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N191">
        <v>501104.84</v>
      </c>
      <c r="AO191">
        <v>843894.31</v>
      </c>
      <c r="AP191">
        <v>425144.5</v>
      </c>
      <c r="AQ191">
        <v>415432.75</v>
      </c>
      <c r="AR191">
        <v>381300.16</v>
      </c>
      <c r="AT191" s="11">
        <v>99934.65</v>
      </c>
      <c r="AU191" s="11">
        <v>151704.31</v>
      </c>
      <c r="AW191" s="14">
        <v>239449.48</v>
      </c>
      <c r="AX191" s="14">
        <v>282374.78000000003</v>
      </c>
      <c r="AZ191" s="16">
        <v>256656.41</v>
      </c>
      <c r="BA191" s="16">
        <v>228088.23</v>
      </c>
      <c r="BC191" s="18">
        <v>194598.81</v>
      </c>
      <c r="BD191" s="18">
        <v>275347</v>
      </c>
    </row>
    <row r="192" spans="1:56" hidden="1">
      <c r="A192">
        <v>16723</v>
      </c>
      <c r="B192" t="s">
        <v>832</v>
      </c>
      <c r="C192" t="s">
        <v>833</v>
      </c>
      <c r="D192" t="s">
        <v>834</v>
      </c>
      <c r="F192" t="s">
        <v>835</v>
      </c>
      <c r="G192">
        <v>13.887</v>
      </c>
      <c r="H192" t="s">
        <v>58</v>
      </c>
      <c r="I192">
        <v>2</v>
      </c>
      <c r="J192">
        <v>20</v>
      </c>
      <c r="K192">
        <v>0</v>
      </c>
      <c r="L192">
        <v>6.83</v>
      </c>
      <c r="M192">
        <v>17360</v>
      </c>
      <c r="N192">
        <v>6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C192">
        <v>1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952996.81</v>
      </c>
      <c r="AM192">
        <v>1070348.1200000001</v>
      </c>
      <c r="AN192">
        <v>1017293.94</v>
      </c>
      <c r="AO192">
        <v>1378773.25</v>
      </c>
      <c r="AP192">
        <v>529692.12</v>
      </c>
      <c r="AQ192">
        <v>453723.75</v>
      </c>
      <c r="AS192">
        <v>616923.06000000006</v>
      </c>
      <c r="AT192" s="11">
        <v>952996.81</v>
      </c>
      <c r="AU192" s="11">
        <v>1110923.8799999999</v>
      </c>
      <c r="AW192" s="14">
        <v>486106.91</v>
      </c>
      <c r="AX192" s="14">
        <v>461350.19</v>
      </c>
      <c r="AZ192" s="16">
        <v>319771</v>
      </c>
      <c r="BA192" s="16">
        <v>249111.45</v>
      </c>
      <c r="BC192" s="18">
        <v>274135.90999999997</v>
      </c>
      <c r="BD192" s="18">
        <v>282992.81</v>
      </c>
    </row>
    <row r="193" spans="1:56" hidden="1">
      <c r="A193">
        <v>16844</v>
      </c>
      <c r="B193" t="s">
        <v>836</v>
      </c>
      <c r="C193" t="s">
        <v>837</v>
      </c>
      <c r="D193" t="s">
        <v>836</v>
      </c>
      <c r="F193" t="s">
        <v>838</v>
      </c>
      <c r="G193">
        <v>13.419</v>
      </c>
      <c r="H193" t="s">
        <v>58</v>
      </c>
      <c r="I193">
        <v>2</v>
      </c>
      <c r="J193">
        <v>1</v>
      </c>
      <c r="K193">
        <v>0</v>
      </c>
      <c r="L193">
        <v>4.88</v>
      </c>
      <c r="M193">
        <v>27797</v>
      </c>
      <c r="N193">
        <v>14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1</v>
      </c>
      <c r="AN193">
        <v>593552.31000000006</v>
      </c>
      <c r="AO193">
        <v>662546.38</v>
      </c>
      <c r="AP193">
        <v>289420.5</v>
      </c>
      <c r="AQ193">
        <v>444718.66</v>
      </c>
      <c r="AR193">
        <v>286749.53000000003</v>
      </c>
      <c r="AS193">
        <v>412964.97</v>
      </c>
      <c r="AT193" s="11">
        <v>99934.65</v>
      </c>
      <c r="AU193" s="11">
        <v>151704.31</v>
      </c>
      <c r="AW193" s="14">
        <v>283624.90999999997</v>
      </c>
      <c r="AX193" s="14">
        <v>221694.09</v>
      </c>
      <c r="AZ193" s="16">
        <v>174720.89</v>
      </c>
      <c r="BA193" s="16">
        <v>244167.3</v>
      </c>
      <c r="BC193" s="18">
        <v>146344.32999999999</v>
      </c>
      <c r="BD193" s="18">
        <v>189433.86</v>
      </c>
    </row>
    <row r="194" spans="1:56" hidden="1">
      <c r="A194">
        <v>16755</v>
      </c>
      <c r="B194" t="s">
        <v>839</v>
      </c>
      <c r="C194" t="s">
        <v>840</v>
      </c>
      <c r="D194" t="s">
        <v>841</v>
      </c>
      <c r="F194" t="s">
        <v>842</v>
      </c>
      <c r="G194">
        <v>12.491</v>
      </c>
      <c r="H194" t="s">
        <v>58</v>
      </c>
      <c r="I194">
        <v>2</v>
      </c>
      <c r="J194">
        <v>2</v>
      </c>
      <c r="K194">
        <v>0</v>
      </c>
      <c r="L194">
        <v>3.18</v>
      </c>
      <c r="M194">
        <v>37389</v>
      </c>
      <c r="N194">
        <v>14</v>
      </c>
      <c r="O194">
        <v>1</v>
      </c>
      <c r="P194">
        <v>1</v>
      </c>
      <c r="Q194">
        <v>1</v>
      </c>
      <c r="R194">
        <v>1</v>
      </c>
      <c r="S194">
        <v>3</v>
      </c>
      <c r="T194">
        <v>3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0</v>
      </c>
      <c r="AE194">
        <v>0</v>
      </c>
      <c r="AF194">
        <v>1</v>
      </c>
      <c r="AG194">
        <v>1</v>
      </c>
      <c r="AH194">
        <v>0</v>
      </c>
      <c r="AI194">
        <v>1</v>
      </c>
      <c r="AJ194">
        <v>0</v>
      </c>
      <c r="AK194">
        <v>0</v>
      </c>
      <c r="AL194">
        <v>559103.5</v>
      </c>
      <c r="AM194">
        <v>350763.81</v>
      </c>
      <c r="AN194">
        <v>1213961.5</v>
      </c>
      <c r="AO194">
        <v>1540407.38</v>
      </c>
      <c r="AP194">
        <v>641012.5</v>
      </c>
      <c r="AQ194">
        <v>895949.56</v>
      </c>
      <c r="AR194">
        <v>661868.38</v>
      </c>
      <c r="AS194">
        <v>647693</v>
      </c>
      <c r="AT194" s="11">
        <v>559103.5</v>
      </c>
      <c r="AU194" s="11">
        <v>364060.84</v>
      </c>
      <c r="AW194" s="14">
        <v>580083.12</v>
      </c>
      <c r="AX194" s="14">
        <v>515434.44</v>
      </c>
      <c r="AZ194" s="16">
        <v>386974.25</v>
      </c>
      <c r="BA194" s="16">
        <v>491910.09</v>
      </c>
      <c r="BC194" s="18">
        <v>337788.47</v>
      </c>
      <c r="BD194" s="18">
        <v>297107.5</v>
      </c>
    </row>
    <row r="195" spans="1:56" hidden="1">
      <c r="A195">
        <v>16711</v>
      </c>
      <c r="B195" t="s">
        <v>843</v>
      </c>
      <c r="C195" t="s">
        <v>844</v>
      </c>
      <c r="D195" t="s">
        <v>845</v>
      </c>
      <c r="F195" t="s">
        <v>846</v>
      </c>
      <c r="G195">
        <v>12.438000000000001</v>
      </c>
      <c r="H195" t="s">
        <v>58</v>
      </c>
      <c r="I195">
        <v>2</v>
      </c>
      <c r="J195">
        <v>19</v>
      </c>
      <c r="K195">
        <v>0</v>
      </c>
      <c r="L195">
        <v>6.23</v>
      </c>
      <c r="M195">
        <v>37972</v>
      </c>
      <c r="N195">
        <v>21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1</v>
      </c>
      <c r="AA195">
        <v>1</v>
      </c>
      <c r="AB195">
        <v>2</v>
      </c>
      <c r="AC195">
        <v>2</v>
      </c>
      <c r="AD195">
        <v>0</v>
      </c>
      <c r="AE195">
        <v>0</v>
      </c>
      <c r="AF195">
        <v>1</v>
      </c>
      <c r="AG195">
        <v>2</v>
      </c>
      <c r="AH195">
        <v>0</v>
      </c>
      <c r="AI195">
        <v>0</v>
      </c>
      <c r="AJ195">
        <v>0</v>
      </c>
      <c r="AK195">
        <v>0</v>
      </c>
      <c r="AL195">
        <v>627066.88</v>
      </c>
      <c r="AM195">
        <v>590824.31000000006</v>
      </c>
      <c r="AN195">
        <v>2220470.75</v>
      </c>
      <c r="AO195">
        <v>2772021</v>
      </c>
      <c r="AP195">
        <v>482583.72</v>
      </c>
      <c r="AQ195">
        <v>598249.75</v>
      </c>
      <c r="AR195">
        <v>839941.25</v>
      </c>
      <c r="AS195">
        <v>978458.88</v>
      </c>
      <c r="AT195" s="11">
        <v>586254.93999999994</v>
      </c>
      <c r="AU195" s="11">
        <v>563630.68999999994</v>
      </c>
      <c r="AW195" s="14">
        <v>988714.69</v>
      </c>
      <c r="AX195" s="14">
        <v>844469.75</v>
      </c>
      <c r="AZ195" s="16">
        <v>121750.62</v>
      </c>
      <c r="BA195" s="16">
        <v>132782.20000000001</v>
      </c>
      <c r="BC195" s="18">
        <v>699156.75</v>
      </c>
      <c r="BD195" s="18">
        <v>760112.81</v>
      </c>
    </row>
    <row r="196" spans="1:56" hidden="1">
      <c r="A196">
        <v>16762</v>
      </c>
      <c r="B196" t="s">
        <v>847</v>
      </c>
      <c r="C196" t="s">
        <v>848</v>
      </c>
      <c r="D196" t="s">
        <v>849</v>
      </c>
      <c r="F196" t="s">
        <v>850</v>
      </c>
      <c r="G196">
        <v>11.132</v>
      </c>
      <c r="H196" t="s">
        <v>58</v>
      </c>
      <c r="I196">
        <v>2</v>
      </c>
      <c r="J196">
        <v>19</v>
      </c>
      <c r="K196">
        <v>0</v>
      </c>
      <c r="L196">
        <v>4.96</v>
      </c>
      <c r="M196">
        <v>42363</v>
      </c>
      <c r="N196">
        <v>18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>
        <v>2</v>
      </c>
      <c r="V196">
        <v>1</v>
      </c>
      <c r="W196">
        <v>2</v>
      </c>
      <c r="X196">
        <v>1</v>
      </c>
      <c r="Y196">
        <v>2</v>
      </c>
      <c r="Z196">
        <v>1</v>
      </c>
      <c r="AA196">
        <v>1</v>
      </c>
      <c r="AB196">
        <v>2</v>
      </c>
      <c r="AC196">
        <v>2</v>
      </c>
      <c r="AD196">
        <v>0</v>
      </c>
      <c r="AE196">
        <v>0</v>
      </c>
      <c r="AF196">
        <v>0</v>
      </c>
      <c r="AG196">
        <v>2</v>
      </c>
      <c r="AH196">
        <v>0</v>
      </c>
      <c r="AI196">
        <v>0</v>
      </c>
      <c r="AJ196">
        <v>0</v>
      </c>
      <c r="AK196">
        <v>1</v>
      </c>
      <c r="AL196">
        <v>51308.74</v>
      </c>
      <c r="AM196">
        <v>372479.5</v>
      </c>
      <c r="AN196">
        <v>53362.93</v>
      </c>
      <c r="AO196">
        <v>5615783</v>
      </c>
      <c r="AP196">
        <v>847713.56</v>
      </c>
      <c r="AQ196">
        <v>539961.12</v>
      </c>
      <c r="AR196">
        <v>1692292.25</v>
      </c>
      <c r="AS196">
        <v>1829131.88</v>
      </c>
      <c r="AT196" s="11">
        <v>46945.04</v>
      </c>
      <c r="AU196" s="11">
        <v>257071.86</v>
      </c>
      <c r="AW196" s="14">
        <v>21698.61</v>
      </c>
      <c r="AX196" s="14">
        <v>1320813.25</v>
      </c>
      <c r="AZ196" s="16">
        <v>128674.61</v>
      </c>
      <c r="BA196" s="16">
        <v>89316.19</v>
      </c>
      <c r="BC196" s="18">
        <v>1438560.12</v>
      </c>
      <c r="BD196" s="18">
        <v>1521378.12</v>
      </c>
    </row>
    <row r="197" spans="1:56" hidden="1">
      <c r="A197">
        <v>16774</v>
      </c>
      <c r="B197" t="s">
        <v>851</v>
      </c>
      <c r="C197" t="s">
        <v>852</v>
      </c>
      <c r="D197" t="s">
        <v>853</v>
      </c>
      <c r="F197" t="s">
        <v>854</v>
      </c>
      <c r="G197">
        <v>10.484999999999999</v>
      </c>
      <c r="H197" t="s">
        <v>58</v>
      </c>
      <c r="I197">
        <v>2</v>
      </c>
      <c r="J197">
        <v>22</v>
      </c>
      <c r="K197">
        <v>0</v>
      </c>
      <c r="L197">
        <v>1.64</v>
      </c>
      <c r="M197">
        <v>57328</v>
      </c>
      <c r="N197">
        <v>34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1</v>
      </c>
      <c r="AJ197">
        <v>0</v>
      </c>
      <c r="AK197">
        <v>1</v>
      </c>
      <c r="AL197">
        <v>693655.5</v>
      </c>
      <c r="AM197">
        <v>636614.75</v>
      </c>
      <c r="AN197">
        <v>1794133.75</v>
      </c>
      <c r="AO197">
        <v>1677711.5</v>
      </c>
      <c r="AP197">
        <v>817734.25</v>
      </c>
      <c r="AQ197">
        <v>349728.91</v>
      </c>
      <c r="AR197">
        <v>406034.38</v>
      </c>
      <c r="AS197">
        <v>816156.25</v>
      </c>
      <c r="AT197" s="11">
        <v>693655.5</v>
      </c>
      <c r="AU197" s="11">
        <v>660748.06000000006</v>
      </c>
      <c r="AW197" s="14">
        <v>857314.44</v>
      </c>
      <c r="AX197" s="14">
        <v>561377.68999999994</v>
      </c>
      <c r="AZ197" s="16">
        <v>493659.78</v>
      </c>
      <c r="BA197" s="16">
        <v>192014.36</v>
      </c>
      <c r="BC197" s="18">
        <v>207222.06</v>
      </c>
      <c r="BD197" s="18">
        <v>374384.38</v>
      </c>
    </row>
    <row r="198" spans="1:56" hidden="1">
      <c r="A198">
        <v>16867</v>
      </c>
      <c r="B198" t="s">
        <v>855</v>
      </c>
      <c r="C198" t="s">
        <v>856</v>
      </c>
      <c r="D198" t="s">
        <v>855</v>
      </c>
      <c r="F198" t="s">
        <v>857</v>
      </c>
      <c r="G198">
        <v>10.391</v>
      </c>
      <c r="H198" t="s">
        <v>58</v>
      </c>
      <c r="I198">
        <v>2</v>
      </c>
      <c r="J198">
        <v>1</v>
      </c>
      <c r="K198">
        <v>0</v>
      </c>
      <c r="L198">
        <v>8.85</v>
      </c>
      <c r="M198">
        <v>20694</v>
      </c>
      <c r="N198">
        <v>8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0</v>
      </c>
      <c r="AE198">
        <v>0</v>
      </c>
      <c r="AF198">
        <v>1</v>
      </c>
      <c r="AG198">
        <v>1</v>
      </c>
      <c r="AH198">
        <v>1</v>
      </c>
      <c r="AI198">
        <v>1</v>
      </c>
      <c r="AJ198">
        <v>0</v>
      </c>
      <c r="AK198">
        <v>0</v>
      </c>
      <c r="AL198">
        <v>961477.88</v>
      </c>
      <c r="AN198">
        <v>1767073.12</v>
      </c>
      <c r="AO198">
        <v>1401943.5</v>
      </c>
      <c r="AP198">
        <v>609480.62</v>
      </c>
      <c r="AQ198">
        <v>774621.44</v>
      </c>
      <c r="AR198">
        <v>1027803.44</v>
      </c>
      <c r="AS198">
        <v>939401.38</v>
      </c>
      <c r="AT198" s="11">
        <v>961477.88</v>
      </c>
      <c r="AU198" s="11">
        <v>151704.31</v>
      </c>
      <c r="AW198" s="14">
        <v>844383.69</v>
      </c>
      <c r="AX198" s="14">
        <v>469103.19</v>
      </c>
      <c r="AZ198" s="16">
        <v>367938.69</v>
      </c>
      <c r="BA198" s="16">
        <v>425296.41</v>
      </c>
      <c r="BC198" s="18">
        <v>524545.62</v>
      </c>
      <c r="BD198" s="18">
        <v>430918.94</v>
      </c>
    </row>
    <row r="199" spans="1:56" hidden="1">
      <c r="A199">
        <v>16811</v>
      </c>
      <c r="B199" t="s">
        <v>858</v>
      </c>
      <c r="C199" t="s">
        <v>859</v>
      </c>
      <c r="D199" t="s">
        <v>860</v>
      </c>
      <c r="F199" t="s">
        <v>861</v>
      </c>
      <c r="G199">
        <v>10.324999999999999</v>
      </c>
      <c r="H199" t="s">
        <v>58</v>
      </c>
      <c r="I199">
        <v>2</v>
      </c>
      <c r="J199">
        <v>3</v>
      </c>
      <c r="K199">
        <v>0</v>
      </c>
      <c r="L199">
        <v>1.93</v>
      </c>
      <c r="M199">
        <v>52667</v>
      </c>
      <c r="N199">
        <v>26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1371500.5</v>
      </c>
      <c r="AM199">
        <v>1525312.5</v>
      </c>
      <c r="AN199">
        <v>965119.38</v>
      </c>
      <c r="AO199">
        <v>1469976.25</v>
      </c>
      <c r="AP199">
        <v>1089235.25</v>
      </c>
      <c r="AQ199">
        <v>1121270.5</v>
      </c>
      <c r="AR199">
        <v>555266.68999999994</v>
      </c>
      <c r="AS199">
        <v>359680.69</v>
      </c>
      <c r="AT199" s="11">
        <v>1371500.5</v>
      </c>
      <c r="AU199" s="11">
        <v>1583135.38</v>
      </c>
      <c r="AW199" s="14">
        <v>461175.66</v>
      </c>
      <c r="AX199" s="14">
        <v>491867.53</v>
      </c>
      <c r="AZ199" s="16">
        <v>657562.81000000006</v>
      </c>
      <c r="BA199" s="16">
        <v>615619.75</v>
      </c>
      <c r="BC199" s="18">
        <v>283383.65999999997</v>
      </c>
      <c r="BD199" s="18">
        <v>164991.48000000001</v>
      </c>
    </row>
    <row r="200" spans="1:56" hidden="1">
      <c r="A200">
        <v>16782</v>
      </c>
      <c r="B200" t="s">
        <v>862</v>
      </c>
      <c r="C200" t="s">
        <v>863</v>
      </c>
      <c r="D200" t="s">
        <v>864</v>
      </c>
      <c r="F200" t="s">
        <v>865</v>
      </c>
      <c r="G200">
        <v>9.5559999999999992</v>
      </c>
      <c r="H200" t="s">
        <v>58</v>
      </c>
      <c r="I200">
        <v>2</v>
      </c>
      <c r="J200">
        <v>3</v>
      </c>
      <c r="K200">
        <v>0</v>
      </c>
      <c r="L200">
        <v>4.37</v>
      </c>
      <c r="M200">
        <v>28547</v>
      </c>
      <c r="N200">
        <v>11</v>
      </c>
      <c r="O200">
        <v>1</v>
      </c>
      <c r="P200">
        <v>1</v>
      </c>
      <c r="Q200">
        <v>1</v>
      </c>
      <c r="R200">
        <v>1</v>
      </c>
      <c r="S200">
        <v>2</v>
      </c>
      <c r="T200">
        <v>2</v>
      </c>
      <c r="U200">
        <v>1</v>
      </c>
      <c r="X200">
        <v>1</v>
      </c>
      <c r="Z200">
        <v>1</v>
      </c>
      <c r="AA200">
        <v>1</v>
      </c>
      <c r="AB200">
        <v>1</v>
      </c>
      <c r="AD200">
        <v>0</v>
      </c>
      <c r="AE200">
        <v>0</v>
      </c>
      <c r="AF200">
        <v>2</v>
      </c>
      <c r="AG200">
        <v>0</v>
      </c>
      <c r="AH200">
        <v>1</v>
      </c>
      <c r="AI200">
        <v>1</v>
      </c>
      <c r="AJ200">
        <v>0</v>
      </c>
      <c r="AK200">
        <v>0</v>
      </c>
      <c r="AN200">
        <v>1404409.88</v>
      </c>
      <c r="AP200">
        <v>530415.38</v>
      </c>
      <c r="AQ200">
        <v>719736.62</v>
      </c>
      <c r="AR200">
        <v>768169.88</v>
      </c>
      <c r="AT200" s="11">
        <v>99934.65</v>
      </c>
      <c r="AU200" s="11">
        <v>151704.31</v>
      </c>
      <c r="AW200" s="14">
        <v>671087.56000000006</v>
      </c>
      <c r="AX200" s="14">
        <v>360097.09</v>
      </c>
      <c r="AZ200" s="16">
        <v>320207.62</v>
      </c>
      <c r="BA200" s="16">
        <v>395162.56</v>
      </c>
      <c r="BC200" s="18">
        <v>392040.06</v>
      </c>
      <c r="BD200" s="18">
        <v>275347</v>
      </c>
    </row>
    <row r="201" spans="1:56" hidden="1">
      <c r="A201">
        <v>16807</v>
      </c>
      <c r="B201" t="s">
        <v>866</v>
      </c>
      <c r="C201" t="s">
        <v>867</v>
      </c>
      <c r="D201" t="s">
        <v>868</v>
      </c>
      <c r="F201" t="s">
        <v>869</v>
      </c>
      <c r="G201">
        <v>9.2750000000000004</v>
      </c>
      <c r="H201" t="s">
        <v>58</v>
      </c>
      <c r="I201">
        <v>2</v>
      </c>
      <c r="J201">
        <v>11</v>
      </c>
      <c r="K201">
        <v>0</v>
      </c>
      <c r="L201">
        <v>1.38</v>
      </c>
      <c r="M201">
        <v>80038</v>
      </c>
      <c r="N201">
        <v>43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Y201">
        <v>1</v>
      </c>
      <c r="AA201">
        <v>1</v>
      </c>
      <c r="AB201">
        <v>1</v>
      </c>
      <c r="AC201">
        <v>1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O201">
        <v>841323.25</v>
      </c>
      <c r="AQ201">
        <v>405213.97</v>
      </c>
      <c r="AR201">
        <v>428977.25</v>
      </c>
      <c r="AS201">
        <v>368183.03</v>
      </c>
      <c r="AT201" s="11">
        <v>99934.65</v>
      </c>
      <c r="AU201" s="11">
        <v>151704.31</v>
      </c>
      <c r="AW201" s="14">
        <v>374615.16</v>
      </c>
      <c r="AX201" s="14">
        <v>281514.5</v>
      </c>
      <c r="AZ201" s="16">
        <v>278828.78000000003</v>
      </c>
      <c r="BA201" s="16">
        <v>222477.73</v>
      </c>
      <c r="BC201" s="18">
        <v>218931.11</v>
      </c>
      <c r="BD201" s="18">
        <v>168891.64</v>
      </c>
    </row>
    <row r="202" spans="1:56" hidden="1">
      <c r="A202">
        <v>16868</v>
      </c>
      <c r="B202" t="s">
        <v>870</v>
      </c>
      <c r="C202" t="s">
        <v>871</v>
      </c>
      <c r="D202" t="s">
        <v>872</v>
      </c>
      <c r="F202" t="s">
        <v>873</v>
      </c>
      <c r="G202">
        <v>9.2650000000000006</v>
      </c>
      <c r="H202" t="s">
        <v>58</v>
      </c>
      <c r="I202">
        <v>2</v>
      </c>
      <c r="J202">
        <v>3</v>
      </c>
      <c r="K202">
        <v>0</v>
      </c>
      <c r="L202">
        <v>2.7</v>
      </c>
      <c r="M202">
        <v>107806</v>
      </c>
      <c r="N202">
        <v>54</v>
      </c>
      <c r="O202">
        <v>2</v>
      </c>
      <c r="P202">
        <v>2</v>
      </c>
      <c r="Q202">
        <v>2</v>
      </c>
      <c r="R202">
        <v>2</v>
      </c>
      <c r="S202">
        <v>4</v>
      </c>
      <c r="T202">
        <v>4</v>
      </c>
      <c r="U202">
        <v>2</v>
      </c>
      <c r="V202">
        <v>1</v>
      </c>
      <c r="X202">
        <v>2</v>
      </c>
      <c r="Y202">
        <v>2</v>
      </c>
      <c r="Z202">
        <v>2</v>
      </c>
      <c r="AA202">
        <v>2</v>
      </c>
      <c r="AB202">
        <v>2</v>
      </c>
      <c r="AC202">
        <v>2</v>
      </c>
      <c r="AD202">
        <v>0</v>
      </c>
      <c r="AE202">
        <v>0</v>
      </c>
      <c r="AF202">
        <v>1</v>
      </c>
      <c r="AG202">
        <v>3</v>
      </c>
      <c r="AH202">
        <v>2</v>
      </c>
      <c r="AI202">
        <v>2</v>
      </c>
      <c r="AJ202">
        <v>1</v>
      </c>
      <c r="AK202">
        <v>1</v>
      </c>
      <c r="AL202">
        <v>22785034</v>
      </c>
      <c r="AN202">
        <v>17668172</v>
      </c>
      <c r="AO202">
        <v>23070016</v>
      </c>
      <c r="AP202">
        <v>18221692</v>
      </c>
      <c r="AQ202">
        <v>20563384</v>
      </c>
      <c r="AR202">
        <v>16399928</v>
      </c>
      <c r="AS202">
        <v>23595024</v>
      </c>
      <c r="AT202" s="11">
        <v>82918.12</v>
      </c>
      <c r="AU202" s="11">
        <v>151704.31</v>
      </c>
      <c r="AW202" s="14">
        <v>9095386</v>
      </c>
      <c r="AX202" s="14">
        <v>10037723</v>
      </c>
      <c r="AZ202" s="16">
        <v>14843719</v>
      </c>
      <c r="BA202" s="16">
        <v>15451343</v>
      </c>
      <c r="BC202" s="18">
        <v>11500998</v>
      </c>
      <c r="BD202" s="18">
        <v>14509054</v>
      </c>
    </row>
    <row r="203" spans="1:56" hidden="1">
      <c r="A203">
        <v>16731</v>
      </c>
      <c r="B203" t="s">
        <v>874</v>
      </c>
      <c r="C203" t="s">
        <v>875</v>
      </c>
      <c r="D203" t="s">
        <v>876</v>
      </c>
      <c r="F203" t="s">
        <v>877</v>
      </c>
      <c r="G203">
        <v>8.2720000000000002</v>
      </c>
      <c r="H203" t="s">
        <v>58</v>
      </c>
      <c r="I203">
        <v>2</v>
      </c>
      <c r="J203">
        <v>21</v>
      </c>
      <c r="K203">
        <v>0</v>
      </c>
      <c r="L203">
        <v>2.88</v>
      </c>
      <c r="M203">
        <v>45316</v>
      </c>
      <c r="N203">
        <v>22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0</v>
      </c>
      <c r="AE203">
        <v>0</v>
      </c>
      <c r="AF203">
        <v>1</v>
      </c>
      <c r="AG203">
        <v>1</v>
      </c>
      <c r="AH203">
        <v>0</v>
      </c>
      <c r="AI203">
        <v>1</v>
      </c>
      <c r="AJ203">
        <v>0</v>
      </c>
      <c r="AK203">
        <v>0</v>
      </c>
      <c r="AL203">
        <v>740286.31</v>
      </c>
      <c r="AM203">
        <v>593224.18999999994</v>
      </c>
      <c r="AN203">
        <v>1100317.3799999999</v>
      </c>
      <c r="AO203">
        <v>1489882</v>
      </c>
      <c r="AP203">
        <v>320968.06</v>
      </c>
      <c r="AQ203">
        <v>345948.41</v>
      </c>
      <c r="AR203">
        <v>362924.22</v>
      </c>
      <c r="AS203">
        <v>361340.94</v>
      </c>
      <c r="AT203" s="11">
        <v>740286.31</v>
      </c>
      <c r="AU203" s="11">
        <v>615712.62</v>
      </c>
      <c r="AW203" s="14">
        <v>525779.06000000006</v>
      </c>
      <c r="AX203" s="14">
        <v>498528.19</v>
      </c>
      <c r="AZ203" s="16">
        <v>193765.91</v>
      </c>
      <c r="BA203" s="16">
        <v>189938.72</v>
      </c>
      <c r="BC203" s="18">
        <v>185220.55</v>
      </c>
      <c r="BD203" s="18">
        <v>165753.06</v>
      </c>
    </row>
    <row r="204" spans="1:56" hidden="1">
      <c r="A204">
        <v>16814</v>
      </c>
      <c r="B204" t="s">
        <v>878</v>
      </c>
      <c r="C204" t="s">
        <v>879</v>
      </c>
      <c r="D204" t="s">
        <v>880</v>
      </c>
      <c r="F204" t="s">
        <v>881</v>
      </c>
      <c r="G204">
        <v>7.3810000000000002</v>
      </c>
      <c r="H204" t="s">
        <v>58</v>
      </c>
      <c r="I204">
        <v>2</v>
      </c>
      <c r="J204">
        <v>3</v>
      </c>
      <c r="K204">
        <v>0</v>
      </c>
      <c r="L204">
        <v>3.74</v>
      </c>
      <c r="M204">
        <v>34031</v>
      </c>
      <c r="N204">
        <v>19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N204">
        <v>810505.62</v>
      </c>
      <c r="AO204">
        <v>987273.5</v>
      </c>
      <c r="AP204">
        <v>458474.09</v>
      </c>
      <c r="AQ204">
        <v>646688.31000000006</v>
      </c>
      <c r="AR204">
        <v>498483.16</v>
      </c>
      <c r="AS204">
        <v>632683.25</v>
      </c>
      <c r="AT204" s="11">
        <v>99934.65</v>
      </c>
      <c r="AU204" s="11">
        <v>151704.31</v>
      </c>
      <c r="AW204" s="14">
        <v>387294.53</v>
      </c>
      <c r="AX204" s="14">
        <v>330350.78000000003</v>
      </c>
      <c r="AZ204" s="16">
        <v>276777.21999999997</v>
      </c>
      <c r="BA204" s="16">
        <v>355056.25</v>
      </c>
      <c r="BC204" s="18">
        <v>254403.84</v>
      </c>
      <c r="BD204" s="18">
        <v>290222.28000000003</v>
      </c>
    </row>
    <row r="205" spans="1:56" hidden="1">
      <c r="A205">
        <v>16808</v>
      </c>
      <c r="B205" t="s">
        <v>882</v>
      </c>
      <c r="C205" t="s">
        <v>883</v>
      </c>
      <c r="D205" t="s">
        <v>884</v>
      </c>
      <c r="F205" t="s">
        <v>885</v>
      </c>
      <c r="G205">
        <v>7.3230000000000004</v>
      </c>
      <c r="H205" t="s">
        <v>58</v>
      </c>
      <c r="I205">
        <v>2</v>
      </c>
      <c r="J205">
        <v>10</v>
      </c>
      <c r="K205">
        <v>0</v>
      </c>
      <c r="L205">
        <v>1.75</v>
      </c>
      <c r="M205">
        <v>51859</v>
      </c>
      <c r="N205">
        <v>33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686346.5</v>
      </c>
      <c r="AM205">
        <v>537392.88</v>
      </c>
      <c r="AN205">
        <v>1679491.88</v>
      </c>
      <c r="AO205">
        <v>1957946.25</v>
      </c>
      <c r="AP205">
        <v>829214.12</v>
      </c>
      <c r="AQ205">
        <v>835627.56</v>
      </c>
      <c r="AR205">
        <v>665648.38</v>
      </c>
      <c r="AS205">
        <v>908491.5</v>
      </c>
      <c r="AT205" s="11">
        <v>686346.5</v>
      </c>
      <c r="AU205" s="11">
        <v>557764.81000000006</v>
      </c>
      <c r="AW205" s="14">
        <v>802533.62</v>
      </c>
      <c r="AX205" s="14">
        <v>655146.81000000006</v>
      </c>
      <c r="AZ205" s="16">
        <v>500590.06</v>
      </c>
      <c r="BA205" s="16">
        <v>458791.03</v>
      </c>
      <c r="BC205" s="18">
        <v>339717.62</v>
      </c>
      <c r="BD205" s="18">
        <v>416740.06</v>
      </c>
    </row>
    <row r="206" spans="1:56" hidden="1">
      <c r="A206">
        <v>16752</v>
      </c>
      <c r="B206" t="s">
        <v>886</v>
      </c>
      <c r="C206" t="s">
        <v>887</v>
      </c>
      <c r="D206" t="s">
        <v>888</v>
      </c>
      <c r="F206" t="s">
        <v>889</v>
      </c>
      <c r="G206">
        <v>7.306</v>
      </c>
      <c r="H206" t="s">
        <v>58</v>
      </c>
      <c r="I206">
        <v>2</v>
      </c>
      <c r="J206">
        <v>18</v>
      </c>
      <c r="K206">
        <v>0</v>
      </c>
      <c r="L206">
        <v>2.2200000000000002</v>
      </c>
      <c r="M206">
        <v>36359</v>
      </c>
      <c r="N206">
        <v>18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375279.06</v>
      </c>
      <c r="AM206">
        <v>382199.69</v>
      </c>
      <c r="AN206">
        <v>964201.38</v>
      </c>
      <c r="AO206">
        <v>1165349.1200000001</v>
      </c>
      <c r="AP206">
        <v>590663.93999999994</v>
      </c>
      <c r="AQ206">
        <v>684834.62</v>
      </c>
      <c r="AR206">
        <v>516278</v>
      </c>
      <c r="AS206">
        <v>510664.34</v>
      </c>
      <c r="AT206" s="11">
        <v>375279.06</v>
      </c>
      <c r="AU206" s="11">
        <v>396688.44</v>
      </c>
      <c r="AW206" s="14">
        <v>460737</v>
      </c>
      <c r="AX206" s="14">
        <v>389936.53</v>
      </c>
      <c r="AZ206" s="16">
        <v>356579.22</v>
      </c>
      <c r="BA206" s="16">
        <v>376000.03</v>
      </c>
      <c r="BC206" s="18">
        <v>263485.56</v>
      </c>
      <c r="BD206" s="18">
        <v>234250.17</v>
      </c>
    </row>
    <row r="207" spans="1:56" hidden="1">
      <c r="A207">
        <v>16746</v>
      </c>
      <c r="B207" t="s">
        <v>890</v>
      </c>
      <c r="C207" t="s">
        <v>891</v>
      </c>
      <c r="D207" t="s">
        <v>892</v>
      </c>
      <c r="E207" t="s">
        <v>893</v>
      </c>
      <c r="F207" t="s">
        <v>894</v>
      </c>
      <c r="G207">
        <v>7.056</v>
      </c>
      <c r="H207" t="s">
        <v>58</v>
      </c>
      <c r="I207">
        <v>2</v>
      </c>
      <c r="J207">
        <v>3</v>
      </c>
      <c r="K207">
        <v>1</v>
      </c>
      <c r="L207">
        <v>4.83</v>
      </c>
      <c r="M207">
        <v>35532</v>
      </c>
      <c r="N207">
        <v>24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2</v>
      </c>
      <c r="AA207">
        <v>1</v>
      </c>
      <c r="AB207">
        <v>1</v>
      </c>
      <c r="AD207">
        <v>0</v>
      </c>
      <c r="AE207">
        <v>2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18454528</v>
      </c>
      <c r="AM207">
        <v>21967140</v>
      </c>
      <c r="AQ207">
        <v>181949.16</v>
      </c>
      <c r="AR207">
        <v>150616.03</v>
      </c>
      <c r="AT207" s="11">
        <v>14311312</v>
      </c>
      <c r="AU207" s="11">
        <v>25092926</v>
      </c>
      <c r="AW207" s="14">
        <v>374615.16</v>
      </c>
      <c r="AX207" s="14">
        <v>360097.09</v>
      </c>
      <c r="AZ207" s="16">
        <v>278828.78000000003</v>
      </c>
      <c r="BA207" s="16">
        <v>948097.75</v>
      </c>
      <c r="BC207" s="18">
        <v>731947.62</v>
      </c>
      <c r="BD207" s="18">
        <v>275347</v>
      </c>
    </row>
    <row r="208" spans="1:56" hidden="1">
      <c r="A208">
        <v>16697</v>
      </c>
      <c r="B208" t="s">
        <v>895</v>
      </c>
      <c r="C208" t="s">
        <v>896</v>
      </c>
      <c r="D208" t="s">
        <v>897</v>
      </c>
      <c r="F208" t="s">
        <v>898</v>
      </c>
      <c r="G208">
        <v>6.8179999999999996</v>
      </c>
      <c r="H208" t="s">
        <v>58</v>
      </c>
      <c r="I208">
        <v>2</v>
      </c>
      <c r="J208">
        <v>3</v>
      </c>
      <c r="K208">
        <v>0</v>
      </c>
      <c r="L208">
        <v>3.36</v>
      </c>
      <c r="M208">
        <v>129898</v>
      </c>
      <c r="N208">
        <v>76</v>
      </c>
      <c r="O208">
        <v>4</v>
      </c>
      <c r="P208">
        <v>4</v>
      </c>
      <c r="Q208">
        <v>4</v>
      </c>
      <c r="R208">
        <v>4</v>
      </c>
      <c r="S208">
        <v>4</v>
      </c>
      <c r="T208">
        <v>4</v>
      </c>
      <c r="U208">
        <v>4</v>
      </c>
      <c r="V208">
        <v>3</v>
      </c>
      <c r="W208">
        <v>3</v>
      </c>
      <c r="X208">
        <v>4</v>
      </c>
      <c r="Y208">
        <v>4</v>
      </c>
      <c r="Z208">
        <v>4</v>
      </c>
      <c r="AA208">
        <v>3</v>
      </c>
      <c r="AB208">
        <v>4</v>
      </c>
      <c r="AC208">
        <v>4</v>
      </c>
      <c r="AD208">
        <v>0</v>
      </c>
      <c r="AE208">
        <v>0</v>
      </c>
      <c r="AF208">
        <v>0</v>
      </c>
      <c r="AG208">
        <v>2</v>
      </c>
      <c r="AH208">
        <v>0</v>
      </c>
      <c r="AI208">
        <v>1</v>
      </c>
      <c r="AJ208">
        <v>2</v>
      </c>
      <c r="AK208">
        <v>1</v>
      </c>
      <c r="AL208">
        <v>1072091.75</v>
      </c>
      <c r="AM208">
        <v>1116550</v>
      </c>
      <c r="AN208">
        <v>3972200.5</v>
      </c>
      <c r="AO208">
        <v>4682863</v>
      </c>
      <c r="AP208">
        <v>1949414.5</v>
      </c>
      <c r="AQ208">
        <v>1728115.88</v>
      </c>
      <c r="AR208">
        <v>2168782.75</v>
      </c>
      <c r="AS208">
        <v>2189201.75</v>
      </c>
      <c r="AT208" s="11">
        <v>689333.25</v>
      </c>
      <c r="AU208" s="11">
        <v>1072552.1200000001</v>
      </c>
      <c r="AW208" s="14">
        <v>2009980.5</v>
      </c>
      <c r="AX208" s="14">
        <v>1746035.38</v>
      </c>
      <c r="AZ208" s="16">
        <v>1192973.8799999999</v>
      </c>
      <c r="BA208" s="16">
        <v>1070496.1200000001</v>
      </c>
      <c r="BC208" s="18">
        <v>1080069.25</v>
      </c>
      <c r="BD208" s="18">
        <v>968719.31</v>
      </c>
    </row>
    <row r="209" spans="1:56" hidden="1">
      <c r="A209">
        <v>16804</v>
      </c>
      <c r="B209" t="s">
        <v>899</v>
      </c>
      <c r="C209" t="s">
        <v>900</v>
      </c>
      <c r="D209" t="s">
        <v>901</v>
      </c>
      <c r="F209" t="s">
        <v>902</v>
      </c>
      <c r="G209">
        <v>6.641</v>
      </c>
      <c r="H209" t="s">
        <v>58</v>
      </c>
      <c r="I209">
        <v>2</v>
      </c>
      <c r="J209">
        <v>3</v>
      </c>
      <c r="K209">
        <v>0</v>
      </c>
      <c r="L209">
        <v>9.2799999999999994</v>
      </c>
      <c r="M209">
        <v>10783</v>
      </c>
      <c r="N209">
        <v>7</v>
      </c>
      <c r="O209">
        <v>1</v>
      </c>
      <c r="P209">
        <v>1</v>
      </c>
      <c r="Q209">
        <v>1</v>
      </c>
      <c r="R209">
        <v>1</v>
      </c>
      <c r="S209">
        <v>2</v>
      </c>
      <c r="T209">
        <v>2</v>
      </c>
      <c r="U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</v>
      </c>
      <c r="AN209">
        <v>11637938</v>
      </c>
      <c r="AO209">
        <v>10113879</v>
      </c>
      <c r="AP209">
        <v>7639404</v>
      </c>
      <c r="AQ209">
        <v>6620152</v>
      </c>
      <c r="AR209">
        <v>6874028</v>
      </c>
      <c r="AS209">
        <v>7819862.5</v>
      </c>
      <c r="AT209" s="11">
        <v>99934.65</v>
      </c>
      <c r="AU209" s="11">
        <v>151704.31</v>
      </c>
      <c r="AW209" s="14">
        <v>6821532.5</v>
      </c>
      <c r="AX209" s="14">
        <v>6241384.5</v>
      </c>
      <c r="AZ209" s="16">
        <v>5890405</v>
      </c>
      <c r="BA209" s="16">
        <v>5125438</v>
      </c>
      <c r="BC209" s="18">
        <v>4733588.5</v>
      </c>
      <c r="BD209" s="18">
        <v>5721715.5</v>
      </c>
    </row>
    <row r="210" spans="1:56" hidden="1">
      <c r="A210">
        <v>16702</v>
      </c>
      <c r="B210" t="s">
        <v>903</v>
      </c>
      <c r="C210" t="s">
        <v>904</v>
      </c>
      <c r="D210" t="s">
        <v>905</v>
      </c>
      <c r="F210" t="s">
        <v>906</v>
      </c>
      <c r="G210">
        <v>6.1120000000000001</v>
      </c>
      <c r="H210" t="s">
        <v>58</v>
      </c>
      <c r="I210">
        <v>2</v>
      </c>
      <c r="J210">
        <v>17</v>
      </c>
      <c r="K210">
        <v>0</v>
      </c>
      <c r="L210">
        <v>1.63</v>
      </c>
      <c r="M210">
        <v>52932</v>
      </c>
      <c r="N210">
        <v>25</v>
      </c>
      <c r="O210">
        <v>1</v>
      </c>
      <c r="P210">
        <v>1</v>
      </c>
      <c r="Q210">
        <v>1</v>
      </c>
      <c r="R210">
        <v>1</v>
      </c>
      <c r="S210">
        <v>2</v>
      </c>
      <c r="T210">
        <v>2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0</v>
      </c>
      <c r="AH210">
        <v>2</v>
      </c>
      <c r="AI210">
        <v>2</v>
      </c>
      <c r="AJ210">
        <v>1</v>
      </c>
      <c r="AK210">
        <v>0</v>
      </c>
      <c r="AL210">
        <v>4443353</v>
      </c>
      <c r="AM210">
        <v>4196692.5</v>
      </c>
      <c r="AN210">
        <v>20221118</v>
      </c>
      <c r="AO210">
        <v>21378596</v>
      </c>
      <c r="AP210">
        <v>8546025</v>
      </c>
      <c r="AQ210">
        <v>8487204</v>
      </c>
      <c r="AR210">
        <v>8387340.5</v>
      </c>
      <c r="AS210">
        <v>10086005</v>
      </c>
      <c r="AT210" s="11">
        <v>4443353</v>
      </c>
      <c r="AU210" s="11">
        <v>4355784.5</v>
      </c>
      <c r="AW210" s="14">
        <v>9662522</v>
      </c>
      <c r="AX210" s="14">
        <v>7153474.5</v>
      </c>
      <c r="AZ210" s="16">
        <v>5159168.5</v>
      </c>
      <c r="BA210" s="16">
        <v>4659795</v>
      </c>
      <c r="BC210" s="18">
        <v>4280529.5</v>
      </c>
      <c r="BD210" s="18">
        <v>4626617</v>
      </c>
    </row>
    <row r="211" spans="1:56" hidden="1">
      <c r="A211">
        <v>16861</v>
      </c>
      <c r="B211" t="s">
        <v>907</v>
      </c>
      <c r="C211" t="s">
        <v>908</v>
      </c>
      <c r="D211" t="s">
        <v>909</v>
      </c>
      <c r="F211" t="s">
        <v>910</v>
      </c>
      <c r="G211">
        <v>5.8769999999999998</v>
      </c>
      <c r="H211" t="s">
        <v>58</v>
      </c>
      <c r="I211">
        <v>2</v>
      </c>
      <c r="J211">
        <v>3</v>
      </c>
      <c r="K211">
        <v>0</v>
      </c>
      <c r="L211">
        <v>0.82</v>
      </c>
      <c r="M211">
        <v>95583</v>
      </c>
      <c r="N211">
        <v>58</v>
      </c>
      <c r="O211">
        <v>1</v>
      </c>
      <c r="P211">
        <v>1</v>
      </c>
      <c r="Q211">
        <v>1</v>
      </c>
      <c r="R211">
        <v>1</v>
      </c>
      <c r="S211">
        <v>14</v>
      </c>
      <c r="T211">
        <v>14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2</v>
      </c>
      <c r="AE211">
        <v>0</v>
      </c>
      <c r="AF211">
        <v>1</v>
      </c>
      <c r="AG211">
        <v>3</v>
      </c>
      <c r="AH211">
        <v>2</v>
      </c>
      <c r="AI211">
        <v>3</v>
      </c>
      <c r="AJ211">
        <v>2</v>
      </c>
      <c r="AK211">
        <v>3</v>
      </c>
      <c r="AL211">
        <v>44601080</v>
      </c>
      <c r="AM211">
        <v>40584352</v>
      </c>
      <c r="AN211">
        <v>47071700</v>
      </c>
      <c r="AO211">
        <v>68604624</v>
      </c>
      <c r="AP211">
        <v>35575856</v>
      </c>
      <c r="AQ211">
        <v>35674004</v>
      </c>
      <c r="AR211">
        <v>30349004</v>
      </c>
      <c r="AS211">
        <v>30041428</v>
      </c>
      <c r="AT211" s="11">
        <v>44601080</v>
      </c>
      <c r="AU211" s="11">
        <v>42122856</v>
      </c>
      <c r="AW211" s="14">
        <v>22492888</v>
      </c>
      <c r="AX211" s="14">
        <v>22955736</v>
      </c>
      <c r="AZ211" s="16">
        <v>21476866</v>
      </c>
      <c r="BA211" s="16">
        <v>19586374</v>
      </c>
      <c r="BC211" s="18">
        <v>15488796</v>
      </c>
      <c r="BD211" s="18">
        <v>13780500</v>
      </c>
    </row>
    <row r="212" spans="1:56" hidden="1">
      <c r="A212">
        <v>16653</v>
      </c>
      <c r="B212" t="s">
        <v>911</v>
      </c>
      <c r="C212" t="s">
        <v>912</v>
      </c>
      <c r="D212" t="s">
        <v>913</v>
      </c>
      <c r="F212" t="s">
        <v>914</v>
      </c>
      <c r="G212">
        <v>5.7869999999999999</v>
      </c>
      <c r="H212" t="s">
        <v>58</v>
      </c>
      <c r="I212">
        <v>2</v>
      </c>
      <c r="J212">
        <v>21</v>
      </c>
      <c r="K212">
        <v>0</v>
      </c>
      <c r="L212">
        <v>9.15</v>
      </c>
      <c r="M212">
        <v>17120</v>
      </c>
      <c r="N212">
        <v>12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1</v>
      </c>
      <c r="AL212">
        <v>711412.88</v>
      </c>
      <c r="AN212">
        <v>1282679.5</v>
      </c>
      <c r="AO212">
        <v>1003179.12</v>
      </c>
      <c r="AP212">
        <v>1158820.8799999999</v>
      </c>
      <c r="AQ212">
        <v>952727.81</v>
      </c>
      <c r="AR212">
        <v>723927.19</v>
      </c>
      <c r="AS212">
        <v>1071403.1200000001</v>
      </c>
      <c r="AT212" s="11">
        <v>711412.88</v>
      </c>
      <c r="AU212" s="11">
        <v>151704.31</v>
      </c>
      <c r="AW212" s="14">
        <v>612919.56000000006</v>
      </c>
      <c r="AX212" s="14">
        <v>335672.94</v>
      </c>
      <c r="AZ212" s="16">
        <v>699571.12</v>
      </c>
      <c r="BA212" s="16">
        <v>523083.5</v>
      </c>
      <c r="BC212" s="18">
        <v>369460.53</v>
      </c>
      <c r="BD212" s="18">
        <v>491470.31</v>
      </c>
    </row>
    <row r="213" spans="1:56" hidden="1">
      <c r="A213">
        <v>16853</v>
      </c>
      <c r="B213" t="s">
        <v>915</v>
      </c>
      <c r="C213" t="s">
        <v>916</v>
      </c>
      <c r="D213" t="s">
        <v>917</v>
      </c>
      <c r="F213" t="s">
        <v>918</v>
      </c>
      <c r="G213">
        <v>5.3959999999999999</v>
      </c>
      <c r="H213" t="s">
        <v>58</v>
      </c>
      <c r="I213">
        <v>2</v>
      </c>
      <c r="J213">
        <v>4</v>
      </c>
      <c r="K213">
        <v>0</v>
      </c>
      <c r="L213">
        <v>1.1499999999999999</v>
      </c>
      <c r="M213">
        <v>67354</v>
      </c>
      <c r="N213">
        <v>29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AD213">
        <v>0</v>
      </c>
      <c r="AE213">
        <v>1</v>
      </c>
      <c r="AF213">
        <v>1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673312.81</v>
      </c>
      <c r="AM213">
        <v>1122494.6200000001</v>
      </c>
      <c r="AN213">
        <v>15659772</v>
      </c>
      <c r="AO213">
        <v>24145492</v>
      </c>
      <c r="AT213" s="11">
        <v>673312.81</v>
      </c>
      <c r="AU213" s="11">
        <v>1165047.1200000001</v>
      </c>
      <c r="AW213" s="14">
        <v>7482914</v>
      </c>
      <c r="AX213" s="14">
        <v>8079303</v>
      </c>
      <c r="AZ213" s="16">
        <v>278828.78000000003</v>
      </c>
      <c r="BA213" s="16">
        <v>249615.83</v>
      </c>
      <c r="BC213" s="18">
        <v>274135.90999999997</v>
      </c>
      <c r="BD213" s="18">
        <v>275347</v>
      </c>
    </row>
    <row r="214" spans="1:56" hidden="1">
      <c r="A214">
        <v>16696</v>
      </c>
      <c r="B214" t="s">
        <v>919</v>
      </c>
      <c r="C214" t="s">
        <v>920</v>
      </c>
      <c r="D214" t="s">
        <v>919</v>
      </c>
      <c r="F214" t="s">
        <v>921</v>
      </c>
      <c r="G214">
        <v>4.0670000000000002</v>
      </c>
      <c r="H214" t="s">
        <v>58</v>
      </c>
      <c r="I214">
        <v>2</v>
      </c>
      <c r="J214">
        <v>1</v>
      </c>
      <c r="K214">
        <v>0</v>
      </c>
      <c r="L214">
        <v>1.51</v>
      </c>
      <c r="M214">
        <v>51569</v>
      </c>
      <c r="N214">
        <v>29</v>
      </c>
      <c r="O214">
        <v>1</v>
      </c>
      <c r="P214">
        <v>1</v>
      </c>
      <c r="Q214">
        <v>1</v>
      </c>
      <c r="R214">
        <v>1</v>
      </c>
      <c r="S214">
        <v>2</v>
      </c>
      <c r="T214">
        <v>2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0</v>
      </c>
      <c r="AE214">
        <v>0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194904.17</v>
      </c>
      <c r="AM214">
        <v>927074.19</v>
      </c>
      <c r="AN214">
        <v>1333389</v>
      </c>
      <c r="AO214">
        <v>1014399.62</v>
      </c>
      <c r="AP214">
        <v>2258257.25</v>
      </c>
      <c r="AQ214">
        <v>2392747.5</v>
      </c>
      <c r="AR214">
        <v>1678912.88</v>
      </c>
      <c r="AS214">
        <v>1599825.75</v>
      </c>
      <c r="AT214" s="11">
        <v>194904.17</v>
      </c>
      <c r="AU214" s="11">
        <v>962218.5</v>
      </c>
      <c r="AW214" s="14">
        <v>637150.75</v>
      </c>
      <c r="AX214" s="14">
        <v>339427.44</v>
      </c>
      <c r="AZ214" s="16">
        <v>1363292.25</v>
      </c>
      <c r="BA214" s="16">
        <v>1313708.6200000001</v>
      </c>
      <c r="BC214" s="18">
        <v>856843.12</v>
      </c>
      <c r="BD214" s="18">
        <v>733866.56</v>
      </c>
    </row>
    <row r="215" spans="1:56" hidden="1">
      <c r="A215">
        <v>16673</v>
      </c>
      <c r="B215" t="s">
        <v>922</v>
      </c>
      <c r="C215" t="s">
        <v>923</v>
      </c>
      <c r="D215" t="s">
        <v>924</v>
      </c>
      <c r="F215" t="s">
        <v>925</v>
      </c>
      <c r="G215">
        <v>3.706</v>
      </c>
      <c r="H215" t="s">
        <v>58</v>
      </c>
      <c r="I215">
        <v>2</v>
      </c>
      <c r="J215">
        <v>15</v>
      </c>
      <c r="K215">
        <v>0</v>
      </c>
      <c r="L215">
        <v>11.49</v>
      </c>
      <c r="M215">
        <v>9920</v>
      </c>
      <c r="N215">
        <v>6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0</v>
      </c>
      <c r="AE215">
        <v>0</v>
      </c>
      <c r="AF215">
        <v>1</v>
      </c>
      <c r="AG215">
        <v>0</v>
      </c>
      <c r="AH215">
        <v>1</v>
      </c>
      <c r="AI215">
        <v>1</v>
      </c>
      <c r="AJ215">
        <v>0</v>
      </c>
      <c r="AK215">
        <v>0</v>
      </c>
      <c r="AN215">
        <v>1620050.62</v>
      </c>
      <c r="AO215">
        <v>1604526.12</v>
      </c>
      <c r="AP215">
        <v>815199.5</v>
      </c>
      <c r="AQ215">
        <v>834081.5</v>
      </c>
      <c r="AR215">
        <v>843734.62</v>
      </c>
      <c r="AS215">
        <v>600856.56000000006</v>
      </c>
      <c r="AT215" s="11">
        <v>99934.65</v>
      </c>
      <c r="AU215" s="11">
        <v>151704.31</v>
      </c>
      <c r="AW215" s="14">
        <v>774130.06</v>
      </c>
      <c r="AX215" s="14">
        <v>536889.12</v>
      </c>
      <c r="AZ215" s="16">
        <v>492129.53</v>
      </c>
      <c r="BA215" s="16">
        <v>457942.19</v>
      </c>
      <c r="BC215" s="18">
        <v>430604.97</v>
      </c>
      <c r="BD215" s="18">
        <v>275622.84000000003</v>
      </c>
    </row>
    <row r="216" spans="1:56" hidden="1">
      <c r="A216">
        <v>16878</v>
      </c>
      <c r="B216" t="s">
        <v>926</v>
      </c>
      <c r="C216" t="s">
        <v>927</v>
      </c>
      <c r="D216" t="s">
        <v>926</v>
      </c>
      <c r="F216" t="s">
        <v>928</v>
      </c>
      <c r="G216">
        <v>3.4529999999999998</v>
      </c>
      <c r="H216" t="s">
        <v>58</v>
      </c>
      <c r="I216">
        <v>2</v>
      </c>
      <c r="J216">
        <v>1</v>
      </c>
      <c r="K216">
        <v>0</v>
      </c>
      <c r="L216">
        <v>2.37</v>
      </c>
      <c r="M216">
        <v>37188</v>
      </c>
      <c r="N216">
        <v>21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862291.25</v>
      </c>
      <c r="AM216">
        <v>1122016.5</v>
      </c>
      <c r="AN216">
        <v>76905936</v>
      </c>
      <c r="AO216">
        <v>4913409</v>
      </c>
      <c r="AP216">
        <v>18770686</v>
      </c>
      <c r="AQ216">
        <v>22364524</v>
      </c>
      <c r="AT216" s="11">
        <v>862291.25</v>
      </c>
      <c r="AU216" s="11">
        <v>1164550.8799999999</v>
      </c>
      <c r="AW216" s="14">
        <v>36748972</v>
      </c>
      <c r="AX216" s="14">
        <v>1644071.88</v>
      </c>
      <c r="AZ216" s="16">
        <v>11331716</v>
      </c>
      <c r="BA216" s="16">
        <v>12278967</v>
      </c>
      <c r="BC216" s="18">
        <v>274135.90999999997</v>
      </c>
      <c r="BD216" s="18">
        <v>275347</v>
      </c>
    </row>
    <row r="217" spans="1:56" hidden="1">
      <c r="A217">
        <v>16763</v>
      </c>
      <c r="B217" t="s">
        <v>929</v>
      </c>
      <c r="C217" t="s">
        <v>930</v>
      </c>
      <c r="D217" t="s">
        <v>931</v>
      </c>
      <c r="F217" t="s">
        <v>932</v>
      </c>
      <c r="G217">
        <v>1.1259999999999999</v>
      </c>
      <c r="H217" t="s">
        <v>58</v>
      </c>
      <c r="I217">
        <v>2</v>
      </c>
      <c r="J217">
        <v>3</v>
      </c>
      <c r="K217">
        <v>0</v>
      </c>
      <c r="L217">
        <v>2.4500000000000002</v>
      </c>
      <c r="M217">
        <v>103882</v>
      </c>
      <c r="N217">
        <v>52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2</v>
      </c>
      <c r="W217">
        <v>1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2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1</v>
      </c>
      <c r="AJ217">
        <v>0</v>
      </c>
      <c r="AK217">
        <v>2</v>
      </c>
      <c r="AL217">
        <v>3788682.25</v>
      </c>
      <c r="AM217">
        <v>1957333.5</v>
      </c>
      <c r="AN217">
        <v>6136436.5</v>
      </c>
      <c r="AO217">
        <v>6505323</v>
      </c>
      <c r="AP217">
        <v>4112426</v>
      </c>
      <c r="AQ217">
        <v>4661367</v>
      </c>
      <c r="AR217">
        <v>3710715</v>
      </c>
      <c r="AS217">
        <v>4677075.5</v>
      </c>
      <c r="AT217" s="11">
        <v>2793850.75</v>
      </c>
      <c r="AU217" s="11">
        <v>172274.89</v>
      </c>
      <c r="AW217" s="14">
        <v>4006427.5</v>
      </c>
      <c r="AX217" s="14">
        <v>2793850.75</v>
      </c>
      <c r="AZ217" s="16">
        <v>2531254</v>
      </c>
      <c r="BA217" s="16">
        <v>2479625.5</v>
      </c>
      <c r="BC217" s="18">
        <v>1944106.75</v>
      </c>
      <c r="BD217" s="18">
        <v>2640687</v>
      </c>
    </row>
    <row r="218" spans="1:56" hidden="1">
      <c r="A218">
        <v>16849</v>
      </c>
      <c r="B218" t="s">
        <v>933</v>
      </c>
      <c r="C218" t="s">
        <v>934</v>
      </c>
      <c r="D218" t="s">
        <v>935</v>
      </c>
      <c r="F218" t="s">
        <v>936</v>
      </c>
      <c r="G218">
        <v>0.78600000000000003</v>
      </c>
      <c r="H218" t="s">
        <v>58</v>
      </c>
      <c r="I218">
        <v>2</v>
      </c>
      <c r="J218">
        <v>2</v>
      </c>
      <c r="K218">
        <v>0</v>
      </c>
      <c r="L218">
        <v>18.100000000000001</v>
      </c>
      <c r="M218">
        <v>11582</v>
      </c>
      <c r="N218">
        <v>5</v>
      </c>
      <c r="O218">
        <v>2</v>
      </c>
      <c r="P218">
        <v>2</v>
      </c>
      <c r="Q218">
        <v>2</v>
      </c>
      <c r="R218">
        <v>2</v>
      </c>
      <c r="S218">
        <v>5</v>
      </c>
      <c r="T218">
        <v>5</v>
      </c>
      <c r="U218">
        <v>2</v>
      </c>
      <c r="V218">
        <v>2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5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5446587</v>
      </c>
      <c r="AM218">
        <v>3399948.75</v>
      </c>
      <c r="AN218">
        <v>1479116.12</v>
      </c>
      <c r="AO218">
        <v>4211220.5</v>
      </c>
      <c r="AP218">
        <v>1926647.38</v>
      </c>
      <c r="AQ218">
        <v>2147555.5</v>
      </c>
      <c r="AR218">
        <v>1698329.75</v>
      </c>
      <c r="AS218">
        <v>2275591.25</v>
      </c>
      <c r="AT218" s="11">
        <v>5601043</v>
      </c>
      <c r="AU218" s="11">
        <v>3480977.75</v>
      </c>
      <c r="AW218" s="14">
        <v>697479.88</v>
      </c>
      <c r="AX218" s="14">
        <v>1389906.25</v>
      </c>
      <c r="AZ218" s="16">
        <v>1147655.5</v>
      </c>
      <c r="BA218" s="16">
        <v>1163415.5</v>
      </c>
      <c r="BC218" s="18">
        <v>856552.38</v>
      </c>
      <c r="BD218" s="18">
        <v>1029768.19</v>
      </c>
    </row>
    <row r="219" spans="1:56" hidden="1">
      <c r="A219">
        <v>16657</v>
      </c>
      <c r="B219" t="s">
        <v>937</v>
      </c>
      <c r="C219" t="s">
        <v>938</v>
      </c>
      <c r="D219" t="s">
        <v>939</v>
      </c>
      <c r="F219" t="s">
        <v>940</v>
      </c>
      <c r="G219">
        <v>0</v>
      </c>
      <c r="H219" t="s">
        <v>58</v>
      </c>
      <c r="I219">
        <v>2</v>
      </c>
      <c r="J219">
        <v>21</v>
      </c>
      <c r="K219">
        <v>0</v>
      </c>
      <c r="L219">
        <v>5.22</v>
      </c>
      <c r="M219">
        <v>50324</v>
      </c>
      <c r="N219">
        <v>24</v>
      </c>
      <c r="O219">
        <v>2</v>
      </c>
      <c r="P219">
        <v>2</v>
      </c>
      <c r="Q219">
        <v>2</v>
      </c>
      <c r="R219">
        <v>2</v>
      </c>
      <c r="S219">
        <v>4</v>
      </c>
      <c r="T219">
        <v>4</v>
      </c>
      <c r="U219">
        <v>2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1</v>
      </c>
      <c r="AE219">
        <v>0</v>
      </c>
      <c r="AF219">
        <v>1</v>
      </c>
      <c r="AG219">
        <v>1</v>
      </c>
      <c r="AH219">
        <v>1</v>
      </c>
      <c r="AI219">
        <v>2</v>
      </c>
      <c r="AJ219">
        <v>1</v>
      </c>
      <c r="AK219">
        <v>2</v>
      </c>
      <c r="AL219">
        <v>12366136</v>
      </c>
      <c r="AM219">
        <v>10782563</v>
      </c>
      <c r="AN219">
        <v>21119706</v>
      </c>
      <c r="AO219">
        <v>25144328</v>
      </c>
      <c r="AP219">
        <v>16692434</v>
      </c>
      <c r="AQ219">
        <v>18743626</v>
      </c>
      <c r="AR219">
        <v>13697930</v>
      </c>
      <c r="AS219">
        <v>5550724</v>
      </c>
      <c r="AT219" s="11">
        <v>13882680</v>
      </c>
      <c r="AU219" s="11">
        <v>7515283</v>
      </c>
      <c r="AW219" s="14">
        <v>11028301</v>
      </c>
      <c r="AX219" s="14">
        <v>8112712</v>
      </c>
      <c r="AZ219" s="16">
        <v>10467376</v>
      </c>
      <c r="BA219" s="16">
        <v>9495820</v>
      </c>
      <c r="BC219" s="18">
        <v>7189334</v>
      </c>
      <c r="BD219" s="18">
        <v>3755368.75</v>
      </c>
    </row>
    <row r="220" spans="1:56" hidden="1">
      <c r="A220">
        <v>16687</v>
      </c>
      <c r="B220" t="s">
        <v>941</v>
      </c>
      <c r="C220" t="s">
        <v>942</v>
      </c>
      <c r="D220" t="s">
        <v>941</v>
      </c>
      <c r="F220" t="s">
        <v>943</v>
      </c>
      <c r="G220">
        <v>0</v>
      </c>
      <c r="H220" t="s">
        <v>58</v>
      </c>
      <c r="I220">
        <v>2</v>
      </c>
      <c r="J220">
        <v>1</v>
      </c>
      <c r="K220">
        <v>0</v>
      </c>
      <c r="L220">
        <v>10.199999999999999</v>
      </c>
      <c r="M220">
        <v>33519</v>
      </c>
      <c r="N220">
        <v>22</v>
      </c>
      <c r="O220">
        <v>3</v>
      </c>
      <c r="P220">
        <v>3</v>
      </c>
      <c r="Q220">
        <v>3</v>
      </c>
      <c r="R220">
        <v>3</v>
      </c>
      <c r="S220">
        <v>5</v>
      </c>
      <c r="T220">
        <v>5</v>
      </c>
      <c r="U220">
        <v>3</v>
      </c>
      <c r="V220">
        <v>2</v>
      </c>
      <c r="W220">
        <v>2</v>
      </c>
      <c r="X220">
        <v>2</v>
      </c>
      <c r="Y220">
        <v>3</v>
      </c>
      <c r="Z220">
        <v>3</v>
      </c>
      <c r="AA220">
        <v>3</v>
      </c>
      <c r="AB220">
        <v>3</v>
      </c>
      <c r="AC220">
        <v>3</v>
      </c>
      <c r="AD220">
        <v>0</v>
      </c>
      <c r="AE220">
        <v>0</v>
      </c>
      <c r="AF220">
        <v>0</v>
      </c>
      <c r="AG220">
        <v>3</v>
      </c>
      <c r="AH220">
        <v>0</v>
      </c>
      <c r="AI220">
        <v>0</v>
      </c>
      <c r="AJ220">
        <v>2</v>
      </c>
      <c r="AK220">
        <v>0</v>
      </c>
      <c r="AL220">
        <v>842636.19</v>
      </c>
      <c r="AM220">
        <v>680203.19</v>
      </c>
      <c r="AN220">
        <v>1411533.75</v>
      </c>
      <c r="AO220">
        <v>3003206.5</v>
      </c>
      <c r="AP220">
        <v>1220052</v>
      </c>
      <c r="AQ220">
        <v>1229688.25</v>
      </c>
      <c r="AR220">
        <v>1440009.25</v>
      </c>
      <c r="AS220">
        <v>1489800</v>
      </c>
      <c r="AT220" s="11">
        <v>257312.12</v>
      </c>
      <c r="AU220" s="11">
        <v>290273.90999999997</v>
      </c>
      <c r="AW220" s="14">
        <v>307826.94</v>
      </c>
      <c r="AX220" s="14">
        <v>1731114.62</v>
      </c>
      <c r="AZ220" s="16">
        <v>1313197</v>
      </c>
      <c r="BA220" s="16">
        <v>1283459.3799999999</v>
      </c>
      <c r="BC220" s="18">
        <v>1175957.25</v>
      </c>
      <c r="BD220" s="18">
        <v>1172122.75</v>
      </c>
    </row>
    <row r="221" spans="1:56" hidden="1">
      <c r="A221">
        <v>16700</v>
      </c>
      <c r="B221" t="s">
        <v>944</v>
      </c>
      <c r="C221" t="s">
        <v>945</v>
      </c>
      <c r="D221" t="s">
        <v>946</v>
      </c>
      <c r="F221" t="s">
        <v>947</v>
      </c>
      <c r="G221">
        <v>0</v>
      </c>
      <c r="H221" t="s">
        <v>58</v>
      </c>
      <c r="I221">
        <v>2</v>
      </c>
      <c r="J221">
        <v>20</v>
      </c>
      <c r="K221">
        <v>0</v>
      </c>
      <c r="L221">
        <v>8.16</v>
      </c>
      <c r="M221">
        <v>21740</v>
      </c>
      <c r="N221">
        <v>9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>
        <v>2</v>
      </c>
      <c r="X221">
        <v>2</v>
      </c>
      <c r="Y221">
        <v>2</v>
      </c>
      <c r="Z221">
        <v>2</v>
      </c>
      <c r="AA221">
        <v>2</v>
      </c>
      <c r="AB221">
        <v>2</v>
      </c>
      <c r="AC221">
        <v>2</v>
      </c>
      <c r="AD221">
        <v>0</v>
      </c>
      <c r="AE221">
        <v>0</v>
      </c>
      <c r="AF221">
        <v>1</v>
      </c>
      <c r="AG221">
        <v>2</v>
      </c>
      <c r="AH221">
        <v>1</v>
      </c>
      <c r="AI221">
        <v>1</v>
      </c>
      <c r="AJ221">
        <v>0</v>
      </c>
      <c r="AK221">
        <v>0</v>
      </c>
      <c r="AN221">
        <v>2782912.25</v>
      </c>
      <c r="AO221">
        <v>3489835.5</v>
      </c>
      <c r="AP221">
        <v>1774601.25</v>
      </c>
      <c r="AQ221">
        <v>1296349.5</v>
      </c>
      <c r="AR221">
        <v>1385528.5</v>
      </c>
      <c r="AS221">
        <v>1769823</v>
      </c>
      <c r="AT221" s="11">
        <v>99934.65</v>
      </c>
      <c r="AU221" s="11">
        <v>151704.31</v>
      </c>
      <c r="AW221" s="14">
        <v>712770.62</v>
      </c>
      <c r="AX221" s="14">
        <v>1328785.8799999999</v>
      </c>
      <c r="AZ221" s="16">
        <v>1087138.6200000001</v>
      </c>
      <c r="BA221" s="16">
        <v>601907.25</v>
      </c>
      <c r="BC221" s="18">
        <v>935246.62</v>
      </c>
      <c r="BD221" s="18">
        <v>1106567.3799999999</v>
      </c>
    </row>
    <row r="222" spans="1:56" hidden="1">
      <c r="A222">
        <v>16712</v>
      </c>
      <c r="B222" t="s">
        <v>1042</v>
      </c>
      <c r="C222" t="s">
        <v>1043</v>
      </c>
      <c r="D222" t="s">
        <v>1044</v>
      </c>
      <c r="F222" t="s">
        <v>1045</v>
      </c>
      <c r="G222">
        <v>0</v>
      </c>
      <c r="H222" t="s">
        <v>58</v>
      </c>
      <c r="I222">
        <v>2</v>
      </c>
      <c r="J222">
        <v>19</v>
      </c>
      <c r="K222">
        <v>0</v>
      </c>
      <c r="L222">
        <v>3.3</v>
      </c>
      <c r="M222">
        <v>33992</v>
      </c>
      <c r="N222">
        <v>20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2</v>
      </c>
      <c r="V222">
        <v>1</v>
      </c>
      <c r="W222">
        <v>1</v>
      </c>
      <c r="X222">
        <v>2</v>
      </c>
      <c r="Y222">
        <v>2</v>
      </c>
      <c r="Z222">
        <v>2</v>
      </c>
      <c r="AA222">
        <v>2</v>
      </c>
      <c r="AB222">
        <v>1</v>
      </c>
      <c r="AC222">
        <v>1</v>
      </c>
      <c r="AD222">
        <v>0</v>
      </c>
      <c r="AE222">
        <v>0</v>
      </c>
      <c r="AF222">
        <v>1</v>
      </c>
      <c r="AG222">
        <v>0</v>
      </c>
      <c r="AH222">
        <v>2</v>
      </c>
      <c r="AI222">
        <v>1</v>
      </c>
      <c r="AJ222">
        <v>1</v>
      </c>
      <c r="AK222">
        <v>0</v>
      </c>
      <c r="AL222">
        <v>3915422.25</v>
      </c>
      <c r="AM222">
        <v>6041013</v>
      </c>
      <c r="AN222">
        <v>2106611.25</v>
      </c>
      <c r="AO222">
        <v>5488123</v>
      </c>
      <c r="AP222">
        <v>4191303</v>
      </c>
      <c r="AQ222">
        <v>4342254.5</v>
      </c>
      <c r="AR222">
        <v>3175508.25</v>
      </c>
      <c r="AS222">
        <v>4730925</v>
      </c>
      <c r="AT222" s="11">
        <v>519196.41</v>
      </c>
      <c r="AU222" s="11">
        <v>497839.75</v>
      </c>
      <c r="AW222" s="14">
        <v>1252043.8799999999</v>
      </c>
      <c r="AX222" s="14">
        <v>4605436</v>
      </c>
      <c r="AZ222" s="16">
        <v>5399415</v>
      </c>
      <c r="BA222" s="16">
        <v>5155977.5</v>
      </c>
      <c r="BC222" s="18">
        <v>974604.19</v>
      </c>
      <c r="BD222" s="18">
        <v>1282773.6200000001</v>
      </c>
    </row>
    <row r="223" spans="1:56" hidden="1">
      <c r="A223">
        <v>16732</v>
      </c>
      <c r="B223" t="s">
        <v>1046</v>
      </c>
      <c r="C223" t="s">
        <v>1047</v>
      </c>
      <c r="D223" t="s">
        <v>1048</v>
      </c>
      <c r="F223" t="s">
        <v>1049</v>
      </c>
      <c r="G223">
        <v>0</v>
      </c>
      <c r="H223" t="s">
        <v>58</v>
      </c>
      <c r="I223">
        <v>2</v>
      </c>
      <c r="J223">
        <v>3</v>
      </c>
      <c r="K223">
        <v>0</v>
      </c>
      <c r="L223">
        <v>9.34</v>
      </c>
      <c r="M223">
        <v>20354</v>
      </c>
      <c r="N223">
        <v>13</v>
      </c>
      <c r="O223">
        <v>2</v>
      </c>
      <c r="P223">
        <v>2</v>
      </c>
      <c r="Q223">
        <v>2</v>
      </c>
      <c r="R223">
        <v>2</v>
      </c>
      <c r="S223">
        <v>3</v>
      </c>
      <c r="T223">
        <v>3</v>
      </c>
      <c r="U223">
        <v>2</v>
      </c>
      <c r="V223">
        <v>2</v>
      </c>
      <c r="W223">
        <v>1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2</v>
      </c>
      <c r="AD223">
        <v>5</v>
      </c>
      <c r="AE223">
        <v>0</v>
      </c>
      <c r="AF223">
        <v>2</v>
      </c>
      <c r="AG223">
        <v>3</v>
      </c>
      <c r="AH223">
        <v>2</v>
      </c>
      <c r="AI223">
        <v>2</v>
      </c>
      <c r="AJ223">
        <v>2</v>
      </c>
      <c r="AK223">
        <v>2</v>
      </c>
      <c r="AL223">
        <v>142333936</v>
      </c>
      <c r="AM223">
        <v>510755.03</v>
      </c>
      <c r="AN223">
        <v>150715200</v>
      </c>
      <c r="AO223">
        <v>201968224</v>
      </c>
      <c r="AP223">
        <v>112748152</v>
      </c>
      <c r="AQ223">
        <v>126821968</v>
      </c>
      <c r="AR223">
        <v>79654304</v>
      </c>
      <c r="AS223">
        <v>90549856</v>
      </c>
      <c r="AT223" s="11">
        <v>13632181</v>
      </c>
      <c r="AU223" s="11">
        <v>67120.59</v>
      </c>
      <c r="AW223" s="14">
        <v>140846368</v>
      </c>
      <c r="AX223" s="14">
        <v>101881880</v>
      </c>
      <c r="AZ223" s="16">
        <v>61353352</v>
      </c>
      <c r="BA223" s="16">
        <v>54924384</v>
      </c>
      <c r="BC223" s="18">
        <v>54713596</v>
      </c>
      <c r="BD223" s="18">
        <v>47020144</v>
      </c>
    </row>
    <row r="224" spans="1:56" hidden="1">
      <c r="A224">
        <v>16760</v>
      </c>
      <c r="B224" t="s">
        <v>1050</v>
      </c>
      <c r="C224" t="s">
        <v>1051</v>
      </c>
      <c r="D224" t="s">
        <v>1052</v>
      </c>
      <c r="F224" t="s">
        <v>1053</v>
      </c>
      <c r="G224">
        <v>0</v>
      </c>
      <c r="H224" t="s">
        <v>58</v>
      </c>
      <c r="I224">
        <v>2</v>
      </c>
      <c r="J224">
        <v>3</v>
      </c>
      <c r="K224">
        <v>0</v>
      </c>
      <c r="L224">
        <v>1.68</v>
      </c>
      <c r="M224">
        <v>117854</v>
      </c>
      <c r="N224">
        <v>64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2</v>
      </c>
      <c r="V224">
        <v>1</v>
      </c>
      <c r="W224">
        <v>1</v>
      </c>
      <c r="X224">
        <v>2</v>
      </c>
      <c r="Y224">
        <v>1</v>
      </c>
      <c r="Z224">
        <v>1</v>
      </c>
      <c r="AA224">
        <v>2</v>
      </c>
      <c r="AB224">
        <v>2</v>
      </c>
      <c r="AC224">
        <v>2</v>
      </c>
      <c r="AD224">
        <v>1</v>
      </c>
      <c r="AE224">
        <v>1</v>
      </c>
      <c r="AF224">
        <v>2</v>
      </c>
      <c r="AG224">
        <v>1</v>
      </c>
      <c r="AH224">
        <v>1</v>
      </c>
      <c r="AI224">
        <v>1</v>
      </c>
      <c r="AJ224">
        <v>2</v>
      </c>
      <c r="AK224">
        <v>1</v>
      </c>
      <c r="AL224">
        <v>10658665</v>
      </c>
      <c r="AM224">
        <v>16470037</v>
      </c>
      <c r="AN224">
        <v>33594804</v>
      </c>
      <c r="AO224">
        <v>38112764</v>
      </c>
      <c r="AP224">
        <v>19759766</v>
      </c>
      <c r="AQ224">
        <v>19639332</v>
      </c>
      <c r="AR224">
        <v>50423816</v>
      </c>
      <c r="AS224">
        <v>69642752</v>
      </c>
      <c r="AT224" s="11">
        <v>254907.03</v>
      </c>
      <c r="AU224" s="11">
        <v>246387.05</v>
      </c>
      <c r="AW224" s="14">
        <v>2262398.75</v>
      </c>
      <c r="AX224" s="14">
        <v>173643.8</v>
      </c>
      <c r="AZ224" s="16">
        <v>213826.27</v>
      </c>
      <c r="BA224" s="16">
        <v>3542808.75</v>
      </c>
      <c r="BC224" s="18">
        <v>65569516</v>
      </c>
      <c r="BD224" s="18">
        <v>58201296</v>
      </c>
    </row>
    <row r="225" spans="1:56" hidden="1">
      <c r="A225">
        <v>16772</v>
      </c>
      <c r="B225" t="s">
        <v>1054</v>
      </c>
      <c r="C225" t="s">
        <v>1055</v>
      </c>
      <c r="D225" t="s">
        <v>1056</v>
      </c>
      <c r="F225" t="s">
        <v>1057</v>
      </c>
      <c r="G225">
        <v>0</v>
      </c>
      <c r="H225" t="s">
        <v>58</v>
      </c>
      <c r="I225">
        <v>2</v>
      </c>
      <c r="J225">
        <v>3</v>
      </c>
      <c r="K225">
        <v>0</v>
      </c>
      <c r="L225">
        <v>3.66</v>
      </c>
      <c r="M225">
        <v>53870</v>
      </c>
      <c r="N225">
        <v>33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2</v>
      </c>
      <c r="V225">
        <v>2</v>
      </c>
      <c r="W225">
        <v>1</v>
      </c>
      <c r="X225">
        <v>2</v>
      </c>
      <c r="Y225">
        <v>2</v>
      </c>
      <c r="Z225">
        <v>1</v>
      </c>
      <c r="AA225">
        <v>2</v>
      </c>
      <c r="AB225">
        <v>1</v>
      </c>
      <c r="AC225">
        <v>1</v>
      </c>
      <c r="AD225">
        <v>1</v>
      </c>
      <c r="AE225">
        <v>0</v>
      </c>
      <c r="AF225">
        <v>0</v>
      </c>
      <c r="AG225">
        <v>2</v>
      </c>
      <c r="AH225">
        <v>0</v>
      </c>
      <c r="AI225">
        <v>0</v>
      </c>
      <c r="AJ225">
        <v>0</v>
      </c>
      <c r="AK225">
        <v>0</v>
      </c>
      <c r="AL225">
        <v>2320864</v>
      </c>
      <c r="AM225">
        <v>2138845.75</v>
      </c>
      <c r="AN225">
        <v>9588926</v>
      </c>
      <c r="AO225">
        <v>7449629.5</v>
      </c>
      <c r="AP225">
        <v>1955799.88</v>
      </c>
      <c r="AQ225">
        <v>4916678.5</v>
      </c>
      <c r="AR225">
        <v>1475952</v>
      </c>
      <c r="AS225">
        <v>1371813.12</v>
      </c>
      <c r="AT225" s="11">
        <v>1476104.5</v>
      </c>
      <c r="AU225" s="11">
        <v>271512.81</v>
      </c>
      <c r="AW225" s="14">
        <v>4646150</v>
      </c>
      <c r="AX225" s="14">
        <v>3052691.5</v>
      </c>
      <c r="AZ225" s="16">
        <v>463533.94</v>
      </c>
      <c r="BA225" s="16">
        <v>5464184</v>
      </c>
      <c r="BC225" s="18">
        <v>504817.97</v>
      </c>
      <c r="BD225" s="18">
        <v>416627.16</v>
      </c>
    </row>
    <row r="226" spans="1:56" hidden="1">
      <c r="A226">
        <v>16813</v>
      </c>
      <c r="B226" t="s">
        <v>1058</v>
      </c>
      <c r="C226" t="s">
        <v>1059</v>
      </c>
      <c r="D226" t="s">
        <v>1060</v>
      </c>
      <c r="F226" t="s">
        <v>1061</v>
      </c>
      <c r="G226">
        <v>0</v>
      </c>
      <c r="H226" t="s">
        <v>58</v>
      </c>
      <c r="I226">
        <v>2</v>
      </c>
      <c r="J226">
        <v>12</v>
      </c>
      <c r="K226">
        <v>0</v>
      </c>
      <c r="L226">
        <v>1.42</v>
      </c>
      <c r="M226">
        <v>78750</v>
      </c>
      <c r="N226">
        <v>45</v>
      </c>
      <c r="O226">
        <v>1</v>
      </c>
      <c r="P226">
        <v>1</v>
      </c>
      <c r="Q226">
        <v>2</v>
      </c>
      <c r="R226">
        <v>2</v>
      </c>
      <c r="S226">
        <v>3</v>
      </c>
      <c r="T226">
        <v>3</v>
      </c>
      <c r="U226">
        <v>2</v>
      </c>
      <c r="V226">
        <v>1</v>
      </c>
      <c r="W226">
        <v>1</v>
      </c>
      <c r="X226">
        <v>1</v>
      </c>
      <c r="Y226">
        <v>2</v>
      </c>
      <c r="Z226">
        <v>1</v>
      </c>
      <c r="AA226">
        <v>1</v>
      </c>
      <c r="AB226">
        <v>2</v>
      </c>
      <c r="AC226">
        <v>2</v>
      </c>
      <c r="AD226">
        <v>0</v>
      </c>
      <c r="AE226">
        <v>0</v>
      </c>
      <c r="AF226">
        <v>0</v>
      </c>
      <c r="AG226">
        <v>3</v>
      </c>
      <c r="AH226">
        <v>0</v>
      </c>
      <c r="AI226">
        <v>0</v>
      </c>
      <c r="AJ226">
        <v>0</v>
      </c>
      <c r="AK226">
        <v>0</v>
      </c>
      <c r="AL226">
        <v>1017512.56</v>
      </c>
      <c r="AM226">
        <v>1028206.75</v>
      </c>
      <c r="AN226">
        <v>2045694.38</v>
      </c>
      <c r="AO226">
        <v>282543680</v>
      </c>
      <c r="AP226">
        <v>11490783</v>
      </c>
      <c r="AQ226">
        <v>9947339</v>
      </c>
      <c r="AR226">
        <v>128217272</v>
      </c>
      <c r="AS226">
        <v>148566624</v>
      </c>
      <c r="AT226" s="11">
        <v>20251.59</v>
      </c>
      <c r="AU226" s="11">
        <v>16869.13</v>
      </c>
      <c r="AW226" s="14">
        <v>11778.92</v>
      </c>
      <c r="AX226" s="14">
        <v>15815971</v>
      </c>
      <c r="AZ226" s="16">
        <v>139284.56</v>
      </c>
      <c r="BA226" s="16">
        <v>116212.3</v>
      </c>
      <c r="BC226" s="18">
        <v>112784480</v>
      </c>
      <c r="BD226" s="18">
        <v>116079976</v>
      </c>
    </row>
    <row r="227" spans="1:56" hidden="1">
      <c r="A227">
        <v>16825</v>
      </c>
      <c r="B227" t="s">
        <v>1062</v>
      </c>
      <c r="C227" t="s">
        <v>1063</v>
      </c>
      <c r="D227" t="s">
        <v>1064</v>
      </c>
      <c r="F227" t="s">
        <v>1065</v>
      </c>
      <c r="G227">
        <v>0</v>
      </c>
      <c r="H227" t="s">
        <v>58</v>
      </c>
      <c r="I227">
        <v>2</v>
      </c>
      <c r="J227">
        <v>17</v>
      </c>
      <c r="K227">
        <v>0</v>
      </c>
      <c r="L227">
        <v>3.94</v>
      </c>
      <c r="M227">
        <v>47606</v>
      </c>
      <c r="N227">
        <v>26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0</v>
      </c>
      <c r="AE227">
        <v>0</v>
      </c>
      <c r="AF227">
        <v>1</v>
      </c>
      <c r="AG227">
        <v>0</v>
      </c>
      <c r="AH227">
        <v>4</v>
      </c>
      <c r="AI227">
        <v>2</v>
      </c>
      <c r="AJ227">
        <v>2</v>
      </c>
      <c r="AK227">
        <v>0</v>
      </c>
      <c r="AL227">
        <v>32713676</v>
      </c>
      <c r="AM227">
        <v>91889736</v>
      </c>
      <c r="AN227">
        <v>305296832</v>
      </c>
      <c r="AO227">
        <v>29565060</v>
      </c>
      <c r="AP227">
        <v>342269760</v>
      </c>
      <c r="AQ227">
        <v>293188192</v>
      </c>
      <c r="AR227">
        <v>280767232</v>
      </c>
      <c r="AS227">
        <v>114130096</v>
      </c>
      <c r="AT227" s="11">
        <v>55100972</v>
      </c>
      <c r="AU227" s="11">
        <v>128675304</v>
      </c>
      <c r="AW227" s="14">
        <v>133845112</v>
      </c>
      <c r="AX227" s="14">
        <v>18314576</v>
      </c>
      <c r="AZ227" s="16">
        <v>166638304</v>
      </c>
      <c r="BA227" s="16">
        <v>177831136</v>
      </c>
      <c r="BC227" s="18">
        <v>112981584</v>
      </c>
      <c r="BD227" s="18">
        <v>65216704</v>
      </c>
    </row>
    <row r="228" spans="1:56" hidden="1">
      <c r="A228">
        <v>16852</v>
      </c>
      <c r="B228" t="s">
        <v>1066</v>
      </c>
      <c r="C228" t="s">
        <v>1067</v>
      </c>
      <c r="D228" t="s">
        <v>1066</v>
      </c>
      <c r="E228" t="s">
        <v>1068</v>
      </c>
      <c r="F228" t="s">
        <v>1069</v>
      </c>
      <c r="G228">
        <v>0</v>
      </c>
      <c r="H228" t="s">
        <v>58</v>
      </c>
      <c r="I228">
        <v>2</v>
      </c>
      <c r="J228">
        <v>1</v>
      </c>
      <c r="K228">
        <v>1</v>
      </c>
      <c r="L228">
        <v>2.44</v>
      </c>
      <c r="M228">
        <v>77850</v>
      </c>
      <c r="N228">
        <v>39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W228">
        <v>1</v>
      </c>
      <c r="X228">
        <v>2</v>
      </c>
      <c r="Y228">
        <v>2</v>
      </c>
      <c r="Z228">
        <v>2</v>
      </c>
      <c r="AA228">
        <v>2</v>
      </c>
      <c r="AB228">
        <v>2</v>
      </c>
      <c r="AC228">
        <v>2</v>
      </c>
      <c r="AD228">
        <v>0</v>
      </c>
      <c r="AE228">
        <v>1</v>
      </c>
      <c r="AF228">
        <v>1</v>
      </c>
      <c r="AG228">
        <v>2</v>
      </c>
      <c r="AH228">
        <v>1</v>
      </c>
      <c r="AI228">
        <v>0</v>
      </c>
      <c r="AJ228">
        <v>1</v>
      </c>
      <c r="AK228">
        <v>1</v>
      </c>
      <c r="AM228">
        <v>359845.09</v>
      </c>
      <c r="AN228">
        <v>73820360</v>
      </c>
      <c r="AO228">
        <v>64788384</v>
      </c>
      <c r="AP228">
        <v>38910468</v>
      </c>
      <c r="AQ228">
        <v>37511424</v>
      </c>
      <c r="AR228">
        <v>26536184</v>
      </c>
      <c r="AS228">
        <v>34317004</v>
      </c>
      <c r="AT228" s="11">
        <v>99934.65</v>
      </c>
      <c r="AU228" s="11">
        <v>422298.97</v>
      </c>
      <c r="AW228" s="14">
        <v>27830706</v>
      </c>
      <c r="AX228" s="14">
        <v>23604212</v>
      </c>
      <c r="AZ228" s="16">
        <v>19642130</v>
      </c>
      <c r="BA228" s="16">
        <v>25916946</v>
      </c>
      <c r="BC228" s="18">
        <v>16922386</v>
      </c>
      <c r="BD228" s="18">
        <v>16246298</v>
      </c>
    </row>
    <row r="229" spans="1:56" hidden="1">
      <c r="A229">
        <v>16854</v>
      </c>
      <c r="B229" t="s">
        <v>1070</v>
      </c>
      <c r="C229" t="s">
        <v>1071</v>
      </c>
      <c r="D229" t="s">
        <v>1072</v>
      </c>
      <c r="E229" t="s">
        <v>1073</v>
      </c>
      <c r="F229" t="s">
        <v>1074</v>
      </c>
      <c r="G229">
        <v>0</v>
      </c>
      <c r="H229" t="s">
        <v>58</v>
      </c>
      <c r="I229">
        <v>2</v>
      </c>
      <c r="J229">
        <v>2</v>
      </c>
      <c r="K229">
        <v>1</v>
      </c>
      <c r="L229">
        <v>3.46</v>
      </c>
      <c r="M229">
        <v>46238</v>
      </c>
      <c r="N229">
        <v>20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X229">
        <v>1</v>
      </c>
      <c r="Y229">
        <v>2</v>
      </c>
      <c r="Z229">
        <v>1</v>
      </c>
      <c r="AA229">
        <v>1</v>
      </c>
      <c r="AB229">
        <v>2</v>
      </c>
      <c r="AC229">
        <v>2</v>
      </c>
      <c r="AD229">
        <v>0</v>
      </c>
      <c r="AE229">
        <v>0</v>
      </c>
      <c r="AF229">
        <v>1</v>
      </c>
      <c r="AG229">
        <v>1</v>
      </c>
      <c r="AH229">
        <v>1</v>
      </c>
      <c r="AI229">
        <v>1</v>
      </c>
      <c r="AJ229">
        <v>2</v>
      </c>
      <c r="AK229">
        <v>0</v>
      </c>
      <c r="AN229">
        <v>581957.62</v>
      </c>
      <c r="AO229">
        <v>620114624</v>
      </c>
      <c r="AP229">
        <v>211995952</v>
      </c>
      <c r="AQ229">
        <v>224938816</v>
      </c>
      <c r="AR229">
        <v>168222368</v>
      </c>
      <c r="AS229">
        <v>221178064</v>
      </c>
      <c r="AT229" s="11">
        <v>99934.65</v>
      </c>
      <c r="AU229" s="11">
        <v>151704.31</v>
      </c>
      <c r="AW229" s="14">
        <v>167556.25</v>
      </c>
      <c r="AX229" s="14">
        <v>103218504</v>
      </c>
      <c r="AZ229" s="16">
        <v>12327739</v>
      </c>
      <c r="BA229" s="16">
        <v>12010521</v>
      </c>
      <c r="BC229" s="18">
        <v>258582640</v>
      </c>
      <c r="BD229" s="18">
        <v>258464112</v>
      </c>
    </row>
    <row r="230" spans="1:56" hidden="1">
      <c r="A230">
        <v>16857</v>
      </c>
      <c r="B230" t="s">
        <v>1075</v>
      </c>
      <c r="C230" t="s">
        <v>1076</v>
      </c>
      <c r="D230" t="s">
        <v>1077</v>
      </c>
      <c r="F230" t="s">
        <v>1078</v>
      </c>
      <c r="G230">
        <v>0</v>
      </c>
      <c r="H230" t="s">
        <v>58</v>
      </c>
      <c r="I230">
        <v>2</v>
      </c>
      <c r="J230">
        <v>2</v>
      </c>
      <c r="K230">
        <v>0</v>
      </c>
      <c r="L230">
        <v>2.99</v>
      </c>
      <c r="M230">
        <v>79341</v>
      </c>
      <c r="N230">
        <v>39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2</v>
      </c>
      <c r="W230">
        <v>1</v>
      </c>
      <c r="X230">
        <v>2</v>
      </c>
      <c r="Y230">
        <v>2</v>
      </c>
      <c r="Z230">
        <v>1</v>
      </c>
      <c r="AA230">
        <v>2</v>
      </c>
      <c r="AB230">
        <v>1</v>
      </c>
      <c r="AC230">
        <v>1</v>
      </c>
      <c r="AD230">
        <v>0</v>
      </c>
      <c r="AE230">
        <v>0</v>
      </c>
      <c r="AF230">
        <v>0</v>
      </c>
      <c r="AG230">
        <v>2</v>
      </c>
      <c r="AH230">
        <v>0</v>
      </c>
      <c r="AI230">
        <v>0</v>
      </c>
      <c r="AJ230">
        <v>0</v>
      </c>
      <c r="AK230">
        <v>0</v>
      </c>
      <c r="AM230">
        <v>225280.95</v>
      </c>
      <c r="AN230">
        <v>846233.12</v>
      </c>
      <c r="AO230">
        <v>1046126.5</v>
      </c>
      <c r="AP230">
        <v>62662.720000000001</v>
      </c>
      <c r="AQ230">
        <v>234510.66</v>
      </c>
      <c r="AR230">
        <v>106866.86</v>
      </c>
      <c r="AS230">
        <v>101422.59</v>
      </c>
      <c r="AT230" s="11">
        <v>99934.65</v>
      </c>
      <c r="AU230" s="11">
        <v>52351.77</v>
      </c>
      <c r="AW230" s="14">
        <v>445045.06</v>
      </c>
      <c r="AX230" s="14">
        <v>347308.78</v>
      </c>
      <c r="AZ230" s="16">
        <v>47986.55</v>
      </c>
      <c r="BA230" s="16">
        <v>157301.5</v>
      </c>
      <c r="BC230" s="18">
        <v>91288.6</v>
      </c>
      <c r="BD230" s="18">
        <v>74588.84</v>
      </c>
    </row>
    <row r="231" spans="1:56" s="19" customFormat="1" hidden="1">
      <c r="A231" s="19">
        <v>16880</v>
      </c>
      <c r="B231" s="19" t="s">
        <v>1079</v>
      </c>
      <c r="C231" s="19" t="s">
        <v>1080</v>
      </c>
      <c r="D231" s="19" t="s">
        <v>1079</v>
      </c>
      <c r="F231" s="19" t="s">
        <v>1081</v>
      </c>
      <c r="G231" s="19">
        <v>0</v>
      </c>
      <c r="H231" s="19" t="s">
        <v>58</v>
      </c>
      <c r="I231" s="19">
        <v>2</v>
      </c>
      <c r="J231" s="19">
        <v>1</v>
      </c>
      <c r="K231" s="19">
        <v>0</v>
      </c>
      <c r="L231" s="19">
        <v>0.9</v>
      </c>
      <c r="M231" s="19">
        <v>187250</v>
      </c>
      <c r="N231" s="19">
        <v>108</v>
      </c>
      <c r="O231" s="19">
        <v>2</v>
      </c>
      <c r="P231" s="19">
        <v>2</v>
      </c>
      <c r="Q231" s="19">
        <v>2</v>
      </c>
      <c r="R231" s="19">
        <v>2</v>
      </c>
      <c r="S231" s="19">
        <v>2</v>
      </c>
      <c r="T231" s="19">
        <v>2</v>
      </c>
      <c r="U231" s="19">
        <v>2</v>
      </c>
      <c r="W231" s="19">
        <v>1</v>
      </c>
      <c r="X231" s="19">
        <v>1</v>
      </c>
      <c r="Y231" s="19">
        <v>2</v>
      </c>
      <c r="Z231" s="19">
        <v>2</v>
      </c>
      <c r="AA231" s="19">
        <v>2</v>
      </c>
      <c r="AB231" s="19">
        <v>2</v>
      </c>
      <c r="AC231" s="19">
        <v>2</v>
      </c>
      <c r="AD231" s="19">
        <v>0</v>
      </c>
      <c r="AE231" s="19">
        <v>0</v>
      </c>
      <c r="AF231" s="19">
        <v>0</v>
      </c>
      <c r="AG231" s="19">
        <v>2</v>
      </c>
      <c r="AH231" s="19">
        <v>0</v>
      </c>
      <c r="AI231" s="19">
        <v>2</v>
      </c>
      <c r="AJ231" s="19">
        <v>1</v>
      </c>
      <c r="AK231" s="19">
        <v>1</v>
      </c>
      <c r="AM231" s="19">
        <v>477062.94</v>
      </c>
      <c r="AN231" s="19">
        <v>2397177.25</v>
      </c>
      <c r="AO231" s="19">
        <v>4607283</v>
      </c>
      <c r="AP231" s="19">
        <v>912431.31</v>
      </c>
      <c r="AQ231" s="19">
        <v>1822684.75</v>
      </c>
      <c r="AR231" s="19">
        <v>1465328.88</v>
      </c>
      <c r="AS231" s="19">
        <v>1343048.25</v>
      </c>
      <c r="AT231" s="20">
        <v>99934.65</v>
      </c>
      <c r="AU231" s="20">
        <v>77499.759999999995</v>
      </c>
      <c r="AV231" s="20"/>
      <c r="AW231" s="21">
        <v>57496.26</v>
      </c>
      <c r="AX231" s="21">
        <v>1151699</v>
      </c>
      <c r="AY231" s="21"/>
      <c r="AZ231" s="22">
        <v>763011.94</v>
      </c>
      <c r="BA231" s="22">
        <v>2122789.5</v>
      </c>
      <c r="BB231" s="22"/>
      <c r="BC231" s="23">
        <v>1036143.75</v>
      </c>
      <c r="BD231" s="23">
        <v>807408.88</v>
      </c>
    </row>
  </sheetData>
  <autoFilter ref="A1:BD231" xr:uid="{EA6A4BB5-A47C-4192-B504-02D4DE57E9A2}">
    <filterColumn colId="1">
      <filters>
        <filter val="DPOL_BPPH2"/>
        <filter val="PMT_MYCTU1"/>
        <filter val="TERM_BPPH2"/>
        <filter val="UPI001D0F4A03_Aequorea"/>
      </filters>
    </filterColumn>
    <filterColumn colId="5">
      <customFilters>
        <customFilter operator="notEqual" val="*ECO*"/>
      </customFilters>
    </filterColumn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69D3-2BC9-44D7-BD28-10D5B2F8D799}">
  <sheetPr filterMode="1"/>
  <dimension ref="A1:BD231"/>
  <sheetViews>
    <sheetView topLeftCell="G1" zoomScale="90" zoomScaleNormal="90" workbookViewId="0">
      <selection activeCell="C4" sqref="C4:C187"/>
    </sheetView>
  </sheetViews>
  <sheetFormatPr baseColWidth="10" defaultColWidth="8.625" defaultRowHeight="14.25"/>
  <cols>
    <col min="1" max="1" width="15" customWidth="1"/>
    <col min="2" max="2" width="23" customWidth="1"/>
    <col min="3" max="3" width="10" customWidth="1"/>
    <col min="4" max="6" width="31" customWidth="1"/>
    <col min="7" max="7" width="18" customWidth="1"/>
    <col min="8" max="8" width="13" customWidth="1"/>
    <col min="9" max="9" width="16" customWidth="1"/>
    <col min="10" max="10" width="25" customWidth="1"/>
    <col min="11" max="11" width="24" customWidth="1"/>
    <col min="12" max="13" width="13" customWidth="1"/>
    <col min="14" max="14" width="21" customWidth="1"/>
    <col min="15" max="15" width="13" customWidth="1"/>
    <col min="16" max="16" width="20" customWidth="1"/>
    <col min="17" max="17" width="13" customWidth="1"/>
    <col min="18" max="18" width="19" customWidth="1"/>
    <col min="19" max="19" width="15" customWidth="1"/>
    <col min="20" max="20" width="24" customWidth="1"/>
    <col min="21" max="21" width="26" customWidth="1"/>
    <col min="22" max="24" width="30" customWidth="1"/>
    <col min="25" max="25" width="31" customWidth="1"/>
    <col min="26" max="26" width="30" customWidth="1"/>
    <col min="27" max="27" width="31" customWidth="1"/>
    <col min="28" max="28" width="30" customWidth="1"/>
    <col min="29" max="29" width="31" customWidth="1"/>
    <col min="30" max="32" width="25" customWidth="1"/>
    <col min="33" max="33" width="26" customWidth="1"/>
    <col min="34" max="34" width="25" customWidth="1"/>
    <col min="35" max="35" width="26" customWidth="1"/>
    <col min="36" max="36" width="25" customWidth="1"/>
    <col min="37" max="37" width="26" customWidth="1"/>
    <col min="38" max="40" width="29" customWidth="1"/>
    <col min="41" max="41" width="30" customWidth="1"/>
    <col min="42" max="42" width="29" customWidth="1"/>
    <col min="43" max="43" width="30" customWidth="1"/>
    <col min="44" max="44" width="29" customWidth="1"/>
    <col min="45" max="45" width="30" customWidth="1"/>
    <col min="46" max="48" width="25" style="11" customWidth="1"/>
    <col min="49" max="49" width="25" style="14" customWidth="1"/>
    <col min="50" max="51" width="26" style="14" customWidth="1"/>
    <col min="52" max="52" width="25" style="16" customWidth="1"/>
    <col min="53" max="54" width="26" style="16" customWidth="1"/>
    <col min="55" max="55" width="25" style="18" customWidth="1"/>
    <col min="56" max="56" width="26" style="18" customWidth="1"/>
  </cols>
  <sheetData>
    <row r="1" spans="1:56" ht="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12" t="s">
        <v>45</v>
      </c>
      <c r="AU1" s="10" t="s">
        <v>46</v>
      </c>
      <c r="AV1" s="10"/>
      <c r="AW1" s="13" t="s">
        <v>47</v>
      </c>
      <c r="AX1" s="13" t="s">
        <v>48</v>
      </c>
      <c r="AY1" s="13"/>
      <c r="AZ1" s="15" t="s">
        <v>49</v>
      </c>
      <c r="BA1" s="15" t="s">
        <v>50</v>
      </c>
      <c r="BB1" s="15"/>
      <c r="BC1" s="17" t="s">
        <v>51</v>
      </c>
      <c r="BD1" s="17" t="s">
        <v>52</v>
      </c>
    </row>
    <row r="2" spans="1:56" hidden="1">
      <c r="A2">
        <v>16786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>
        <v>3169.0309999999999</v>
      </c>
      <c r="H2" t="s">
        <v>58</v>
      </c>
      <c r="I2">
        <v>2</v>
      </c>
      <c r="J2">
        <v>20</v>
      </c>
      <c r="K2">
        <v>1</v>
      </c>
      <c r="L2">
        <v>81.680000000000007</v>
      </c>
      <c r="M2">
        <v>77580</v>
      </c>
      <c r="N2">
        <v>43</v>
      </c>
      <c r="O2">
        <v>57</v>
      </c>
      <c r="P2">
        <v>57</v>
      </c>
      <c r="Q2">
        <v>65</v>
      </c>
      <c r="R2">
        <v>65</v>
      </c>
      <c r="S2">
        <v>5383</v>
      </c>
      <c r="T2">
        <v>5383</v>
      </c>
      <c r="U2">
        <v>65</v>
      </c>
      <c r="V2">
        <v>47</v>
      </c>
      <c r="W2">
        <v>51</v>
      </c>
      <c r="X2">
        <v>57</v>
      </c>
      <c r="Y2">
        <v>63</v>
      </c>
      <c r="Z2">
        <v>60</v>
      </c>
      <c r="AA2">
        <v>60</v>
      </c>
      <c r="AB2">
        <v>60</v>
      </c>
      <c r="AC2">
        <v>59</v>
      </c>
      <c r="AD2">
        <v>392</v>
      </c>
      <c r="AE2">
        <v>360</v>
      </c>
      <c r="AF2">
        <v>785</v>
      </c>
      <c r="AG2">
        <v>835</v>
      </c>
      <c r="AH2">
        <v>792</v>
      </c>
      <c r="AI2">
        <v>817</v>
      </c>
      <c r="AJ2">
        <v>615</v>
      </c>
      <c r="AK2">
        <v>787</v>
      </c>
      <c r="AL2">
        <v>2182097152</v>
      </c>
      <c r="AM2">
        <v>1865604480</v>
      </c>
      <c r="AN2">
        <v>5362102272</v>
      </c>
      <c r="AO2">
        <v>8320054784</v>
      </c>
      <c r="AP2">
        <v>4089943296</v>
      </c>
      <c r="AQ2">
        <v>4664014848</v>
      </c>
      <c r="AR2">
        <v>3693956096</v>
      </c>
      <c r="AS2">
        <v>4848675840</v>
      </c>
      <c r="AT2" s="11">
        <v>1638980992</v>
      </c>
      <c r="AU2" s="11">
        <v>1337588736</v>
      </c>
      <c r="AW2" s="14">
        <v>2799779840</v>
      </c>
      <c r="AX2" s="14">
        <v>3695418112</v>
      </c>
      <c r="AZ2" s="16">
        <v>3152617728</v>
      </c>
      <c r="BA2" s="16">
        <v>3273308928</v>
      </c>
      <c r="BC2" s="18">
        <v>2702001920</v>
      </c>
      <c r="BD2" s="18">
        <v>3069323776</v>
      </c>
    </row>
    <row r="3" spans="1:56" hidden="1">
      <c r="A3">
        <v>16829</v>
      </c>
      <c r="B3" t="s">
        <v>59</v>
      </c>
      <c r="C3" t="s">
        <v>60</v>
      </c>
      <c r="D3" t="s">
        <v>61</v>
      </c>
      <c r="F3" t="s">
        <v>62</v>
      </c>
      <c r="G3">
        <v>3150.3739999999998</v>
      </c>
      <c r="H3" t="s">
        <v>58</v>
      </c>
      <c r="I3">
        <v>2</v>
      </c>
      <c r="J3">
        <v>3</v>
      </c>
      <c r="K3">
        <v>0</v>
      </c>
      <c r="L3">
        <v>76.12</v>
      </c>
      <c r="M3">
        <v>61157</v>
      </c>
      <c r="N3">
        <v>35</v>
      </c>
      <c r="O3">
        <v>55</v>
      </c>
      <c r="P3">
        <v>55</v>
      </c>
      <c r="Q3">
        <v>58</v>
      </c>
      <c r="R3">
        <v>58</v>
      </c>
      <c r="S3">
        <v>9288</v>
      </c>
      <c r="T3">
        <v>9288</v>
      </c>
      <c r="U3">
        <v>58</v>
      </c>
      <c r="V3">
        <v>48</v>
      </c>
      <c r="W3">
        <v>49</v>
      </c>
      <c r="X3">
        <v>54</v>
      </c>
      <c r="Y3">
        <v>55</v>
      </c>
      <c r="Z3">
        <v>56</v>
      </c>
      <c r="AA3">
        <v>57</v>
      </c>
      <c r="AB3">
        <v>57</v>
      </c>
      <c r="AC3">
        <v>56</v>
      </c>
      <c r="AD3">
        <v>924</v>
      </c>
      <c r="AE3">
        <v>989</v>
      </c>
      <c r="AF3">
        <v>1333</v>
      </c>
      <c r="AG3">
        <v>1427</v>
      </c>
      <c r="AH3">
        <v>1413</v>
      </c>
      <c r="AI3">
        <v>1335</v>
      </c>
      <c r="AJ3">
        <v>1037</v>
      </c>
      <c r="AK3">
        <v>829</v>
      </c>
      <c r="AL3">
        <v>5071682048</v>
      </c>
      <c r="AM3">
        <v>4869823488</v>
      </c>
      <c r="AN3">
        <v>9463989248</v>
      </c>
      <c r="AO3">
        <v>11447007232</v>
      </c>
      <c r="AP3">
        <v>6379252736</v>
      </c>
      <c r="AQ3">
        <v>6611609088</v>
      </c>
      <c r="AR3">
        <v>6586499584</v>
      </c>
      <c r="AS3">
        <v>5490465280</v>
      </c>
      <c r="AT3" s="11">
        <v>4292909568</v>
      </c>
      <c r="AU3" s="11">
        <v>4611912704</v>
      </c>
      <c r="AW3" s="14">
        <v>5316688896</v>
      </c>
      <c r="AX3" s="14">
        <v>4718388736</v>
      </c>
      <c r="AZ3" s="16">
        <v>4811970048</v>
      </c>
      <c r="BA3" s="16">
        <v>4409207808</v>
      </c>
      <c r="BC3" s="18">
        <v>4280950272</v>
      </c>
      <c r="BD3" s="18">
        <v>3152657408</v>
      </c>
    </row>
    <row r="4" spans="1:56">
      <c r="A4">
        <v>16721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>
        <v>2651.1570000000002</v>
      </c>
      <c r="H4" t="s">
        <v>58</v>
      </c>
      <c r="I4">
        <v>2</v>
      </c>
      <c r="J4">
        <v>3</v>
      </c>
      <c r="K4">
        <v>17</v>
      </c>
      <c r="L4">
        <v>62.64</v>
      </c>
      <c r="M4">
        <v>93695</v>
      </c>
      <c r="N4">
        <v>51</v>
      </c>
      <c r="O4">
        <v>49</v>
      </c>
      <c r="P4">
        <v>49</v>
      </c>
      <c r="Q4">
        <v>62</v>
      </c>
      <c r="R4">
        <v>62</v>
      </c>
      <c r="S4">
        <v>7522</v>
      </c>
      <c r="T4">
        <v>7522</v>
      </c>
      <c r="U4">
        <v>62</v>
      </c>
      <c r="V4">
        <v>50</v>
      </c>
      <c r="W4">
        <v>54</v>
      </c>
      <c r="X4">
        <v>57</v>
      </c>
      <c r="Y4">
        <v>60</v>
      </c>
      <c r="Z4">
        <v>55</v>
      </c>
      <c r="AA4">
        <v>56</v>
      </c>
      <c r="AB4">
        <v>62</v>
      </c>
      <c r="AC4">
        <v>62</v>
      </c>
      <c r="AD4">
        <v>598</v>
      </c>
      <c r="AE4">
        <v>663</v>
      </c>
      <c r="AF4">
        <v>1054</v>
      </c>
      <c r="AG4">
        <v>892</v>
      </c>
      <c r="AH4">
        <v>542</v>
      </c>
      <c r="AI4">
        <v>526</v>
      </c>
      <c r="AJ4">
        <v>1520</v>
      </c>
      <c r="AK4">
        <v>1727</v>
      </c>
      <c r="AL4">
        <v>7062929408</v>
      </c>
      <c r="AM4">
        <v>6096701952</v>
      </c>
      <c r="AN4">
        <v>12136049664</v>
      </c>
      <c r="AO4">
        <v>13151027200</v>
      </c>
      <c r="AP4">
        <v>3762981120</v>
      </c>
      <c r="AQ4">
        <v>4052071424</v>
      </c>
      <c r="AR4">
        <v>18020900864</v>
      </c>
      <c r="AS4">
        <v>21608833024</v>
      </c>
      <c r="AT4" s="11">
        <v>5277456896</v>
      </c>
      <c r="AU4" s="11">
        <v>4879404544</v>
      </c>
      <c r="AW4" s="14">
        <v>5952979456</v>
      </c>
      <c r="AX4" s="14">
        <v>4830801408</v>
      </c>
      <c r="AZ4" s="16">
        <v>2339232512</v>
      </c>
      <c r="BA4" s="16">
        <v>2363166208</v>
      </c>
      <c r="BC4" s="18">
        <v>10993537024</v>
      </c>
      <c r="BD4" s="18">
        <v>12211140608</v>
      </c>
    </row>
    <row r="5" spans="1:56" hidden="1">
      <c r="A5">
        <v>16871</v>
      </c>
      <c r="B5" t="s">
        <v>68</v>
      </c>
      <c r="C5" t="s">
        <v>69</v>
      </c>
      <c r="D5" t="s">
        <v>68</v>
      </c>
      <c r="F5" t="s">
        <v>70</v>
      </c>
      <c r="G5">
        <v>2082.4810000000002</v>
      </c>
      <c r="H5" t="s">
        <v>58</v>
      </c>
      <c r="I5">
        <v>2</v>
      </c>
      <c r="J5">
        <v>1</v>
      </c>
      <c r="K5">
        <v>0</v>
      </c>
      <c r="L5">
        <v>70.61</v>
      </c>
      <c r="M5">
        <v>66713</v>
      </c>
      <c r="N5">
        <v>40</v>
      </c>
      <c r="O5">
        <v>46</v>
      </c>
      <c r="P5">
        <v>46</v>
      </c>
      <c r="Q5">
        <v>47</v>
      </c>
      <c r="R5">
        <v>47</v>
      </c>
      <c r="S5">
        <v>4323</v>
      </c>
      <c r="T5">
        <v>4323</v>
      </c>
      <c r="U5">
        <v>47</v>
      </c>
      <c r="V5">
        <v>36</v>
      </c>
      <c r="W5">
        <v>38</v>
      </c>
      <c r="X5">
        <v>45</v>
      </c>
      <c r="Y5">
        <v>47</v>
      </c>
      <c r="Z5">
        <v>42</v>
      </c>
      <c r="AA5">
        <v>45</v>
      </c>
      <c r="AB5">
        <v>47</v>
      </c>
      <c r="AC5">
        <v>45</v>
      </c>
      <c r="AD5">
        <v>501</v>
      </c>
      <c r="AE5">
        <v>516</v>
      </c>
      <c r="AF5">
        <v>745</v>
      </c>
      <c r="AG5">
        <v>646</v>
      </c>
      <c r="AH5">
        <v>398</v>
      </c>
      <c r="AI5">
        <v>372</v>
      </c>
      <c r="AJ5">
        <v>588</v>
      </c>
      <c r="AK5">
        <v>557</v>
      </c>
      <c r="AL5">
        <v>3875154688</v>
      </c>
      <c r="AM5">
        <v>3359524096</v>
      </c>
      <c r="AN5">
        <v>6278807040</v>
      </c>
      <c r="AO5">
        <v>7675360256</v>
      </c>
      <c r="AP5">
        <v>2221802752</v>
      </c>
      <c r="AQ5">
        <v>2413990912</v>
      </c>
      <c r="AR5">
        <v>5120246272</v>
      </c>
      <c r="AS5">
        <v>4226421248</v>
      </c>
      <c r="AT5" s="11">
        <v>2918830592</v>
      </c>
      <c r="AU5" s="11">
        <v>2796321024</v>
      </c>
      <c r="AW5" s="14">
        <v>3361662208</v>
      </c>
      <c r="AX5" s="14">
        <v>3118186752</v>
      </c>
      <c r="AZ5" s="16">
        <v>1527015040</v>
      </c>
      <c r="BA5" s="16">
        <v>1471797760</v>
      </c>
      <c r="BC5" s="18">
        <v>3422046208</v>
      </c>
      <c r="BD5" s="18">
        <v>2544448256</v>
      </c>
    </row>
    <row r="6" spans="1:56" hidden="1">
      <c r="A6">
        <v>16664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>
        <v>2047.42</v>
      </c>
      <c r="H6" t="s">
        <v>58</v>
      </c>
      <c r="I6">
        <v>2</v>
      </c>
      <c r="J6">
        <v>7</v>
      </c>
      <c r="K6">
        <v>9</v>
      </c>
      <c r="L6">
        <v>81.73</v>
      </c>
      <c r="M6">
        <v>43283</v>
      </c>
      <c r="N6">
        <v>26</v>
      </c>
      <c r="O6">
        <v>33</v>
      </c>
      <c r="P6">
        <v>33</v>
      </c>
      <c r="Q6">
        <v>39</v>
      </c>
      <c r="R6">
        <v>39</v>
      </c>
      <c r="S6">
        <v>9323</v>
      </c>
      <c r="T6">
        <v>9323</v>
      </c>
      <c r="U6">
        <v>39</v>
      </c>
      <c r="V6">
        <v>27</v>
      </c>
      <c r="W6">
        <v>27</v>
      </c>
      <c r="X6">
        <v>36</v>
      </c>
      <c r="Y6">
        <v>38</v>
      </c>
      <c r="Z6">
        <v>38</v>
      </c>
      <c r="AA6">
        <v>39</v>
      </c>
      <c r="AB6">
        <v>38</v>
      </c>
      <c r="AC6">
        <v>39</v>
      </c>
      <c r="AD6">
        <v>703</v>
      </c>
      <c r="AE6">
        <v>764</v>
      </c>
      <c r="AF6">
        <v>1188</v>
      </c>
      <c r="AG6">
        <v>1406</v>
      </c>
      <c r="AH6">
        <v>1297</v>
      </c>
      <c r="AI6">
        <v>1349</v>
      </c>
      <c r="AJ6">
        <v>1312</v>
      </c>
      <c r="AK6">
        <v>1304</v>
      </c>
      <c r="AL6">
        <v>4193328128</v>
      </c>
      <c r="AM6">
        <v>3974820352</v>
      </c>
      <c r="AN6">
        <v>9674161152</v>
      </c>
      <c r="AO6">
        <v>12910504960</v>
      </c>
      <c r="AP6">
        <v>7836724224</v>
      </c>
      <c r="AQ6">
        <v>9476875264</v>
      </c>
      <c r="AR6">
        <v>7780093952</v>
      </c>
      <c r="AS6">
        <v>9225899008</v>
      </c>
      <c r="AT6" s="11">
        <v>3003825152</v>
      </c>
      <c r="AU6" s="11">
        <v>2798942464</v>
      </c>
      <c r="AW6" s="14">
        <v>5597512192</v>
      </c>
      <c r="AX6" s="14">
        <v>6589564416</v>
      </c>
      <c r="AZ6" s="16">
        <v>5849209856</v>
      </c>
      <c r="BA6" s="16">
        <v>6594433536</v>
      </c>
      <c r="BC6" s="18">
        <v>5191266816</v>
      </c>
      <c r="BD6" s="18">
        <v>5928875520</v>
      </c>
    </row>
    <row r="7" spans="1:56" hidden="1">
      <c r="A7">
        <v>16819</v>
      </c>
      <c r="B7" t="s">
        <v>76</v>
      </c>
      <c r="C7" t="s">
        <v>77</v>
      </c>
      <c r="D7" t="s">
        <v>78</v>
      </c>
      <c r="E7" t="s">
        <v>79</v>
      </c>
      <c r="F7" t="s">
        <v>80</v>
      </c>
      <c r="G7">
        <v>2030.7819999999999</v>
      </c>
      <c r="H7" t="s">
        <v>58</v>
      </c>
      <c r="I7">
        <v>2</v>
      </c>
      <c r="J7">
        <v>3</v>
      </c>
      <c r="K7">
        <v>7</v>
      </c>
      <c r="L7">
        <v>61.3</v>
      </c>
      <c r="M7">
        <v>96031</v>
      </c>
      <c r="N7">
        <v>59</v>
      </c>
      <c r="O7">
        <v>49</v>
      </c>
      <c r="P7">
        <v>49</v>
      </c>
      <c r="Q7">
        <v>50</v>
      </c>
      <c r="R7">
        <v>50</v>
      </c>
      <c r="S7">
        <v>956</v>
      </c>
      <c r="T7">
        <v>956</v>
      </c>
      <c r="U7">
        <v>50</v>
      </c>
      <c r="V7">
        <v>33</v>
      </c>
      <c r="W7">
        <v>39</v>
      </c>
      <c r="X7">
        <v>42</v>
      </c>
      <c r="Y7">
        <v>47</v>
      </c>
      <c r="Z7">
        <v>49</v>
      </c>
      <c r="AA7">
        <v>50</v>
      </c>
      <c r="AB7">
        <v>49</v>
      </c>
      <c r="AC7">
        <v>49</v>
      </c>
      <c r="AD7">
        <v>102</v>
      </c>
      <c r="AE7">
        <v>104</v>
      </c>
      <c r="AF7">
        <v>88</v>
      </c>
      <c r="AG7">
        <v>101</v>
      </c>
      <c r="AH7">
        <v>142</v>
      </c>
      <c r="AI7">
        <v>167</v>
      </c>
      <c r="AJ7">
        <v>107</v>
      </c>
      <c r="AK7">
        <v>144</v>
      </c>
      <c r="AL7">
        <v>623074048</v>
      </c>
      <c r="AM7">
        <v>2080943744</v>
      </c>
      <c r="AN7">
        <v>2611674112</v>
      </c>
      <c r="AO7">
        <v>1457060480</v>
      </c>
      <c r="AP7">
        <v>2189307904</v>
      </c>
      <c r="AQ7">
        <v>2495125760</v>
      </c>
      <c r="AR7">
        <v>1141066752</v>
      </c>
      <c r="AS7">
        <v>2398300928</v>
      </c>
      <c r="AT7" s="11">
        <v>927420672</v>
      </c>
      <c r="AU7" s="11">
        <v>1079577472</v>
      </c>
      <c r="AW7" s="14">
        <v>890225280</v>
      </c>
      <c r="AX7" s="14">
        <v>936472960</v>
      </c>
      <c r="AZ7" s="16">
        <v>1327956480</v>
      </c>
      <c r="BA7" s="16">
        <v>1536904064</v>
      </c>
      <c r="BC7" s="18">
        <v>1101986944</v>
      </c>
      <c r="BD7" s="18">
        <v>1236866048</v>
      </c>
    </row>
    <row r="8" spans="1:56" hidden="1">
      <c r="A8">
        <v>16667</v>
      </c>
      <c r="B8" t="s">
        <v>81</v>
      </c>
      <c r="C8" t="s">
        <v>82</v>
      </c>
      <c r="D8" t="s">
        <v>83</v>
      </c>
      <c r="E8" t="s">
        <v>84</v>
      </c>
      <c r="F8" t="s">
        <v>85</v>
      </c>
      <c r="G8">
        <v>1888.3420000000001</v>
      </c>
      <c r="H8" t="s">
        <v>58</v>
      </c>
      <c r="I8">
        <v>2</v>
      </c>
      <c r="J8">
        <v>5</v>
      </c>
      <c r="K8">
        <v>16</v>
      </c>
      <c r="L8">
        <v>69.52</v>
      </c>
      <c r="M8">
        <v>76812</v>
      </c>
      <c r="N8">
        <v>46</v>
      </c>
      <c r="O8">
        <v>46</v>
      </c>
      <c r="P8">
        <v>46</v>
      </c>
      <c r="Q8">
        <v>47</v>
      </c>
      <c r="R8">
        <v>47</v>
      </c>
      <c r="S8">
        <v>609</v>
      </c>
      <c r="T8">
        <v>609</v>
      </c>
      <c r="U8">
        <v>47</v>
      </c>
      <c r="V8">
        <v>34</v>
      </c>
      <c r="W8">
        <v>32</v>
      </c>
      <c r="X8">
        <v>41</v>
      </c>
      <c r="Y8">
        <v>46</v>
      </c>
      <c r="Z8">
        <v>44</v>
      </c>
      <c r="AA8">
        <v>46</v>
      </c>
      <c r="AB8">
        <v>46</v>
      </c>
      <c r="AC8">
        <v>47</v>
      </c>
      <c r="AD8">
        <v>47</v>
      </c>
      <c r="AE8">
        <v>49</v>
      </c>
      <c r="AF8">
        <v>65</v>
      </c>
      <c r="AG8">
        <v>70</v>
      </c>
      <c r="AH8">
        <v>88</v>
      </c>
      <c r="AI8">
        <v>97</v>
      </c>
      <c r="AJ8">
        <v>87</v>
      </c>
      <c r="AK8">
        <v>106</v>
      </c>
      <c r="AL8">
        <v>207593584</v>
      </c>
      <c r="AM8">
        <v>208713840</v>
      </c>
      <c r="AN8">
        <v>420518688</v>
      </c>
      <c r="AO8">
        <v>596326976</v>
      </c>
      <c r="AP8">
        <v>467637760</v>
      </c>
      <c r="AQ8">
        <v>594142720</v>
      </c>
      <c r="AR8">
        <v>497052320</v>
      </c>
      <c r="AS8">
        <v>584335232</v>
      </c>
      <c r="AT8" s="11">
        <v>223580400</v>
      </c>
      <c r="AU8" s="11">
        <v>230065840</v>
      </c>
      <c r="AW8" s="14">
        <v>226611184</v>
      </c>
      <c r="AX8" s="14">
        <v>221647296</v>
      </c>
      <c r="AZ8" s="16">
        <v>326966400</v>
      </c>
      <c r="BA8" s="16">
        <v>367050080</v>
      </c>
      <c r="BC8" s="18">
        <v>315216608</v>
      </c>
      <c r="BD8" s="18">
        <v>315204544</v>
      </c>
    </row>
    <row r="9" spans="1:56" hidden="1">
      <c r="A9">
        <v>16788</v>
      </c>
      <c r="B9" t="s">
        <v>86</v>
      </c>
      <c r="C9" t="s">
        <v>87</v>
      </c>
      <c r="D9" t="s">
        <v>88</v>
      </c>
      <c r="F9" t="s">
        <v>89</v>
      </c>
      <c r="G9">
        <v>1675.183</v>
      </c>
      <c r="H9" t="s">
        <v>58</v>
      </c>
      <c r="I9">
        <v>2</v>
      </c>
      <c r="J9">
        <v>20</v>
      </c>
      <c r="K9">
        <v>0</v>
      </c>
      <c r="L9">
        <v>84.19</v>
      </c>
      <c r="M9">
        <v>24729</v>
      </c>
      <c r="N9">
        <v>15</v>
      </c>
      <c r="O9">
        <v>26</v>
      </c>
      <c r="P9">
        <v>26</v>
      </c>
      <c r="Q9">
        <v>31</v>
      </c>
      <c r="R9">
        <v>31</v>
      </c>
      <c r="S9">
        <v>6701</v>
      </c>
      <c r="T9">
        <v>6701</v>
      </c>
      <c r="U9">
        <v>31</v>
      </c>
      <c r="V9">
        <v>26</v>
      </c>
      <c r="W9">
        <v>26</v>
      </c>
      <c r="X9">
        <v>27</v>
      </c>
      <c r="Y9">
        <v>31</v>
      </c>
      <c r="Z9">
        <v>29</v>
      </c>
      <c r="AA9">
        <v>30</v>
      </c>
      <c r="AB9">
        <v>29</v>
      </c>
      <c r="AC9">
        <v>30</v>
      </c>
      <c r="AD9">
        <v>606</v>
      </c>
      <c r="AE9">
        <v>694</v>
      </c>
      <c r="AF9">
        <v>902</v>
      </c>
      <c r="AG9">
        <v>965</v>
      </c>
      <c r="AH9">
        <v>970</v>
      </c>
      <c r="AI9">
        <v>945</v>
      </c>
      <c r="AJ9">
        <v>861</v>
      </c>
      <c r="AK9">
        <v>758</v>
      </c>
      <c r="AL9">
        <v>7322373632</v>
      </c>
      <c r="AM9">
        <v>7181896192</v>
      </c>
      <c r="AN9">
        <v>10766523392</v>
      </c>
      <c r="AO9">
        <v>12166329344</v>
      </c>
      <c r="AP9">
        <v>7214319616</v>
      </c>
      <c r="AQ9">
        <v>7423108096</v>
      </c>
      <c r="AR9">
        <v>7313180160</v>
      </c>
      <c r="AS9">
        <v>6373597696</v>
      </c>
      <c r="AT9" s="11">
        <v>6671104512</v>
      </c>
      <c r="AU9" s="11">
        <v>6961717248</v>
      </c>
      <c r="AW9" s="14">
        <v>5638069248</v>
      </c>
      <c r="AX9" s="14">
        <v>5438311936</v>
      </c>
      <c r="AZ9" s="16">
        <v>5638650880</v>
      </c>
      <c r="BA9" s="16">
        <v>5492911616</v>
      </c>
      <c r="BC9" s="18">
        <v>4987500544</v>
      </c>
      <c r="BD9" s="18">
        <v>4077285888</v>
      </c>
    </row>
    <row r="10" spans="1:56" hidden="1">
      <c r="A10">
        <v>16766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>
        <v>1619.625</v>
      </c>
      <c r="H10" t="s">
        <v>58</v>
      </c>
      <c r="I10">
        <v>2</v>
      </c>
      <c r="J10">
        <v>13</v>
      </c>
      <c r="K10">
        <v>8</v>
      </c>
      <c r="L10">
        <v>55.17</v>
      </c>
      <c r="M10">
        <v>97348</v>
      </c>
      <c r="N10">
        <v>59</v>
      </c>
      <c r="O10">
        <v>41</v>
      </c>
      <c r="P10">
        <v>41</v>
      </c>
      <c r="Q10">
        <v>41</v>
      </c>
      <c r="R10">
        <v>41</v>
      </c>
      <c r="S10">
        <v>652</v>
      </c>
      <c r="T10">
        <v>652</v>
      </c>
      <c r="U10">
        <v>41</v>
      </c>
      <c r="V10">
        <v>34</v>
      </c>
      <c r="W10">
        <v>33</v>
      </c>
      <c r="X10">
        <v>38</v>
      </c>
      <c r="Y10">
        <v>37</v>
      </c>
      <c r="Z10">
        <v>39</v>
      </c>
      <c r="AA10">
        <v>40</v>
      </c>
      <c r="AB10">
        <v>38</v>
      </c>
      <c r="AC10">
        <v>37</v>
      </c>
      <c r="AD10">
        <v>133</v>
      </c>
      <c r="AE10">
        <v>121</v>
      </c>
      <c r="AF10">
        <v>86</v>
      </c>
      <c r="AG10">
        <v>78</v>
      </c>
      <c r="AH10">
        <v>74</v>
      </c>
      <c r="AI10">
        <v>63</v>
      </c>
      <c r="AJ10">
        <v>48</v>
      </c>
      <c r="AK10">
        <v>48</v>
      </c>
      <c r="AL10">
        <v>581290432</v>
      </c>
      <c r="AM10">
        <v>516910976</v>
      </c>
      <c r="AN10">
        <v>531270656</v>
      </c>
      <c r="AO10">
        <v>592395008</v>
      </c>
      <c r="AP10">
        <v>297187072</v>
      </c>
      <c r="AQ10">
        <v>333520288</v>
      </c>
      <c r="AR10">
        <v>287584064</v>
      </c>
      <c r="AS10">
        <v>292437632</v>
      </c>
      <c r="AT10" s="11">
        <v>548881408</v>
      </c>
      <c r="AU10" s="11">
        <v>545138496</v>
      </c>
      <c r="AW10" s="14">
        <v>294084576</v>
      </c>
      <c r="AX10" s="14">
        <v>271499200</v>
      </c>
      <c r="AZ10" s="16">
        <v>230618848</v>
      </c>
      <c r="BA10" s="16">
        <v>211535152</v>
      </c>
      <c r="BC10" s="18">
        <v>205311712</v>
      </c>
      <c r="BD10" s="18">
        <v>192700416</v>
      </c>
    </row>
    <row r="11" spans="1:56">
      <c r="A11">
        <v>16799</v>
      </c>
      <c r="B11" t="s">
        <v>95</v>
      </c>
      <c r="C11" t="s">
        <v>96</v>
      </c>
      <c r="D11" t="s">
        <v>97</v>
      </c>
      <c r="F11" t="s">
        <v>98</v>
      </c>
      <c r="G11">
        <v>1453.809</v>
      </c>
      <c r="H11" t="s">
        <v>58</v>
      </c>
      <c r="I11">
        <v>2</v>
      </c>
      <c r="J11">
        <v>3</v>
      </c>
      <c r="K11">
        <v>0</v>
      </c>
      <c r="L11">
        <v>85.64</v>
      </c>
      <c r="M11">
        <v>40323</v>
      </c>
      <c r="N11">
        <v>24</v>
      </c>
      <c r="O11">
        <v>25</v>
      </c>
      <c r="P11">
        <v>25</v>
      </c>
      <c r="Q11">
        <v>26</v>
      </c>
      <c r="R11">
        <v>26</v>
      </c>
      <c r="S11">
        <v>1197</v>
      </c>
      <c r="T11">
        <v>1197</v>
      </c>
      <c r="U11">
        <v>26</v>
      </c>
      <c r="V11">
        <v>23</v>
      </c>
      <c r="W11">
        <v>23</v>
      </c>
      <c r="X11">
        <v>26</v>
      </c>
      <c r="Y11">
        <v>26</v>
      </c>
      <c r="Z11">
        <v>26</v>
      </c>
      <c r="AA11">
        <v>24</v>
      </c>
      <c r="AB11">
        <v>24</v>
      </c>
      <c r="AC11">
        <v>25</v>
      </c>
      <c r="AD11">
        <v>132</v>
      </c>
      <c r="AE11">
        <v>158</v>
      </c>
      <c r="AF11">
        <v>220</v>
      </c>
      <c r="AG11">
        <v>190</v>
      </c>
      <c r="AH11">
        <v>68</v>
      </c>
      <c r="AI11">
        <v>70</v>
      </c>
      <c r="AJ11">
        <v>185</v>
      </c>
      <c r="AK11">
        <v>174</v>
      </c>
      <c r="AL11">
        <v>544774144</v>
      </c>
      <c r="AM11">
        <v>591065472</v>
      </c>
      <c r="AN11">
        <v>1467126272</v>
      </c>
      <c r="AO11">
        <v>2038535040</v>
      </c>
      <c r="AP11">
        <v>387915936</v>
      </c>
      <c r="AQ11">
        <v>436069088</v>
      </c>
      <c r="AR11">
        <v>965568960</v>
      </c>
      <c r="AS11">
        <v>1174204672</v>
      </c>
      <c r="AT11" s="11">
        <v>444778304</v>
      </c>
      <c r="AU11" s="11">
        <v>619225152</v>
      </c>
      <c r="AW11" s="14">
        <v>809379392</v>
      </c>
      <c r="AX11" s="14">
        <v>847743040</v>
      </c>
      <c r="AZ11" s="16">
        <v>299623520</v>
      </c>
      <c r="BA11" s="16">
        <v>295364704</v>
      </c>
      <c r="BC11" s="18">
        <v>640100608</v>
      </c>
      <c r="BD11" s="18">
        <v>617986368</v>
      </c>
    </row>
    <row r="12" spans="1:56" hidden="1">
      <c r="A12">
        <v>16662</v>
      </c>
      <c r="B12" t="s">
        <v>99</v>
      </c>
      <c r="C12" t="s">
        <v>100</v>
      </c>
      <c r="D12" t="s">
        <v>101</v>
      </c>
      <c r="F12" t="s">
        <v>102</v>
      </c>
      <c r="G12">
        <v>1408.4290000000001</v>
      </c>
      <c r="H12" t="s">
        <v>58</v>
      </c>
      <c r="I12">
        <v>2</v>
      </c>
      <c r="J12">
        <v>20</v>
      </c>
      <c r="K12">
        <v>0</v>
      </c>
      <c r="L12">
        <v>79.510000000000005</v>
      </c>
      <c r="M12">
        <v>30422</v>
      </c>
      <c r="N12">
        <v>22</v>
      </c>
      <c r="O12">
        <v>29</v>
      </c>
      <c r="P12">
        <v>29</v>
      </c>
      <c r="Q12">
        <v>32</v>
      </c>
      <c r="R12">
        <v>32</v>
      </c>
      <c r="S12">
        <v>2188</v>
      </c>
      <c r="T12">
        <v>2188</v>
      </c>
      <c r="U12">
        <v>32</v>
      </c>
      <c r="V12">
        <v>19</v>
      </c>
      <c r="W12">
        <v>21</v>
      </c>
      <c r="X12">
        <v>25</v>
      </c>
      <c r="Y12">
        <v>30</v>
      </c>
      <c r="Z12">
        <v>31</v>
      </c>
      <c r="AA12">
        <v>32</v>
      </c>
      <c r="AB12">
        <v>32</v>
      </c>
      <c r="AC12">
        <v>30</v>
      </c>
      <c r="AD12">
        <v>113</v>
      </c>
      <c r="AE12">
        <v>123</v>
      </c>
      <c r="AF12">
        <v>307</v>
      </c>
      <c r="AG12">
        <v>320</v>
      </c>
      <c r="AH12">
        <v>300</v>
      </c>
      <c r="AI12">
        <v>301</v>
      </c>
      <c r="AJ12">
        <v>352</v>
      </c>
      <c r="AK12">
        <v>372</v>
      </c>
      <c r="AL12">
        <v>1642401664</v>
      </c>
      <c r="AM12">
        <v>1692480896</v>
      </c>
      <c r="AN12">
        <v>4594163712</v>
      </c>
      <c r="AO12">
        <v>6371596288</v>
      </c>
      <c r="AP12">
        <v>3258672128</v>
      </c>
      <c r="AQ12">
        <v>3650570496</v>
      </c>
      <c r="AR12">
        <v>2917267712</v>
      </c>
      <c r="AS12">
        <v>3569909504</v>
      </c>
      <c r="AT12" s="11">
        <v>732026432</v>
      </c>
      <c r="AU12" s="11">
        <v>996123264</v>
      </c>
      <c r="AW12" s="14">
        <v>1849008384</v>
      </c>
      <c r="AX12" s="14">
        <v>2474083328</v>
      </c>
      <c r="AZ12" s="16">
        <v>2178059008</v>
      </c>
      <c r="BA12" s="16">
        <v>2500052480</v>
      </c>
      <c r="BC12" s="18">
        <v>2241334528</v>
      </c>
      <c r="BD12" s="18">
        <v>2165370624</v>
      </c>
    </row>
    <row r="13" spans="1:56" hidden="1">
      <c r="A13">
        <v>16737</v>
      </c>
      <c r="B13" t="s">
        <v>103</v>
      </c>
      <c r="C13" t="s">
        <v>104</v>
      </c>
      <c r="D13" t="s">
        <v>105</v>
      </c>
      <c r="F13" t="s">
        <v>106</v>
      </c>
      <c r="G13">
        <v>1252.1369999999999</v>
      </c>
      <c r="H13" t="s">
        <v>58</v>
      </c>
      <c r="I13">
        <v>2</v>
      </c>
      <c r="J13">
        <v>9</v>
      </c>
      <c r="K13">
        <v>0</v>
      </c>
      <c r="L13">
        <v>89.22</v>
      </c>
      <c r="M13">
        <v>17603</v>
      </c>
      <c r="N13">
        <v>13</v>
      </c>
      <c r="O13">
        <v>18</v>
      </c>
      <c r="P13">
        <v>18</v>
      </c>
      <c r="Q13">
        <v>23</v>
      </c>
      <c r="R13">
        <v>23</v>
      </c>
      <c r="S13">
        <v>4797</v>
      </c>
      <c r="T13">
        <v>4797</v>
      </c>
      <c r="U13">
        <v>23</v>
      </c>
      <c r="V13">
        <v>19</v>
      </c>
      <c r="W13">
        <v>18</v>
      </c>
      <c r="X13">
        <v>22</v>
      </c>
      <c r="Y13">
        <v>22</v>
      </c>
      <c r="Z13">
        <v>21</v>
      </c>
      <c r="AA13">
        <v>22</v>
      </c>
      <c r="AB13">
        <v>22</v>
      </c>
      <c r="AC13">
        <v>21</v>
      </c>
      <c r="AD13">
        <v>523</v>
      </c>
      <c r="AE13">
        <v>549</v>
      </c>
      <c r="AF13">
        <v>644</v>
      </c>
      <c r="AG13">
        <v>561</v>
      </c>
      <c r="AH13">
        <v>621</v>
      </c>
      <c r="AI13">
        <v>642</v>
      </c>
      <c r="AJ13">
        <v>656</v>
      </c>
      <c r="AK13">
        <v>601</v>
      </c>
      <c r="AL13">
        <v>7071316992</v>
      </c>
      <c r="AM13">
        <v>6641914368</v>
      </c>
      <c r="AN13">
        <v>8185460224</v>
      </c>
      <c r="AO13">
        <v>9775966208</v>
      </c>
      <c r="AP13">
        <v>6440173056</v>
      </c>
      <c r="AQ13">
        <v>6412802048</v>
      </c>
      <c r="AR13">
        <v>6046216704</v>
      </c>
      <c r="AS13">
        <v>5565711360</v>
      </c>
      <c r="AT13" s="11">
        <v>6280121344</v>
      </c>
      <c r="AU13" s="11">
        <v>6161567744</v>
      </c>
      <c r="AW13" s="14">
        <v>5487814656</v>
      </c>
      <c r="AX13" s="14">
        <v>5186496000</v>
      </c>
      <c r="AZ13" s="16">
        <v>5156470272</v>
      </c>
      <c r="BA13" s="16">
        <v>4752842752</v>
      </c>
      <c r="BC13" s="18">
        <v>4428551168</v>
      </c>
      <c r="BD13" s="18">
        <v>3464333824</v>
      </c>
    </row>
    <row r="14" spans="1:56" hidden="1">
      <c r="A14">
        <v>16742</v>
      </c>
      <c r="B14" t="s">
        <v>107</v>
      </c>
      <c r="C14" t="s">
        <v>108</v>
      </c>
      <c r="D14" t="s">
        <v>109</v>
      </c>
      <c r="F14" t="s">
        <v>110</v>
      </c>
      <c r="G14">
        <v>1217.0840000000001</v>
      </c>
      <c r="H14" t="s">
        <v>58</v>
      </c>
      <c r="I14">
        <v>2</v>
      </c>
      <c r="J14">
        <v>20</v>
      </c>
      <c r="K14">
        <v>0</v>
      </c>
      <c r="L14">
        <v>88.84</v>
      </c>
      <c r="M14">
        <v>25982</v>
      </c>
      <c r="N14">
        <v>16</v>
      </c>
      <c r="O14">
        <v>34</v>
      </c>
      <c r="P14">
        <v>34</v>
      </c>
      <c r="Q14">
        <v>35</v>
      </c>
      <c r="R14">
        <v>35</v>
      </c>
      <c r="S14">
        <v>3561</v>
      </c>
      <c r="T14">
        <v>3561</v>
      </c>
      <c r="U14">
        <v>35</v>
      </c>
      <c r="V14">
        <v>21</v>
      </c>
      <c r="W14">
        <v>20</v>
      </c>
      <c r="X14">
        <v>31</v>
      </c>
      <c r="Y14">
        <v>34</v>
      </c>
      <c r="Z14">
        <v>31</v>
      </c>
      <c r="AA14">
        <v>32</v>
      </c>
      <c r="AB14">
        <v>34</v>
      </c>
      <c r="AC14">
        <v>31</v>
      </c>
      <c r="AD14">
        <v>404</v>
      </c>
      <c r="AE14">
        <v>373</v>
      </c>
      <c r="AF14">
        <v>536</v>
      </c>
      <c r="AG14">
        <v>483</v>
      </c>
      <c r="AH14">
        <v>490</v>
      </c>
      <c r="AI14">
        <v>462</v>
      </c>
      <c r="AJ14">
        <v>466</v>
      </c>
      <c r="AK14">
        <v>347</v>
      </c>
      <c r="AL14">
        <v>5245452800</v>
      </c>
      <c r="AM14">
        <v>4679107072</v>
      </c>
      <c r="AN14">
        <v>6963904512</v>
      </c>
      <c r="AO14">
        <v>8632132608</v>
      </c>
      <c r="AP14">
        <v>5210189824</v>
      </c>
      <c r="AQ14">
        <v>5380754432</v>
      </c>
      <c r="AR14">
        <v>5292330496</v>
      </c>
      <c r="AS14">
        <v>4930893312</v>
      </c>
      <c r="AT14" s="11">
        <v>3480246784</v>
      </c>
      <c r="AU14" s="11">
        <v>2969474560</v>
      </c>
      <c r="AW14" s="14">
        <v>4303929856</v>
      </c>
      <c r="AX14" s="14">
        <v>4888607744</v>
      </c>
      <c r="AZ14" s="16">
        <v>4095766784</v>
      </c>
      <c r="BA14" s="16">
        <v>3790770176</v>
      </c>
      <c r="BC14" s="18">
        <v>4220770560</v>
      </c>
      <c r="BD14" s="18">
        <v>3097070336</v>
      </c>
    </row>
    <row r="15" spans="1:56" hidden="1">
      <c r="A15">
        <v>16671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>
        <v>1202.3019999999999</v>
      </c>
      <c r="H15" t="s">
        <v>58</v>
      </c>
      <c r="I15">
        <v>2</v>
      </c>
      <c r="J15">
        <v>2</v>
      </c>
      <c r="K15">
        <v>18</v>
      </c>
      <c r="L15">
        <v>48.37</v>
      </c>
      <c r="M15">
        <v>97232</v>
      </c>
      <c r="N15">
        <v>52</v>
      </c>
      <c r="O15">
        <v>34</v>
      </c>
      <c r="P15">
        <v>34</v>
      </c>
      <c r="Q15">
        <v>34</v>
      </c>
      <c r="R15">
        <v>34</v>
      </c>
      <c r="S15">
        <v>254</v>
      </c>
      <c r="T15">
        <v>254</v>
      </c>
      <c r="U15">
        <v>34</v>
      </c>
      <c r="V15">
        <v>26</v>
      </c>
      <c r="W15">
        <v>26</v>
      </c>
      <c r="X15">
        <v>31</v>
      </c>
      <c r="Y15">
        <v>33</v>
      </c>
      <c r="Z15">
        <v>33</v>
      </c>
      <c r="AA15">
        <v>33</v>
      </c>
      <c r="AB15">
        <v>33</v>
      </c>
      <c r="AC15">
        <v>33</v>
      </c>
      <c r="AD15">
        <v>27</v>
      </c>
      <c r="AE15">
        <v>25</v>
      </c>
      <c r="AF15">
        <v>24</v>
      </c>
      <c r="AG15">
        <v>29</v>
      </c>
      <c r="AH15">
        <v>33</v>
      </c>
      <c r="AI15">
        <v>42</v>
      </c>
      <c r="AJ15">
        <v>36</v>
      </c>
      <c r="AK15">
        <v>38</v>
      </c>
      <c r="AL15">
        <v>109123688</v>
      </c>
      <c r="AM15">
        <v>89564744</v>
      </c>
      <c r="AN15">
        <v>153752624</v>
      </c>
      <c r="AO15">
        <v>230466688</v>
      </c>
      <c r="AP15">
        <v>194136800</v>
      </c>
      <c r="AQ15">
        <v>237017424</v>
      </c>
      <c r="AR15">
        <v>176371696</v>
      </c>
      <c r="AS15">
        <v>243219632</v>
      </c>
      <c r="AT15" s="11">
        <v>95918464</v>
      </c>
      <c r="AU15" s="11">
        <v>95487064</v>
      </c>
      <c r="AW15" s="14">
        <v>80871112</v>
      </c>
      <c r="AX15" s="14">
        <v>85934120</v>
      </c>
      <c r="AZ15" s="16">
        <v>135479568</v>
      </c>
      <c r="BA15" s="16">
        <v>147728016</v>
      </c>
      <c r="BC15" s="18">
        <v>101923416</v>
      </c>
      <c r="BD15" s="18">
        <v>132912184</v>
      </c>
    </row>
    <row r="16" spans="1:56">
      <c r="A16">
        <v>16872</v>
      </c>
      <c r="B16" t="s">
        <v>116</v>
      </c>
      <c r="C16" t="s">
        <v>117</v>
      </c>
      <c r="D16" t="s">
        <v>116</v>
      </c>
      <c r="F16" t="s">
        <v>118</v>
      </c>
      <c r="G16">
        <v>1173.1669999999999</v>
      </c>
      <c r="H16" t="s">
        <v>58</v>
      </c>
      <c r="I16">
        <v>2</v>
      </c>
      <c r="J16">
        <v>1</v>
      </c>
      <c r="K16">
        <v>0</v>
      </c>
      <c r="L16">
        <v>63.41</v>
      </c>
      <c r="M16">
        <v>52801</v>
      </c>
      <c r="N16">
        <v>29</v>
      </c>
      <c r="O16">
        <v>25</v>
      </c>
      <c r="P16">
        <v>25</v>
      </c>
      <c r="Q16">
        <v>26</v>
      </c>
      <c r="R16">
        <v>26</v>
      </c>
      <c r="S16">
        <v>1362</v>
      </c>
      <c r="T16">
        <v>1362</v>
      </c>
      <c r="U16">
        <v>26</v>
      </c>
      <c r="V16">
        <v>21</v>
      </c>
      <c r="W16">
        <v>21</v>
      </c>
      <c r="X16">
        <v>23</v>
      </c>
      <c r="Y16">
        <v>26</v>
      </c>
      <c r="Z16">
        <v>25</v>
      </c>
      <c r="AA16">
        <v>22</v>
      </c>
      <c r="AB16">
        <v>26</v>
      </c>
      <c r="AC16">
        <v>26</v>
      </c>
      <c r="AD16">
        <v>141</v>
      </c>
      <c r="AE16">
        <v>183</v>
      </c>
      <c r="AF16">
        <v>236</v>
      </c>
      <c r="AG16">
        <v>170</v>
      </c>
      <c r="AH16">
        <v>109</v>
      </c>
      <c r="AI16">
        <v>102</v>
      </c>
      <c r="AJ16">
        <v>197</v>
      </c>
      <c r="AK16">
        <v>224</v>
      </c>
      <c r="AL16">
        <v>838305728</v>
      </c>
      <c r="AM16">
        <v>837583744</v>
      </c>
      <c r="AN16">
        <v>1681263232</v>
      </c>
      <c r="AO16">
        <v>2051321088</v>
      </c>
      <c r="AP16">
        <v>522160192</v>
      </c>
      <c r="AQ16">
        <v>554441728</v>
      </c>
      <c r="AR16">
        <v>1360577152</v>
      </c>
      <c r="AS16">
        <v>1502067456</v>
      </c>
      <c r="AT16" s="11">
        <v>764708160</v>
      </c>
      <c r="AU16" s="11">
        <v>842193728</v>
      </c>
      <c r="AW16" s="14">
        <v>885238464</v>
      </c>
      <c r="AX16" s="14">
        <v>875286592</v>
      </c>
      <c r="AZ16" s="16">
        <v>359320576</v>
      </c>
      <c r="BA16" s="16">
        <v>345878272</v>
      </c>
      <c r="BC16" s="18">
        <v>790283648</v>
      </c>
      <c r="BD16" s="18">
        <v>802509760</v>
      </c>
    </row>
    <row r="17" spans="1:56" hidden="1">
      <c r="A17">
        <v>16779</v>
      </c>
      <c r="B17" t="s">
        <v>119</v>
      </c>
      <c r="C17" t="s">
        <v>120</v>
      </c>
      <c r="D17" t="s">
        <v>121</v>
      </c>
      <c r="E17" t="s">
        <v>122</v>
      </c>
      <c r="F17" t="s">
        <v>123</v>
      </c>
      <c r="G17">
        <v>1142.5889999999999</v>
      </c>
      <c r="H17" t="s">
        <v>58</v>
      </c>
      <c r="I17">
        <v>2</v>
      </c>
      <c r="J17">
        <v>3</v>
      </c>
      <c r="K17">
        <v>18</v>
      </c>
      <c r="L17">
        <v>60.84</v>
      </c>
      <c r="M17">
        <v>63691</v>
      </c>
      <c r="N17">
        <v>33</v>
      </c>
      <c r="O17">
        <v>26</v>
      </c>
      <c r="P17">
        <v>26</v>
      </c>
      <c r="Q17">
        <v>26</v>
      </c>
      <c r="R17">
        <v>26</v>
      </c>
      <c r="S17">
        <v>245</v>
      </c>
      <c r="T17">
        <v>245</v>
      </c>
      <c r="U17">
        <v>26</v>
      </c>
      <c r="V17">
        <v>20</v>
      </c>
      <c r="W17">
        <v>20</v>
      </c>
      <c r="X17">
        <v>22</v>
      </c>
      <c r="Y17">
        <v>26</v>
      </c>
      <c r="Z17">
        <v>26</v>
      </c>
      <c r="AA17">
        <v>26</v>
      </c>
      <c r="AB17">
        <v>26</v>
      </c>
      <c r="AC17">
        <v>25</v>
      </c>
      <c r="AD17">
        <v>24</v>
      </c>
      <c r="AE17">
        <v>21</v>
      </c>
      <c r="AF17">
        <v>19</v>
      </c>
      <c r="AG17">
        <v>25</v>
      </c>
      <c r="AH17">
        <v>39</v>
      </c>
      <c r="AI17">
        <v>40</v>
      </c>
      <c r="AJ17">
        <v>36</v>
      </c>
      <c r="AK17">
        <v>40</v>
      </c>
      <c r="AL17">
        <v>101240480</v>
      </c>
      <c r="AM17">
        <v>98601432</v>
      </c>
      <c r="AN17">
        <v>171332816</v>
      </c>
      <c r="AO17">
        <v>230267088</v>
      </c>
      <c r="AP17">
        <v>222598512</v>
      </c>
      <c r="AQ17">
        <v>262031712</v>
      </c>
      <c r="AR17">
        <v>210467728</v>
      </c>
      <c r="AS17">
        <v>262177824</v>
      </c>
      <c r="AT17" s="11">
        <v>104659480</v>
      </c>
      <c r="AU17" s="11">
        <v>100922568</v>
      </c>
      <c r="AW17" s="14">
        <v>85363408</v>
      </c>
      <c r="AX17" s="14">
        <v>85854120</v>
      </c>
      <c r="AZ17" s="16">
        <v>152305568</v>
      </c>
      <c r="BA17" s="16">
        <v>162252400</v>
      </c>
      <c r="BC17" s="18">
        <v>121819408</v>
      </c>
      <c r="BD17" s="18">
        <v>146981344</v>
      </c>
    </row>
    <row r="18" spans="1:56" hidden="1">
      <c r="A18">
        <v>16801</v>
      </c>
      <c r="B18" t="s">
        <v>124</v>
      </c>
      <c r="C18" t="s">
        <v>125</v>
      </c>
      <c r="D18" t="s">
        <v>126</v>
      </c>
      <c r="E18" t="s">
        <v>127</v>
      </c>
      <c r="F18" t="s">
        <v>128</v>
      </c>
      <c r="G18">
        <v>1091.8800000000001</v>
      </c>
      <c r="H18" t="s">
        <v>58</v>
      </c>
      <c r="I18">
        <v>2</v>
      </c>
      <c r="J18">
        <v>2</v>
      </c>
      <c r="K18">
        <v>1</v>
      </c>
      <c r="L18">
        <v>37.43</v>
      </c>
      <c r="M18">
        <v>108177</v>
      </c>
      <c r="N18">
        <v>64</v>
      </c>
      <c r="O18">
        <v>31</v>
      </c>
      <c r="P18">
        <v>31</v>
      </c>
      <c r="Q18">
        <v>31</v>
      </c>
      <c r="R18">
        <v>31</v>
      </c>
      <c r="S18">
        <v>276</v>
      </c>
      <c r="T18">
        <v>276</v>
      </c>
      <c r="U18">
        <v>31</v>
      </c>
      <c r="V18">
        <v>24</v>
      </c>
      <c r="W18">
        <v>23</v>
      </c>
      <c r="X18">
        <v>28</v>
      </c>
      <c r="Y18">
        <v>31</v>
      </c>
      <c r="Z18">
        <v>28</v>
      </c>
      <c r="AA18">
        <v>31</v>
      </c>
      <c r="AB18">
        <v>30</v>
      </c>
      <c r="AC18">
        <v>31</v>
      </c>
      <c r="AD18">
        <v>26</v>
      </c>
      <c r="AE18">
        <v>18</v>
      </c>
      <c r="AF18">
        <v>31</v>
      </c>
      <c r="AG18">
        <v>41</v>
      </c>
      <c r="AH18">
        <v>39</v>
      </c>
      <c r="AI18">
        <v>43</v>
      </c>
      <c r="AJ18">
        <v>35</v>
      </c>
      <c r="AK18">
        <v>43</v>
      </c>
      <c r="AL18">
        <v>156814736</v>
      </c>
      <c r="AM18">
        <v>153096832</v>
      </c>
      <c r="AN18">
        <v>237295184</v>
      </c>
      <c r="AO18">
        <v>331544288</v>
      </c>
      <c r="AP18">
        <v>257720736</v>
      </c>
      <c r="AQ18">
        <v>317166336</v>
      </c>
      <c r="AR18">
        <v>255095568</v>
      </c>
      <c r="AS18">
        <v>312434016</v>
      </c>
      <c r="AT18" s="11">
        <v>159970832</v>
      </c>
      <c r="AU18" s="11">
        <v>163451408</v>
      </c>
      <c r="AW18" s="14">
        <v>113508192</v>
      </c>
      <c r="AX18" s="14">
        <v>124947224</v>
      </c>
      <c r="AZ18" s="16">
        <v>164180672</v>
      </c>
      <c r="BA18" s="16">
        <v>187702000</v>
      </c>
      <c r="BC18" s="18">
        <v>143508816</v>
      </c>
      <c r="BD18" s="18">
        <v>161858832</v>
      </c>
    </row>
    <row r="19" spans="1:56">
      <c r="A19">
        <v>16676</v>
      </c>
      <c r="B19" t="s">
        <v>129</v>
      </c>
      <c r="C19" t="s">
        <v>130</v>
      </c>
      <c r="D19" t="s">
        <v>131</v>
      </c>
      <c r="F19" t="s">
        <v>132</v>
      </c>
      <c r="G19">
        <v>1057.3620000000001</v>
      </c>
      <c r="H19" t="s">
        <v>58</v>
      </c>
      <c r="I19">
        <v>2</v>
      </c>
      <c r="J19">
        <v>3</v>
      </c>
      <c r="K19">
        <v>0</v>
      </c>
      <c r="L19">
        <v>62.96</v>
      </c>
      <c r="M19">
        <v>29613</v>
      </c>
      <c r="N19">
        <v>16</v>
      </c>
      <c r="O19">
        <v>20</v>
      </c>
      <c r="P19">
        <v>20</v>
      </c>
      <c r="Q19">
        <v>22</v>
      </c>
      <c r="R19">
        <v>22</v>
      </c>
      <c r="S19">
        <v>4057</v>
      </c>
      <c r="T19">
        <v>4057</v>
      </c>
      <c r="U19">
        <v>22</v>
      </c>
      <c r="V19">
        <v>19</v>
      </c>
      <c r="W19">
        <v>21</v>
      </c>
      <c r="X19">
        <v>20</v>
      </c>
      <c r="Y19">
        <v>21</v>
      </c>
      <c r="Z19">
        <v>21</v>
      </c>
      <c r="AA19">
        <v>21</v>
      </c>
      <c r="AB19">
        <v>22</v>
      </c>
      <c r="AC19">
        <v>22</v>
      </c>
      <c r="AD19">
        <v>450</v>
      </c>
      <c r="AE19">
        <v>460</v>
      </c>
      <c r="AF19">
        <v>450</v>
      </c>
      <c r="AG19">
        <v>421</v>
      </c>
      <c r="AH19">
        <v>376</v>
      </c>
      <c r="AI19">
        <v>387</v>
      </c>
      <c r="AJ19">
        <v>754</v>
      </c>
      <c r="AK19">
        <v>759</v>
      </c>
      <c r="AL19">
        <v>6125257216</v>
      </c>
      <c r="AM19">
        <v>5309486080</v>
      </c>
      <c r="AN19">
        <v>5856991232</v>
      </c>
      <c r="AO19">
        <v>5914333696</v>
      </c>
      <c r="AP19">
        <v>3023700992</v>
      </c>
      <c r="AQ19">
        <v>3240923904</v>
      </c>
      <c r="AR19">
        <v>7933167616</v>
      </c>
      <c r="AS19">
        <v>8054853120</v>
      </c>
      <c r="AT19" s="11">
        <v>5361149440</v>
      </c>
      <c r="AU19" s="11">
        <v>5321134080</v>
      </c>
      <c r="AW19" s="14">
        <v>2874567168</v>
      </c>
      <c r="AX19" s="14">
        <v>2178234368</v>
      </c>
      <c r="AZ19" s="16">
        <v>1930479232</v>
      </c>
      <c r="BA19" s="16">
        <v>1867681536</v>
      </c>
      <c r="BC19" s="18">
        <v>5432747008</v>
      </c>
      <c r="BD19" s="18">
        <v>5265046016</v>
      </c>
    </row>
    <row r="20" spans="1:56" hidden="1">
      <c r="A20">
        <v>16669</v>
      </c>
      <c r="B20" t="s">
        <v>133</v>
      </c>
      <c r="C20" t="s">
        <v>134</v>
      </c>
      <c r="D20" t="s">
        <v>135</v>
      </c>
      <c r="E20" t="s">
        <v>136</v>
      </c>
      <c r="F20" t="s">
        <v>137</v>
      </c>
      <c r="G20">
        <v>1027.7650000000001</v>
      </c>
      <c r="H20" t="s">
        <v>58</v>
      </c>
      <c r="I20">
        <v>2</v>
      </c>
      <c r="J20">
        <v>19</v>
      </c>
      <c r="K20">
        <v>1</v>
      </c>
      <c r="L20">
        <v>87.6</v>
      </c>
      <c r="M20">
        <v>12295</v>
      </c>
      <c r="N20">
        <v>8</v>
      </c>
      <c r="O20">
        <v>14</v>
      </c>
      <c r="P20">
        <v>14</v>
      </c>
      <c r="Q20">
        <v>18</v>
      </c>
      <c r="R20">
        <v>18</v>
      </c>
      <c r="S20">
        <v>5597</v>
      </c>
      <c r="T20">
        <v>5597</v>
      </c>
      <c r="U20">
        <v>18</v>
      </c>
      <c r="V20">
        <v>13</v>
      </c>
      <c r="W20">
        <v>13</v>
      </c>
      <c r="X20">
        <v>17</v>
      </c>
      <c r="Y20">
        <v>16</v>
      </c>
      <c r="Z20">
        <v>17</v>
      </c>
      <c r="AA20">
        <v>17</v>
      </c>
      <c r="AB20">
        <v>18</v>
      </c>
      <c r="AC20">
        <v>18</v>
      </c>
      <c r="AD20">
        <v>512</v>
      </c>
      <c r="AE20">
        <v>649</v>
      </c>
      <c r="AF20">
        <v>794</v>
      </c>
      <c r="AG20">
        <v>737</v>
      </c>
      <c r="AH20">
        <v>739</v>
      </c>
      <c r="AI20">
        <v>747</v>
      </c>
      <c r="AJ20">
        <v>759</v>
      </c>
      <c r="AK20">
        <v>660</v>
      </c>
      <c r="AL20">
        <v>5575203328</v>
      </c>
      <c r="AM20">
        <v>5414010368</v>
      </c>
      <c r="AN20">
        <v>7386821120</v>
      </c>
      <c r="AO20">
        <v>8355008000</v>
      </c>
      <c r="AP20">
        <v>5672336384</v>
      </c>
      <c r="AQ20">
        <v>5816019968</v>
      </c>
      <c r="AR20">
        <v>5833744896</v>
      </c>
      <c r="AS20">
        <v>4962781696</v>
      </c>
      <c r="AT20" s="11">
        <v>1867452032</v>
      </c>
      <c r="AU20" s="11">
        <v>2663020800</v>
      </c>
      <c r="AW20" s="14">
        <v>4525495296</v>
      </c>
      <c r="AX20" s="14">
        <v>4177560576</v>
      </c>
      <c r="AZ20" s="16">
        <v>6347730432</v>
      </c>
      <c r="BA20" s="16">
        <v>4584872448</v>
      </c>
      <c r="BC20" s="18">
        <v>5313876480</v>
      </c>
      <c r="BD20" s="18">
        <v>3311430144</v>
      </c>
    </row>
    <row r="21" spans="1:56" hidden="1">
      <c r="A21">
        <v>16678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>
        <v>1023.016</v>
      </c>
      <c r="H21" t="s">
        <v>58</v>
      </c>
      <c r="I21">
        <v>2</v>
      </c>
      <c r="J21">
        <v>16</v>
      </c>
      <c r="K21">
        <v>5</v>
      </c>
      <c r="L21">
        <v>80.08</v>
      </c>
      <c r="M21">
        <v>26743</v>
      </c>
      <c r="N21">
        <v>14</v>
      </c>
      <c r="O21">
        <v>22</v>
      </c>
      <c r="P21">
        <v>22</v>
      </c>
      <c r="Q21">
        <v>26</v>
      </c>
      <c r="R21">
        <v>26</v>
      </c>
      <c r="S21">
        <v>5426</v>
      </c>
      <c r="T21">
        <v>5426</v>
      </c>
      <c r="U21">
        <v>26</v>
      </c>
      <c r="V21">
        <v>20</v>
      </c>
      <c r="W21">
        <v>21</v>
      </c>
      <c r="X21">
        <v>24</v>
      </c>
      <c r="Y21">
        <v>25</v>
      </c>
      <c r="Z21">
        <v>24</v>
      </c>
      <c r="AA21">
        <v>25</v>
      </c>
      <c r="AB21">
        <v>26</v>
      </c>
      <c r="AC21">
        <v>25</v>
      </c>
      <c r="AD21">
        <v>589</v>
      </c>
      <c r="AE21">
        <v>595</v>
      </c>
      <c r="AF21">
        <v>719</v>
      </c>
      <c r="AG21">
        <v>688</v>
      </c>
      <c r="AH21">
        <v>756</v>
      </c>
      <c r="AI21">
        <v>730</v>
      </c>
      <c r="AJ21">
        <v>701</v>
      </c>
      <c r="AK21">
        <v>648</v>
      </c>
      <c r="AL21">
        <v>4586444288</v>
      </c>
      <c r="AM21">
        <v>3979266560</v>
      </c>
      <c r="AN21">
        <v>6100925952</v>
      </c>
      <c r="AO21">
        <v>7539854848</v>
      </c>
      <c r="AP21">
        <v>4474926592</v>
      </c>
      <c r="AQ21">
        <v>4432740352</v>
      </c>
      <c r="AR21">
        <v>4074432768</v>
      </c>
      <c r="AS21">
        <v>3596506112</v>
      </c>
      <c r="AT21" s="11">
        <v>3584189696</v>
      </c>
      <c r="AU21" s="11">
        <v>3338498304</v>
      </c>
      <c r="AW21" s="14">
        <v>3536885760</v>
      </c>
      <c r="AX21" s="14">
        <v>3542478336</v>
      </c>
      <c r="AZ21" s="16">
        <v>3013306112</v>
      </c>
      <c r="BA21" s="16">
        <v>2943471872</v>
      </c>
      <c r="BC21" s="18">
        <v>2841422080</v>
      </c>
      <c r="BD21" s="18">
        <v>2072940672</v>
      </c>
    </row>
    <row r="22" spans="1:56" hidden="1">
      <c r="A22">
        <v>16855</v>
      </c>
      <c r="B22" t="s">
        <v>143</v>
      </c>
      <c r="C22" t="s">
        <v>144</v>
      </c>
      <c r="D22" t="s">
        <v>145</v>
      </c>
      <c r="F22" t="s">
        <v>146</v>
      </c>
      <c r="G22">
        <v>1010.318</v>
      </c>
      <c r="H22" t="s">
        <v>58</v>
      </c>
      <c r="I22">
        <v>2</v>
      </c>
      <c r="J22">
        <v>2</v>
      </c>
      <c r="K22">
        <v>0</v>
      </c>
      <c r="L22">
        <v>45.21</v>
      </c>
      <c r="M22">
        <v>99667</v>
      </c>
      <c r="N22">
        <v>55</v>
      </c>
      <c r="O22">
        <v>33</v>
      </c>
      <c r="P22">
        <v>33</v>
      </c>
      <c r="Q22">
        <v>33</v>
      </c>
      <c r="R22">
        <v>33</v>
      </c>
      <c r="S22">
        <v>206</v>
      </c>
      <c r="T22">
        <v>206</v>
      </c>
      <c r="U22">
        <v>33</v>
      </c>
      <c r="V22">
        <v>26</v>
      </c>
      <c r="W22">
        <v>23</v>
      </c>
      <c r="X22">
        <v>32</v>
      </c>
      <c r="Y22">
        <v>33</v>
      </c>
      <c r="Z22">
        <v>33</v>
      </c>
      <c r="AA22">
        <v>31</v>
      </c>
      <c r="AB22">
        <v>32</v>
      </c>
      <c r="AC22">
        <v>32</v>
      </c>
      <c r="AD22">
        <v>18</v>
      </c>
      <c r="AE22">
        <v>11</v>
      </c>
      <c r="AF22">
        <v>35</v>
      </c>
      <c r="AG22">
        <v>32</v>
      </c>
      <c r="AH22">
        <v>29</v>
      </c>
      <c r="AI22">
        <v>28</v>
      </c>
      <c r="AJ22">
        <v>24</v>
      </c>
      <c r="AK22">
        <v>29</v>
      </c>
      <c r="AL22">
        <v>75328600</v>
      </c>
      <c r="AM22">
        <v>57794212</v>
      </c>
      <c r="AN22">
        <v>254824096</v>
      </c>
      <c r="AO22">
        <v>306221056</v>
      </c>
      <c r="AP22">
        <v>143047744</v>
      </c>
      <c r="AQ22">
        <v>147530512</v>
      </c>
      <c r="AR22">
        <v>136003472</v>
      </c>
      <c r="AS22">
        <v>147875792</v>
      </c>
      <c r="AT22" s="11">
        <v>76201464</v>
      </c>
      <c r="AU22" s="11">
        <v>58752148</v>
      </c>
      <c r="AW22" s="14">
        <v>128482800</v>
      </c>
      <c r="AX22" s="14">
        <v>108234560</v>
      </c>
      <c r="AZ22" s="16">
        <v>90895928</v>
      </c>
      <c r="BA22" s="16">
        <v>87472816</v>
      </c>
      <c r="BC22" s="18">
        <v>75445088</v>
      </c>
      <c r="BD22" s="18">
        <v>73674112</v>
      </c>
    </row>
    <row r="23" spans="1:56" hidden="1">
      <c r="A23">
        <v>16834</v>
      </c>
      <c r="B23" t="s">
        <v>147</v>
      </c>
      <c r="C23" t="s">
        <v>148</v>
      </c>
      <c r="D23" t="s">
        <v>147</v>
      </c>
      <c r="F23" t="s">
        <v>149</v>
      </c>
      <c r="G23">
        <v>989.62599999999998</v>
      </c>
      <c r="H23" t="s">
        <v>58</v>
      </c>
      <c r="I23">
        <v>2</v>
      </c>
      <c r="J23">
        <v>1</v>
      </c>
      <c r="K23">
        <v>0</v>
      </c>
      <c r="L23">
        <v>72.56</v>
      </c>
      <c r="M23">
        <v>31048</v>
      </c>
      <c r="N23">
        <v>16</v>
      </c>
      <c r="O23">
        <v>20</v>
      </c>
      <c r="P23">
        <v>20</v>
      </c>
      <c r="Q23">
        <v>20</v>
      </c>
      <c r="R23">
        <v>20</v>
      </c>
      <c r="S23">
        <v>1059</v>
      </c>
      <c r="T23">
        <v>1059</v>
      </c>
      <c r="U23">
        <v>20</v>
      </c>
      <c r="V23">
        <v>16</v>
      </c>
      <c r="W23">
        <v>16</v>
      </c>
      <c r="X23">
        <v>19</v>
      </c>
      <c r="Y23">
        <v>20</v>
      </c>
      <c r="Z23">
        <v>18</v>
      </c>
      <c r="AA23">
        <v>19</v>
      </c>
      <c r="AB23">
        <v>20</v>
      </c>
      <c r="AC23">
        <v>20</v>
      </c>
      <c r="AD23">
        <v>121</v>
      </c>
      <c r="AE23">
        <v>117</v>
      </c>
      <c r="AF23">
        <v>195</v>
      </c>
      <c r="AG23">
        <v>133</v>
      </c>
      <c r="AH23">
        <v>82</v>
      </c>
      <c r="AI23">
        <v>74</v>
      </c>
      <c r="AJ23">
        <v>154</v>
      </c>
      <c r="AK23">
        <v>183</v>
      </c>
      <c r="AL23">
        <v>690151168</v>
      </c>
      <c r="AM23">
        <v>571848384</v>
      </c>
      <c r="AN23">
        <v>1476163584</v>
      </c>
      <c r="AO23">
        <v>1554743552</v>
      </c>
      <c r="AP23">
        <v>345881856</v>
      </c>
      <c r="AQ23">
        <v>369629120</v>
      </c>
      <c r="AR23">
        <v>1031865280</v>
      </c>
      <c r="AS23">
        <v>1257675520</v>
      </c>
      <c r="AT23" s="11">
        <v>505644512</v>
      </c>
      <c r="AU23" s="11">
        <v>426261984</v>
      </c>
      <c r="AW23" s="14">
        <v>711247872</v>
      </c>
      <c r="AX23" s="14">
        <v>695637120</v>
      </c>
      <c r="AZ23" s="16">
        <v>250216752</v>
      </c>
      <c r="BA23" s="16">
        <v>256954240</v>
      </c>
      <c r="BC23" s="18">
        <v>713439168</v>
      </c>
      <c r="BD23" s="18">
        <v>780376960</v>
      </c>
    </row>
    <row r="24" spans="1:56" hidden="1">
      <c r="A24">
        <v>16677</v>
      </c>
      <c r="B24" t="s">
        <v>150</v>
      </c>
      <c r="C24" t="s">
        <v>151</v>
      </c>
      <c r="D24" t="s">
        <v>152</v>
      </c>
      <c r="E24" t="s">
        <v>153</v>
      </c>
      <c r="F24" t="s">
        <v>154</v>
      </c>
      <c r="G24">
        <v>988.24599999999998</v>
      </c>
      <c r="H24" t="s">
        <v>58</v>
      </c>
      <c r="I24">
        <v>2</v>
      </c>
      <c r="J24">
        <v>17</v>
      </c>
      <c r="K24">
        <v>1</v>
      </c>
      <c r="L24">
        <v>44.23</v>
      </c>
      <c r="M24">
        <v>59589</v>
      </c>
      <c r="N24">
        <v>28</v>
      </c>
      <c r="O24">
        <v>22</v>
      </c>
      <c r="P24">
        <v>22</v>
      </c>
      <c r="Q24">
        <v>22</v>
      </c>
      <c r="R24">
        <v>22</v>
      </c>
      <c r="S24">
        <v>408</v>
      </c>
      <c r="T24">
        <v>408</v>
      </c>
      <c r="U24">
        <v>22</v>
      </c>
      <c r="V24">
        <v>16</v>
      </c>
      <c r="W24">
        <v>16</v>
      </c>
      <c r="X24">
        <v>20</v>
      </c>
      <c r="Y24">
        <v>22</v>
      </c>
      <c r="Z24">
        <v>20</v>
      </c>
      <c r="AA24">
        <v>21</v>
      </c>
      <c r="AB24">
        <v>21</v>
      </c>
      <c r="AC24">
        <v>21</v>
      </c>
      <c r="AD24">
        <v>24</v>
      </c>
      <c r="AE24">
        <v>29</v>
      </c>
      <c r="AF24">
        <v>59</v>
      </c>
      <c r="AG24">
        <v>84</v>
      </c>
      <c r="AH24">
        <v>68</v>
      </c>
      <c r="AI24">
        <v>60</v>
      </c>
      <c r="AJ24">
        <v>37</v>
      </c>
      <c r="AK24">
        <v>47</v>
      </c>
      <c r="AL24">
        <v>119175520</v>
      </c>
      <c r="AM24">
        <v>90142552</v>
      </c>
      <c r="AN24">
        <v>429323392</v>
      </c>
      <c r="AO24">
        <v>579661824</v>
      </c>
      <c r="AP24">
        <v>233436576</v>
      </c>
      <c r="AQ24">
        <v>268165440</v>
      </c>
      <c r="AR24">
        <v>211990432</v>
      </c>
      <c r="AS24">
        <v>254826256</v>
      </c>
      <c r="AT24" s="11">
        <v>124415016</v>
      </c>
      <c r="AU24" s="11">
        <v>98738352</v>
      </c>
      <c r="AW24" s="14">
        <v>242593008</v>
      </c>
      <c r="AX24" s="14">
        <v>275027456</v>
      </c>
      <c r="AZ24" s="16">
        <v>224534000</v>
      </c>
      <c r="BA24" s="16">
        <v>235998368</v>
      </c>
      <c r="BC24" s="18">
        <v>167764048</v>
      </c>
      <c r="BD24" s="18">
        <v>190418848</v>
      </c>
    </row>
    <row r="25" spans="1:56" hidden="1">
      <c r="A25">
        <v>16655</v>
      </c>
      <c r="B25" t="s">
        <v>155</v>
      </c>
      <c r="C25" t="s">
        <v>156</v>
      </c>
      <c r="D25" t="s">
        <v>157</v>
      </c>
      <c r="E25" t="s">
        <v>158</v>
      </c>
      <c r="F25" t="s">
        <v>159</v>
      </c>
      <c r="G25">
        <v>963.72900000000004</v>
      </c>
      <c r="H25" t="s">
        <v>58</v>
      </c>
      <c r="I25">
        <v>2</v>
      </c>
      <c r="J25">
        <v>3</v>
      </c>
      <c r="K25">
        <v>18</v>
      </c>
      <c r="L25">
        <v>83.24</v>
      </c>
      <c r="M25">
        <v>20018</v>
      </c>
      <c r="N25">
        <v>14</v>
      </c>
      <c r="O25">
        <v>24</v>
      </c>
      <c r="P25">
        <v>24</v>
      </c>
      <c r="Q25">
        <v>26</v>
      </c>
      <c r="R25">
        <v>26</v>
      </c>
      <c r="S25">
        <v>4721</v>
      </c>
      <c r="T25">
        <v>4721</v>
      </c>
      <c r="U25">
        <v>26</v>
      </c>
      <c r="V25">
        <v>19</v>
      </c>
      <c r="W25">
        <v>22</v>
      </c>
      <c r="X25">
        <v>24</v>
      </c>
      <c r="Y25">
        <v>26</v>
      </c>
      <c r="Z25">
        <v>25</v>
      </c>
      <c r="AA25">
        <v>24</v>
      </c>
      <c r="AB25">
        <v>26</v>
      </c>
      <c r="AC25">
        <v>24</v>
      </c>
      <c r="AD25">
        <v>486</v>
      </c>
      <c r="AE25">
        <v>503</v>
      </c>
      <c r="AF25">
        <v>595</v>
      </c>
      <c r="AG25">
        <v>667</v>
      </c>
      <c r="AH25">
        <v>667</v>
      </c>
      <c r="AI25">
        <v>616</v>
      </c>
      <c r="AJ25">
        <v>612</v>
      </c>
      <c r="AK25">
        <v>575</v>
      </c>
      <c r="AL25">
        <v>5470430720</v>
      </c>
      <c r="AM25">
        <v>5260189696</v>
      </c>
      <c r="AN25">
        <v>6626149376</v>
      </c>
      <c r="AO25">
        <v>8417418240</v>
      </c>
      <c r="AP25">
        <v>5165466624</v>
      </c>
      <c r="AQ25">
        <v>5470114816</v>
      </c>
      <c r="AR25">
        <v>5073891840</v>
      </c>
      <c r="AS25">
        <v>5231333376</v>
      </c>
      <c r="AT25" s="11">
        <v>4026620160</v>
      </c>
      <c r="AU25" s="11">
        <v>3849208064</v>
      </c>
      <c r="AW25" s="14">
        <v>3760369152</v>
      </c>
      <c r="AX25" s="14">
        <v>4424702976</v>
      </c>
      <c r="AZ25" s="16">
        <v>4026620160</v>
      </c>
      <c r="BA25" s="16">
        <v>3735573760</v>
      </c>
      <c r="BC25" s="18">
        <v>3784062976</v>
      </c>
      <c r="BD25" s="18">
        <v>3198250240</v>
      </c>
    </row>
    <row r="26" spans="1:56" hidden="1">
      <c r="A26">
        <v>16778</v>
      </c>
      <c r="B26" t="s">
        <v>160</v>
      </c>
      <c r="C26" t="s">
        <v>161</v>
      </c>
      <c r="D26" t="s">
        <v>162</v>
      </c>
      <c r="F26" t="s">
        <v>163</v>
      </c>
      <c r="G26">
        <v>949.52099999999996</v>
      </c>
      <c r="H26" t="s">
        <v>58</v>
      </c>
      <c r="I26">
        <v>2</v>
      </c>
      <c r="J26">
        <v>21</v>
      </c>
      <c r="K26">
        <v>0</v>
      </c>
      <c r="L26">
        <v>75.819999999999993</v>
      </c>
      <c r="M26">
        <v>29860</v>
      </c>
      <c r="N26">
        <v>18</v>
      </c>
      <c r="O26">
        <v>26</v>
      </c>
      <c r="P26">
        <v>26</v>
      </c>
      <c r="Q26">
        <v>27</v>
      </c>
      <c r="R26">
        <v>27</v>
      </c>
      <c r="S26">
        <v>1600</v>
      </c>
      <c r="T26">
        <v>1600</v>
      </c>
      <c r="U26">
        <v>27</v>
      </c>
      <c r="V26">
        <v>20</v>
      </c>
      <c r="W26">
        <v>21</v>
      </c>
      <c r="X26">
        <v>21</v>
      </c>
      <c r="Y26">
        <v>25</v>
      </c>
      <c r="Z26">
        <v>23</v>
      </c>
      <c r="AA26">
        <v>22</v>
      </c>
      <c r="AB26">
        <v>25</v>
      </c>
      <c r="AC26">
        <v>26</v>
      </c>
      <c r="AD26">
        <v>252</v>
      </c>
      <c r="AE26">
        <v>271</v>
      </c>
      <c r="AF26">
        <v>171</v>
      </c>
      <c r="AG26">
        <v>189</v>
      </c>
      <c r="AH26">
        <v>193</v>
      </c>
      <c r="AI26">
        <v>202</v>
      </c>
      <c r="AJ26">
        <v>166</v>
      </c>
      <c r="AK26">
        <v>156</v>
      </c>
      <c r="AL26">
        <v>1225583744</v>
      </c>
      <c r="AM26">
        <v>1618680704</v>
      </c>
      <c r="AN26">
        <v>1366115072</v>
      </c>
      <c r="AO26">
        <v>2040406656</v>
      </c>
      <c r="AP26">
        <v>918845248</v>
      </c>
      <c r="AQ26">
        <v>1290439808</v>
      </c>
      <c r="AR26">
        <v>1267096576</v>
      </c>
      <c r="AS26">
        <v>998277312</v>
      </c>
      <c r="AT26" s="11">
        <v>1290060416</v>
      </c>
      <c r="AU26" s="11">
        <v>1734891776</v>
      </c>
      <c r="AW26" s="14">
        <v>663920384</v>
      </c>
      <c r="AX26" s="14">
        <v>960637376</v>
      </c>
      <c r="AZ26" s="16">
        <v>734403968</v>
      </c>
      <c r="BA26" s="16">
        <v>884093376</v>
      </c>
      <c r="BC26" s="18">
        <v>889290368</v>
      </c>
      <c r="BD26" s="18">
        <v>661069952</v>
      </c>
    </row>
    <row r="27" spans="1:56" hidden="1">
      <c r="A27">
        <v>16757</v>
      </c>
      <c r="B27" t="s">
        <v>164</v>
      </c>
      <c r="C27" t="s">
        <v>165</v>
      </c>
      <c r="D27" t="s">
        <v>166</v>
      </c>
      <c r="F27" t="s">
        <v>167</v>
      </c>
      <c r="G27">
        <v>947.81200000000001</v>
      </c>
      <c r="H27" t="s">
        <v>58</v>
      </c>
      <c r="I27">
        <v>2</v>
      </c>
      <c r="J27">
        <v>21</v>
      </c>
      <c r="K27">
        <v>0</v>
      </c>
      <c r="L27">
        <v>87.15</v>
      </c>
      <c r="M27">
        <v>20301</v>
      </c>
      <c r="N27">
        <v>13</v>
      </c>
      <c r="O27">
        <v>21</v>
      </c>
      <c r="P27">
        <v>21</v>
      </c>
      <c r="Q27">
        <v>22</v>
      </c>
      <c r="R27">
        <v>22</v>
      </c>
      <c r="S27">
        <v>1113</v>
      </c>
      <c r="T27">
        <v>1113</v>
      </c>
      <c r="U27">
        <v>22</v>
      </c>
      <c r="V27">
        <v>17</v>
      </c>
      <c r="W27">
        <v>17</v>
      </c>
      <c r="X27">
        <v>17</v>
      </c>
      <c r="Y27">
        <v>22</v>
      </c>
      <c r="Z27">
        <v>21</v>
      </c>
      <c r="AA27">
        <v>20</v>
      </c>
      <c r="AB27">
        <v>21</v>
      </c>
      <c r="AC27">
        <v>20</v>
      </c>
      <c r="AD27">
        <v>236</v>
      </c>
      <c r="AE27">
        <v>252</v>
      </c>
      <c r="AF27">
        <v>76</v>
      </c>
      <c r="AG27">
        <v>112</v>
      </c>
      <c r="AH27">
        <v>116</v>
      </c>
      <c r="AI27">
        <v>127</v>
      </c>
      <c r="AJ27">
        <v>105</v>
      </c>
      <c r="AK27">
        <v>89</v>
      </c>
      <c r="AL27">
        <v>1191142528</v>
      </c>
      <c r="AM27">
        <v>1033377536</v>
      </c>
      <c r="AN27">
        <v>832164864</v>
      </c>
      <c r="AO27">
        <v>1331694976</v>
      </c>
      <c r="AP27">
        <v>919053440</v>
      </c>
      <c r="AQ27">
        <v>1114256768</v>
      </c>
      <c r="AR27">
        <v>1035159232</v>
      </c>
      <c r="AS27">
        <v>881934016</v>
      </c>
      <c r="AT27" s="11">
        <v>966216192</v>
      </c>
      <c r="AU27" s="11">
        <v>1021637248</v>
      </c>
      <c r="AW27" s="14">
        <v>489213568</v>
      </c>
      <c r="AX27" s="14">
        <v>622743104</v>
      </c>
      <c r="AZ27" s="16">
        <v>719437312</v>
      </c>
      <c r="BA27" s="16">
        <v>767552064</v>
      </c>
      <c r="BC27" s="18">
        <v>700527616</v>
      </c>
      <c r="BD27" s="18">
        <v>538257984</v>
      </c>
    </row>
    <row r="28" spans="1:56" hidden="1">
      <c r="A28">
        <v>16750</v>
      </c>
      <c r="B28" t="s">
        <v>168</v>
      </c>
      <c r="C28" t="s">
        <v>169</v>
      </c>
      <c r="D28" t="s">
        <v>170</v>
      </c>
      <c r="F28" t="s">
        <v>171</v>
      </c>
      <c r="G28">
        <v>908.49400000000003</v>
      </c>
      <c r="H28" t="s">
        <v>58</v>
      </c>
      <c r="I28">
        <v>2</v>
      </c>
      <c r="J28">
        <v>21</v>
      </c>
      <c r="K28">
        <v>0</v>
      </c>
      <c r="L28">
        <v>80.58</v>
      </c>
      <c r="M28">
        <v>23468</v>
      </c>
      <c r="N28">
        <v>14</v>
      </c>
      <c r="O28">
        <v>22</v>
      </c>
      <c r="P28">
        <v>22</v>
      </c>
      <c r="Q28">
        <v>24</v>
      </c>
      <c r="R28">
        <v>24</v>
      </c>
      <c r="S28">
        <v>3694</v>
      </c>
      <c r="T28">
        <v>3694</v>
      </c>
      <c r="U28">
        <v>24</v>
      </c>
      <c r="V28">
        <v>17</v>
      </c>
      <c r="W28">
        <v>17</v>
      </c>
      <c r="X28">
        <v>24</v>
      </c>
      <c r="Y28">
        <v>24</v>
      </c>
      <c r="Z28">
        <v>24</v>
      </c>
      <c r="AA28">
        <v>24</v>
      </c>
      <c r="AB28">
        <v>23</v>
      </c>
      <c r="AC28">
        <v>22</v>
      </c>
      <c r="AD28">
        <v>455</v>
      </c>
      <c r="AE28">
        <v>490</v>
      </c>
      <c r="AF28">
        <v>466</v>
      </c>
      <c r="AG28">
        <v>468</v>
      </c>
      <c r="AH28">
        <v>473</v>
      </c>
      <c r="AI28">
        <v>468</v>
      </c>
      <c r="AJ28">
        <v>383</v>
      </c>
      <c r="AK28">
        <v>491</v>
      </c>
      <c r="AL28">
        <v>8129657856</v>
      </c>
      <c r="AM28">
        <v>7942187520</v>
      </c>
      <c r="AN28">
        <v>7326640640</v>
      </c>
      <c r="AO28">
        <v>9000622080</v>
      </c>
      <c r="AP28">
        <v>4889567744</v>
      </c>
      <c r="AQ28">
        <v>4931318784</v>
      </c>
      <c r="AR28">
        <v>4019471360</v>
      </c>
      <c r="AS28">
        <v>5554583552</v>
      </c>
      <c r="AT28" s="11">
        <v>8084281344</v>
      </c>
      <c r="AU28" s="11">
        <v>7500784128</v>
      </c>
      <c r="AW28" s="14">
        <v>3716151296</v>
      </c>
      <c r="AX28" s="14">
        <v>4107075072</v>
      </c>
      <c r="AZ28" s="16">
        <v>3662341120</v>
      </c>
      <c r="BA28" s="16">
        <v>3166458112</v>
      </c>
      <c r="BC28" s="18">
        <v>2509748736</v>
      </c>
      <c r="BD28" s="18">
        <v>2923160064</v>
      </c>
    </row>
    <row r="29" spans="1:56" hidden="1">
      <c r="A29">
        <v>16734</v>
      </c>
      <c r="B29" t="s">
        <v>172</v>
      </c>
      <c r="C29" t="s">
        <v>173</v>
      </c>
      <c r="D29" t="s">
        <v>174</v>
      </c>
      <c r="E29" t="s">
        <v>175</v>
      </c>
      <c r="F29" t="s">
        <v>176</v>
      </c>
      <c r="G29">
        <v>898.19299999999998</v>
      </c>
      <c r="H29" t="s">
        <v>58</v>
      </c>
      <c r="I29">
        <v>2</v>
      </c>
      <c r="J29">
        <v>11</v>
      </c>
      <c r="K29">
        <v>10</v>
      </c>
      <c r="L29">
        <v>43.87</v>
      </c>
      <c r="M29">
        <v>76239</v>
      </c>
      <c r="N29">
        <v>41</v>
      </c>
      <c r="O29">
        <v>25</v>
      </c>
      <c r="P29">
        <v>25</v>
      </c>
      <c r="Q29">
        <v>25</v>
      </c>
      <c r="R29">
        <v>25</v>
      </c>
      <c r="S29">
        <v>173</v>
      </c>
      <c r="T29">
        <v>173</v>
      </c>
      <c r="U29">
        <v>25</v>
      </c>
      <c r="V29">
        <v>18</v>
      </c>
      <c r="W29">
        <v>18</v>
      </c>
      <c r="X29">
        <v>22</v>
      </c>
      <c r="Y29">
        <v>24</v>
      </c>
      <c r="Z29">
        <v>24</v>
      </c>
      <c r="AA29">
        <v>24</v>
      </c>
      <c r="AB29">
        <v>24</v>
      </c>
      <c r="AC29">
        <v>24</v>
      </c>
      <c r="AD29">
        <v>14</v>
      </c>
      <c r="AE29">
        <v>13</v>
      </c>
      <c r="AF29">
        <v>14</v>
      </c>
      <c r="AG29">
        <v>21</v>
      </c>
      <c r="AH29">
        <v>28</v>
      </c>
      <c r="AI29">
        <v>29</v>
      </c>
      <c r="AJ29">
        <v>26</v>
      </c>
      <c r="AK29">
        <v>28</v>
      </c>
      <c r="AL29">
        <v>86954968</v>
      </c>
      <c r="AM29">
        <v>65090004</v>
      </c>
      <c r="AN29">
        <v>119472984</v>
      </c>
      <c r="AO29">
        <v>177192640</v>
      </c>
      <c r="AP29">
        <v>158512992</v>
      </c>
      <c r="AQ29">
        <v>201945104</v>
      </c>
      <c r="AR29">
        <v>150822896</v>
      </c>
      <c r="AS29">
        <v>195734496</v>
      </c>
      <c r="AT29" s="11">
        <v>96694328</v>
      </c>
      <c r="AU29" s="11">
        <v>81769120</v>
      </c>
      <c r="AW29" s="14">
        <v>64925888</v>
      </c>
      <c r="AX29" s="14">
        <v>65452608</v>
      </c>
      <c r="AZ29" s="16">
        <v>101273544</v>
      </c>
      <c r="BA29" s="16">
        <v>119423672</v>
      </c>
      <c r="BC29" s="18">
        <v>88231032</v>
      </c>
      <c r="BD29" s="18">
        <v>99981312</v>
      </c>
    </row>
    <row r="30" spans="1:56" hidden="1">
      <c r="A30">
        <v>16684</v>
      </c>
      <c r="B30" t="s">
        <v>177</v>
      </c>
      <c r="C30" t="s">
        <v>178</v>
      </c>
      <c r="D30" t="s">
        <v>179</v>
      </c>
      <c r="E30" t="s">
        <v>180</v>
      </c>
      <c r="F30" t="s">
        <v>181</v>
      </c>
      <c r="G30">
        <v>871.63900000000001</v>
      </c>
      <c r="H30" t="s">
        <v>58</v>
      </c>
      <c r="I30">
        <v>2</v>
      </c>
      <c r="J30">
        <v>3</v>
      </c>
      <c r="K30">
        <v>18</v>
      </c>
      <c r="L30">
        <v>55.75</v>
      </c>
      <c r="M30">
        <v>52201</v>
      </c>
      <c r="N30">
        <v>25</v>
      </c>
      <c r="O30">
        <v>21</v>
      </c>
      <c r="P30">
        <v>21</v>
      </c>
      <c r="Q30">
        <v>21</v>
      </c>
      <c r="R30">
        <v>21</v>
      </c>
      <c r="S30">
        <v>264</v>
      </c>
      <c r="T30">
        <v>264</v>
      </c>
      <c r="U30">
        <v>21</v>
      </c>
      <c r="V30">
        <v>16</v>
      </c>
      <c r="W30">
        <v>17</v>
      </c>
      <c r="X30">
        <v>19</v>
      </c>
      <c r="Y30">
        <v>20</v>
      </c>
      <c r="Z30">
        <v>20</v>
      </c>
      <c r="AA30">
        <v>21</v>
      </c>
      <c r="AB30">
        <v>20</v>
      </c>
      <c r="AC30">
        <v>21</v>
      </c>
      <c r="AD30">
        <v>27</v>
      </c>
      <c r="AE30">
        <v>25</v>
      </c>
      <c r="AF30">
        <v>25</v>
      </c>
      <c r="AG30">
        <v>28</v>
      </c>
      <c r="AH30">
        <v>37</v>
      </c>
      <c r="AI30">
        <v>42</v>
      </c>
      <c r="AJ30">
        <v>40</v>
      </c>
      <c r="AK30">
        <v>40</v>
      </c>
      <c r="AL30">
        <v>122426048</v>
      </c>
      <c r="AM30">
        <v>118409304</v>
      </c>
      <c r="AN30">
        <v>210657648</v>
      </c>
      <c r="AO30">
        <v>286984320</v>
      </c>
      <c r="AP30">
        <v>221586944</v>
      </c>
      <c r="AQ30">
        <v>267526416</v>
      </c>
      <c r="AR30">
        <v>239209984</v>
      </c>
      <c r="AS30">
        <v>264647424</v>
      </c>
      <c r="AT30" s="11">
        <v>131149536</v>
      </c>
      <c r="AU30" s="11">
        <v>119454624</v>
      </c>
      <c r="AW30" s="14">
        <v>106470216</v>
      </c>
      <c r="AX30" s="14">
        <v>98273496</v>
      </c>
      <c r="AZ30" s="16">
        <v>150098368</v>
      </c>
      <c r="BA30" s="16">
        <v>170119440</v>
      </c>
      <c r="BC30" s="18">
        <v>142651472</v>
      </c>
      <c r="BD30" s="18">
        <v>138664992</v>
      </c>
    </row>
    <row r="31" spans="1:56" hidden="1">
      <c r="A31">
        <v>16794</v>
      </c>
      <c r="B31" t="s">
        <v>182</v>
      </c>
      <c r="C31" t="s">
        <v>183</v>
      </c>
      <c r="D31" t="s">
        <v>184</v>
      </c>
      <c r="F31" t="s">
        <v>185</v>
      </c>
      <c r="G31">
        <v>869.39700000000005</v>
      </c>
      <c r="H31" t="s">
        <v>58</v>
      </c>
      <c r="I31">
        <v>2</v>
      </c>
      <c r="J31">
        <v>20</v>
      </c>
      <c r="K31">
        <v>0</v>
      </c>
      <c r="L31">
        <v>65.41</v>
      </c>
      <c r="M31">
        <v>20638</v>
      </c>
      <c r="N31">
        <v>14</v>
      </c>
      <c r="O31">
        <v>18</v>
      </c>
      <c r="P31">
        <v>18</v>
      </c>
      <c r="Q31">
        <v>22</v>
      </c>
      <c r="R31">
        <v>22</v>
      </c>
      <c r="S31">
        <v>2308</v>
      </c>
      <c r="T31">
        <v>2308</v>
      </c>
      <c r="U31">
        <v>22</v>
      </c>
      <c r="V31">
        <v>20</v>
      </c>
      <c r="W31">
        <v>20</v>
      </c>
      <c r="X31">
        <v>21</v>
      </c>
      <c r="Y31">
        <v>22</v>
      </c>
      <c r="Z31">
        <v>21</v>
      </c>
      <c r="AA31">
        <v>22</v>
      </c>
      <c r="AB31">
        <v>21</v>
      </c>
      <c r="AC31">
        <v>21</v>
      </c>
      <c r="AD31">
        <v>204</v>
      </c>
      <c r="AE31">
        <v>188</v>
      </c>
      <c r="AF31">
        <v>353</v>
      </c>
      <c r="AG31">
        <v>328</v>
      </c>
      <c r="AH31">
        <v>311</v>
      </c>
      <c r="AI31">
        <v>337</v>
      </c>
      <c r="AJ31">
        <v>287</v>
      </c>
      <c r="AK31">
        <v>300</v>
      </c>
      <c r="AL31">
        <v>1703096960</v>
      </c>
      <c r="AM31">
        <v>1500184320</v>
      </c>
      <c r="AN31">
        <v>5738438144</v>
      </c>
      <c r="AO31">
        <v>6905111040</v>
      </c>
      <c r="AP31">
        <v>3309444608</v>
      </c>
      <c r="AQ31">
        <v>3634151680</v>
      </c>
      <c r="AR31">
        <v>3136047360</v>
      </c>
      <c r="AS31">
        <v>3305489920</v>
      </c>
      <c r="AT31" s="11">
        <v>1476009216</v>
      </c>
      <c r="AU31" s="11">
        <v>1301302784</v>
      </c>
      <c r="AW31" s="14">
        <v>2981579008</v>
      </c>
      <c r="AX31" s="14">
        <v>2507820800</v>
      </c>
      <c r="AZ31" s="16">
        <v>2302728960</v>
      </c>
      <c r="BA31" s="16">
        <v>2246641408</v>
      </c>
      <c r="BC31" s="18">
        <v>1875733376</v>
      </c>
      <c r="BD31" s="18">
        <v>1707115776</v>
      </c>
    </row>
    <row r="32" spans="1:56" hidden="1">
      <c r="A32">
        <v>16710</v>
      </c>
      <c r="B32" t="s">
        <v>186</v>
      </c>
      <c r="C32" t="s">
        <v>187</v>
      </c>
      <c r="D32" t="s">
        <v>188</v>
      </c>
      <c r="F32" t="s">
        <v>189</v>
      </c>
      <c r="G32">
        <v>868.697</v>
      </c>
      <c r="H32" t="s">
        <v>58</v>
      </c>
      <c r="I32">
        <v>2</v>
      </c>
      <c r="J32">
        <v>21</v>
      </c>
      <c r="K32">
        <v>0</v>
      </c>
      <c r="L32">
        <v>75.599999999999994</v>
      </c>
      <c r="M32">
        <v>22243</v>
      </c>
      <c r="N32">
        <v>16</v>
      </c>
      <c r="O32">
        <v>23</v>
      </c>
      <c r="P32">
        <v>23</v>
      </c>
      <c r="Q32">
        <v>24</v>
      </c>
      <c r="R32">
        <v>24</v>
      </c>
      <c r="S32">
        <v>1007</v>
      </c>
      <c r="T32">
        <v>1007</v>
      </c>
      <c r="U32">
        <v>24</v>
      </c>
      <c r="V32">
        <v>21</v>
      </c>
      <c r="W32">
        <v>18</v>
      </c>
      <c r="X32">
        <v>21</v>
      </c>
      <c r="Y32">
        <v>24</v>
      </c>
      <c r="Z32">
        <v>23</v>
      </c>
      <c r="AA32">
        <v>22</v>
      </c>
      <c r="AB32">
        <v>21</v>
      </c>
      <c r="AC32">
        <v>22</v>
      </c>
      <c r="AD32">
        <v>186</v>
      </c>
      <c r="AE32">
        <v>209</v>
      </c>
      <c r="AF32">
        <v>88</v>
      </c>
      <c r="AG32">
        <v>95</v>
      </c>
      <c r="AH32">
        <v>117</v>
      </c>
      <c r="AI32">
        <v>114</v>
      </c>
      <c r="AJ32">
        <v>109</v>
      </c>
      <c r="AK32">
        <v>89</v>
      </c>
      <c r="AL32">
        <v>900094336</v>
      </c>
      <c r="AM32">
        <v>936051840</v>
      </c>
      <c r="AN32">
        <v>630087040</v>
      </c>
      <c r="AO32">
        <v>915666880</v>
      </c>
      <c r="AP32">
        <v>650995968</v>
      </c>
      <c r="AQ32">
        <v>560314176</v>
      </c>
      <c r="AR32">
        <v>518146528</v>
      </c>
      <c r="AS32">
        <v>599881152</v>
      </c>
      <c r="AT32" s="11">
        <v>889682368</v>
      </c>
      <c r="AU32" s="11">
        <v>890345984</v>
      </c>
      <c r="AW32" s="14">
        <v>463822208</v>
      </c>
      <c r="AX32" s="14">
        <v>478901472</v>
      </c>
      <c r="AZ32" s="16">
        <v>576887488</v>
      </c>
      <c r="BA32" s="16">
        <v>524078688</v>
      </c>
      <c r="BC32" s="18">
        <v>488045440</v>
      </c>
      <c r="BD32" s="18">
        <v>384132416</v>
      </c>
    </row>
    <row r="33" spans="1:56" hidden="1">
      <c r="A33">
        <v>16675</v>
      </c>
      <c r="B33" t="s">
        <v>190</v>
      </c>
      <c r="C33" t="s">
        <v>191</v>
      </c>
      <c r="D33" t="s">
        <v>192</v>
      </c>
      <c r="E33" t="s">
        <v>193</v>
      </c>
      <c r="F33" t="s">
        <v>194</v>
      </c>
      <c r="G33">
        <v>828.03499999999997</v>
      </c>
      <c r="H33" t="s">
        <v>58</v>
      </c>
      <c r="I33">
        <v>2</v>
      </c>
      <c r="J33">
        <v>18</v>
      </c>
      <c r="K33">
        <v>3</v>
      </c>
      <c r="L33">
        <v>57.31</v>
      </c>
      <c r="M33">
        <v>47028</v>
      </c>
      <c r="N33">
        <v>29</v>
      </c>
      <c r="O33">
        <v>20</v>
      </c>
      <c r="P33">
        <v>20</v>
      </c>
      <c r="Q33">
        <v>20</v>
      </c>
      <c r="R33">
        <v>20</v>
      </c>
      <c r="S33">
        <v>264</v>
      </c>
      <c r="T33">
        <v>264</v>
      </c>
      <c r="U33">
        <v>20</v>
      </c>
      <c r="V33">
        <v>18</v>
      </c>
      <c r="W33">
        <v>17</v>
      </c>
      <c r="X33">
        <v>18</v>
      </c>
      <c r="Y33">
        <v>20</v>
      </c>
      <c r="Z33">
        <v>20</v>
      </c>
      <c r="AA33">
        <v>20</v>
      </c>
      <c r="AB33">
        <v>20</v>
      </c>
      <c r="AC33">
        <v>20</v>
      </c>
      <c r="AD33">
        <v>23</v>
      </c>
      <c r="AE33">
        <v>23</v>
      </c>
      <c r="AF33">
        <v>34</v>
      </c>
      <c r="AG33">
        <v>27</v>
      </c>
      <c r="AH33">
        <v>40</v>
      </c>
      <c r="AI33">
        <v>40</v>
      </c>
      <c r="AJ33">
        <v>38</v>
      </c>
      <c r="AK33">
        <v>39</v>
      </c>
      <c r="AL33">
        <v>122627664</v>
      </c>
      <c r="AM33">
        <v>122738840</v>
      </c>
      <c r="AN33">
        <v>203514896</v>
      </c>
      <c r="AO33">
        <v>319699456</v>
      </c>
      <c r="AP33">
        <v>238356512</v>
      </c>
      <c r="AQ33">
        <v>276944544</v>
      </c>
      <c r="AR33">
        <v>257921328</v>
      </c>
      <c r="AS33">
        <v>292392256</v>
      </c>
      <c r="AT33" s="11">
        <v>119050800</v>
      </c>
      <c r="AU33" s="11">
        <v>122989912</v>
      </c>
      <c r="AW33" s="14">
        <v>115215736</v>
      </c>
      <c r="AX33" s="14">
        <v>128647920</v>
      </c>
      <c r="AZ33" s="16">
        <v>167511760</v>
      </c>
      <c r="BA33" s="16">
        <v>185030304</v>
      </c>
      <c r="BC33" s="18">
        <v>158609552</v>
      </c>
      <c r="BD33" s="18">
        <v>158355248</v>
      </c>
    </row>
    <row r="34" spans="1:56" hidden="1">
      <c r="A34">
        <v>16681</v>
      </c>
      <c r="B34" t="s">
        <v>195</v>
      </c>
      <c r="C34" t="s">
        <v>196</v>
      </c>
      <c r="D34" t="s">
        <v>197</v>
      </c>
      <c r="F34" t="s">
        <v>198</v>
      </c>
      <c r="G34">
        <v>827.34900000000005</v>
      </c>
      <c r="H34" t="s">
        <v>58</v>
      </c>
      <c r="I34">
        <v>2</v>
      </c>
      <c r="J34">
        <v>21</v>
      </c>
      <c r="K34">
        <v>0</v>
      </c>
      <c r="L34">
        <v>85.07</v>
      </c>
      <c r="M34">
        <v>22086</v>
      </c>
      <c r="N34">
        <v>13</v>
      </c>
      <c r="O34">
        <v>23</v>
      </c>
      <c r="P34">
        <v>23</v>
      </c>
      <c r="Q34">
        <v>23</v>
      </c>
      <c r="R34">
        <v>23</v>
      </c>
      <c r="S34">
        <v>1090</v>
      </c>
      <c r="T34">
        <v>1090</v>
      </c>
      <c r="U34">
        <v>23</v>
      </c>
      <c r="V34">
        <v>19</v>
      </c>
      <c r="W34">
        <v>14</v>
      </c>
      <c r="X34">
        <v>18</v>
      </c>
      <c r="Y34">
        <v>22</v>
      </c>
      <c r="Z34">
        <v>22</v>
      </c>
      <c r="AA34">
        <v>22</v>
      </c>
      <c r="AB34">
        <v>22</v>
      </c>
      <c r="AC34">
        <v>22</v>
      </c>
      <c r="AD34">
        <v>144</v>
      </c>
      <c r="AE34">
        <v>171</v>
      </c>
      <c r="AF34">
        <v>104</v>
      </c>
      <c r="AG34">
        <v>102</v>
      </c>
      <c r="AH34">
        <v>150</v>
      </c>
      <c r="AI34">
        <v>175</v>
      </c>
      <c r="AJ34">
        <v>139</v>
      </c>
      <c r="AK34">
        <v>105</v>
      </c>
      <c r="AL34">
        <v>656609408</v>
      </c>
      <c r="AM34">
        <v>752035136</v>
      </c>
      <c r="AN34">
        <v>630178048</v>
      </c>
      <c r="AO34">
        <v>904934848</v>
      </c>
      <c r="AP34">
        <v>487044576</v>
      </c>
      <c r="AQ34">
        <v>703154048</v>
      </c>
      <c r="AR34">
        <v>652245056</v>
      </c>
      <c r="AS34">
        <v>542568768</v>
      </c>
      <c r="AT34" s="11">
        <v>619550592</v>
      </c>
      <c r="AU34" s="11">
        <v>545093312</v>
      </c>
      <c r="AW34" s="14">
        <v>305419360</v>
      </c>
      <c r="AX34" s="14">
        <v>330738176</v>
      </c>
      <c r="AZ34" s="16">
        <v>438251136</v>
      </c>
      <c r="BA34" s="16">
        <v>498701152</v>
      </c>
      <c r="BC34" s="18">
        <v>448053376</v>
      </c>
      <c r="BD34" s="18">
        <v>334860064</v>
      </c>
    </row>
    <row r="35" spans="1:56">
      <c r="A35">
        <v>16767</v>
      </c>
      <c r="B35" t="s">
        <v>199</v>
      </c>
      <c r="C35" t="s">
        <v>200</v>
      </c>
      <c r="D35" t="s">
        <v>201</v>
      </c>
      <c r="E35" t="s">
        <v>202</v>
      </c>
      <c r="F35" t="s">
        <v>203</v>
      </c>
      <c r="G35">
        <v>792.82100000000003</v>
      </c>
      <c r="H35" t="s">
        <v>58</v>
      </c>
      <c r="I35">
        <v>2</v>
      </c>
      <c r="J35">
        <v>14</v>
      </c>
      <c r="K35">
        <v>6</v>
      </c>
      <c r="L35">
        <v>73.290000000000006</v>
      </c>
      <c r="M35">
        <v>35933</v>
      </c>
      <c r="N35">
        <v>16</v>
      </c>
      <c r="O35">
        <v>19</v>
      </c>
      <c r="P35">
        <v>19</v>
      </c>
      <c r="Q35">
        <v>19</v>
      </c>
      <c r="R35">
        <v>19</v>
      </c>
      <c r="S35">
        <v>680</v>
      </c>
      <c r="T35">
        <v>680</v>
      </c>
      <c r="U35">
        <v>19</v>
      </c>
      <c r="V35">
        <v>14</v>
      </c>
      <c r="W35">
        <v>15</v>
      </c>
      <c r="X35">
        <v>17</v>
      </c>
      <c r="Y35">
        <v>19</v>
      </c>
      <c r="Z35">
        <v>16</v>
      </c>
      <c r="AA35">
        <v>17</v>
      </c>
      <c r="AB35">
        <v>19</v>
      </c>
      <c r="AC35">
        <v>19</v>
      </c>
      <c r="AD35">
        <v>80</v>
      </c>
      <c r="AE35">
        <v>89</v>
      </c>
      <c r="AF35">
        <v>137</v>
      </c>
      <c r="AG35">
        <v>110</v>
      </c>
      <c r="AH35">
        <v>28</v>
      </c>
      <c r="AI35">
        <v>25</v>
      </c>
      <c r="AJ35">
        <v>92</v>
      </c>
      <c r="AK35">
        <v>119</v>
      </c>
      <c r="AL35">
        <v>516288576</v>
      </c>
      <c r="AM35">
        <v>457125344</v>
      </c>
      <c r="AN35">
        <v>969326464</v>
      </c>
      <c r="AO35">
        <v>1180957952</v>
      </c>
      <c r="AP35">
        <v>217027392</v>
      </c>
      <c r="AQ35">
        <v>249056128</v>
      </c>
      <c r="AR35">
        <v>868298176</v>
      </c>
      <c r="AS35">
        <v>936133760</v>
      </c>
      <c r="AT35" s="11">
        <v>420957920</v>
      </c>
      <c r="AU35" s="11">
        <v>426705216</v>
      </c>
      <c r="AW35" s="14">
        <v>549725632</v>
      </c>
      <c r="AX35" s="14">
        <v>485863552</v>
      </c>
      <c r="AZ35" s="16">
        <v>141472784</v>
      </c>
      <c r="BA35" s="16">
        <v>150070752</v>
      </c>
      <c r="BC35" s="18">
        <v>520868832</v>
      </c>
      <c r="BD35" s="18">
        <v>517507968</v>
      </c>
    </row>
    <row r="36" spans="1:56" hidden="1">
      <c r="A36">
        <v>16823</v>
      </c>
      <c r="B36" t="s">
        <v>204</v>
      </c>
      <c r="C36" t="s">
        <v>205</v>
      </c>
      <c r="D36" t="s">
        <v>206</v>
      </c>
      <c r="E36" t="s">
        <v>207</v>
      </c>
      <c r="F36" t="s">
        <v>208</v>
      </c>
      <c r="G36">
        <v>778.428</v>
      </c>
      <c r="H36" t="s">
        <v>58</v>
      </c>
      <c r="I36">
        <v>2</v>
      </c>
      <c r="J36">
        <v>2</v>
      </c>
      <c r="K36">
        <v>1</v>
      </c>
      <c r="L36">
        <v>37.61</v>
      </c>
      <c r="M36">
        <v>87361</v>
      </c>
      <c r="N36">
        <v>44</v>
      </c>
      <c r="O36">
        <v>25</v>
      </c>
      <c r="P36">
        <v>25</v>
      </c>
      <c r="Q36">
        <v>25</v>
      </c>
      <c r="R36">
        <v>25</v>
      </c>
      <c r="S36">
        <v>201</v>
      </c>
      <c r="T36">
        <v>201</v>
      </c>
      <c r="U36">
        <v>25</v>
      </c>
      <c r="V36">
        <v>17</v>
      </c>
      <c r="W36">
        <v>21</v>
      </c>
      <c r="X36">
        <v>23</v>
      </c>
      <c r="Y36">
        <v>24</v>
      </c>
      <c r="Z36">
        <v>25</v>
      </c>
      <c r="AA36">
        <v>24</v>
      </c>
      <c r="AB36">
        <v>25</v>
      </c>
      <c r="AC36">
        <v>25</v>
      </c>
      <c r="AD36">
        <v>21</v>
      </c>
      <c r="AE36">
        <v>16</v>
      </c>
      <c r="AF36">
        <v>23</v>
      </c>
      <c r="AG36">
        <v>26</v>
      </c>
      <c r="AH36">
        <v>34</v>
      </c>
      <c r="AI36">
        <v>32</v>
      </c>
      <c r="AJ36">
        <v>24</v>
      </c>
      <c r="AK36">
        <v>25</v>
      </c>
      <c r="AL36">
        <v>97841216</v>
      </c>
      <c r="AM36">
        <v>92632136</v>
      </c>
      <c r="AN36">
        <v>189294736</v>
      </c>
      <c r="AO36">
        <v>267710160</v>
      </c>
      <c r="AP36">
        <v>231859104</v>
      </c>
      <c r="AQ36">
        <v>262369712</v>
      </c>
      <c r="AR36">
        <v>262106256</v>
      </c>
      <c r="AS36">
        <v>283406336</v>
      </c>
      <c r="AT36" s="11">
        <v>111968344</v>
      </c>
      <c r="AU36" s="11">
        <v>107032896</v>
      </c>
      <c r="AW36" s="14">
        <v>100618184</v>
      </c>
      <c r="AX36" s="14">
        <v>98029096</v>
      </c>
      <c r="AZ36" s="16">
        <v>156376800</v>
      </c>
      <c r="BA36" s="16">
        <v>163572128</v>
      </c>
      <c r="BC36" s="18">
        <v>140308784</v>
      </c>
      <c r="BD36" s="18">
        <v>136645552</v>
      </c>
    </row>
    <row r="37" spans="1:56" hidden="1">
      <c r="A37">
        <v>16797</v>
      </c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>
        <v>745.08299999999997</v>
      </c>
      <c r="H37" t="s">
        <v>58</v>
      </c>
      <c r="I37">
        <v>2</v>
      </c>
      <c r="J37">
        <v>19</v>
      </c>
      <c r="K37">
        <v>2</v>
      </c>
      <c r="L37">
        <v>55.56</v>
      </c>
      <c r="M37">
        <v>40516</v>
      </c>
      <c r="N37">
        <v>25</v>
      </c>
      <c r="O37">
        <v>19</v>
      </c>
      <c r="P37">
        <v>19</v>
      </c>
      <c r="Q37">
        <v>19</v>
      </c>
      <c r="R37">
        <v>19</v>
      </c>
      <c r="S37">
        <v>384</v>
      </c>
      <c r="T37">
        <v>384</v>
      </c>
      <c r="U37">
        <v>19</v>
      </c>
      <c r="V37">
        <v>17</v>
      </c>
      <c r="W37">
        <v>18</v>
      </c>
      <c r="X37">
        <v>19</v>
      </c>
      <c r="Y37">
        <v>19</v>
      </c>
      <c r="Z37">
        <v>19</v>
      </c>
      <c r="AA37">
        <v>19</v>
      </c>
      <c r="AB37">
        <v>19</v>
      </c>
      <c r="AC37">
        <v>19</v>
      </c>
      <c r="AD37">
        <v>50</v>
      </c>
      <c r="AE37">
        <v>37</v>
      </c>
      <c r="AF37">
        <v>59</v>
      </c>
      <c r="AG37">
        <v>55</v>
      </c>
      <c r="AH37">
        <v>47</v>
      </c>
      <c r="AI37">
        <v>52</v>
      </c>
      <c r="AJ37">
        <v>42</v>
      </c>
      <c r="AK37">
        <v>42</v>
      </c>
      <c r="AL37">
        <v>190306752</v>
      </c>
      <c r="AM37">
        <v>163852192</v>
      </c>
      <c r="AN37">
        <v>857176128</v>
      </c>
      <c r="AO37">
        <v>949921024</v>
      </c>
      <c r="AP37">
        <v>433843360</v>
      </c>
      <c r="AQ37">
        <v>482306016</v>
      </c>
      <c r="AR37">
        <v>435015872</v>
      </c>
      <c r="AS37">
        <v>463481504</v>
      </c>
      <c r="AT37" s="11">
        <v>190217376</v>
      </c>
      <c r="AU37" s="11">
        <v>172384192</v>
      </c>
      <c r="AW37" s="14">
        <v>448740800</v>
      </c>
      <c r="AX37" s="14">
        <v>364812992</v>
      </c>
      <c r="AZ37" s="16">
        <v>293536896</v>
      </c>
      <c r="BA37" s="16">
        <v>305062496</v>
      </c>
      <c r="BC37" s="18">
        <v>242038320</v>
      </c>
      <c r="BD37" s="18">
        <v>236576048</v>
      </c>
    </row>
    <row r="38" spans="1:56" hidden="1">
      <c r="A38">
        <v>16668</v>
      </c>
      <c r="B38" t="s">
        <v>214</v>
      </c>
      <c r="C38" t="s">
        <v>215</v>
      </c>
      <c r="D38" t="s">
        <v>216</v>
      </c>
      <c r="E38" t="s">
        <v>217</v>
      </c>
      <c r="F38" t="s">
        <v>218</v>
      </c>
      <c r="G38">
        <v>739.2</v>
      </c>
      <c r="H38" t="s">
        <v>58</v>
      </c>
      <c r="I38">
        <v>2</v>
      </c>
      <c r="J38">
        <v>13</v>
      </c>
      <c r="K38">
        <v>2</v>
      </c>
      <c r="L38">
        <v>51.78</v>
      </c>
      <c r="M38">
        <v>41220</v>
      </c>
      <c r="N38">
        <v>21</v>
      </c>
      <c r="O38">
        <v>19</v>
      </c>
      <c r="P38">
        <v>19</v>
      </c>
      <c r="Q38">
        <v>19</v>
      </c>
      <c r="R38">
        <v>19</v>
      </c>
      <c r="S38">
        <v>206</v>
      </c>
      <c r="T38">
        <v>206</v>
      </c>
      <c r="U38">
        <v>19</v>
      </c>
      <c r="V38">
        <v>15</v>
      </c>
      <c r="W38">
        <v>15</v>
      </c>
      <c r="X38">
        <v>19</v>
      </c>
      <c r="Y38">
        <v>19</v>
      </c>
      <c r="Z38">
        <v>19</v>
      </c>
      <c r="AA38">
        <v>19</v>
      </c>
      <c r="AB38">
        <v>19</v>
      </c>
      <c r="AC38">
        <v>19</v>
      </c>
      <c r="AD38">
        <v>17</v>
      </c>
      <c r="AE38">
        <v>14</v>
      </c>
      <c r="AF38">
        <v>39</v>
      </c>
      <c r="AG38">
        <v>39</v>
      </c>
      <c r="AH38">
        <v>24</v>
      </c>
      <c r="AI38">
        <v>28</v>
      </c>
      <c r="AJ38">
        <v>22</v>
      </c>
      <c r="AK38">
        <v>23</v>
      </c>
      <c r="AL38">
        <v>148694592</v>
      </c>
      <c r="AM38">
        <v>138331168</v>
      </c>
      <c r="AN38">
        <v>655185472</v>
      </c>
      <c r="AO38">
        <v>702209472</v>
      </c>
      <c r="AP38">
        <v>325740064</v>
      </c>
      <c r="AQ38">
        <v>367741408</v>
      </c>
      <c r="AR38">
        <v>299380448</v>
      </c>
      <c r="AS38">
        <v>302445056</v>
      </c>
      <c r="AT38" s="11">
        <v>145689600</v>
      </c>
      <c r="AU38" s="11">
        <v>122465224</v>
      </c>
      <c r="AW38" s="14">
        <v>299210368</v>
      </c>
      <c r="AX38" s="14">
        <v>246892144</v>
      </c>
      <c r="AZ38" s="16">
        <v>221551328</v>
      </c>
      <c r="BA38" s="16">
        <v>225319408</v>
      </c>
      <c r="BC38" s="18">
        <v>174883328</v>
      </c>
      <c r="BD38" s="18">
        <v>169167856</v>
      </c>
    </row>
    <row r="39" spans="1:56" hidden="1">
      <c r="A39">
        <v>16719</v>
      </c>
      <c r="B39" t="s">
        <v>219</v>
      </c>
      <c r="C39" t="s">
        <v>220</v>
      </c>
      <c r="D39" t="s">
        <v>221</v>
      </c>
      <c r="E39" t="s">
        <v>222</v>
      </c>
      <c r="F39" t="s">
        <v>223</v>
      </c>
      <c r="G39">
        <v>736.49099999999999</v>
      </c>
      <c r="H39" t="s">
        <v>58</v>
      </c>
      <c r="I39">
        <v>2</v>
      </c>
      <c r="J39">
        <v>12</v>
      </c>
      <c r="K39">
        <v>8</v>
      </c>
      <c r="L39">
        <v>43.63</v>
      </c>
      <c r="M39">
        <v>47526</v>
      </c>
      <c r="N39">
        <v>18</v>
      </c>
      <c r="O39">
        <v>14</v>
      </c>
      <c r="P39">
        <v>14</v>
      </c>
      <c r="Q39">
        <v>14</v>
      </c>
      <c r="R39">
        <v>14</v>
      </c>
      <c r="S39">
        <v>127</v>
      </c>
      <c r="T39">
        <v>127</v>
      </c>
      <c r="U39">
        <v>14</v>
      </c>
      <c r="V39">
        <v>8</v>
      </c>
      <c r="W39">
        <v>10</v>
      </c>
      <c r="X39">
        <v>11</v>
      </c>
      <c r="Y39">
        <v>13</v>
      </c>
      <c r="Z39">
        <v>12</v>
      </c>
      <c r="AA39">
        <v>13</v>
      </c>
      <c r="AB39">
        <v>12</v>
      </c>
      <c r="AC39">
        <v>13</v>
      </c>
      <c r="AD39">
        <v>5</v>
      </c>
      <c r="AE39">
        <v>11</v>
      </c>
      <c r="AF39">
        <v>12</v>
      </c>
      <c r="AG39">
        <v>17</v>
      </c>
      <c r="AH39">
        <v>21</v>
      </c>
      <c r="AI39">
        <v>25</v>
      </c>
      <c r="AJ39">
        <v>19</v>
      </c>
      <c r="AK39">
        <v>17</v>
      </c>
      <c r="AL39">
        <v>38033520</v>
      </c>
      <c r="AM39">
        <v>46154576</v>
      </c>
      <c r="AN39">
        <v>61492700</v>
      </c>
      <c r="AO39">
        <v>97263528</v>
      </c>
      <c r="AP39">
        <v>76370936</v>
      </c>
      <c r="AQ39">
        <v>96568496</v>
      </c>
      <c r="AR39">
        <v>90893000</v>
      </c>
      <c r="AS39">
        <v>104705560</v>
      </c>
      <c r="AT39" s="11">
        <v>22540424</v>
      </c>
      <c r="AU39" s="11">
        <v>41271940</v>
      </c>
      <c r="AW39" s="14">
        <v>40950716</v>
      </c>
      <c r="AX39" s="14">
        <v>49067524</v>
      </c>
      <c r="AZ39" s="16">
        <v>68442144</v>
      </c>
      <c r="BA39" s="16">
        <v>79106120</v>
      </c>
      <c r="BC39" s="18">
        <v>76352280</v>
      </c>
      <c r="BD39" s="18">
        <v>81159640</v>
      </c>
    </row>
    <row r="40" spans="1:56" hidden="1">
      <c r="A40">
        <v>16698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>
        <v>720.82</v>
      </c>
      <c r="H40" t="s">
        <v>58</v>
      </c>
      <c r="I40">
        <v>2</v>
      </c>
      <c r="J40">
        <v>12</v>
      </c>
      <c r="K40">
        <v>9</v>
      </c>
      <c r="L40">
        <v>32.520000000000003</v>
      </c>
      <c r="M40">
        <v>104279</v>
      </c>
      <c r="N40">
        <v>58</v>
      </c>
      <c r="O40">
        <v>25</v>
      </c>
      <c r="P40">
        <v>25</v>
      </c>
      <c r="Q40">
        <v>25</v>
      </c>
      <c r="R40">
        <v>25</v>
      </c>
      <c r="S40">
        <v>173</v>
      </c>
      <c r="T40">
        <v>173</v>
      </c>
      <c r="U40">
        <v>24</v>
      </c>
      <c r="V40">
        <v>20</v>
      </c>
      <c r="W40">
        <v>18</v>
      </c>
      <c r="X40">
        <v>22</v>
      </c>
      <c r="Y40">
        <v>22</v>
      </c>
      <c r="Z40">
        <v>24</v>
      </c>
      <c r="AA40">
        <v>24</v>
      </c>
      <c r="AB40">
        <v>24</v>
      </c>
      <c r="AC40">
        <v>24</v>
      </c>
      <c r="AD40">
        <v>21</v>
      </c>
      <c r="AE40">
        <v>15</v>
      </c>
      <c r="AF40">
        <v>12</v>
      </c>
      <c r="AG40">
        <v>14</v>
      </c>
      <c r="AH40">
        <v>29</v>
      </c>
      <c r="AI40">
        <v>35</v>
      </c>
      <c r="AJ40">
        <v>21</v>
      </c>
      <c r="AK40">
        <v>25</v>
      </c>
      <c r="AL40">
        <v>65374448</v>
      </c>
      <c r="AM40">
        <v>61350344</v>
      </c>
      <c r="AN40">
        <v>91100016</v>
      </c>
      <c r="AO40">
        <v>115957816</v>
      </c>
      <c r="AP40">
        <v>112903968</v>
      </c>
      <c r="AQ40">
        <v>152571248</v>
      </c>
      <c r="AR40">
        <v>110143440</v>
      </c>
      <c r="AS40">
        <v>142765104</v>
      </c>
      <c r="AT40" s="11">
        <v>64713792</v>
      </c>
      <c r="AU40" s="11">
        <v>66100204</v>
      </c>
      <c r="AW40" s="14">
        <v>46021460</v>
      </c>
      <c r="AX40" s="14">
        <v>42693428</v>
      </c>
      <c r="AZ40" s="16">
        <v>75235160</v>
      </c>
      <c r="BA40" s="16">
        <v>92659560</v>
      </c>
      <c r="BC40" s="18">
        <v>65655864</v>
      </c>
      <c r="BD40" s="18">
        <v>76897896</v>
      </c>
    </row>
    <row r="41" spans="1:56" hidden="1">
      <c r="A41">
        <v>16756</v>
      </c>
      <c r="B41" t="s">
        <v>229</v>
      </c>
      <c r="C41" t="s">
        <v>230</v>
      </c>
      <c r="D41" t="s">
        <v>231</v>
      </c>
      <c r="F41" t="s">
        <v>232</v>
      </c>
      <c r="G41">
        <v>713.99800000000005</v>
      </c>
      <c r="H41" t="s">
        <v>58</v>
      </c>
      <c r="I41">
        <v>2</v>
      </c>
      <c r="J41">
        <v>21</v>
      </c>
      <c r="K41">
        <v>0</v>
      </c>
      <c r="L41">
        <v>54.42</v>
      </c>
      <c r="M41">
        <v>48413</v>
      </c>
      <c r="N41">
        <v>28</v>
      </c>
      <c r="O41">
        <v>22</v>
      </c>
      <c r="P41">
        <v>22</v>
      </c>
      <c r="Q41">
        <v>22</v>
      </c>
      <c r="R41">
        <v>22</v>
      </c>
      <c r="S41">
        <v>315</v>
      </c>
      <c r="T41">
        <v>315</v>
      </c>
      <c r="U41">
        <v>22</v>
      </c>
      <c r="V41">
        <v>16</v>
      </c>
      <c r="W41">
        <v>19</v>
      </c>
      <c r="X41">
        <v>19</v>
      </c>
      <c r="Y41">
        <v>21</v>
      </c>
      <c r="Z41">
        <v>22</v>
      </c>
      <c r="AA41">
        <v>22</v>
      </c>
      <c r="AB41">
        <v>22</v>
      </c>
      <c r="AC41">
        <v>22</v>
      </c>
      <c r="AD41">
        <v>31</v>
      </c>
      <c r="AE41">
        <v>24</v>
      </c>
      <c r="AF41">
        <v>33</v>
      </c>
      <c r="AG41">
        <v>38</v>
      </c>
      <c r="AH41">
        <v>53</v>
      </c>
      <c r="AI41">
        <v>60</v>
      </c>
      <c r="AJ41">
        <v>35</v>
      </c>
      <c r="AK41">
        <v>41</v>
      </c>
      <c r="AL41">
        <v>232997456</v>
      </c>
      <c r="AM41">
        <v>243817680</v>
      </c>
      <c r="AN41">
        <v>426837280</v>
      </c>
      <c r="AO41">
        <v>542140864</v>
      </c>
      <c r="AP41">
        <v>515652000</v>
      </c>
      <c r="AQ41">
        <v>613203008</v>
      </c>
      <c r="AR41">
        <v>501194208</v>
      </c>
      <c r="AS41">
        <v>542066880</v>
      </c>
      <c r="AT41" s="11">
        <v>241727728</v>
      </c>
      <c r="AU41" s="11">
        <v>241443376</v>
      </c>
      <c r="AW41" s="14">
        <v>209115168</v>
      </c>
      <c r="AX41" s="14">
        <v>203048496</v>
      </c>
      <c r="AZ41" s="16">
        <v>319924256</v>
      </c>
      <c r="BA41" s="16">
        <v>362103008</v>
      </c>
      <c r="BC41" s="18">
        <v>277608256</v>
      </c>
      <c r="BD41" s="18">
        <v>273027296</v>
      </c>
    </row>
    <row r="42" spans="1:56" hidden="1">
      <c r="A42">
        <v>16741</v>
      </c>
      <c r="B42" t="s">
        <v>233</v>
      </c>
      <c r="C42" t="s">
        <v>234</v>
      </c>
      <c r="D42" t="s">
        <v>235</v>
      </c>
      <c r="F42" t="s">
        <v>236</v>
      </c>
      <c r="G42">
        <v>694.01199999999994</v>
      </c>
      <c r="H42" t="s">
        <v>58</v>
      </c>
      <c r="I42">
        <v>2</v>
      </c>
      <c r="J42">
        <v>3</v>
      </c>
      <c r="K42">
        <v>0</v>
      </c>
      <c r="L42">
        <v>55.25</v>
      </c>
      <c r="M42">
        <v>57630</v>
      </c>
      <c r="N42">
        <v>32</v>
      </c>
      <c r="O42">
        <v>23</v>
      </c>
      <c r="P42">
        <v>17</v>
      </c>
      <c r="Q42">
        <v>23</v>
      </c>
      <c r="R42">
        <v>17</v>
      </c>
      <c r="S42">
        <v>219</v>
      </c>
      <c r="T42">
        <v>185</v>
      </c>
      <c r="U42">
        <v>17</v>
      </c>
      <c r="V42">
        <v>13</v>
      </c>
      <c r="W42">
        <v>15</v>
      </c>
      <c r="X42">
        <v>14</v>
      </c>
      <c r="Y42">
        <v>16</v>
      </c>
      <c r="Z42">
        <v>16</v>
      </c>
      <c r="AA42">
        <v>16</v>
      </c>
      <c r="AB42">
        <v>16</v>
      </c>
      <c r="AC42">
        <v>16</v>
      </c>
      <c r="AD42">
        <v>18</v>
      </c>
      <c r="AE42">
        <v>20</v>
      </c>
      <c r="AF42">
        <v>19</v>
      </c>
      <c r="AG42">
        <v>21</v>
      </c>
      <c r="AH42">
        <v>28</v>
      </c>
      <c r="AI42">
        <v>29</v>
      </c>
      <c r="AJ42">
        <v>25</v>
      </c>
      <c r="AK42">
        <v>25</v>
      </c>
      <c r="AL42">
        <v>113751888</v>
      </c>
      <c r="AM42">
        <v>111027024</v>
      </c>
      <c r="AN42">
        <v>162775696</v>
      </c>
      <c r="AO42">
        <v>262913488</v>
      </c>
      <c r="AP42">
        <v>208736736</v>
      </c>
      <c r="AQ42">
        <v>257197808</v>
      </c>
      <c r="AR42">
        <v>220937696</v>
      </c>
      <c r="AS42">
        <v>260999088</v>
      </c>
      <c r="AT42" s="11">
        <v>79528872</v>
      </c>
      <c r="AU42" s="11">
        <v>81235184</v>
      </c>
      <c r="AW42" s="14">
        <v>62085916</v>
      </c>
      <c r="AX42" s="14">
        <v>65781392</v>
      </c>
      <c r="AZ42" s="16">
        <v>95008704</v>
      </c>
      <c r="BA42" s="16">
        <v>107158272</v>
      </c>
      <c r="BC42" s="18">
        <v>85891832</v>
      </c>
      <c r="BD42" s="18">
        <v>93996960</v>
      </c>
    </row>
    <row r="43" spans="1:56" hidden="1">
      <c r="A43">
        <v>16680</v>
      </c>
      <c r="B43" t="s">
        <v>237</v>
      </c>
      <c r="C43" t="s">
        <v>238</v>
      </c>
      <c r="D43" t="s">
        <v>239</v>
      </c>
      <c r="F43" t="s">
        <v>240</v>
      </c>
      <c r="G43">
        <v>676.43100000000004</v>
      </c>
      <c r="H43" t="s">
        <v>58</v>
      </c>
      <c r="I43">
        <v>2</v>
      </c>
      <c r="J43">
        <v>21</v>
      </c>
      <c r="K43">
        <v>0</v>
      </c>
      <c r="L43">
        <v>63.84</v>
      </c>
      <c r="M43">
        <v>18903</v>
      </c>
      <c r="N43">
        <v>10</v>
      </c>
      <c r="O43">
        <v>13</v>
      </c>
      <c r="P43">
        <v>13</v>
      </c>
      <c r="Q43">
        <v>14</v>
      </c>
      <c r="R43">
        <v>14</v>
      </c>
      <c r="S43">
        <v>1708</v>
      </c>
      <c r="T43">
        <v>1708</v>
      </c>
      <c r="U43">
        <v>14</v>
      </c>
      <c r="V43">
        <v>12</v>
      </c>
      <c r="W43">
        <v>13</v>
      </c>
      <c r="X43">
        <v>13</v>
      </c>
      <c r="Y43">
        <v>13</v>
      </c>
      <c r="Z43">
        <v>13</v>
      </c>
      <c r="AA43">
        <v>13</v>
      </c>
      <c r="AB43">
        <v>13</v>
      </c>
      <c r="AC43">
        <v>13</v>
      </c>
      <c r="AD43">
        <v>220</v>
      </c>
      <c r="AE43">
        <v>255</v>
      </c>
      <c r="AF43">
        <v>194</v>
      </c>
      <c r="AG43">
        <v>162</v>
      </c>
      <c r="AH43">
        <v>212</v>
      </c>
      <c r="AI43">
        <v>208</v>
      </c>
      <c r="AJ43">
        <v>234</v>
      </c>
      <c r="AK43">
        <v>223</v>
      </c>
      <c r="AL43">
        <v>2220992000</v>
      </c>
      <c r="AM43">
        <v>2355230464</v>
      </c>
      <c r="AN43">
        <v>2086898048</v>
      </c>
      <c r="AO43">
        <v>2676498688</v>
      </c>
      <c r="AP43">
        <v>1752514688</v>
      </c>
      <c r="AQ43">
        <v>1912764288</v>
      </c>
      <c r="AR43">
        <v>1924401408</v>
      </c>
      <c r="AS43">
        <v>1675879936</v>
      </c>
      <c r="AT43" s="11">
        <v>2046972544</v>
      </c>
      <c r="AU43" s="11">
        <v>2208443904</v>
      </c>
      <c r="AW43" s="14">
        <v>1031051712</v>
      </c>
      <c r="AX43" s="14">
        <v>1124198528</v>
      </c>
      <c r="AZ43" s="16">
        <v>1233377408</v>
      </c>
      <c r="BA43" s="16">
        <v>1246224384</v>
      </c>
      <c r="BC43" s="18">
        <v>1177793536</v>
      </c>
      <c r="BD43" s="18">
        <v>1015671296</v>
      </c>
    </row>
    <row r="44" spans="1:56" hidden="1">
      <c r="A44">
        <v>16728</v>
      </c>
      <c r="B44" t="s">
        <v>241</v>
      </c>
      <c r="C44" t="s">
        <v>242</v>
      </c>
      <c r="D44" t="s">
        <v>243</v>
      </c>
      <c r="F44" t="s">
        <v>244</v>
      </c>
      <c r="G44">
        <v>671.81299999999999</v>
      </c>
      <c r="H44" t="s">
        <v>58</v>
      </c>
      <c r="I44">
        <v>2</v>
      </c>
      <c r="J44">
        <v>21</v>
      </c>
      <c r="K44">
        <v>0</v>
      </c>
      <c r="L44">
        <v>77.27</v>
      </c>
      <c r="M44">
        <v>12226</v>
      </c>
      <c r="N44">
        <v>7</v>
      </c>
      <c r="O44">
        <v>16</v>
      </c>
      <c r="P44">
        <v>16</v>
      </c>
      <c r="Q44">
        <v>17</v>
      </c>
      <c r="R44">
        <v>17</v>
      </c>
      <c r="S44">
        <v>565</v>
      </c>
      <c r="T44">
        <v>565</v>
      </c>
      <c r="U44">
        <v>17</v>
      </c>
      <c r="V44">
        <v>13</v>
      </c>
      <c r="W44">
        <v>14</v>
      </c>
      <c r="X44">
        <v>12</v>
      </c>
      <c r="Y44">
        <v>17</v>
      </c>
      <c r="Z44">
        <v>16</v>
      </c>
      <c r="AA44">
        <v>15</v>
      </c>
      <c r="AB44">
        <v>17</v>
      </c>
      <c r="AC44">
        <v>16</v>
      </c>
      <c r="AD44">
        <v>90</v>
      </c>
      <c r="AE44">
        <v>112</v>
      </c>
      <c r="AF44">
        <v>40</v>
      </c>
      <c r="AG44">
        <v>81</v>
      </c>
      <c r="AH44">
        <v>62</v>
      </c>
      <c r="AI44">
        <v>58</v>
      </c>
      <c r="AJ44">
        <v>64</v>
      </c>
      <c r="AK44">
        <v>58</v>
      </c>
      <c r="AL44">
        <v>578875904</v>
      </c>
      <c r="AM44">
        <v>663820608</v>
      </c>
      <c r="AN44">
        <v>412764640</v>
      </c>
      <c r="AO44">
        <v>765846080</v>
      </c>
      <c r="AP44">
        <v>492290496</v>
      </c>
      <c r="AQ44">
        <v>611754496</v>
      </c>
      <c r="AR44">
        <v>517076736</v>
      </c>
      <c r="AS44">
        <v>419047712</v>
      </c>
      <c r="AT44" s="11">
        <v>547265088</v>
      </c>
      <c r="AU44" s="11">
        <v>713675072</v>
      </c>
      <c r="AW44" s="14">
        <v>215819296</v>
      </c>
      <c r="AX44" s="14">
        <v>364837856</v>
      </c>
      <c r="AZ44" s="16">
        <v>398513120</v>
      </c>
      <c r="BA44" s="16">
        <v>443743136</v>
      </c>
      <c r="BC44" s="18">
        <v>396651616</v>
      </c>
      <c r="BD44" s="18">
        <v>311046912</v>
      </c>
    </row>
    <row r="45" spans="1:56" hidden="1">
      <c r="A45">
        <v>16682</v>
      </c>
      <c r="B45" t="s">
        <v>245</v>
      </c>
      <c r="C45" t="s">
        <v>246</v>
      </c>
      <c r="D45" t="s">
        <v>247</v>
      </c>
      <c r="E45" t="s">
        <v>248</v>
      </c>
      <c r="F45" t="s">
        <v>249</v>
      </c>
      <c r="G45">
        <v>640.25599999999997</v>
      </c>
      <c r="H45" t="s">
        <v>58</v>
      </c>
      <c r="I45">
        <v>2</v>
      </c>
      <c r="J45">
        <v>18</v>
      </c>
      <c r="K45">
        <v>2</v>
      </c>
      <c r="L45">
        <v>86.26</v>
      </c>
      <c r="M45">
        <v>15186</v>
      </c>
      <c r="N45">
        <v>8</v>
      </c>
      <c r="O45">
        <v>12</v>
      </c>
      <c r="P45">
        <v>12</v>
      </c>
      <c r="Q45">
        <v>13</v>
      </c>
      <c r="R45">
        <v>13</v>
      </c>
      <c r="S45">
        <v>2437</v>
      </c>
      <c r="T45">
        <v>2437</v>
      </c>
      <c r="U45">
        <v>13</v>
      </c>
      <c r="V45">
        <v>10</v>
      </c>
      <c r="W45">
        <v>12</v>
      </c>
      <c r="X45">
        <v>12</v>
      </c>
      <c r="Y45">
        <v>13</v>
      </c>
      <c r="Z45">
        <v>13</v>
      </c>
      <c r="AA45">
        <v>12</v>
      </c>
      <c r="AB45">
        <v>13</v>
      </c>
      <c r="AC45">
        <v>13</v>
      </c>
      <c r="AD45">
        <v>224</v>
      </c>
      <c r="AE45">
        <v>345</v>
      </c>
      <c r="AF45">
        <v>343</v>
      </c>
      <c r="AG45">
        <v>310</v>
      </c>
      <c r="AH45">
        <v>327</v>
      </c>
      <c r="AI45">
        <v>290</v>
      </c>
      <c r="AJ45">
        <v>300</v>
      </c>
      <c r="AK45">
        <v>298</v>
      </c>
      <c r="AL45">
        <v>2879703296</v>
      </c>
      <c r="AM45">
        <v>3230817792</v>
      </c>
      <c r="AN45">
        <v>2796195072</v>
      </c>
      <c r="AO45">
        <v>3914401024</v>
      </c>
      <c r="AP45">
        <v>1847874944</v>
      </c>
      <c r="AQ45">
        <v>1890168704</v>
      </c>
      <c r="AR45">
        <v>1789926656</v>
      </c>
      <c r="AS45">
        <v>2363291136</v>
      </c>
      <c r="AT45" s="11">
        <v>1941515776</v>
      </c>
      <c r="AU45" s="11">
        <v>2495504384</v>
      </c>
      <c r="AW45" s="14">
        <v>1684292224</v>
      </c>
      <c r="AX45" s="14">
        <v>1755932416</v>
      </c>
      <c r="AZ45" s="16">
        <v>1397395840</v>
      </c>
      <c r="BA45" s="16">
        <v>1246131840</v>
      </c>
      <c r="BC45" s="18">
        <v>1201313664</v>
      </c>
      <c r="BD45" s="18">
        <v>1383296000</v>
      </c>
    </row>
    <row r="46" spans="1:56" hidden="1">
      <c r="A46">
        <v>16769</v>
      </c>
      <c r="B46" t="s">
        <v>250</v>
      </c>
      <c r="C46" t="s">
        <v>251</v>
      </c>
      <c r="D46" t="s">
        <v>252</v>
      </c>
      <c r="F46" t="s">
        <v>253</v>
      </c>
      <c r="G46">
        <v>616.65899999999999</v>
      </c>
      <c r="H46" t="s">
        <v>58</v>
      </c>
      <c r="I46">
        <v>2</v>
      </c>
      <c r="J46">
        <v>21</v>
      </c>
      <c r="K46">
        <v>0</v>
      </c>
      <c r="L46">
        <v>65.44</v>
      </c>
      <c r="M46">
        <v>15281</v>
      </c>
      <c r="N46">
        <v>5</v>
      </c>
      <c r="O46">
        <v>12</v>
      </c>
      <c r="P46">
        <v>12</v>
      </c>
      <c r="Q46">
        <v>13</v>
      </c>
      <c r="R46">
        <v>13</v>
      </c>
      <c r="S46">
        <v>586</v>
      </c>
      <c r="T46">
        <v>586</v>
      </c>
      <c r="U46">
        <v>13</v>
      </c>
      <c r="V46">
        <v>11</v>
      </c>
      <c r="W46">
        <v>11</v>
      </c>
      <c r="X46">
        <v>11</v>
      </c>
      <c r="Y46">
        <v>12</v>
      </c>
      <c r="Z46">
        <v>13</v>
      </c>
      <c r="AA46">
        <v>13</v>
      </c>
      <c r="AB46">
        <v>12</v>
      </c>
      <c r="AC46">
        <v>13</v>
      </c>
      <c r="AD46">
        <v>91</v>
      </c>
      <c r="AE46">
        <v>76</v>
      </c>
      <c r="AF46">
        <v>75</v>
      </c>
      <c r="AG46">
        <v>51</v>
      </c>
      <c r="AH46">
        <v>60</v>
      </c>
      <c r="AI46">
        <v>88</v>
      </c>
      <c r="AJ46">
        <v>89</v>
      </c>
      <c r="AK46">
        <v>56</v>
      </c>
      <c r="AL46">
        <v>532452064</v>
      </c>
      <c r="AM46">
        <v>503383360</v>
      </c>
      <c r="AN46">
        <v>666870912</v>
      </c>
      <c r="AO46">
        <v>840252416</v>
      </c>
      <c r="AP46">
        <v>520306784</v>
      </c>
      <c r="AQ46">
        <v>616944320</v>
      </c>
      <c r="AR46">
        <v>552430144</v>
      </c>
      <c r="AS46">
        <v>453648928</v>
      </c>
      <c r="AT46" s="11">
        <v>616155648</v>
      </c>
      <c r="AU46" s="11">
        <v>591081920</v>
      </c>
      <c r="AW46" s="14">
        <v>297722464</v>
      </c>
      <c r="AX46" s="14">
        <v>344445120</v>
      </c>
      <c r="AZ46" s="16">
        <v>405956800</v>
      </c>
      <c r="BA46" s="16">
        <v>401813632</v>
      </c>
      <c r="BC46" s="18">
        <v>367176960</v>
      </c>
      <c r="BD46" s="18">
        <v>292947328</v>
      </c>
    </row>
    <row r="47" spans="1:56" hidden="1">
      <c r="A47">
        <v>16793</v>
      </c>
      <c r="B47" t="s">
        <v>254</v>
      </c>
      <c r="C47" t="s">
        <v>255</v>
      </c>
      <c r="D47" t="s">
        <v>256</v>
      </c>
      <c r="F47" t="s">
        <v>257</v>
      </c>
      <c r="G47">
        <v>614.68499999999995</v>
      </c>
      <c r="H47" t="s">
        <v>58</v>
      </c>
      <c r="I47">
        <v>2</v>
      </c>
      <c r="J47">
        <v>6</v>
      </c>
      <c r="K47">
        <v>0</v>
      </c>
      <c r="L47">
        <v>47.78</v>
      </c>
      <c r="M47">
        <v>20563</v>
      </c>
      <c r="N47">
        <v>9</v>
      </c>
      <c r="O47">
        <v>11</v>
      </c>
      <c r="P47">
        <v>11</v>
      </c>
      <c r="Q47">
        <v>13</v>
      </c>
      <c r="R47">
        <v>13</v>
      </c>
      <c r="S47">
        <v>1949</v>
      </c>
      <c r="T47">
        <v>1949</v>
      </c>
      <c r="U47">
        <v>13</v>
      </c>
      <c r="V47">
        <v>13</v>
      </c>
      <c r="W47">
        <v>13</v>
      </c>
      <c r="X47">
        <v>13</v>
      </c>
      <c r="Y47">
        <v>13</v>
      </c>
      <c r="Z47">
        <v>12</v>
      </c>
      <c r="AA47">
        <v>12</v>
      </c>
      <c r="AB47">
        <v>12</v>
      </c>
      <c r="AC47">
        <v>13</v>
      </c>
      <c r="AD47">
        <v>348</v>
      </c>
      <c r="AE47">
        <v>384</v>
      </c>
      <c r="AF47">
        <v>253</v>
      </c>
      <c r="AG47">
        <v>187</v>
      </c>
      <c r="AH47">
        <v>204</v>
      </c>
      <c r="AI47">
        <v>199</v>
      </c>
      <c r="AJ47">
        <v>180</v>
      </c>
      <c r="AK47">
        <v>194</v>
      </c>
      <c r="AL47">
        <v>1814387072</v>
      </c>
      <c r="AM47">
        <v>1894461440</v>
      </c>
      <c r="AN47">
        <v>2306882560</v>
      </c>
      <c r="AO47">
        <v>2901306112</v>
      </c>
      <c r="AP47">
        <v>1402503936</v>
      </c>
      <c r="AQ47">
        <v>1401871360</v>
      </c>
      <c r="AR47">
        <v>1575069824</v>
      </c>
      <c r="AS47">
        <v>1574669696</v>
      </c>
      <c r="AT47" s="11">
        <v>1694979456</v>
      </c>
      <c r="AU47" s="11">
        <v>1862348928</v>
      </c>
      <c r="AW47" s="14">
        <v>1290530048</v>
      </c>
      <c r="AX47" s="14">
        <v>1199659136</v>
      </c>
      <c r="AZ47" s="16">
        <v>922120320</v>
      </c>
      <c r="BA47" s="16">
        <v>901670016</v>
      </c>
      <c r="BC47" s="18">
        <v>993074752</v>
      </c>
      <c r="BD47" s="18">
        <v>902855744</v>
      </c>
    </row>
    <row r="48" spans="1:56" hidden="1">
      <c r="A48">
        <v>16809</v>
      </c>
      <c r="B48" t="s">
        <v>258</v>
      </c>
      <c r="D48" t="s">
        <v>259</v>
      </c>
      <c r="F48" t="s">
        <v>260</v>
      </c>
      <c r="G48">
        <v>585.50099999999998</v>
      </c>
      <c r="H48" t="s">
        <v>58</v>
      </c>
      <c r="I48">
        <v>2</v>
      </c>
      <c r="J48">
        <v>4</v>
      </c>
      <c r="K48">
        <v>0</v>
      </c>
      <c r="L48">
        <v>20.16</v>
      </c>
      <c r="M48">
        <v>84600</v>
      </c>
      <c r="N48">
        <v>34</v>
      </c>
      <c r="O48">
        <v>13</v>
      </c>
      <c r="P48">
        <v>13</v>
      </c>
      <c r="Q48">
        <v>15</v>
      </c>
      <c r="R48">
        <v>15</v>
      </c>
      <c r="S48">
        <v>207</v>
      </c>
      <c r="T48">
        <v>207</v>
      </c>
      <c r="U48">
        <v>15</v>
      </c>
      <c r="V48">
        <v>10</v>
      </c>
      <c r="W48">
        <v>10</v>
      </c>
      <c r="X48">
        <v>13</v>
      </c>
      <c r="Y48">
        <v>15</v>
      </c>
      <c r="Z48">
        <v>7</v>
      </c>
      <c r="AA48">
        <v>9</v>
      </c>
      <c r="AB48">
        <v>13</v>
      </c>
      <c r="AC48">
        <v>13</v>
      </c>
      <c r="AD48">
        <v>44</v>
      </c>
      <c r="AE48">
        <v>44</v>
      </c>
      <c r="AF48">
        <v>45</v>
      </c>
      <c r="AG48">
        <v>42</v>
      </c>
      <c r="AH48">
        <v>3</v>
      </c>
      <c r="AI48">
        <v>4</v>
      </c>
      <c r="AJ48">
        <v>13</v>
      </c>
      <c r="AK48">
        <v>12</v>
      </c>
      <c r="AL48">
        <v>277297280</v>
      </c>
      <c r="AM48">
        <v>315308192</v>
      </c>
      <c r="AN48">
        <v>331450752</v>
      </c>
      <c r="AO48">
        <v>344165440</v>
      </c>
      <c r="AP48">
        <v>25383056</v>
      </c>
      <c r="AQ48">
        <v>32562996</v>
      </c>
      <c r="AR48">
        <v>85895376</v>
      </c>
      <c r="AS48">
        <v>81992168</v>
      </c>
      <c r="AT48" s="11">
        <v>215185360</v>
      </c>
      <c r="AU48" s="11">
        <v>276508224</v>
      </c>
      <c r="AW48" s="14">
        <v>207125008</v>
      </c>
      <c r="AX48" s="14">
        <v>167305872</v>
      </c>
      <c r="AZ48" s="16">
        <v>8091876.5</v>
      </c>
      <c r="BA48" s="16">
        <v>16174679</v>
      </c>
      <c r="BC48" s="18">
        <v>57765840</v>
      </c>
      <c r="BD48" s="18">
        <v>49816444</v>
      </c>
    </row>
    <row r="49" spans="1:56" hidden="1">
      <c r="A49">
        <v>16718</v>
      </c>
      <c r="B49" t="s">
        <v>261</v>
      </c>
      <c r="C49" t="s">
        <v>262</v>
      </c>
      <c r="D49" t="s">
        <v>263</v>
      </c>
      <c r="E49" t="s">
        <v>264</v>
      </c>
      <c r="F49" t="s">
        <v>265</v>
      </c>
      <c r="G49">
        <v>580.154</v>
      </c>
      <c r="H49" t="s">
        <v>58</v>
      </c>
      <c r="I49">
        <v>2</v>
      </c>
      <c r="J49">
        <v>19</v>
      </c>
      <c r="K49">
        <v>1</v>
      </c>
      <c r="L49">
        <v>48.84</v>
      </c>
      <c r="M49">
        <v>34715</v>
      </c>
      <c r="N49">
        <v>14</v>
      </c>
      <c r="O49">
        <v>12</v>
      </c>
      <c r="P49">
        <v>12</v>
      </c>
      <c r="Q49">
        <v>13</v>
      </c>
      <c r="R49">
        <v>13</v>
      </c>
      <c r="S49">
        <v>145</v>
      </c>
      <c r="T49">
        <v>145</v>
      </c>
      <c r="U49">
        <v>12</v>
      </c>
      <c r="V49">
        <v>9</v>
      </c>
      <c r="W49">
        <v>11</v>
      </c>
      <c r="X49">
        <v>12</v>
      </c>
      <c r="Y49">
        <v>12</v>
      </c>
      <c r="Z49">
        <v>12</v>
      </c>
      <c r="AA49">
        <v>12</v>
      </c>
      <c r="AB49">
        <v>12</v>
      </c>
      <c r="AC49">
        <v>12</v>
      </c>
      <c r="AD49">
        <v>14</v>
      </c>
      <c r="AE49">
        <v>11</v>
      </c>
      <c r="AF49">
        <v>15</v>
      </c>
      <c r="AG49">
        <v>14</v>
      </c>
      <c r="AH49">
        <v>26</v>
      </c>
      <c r="AI49">
        <v>26</v>
      </c>
      <c r="AJ49">
        <v>17</v>
      </c>
      <c r="AK49">
        <v>21</v>
      </c>
      <c r="AL49">
        <v>75006504</v>
      </c>
      <c r="AM49">
        <v>76353288</v>
      </c>
      <c r="AN49">
        <v>183467552</v>
      </c>
      <c r="AO49">
        <v>251025712</v>
      </c>
      <c r="AP49">
        <v>190949840</v>
      </c>
      <c r="AQ49">
        <v>225533056</v>
      </c>
      <c r="AR49">
        <v>208251712</v>
      </c>
      <c r="AS49">
        <v>235142592</v>
      </c>
      <c r="AT49" s="11">
        <v>101461352</v>
      </c>
      <c r="AU49" s="11">
        <v>109209912</v>
      </c>
      <c r="AW49" s="14">
        <v>87737376</v>
      </c>
      <c r="AX49" s="14">
        <v>81987528</v>
      </c>
      <c r="AZ49" s="16">
        <v>134257952</v>
      </c>
      <c r="BA49" s="16">
        <v>148643280</v>
      </c>
      <c r="BC49" s="18">
        <v>125278000</v>
      </c>
      <c r="BD49" s="18">
        <v>117637640</v>
      </c>
    </row>
    <row r="50" spans="1:56" hidden="1">
      <c r="A50">
        <v>16747</v>
      </c>
      <c r="B50" t="s">
        <v>266</v>
      </c>
      <c r="C50" t="s">
        <v>267</v>
      </c>
      <c r="D50" t="s">
        <v>268</v>
      </c>
      <c r="F50" t="s">
        <v>269</v>
      </c>
      <c r="G50">
        <v>579.65800000000002</v>
      </c>
      <c r="H50" t="s">
        <v>58</v>
      </c>
      <c r="I50">
        <v>2</v>
      </c>
      <c r="J50">
        <v>21</v>
      </c>
      <c r="K50">
        <v>0</v>
      </c>
      <c r="L50">
        <v>83.64</v>
      </c>
      <c r="M50">
        <v>17711</v>
      </c>
      <c r="N50">
        <v>12</v>
      </c>
      <c r="O50">
        <v>16</v>
      </c>
      <c r="P50">
        <v>16</v>
      </c>
      <c r="Q50">
        <v>18</v>
      </c>
      <c r="R50">
        <v>18</v>
      </c>
      <c r="S50">
        <v>582</v>
      </c>
      <c r="T50">
        <v>582</v>
      </c>
      <c r="U50">
        <v>18</v>
      </c>
      <c r="V50">
        <v>10</v>
      </c>
      <c r="W50">
        <v>10</v>
      </c>
      <c r="X50">
        <v>16</v>
      </c>
      <c r="Y50">
        <v>17</v>
      </c>
      <c r="Z50">
        <v>16</v>
      </c>
      <c r="AA50">
        <v>17</v>
      </c>
      <c r="AB50">
        <v>18</v>
      </c>
      <c r="AC50">
        <v>18</v>
      </c>
      <c r="AD50">
        <v>69</v>
      </c>
      <c r="AE50">
        <v>103</v>
      </c>
      <c r="AF50">
        <v>56</v>
      </c>
      <c r="AG50">
        <v>57</v>
      </c>
      <c r="AH50">
        <v>71</v>
      </c>
      <c r="AI50">
        <v>74</v>
      </c>
      <c r="AJ50">
        <v>79</v>
      </c>
      <c r="AK50">
        <v>73</v>
      </c>
      <c r="AL50">
        <v>1196486528</v>
      </c>
      <c r="AM50">
        <v>1086965504</v>
      </c>
      <c r="AN50">
        <v>1258601088</v>
      </c>
      <c r="AO50">
        <v>1824651520</v>
      </c>
      <c r="AP50">
        <v>1141528960</v>
      </c>
      <c r="AQ50">
        <v>1230698240</v>
      </c>
      <c r="AR50">
        <v>1160932096</v>
      </c>
      <c r="AS50">
        <v>1200939136</v>
      </c>
      <c r="AT50" s="11">
        <v>797648576</v>
      </c>
      <c r="AU50" s="11">
        <v>472779552</v>
      </c>
      <c r="AW50" s="14">
        <v>701761728</v>
      </c>
      <c r="AX50" s="14">
        <v>839566656</v>
      </c>
      <c r="AZ50" s="16">
        <v>820538432</v>
      </c>
      <c r="BA50" s="16">
        <v>790067968</v>
      </c>
      <c r="BC50" s="18">
        <v>743190400</v>
      </c>
      <c r="BD50" s="18">
        <v>888195968</v>
      </c>
    </row>
    <row r="51" spans="1:56" hidden="1">
      <c r="A51">
        <v>16692</v>
      </c>
      <c r="B51" t="s">
        <v>270</v>
      </c>
      <c r="C51" t="s">
        <v>271</v>
      </c>
      <c r="D51" t="s">
        <v>272</v>
      </c>
      <c r="E51" t="s">
        <v>273</v>
      </c>
      <c r="F51" t="s">
        <v>274</v>
      </c>
      <c r="G51">
        <v>566.28700000000003</v>
      </c>
      <c r="H51" t="s">
        <v>58</v>
      </c>
      <c r="I51">
        <v>2</v>
      </c>
      <c r="J51">
        <v>10</v>
      </c>
      <c r="K51">
        <v>11</v>
      </c>
      <c r="L51">
        <v>46.67</v>
      </c>
      <c r="M51">
        <v>34154</v>
      </c>
      <c r="N51">
        <v>21</v>
      </c>
      <c r="O51">
        <v>12</v>
      </c>
      <c r="P51">
        <v>12</v>
      </c>
      <c r="Q51">
        <v>12</v>
      </c>
      <c r="R51">
        <v>12</v>
      </c>
      <c r="S51">
        <v>125</v>
      </c>
      <c r="T51">
        <v>125</v>
      </c>
      <c r="U51">
        <v>12</v>
      </c>
      <c r="V51">
        <v>9</v>
      </c>
      <c r="W51">
        <v>10</v>
      </c>
      <c r="X51">
        <v>12</v>
      </c>
      <c r="Y51">
        <v>12</v>
      </c>
      <c r="Z51">
        <v>12</v>
      </c>
      <c r="AA51">
        <v>12</v>
      </c>
      <c r="AB51">
        <v>12</v>
      </c>
      <c r="AC51">
        <v>12</v>
      </c>
      <c r="AD51">
        <v>10</v>
      </c>
      <c r="AE51">
        <v>11</v>
      </c>
      <c r="AF51">
        <v>16</v>
      </c>
      <c r="AG51">
        <v>13</v>
      </c>
      <c r="AH51">
        <v>20</v>
      </c>
      <c r="AI51">
        <v>18</v>
      </c>
      <c r="AJ51">
        <v>18</v>
      </c>
      <c r="AK51">
        <v>19</v>
      </c>
      <c r="AL51">
        <v>74895896</v>
      </c>
      <c r="AM51">
        <v>62838528</v>
      </c>
      <c r="AN51">
        <v>123551040</v>
      </c>
      <c r="AO51">
        <v>188379568</v>
      </c>
      <c r="AP51">
        <v>163953536</v>
      </c>
      <c r="AQ51">
        <v>197536992</v>
      </c>
      <c r="AR51">
        <v>161021776</v>
      </c>
      <c r="AS51">
        <v>180831312</v>
      </c>
      <c r="AT51" s="11">
        <v>80730752</v>
      </c>
      <c r="AU51" s="11">
        <v>62170140</v>
      </c>
      <c r="AW51" s="14">
        <v>72136176</v>
      </c>
      <c r="AX51" s="14">
        <v>66010160</v>
      </c>
      <c r="AZ51" s="16">
        <v>112634048</v>
      </c>
      <c r="BA51" s="16">
        <v>117325192</v>
      </c>
      <c r="BC51" s="18">
        <v>90743976</v>
      </c>
      <c r="BD51" s="18">
        <v>89491672</v>
      </c>
    </row>
    <row r="52" spans="1:56" hidden="1">
      <c r="A52">
        <v>16729</v>
      </c>
      <c r="B52" t="s">
        <v>275</v>
      </c>
      <c r="C52" t="s">
        <v>276</v>
      </c>
      <c r="D52" t="s">
        <v>277</v>
      </c>
      <c r="F52" t="s">
        <v>278</v>
      </c>
      <c r="G52">
        <v>550.85799999999995</v>
      </c>
      <c r="H52" t="s">
        <v>58</v>
      </c>
      <c r="I52">
        <v>2</v>
      </c>
      <c r="J52">
        <v>21</v>
      </c>
      <c r="K52">
        <v>0</v>
      </c>
      <c r="L52">
        <v>68.459999999999994</v>
      </c>
      <c r="M52">
        <v>14126</v>
      </c>
      <c r="N52">
        <v>11</v>
      </c>
      <c r="O52">
        <v>11</v>
      </c>
      <c r="P52">
        <v>11</v>
      </c>
      <c r="Q52">
        <v>14</v>
      </c>
      <c r="R52">
        <v>14</v>
      </c>
      <c r="S52">
        <v>1127</v>
      </c>
      <c r="T52">
        <v>1127</v>
      </c>
      <c r="U52">
        <v>14</v>
      </c>
      <c r="V52">
        <v>12</v>
      </c>
      <c r="W52">
        <v>14</v>
      </c>
      <c r="X52">
        <v>12</v>
      </c>
      <c r="Y52">
        <v>14</v>
      </c>
      <c r="Z52">
        <v>13</v>
      </c>
      <c r="AA52">
        <v>13</v>
      </c>
      <c r="AB52">
        <v>13</v>
      </c>
      <c r="AC52">
        <v>13</v>
      </c>
      <c r="AD52">
        <v>154</v>
      </c>
      <c r="AE52">
        <v>212</v>
      </c>
      <c r="AF52">
        <v>119</v>
      </c>
      <c r="AG52">
        <v>127</v>
      </c>
      <c r="AH52">
        <v>152</v>
      </c>
      <c r="AI52">
        <v>123</v>
      </c>
      <c r="AJ52">
        <v>98</v>
      </c>
      <c r="AK52">
        <v>142</v>
      </c>
      <c r="AL52">
        <v>3333712896</v>
      </c>
      <c r="AM52">
        <v>3490234112</v>
      </c>
      <c r="AN52">
        <v>2062831616</v>
      </c>
      <c r="AO52">
        <v>2314607360</v>
      </c>
      <c r="AP52">
        <v>1657250944</v>
      </c>
      <c r="AQ52">
        <v>1606456832</v>
      </c>
      <c r="AR52">
        <v>1454441088</v>
      </c>
      <c r="AS52">
        <v>2050333056</v>
      </c>
      <c r="AT52" s="11">
        <v>2966195712</v>
      </c>
      <c r="AU52" s="11">
        <v>3210190592</v>
      </c>
      <c r="AW52" s="14">
        <v>986984192</v>
      </c>
      <c r="AX52" s="14">
        <v>843920640</v>
      </c>
      <c r="AZ52" s="16">
        <v>1129208064</v>
      </c>
      <c r="BA52" s="16">
        <v>1082485248</v>
      </c>
      <c r="BC52" s="18">
        <v>863269760</v>
      </c>
      <c r="BD52" s="18">
        <v>1094429952</v>
      </c>
    </row>
    <row r="53" spans="1:56" hidden="1">
      <c r="A53">
        <v>16817</v>
      </c>
      <c r="B53" t="s">
        <v>279</v>
      </c>
      <c r="C53" t="s">
        <v>280</v>
      </c>
      <c r="D53" t="s">
        <v>281</v>
      </c>
      <c r="F53" t="s">
        <v>282</v>
      </c>
      <c r="G53">
        <v>540.70600000000002</v>
      </c>
      <c r="H53" t="s">
        <v>58</v>
      </c>
      <c r="I53">
        <v>2</v>
      </c>
      <c r="J53">
        <v>21</v>
      </c>
      <c r="K53">
        <v>0</v>
      </c>
      <c r="L53">
        <v>90.6</v>
      </c>
      <c r="M53">
        <v>15768</v>
      </c>
      <c r="N53">
        <v>14</v>
      </c>
      <c r="O53">
        <v>16</v>
      </c>
      <c r="P53">
        <v>16</v>
      </c>
      <c r="Q53">
        <v>16</v>
      </c>
      <c r="R53">
        <v>16</v>
      </c>
      <c r="S53">
        <v>2380</v>
      </c>
      <c r="T53">
        <v>2380</v>
      </c>
      <c r="U53">
        <v>16</v>
      </c>
      <c r="V53">
        <v>12</v>
      </c>
      <c r="W53">
        <v>13</v>
      </c>
      <c r="X53">
        <v>15</v>
      </c>
      <c r="Y53">
        <v>16</v>
      </c>
      <c r="Z53">
        <v>16</v>
      </c>
      <c r="AA53">
        <v>16</v>
      </c>
      <c r="AB53">
        <v>16</v>
      </c>
      <c r="AC53">
        <v>16</v>
      </c>
      <c r="AD53">
        <v>207</v>
      </c>
      <c r="AE53">
        <v>234</v>
      </c>
      <c r="AF53">
        <v>274</v>
      </c>
      <c r="AG53">
        <v>323</v>
      </c>
      <c r="AH53">
        <v>377</v>
      </c>
      <c r="AI53">
        <v>364</v>
      </c>
      <c r="AJ53">
        <v>346</v>
      </c>
      <c r="AK53">
        <v>255</v>
      </c>
      <c r="AL53">
        <v>2738778368</v>
      </c>
      <c r="AM53">
        <v>2745584896</v>
      </c>
      <c r="AN53">
        <v>4021787904</v>
      </c>
      <c r="AO53">
        <v>5647090688</v>
      </c>
      <c r="AP53">
        <v>3003795456</v>
      </c>
      <c r="AQ53">
        <v>3290482432</v>
      </c>
      <c r="AR53">
        <v>2796586752</v>
      </c>
      <c r="AS53">
        <v>2446854656</v>
      </c>
      <c r="AT53" s="11">
        <v>2333088768</v>
      </c>
      <c r="AU53" s="11">
        <v>2669103360</v>
      </c>
      <c r="AW53" s="14">
        <v>1980963968</v>
      </c>
      <c r="AX53" s="14">
        <v>2170316800</v>
      </c>
      <c r="AZ53" s="16">
        <v>2204039168</v>
      </c>
      <c r="BA53" s="16">
        <v>2095733248</v>
      </c>
      <c r="BC53" s="18">
        <v>1770329728</v>
      </c>
      <c r="BD53" s="18">
        <v>1402813568</v>
      </c>
    </row>
    <row r="54" spans="1:56" hidden="1">
      <c r="A54">
        <v>16785</v>
      </c>
      <c r="B54" t="s">
        <v>283</v>
      </c>
      <c r="C54" t="s">
        <v>284</v>
      </c>
      <c r="D54" t="s">
        <v>285</v>
      </c>
      <c r="E54" t="s">
        <v>286</v>
      </c>
      <c r="F54" t="s">
        <v>287</v>
      </c>
      <c r="G54">
        <v>538.452</v>
      </c>
      <c r="H54" t="s">
        <v>58</v>
      </c>
      <c r="I54">
        <v>2</v>
      </c>
      <c r="J54">
        <v>7</v>
      </c>
      <c r="K54">
        <v>1</v>
      </c>
      <c r="L54">
        <v>37.340000000000003</v>
      </c>
      <c r="M54">
        <v>52569</v>
      </c>
      <c r="N54">
        <v>28</v>
      </c>
      <c r="O54">
        <v>16</v>
      </c>
      <c r="P54">
        <v>16</v>
      </c>
      <c r="Q54">
        <v>16</v>
      </c>
      <c r="R54">
        <v>16</v>
      </c>
      <c r="S54">
        <v>205</v>
      </c>
      <c r="T54">
        <v>205</v>
      </c>
      <c r="U54">
        <v>16</v>
      </c>
      <c r="V54">
        <v>13</v>
      </c>
      <c r="W54">
        <v>13</v>
      </c>
      <c r="X54">
        <v>14</v>
      </c>
      <c r="Y54">
        <v>16</v>
      </c>
      <c r="Z54">
        <v>14</v>
      </c>
      <c r="AA54">
        <v>15</v>
      </c>
      <c r="AB54">
        <v>16</v>
      </c>
      <c r="AC54">
        <v>16</v>
      </c>
      <c r="AD54">
        <v>18</v>
      </c>
      <c r="AE54">
        <v>17</v>
      </c>
      <c r="AF54">
        <v>17</v>
      </c>
      <c r="AG54">
        <v>29</v>
      </c>
      <c r="AH54">
        <v>34</v>
      </c>
      <c r="AI54">
        <v>34</v>
      </c>
      <c r="AJ54">
        <v>29</v>
      </c>
      <c r="AK54">
        <v>27</v>
      </c>
      <c r="AL54">
        <v>102100320</v>
      </c>
      <c r="AM54">
        <v>109873576</v>
      </c>
      <c r="AN54">
        <v>189051648</v>
      </c>
      <c r="AO54">
        <v>273835712</v>
      </c>
      <c r="AP54">
        <v>211783056</v>
      </c>
      <c r="AQ54">
        <v>260725984</v>
      </c>
      <c r="AR54">
        <v>244609728</v>
      </c>
      <c r="AS54">
        <v>270619744</v>
      </c>
      <c r="AT54" s="11">
        <v>112040136</v>
      </c>
      <c r="AU54" s="11">
        <v>114781320</v>
      </c>
      <c r="AW54" s="14">
        <v>94967200</v>
      </c>
      <c r="AX54" s="14">
        <v>96466128</v>
      </c>
      <c r="AZ54" s="16">
        <v>145082128</v>
      </c>
      <c r="BA54" s="16">
        <v>158507040</v>
      </c>
      <c r="BC54" s="18">
        <v>134881312</v>
      </c>
      <c r="BD54" s="18">
        <v>134680368</v>
      </c>
    </row>
    <row r="55" spans="1:56" hidden="1">
      <c r="A55">
        <v>16822</v>
      </c>
      <c r="B55" t="s">
        <v>288</v>
      </c>
      <c r="C55" t="s">
        <v>289</v>
      </c>
      <c r="D55" t="s">
        <v>290</v>
      </c>
      <c r="F55" t="s">
        <v>291</v>
      </c>
      <c r="G55">
        <v>524.29300000000001</v>
      </c>
      <c r="H55" t="s">
        <v>58</v>
      </c>
      <c r="I55">
        <v>2</v>
      </c>
      <c r="J55">
        <v>6</v>
      </c>
      <c r="K55">
        <v>0</v>
      </c>
      <c r="L55">
        <v>69.489999999999995</v>
      </c>
      <c r="M55">
        <v>13099</v>
      </c>
      <c r="N55">
        <v>7</v>
      </c>
      <c r="O55">
        <v>14</v>
      </c>
      <c r="P55">
        <v>14</v>
      </c>
      <c r="Q55">
        <v>17</v>
      </c>
      <c r="R55">
        <v>17</v>
      </c>
      <c r="S55">
        <v>2968</v>
      </c>
      <c r="T55">
        <v>2968</v>
      </c>
      <c r="U55">
        <v>17</v>
      </c>
      <c r="V55">
        <v>13</v>
      </c>
      <c r="W55">
        <v>14</v>
      </c>
      <c r="X55">
        <v>17</v>
      </c>
      <c r="Y55">
        <v>16</v>
      </c>
      <c r="Z55">
        <v>17</v>
      </c>
      <c r="AA55">
        <v>17</v>
      </c>
      <c r="AB55">
        <v>16</v>
      </c>
      <c r="AC55">
        <v>15</v>
      </c>
      <c r="AD55">
        <v>384</v>
      </c>
      <c r="AE55">
        <v>443</v>
      </c>
      <c r="AF55">
        <v>386</v>
      </c>
      <c r="AG55">
        <v>308</v>
      </c>
      <c r="AH55">
        <v>384</v>
      </c>
      <c r="AI55">
        <v>378</v>
      </c>
      <c r="AJ55">
        <v>339</v>
      </c>
      <c r="AK55">
        <v>346</v>
      </c>
      <c r="AL55">
        <v>1869422464</v>
      </c>
      <c r="AM55">
        <v>1980783488</v>
      </c>
      <c r="AN55">
        <v>2657822208</v>
      </c>
      <c r="AO55">
        <v>3959124224</v>
      </c>
      <c r="AP55">
        <v>2550149632</v>
      </c>
      <c r="AQ55">
        <v>2707806464</v>
      </c>
      <c r="AR55">
        <v>2469019392</v>
      </c>
      <c r="AS55">
        <v>2711337728</v>
      </c>
      <c r="AT55" s="11">
        <v>1965211776</v>
      </c>
      <c r="AU55" s="11">
        <v>2055332992</v>
      </c>
      <c r="AW55" s="14">
        <v>1606312320</v>
      </c>
      <c r="AX55" s="14">
        <v>1814349056</v>
      </c>
      <c r="AZ55" s="16">
        <v>1983745792</v>
      </c>
      <c r="BA55" s="16">
        <v>1869924736</v>
      </c>
      <c r="BC55" s="18">
        <v>1712623744</v>
      </c>
      <c r="BD55" s="18">
        <v>1581088128</v>
      </c>
    </row>
    <row r="56" spans="1:56" hidden="1">
      <c r="A56">
        <v>16874</v>
      </c>
      <c r="B56" t="s">
        <v>292</v>
      </c>
      <c r="C56" t="s">
        <v>293</v>
      </c>
      <c r="D56" t="s">
        <v>292</v>
      </c>
      <c r="F56" t="s">
        <v>294</v>
      </c>
      <c r="G56">
        <v>518.85299999999995</v>
      </c>
      <c r="H56" t="s">
        <v>58</v>
      </c>
      <c r="I56">
        <v>2</v>
      </c>
      <c r="J56">
        <v>1</v>
      </c>
      <c r="K56">
        <v>0</v>
      </c>
      <c r="L56">
        <v>52.86</v>
      </c>
      <c r="M56">
        <v>49988</v>
      </c>
      <c r="N56">
        <v>29</v>
      </c>
      <c r="O56">
        <v>19</v>
      </c>
      <c r="P56">
        <v>19</v>
      </c>
      <c r="Q56">
        <v>19</v>
      </c>
      <c r="R56">
        <v>19</v>
      </c>
      <c r="S56">
        <v>115</v>
      </c>
      <c r="T56">
        <v>115</v>
      </c>
      <c r="U56">
        <v>19</v>
      </c>
      <c r="V56">
        <v>10</v>
      </c>
      <c r="W56">
        <v>11</v>
      </c>
      <c r="X56">
        <v>13</v>
      </c>
      <c r="Y56">
        <v>19</v>
      </c>
      <c r="Z56">
        <v>16</v>
      </c>
      <c r="AA56">
        <v>17</v>
      </c>
      <c r="AB56">
        <v>16</v>
      </c>
      <c r="AC56">
        <v>17</v>
      </c>
      <c r="AD56">
        <v>6</v>
      </c>
      <c r="AE56">
        <v>7</v>
      </c>
      <c r="AF56">
        <v>18</v>
      </c>
      <c r="AG56">
        <v>26</v>
      </c>
      <c r="AH56">
        <v>13</v>
      </c>
      <c r="AI56">
        <v>17</v>
      </c>
      <c r="AJ56">
        <v>14</v>
      </c>
      <c r="AK56">
        <v>14</v>
      </c>
      <c r="AL56">
        <v>25689596</v>
      </c>
      <c r="AM56">
        <v>27024706</v>
      </c>
      <c r="AN56">
        <v>100632904</v>
      </c>
      <c r="AO56">
        <v>138655504</v>
      </c>
      <c r="AP56">
        <v>60396844</v>
      </c>
      <c r="AQ56">
        <v>71020688</v>
      </c>
      <c r="AR56">
        <v>74323320</v>
      </c>
      <c r="AS56">
        <v>66542980</v>
      </c>
      <c r="AT56" s="11">
        <v>7804886</v>
      </c>
      <c r="AU56" s="11">
        <v>11458021</v>
      </c>
      <c r="AW56" s="14">
        <v>46495312</v>
      </c>
      <c r="AX56" s="14">
        <v>93849344</v>
      </c>
      <c r="AZ56" s="16">
        <v>39106088</v>
      </c>
      <c r="BA56" s="16">
        <v>52073084</v>
      </c>
      <c r="BC56" s="18">
        <v>44533292</v>
      </c>
      <c r="BD56" s="18">
        <v>47068020</v>
      </c>
    </row>
    <row r="57" spans="1:56">
      <c r="A57">
        <v>16770</v>
      </c>
      <c r="B57" t="s">
        <v>295</v>
      </c>
      <c r="C57" t="s">
        <v>296</v>
      </c>
      <c r="D57" t="s">
        <v>297</v>
      </c>
      <c r="F57" t="s">
        <v>298</v>
      </c>
      <c r="G57">
        <v>509.00099999999998</v>
      </c>
      <c r="H57" t="s">
        <v>58</v>
      </c>
      <c r="I57">
        <v>2</v>
      </c>
      <c r="J57">
        <v>3</v>
      </c>
      <c r="K57">
        <v>0</v>
      </c>
      <c r="L57">
        <v>38.33</v>
      </c>
      <c r="M57">
        <v>45329</v>
      </c>
      <c r="N57">
        <v>20</v>
      </c>
      <c r="O57">
        <v>11</v>
      </c>
      <c r="P57">
        <v>11</v>
      </c>
      <c r="Q57">
        <v>11</v>
      </c>
      <c r="R57">
        <v>11</v>
      </c>
      <c r="S57">
        <v>125</v>
      </c>
      <c r="T57">
        <v>125</v>
      </c>
      <c r="U57">
        <v>11</v>
      </c>
      <c r="V57">
        <v>6</v>
      </c>
      <c r="W57">
        <v>6</v>
      </c>
      <c r="X57">
        <v>10</v>
      </c>
      <c r="Y57">
        <v>11</v>
      </c>
      <c r="Z57">
        <v>10</v>
      </c>
      <c r="AA57">
        <v>10</v>
      </c>
      <c r="AB57">
        <v>11</v>
      </c>
      <c r="AC57">
        <v>11</v>
      </c>
      <c r="AD57">
        <v>5</v>
      </c>
      <c r="AE57">
        <v>8</v>
      </c>
      <c r="AF57">
        <v>18</v>
      </c>
      <c r="AG57">
        <v>25</v>
      </c>
      <c r="AH57">
        <v>12</v>
      </c>
      <c r="AI57">
        <v>10</v>
      </c>
      <c r="AJ57">
        <v>26</v>
      </c>
      <c r="AK57">
        <v>21</v>
      </c>
      <c r="AL57">
        <v>22611804</v>
      </c>
      <c r="AM57">
        <v>26183000</v>
      </c>
      <c r="AN57">
        <v>111076192</v>
      </c>
      <c r="AO57">
        <v>180420000</v>
      </c>
      <c r="AP57">
        <v>37933628</v>
      </c>
      <c r="AQ57">
        <v>39044276</v>
      </c>
      <c r="AR57">
        <v>107341616</v>
      </c>
      <c r="AS57">
        <v>115763336</v>
      </c>
      <c r="AT57" s="11">
        <v>3435012</v>
      </c>
      <c r="AU57" s="11">
        <v>6161888.5</v>
      </c>
      <c r="AW57" s="14">
        <v>80985728</v>
      </c>
      <c r="AX57" s="14">
        <v>83807240</v>
      </c>
      <c r="AZ57" s="16">
        <v>24253324</v>
      </c>
      <c r="BA57" s="16">
        <v>29884488</v>
      </c>
      <c r="BC57" s="18">
        <v>81653040</v>
      </c>
      <c r="BD57" s="18">
        <v>78398688</v>
      </c>
    </row>
    <row r="58" spans="1:56" hidden="1">
      <c r="A58">
        <v>16672</v>
      </c>
      <c r="B58" t="s">
        <v>299</v>
      </c>
      <c r="C58" t="s">
        <v>300</v>
      </c>
      <c r="D58" t="s">
        <v>301</v>
      </c>
      <c r="F58" t="s">
        <v>302</v>
      </c>
      <c r="G58">
        <v>508.18799999999999</v>
      </c>
      <c r="H58" t="s">
        <v>58</v>
      </c>
      <c r="I58">
        <v>2</v>
      </c>
      <c r="J58">
        <v>21</v>
      </c>
      <c r="K58">
        <v>0</v>
      </c>
      <c r="L58">
        <v>81.55</v>
      </c>
      <c r="M58">
        <v>11735</v>
      </c>
      <c r="N58">
        <v>8</v>
      </c>
      <c r="O58">
        <v>14</v>
      </c>
      <c r="P58">
        <v>14</v>
      </c>
      <c r="Q58">
        <v>15</v>
      </c>
      <c r="R58">
        <v>15</v>
      </c>
      <c r="S58">
        <v>2667</v>
      </c>
      <c r="T58">
        <v>2667</v>
      </c>
      <c r="U58">
        <v>15</v>
      </c>
      <c r="V58">
        <v>11</v>
      </c>
      <c r="W58">
        <v>11</v>
      </c>
      <c r="X58">
        <v>13</v>
      </c>
      <c r="Y58">
        <v>15</v>
      </c>
      <c r="Z58">
        <v>14</v>
      </c>
      <c r="AA58">
        <v>14</v>
      </c>
      <c r="AB58">
        <v>15</v>
      </c>
      <c r="AC58">
        <v>15</v>
      </c>
      <c r="AD58">
        <v>316</v>
      </c>
      <c r="AE58">
        <v>340</v>
      </c>
      <c r="AF58">
        <v>363</v>
      </c>
      <c r="AG58">
        <v>336</v>
      </c>
      <c r="AH58">
        <v>352</v>
      </c>
      <c r="AI58">
        <v>350</v>
      </c>
      <c r="AJ58">
        <v>322</v>
      </c>
      <c r="AK58">
        <v>288</v>
      </c>
      <c r="AL58">
        <v>4104949504</v>
      </c>
      <c r="AM58">
        <v>4027813632</v>
      </c>
      <c r="AN58">
        <v>4826697728</v>
      </c>
      <c r="AO58">
        <v>6407365120</v>
      </c>
      <c r="AP58">
        <v>3730201344</v>
      </c>
      <c r="AQ58">
        <v>3936692224</v>
      </c>
      <c r="AR58">
        <v>3353433856</v>
      </c>
      <c r="AS58">
        <v>3045459200</v>
      </c>
      <c r="AT58" s="11">
        <v>2504459008</v>
      </c>
      <c r="AU58" s="11">
        <v>2345982464</v>
      </c>
      <c r="AW58" s="14">
        <v>2341217024</v>
      </c>
      <c r="AX58" s="14">
        <v>2909292288</v>
      </c>
      <c r="AZ58" s="16">
        <v>2980964096</v>
      </c>
      <c r="BA58" s="16">
        <v>2751115520</v>
      </c>
      <c r="BC58" s="18">
        <v>2743868416</v>
      </c>
      <c r="BD58" s="18">
        <v>2085777280</v>
      </c>
    </row>
    <row r="59" spans="1:56" hidden="1">
      <c r="A59">
        <v>16789</v>
      </c>
      <c r="B59" t="s">
        <v>303</v>
      </c>
      <c r="C59" t="s">
        <v>304</v>
      </c>
      <c r="D59" t="s">
        <v>305</v>
      </c>
      <c r="E59" t="s">
        <v>306</v>
      </c>
      <c r="F59" t="s">
        <v>307</v>
      </c>
      <c r="G59">
        <v>502.51799999999997</v>
      </c>
      <c r="H59" t="s">
        <v>58</v>
      </c>
      <c r="I59">
        <v>2</v>
      </c>
      <c r="J59">
        <v>19</v>
      </c>
      <c r="K59">
        <v>1</v>
      </c>
      <c r="L59">
        <v>81.44</v>
      </c>
      <c r="M59">
        <v>21082</v>
      </c>
      <c r="N59">
        <v>14</v>
      </c>
      <c r="O59">
        <v>15</v>
      </c>
      <c r="P59">
        <v>15</v>
      </c>
      <c r="Q59">
        <v>15</v>
      </c>
      <c r="R59">
        <v>15</v>
      </c>
      <c r="S59">
        <v>404</v>
      </c>
      <c r="T59">
        <v>404</v>
      </c>
      <c r="U59">
        <v>15</v>
      </c>
      <c r="V59">
        <v>14</v>
      </c>
      <c r="W59">
        <v>13</v>
      </c>
      <c r="X59">
        <v>12</v>
      </c>
      <c r="Y59">
        <v>11</v>
      </c>
      <c r="Z59">
        <v>14</v>
      </c>
      <c r="AA59">
        <v>13</v>
      </c>
      <c r="AB59">
        <v>14</v>
      </c>
      <c r="AC59">
        <v>14</v>
      </c>
      <c r="AD59">
        <v>83</v>
      </c>
      <c r="AE59">
        <v>83</v>
      </c>
      <c r="AF59">
        <v>18</v>
      </c>
      <c r="AG59">
        <v>17</v>
      </c>
      <c r="AH59">
        <v>59</v>
      </c>
      <c r="AI59">
        <v>60</v>
      </c>
      <c r="AJ59">
        <v>39</v>
      </c>
      <c r="AK59">
        <v>45</v>
      </c>
      <c r="AL59">
        <v>889334848</v>
      </c>
      <c r="AM59">
        <v>652391808</v>
      </c>
      <c r="AN59">
        <v>195897088</v>
      </c>
      <c r="AO59">
        <v>240964768</v>
      </c>
      <c r="AP59">
        <v>457734400</v>
      </c>
      <c r="AQ59">
        <v>450090208</v>
      </c>
      <c r="AR59">
        <v>409799616</v>
      </c>
      <c r="AS59">
        <v>454230368</v>
      </c>
      <c r="AT59" s="11">
        <v>921989440</v>
      </c>
      <c r="AU59" s="11">
        <v>698038272</v>
      </c>
      <c r="AW59" s="14">
        <v>95190112</v>
      </c>
      <c r="AX59" s="14">
        <v>82979448</v>
      </c>
      <c r="AZ59" s="16">
        <v>294538464</v>
      </c>
      <c r="BA59" s="16">
        <v>270786016</v>
      </c>
      <c r="BC59" s="18">
        <v>238602400</v>
      </c>
      <c r="BD59" s="18">
        <v>235111104</v>
      </c>
    </row>
    <row r="60" spans="1:56" hidden="1">
      <c r="A60">
        <v>16810</v>
      </c>
      <c r="B60" t="s">
        <v>308</v>
      </c>
      <c r="C60" t="s">
        <v>309</v>
      </c>
      <c r="D60" t="s">
        <v>310</v>
      </c>
      <c r="E60" t="s">
        <v>311</v>
      </c>
      <c r="F60" t="s">
        <v>312</v>
      </c>
      <c r="G60">
        <v>497.42</v>
      </c>
      <c r="H60" t="s">
        <v>58</v>
      </c>
      <c r="I60">
        <v>2</v>
      </c>
      <c r="J60">
        <v>5</v>
      </c>
      <c r="K60">
        <v>16</v>
      </c>
      <c r="L60">
        <v>74.31</v>
      </c>
      <c r="M60">
        <v>14980</v>
      </c>
      <c r="N60">
        <v>11</v>
      </c>
      <c r="O60">
        <v>15</v>
      </c>
      <c r="P60">
        <v>15</v>
      </c>
      <c r="Q60">
        <v>15</v>
      </c>
      <c r="R60">
        <v>15</v>
      </c>
      <c r="S60">
        <v>826</v>
      </c>
      <c r="T60">
        <v>826</v>
      </c>
      <c r="U60">
        <v>15</v>
      </c>
      <c r="V60">
        <v>10</v>
      </c>
      <c r="W60">
        <v>11</v>
      </c>
      <c r="X60">
        <v>13</v>
      </c>
      <c r="Y60">
        <v>15</v>
      </c>
      <c r="Z60">
        <v>15</v>
      </c>
      <c r="AA60">
        <v>13</v>
      </c>
      <c r="AB60">
        <v>14</v>
      </c>
      <c r="AC60">
        <v>13</v>
      </c>
      <c r="AD60">
        <v>144</v>
      </c>
      <c r="AE60">
        <v>157</v>
      </c>
      <c r="AF60">
        <v>77</v>
      </c>
      <c r="AG60">
        <v>66</v>
      </c>
      <c r="AH60">
        <v>97</v>
      </c>
      <c r="AI60">
        <v>107</v>
      </c>
      <c r="AJ60">
        <v>96</v>
      </c>
      <c r="AK60">
        <v>82</v>
      </c>
      <c r="AL60">
        <v>1001199552</v>
      </c>
      <c r="AM60">
        <v>1126690432</v>
      </c>
      <c r="AN60">
        <v>789408512</v>
      </c>
      <c r="AO60">
        <v>1073476672</v>
      </c>
      <c r="AP60">
        <v>693169344</v>
      </c>
      <c r="AQ60">
        <v>872017920</v>
      </c>
      <c r="AR60">
        <v>754993344</v>
      </c>
      <c r="AS60">
        <v>658434176</v>
      </c>
      <c r="AT60" s="11">
        <v>665790592</v>
      </c>
      <c r="AU60" s="11">
        <v>795714560</v>
      </c>
      <c r="AW60" s="14">
        <v>391465824</v>
      </c>
      <c r="AX60" s="14">
        <v>694498304</v>
      </c>
      <c r="AZ60" s="16">
        <v>504388736</v>
      </c>
      <c r="BA60" s="16">
        <v>536959552</v>
      </c>
      <c r="BC60" s="18">
        <v>518714432</v>
      </c>
      <c r="BD60" s="18">
        <v>364617472</v>
      </c>
    </row>
    <row r="61" spans="1:56" hidden="1">
      <c r="A61">
        <v>16768</v>
      </c>
      <c r="B61" t="s">
        <v>313</v>
      </c>
      <c r="C61" t="s">
        <v>314</v>
      </c>
      <c r="D61" t="s">
        <v>315</v>
      </c>
      <c r="F61" t="s">
        <v>316</v>
      </c>
      <c r="G61">
        <v>487.72500000000002</v>
      </c>
      <c r="H61" t="s">
        <v>58</v>
      </c>
      <c r="I61">
        <v>2</v>
      </c>
      <c r="J61">
        <v>21</v>
      </c>
      <c r="K61">
        <v>0</v>
      </c>
      <c r="L61">
        <v>87.18</v>
      </c>
      <c r="M61">
        <v>12769</v>
      </c>
      <c r="N61">
        <v>8</v>
      </c>
      <c r="O61">
        <v>15</v>
      </c>
      <c r="P61">
        <v>15</v>
      </c>
      <c r="Q61">
        <v>15</v>
      </c>
      <c r="R61">
        <v>15</v>
      </c>
      <c r="S61">
        <v>454</v>
      </c>
      <c r="T61">
        <v>454</v>
      </c>
      <c r="U61">
        <v>15</v>
      </c>
      <c r="V61">
        <v>10</v>
      </c>
      <c r="W61">
        <v>10</v>
      </c>
      <c r="X61">
        <v>12</v>
      </c>
      <c r="Y61">
        <v>15</v>
      </c>
      <c r="Z61">
        <v>14</v>
      </c>
      <c r="AA61">
        <v>13</v>
      </c>
      <c r="AB61">
        <v>14</v>
      </c>
      <c r="AC61">
        <v>14</v>
      </c>
      <c r="AD61">
        <v>47</v>
      </c>
      <c r="AE61">
        <v>70</v>
      </c>
      <c r="AF61">
        <v>35</v>
      </c>
      <c r="AG61">
        <v>58</v>
      </c>
      <c r="AH61">
        <v>68</v>
      </c>
      <c r="AI61">
        <v>64</v>
      </c>
      <c r="AJ61">
        <v>62</v>
      </c>
      <c r="AK61">
        <v>50</v>
      </c>
      <c r="AL61">
        <v>694535296</v>
      </c>
      <c r="AM61">
        <v>813604864</v>
      </c>
      <c r="AN61">
        <v>674000128</v>
      </c>
      <c r="AO61">
        <v>1129050880</v>
      </c>
      <c r="AP61">
        <v>607519040</v>
      </c>
      <c r="AQ61">
        <v>671895424</v>
      </c>
      <c r="AR61">
        <v>695405312</v>
      </c>
      <c r="AS61">
        <v>585942656</v>
      </c>
      <c r="AT61" s="11">
        <v>513681568</v>
      </c>
      <c r="AU61" s="11">
        <v>568268096</v>
      </c>
      <c r="AW61" s="14">
        <v>309823744</v>
      </c>
      <c r="AX61" s="14">
        <v>529389120</v>
      </c>
      <c r="AZ61" s="16">
        <v>492457632</v>
      </c>
      <c r="BA61" s="16">
        <v>455626752</v>
      </c>
      <c r="BC61" s="18">
        <v>422249376</v>
      </c>
      <c r="BD61" s="18">
        <v>329022784</v>
      </c>
    </row>
    <row r="62" spans="1:56" hidden="1">
      <c r="A62">
        <v>16661</v>
      </c>
      <c r="B62" t="s">
        <v>317</v>
      </c>
      <c r="C62" t="s">
        <v>318</v>
      </c>
      <c r="D62" t="s">
        <v>319</v>
      </c>
      <c r="F62" t="s">
        <v>320</v>
      </c>
      <c r="G62">
        <v>485.09100000000001</v>
      </c>
      <c r="H62" t="s">
        <v>58</v>
      </c>
      <c r="I62">
        <v>2</v>
      </c>
      <c r="J62">
        <v>20</v>
      </c>
      <c r="K62">
        <v>0</v>
      </c>
      <c r="L62">
        <v>53.52</v>
      </c>
      <c r="M62">
        <v>14875</v>
      </c>
      <c r="N62">
        <v>10</v>
      </c>
      <c r="O62">
        <v>11</v>
      </c>
      <c r="P62">
        <v>11</v>
      </c>
      <c r="Q62">
        <v>13</v>
      </c>
      <c r="R62">
        <v>13</v>
      </c>
      <c r="S62">
        <v>1178</v>
      </c>
      <c r="T62">
        <v>1178</v>
      </c>
      <c r="U62">
        <v>13</v>
      </c>
      <c r="V62">
        <v>10</v>
      </c>
      <c r="W62">
        <v>10</v>
      </c>
      <c r="X62">
        <v>12</v>
      </c>
      <c r="Y62">
        <v>10</v>
      </c>
      <c r="Z62">
        <v>12</v>
      </c>
      <c r="AA62">
        <v>12</v>
      </c>
      <c r="AB62">
        <v>12</v>
      </c>
      <c r="AC62">
        <v>13</v>
      </c>
      <c r="AD62">
        <v>130</v>
      </c>
      <c r="AE62">
        <v>158</v>
      </c>
      <c r="AF62">
        <v>133</v>
      </c>
      <c r="AG62">
        <v>111</v>
      </c>
      <c r="AH62">
        <v>165</v>
      </c>
      <c r="AI62">
        <v>153</v>
      </c>
      <c r="AJ62">
        <v>170</v>
      </c>
      <c r="AK62">
        <v>158</v>
      </c>
      <c r="AL62">
        <v>1211921280</v>
      </c>
      <c r="AM62">
        <v>1214595840</v>
      </c>
      <c r="AN62">
        <v>1121024768</v>
      </c>
      <c r="AO62">
        <v>1601525504</v>
      </c>
      <c r="AP62">
        <v>1000290240</v>
      </c>
      <c r="AQ62">
        <v>1130430336</v>
      </c>
      <c r="AR62">
        <v>978461248</v>
      </c>
      <c r="AS62">
        <v>978460480</v>
      </c>
      <c r="AT62" s="11">
        <v>1055957504</v>
      </c>
      <c r="AU62" s="11">
        <v>1113069184</v>
      </c>
      <c r="AW62" s="14">
        <v>544517824</v>
      </c>
      <c r="AX62" s="14">
        <v>540511104</v>
      </c>
      <c r="AZ62" s="16">
        <v>699667392</v>
      </c>
      <c r="BA62" s="16">
        <v>723148544</v>
      </c>
      <c r="BC62" s="18">
        <v>589338624</v>
      </c>
      <c r="BD62" s="18">
        <v>523054080</v>
      </c>
    </row>
    <row r="63" spans="1:56" hidden="1">
      <c r="A63">
        <v>16860</v>
      </c>
      <c r="B63" t="s">
        <v>321</v>
      </c>
      <c r="C63" t="s">
        <v>322</v>
      </c>
      <c r="D63" t="s">
        <v>321</v>
      </c>
      <c r="E63" t="s">
        <v>323</v>
      </c>
      <c r="F63" t="s">
        <v>324</v>
      </c>
      <c r="G63">
        <v>450.29700000000003</v>
      </c>
      <c r="H63" t="s">
        <v>58</v>
      </c>
      <c r="I63">
        <v>2</v>
      </c>
      <c r="J63">
        <v>1</v>
      </c>
      <c r="K63">
        <v>1</v>
      </c>
      <c r="L63">
        <v>37.75</v>
      </c>
      <c r="M63">
        <v>40302</v>
      </c>
      <c r="N63">
        <v>21</v>
      </c>
      <c r="O63">
        <v>13</v>
      </c>
      <c r="P63">
        <v>3</v>
      </c>
      <c r="Q63">
        <v>13</v>
      </c>
      <c r="R63">
        <v>3</v>
      </c>
      <c r="S63">
        <v>352</v>
      </c>
      <c r="T63">
        <v>38</v>
      </c>
      <c r="U63">
        <v>3</v>
      </c>
      <c r="V63">
        <v>2</v>
      </c>
      <c r="W63">
        <v>2</v>
      </c>
      <c r="X63">
        <v>3</v>
      </c>
      <c r="Y63">
        <v>2</v>
      </c>
      <c r="Z63">
        <v>3</v>
      </c>
      <c r="AA63">
        <v>3</v>
      </c>
      <c r="AB63">
        <v>2</v>
      </c>
      <c r="AC63">
        <v>2</v>
      </c>
      <c r="AD63">
        <v>5</v>
      </c>
      <c r="AE63">
        <v>6</v>
      </c>
      <c r="AF63">
        <v>5</v>
      </c>
      <c r="AG63">
        <v>4</v>
      </c>
      <c r="AH63">
        <v>4</v>
      </c>
      <c r="AI63">
        <v>4</v>
      </c>
      <c r="AJ63">
        <v>5</v>
      </c>
      <c r="AK63">
        <v>5</v>
      </c>
      <c r="AL63">
        <v>139339056</v>
      </c>
      <c r="AM63">
        <v>122892592</v>
      </c>
      <c r="AN63">
        <v>345796800</v>
      </c>
      <c r="AO63">
        <v>374817504</v>
      </c>
      <c r="AP63">
        <v>274354688</v>
      </c>
      <c r="AQ63">
        <v>295271008</v>
      </c>
      <c r="AR63">
        <v>257725152</v>
      </c>
      <c r="AS63">
        <v>275346048</v>
      </c>
      <c r="AT63" s="11">
        <v>16864600</v>
      </c>
      <c r="AU63" s="11">
        <v>16985626</v>
      </c>
      <c r="AW63" s="14">
        <v>19954286</v>
      </c>
      <c r="AX63" s="14">
        <v>14804809</v>
      </c>
      <c r="AZ63" s="16">
        <v>26138762</v>
      </c>
      <c r="BA63" s="16">
        <v>26169882</v>
      </c>
      <c r="BC63" s="18">
        <v>19798906</v>
      </c>
      <c r="BD63" s="18">
        <v>20081008</v>
      </c>
    </row>
    <row r="64" spans="1:56" hidden="1">
      <c r="A64">
        <v>16659</v>
      </c>
      <c r="B64" t="s">
        <v>325</v>
      </c>
      <c r="C64" t="s">
        <v>326</v>
      </c>
      <c r="D64" t="s">
        <v>327</v>
      </c>
      <c r="F64" t="s">
        <v>328</v>
      </c>
      <c r="G64">
        <v>448.34300000000002</v>
      </c>
      <c r="H64" t="s">
        <v>58</v>
      </c>
      <c r="I64">
        <v>2</v>
      </c>
      <c r="J64">
        <v>21</v>
      </c>
      <c r="K64">
        <v>0</v>
      </c>
      <c r="L64">
        <v>64.62</v>
      </c>
      <c r="M64">
        <v>14856</v>
      </c>
      <c r="N64">
        <v>8</v>
      </c>
      <c r="O64">
        <v>11</v>
      </c>
      <c r="P64">
        <v>11</v>
      </c>
      <c r="Q64">
        <v>13</v>
      </c>
      <c r="R64">
        <v>13</v>
      </c>
      <c r="S64">
        <v>1761</v>
      </c>
      <c r="T64">
        <v>1761</v>
      </c>
      <c r="U64">
        <v>13</v>
      </c>
      <c r="V64">
        <v>11</v>
      </c>
      <c r="W64">
        <v>11</v>
      </c>
      <c r="X64">
        <v>13</v>
      </c>
      <c r="Y64">
        <v>13</v>
      </c>
      <c r="Z64">
        <v>13</v>
      </c>
      <c r="AA64">
        <v>13</v>
      </c>
      <c r="AB64">
        <v>13</v>
      </c>
      <c r="AC64">
        <v>13</v>
      </c>
      <c r="AD64">
        <v>225</v>
      </c>
      <c r="AE64">
        <v>230</v>
      </c>
      <c r="AF64">
        <v>231</v>
      </c>
      <c r="AG64">
        <v>205</v>
      </c>
      <c r="AH64">
        <v>226</v>
      </c>
      <c r="AI64">
        <v>206</v>
      </c>
      <c r="AJ64">
        <v>241</v>
      </c>
      <c r="AK64">
        <v>197</v>
      </c>
      <c r="AL64">
        <v>5278656000</v>
      </c>
      <c r="AM64">
        <v>4843359232</v>
      </c>
      <c r="AN64">
        <v>6215636992</v>
      </c>
      <c r="AO64">
        <v>7429936640</v>
      </c>
      <c r="AP64">
        <v>4593166848</v>
      </c>
      <c r="AQ64">
        <v>4720791552</v>
      </c>
      <c r="AR64">
        <v>4397574144</v>
      </c>
      <c r="AS64">
        <v>3990212352</v>
      </c>
      <c r="AT64" s="11">
        <v>5138053120</v>
      </c>
      <c r="AU64" s="11">
        <v>5167301120</v>
      </c>
      <c r="AW64" s="14">
        <v>3008474112</v>
      </c>
      <c r="AX64" s="14">
        <v>2679647232</v>
      </c>
      <c r="AZ64" s="16">
        <v>2768743424</v>
      </c>
      <c r="BA64" s="16">
        <v>2505497600</v>
      </c>
      <c r="BC64" s="18">
        <v>2179551488</v>
      </c>
      <c r="BD64" s="18">
        <v>1780299776</v>
      </c>
    </row>
    <row r="65" spans="1:56" hidden="1">
      <c r="A65">
        <v>16679</v>
      </c>
      <c r="B65" t="s">
        <v>329</v>
      </c>
      <c r="C65" t="s">
        <v>330</v>
      </c>
      <c r="D65" t="s">
        <v>331</v>
      </c>
      <c r="E65" t="s">
        <v>332</v>
      </c>
      <c r="F65" t="s">
        <v>333</v>
      </c>
      <c r="G65">
        <v>421.76499999999999</v>
      </c>
      <c r="H65" t="s">
        <v>58</v>
      </c>
      <c r="I65">
        <v>2</v>
      </c>
      <c r="J65">
        <v>7</v>
      </c>
      <c r="K65">
        <v>12</v>
      </c>
      <c r="L65">
        <v>40.67</v>
      </c>
      <c r="M65">
        <v>36831</v>
      </c>
      <c r="N65">
        <v>22</v>
      </c>
      <c r="O65">
        <v>12</v>
      </c>
      <c r="P65">
        <v>12</v>
      </c>
      <c r="Q65">
        <v>12</v>
      </c>
      <c r="R65">
        <v>12</v>
      </c>
      <c r="S65">
        <v>193</v>
      </c>
      <c r="T65">
        <v>193</v>
      </c>
      <c r="U65">
        <v>12</v>
      </c>
      <c r="V65">
        <v>8</v>
      </c>
      <c r="W65">
        <v>9</v>
      </c>
      <c r="X65">
        <v>10</v>
      </c>
      <c r="Y65">
        <v>11</v>
      </c>
      <c r="Z65">
        <v>12</v>
      </c>
      <c r="AA65">
        <v>12</v>
      </c>
      <c r="AB65">
        <v>12</v>
      </c>
      <c r="AC65">
        <v>11</v>
      </c>
      <c r="AD65">
        <v>15</v>
      </c>
      <c r="AE65">
        <v>20</v>
      </c>
      <c r="AF65">
        <v>16</v>
      </c>
      <c r="AG65">
        <v>25</v>
      </c>
      <c r="AH65">
        <v>29</v>
      </c>
      <c r="AI65">
        <v>29</v>
      </c>
      <c r="AJ65">
        <v>27</v>
      </c>
      <c r="AK65">
        <v>32</v>
      </c>
      <c r="AL65">
        <v>57233848</v>
      </c>
      <c r="AM65">
        <v>60831312</v>
      </c>
      <c r="AN65">
        <v>100115008</v>
      </c>
      <c r="AO65">
        <v>138110400</v>
      </c>
      <c r="AP65">
        <v>118617320</v>
      </c>
      <c r="AQ65">
        <v>147091728</v>
      </c>
      <c r="AR65">
        <v>123279184</v>
      </c>
      <c r="AS65">
        <v>136757888</v>
      </c>
      <c r="AT65" s="11">
        <v>48685832</v>
      </c>
      <c r="AU65" s="11">
        <v>65923080</v>
      </c>
      <c r="AW65" s="14">
        <v>55509776</v>
      </c>
      <c r="AX65" s="14">
        <v>57381180</v>
      </c>
      <c r="AZ65" s="16">
        <v>85402472</v>
      </c>
      <c r="BA65" s="16">
        <v>98811704</v>
      </c>
      <c r="BC65" s="18">
        <v>76867992</v>
      </c>
      <c r="BD65" s="18">
        <v>76048216</v>
      </c>
    </row>
    <row r="66" spans="1:56" hidden="1">
      <c r="A66">
        <v>16781</v>
      </c>
      <c r="B66" t="s">
        <v>334</v>
      </c>
      <c r="C66" t="s">
        <v>335</v>
      </c>
      <c r="D66" t="s">
        <v>334</v>
      </c>
      <c r="E66" t="s">
        <v>336</v>
      </c>
      <c r="F66" t="s">
        <v>337</v>
      </c>
      <c r="G66">
        <v>419.43200000000002</v>
      </c>
      <c r="H66" t="s">
        <v>58</v>
      </c>
      <c r="I66">
        <v>2</v>
      </c>
      <c r="J66">
        <v>1</v>
      </c>
      <c r="K66">
        <v>2</v>
      </c>
      <c r="L66">
        <v>41.32</v>
      </c>
      <c r="M66">
        <v>37437</v>
      </c>
      <c r="N66">
        <v>17</v>
      </c>
      <c r="O66">
        <v>10</v>
      </c>
      <c r="P66">
        <v>10</v>
      </c>
      <c r="Q66">
        <v>10</v>
      </c>
      <c r="R66">
        <v>10</v>
      </c>
      <c r="S66">
        <v>105</v>
      </c>
      <c r="T66">
        <v>105</v>
      </c>
      <c r="U66">
        <v>10</v>
      </c>
      <c r="V66">
        <v>7</v>
      </c>
      <c r="W66">
        <v>9</v>
      </c>
      <c r="X66">
        <v>9</v>
      </c>
      <c r="Y66">
        <v>8</v>
      </c>
      <c r="Z66">
        <v>10</v>
      </c>
      <c r="AA66">
        <v>9</v>
      </c>
      <c r="AB66">
        <v>10</v>
      </c>
      <c r="AC66">
        <v>10</v>
      </c>
      <c r="AD66">
        <v>8</v>
      </c>
      <c r="AE66">
        <v>8</v>
      </c>
      <c r="AF66">
        <v>15</v>
      </c>
      <c r="AG66">
        <v>11</v>
      </c>
      <c r="AH66">
        <v>16</v>
      </c>
      <c r="AI66">
        <v>15</v>
      </c>
      <c r="AJ66">
        <v>16</v>
      </c>
      <c r="AK66">
        <v>16</v>
      </c>
      <c r="AL66">
        <v>37631348</v>
      </c>
      <c r="AM66">
        <v>37057288</v>
      </c>
      <c r="AN66">
        <v>75668448</v>
      </c>
      <c r="AO66">
        <v>99466944</v>
      </c>
      <c r="AP66">
        <v>81261216</v>
      </c>
      <c r="AQ66">
        <v>100852320</v>
      </c>
      <c r="AR66">
        <v>93104760</v>
      </c>
      <c r="AS66">
        <v>105315760</v>
      </c>
      <c r="AT66" s="11">
        <v>43992084</v>
      </c>
      <c r="AU66" s="11">
        <v>28153804</v>
      </c>
      <c r="AW66" s="14">
        <v>41863160</v>
      </c>
      <c r="AX66" s="14">
        <v>35619192</v>
      </c>
      <c r="AZ66" s="16">
        <v>55068236</v>
      </c>
      <c r="BA66" s="16">
        <v>59819204</v>
      </c>
      <c r="BC66" s="18">
        <v>58634744</v>
      </c>
      <c r="BD66" s="18">
        <v>61319856</v>
      </c>
    </row>
    <row r="67" spans="1:56" hidden="1">
      <c r="A67">
        <v>16758</v>
      </c>
      <c r="B67" t="s">
        <v>338</v>
      </c>
      <c r="C67" t="s">
        <v>339</v>
      </c>
      <c r="D67" t="s">
        <v>340</v>
      </c>
      <c r="E67" t="s">
        <v>341</v>
      </c>
      <c r="F67" t="s">
        <v>342</v>
      </c>
      <c r="G67">
        <v>412.584</v>
      </c>
      <c r="H67" t="s">
        <v>58</v>
      </c>
      <c r="I67">
        <v>2</v>
      </c>
      <c r="J67">
        <v>9</v>
      </c>
      <c r="K67">
        <v>10</v>
      </c>
      <c r="L67">
        <v>81.91</v>
      </c>
      <c r="M67">
        <v>10693</v>
      </c>
      <c r="N67">
        <v>7</v>
      </c>
      <c r="O67">
        <v>10</v>
      </c>
      <c r="P67">
        <v>10</v>
      </c>
      <c r="Q67">
        <v>12</v>
      </c>
      <c r="R67">
        <v>12</v>
      </c>
      <c r="S67">
        <v>961</v>
      </c>
      <c r="T67">
        <v>961</v>
      </c>
      <c r="U67">
        <v>12</v>
      </c>
      <c r="V67">
        <v>11</v>
      </c>
      <c r="W67">
        <v>11</v>
      </c>
      <c r="X67">
        <v>11</v>
      </c>
      <c r="Y67">
        <v>11</v>
      </c>
      <c r="Z67">
        <v>11</v>
      </c>
      <c r="AA67">
        <v>12</v>
      </c>
      <c r="AB67">
        <v>11</v>
      </c>
      <c r="AC67">
        <v>11</v>
      </c>
      <c r="AD67">
        <v>122</v>
      </c>
      <c r="AE67">
        <v>140</v>
      </c>
      <c r="AF67">
        <v>105</v>
      </c>
      <c r="AG67">
        <v>116</v>
      </c>
      <c r="AH67">
        <v>122</v>
      </c>
      <c r="AI67">
        <v>149</v>
      </c>
      <c r="AJ67">
        <v>112</v>
      </c>
      <c r="AK67">
        <v>95</v>
      </c>
      <c r="AL67">
        <v>487121120</v>
      </c>
      <c r="AM67">
        <v>452704640</v>
      </c>
      <c r="AN67">
        <v>468369344</v>
      </c>
      <c r="AO67">
        <v>696659648</v>
      </c>
      <c r="AP67">
        <v>512952736</v>
      </c>
      <c r="AQ67">
        <v>561622144</v>
      </c>
      <c r="AR67">
        <v>582402496</v>
      </c>
      <c r="AS67">
        <v>476699168</v>
      </c>
      <c r="AT67" s="11">
        <v>549298688</v>
      </c>
      <c r="AU67" s="11">
        <v>548847744</v>
      </c>
      <c r="AW67" s="14">
        <v>320397024</v>
      </c>
      <c r="AX67" s="14">
        <v>378291904</v>
      </c>
      <c r="AZ67" s="16">
        <v>422014592</v>
      </c>
      <c r="BA67" s="16">
        <v>424244864</v>
      </c>
      <c r="BC67" s="18">
        <v>394635616</v>
      </c>
      <c r="BD67" s="18">
        <v>332515616</v>
      </c>
    </row>
    <row r="68" spans="1:56" hidden="1">
      <c r="A68">
        <v>16800</v>
      </c>
      <c r="B68" t="s">
        <v>343</v>
      </c>
      <c r="C68" t="s">
        <v>344</v>
      </c>
      <c r="D68" t="s">
        <v>345</v>
      </c>
      <c r="F68" t="s">
        <v>346</v>
      </c>
      <c r="G68">
        <v>410.96600000000001</v>
      </c>
      <c r="H68" t="s">
        <v>58</v>
      </c>
      <c r="I68">
        <v>2</v>
      </c>
      <c r="J68">
        <v>2</v>
      </c>
      <c r="K68">
        <v>0</v>
      </c>
      <c r="L68">
        <v>59.09</v>
      </c>
      <c r="M68">
        <v>31347</v>
      </c>
      <c r="N68">
        <v>18</v>
      </c>
      <c r="O68">
        <v>11</v>
      </c>
      <c r="P68">
        <v>11</v>
      </c>
      <c r="Q68">
        <v>11</v>
      </c>
      <c r="R68">
        <v>11</v>
      </c>
      <c r="S68">
        <v>92</v>
      </c>
      <c r="T68">
        <v>92</v>
      </c>
      <c r="U68">
        <v>11</v>
      </c>
      <c r="V68">
        <v>7</v>
      </c>
      <c r="W68">
        <v>7</v>
      </c>
      <c r="X68">
        <v>11</v>
      </c>
      <c r="Y68">
        <v>11</v>
      </c>
      <c r="Z68">
        <v>11</v>
      </c>
      <c r="AA68">
        <v>11</v>
      </c>
      <c r="AB68">
        <v>11</v>
      </c>
      <c r="AC68">
        <v>11</v>
      </c>
      <c r="AD68">
        <v>5</v>
      </c>
      <c r="AE68">
        <v>2</v>
      </c>
      <c r="AF68">
        <v>15</v>
      </c>
      <c r="AG68">
        <v>17</v>
      </c>
      <c r="AH68">
        <v>15</v>
      </c>
      <c r="AI68">
        <v>11</v>
      </c>
      <c r="AJ68">
        <v>11</v>
      </c>
      <c r="AK68">
        <v>16</v>
      </c>
      <c r="AL68">
        <v>18742336</v>
      </c>
      <c r="AM68">
        <v>18258326</v>
      </c>
      <c r="AN68">
        <v>136222480</v>
      </c>
      <c r="AO68">
        <v>181693920</v>
      </c>
      <c r="AP68">
        <v>83369296</v>
      </c>
      <c r="AQ68">
        <v>92339632</v>
      </c>
      <c r="AR68">
        <v>78975376</v>
      </c>
      <c r="AS68">
        <v>93186104</v>
      </c>
      <c r="AT68" s="11">
        <v>23322206</v>
      </c>
      <c r="AU68" s="11">
        <v>9185748</v>
      </c>
      <c r="AW68" s="14">
        <v>69503104</v>
      </c>
      <c r="AX68" s="14">
        <v>67527824</v>
      </c>
      <c r="AZ68" s="16">
        <v>60073672</v>
      </c>
      <c r="BA68" s="16">
        <v>67819912</v>
      </c>
      <c r="BC68" s="18">
        <v>55360900</v>
      </c>
      <c r="BD68" s="18">
        <v>68340200</v>
      </c>
    </row>
    <row r="69" spans="1:56" hidden="1">
      <c r="A69">
        <v>16658</v>
      </c>
      <c r="B69" t="s">
        <v>347</v>
      </c>
      <c r="C69" t="s">
        <v>348</v>
      </c>
      <c r="D69" t="s">
        <v>349</v>
      </c>
      <c r="F69" t="s">
        <v>350</v>
      </c>
      <c r="G69">
        <v>394.16199999999998</v>
      </c>
      <c r="H69" t="s">
        <v>58</v>
      </c>
      <c r="I69">
        <v>2</v>
      </c>
      <c r="J69">
        <v>21</v>
      </c>
      <c r="K69">
        <v>0</v>
      </c>
      <c r="L69">
        <v>78.260000000000005</v>
      </c>
      <c r="M69">
        <v>13133</v>
      </c>
      <c r="N69">
        <v>9</v>
      </c>
      <c r="O69">
        <v>14</v>
      </c>
      <c r="P69">
        <v>14</v>
      </c>
      <c r="Q69">
        <v>14</v>
      </c>
      <c r="R69">
        <v>14</v>
      </c>
      <c r="S69">
        <v>504</v>
      </c>
      <c r="T69">
        <v>504</v>
      </c>
      <c r="U69">
        <v>14</v>
      </c>
      <c r="V69">
        <v>13</v>
      </c>
      <c r="W69">
        <v>12</v>
      </c>
      <c r="X69">
        <v>12</v>
      </c>
      <c r="Y69">
        <v>13</v>
      </c>
      <c r="Z69">
        <v>13</v>
      </c>
      <c r="AA69">
        <v>13</v>
      </c>
      <c r="AB69">
        <v>12</v>
      </c>
      <c r="AC69">
        <v>12</v>
      </c>
      <c r="AD69">
        <v>98</v>
      </c>
      <c r="AE69">
        <v>105</v>
      </c>
      <c r="AF69">
        <v>39</v>
      </c>
      <c r="AG69">
        <v>34</v>
      </c>
      <c r="AH69">
        <v>45</v>
      </c>
      <c r="AI69">
        <v>73</v>
      </c>
      <c r="AJ69">
        <v>55</v>
      </c>
      <c r="AK69">
        <v>54</v>
      </c>
      <c r="AL69">
        <v>481967648</v>
      </c>
      <c r="AM69">
        <v>413955392</v>
      </c>
      <c r="AN69">
        <v>137940176</v>
      </c>
      <c r="AO69">
        <v>200069728</v>
      </c>
      <c r="AP69">
        <v>156130016</v>
      </c>
      <c r="AQ69">
        <v>240049728</v>
      </c>
      <c r="AR69">
        <v>176369168</v>
      </c>
      <c r="AS69">
        <v>179023152</v>
      </c>
      <c r="AT69" s="11">
        <v>515015392</v>
      </c>
      <c r="AU69" s="11">
        <v>435065632</v>
      </c>
      <c r="AW69" s="14">
        <v>149045920</v>
      </c>
      <c r="AX69" s="14">
        <v>154031520</v>
      </c>
      <c r="AZ69" s="16">
        <v>223127600</v>
      </c>
      <c r="BA69" s="16">
        <v>319499808</v>
      </c>
      <c r="BC69" s="18">
        <v>206462240</v>
      </c>
      <c r="BD69" s="18">
        <v>203484608</v>
      </c>
    </row>
    <row r="70" spans="1:56" hidden="1">
      <c r="A70">
        <v>16805</v>
      </c>
      <c r="B70" t="s">
        <v>351</v>
      </c>
      <c r="C70" t="s">
        <v>352</v>
      </c>
      <c r="D70" t="s">
        <v>353</v>
      </c>
      <c r="F70" t="s">
        <v>354</v>
      </c>
      <c r="G70">
        <v>394.12599999999998</v>
      </c>
      <c r="H70" t="s">
        <v>58</v>
      </c>
      <c r="I70">
        <v>2</v>
      </c>
      <c r="J70">
        <v>21</v>
      </c>
      <c r="K70">
        <v>0</v>
      </c>
      <c r="L70">
        <v>52.71</v>
      </c>
      <c r="M70">
        <v>13844</v>
      </c>
      <c r="N70">
        <v>8</v>
      </c>
      <c r="O70">
        <v>7</v>
      </c>
      <c r="P70">
        <v>7</v>
      </c>
      <c r="Q70">
        <v>8</v>
      </c>
      <c r="R70">
        <v>8</v>
      </c>
      <c r="S70">
        <v>1244</v>
      </c>
      <c r="T70">
        <v>1244</v>
      </c>
      <c r="U70">
        <v>8</v>
      </c>
      <c r="V70">
        <v>6</v>
      </c>
      <c r="W70">
        <v>5</v>
      </c>
      <c r="X70">
        <v>6</v>
      </c>
      <c r="Y70">
        <v>7</v>
      </c>
      <c r="Z70">
        <v>8</v>
      </c>
      <c r="AA70">
        <v>8</v>
      </c>
      <c r="AB70">
        <v>8</v>
      </c>
      <c r="AC70">
        <v>8</v>
      </c>
      <c r="AD70">
        <v>133</v>
      </c>
      <c r="AE70">
        <v>109</v>
      </c>
      <c r="AF70">
        <v>135</v>
      </c>
      <c r="AG70">
        <v>140</v>
      </c>
      <c r="AH70">
        <v>194</v>
      </c>
      <c r="AI70">
        <v>205</v>
      </c>
      <c r="AJ70">
        <v>185</v>
      </c>
      <c r="AK70">
        <v>143</v>
      </c>
      <c r="AL70">
        <v>2940753664</v>
      </c>
      <c r="AM70">
        <v>2802541312</v>
      </c>
      <c r="AN70">
        <v>4277092096</v>
      </c>
      <c r="AO70">
        <v>4661261312</v>
      </c>
      <c r="AP70">
        <v>2693632256</v>
      </c>
      <c r="AQ70">
        <v>2828287744</v>
      </c>
      <c r="AR70">
        <v>2663045632</v>
      </c>
      <c r="AS70">
        <v>2247161088</v>
      </c>
      <c r="AT70" s="11">
        <v>2170492160</v>
      </c>
      <c r="AU70" s="11">
        <v>415108256</v>
      </c>
      <c r="AW70" s="14">
        <v>1717555584</v>
      </c>
      <c r="AX70" s="14">
        <v>1519729280</v>
      </c>
      <c r="AZ70" s="16">
        <v>1514702336</v>
      </c>
      <c r="BA70" s="16">
        <v>2078822400</v>
      </c>
      <c r="BC70" s="18">
        <v>2697489152</v>
      </c>
      <c r="BD70" s="18">
        <v>2399240192</v>
      </c>
    </row>
    <row r="71" spans="1:56">
      <c r="A71">
        <v>16882</v>
      </c>
      <c r="B71" t="s">
        <v>355</v>
      </c>
      <c r="C71" t="s">
        <v>356</v>
      </c>
      <c r="D71" t="s">
        <v>355</v>
      </c>
      <c r="F71" t="s">
        <v>357</v>
      </c>
      <c r="G71">
        <v>388.58100000000002</v>
      </c>
      <c r="H71" t="s">
        <v>58</v>
      </c>
      <c r="I71">
        <v>2</v>
      </c>
      <c r="J71">
        <v>1</v>
      </c>
      <c r="K71">
        <v>0</v>
      </c>
      <c r="L71">
        <v>39.590000000000003</v>
      </c>
      <c r="M71">
        <v>27452</v>
      </c>
      <c r="N71">
        <v>13</v>
      </c>
      <c r="O71">
        <v>7</v>
      </c>
      <c r="P71">
        <v>7</v>
      </c>
      <c r="Q71">
        <v>8</v>
      </c>
      <c r="R71">
        <v>8</v>
      </c>
      <c r="S71">
        <v>711</v>
      </c>
      <c r="T71">
        <v>711</v>
      </c>
      <c r="U71">
        <v>8</v>
      </c>
      <c r="V71">
        <v>6</v>
      </c>
      <c r="W71">
        <v>8</v>
      </c>
      <c r="X71">
        <v>8</v>
      </c>
      <c r="Y71">
        <v>8</v>
      </c>
      <c r="Z71">
        <v>7</v>
      </c>
      <c r="AA71">
        <v>7</v>
      </c>
      <c r="AB71">
        <v>8</v>
      </c>
      <c r="AC71">
        <v>8</v>
      </c>
      <c r="AD71">
        <v>85</v>
      </c>
      <c r="AE71">
        <v>85</v>
      </c>
      <c r="AF71">
        <v>166</v>
      </c>
      <c r="AG71">
        <v>129</v>
      </c>
      <c r="AH71">
        <v>38</v>
      </c>
      <c r="AI71">
        <v>32</v>
      </c>
      <c r="AJ71">
        <v>83</v>
      </c>
      <c r="AK71">
        <v>92</v>
      </c>
      <c r="AL71">
        <v>671595840</v>
      </c>
      <c r="AM71">
        <v>816440960</v>
      </c>
      <c r="AN71">
        <v>1194845184</v>
      </c>
      <c r="AO71">
        <v>1334610304</v>
      </c>
      <c r="AP71">
        <v>294812576</v>
      </c>
      <c r="AQ71">
        <v>347743616</v>
      </c>
      <c r="AR71">
        <v>774148160</v>
      </c>
      <c r="AS71">
        <v>830621504</v>
      </c>
      <c r="AT71" s="11">
        <v>687157248</v>
      </c>
      <c r="AU71" s="11">
        <v>668123008</v>
      </c>
      <c r="AW71" s="14">
        <v>765872256</v>
      </c>
      <c r="AX71" s="14">
        <v>558292096</v>
      </c>
      <c r="AZ71" s="16">
        <v>207641728</v>
      </c>
      <c r="BA71" s="16">
        <v>218508080</v>
      </c>
      <c r="BC71" s="18">
        <v>400804672</v>
      </c>
      <c r="BD71" s="18">
        <v>440179680</v>
      </c>
    </row>
    <row r="72" spans="1:56" hidden="1">
      <c r="A72">
        <v>16798</v>
      </c>
      <c r="B72" t="s">
        <v>358</v>
      </c>
      <c r="C72" t="s">
        <v>359</v>
      </c>
      <c r="D72" t="s">
        <v>360</v>
      </c>
      <c r="E72" t="s">
        <v>361</v>
      </c>
      <c r="F72" t="s">
        <v>362</v>
      </c>
      <c r="G72">
        <v>386.53399999999999</v>
      </c>
      <c r="H72" t="s">
        <v>58</v>
      </c>
      <c r="I72">
        <v>2</v>
      </c>
      <c r="J72">
        <v>12</v>
      </c>
      <c r="K72">
        <v>8</v>
      </c>
      <c r="L72">
        <v>70.08</v>
      </c>
      <c r="M72">
        <v>14284</v>
      </c>
      <c r="N72">
        <v>11</v>
      </c>
      <c r="O72">
        <v>9</v>
      </c>
      <c r="P72">
        <v>9</v>
      </c>
      <c r="Q72">
        <v>9</v>
      </c>
      <c r="R72">
        <v>9</v>
      </c>
      <c r="S72">
        <v>161</v>
      </c>
      <c r="T72">
        <v>161</v>
      </c>
      <c r="U72">
        <v>9</v>
      </c>
      <c r="V72">
        <v>9</v>
      </c>
      <c r="W72">
        <v>9</v>
      </c>
      <c r="X72">
        <v>8</v>
      </c>
      <c r="Y72">
        <v>8</v>
      </c>
      <c r="Z72">
        <v>8</v>
      </c>
      <c r="AA72">
        <v>8</v>
      </c>
      <c r="AB72">
        <v>8</v>
      </c>
      <c r="AC72">
        <v>8</v>
      </c>
      <c r="AD72">
        <v>39</v>
      </c>
      <c r="AE72">
        <v>34</v>
      </c>
      <c r="AF72">
        <v>17</v>
      </c>
      <c r="AG72">
        <v>15</v>
      </c>
      <c r="AH72">
        <v>19</v>
      </c>
      <c r="AI72">
        <v>17</v>
      </c>
      <c r="AJ72">
        <v>11</v>
      </c>
      <c r="AK72">
        <v>9</v>
      </c>
      <c r="AL72">
        <v>126625272</v>
      </c>
      <c r="AM72">
        <v>143421696</v>
      </c>
      <c r="AN72">
        <v>117498816</v>
      </c>
      <c r="AO72">
        <v>139998288</v>
      </c>
      <c r="AP72">
        <v>76106032</v>
      </c>
      <c r="AQ72">
        <v>75688504</v>
      </c>
      <c r="AR72">
        <v>50150840</v>
      </c>
      <c r="AS72">
        <v>40624920</v>
      </c>
      <c r="AT72" s="11">
        <v>151997792</v>
      </c>
      <c r="AU72" s="11">
        <v>180140048</v>
      </c>
      <c r="AW72" s="14">
        <v>59470724</v>
      </c>
      <c r="AX72" s="14">
        <v>51031892</v>
      </c>
      <c r="AZ72" s="16">
        <v>48116148</v>
      </c>
      <c r="BA72" s="16">
        <v>42443232</v>
      </c>
      <c r="BC72" s="18">
        <v>25946086</v>
      </c>
      <c r="BD72" s="18">
        <v>19841432</v>
      </c>
    </row>
    <row r="73" spans="1:56" hidden="1">
      <c r="A73">
        <v>16688</v>
      </c>
      <c r="B73" t="s">
        <v>363</v>
      </c>
      <c r="C73" t="s">
        <v>364</v>
      </c>
      <c r="D73" t="s">
        <v>365</v>
      </c>
      <c r="E73" t="s">
        <v>366</v>
      </c>
      <c r="F73" t="s">
        <v>367</v>
      </c>
      <c r="G73">
        <v>375.91</v>
      </c>
      <c r="H73" t="s">
        <v>58</v>
      </c>
      <c r="I73">
        <v>2</v>
      </c>
      <c r="J73">
        <v>15</v>
      </c>
      <c r="K73">
        <v>6</v>
      </c>
      <c r="L73">
        <v>28.35</v>
      </c>
      <c r="M73">
        <v>74013</v>
      </c>
      <c r="N73">
        <v>46</v>
      </c>
      <c r="O73">
        <v>19</v>
      </c>
      <c r="P73">
        <v>19</v>
      </c>
      <c r="Q73">
        <v>19</v>
      </c>
      <c r="R73">
        <v>19</v>
      </c>
      <c r="S73">
        <v>89</v>
      </c>
      <c r="T73">
        <v>89</v>
      </c>
      <c r="U73">
        <v>19</v>
      </c>
      <c r="V73">
        <v>14</v>
      </c>
      <c r="W73">
        <v>13</v>
      </c>
      <c r="X73">
        <v>19</v>
      </c>
      <c r="Y73">
        <v>18</v>
      </c>
      <c r="Z73">
        <v>18</v>
      </c>
      <c r="AA73">
        <v>17</v>
      </c>
      <c r="AB73">
        <v>18</v>
      </c>
      <c r="AC73">
        <v>19</v>
      </c>
      <c r="AD73">
        <v>14</v>
      </c>
      <c r="AE73">
        <v>4</v>
      </c>
      <c r="AF73">
        <v>6</v>
      </c>
      <c r="AG73">
        <v>12</v>
      </c>
      <c r="AH73">
        <v>11</v>
      </c>
      <c r="AI73">
        <v>16</v>
      </c>
      <c r="AJ73">
        <v>11</v>
      </c>
      <c r="AK73">
        <v>15</v>
      </c>
      <c r="AL73">
        <v>34153756</v>
      </c>
      <c r="AM73">
        <v>33494602</v>
      </c>
      <c r="AN73">
        <v>126040056</v>
      </c>
      <c r="AO73">
        <v>96234624</v>
      </c>
      <c r="AP73">
        <v>66803428</v>
      </c>
      <c r="AQ73">
        <v>80636400</v>
      </c>
      <c r="AR73">
        <v>75634368</v>
      </c>
      <c r="AS73">
        <v>86275992</v>
      </c>
      <c r="AT73" s="11">
        <v>43645964</v>
      </c>
      <c r="AU73" s="11">
        <v>40030344</v>
      </c>
      <c r="AW73" s="14">
        <v>40669956</v>
      </c>
      <c r="AX73" s="14">
        <v>33937048</v>
      </c>
      <c r="AZ73" s="16">
        <v>41497584</v>
      </c>
      <c r="BA73" s="16">
        <v>47838216</v>
      </c>
      <c r="BC73" s="18">
        <v>39396540</v>
      </c>
      <c r="BD73" s="18">
        <v>43645964</v>
      </c>
    </row>
    <row r="74" spans="1:56" hidden="1">
      <c r="A74">
        <v>16803</v>
      </c>
      <c r="B74" t="s">
        <v>368</v>
      </c>
      <c r="C74" t="s">
        <v>369</v>
      </c>
      <c r="D74" t="s">
        <v>370</v>
      </c>
      <c r="F74" t="s">
        <v>371</v>
      </c>
      <c r="G74">
        <v>374.96699999999998</v>
      </c>
      <c r="H74" t="s">
        <v>58</v>
      </c>
      <c r="I74">
        <v>2</v>
      </c>
      <c r="J74">
        <v>21</v>
      </c>
      <c r="K74">
        <v>0</v>
      </c>
      <c r="L74">
        <v>69.569999999999993</v>
      </c>
      <c r="M74">
        <v>10430</v>
      </c>
      <c r="N74">
        <v>6</v>
      </c>
      <c r="O74">
        <v>7</v>
      </c>
      <c r="P74">
        <v>7</v>
      </c>
      <c r="Q74">
        <v>8</v>
      </c>
      <c r="R74">
        <v>8</v>
      </c>
      <c r="S74">
        <v>1882</v>
      </c>
      <c r="T74">
        <v>1882</v>
      </c>
      <c r="U74">
        <v>8</v>
      </c>
      <c r="V74">
        <v>4</v>
      </c>
      <c r="W74">
        <v>5</v>
      </c>
      <c r="X74">
        <v>6</v>
      </c>
      <c r="Y74">
        <v>7</v>
      </c>
      <c r="Z74">
        <v>6</v>
      </c>
      <c r="AA74">
        <v>7</v>
      </c>
      <c r="AB74">
        <v>8</v>
      </c>
      <c r="AC74">
        <v>8</v>
      </c>
      <c r="AD74">
        <v>146</v>
      </c>
      <c r="AE74">
        <v>178</v>
      </c>
      <c r="AF74">
        <v>224</v>
      </c>
      <c r="AG74">
        <v>280</v>
      </c>
      <c r="AH74">
        <v>317</v>
      </c>
      <c r="AI74">
        <v>266</v>
      </c>
      <c r="AJ74">
        <v>235</v>
      </c>
      <c r="AK74">
        <v>236</v>
      </c>
      <c r="AL74">
        <v>1606820864</v>
      </c>
      <c r="AM74">
        <v>1433182080</v>
      </c>
      <c r="AN74">
        <v>1446503680</v>
      </c>
      <c r="AO74">
        <v>1849489664</v>
      </c>
      <c r="AP74">
        <v>1178465792</v>
      </c>
      <c r="AQ74">
        <v>1270247168</v>
      </c>
      <c r="AR74">
        <v>1133269504</v>
      </c>
      <c r="AS74">
        <v>1104341120</v>
      </c>
      <c r="AT74" s="11">
        <v>378385056</v>
      </c>
      <c r="AU74" s="11">
        <v>964562560</v>
      </c>
      <c r="AW74" s="14">
        <v>939776256</v>
      </c>
      <c r="AX74" s="14">
        <v>1240424704</v>
      </c>
      <c r="AZ74" s="16">
        <v>1078793472</v>
      </c>
      <c r="BA74" s="16">
        <v>1051120000</v>
      </c>
      <c r="BC74" s="18">
        <v>1119666304</v>
      </c>
      <c r="BD74" s="18">
        <v>989721984</v>
      </c>
    </row>
    <row r="75" spans="1:56">
      <c r="A75">
        <v>16694</v>
      </c>
      <c r="B75" t="s">
        <v>372</v>
      </c>
      <c r="C75" t="s">
        <v>373</v>
      </c>
      <c r="D75" t="s">
        <v>374</v>
      </c>
      <c r="F75" t="s">
        <v>375</v>
      </c>
      <c r="G75">
        <v>374.00900000000001</v>
      </c>
      <c r="H75" t="s">
        <v>58</v>
      </c>
      <c r="I75">
        <v>2</v>
      </c>
      <c r="J75">
        <v>21</v>
      </c>
      <c r="K75">
        <v>0</v>
      </c>
      <c r="L75">
        <v>76.14</v>
      </c>
      <c r="M75">
        <v>10234</v>
      </c>
      <c r="N75">
        <v>7</v>
      </c>
      <c r="O75">
        <v>7</v>
      </c>
      <c r="P75">
        <v>7</v>
      </c>
      <c r="Q75">
        <v>8</v>
      </c>
      <c r="R75">
        <v>8</v>
      </c>
      <c r="S75">
        <v>578</v>
      </c>
      <c r="T75">
        <v>578</v>
      </c>
      <c r="U75">
        <v>8</v>
      </c>
      <c r="V75">
        <v>8</v>
      </c>
      <c r="W75">
        <v>8</v>
      </c>
      <c r="X75">
        <v>8</v>
      </c>
      <c r="Y75">
        <v>8</v>
      </c>
      <c r="Z75">
        <v>6</v>
      </c>
      <c r="AA75">
        <v>8</v>
      </c>
      <c r="AB75">
        <v>7</v>
      </c>
      <c r="AC75">
        <v>8</v>
      </c>
      <c r="AD75">
        <v>117</v>
      </c>
      <c r="AE75">
        <v>113</v>
      </c>
      <c r="AF75">
        <v>141</v>
      </c>
      <c r="AG75">
        <v>107</v>
      </c>
      <c r="AH75">
        <v>19</v>
      </c>
      <c r="AI75">
        <v>13</v>
      </c>
      <c r="AJ75">
        <v>28</v>
      </c>
      <c r="AK75">
        <v>40</v>
      </c>
      <c r="AL75">
        <v>174090496</v>
      </c>
      <c r="AM75">
        <v>119813320</v>
      </c>
      <c r="AN75">
        <v>282365408</v>
      </c>
      <c r="AO75">
        <v>385399904</v>
      </c>
      <c r="AP75">
        <v>67453032</v>
      </c>
      <c r="AQ75">
        <v>64157356</v>
      </c>
      <c r="AR75">
        <v>174006720</v>
      </c>
      <c r="AS75">
        <v>203640672</v>
      </c>
      <c r="AT75" s="11">
        <v>230040384</v>
      </c>
      <c r="AU75" s="11">
        <v>174788928</v>
      </c>
      <c r="AW75" s="14">
        <v>194730064</v>
      </c>
      <c r="AX75" s="14">
        <v>187295296</v>
      </c>
      <c r="AZ75" s="16">
        <v>56884088</v>
      </c>
      <c r="BA75" s="16">
        <v>54533076</v>
      </c>
      <c r="BC75" s="18">
        <v>137524496</v>
      </c>
      <c r="BD75" s="18">
        <v>141835984</v>
      </c>
    </row>
    <row r="76" spans="1:56" hidden="1">
      <c r="A76">
        <v>16859</v>
      </c>
      <c r="B76" t="s">
        <v>376</v>
      </c>
      <c r="C76" t="s">
        <v>322</v>
      </c>
      <c r="D76" t="s">
        <v>376</v>
      </c>
      <c r="F76" t="s">
        <v>377</v>
      </c>
      <c r="G76">
        <v>373.02100000000002</v>
      </c>
      <c r="H76" t="s">
        <v>58</v>
      </c>
      <c r="I76">
        <v>2</v>
      </c>
      <c r="J76">
        <v>1</v>
      </c>
      <c r="K76">
        <v>0</v>
      </c>
      <c r="L76">
        <v>32.11</v>
      </c>
      <c r="M76">
        <v>40277</v>
      </c>
      <c r="N76">
        <v>21</v>
      </c>
      <c r="O76">
        <v>11</v>
      </c>
      <c r="P76">
        <v>1</v>
      </c>
      <c r="Q76">
        <v>11</v>
      </c>
      <c r="R76">
        <v>1</v>
      </c>
      <c r="S76">
        <v>322</v>
      </c>
      <c r="T76">
        <v>8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2</v>
      </c>
      <c r="AI76">
        <v>1</v>
      </c>
      <c r="AJ76">
        <v>0</v>
      </c>
      <c r="AK76">
        <v>1</v>
      </c>
      <c r="AL76">
        <v>140447568</v>
      </c>
      <c r="AM76">
        <v>121469656</v>
      </c>
      <c r="AN76">
        <v>340904320</v>
      </c>
      <c r="AO76">
        <v>373798528</v>
      </c>
      <c r="AP76">
        <v>268876512</v>
      </c>
      <c r="AQ76">
        <v>286885728</v>
      </c>
      <c r="AR76">
        <v>252962400</v>
      </c>
      <c r="AS76">
        <v>269694496</v>
      </c>
      <c r="AT76" s="11">
        <v>16180059</v>
      </c>
      <c r="AU76" s="11">
        <v>12826388</v>
      </c>
      <c r="AW76" s="14">
        <v>13603721</v>
      </c>
      <c r="AX76" s="14">
        <v>11890271</v>
      </c>
      <c r="AZ76" s="16">
        <v>17990024</v>
      </c>
      <c r="BA76" s="16">
        <v>17161070</v>
      </c>
      <c r="BC76" s="18">
        <v>13031321</v>
      </c>
      <c r="BD76" s="18">
        <v>13702510</v>
      </c>
    </row>
    <row r="77" spans="1:56" hidden="1">
      <c r="A77">
        <v>16764</v>
      </c>
      <c r="B77" t="s">
        <v>378</v>
      </c>
      <c r="C77" t="s">
        <v>379</v>
      </c>
      <c r="D77" t="s">
        <v>380</v>
      </c>
      <c r="F77" t="s">
        <v>381</v>
      </c>
      <c r="G77">
        <v>371.55099999999999</v>
      </c>
      <c r="H77" t="s">
        <v>58</v>
      </c>
      <c r="I77">
        <v>2</v>
      </c>
      <c r="J77">
        <v>20</v>
      </c>
      <c r="K77">
        <v>0</v>
      </c>
      <c r="L77">
        <v>48.28</v>
      </c>
      <c r="M77">
        <v>9684</v>
      </c>
      <c r="N77">
        <v>4</v>
      </c>
      <c r="O77">
        <v>8</v>
      </c>
      <c r="P77">
        <v>8</v>
      </c>
      <c r="Q77">
        <v>9</v>
      </c>
      <c r="R77">
        <v>9</v>
      </c>
      <c r="S77">
        <v>1321</v>
      </c>
      <c r="T77">
        <v>1321</v>
      </c>
      <c r="U77">
        <v>9</v>
      </c>
      <c r="V77">
        <v>4</v>
      </c>
      <c r="W77">
        <v>7</v>
      </c>
      <c r="X77">
        <v>8</v>
      </c>
      <c r="Y77">
        <v>9</v>
      </c>
      <c r="Z77">
        <v>9</v>
      </c>
      <c r="AA77">
        <v>8</v>
      </c>
      <c r="AB77">
        <v>8</v>
      </c>
      <c r="AC77">
        <v>9</v>
      </c>
      <c r="AD77">
        <v>199</v>
      </c>
      <c r="AE77">
        <v>214</v>
      </c>
      <c r="AF77">
        <v>182</v>
      </c>
      <c r="AG77">
        <v>162</v>
      </c>
      <c r="AH77">
        <v>155</v>
      </c>
      <c r="AI77">
        <v>147</v>
      </c>
      <c r="AJ77">
        <v>106</v>
      </c>
      <c r="AK77">
        <v>156</v>
      </c>
      <c r="AL77">
        <v>1902126208</v>
      </c>
      <c r="AM77">
        <v>2091141248</v>
      </c>
      <c r="AN77">
        <v>1329081344</v>
      </c>
      <c r="AO77">
        <v>1719872512</v>
      </c>
      <c r="AP77">
        <v>1055136384</v>
      </c>
      <c r="AQ77">
        <v>1056120448</v>
      </c>
      <c r="AR77">
        <v>834818112</v>
      </c>
      <c r="AS77">
        <v>1409396224</v>
      </c>
      <c r="AT77" s="11">
        <v>72418856</v>
      </c>
      <c r="AU77" s="11">
        <v>897612608</v>
      </c>
      <c r="AW77" s="14">
        <v>781321472</v>
      </c>
      <c r="AX77" s="14">
        <v>1507972608</v>
      </c>
      <c r="AZ77" s="16">
        <v>1116693376</v>
      </c>
      <c r="BA77" s="16">
        <v>842564096</v>
      </c>
      <c r="BC77" s="18">
        <v>868217536</v>
      </c>
      <c r="BD77" s="18">
        <v>1004225856</v>
      </c>
    </row>
    <row r="78" spans="1:56" hidden="1">
      <c r="A78">
        <v>16751</v>
      </c>
      <c r="B78" t="s">
        <v>382</v>
      </c>
      <c r="D78" t="s">
        <v>382</v>
      </c>
      <c r="E78" t="s">
        <v>383</v>
      </c>
      <c r="F78" t="s">
        <v>384</v>
      </c>
      <c r="G78">
        <v>371.238</v>
      </c>
      <c r="H78" t="s">
        <v>58</v>
      </c>
      <c r="I78">
        <v>2</v>
      </c>
      <c r="J78">
        <v>1</v>
      </c>
      <c r="K78">
        <v>1</v>
      </c>
      <c r="L78">
        <v>55.92</v>
      </c>
      <c r="M78">
        <v>27714</v>
      </c>
      <c r="N78">
        <v>13</v>
      </c>
      <c r="O78">
        <v>9</v>
      </c>
      <c r="P78">
        <v>9</v>
      </c>
      <c r="Q78">
        <v>10</v>
      </c>
      <c r="R78">
        <v>10</v>
      </c>
      <c r="S78">
        <v>422</v>
      </c>
      <c r="T78">
        <v>422</v>
      </c>
      <c r="U78">
        <v>10</v>
      </c>
      <c r="V78">
        <v>7</v>
      </c>
      <c r="W78">
        <v>7</v>
      </c>
      <c r="X78">
        <v>9</v>
      </c>
      <c r="Y78">
        <v>8</v>
      </c>
      <c r="Z78">
        <v>7</v>
      </c>
      <c r="AA78">
        <v>7</v>
      </c>
      <c r="AB78">
        <v>8</v>
      </c>
      <c r="AC78">
        <v>9</v>
      </c>
      <c r="AD78">
        <v>72</v>
      </c>
      <c r="AE78">
        <v>83</v>
      </c>
      <c r="AF78">
        <v>82</v>
      </c>
      <c r="AG78">
        <v>56</v>
      </c>
      <c r="AH78">
        <v>22</v>
      </c>
      <c r="AI78">
        <v>22</v>
      </c>
      <c r="AJ78">
        <v>40</v>
      </c>
      <c r="AK78">
        <v>43</v>
      </c>
      <c r="AL78">
        <v>164938720</v>
      </c>
      <c r="AM78">
        <v>161214672</v>
      </c>
      <c r="AN78">
        <v>262732336</v>
      </c>
      <c r="AO78">
        <v>319299008</v>
      </c>
      <c r="AP78">
        <v>48546400</v>
      </c>
      <c r="AQ78">
        <v>52987348</v>
      </c>
      <c r="AR78">
        <v>131162688</v>
      </c>
      <c r="AS78">
        <v>125733376</v>
      </c>
      <c r="AT78" s="11">
        <v>142710512</v>
      </c>
      <c r="AU78" s="11">
        <v>136497488</v>
      </c>
      <c r="AW78" s="14">
        <v>134165056</v>
      </c>
      <c r="AX78" s="14">
        <v>108473904</v>
      </c>
      <c r="AZ78" s="16">
        <v>34972336</v>
      </c>
      <c r="BA78" s="16">
        <v>33299914</v>
      </c>
      <c r="BC78" s="18">
        <v>86870544</v>
      </c>
      <c r="BD78" s="18">
        <v>86586024</v>
      </c>
    </row>
    <row r="79" spans="1:56" hidden="1">
      <c r="A79">
        <v>16722</v>
      </c>
      <c r="B79" t="s">
        <v>385</v>
      </c>
      <c r="C79" t="s">
        <v>386</v>
      </c>
      <c r="D79" t="s">
        <v>387</v>
      </c>
      <c r="F79" t="s">
        <v>388</v>
      </c>
      <c r="G79">
        <v>356.62799999999999</v>
      </c>
      <c r="H79" t="s">
        <v>58</v>
      </c>
      <c r="I79">
        <v>2</v>
      </c>
      <c r="J79">
        <v>21</v>
      </c>
      <c r="K79">
        <v>0</v>
      </c>
      <c r="L79">
        <v>81.69</v>
      </c>
      <c r="M79">
        <v>16018</v>
      </c>
      <c r="N79">
        <v>8</v>
      </c>
      <c r="O79">
        <v>13</v>
      </c>
      <c r="P79">
        <v>13</v>
      </c>
      <c r="Q79">
        <v>13</v>
      </c>
      <c r="R79">
        <v>13</v>
      </c>
      <c r="S79">
        <v>371</v>
      </c>
      <c r="T79">
        <v>371</v>
      </c>
      <c r="U79">
        <v>13</v>
      </c>
      <c r="V79">
        <v>10</v>
      </c>
      <c r="W79">
        <v>11</v>
      </c>
      <c r="X79">
        <v>11</v>
      </c>
      <c r="Y79">
        <v>13</v>
      </c>
      <c r="Z79">
        <v>11</v>
      </c>
      <c r="AA79">
        <v>12</v>
      </c>
      <c r="AB79">
        <v>12</v>
      </c>
      <c r="AC79">
        <v>12</v>
      </c>
      <c r="AD79">
        <v>69</v>
      </c>
      <c r="AE79">
        <v>69</v>
      </c>
      <c r="AF79">
        <v>22</v>
      </c>
      <c r="AG79">
        <v>35</v>
      </c>
      <c r="AH79">
        <v>37</v>
      </c>
      <c r="AI79">
        <v>49</v>
      </c>
      <c r="AJ79">
        <v>43</v>
      </c>
      <c r="AK79">
        <v>47</v>
      </c>
      <c r="AL79">
        <v>485638336</v>
      </c>
      <c r="AM79">
        <v>604378816</v>
      </c>
      <c r="AN79">
        <v>231604224</v>
      </c>
      <c r="AO79">
        <v>302244832</v>
      </c>
      <c r="AP79">
        <v>280283136</v>
      </c>
      <c r="AQ79">
        <v>398240192</v>
      </c>
      <c r="AR79">
        <v>326438720</v>
      </c>
      <c r="AS79">
        <v>337329856</v>
      </c>
      <c r="AT79" s="11">
        <v>403559360</v>
      </c>
      <c r="AU79" s="11">
        <v>555920576</v>
      </c>
      <c r="AW79" s="14">
        <v>121770240</v>
      </c>
      <c r="AX79" s="14">
        <v>153035712</v>
      </c>
      <c r="AZ79" s="16">
        <v>187952464</v>
      </c>
      <c r="BA79" s="16">
        <v>250085712</v>
      </c>
      <c r="BC79" s="18">
        <v>211626800</v>
      </c>
      <c r="BD79" s="18">
        <v>205146912</v>
      </c>
    </row>
    <row r="80" spans="1:56" hidden="1">
      <c r="A80">
        <v>16795</v>
      </c>
      <c r="B80" t="s">
        <v>389</v>
      </c>
      <c r="C80" t="s">
        <v>390</v>
      </c>
      <c r="D80" t="s">
        <v>391</v>
      </c>
      <c r="F80" t="s">
        <v>392</v>
      </c>
      <c r="G80">
        <v>356.56200000000001</v>
      </c>
      <c r="H80" t="s">
        <v>58</v>
      </c>
      <c r="I80">
        <v>2</v>
      </c>
      <c r="J80">
        <v>9</v>
      </c>
      <c r="K80">
        <v>0</v>
      </c>
      <c r="L80">
        <v>19.75</v>
      </c>
      <c r="M80">
        <v>69114</v>
      </c>
      <c r="N80">
        <v>39</v>
      </c>
      <c r="O80">
        <v>11</v>
      </c>
      <c r="P80">
        <v>11</v>
      </c>
      <c r="Q80">
        <v>11</v>
      </c>
      <c r="R80">
        <v>11</v>
      </c>
      <c r="S80">
        <v>72</v>
      </c>
      <c r="T80">
        <v>72</v>
      </c>
      <c r="U80">
        <v>11</v>
      </c>
      <c r="V80">
        <v>8</v>
      </c>
      <c r="W80">
        <v>6</v>
      </c>
      <c r="X80">
        <v>9</v>
      </c>
      <c r="Y80">
        <v>10</v>
      </c>
      <c r="Z80">
        <v>11</v>
      </c>
      <c r="AA80">
        <v>10</v>
      </c>
      <c r="AB80">
        <v>10</v>
      </c>
      <c r="AC80">
        <v>11</v>
      </c>
      <c r="AD80">
        <v>7</v>
      </c>
      <c r="AE80">
        <v>5</v>
      </c>
      <c r="AF80">
        <v>9</v>
      </c>
      <c r="AG80">
        <v>10</v>
      </c>
      <c r="AH80">
        <v>12</v>
      </c>
      <c r="AI80">
        <v>12</v>
      </c>
      <c r="AJ80">
        <v>8</v>
      </c>
      <c r="AK80">
        <v>9</v>
      </c>
      <c r="AL80">
        <v>19527196</v>
      </c>
      <c r="AM80">
        <v>12361025</v>
      </c>
      <c r="AN80">
        <v>46686248</v>
      </c>
      <c r="AO80">
        <v>69466344</v>
      </c>
      <c r="AP80">
        <v>36698244</v>
      </c>
      <c r="AQ80">
        <v>41960800</v>
      </c>
      <c r="AR80">
        <v>29341724</v>
      </c>
      <c r="AS80">
        <v>34499244</v>
      </c>
      <c r="AT80" s="11">
        <v>17311950</v>
      </c>
      <c r="AU80" s="11">
        <v>4188656.25</v>
      </c>
      <c r="AW80" s="14">
        <v>17781756</v>
      </c>
      <c r="AX80" s="14">
        <v>30408982</v>
      </c>
      <c r="AZ80" s="16">
        <v>23345356</v>
      </c>
      <c r="BA80" s="16">
        <v>22642400</v>
      </c>
      <c r="BC80" s="18">
        <v>17605328</v>
      </c>
      <c r="BD80" s="18">
        <v>20585470</v>
      </c>
    </row>
    <row r="81" spans="1:56" hidden="1">
      <c r="A81">
        <v>16826</v>
      </c>
      <c r="B81" t="s">
        <v>393</v>
      </c>
      <c r="C81" t="s">
        <v>394</v>
      </c>
      <c r="D81" t="s">
        <v>395</v>
      </c>
      <c r="F81" t="s">
        <v>396</v>
      </c>
      <c r="G81">
        <v>352.517</v>
      </c>
      <c r="H81" t="s">
        <v>58</v>
      </c>
      <c r="I81">
        <v>2</v>
      </c>
      <c r="J81">
        <v>2</v>
      </c>
      <c r="K81">
        <v>0</v>
      </c>
      <c r="L81">
        <v>29.02</v>
      </c>
      <c r="M81">
        <v>43110</v>
      </c>
      <c r="N81">
        <v>21</v>
      </c>
      <c r="O81">
        <v>13</v>
      </c>
      <c r="P81">
        <v>13</v>
      </c>
      <c r="Q81">
        <v>13</v>
      </c>
      <c r="R81">
        <v>13</v>
      </c>
      <c r="S81">
        <v>103</v>
      </c>
      <c r="T81">
        <v>103</v>
      </c>
      <c r="U81">
        <v>13</v>
      </c>
      <c r="V81">
        <v>8</v>
      </c>
      <c r="W81">
        <v>10</v>
      </c>
      <c r="X81">
        <v>12</v>
      </c>
      <c r="Y81">
        <v>13</v>
      </c>
      <c r="Z81">
        <v>12</v>
      </c>
      <c r="AA81">
        <v>12</v>
      </c>
      <c r="AB81">
        <v>12</v>
      </c>
      <c r="AC81">
        <v>13</v>
      </c>
      <c r="AD81">
        <v>8</v>
      </c>
      <c r="AE81">
        <v>13</v>
      </c>
      <c r="AF81">
        <v>14</v>
      </c>
      <c r="AG81">
        <v>14</v>
      </c>
      <c r="AH81">
        <v>13</v>
      </c>
      <c r="AI81">
        <v>14</v>
      </c>
      <c r="AJ81">
        <v>14</v>
      </c>
      <c r="AK81">
        <v>13</v>
      </c>
      <c r="AL81">
        <v>34905752</v>
      </c>
      <c r="AM81">
        <v>48297512</v>
      </c>
      <c r="AN81">
        <v>135061696</v>
      </c>
      <c r="AO81">
        <v>171899344</v>
      </c>
      <c r="AP81">
        <v>69680360</v>
      </c>
      <c r="AQ81">
        <v>76504544</v>
      </c>
      <c r="AR81">
        <v>62798080</v>
      </c>
      <c r="AS81">
        <v>79979832</v>
      </c>
      <c r="AT81" s="11">
        <v>31749206</v>
      </c>
      <c r="AU81" s="11">
        <v>38919636</v>
      </c>
      <c r="AW81" s="14">
        <v>64038180</v>
      </c>
      <c r="AX81" s="14">
        <v>78660944</v>
      </c>
      <c r="AZ81" s="16">
        <v>39864988</v>
      </c>
      <c r="BA81" s="16">
        <v>40683848</v>
      </c>
      <c r="BC81" s="18">
        <v>36238636</v>
      </c>
      <c r="BD81" s="18">
        <v>40637704</v>
      </c>
    </row>
    <row r="82" spans="1:56" hidden="1">
      <c r="A82">
        <v>16691</v>
      </c>
      <c r="B82" t="s">
        <v>397</v>
      </c>
      <c r="C82" t="s">
        <v>398</v>
      </c>
      <c r="D82" t="s">
        <v>399</v>
      </c>
      <c r="E82" t="s">
        <v>400</v>
      </c>
      <c r="F82" t="s">
        <v>401</v>
      </c>
      <c r="G82">
        <v>351.29700000000003</v>
      </c>
      <c r="H82" t="s">
        <v>58</v>
      </c>
      <c r="I82">
        <v>2</v>
      </c>
      <c r="J82">
        <v>10</v>
      </c>
      <c r="K82">
        <v>11</v>
      </c>
      <c r="L82">
        <v>24.26</v>
      </c>
      <c r="M82">
        <v>64640</v>
      </c>
      <c r="N82">
        <v>37</v>
      </c>
      <c r="O82">
        <v>12</v>
      </c>
      <c r="P82">
        <v>12</v>
      </c>
      <c r="Q82">
        <v>12</v>
      </c>
      <c r="R82">
        <v>12</v>
      </c>
      <c r="S82">
        <v>49</v>
      </c>
      <c r="T82">
        <v>49</v>
      </c>
      <c r="U82">
        <v>12</v>
      </c>
      <c r="V82">
        <v>9</v>
      </c>
      <c r="W82">
        <v>8</v>
      </c>
      <c r="X82">
        <v>10</v>
      </c>
      <c r="Y82">
        <v>10</v>
      </c>
      <c r="Z82">
        <v>12</v>
      </c>
      <c r="AA82">
        <v>12</v>
      </c>
      <c r="AB82">
        <v>11</v>
      </c>
      <c r="AC82">
        <v>10</v>
      </c>
      <c r="AD82">
        <v>5</v>
      </c>
      <c r="AE82">
        <v>2</v>
      </c>
      <c r="AF82">
        <v>3</v>
      </c>
      <c r="AG82">
        <v>4</v>
      </c>
      <c r="AH82">
        <v>7</v>
      </c>
      <c r="AI82">
        <v>12</v>
      </c>
      <c r="AJ82">
        <v>4</v>
      </c>
      <c r="AK82">
        <v>12</v>
      </c>
      <c r="AL82">
        <v>15464687</v>
      </c>
      <c r="AM82">
        <v>15145338</v>
      </c>
      <c r="AN82">
        <v>15858089</v>
      </c>
      <c r="AO82">
        <v>18824152</v>
      </c>
      <c r="AP82">
        <v>23635928</v>
      </c>
      <c r="AQ82">
        <v>34065260</v>
      </c>
      <c r="AR82">
        <v>21302576</v>
      </c>
      <c r="AS82">
        <v>29478742</v>
      </c>
      <c r="AT82" s="11">
        <v>15462984</v>
      </c>
      <c r="AU82" s="11">
        <v>15024726</v>
      </c>
      <c r="AW82" s="14">
        <v>7496217</v>
      </c>
      <c r="AX82" s="14">
        <v>7220628.5</v>
      </c>
      <c r="AZ82" s="16">
        <v>13938579</v>
      </c>
      <c r="BA82" s="16">
        <v>18997706</v>
      </c>
      <c r="BC82" s="18">
        <v>11162094</v>
      </c>
      <c r="BD82" s="18">
        <v>13928578</v>
      </c>
    </row>
    <row r="83" spans="1:56" hidden="1">
      <c r="A83">
        <v>16706</v>
      </c>
      <c r="B83" t="s">
        <v>402</v>
      </c>
      <c r="C83" t="s">
        <v>403</v>
      </c>
      <c r="D83" t="s">
        <v>404</v>
      </c>
      <c r="F83" t="s">
        <v>405</v>
      </c>
      <c r="G83">
        <v>336.59199999999998</v>
      </c>
      <c r="H83" t="s">
        <v>58</v>
      </c>
      <c r="I83">
        <v>2</v>
      </c>
      <c r="J83">
        <v>3</v>
      </c>
      <c r="K83">
        <v>0</v>
      </c>
      <c r="L83">
        <v>17.899999999999999</v>
      </c>
      <c r="M83">
        <v>105060</v>
      </c>
      <c r="N83">
        <v>51</v>
      </c>
      <c r="O83">
        <v>13</v>
      </c>
      <c r="P83">
        <v>13</v>
      </c>
      <c r="Q83">
        <v>13</v>
      </c>
      <c r="R83">
        <v>13</v>
      </c>
      <c r="S83">
        <v>48</v>
      </c>
      <c r="T83">
        <v>48</v>
      </c>
      <c r="U83">
        <v>13</v>
      </c>
      <c r="V83">
        <v>5</v>
      </c>
      <c r="W83">
        <v>6</v>
      </c>
      <c r="X83">
        <v>13</v>
      </c>
      <c r="Y83">
        <v>13</v>
      </c>
      <c r="Z83">
        <v>12</v>
      </c>
      <c r="AA83">
        <v>13</v>
      </c>
      <c r="AB83">
        <v>12</v>
      </c>
      <c r="AC83">
        <v>13</v>
      </c>
      <c r="AD83">
        <v>0</v>
      </c>
      <c r="AE83">
        <v>0</v>
      </c>
      <c r="AF83">
        <v>6</v>
      </c>
      <c r="AG83">
        <v>12</v>
      </c>
      <c r="AH83">
        <v>5</v>
      </c>
      <c r="AI83">
        <v>10</v>
      </c>
      <c r="AJ83">
        <v>8</v>
      </c>
      <c r="AK83">
        <v>7</v>
      </c>
      <c r="AL83">
        <v>4758183</v>
      </c>
      <c r="AM83">
        <v>5794201</v>
      </c>
      <c r="AN83">
        <v>24808878</v>
      </c>
      <c r="AO83">
        <v>31537796</v>
      </c>
      <c r="AP83">
        <v>14045788</v>
      </c>
      <c r="AQ83">
        <v>16165631</v>
      </c>
      <c r="AR83">
        <v>14575203</v>
      </c>
      <c r="AS83">
        <v>17655578</v>
      </c>
      <c r="AT83" s="11">
        <v>531274.12</v>
      </c>
      <c r="AU83" s="11">
        <v>496453.91</v>
      </c>
      <c r="AW83" s="14">
        <v>14898365</v>
      </c>
      <c r="AX83" s="14">
        <v>12629201</v>
      </c>
      <c r="AZ83" s="16">
        <v>9026881</v>
      </c>
      <c r="BA83" s="16">
        <v>9164639</v>
      </c>
      <c r="BC83" s="18">
        <v>8406478</v>
      </c>
      <c r="BD83" s="18">
        <v>9346403</v>
      </c>
    </row>
    <row r="84" spans="1:56" hidden="1">
      <c r="A84">
        <v>16695</v>
      </c>
      <c r="B84" t="s">
        <v>406</v>
      </c>
      <c r="C84" t="s">
        <v>407</v>
      </c>
      <c r="D84" t="s">
        <v>408</v>
      </c>
      <c r="F84" t="s">
        <v>409</v>
      </c>
      <c r="G84">
        <v>334.31599999999997</v>
      </c>
      <c r="H84" t="s">
        <v>58</v>
      </c>
      <c r="I84">
        <v>2</v>
      </c>
      <c r="J84">
        <v>19</v>
      </c>
      <c r="K84">
        <v>0</v>
      </c>
      <c r="L84">
        <v>58.54</v>
      </c>
      <c r="M84">
        <v>9190</v>
      </c>
      <c r="N84">
        <v>4</v>
      </c>
      <c r="O84">
        <v>7</v>
      </c>
      <c r="P84">
        <v>7</v>
      </c>
      <c r="Q84">
        <v>7</v>
      </c>
      <c r="R84">
        <v>7</v>
      </c>
      <c r="S84">
        <v>1449</v>
      </c>
      <c r="T84">
        <v>1449</v>
      </c>
      <c r="U84">
        <v>7</v>
      </c>
      <c r="V84">
        <v>6</v>
      </c>
      <c r="W84">
        <v>7</v>
      </c>
      <c r="X84">
        <v>7</v>
      </c>
      <c r="Y84">
        <v>7</v>
      </c>
      <c r="Z84">
        <v>7</v>
      </c>
      <c r="AA84">
        <v>7</v>
      </c>
      <c r="AB84">
        <v>7</v>
      </c>
      <c r="AC84">
        <v>7</v>
      </c>
      <c r="AD84">
        <v>153</v>
      </c>
      <c r="AE84">
        <v>176</v>
      </c>
      <c r="AF84">
        <v>237</v>
      </c>
      <c r="AG84">
        <v>202</v>
      </c>
      <c r="AH84">
        <v>193</v>
      </c>
      <c r="AI84">
        <v>181</v>
      </c>
      <c r="AJ84">
        <v>138</v>
      </c>
      <c r="AK84">
        <v>169</v>
      </c>
      <c r="AL84">
        <v>1162873344</v>
      </c>
      <c r="AM84">
        <v>1203464576</v>
      </c>
      <c r="AN84">
        <v>1373198848</v>
      </c>
      <c r="AO84">
        <v>1785121536</v>
      </c>
      <c r="AP84">
        <v>1088250752</v>
      </c>
      <c r="AQ84">
        <v>1087653120</v>
      </c>
      <c r="AR84">
        <v>776024192</v>
      </c>
      <c r="AS84">
        <v>1210152704</v>
      </c>
      <c r="AT84" s="11">
        <v>985642496</v>
      </c>
      <c r="AU84" s="11">
        <v>1117698304</v>
      </c>
      <c r="AW84" s="14">
        <v>1233983232</v>
      </c>
      <c r="AX84" s="14">
        <v>1268739840</v>
      </c>
      <c r="AZ84" s="16">
        <v>1195821952</v>
      </c>
      <c r="BA84" s="16">
        <v>1070647424</v>
      </c>
      <c r="BC84" s="18">
        <v>821056128</v>
      </c>
      <c r="BD84" s="18">
        <v>1044942144</v>
      </c>
    </row>
    <row r="85" spans="1:56" hidden="1">
      <c r="A85">
        <v>16704</v>
      </c>
      <c r="B85" t="s">
        <v>410</v>
      </c>
      <c r="C85" t="s">
        <v>411</v>
      </c>
      <c r="D85" t="s">
        <v>412</v>
      </c>
      <c r="E85" t="s">
        <v>413</v>
      </c>
      <c r="F85" t="s">
        <v>414</v>
      </c>
      <c r="G85">
        <v>332.78500000000003</v>
      </c>
      <c r="H85" t="s">
        <v>58</v>
      </c>
      <c r="I85">
        <v>2</v>
      </c>
      <c r="J85">
        <v>10</v>
      </c>
      <c r="K85">
        <v>3</v>
      </c>
      <c r="L85">
        <v>36.31</v>
      </c>
      <c r="M85">
        <v>53815</v>
      </c>
      <c r="N85">
        <v>27</v>
      </c>
      <c r="O85">
        <v>13</v>
      </c>
      <c r="P85">
        <v>13</v>
      </c>
      <c r="Q85">
        <v>13</v>
      </c>
      <c r="R85">
        <v>13</v>
      </c>
      <c r="S85">
        <v>80</v>
      </c>
      <c r="T85">
        <v>80</v>
      </c>
      <c r="U85">
        <v>13</v>
      </c>
      <c r="V85">
        <v>8</v>
      </c>
      <c r="W85">
        <v>10</v>
      </c>
      <c r="X85">
        <v>11</v>
      </c>
      <c r="Y85">
        <v>11</v>
      </c>
      <c r="Z85">
        <v>13</v>
      </c>
      <c r="AA85">
        <v>12</v>
      </c>
      <c r="AB85">
        <v>12</v>
      </c>
      <c r="AC85">
        <v>12</v>
      </c>
      <c r="AD85">
        <v>9</v>
      </c>
      <c r="AE85">
        <v>11</v>
      </c>
      <c r="AF85">
        <v>6</v>
      </c>
      <c r="AG85">
        <v>9</v>
      </c>
      <c r="AH85">
        <v>10</v>
      </c>
      <c r="AI85">
        <v>14</v>
      </c>
      <c r="AJ85">
        <v>11</v>
      </c>
      <c r="AK85">
        <v>10</v>
      </c>
      <c r="AL85">
        <v>28605516</v>
      </c>
      <c r="AM85">
        <v>26284622</v>
      </c>
      <c r="AN85">
        <v>391880224</v>
      </c>
      <c r="AO85">
        <v>48399216</v>
      </c>
      <c r="AP85">
        <v>245756800</v>
      </c>
      <c r="AQ85">
        <v>254847584</v>
      </c>
      <c r="AR85">
        <v>185338128</v>
      </c>
      <c r="AS85">
        <v>47552256</v>
      </c>
      <c r="AT85" s="11">
        <v>42307692</v>
      </c>
      <c r="AU85" s="11">
        <v>67521552</v>
      </c>
      <c r="AW85" s="14">
        <v>76206968</v>
      </c>
      <c r="AX85" s="14">
        <v>60860648</v>
      </c>
      <c r="AZ85" s="16">
        <v>126080392</v>
      </c>
      <c r="BA85" s="16">
        <v>126529280</v>
      </c>
      <c r="BC85" s="18">
        <v>86915928</v>
      </c>
      <c r="BD85" s="18">
        <v>90876040</v>
      </c>
    </row>
    <row r="86" spans="1:56" hidden="1">
      <c r="A86">
        <v>16699</v>
      </c>
      <c r="B86" t="s">
        <v>415</v>
      </c>
      <c r="C86" t="s">
        <v>416</v>
      </c>
      <c r="D86" t="s">
        <v>417</v>
      </c>
      <c r="E86" t="s">
        <v>418</v>
      </c>
      <c r="F86" t="s">
        <v>419</v>
      </c>
      <c r="G86">
        <v>321.435</v>
      </c>
      <c r="H86" t="s">
        <v>58</v>
      </c>
      <c r="I86">
        <v>2</v>
      </c>
      <c r="J86">
        <v>12</v>
      </c>
      <c r="K86">
        <v>9</v>
      </c>
      <c r="L86">
        <v>60.84</v>
      </c>
      <c r="M86">
        <v>15463</v>
      </c>
      <c r="N86">
        <v>10</v>
      </c>
      <c r="O86">
        <v>7</v>
      </c>
      <c r="P86">
        <v>7</v>
      </c>
      <c r="Q86">
        <v>7</v>
      </c>
      <c r="R86">
        <v>7</v>
      </c>
      <c r="S86">
        <v>158</v>
      </c>
      <c r="T86">
        <v>158</v>
      </c>
      <c r="U86">
        <v>7</v>
      </c>
      <c r="V86">
        <v>7</v>
      </c>
      <c r="W86">
        <v>7</v>
      </c>
      <c r="X86">
        <v>5</v>
      </c>
      <c r="Y86">
        <v>6</v>
      </c>
      <c r="Z86">
        <v>6</v>
      </c>
      <c r="AA86">
        <v>7</v>
      </c>
      <c r="AB86">
        <v>6</v>
      </c>
      <c r="AC86">
        <v>7</v>
      </c>
      <c r="AD86">
        <v>42</v>
      </c>
      <c r="AE86">
        <v>46</v>
      </c>
      <c r="AF86">
        <v>7</v>
      </c>
      <c r="AG86">
        <v>7</v>
      </c>
      <c r="AH86">
        <v>15</v>
      </c>
      <c r="AI86">
        <v>15</v>
      </c>
      <c r="AJ86">
        <v>11</v>
      </c>
      <c r="AK86">
        <v>14</v>
      </c>
      <c r="AL86">
        <v>293139296</v>
      </c>
      <c r="AM86">
        <v>293829504</v>
      </c>
      <c r="AN86">
        <v>79452880</v>
      </c>
      <c r="AO86">
        <v>94274192</v>
      </c>
      <c r="AP86">
        <v>181884160</v>
      </c>
      <c r="AQ86">
        <v>206713008</v>
      </c>
      <c r="AR86">
        <v>165971344</v>
      </c>
      <c r="AS86">
        <v>189849552</v>
      </c>
      <c r="AT86" s="11">
        <v>313706880</v>
      </c>
      <c r="AU86" s="11">
        <v>322417792</v>
      </c>
      <c r="AW86" s="14">
        <v>40129772</v>
      </c>
      <c r="AX86" s="14">
        <v>34083012</v>
      </c>
      <c r="AZ86" s="16">
        <v>111570000</v>
      </c>
      <c r="BA86" s="16">
        <v>121490200</v>
      </c>
      <c r="BC86" s="18">
        <v>91379184</v>
      </c>
      <c r="BD86" s="18">
        <v>90659056</v>
      </c>
    </row>
    <row r="87" spans="1:56" hidden="1">
      <c r="A87">
        <v>16753</v>
      </c>
      <c r="B87" t="s">
        <v>420</v>
      </c>
      <c r="C87" t="s">
        <v>421</v>
      </c>
      <c r="D87" t="s">
        <v>422</v>
      </c>
      <c r="F87" t="s">
        <v>423</v>
      </c>
      <c r="G87">
        <v>319.334</v>
      </c>
      <c r="H87" t="s">
        <v>58</v>
      </c>
      <c r="I87">
        <v>2</v>
      </c>
      <c r="J87">
        <v>20</v>
      </c>
      <c r="K87">
        <v>0</v>
      </c>
      <c r="L87">
        <v>60</v>
      </c>
      <c r="M87">
        <v>8986</v>
      </c>
      <c r="N87">
        <v>4</v>
      </c>
      <c r="O87">
        <v>7</v>
      </c>
      <c r="P87">
        <v>7</v>
      </c>
      <c r="Q87">
        <v>7</v>
      </c>
      <c r="R87">
        <v>7</v>
      </c>
      <c r="S87">
        <v>732</v>
      </c>
      <c r="T87">
        <v>732</v>
      </c>
      <c r="U87">
        <v>7</v>
      </c>
      <c r="V87">
        <v>5</v>
      </c>
      <c r="W87">
        <v>4</v>
      </c>
      <c r="X87">
        <v>7</v>
      </c>
      <c r="Y87">
        <v>7</v>
      </c>
      <c r="Z87">
        <v>7</v>
      </c>
      <c r="AA87">
        <v>7</v>
      </c>
      <c r="AB87">
        <v>7</v>
      </c>
      <c r="AC87">
        <v>7</v>
      </c>
      <c r="AD87">
        <v>102</v>
      </c>
      <c r="AE87">
        <v>133</v>
      </c>
      <c r="AF87">
        <v>83</v>
      </c>
      <c r="AG87">
        <v>87</v>
      </c>
      <c r="AH87">
        <v>79</v>
      </c>
      <c r="AI87">
        <v>75</v>
      </c>
      <c r="AJ87">
        <v>78</v>
      </c>
      <c r="AK87">
        <v>95</v>
      </c>
      <c r="AL87">
        <v>1765390720</v>
      </c>
      <c r="AM87">
        <v>1772220800</v>
      </c>
      <c r="AN87">
        <v>1421424512</v>
      </c>
      <c r="AO87">
        <v>1712943488</v>
      </c>
      <c r="AP87">
        <v>1007060608</v>
      </c>
      <c r="AQ87">
        <v>1079790336</v>
      </c>
      <c r="AR87">
        <v>910056384</v>
      </c>
      <c r="AS87">
        <v>1170210176</v>
      </c>
      <c r="AT87" s="11">
        <v>436600608</v>
      </c>
      <c r="AU87" s="11">
        <v>351794112</v>
      </c>
      <c r="AW87" s="14">
        <v>707336640</v>
      </c>
      <c r="AX87" s="14">
        <v>1295470720</v>
      </c>
      <c r="AZ87" s="16">
        <v>1063375552</v>
      </c>
      <c r="BA87" s="16">
        <v>757551424</v>
      </c>
      <c r="BC87" s="18">
        <v>962607936</v>
      </c>
      <c r="BD87" s="18">
        <v>890599744</v>
      </c>
    </row>
    <row r="88" spans="1:56" hidden="1">
      <c r="A88">
        <v>16725</v>
      </c>
      <c r="B88" t="s">
        <v>424</v>
      </c>
      <c r="C88" t="s">
        <v>425</v>
      </c>
      <c r="D88" t="s">
        <v>426</v>
      </c>
      <c r="F88" t="s">
        <v>427</v>
      </c>
      <c r="G88">
        <v>317.678</v>
      </c>
      <c r="H88" t="s">
        <v>58</v>
      </c>
      <c r="I88">
        <v>2</v>
      </c>
      <c r="J88">
        <v>16</v>
      </c>
      <c r="K88">
        <v>0</v>
      </c>
      <c r="L88">
        <v>53.47</v>
      </c>
      <c r="M88">
        <v>11580</v>
      </c>
      <c r="N88">
        <v>7</v>
      </c>
      <c r="O88">
        <v>11</v>
      </c>
      <c r="P88">
        <v>2</v>
      </c>
      <c r="Q88">
        <v>11</v>
      </c>
      <c r="R88">
        <v>2</v>
      </c>
      <c r="S88">
        <v>1413</v>
      </c>
      <c r="T88">
        <v>757</v>
      </c>
      <c r="U88">
        <v>2</v>
      </c>
      <c r="V88">
        <v>2</v>
      </c>
      <c r="W88">
        <v>2</v>
      </c>
      <c r="X88">
        <v>2</v>
      </c>
      <c r="Y88">
        <v>2</v>
      </c>
      <c r="Z88">
        <v>2</v>
      </c>
      <c r="AA88">
        <v>2</v>
      </c>
      <c r="AB88">
        <v>2</v>
      </c>
      <c r="AC88">
        <v>2</v>
      </c>
      <c r="AD88">
        <v>101</v>
      </c>
      <c r="AE88">
        <v>113</v>
      </c>
      <c r="AF88">
        <v>92</v>
      </c>
      <c r="AG88">
        <v>81</v>
      </c>
      <c r="AH88">
        <v>100</v>
      </c>
      <c r="AI88">
        <v>100</v>
      </c>
      <c r="AJ88">
        <v>85</v>
      </c>
      <c r="AK88">
        <v>85</v>
      </c>
      <c r="AL88">
        <v>555466816</v>
      </c>
      <c r="AM88">
        <v>516959296</v>
      </c>
      <c r="AN88">
        <v>859135040</v>
      </c>
      <c r="AO88">
        <v>1312527232</v>
      </c>
      <c r="AP88">
        <v>722952000</v>
      </c>
      <c r="AQ88">
        <v>741898240</v>
      </c>
      <c r="AR88">
        <v>721151552</v>
      </c>
      <c r="AS88">
        <v>655127872</v>
      </c>
      <c r="AT88" s="11">
        <v>37913516</v>
      </c>
      <c r="AU88" s="11">
        <v>48139752</v>
      </c>
      <c r="AW88" s="14">
        <v>61049296</v>
      </c>
      <c r="AX88" s="14">
        <v>92697776</v>
      </c>
      <c r="AZ88" s="16">
        <v>136442560</v>
      </c>
      <c r="BA88" s="16">
        <v>129593976</v>
      </c>
      <c r="BC88" s="18">
        <v>137672256</v>
      </c>
      <c r="BD88" s="18">
        <v>139516896</v>
      </c>
    </row>
    <row r="89" spans="1:56" hidden="1">
      <c r="A89">
        <v>16730</v>
      </c>
      <c r="B89" t="s">
        <v>428</v>
      </c>
      <c r="C89" t="s">
        <v>429</v>
      </c>
      <c r="D89" t="s">
        <v>430</v>
      </c>
      <c r="E89" t="s">
        <v>431</v>
      </c>
      <c r="F89" t="s">
        <v>432</v>
      </c>
      <c r="G89">
        <v>307.50099999999998</v>
      </c>
      <c r="H89" t="s">
        <v>58</v>
      </c>
      <c r="I89">
        <v>2</v>
      </c>
      <c r="J89">
        <v>19</v>
      </c>
      <c r="K89">
        <v>2</v>
      </c>
      <c r="L89">
        <v>31.33</v>
      </c>
      <c r="M89">
        <v>51559</v>
      </c>
      <c r="N89">
        <v>27</v>
      </c>
      <c r="O89">
        <v>10</v>
      </c>
      <c r="P89">
        <v>10</v>
      </c>
      <c r="Q89">
        <v>10</v>
      </c>
      <c r="R89">
        <v>10</v>
      </c>
      <c r="S89">
        <v>21</v>
      </c>
      <c r="T89">
        <v>21</v>
      </c>
      <c r="U89">
        <v>10</v>
      </c>
      <c r="V89">
        <v>5</v>
      </c>
      <c r="W89">
        <v>6</v>
      </c>
      <c r="X89">
        <v>9</v>
      </c>
      <c r="Y89">
        <v>10</v>
      </c>
      <c r="Z89">
        <v>9</v>
      </c>
      <c r="AA89">
        <v>10</v>
      </c>
      <c r="AB89">
        <v>10</v>
      </c>
      <c r="AC89">
        <v>10</v>
      </c>
      <c r="AD89">
        <v>1</v>
      </c>
      <c r="AE89">
        <v>1</v>
      </c>
      <c r="AF89">
        <v>2</v>
      </c>
      <c r="AG89">
        <v>11</v>
      </c>
      <c r="AH89">
        <v>0</v>
      </c>
      <c r="AI89">
        <v>3</v>
      </c>
      <c r="AJ89">
        <v>1</v>
      </c>
      <c r="AK89">
        <v>3</v>
      </c>
      <c r="AL89">
        <v>85934672</v>
      </c>
      <c r="AM89">
        <v>92816328</v>
      </c>
      <c r="AN89">
        <v>156380960</v>
      </c>
      <c r="AO89">
        <v>180032832</v>
      </c>
      <c r="AP89">
        <v>72190072</v>
      </c>
      <c r="AQ89">
        <v>78196968</v>
      </c>
      <c r="AR89">
        <v>193831392</v>
      </c>
      <c r="AS89">
        <v>259092112</v>
      </c>
      <c r="AT89" s="11">
        <v>4092697.75</v>
      </c>
      <c r="AU89" s="11">
        <v>40787676</v>
      </c>
      <c r="AW89" s="14">
        <v>107240680</v>
      </c>
      <c r="AX89" s="14">
        <v>119789200</v>
      </c>
      <c r="AZ89" s="16">
        <v>79395096</v>
      </c>
      <c r="BA89" s="16">
        <v>84384464</v>
      </c>
      <c r="BC89" s="18">
        <v>85182224</v>
      </c>
      <c r="BD89" s="18">
        <v>83615200</v>
      </c>
    </row>
    <row r="90" spans="1:56" hidden="1">
      <c r="A90">
        <v>16773</v>
      </c>
      <c r="B90" t="s">
        <v>433</v>
      </c>
      <c r="C90" t="s">
        <v>434</v>
      </c>
      <c r="D90" t="s">
        <v>435</v>
      </c>
      <c r="F90" t="s">
        <v>436</v>
      </c>
      <c r="G90">
        <v>306.71199999999999</v>
      </c>
      <c r="H90" t="s">
        <v>58</v>
      </c>
      <c r="I90">
        <v>2</v>
      </c>
      <c r="J90">
        <v>21</v>
      </c>
      <c r="K90">
        <v>0</v>
      </c>
      <c r="L90">
        <v>63.16</v>
      </c>
      <c r="M90">
        <v>15154</v>
      </c>
      <c r="N90">
        <v>10</v>
      </c>
      <c r="O90">
        <v>7</v>
      </c>
      <c r="P90">
        <v>7</v>
      </c>
      <c r="Q90">
        <v>7</v>
      </c>
      <c r="R90">
        <v>7</v>
      </c>
      <c r="S90">
        <v>73</v>
      </c>
      <c r="T90">
        <v>73</v>
      </c>
      <c r="U90">
        <v>7</v>
      </c>
      <c r="V90">
        <v>6</v>
      </c>
      <c r="W90">
        <v>6</v>
      </c>
      <c r="X90">
        <v>6</v>
      </c>
      <c r="Y90">
        <v>7</v>
      </c>
      <c r="Z90">
        <v>6</v>
      </c>
      <c r="AA90">
        <v>6</v>
      </c>
      <c r="AB90">
        <v>7</v>
      </c>
      <c r="AC90">
        <v>7</v>
      </c>
      <c r="AD90">
        <v>12</v>
      </c>
      <c r="AE90">
        <v>7</v>
      </c>
      <c r="AF90">
        <v>9</v>
      </c>
      <c r="AG90">
        <v>12</v>
      </c>
      <c r="AH90">
        <v>9</v>
      </c>
      <c r="AI90">
        <v>9</v>
      </c>
      <c r="AJ90">
        <v>9</v>
      </c>
      <c r="AK90">
        <v>6</v>
      </c>
      <c r="AL90">
        <v>83383256</v>
      </c>
      <c r="AM90">
        <v>78841512</v>
      </c>
      <c r="AN90">
        <v>158210208</v>
      </c>
      <c r="AO90">
        <v>184838320</v>
      </c>
      <c r="AP90">
        <v>87238584</v>
      </c>
      <c r="AQ90">
        <v>98238640</v>
      </c>
      <c r="AR90">
        <v>90432208</v>
      </c>
      <c r="AS90">
        <v>68239712</v>
      </c>
      <c r="AT90" s="11">
        <v>90523208</v>
      </c>
      <c r="AU90" s="11">
        <v>64383368</v>
      </c>
      <c r="AW90" s="14">
        <v>69080872</v>
      </c>
      <c r="AX90" s="14">
        <v>70306224</v>
      </c>
      <c r="AZ90" s="16">
        <v>57006220</v>
      </c>
      <c r="BA90" s="16">
        <v>56330036</v>
      </c>
      <c r="BC90" s="18">
        <v>52838568</v>
      </c>
      <c r="BD90" s="18">
        <v>38541236</v>
      </c>
    </row>
    <row r="91" spans="1:56" hidden="1">
      <c r="A91">
        <v>16689</v>
      </c>
      <c r="B91" t="s">
        <v>437</v>
      </c>
      <c r="C91" t="s">
        <v>438</v>
      </c>
      <c r="D91" t="s">
        <v>437</v>
      </c>
      <c r="F91" t="s">
        <v>439</v>
      </c>
      <c r="G91">
        <v>297.51600000000002</v>
      </c>
      <c r="H91" t="s">
        <v>58</v>
      </c>
      <c r="I91">
        <v>2</v>
      </c>
      <c r="J91">
        <v>1</v>
      </c>
      <c r="K91">
        <v>0</v>
      </c>
      <c r="L91">
        <v>46.99</v>
      </c>
      <c r="M91">
        <v>28633</v>
      </c>
      <c r="N91">
        <v>14</v>
      </c>
      <c r="O91">
        <v>8</v>
      </c>
      <c r="P91">
        <v>8</v>
      </c>
      <c r="Q91">
        <v>8</v>
      </c>
      <c r="R91">
        <v>8</v>
      </c>
      <c r="S91">
        <v>39</v>
      </c>
      <c r="T91">
        <v>39</v>
      </c>
      <c r="U91">
        <v>8</v>
      </c>
      <c r="V91">
        <v>5</v>
      </c>
      <c r="W91">
        <v>4</v>
      </c>
      <c r="X91">
        <v>5</v>
      </c>
      <c r="Y91">
        <v>8</v>
      </c>
      <c r="Z91">
        <v>7</v>
      </c>
      <c r="AA91">
        <v>8</v>
      </c>
      <c r="AB91">
        <v>8</v>
      </c>
      <c r="AC91">
        <v>8</v>
      </c>
      <c r="AD91">
        <v>2</v>
      </c>
      <c r="AE91">
        <v>2</v>
      </c>
      <c r="AF91">
        <v>4</v>
      </c>
      <c r="AG91">
        <v>7</v>
      </c>
      <c r="AH91">
        <v>5</v>
      </c>
      <c r="AI91">
        <v>6</v>
      </c>
      <c r="AJ91">
        <v>6</v>
      </c>
      <c r="AK91">
        <v>7</v>
      </c>
      <c r="AL91">
        <v>5135334</v>
      </c>
      <c r="AM91">
        <v>4126657.5</v>
      </c>
      <c r="AN91">
        <v>18890034</v>
      </c>
      <c r="AO91">
        <v>29347892</v>
      </c>
      <c r="AP91">
        <v>13567132</v>
      </c>
      <c r="AQ91">
        <v>14231710</v>
      </c>
      <c r="AR91">
        <v>14934888</v>
      </c>
      <c r="AS91">
        <v>15918568</v>
      </c>
      <c r="AT91" s="11">
        <v>4877041.5</v>
      </c>
      <c r="AU91" s="11">
        <v>1381226.25</v>
      </c>
      <c r="AW91" s="14">
        <v>7731622.5</v>
      </c>
      <c r="AX91" s="14">
        <v>11516428</v>
      </c>
      <c r="AZ91" s="16">
        <v>6605317.5</v>
      </c>
      <c r="BA91" s="16">
        <v>8585543</v>
      </c>
      <c r="BC91" s="18">
        <v>8880927</v>
      </c>
      <c r="BD91" s="18">
        <v>8793157</v>
      </c>
    </row>
    <row r="92" spans="1:56" hidden="1">
      <c r="A92">
        <v>16863</v>
      </c>
      <c r="B92" t="s">
        <v>440</v>
      </c>
      <c r="C92" t="s">
        <v>441</v>
      </c>
      <c r="D92" t="s">
        <v>442</v>
      </c>
      <c r="E92" t="s">
        <v>443</v>
      </c>
      <c r="F92" t="s">
        <v>444</v>
      </c>
      <c r="G92">
        <v>285.24299999999999</v>
      </c>
      <c r="H92" t="s">
        <v>58</v>
      </c>
      <c r="I92">
        <v>2</v>
      </c>
      <c r="J92">
        <v>2</v>
      </c>
      <c r="K92">
        <v>1</v>
      </c>
      <c r="L92">
        <v>22.57</v>
      </c>
      <c r="M92">
        <v>38009</v>
      </c>
      <c r="N92">
        <v>19</v>
      </c>
      <c r="O92">
        <v>6</v>
      </c>
      <c r="P92">
        <v>6</v>
      </c>
      <c r="Q92">
        <v>6</v>
      </c>
      <c r="R92">
        <v>6</v>
      </c>
      <c r="S92">
        <v>63</v>
      </c>
      <c r="T92">
        <v>63</v>
      </c>
      <c r="U92">
        <v>6</v>
      </c>
      <c r="V92">
        <v>3</v>
      </c>
      <c r="W92">
        <v>4</v>
      </c>
      <c r="X92">
        <v>6</v>
      </c>
      <c r="Y92">
        <v>6</v>
      </c>
      <c r="Z92">
        <v>6</v>
      </c>
      <c r="AA92">
        <v>6</v>
      </c>
      <c r="AB92">
        <v>6</v>
      </c>
      <c r="AC92">
        <v>6</v>
      </c>
      <c r="AD92">
        <v>2</v>
      </c>
      <c r="AE92">
        <v>1</v>
      </c>
      <c r="AF92">
        <v>11</v>
      </c>
      <c r="AG92">
        <v>11</v>
      </c>
      <c r="AH92">
        <v>12</v>
      </c>
      <c r="AI92">
        <v>10</v>
      </c>
      <c r="AJ92">
        <v>8</v>
      </c>
      <c r="AK92">
        <v>8</v>
      </c>
      <c r="AL92">
        <v>19685512</v>
      </c>
      <c r="AM92">
        <v>35007324</v>
      </c>
      <c r="AN92">
        <v>114294704</v>
      </c>
      <c r="AO92">
        <v>176193056</v>
      </c>
      <c r="AP92">
        <v>76855928</v>
      </c>
      <c r="AQ92">
        <v>208380128</v>
      </c>
      <c r="AR92">
        <v>79908432</v>
      </c>
      <c r="AS92">
        <v>82303792</v>
      </c>
      <c r="AT92" s="11">
        <v>891917.19</v>
      </c>
      <c r="AU92" s="11">
        <v>586075.5</v>
      </c>
      <c r="AW92" s="14">
        <v>81079464</v>
      </c>
      <c r="AX92" s="14">
        <v>100137240</v>
      </c>
      <c r="AZ92" s="16">
        <v>70756304</v>
      </c>
      <c r="BA92" s="16">
        <v>85968960</v>
      </c>
      <c r="BC92" s="18">
        <v>75095416</v>
      </c>
      <c r="BD92" s="18">
        <v>66004788</v>
      </c>
    </row>
    <row r="93" spans="1:56" hidden="1">
      <c r="A93">
        <v>16771</v>
      </c>
      <c r="B93" t="s">
        <v>445</v>
      </c>
      <c r="C93" t="s">
        <v>446</v>
      </c>
      <c r="D93" t="s">
        <v>447</v>
      </c>
      <c r="E93" t="s">
        <v>448</v>
      </c>
      <c r="F93" t="s">
        <v>449</v>
      </c>
      <c r="G93">
        <v>284.33100000000002</v>
      </c>
      <c r="H93" t="s">
        <v>58</v>
      </c>
      <c r="I93">
        <v>2</v>
      </c>
      <c r="J93">
        <v>6</v>
      </c>
      <c r="K93">
        <v>15</v>
      </c>
      <c r="L93">
        <v>35.880000000000003</v>
      </c>
      <c r="M93">
        <v>27337</v>
      </c>
      <c r="N93">
        <v>7</v>
      </c>
      <c r="O93">
        <v>6</v>
      </c>
      <c r="P93">
        <v>6</v>
      </c>
      <c r="Q93">
        <v>6</v>
      </c>
      <c r="R93">
        <v>6</v>
      </c>
      <c r="S93">
        <v>35</v>
      </c>
      <c r="T93">
        <v>35</v>
      </c>
      <c r="U93">
        <v>6</v>
      </c>
      <c r="V93">
        <v>3</v>
      </c>
      <c r="W93">
        <v>4</v>
      </c>
      <c r="X93">
        <v>4</v>
      </c>
      <c r="Y93">
        <v>6</v>
      </c>
      <c r="Z93">
        <v>6</v>
      </c>
      <c r="AA93">
        <v>5</v>
      </c>
      <c r="AB93">
        <v>6</v>
      </c>
      <c r="AC93">
        <v>6</v>
      </c>
      <c r="AD93">
        <v>3</v>
      </c>
      <c r="AE93">
        <v>1</v>
      </c>
      <c r="AF93">
        <v>4</v>
      </c>
      <c r="AG93">
        <v>5</v>
      </c>
      <c r="AH93">
        <v>7</v>
      </c>
      <c r="AI93">
        <v>4</v>
      </c>
      <c r="AJ93">
        <v>5</v>
      </c>
      <c r="AK93">
        <v>5</v>
      </c>
      <c r="AL93">
        <v>8282245.5</v>
      </c>
      <c r="AM93">
        <v>9991462</v>
      </c>
      <c r="AN93">
        <v>26045228</v>
      </c>
      <c r="AO93">
        <v>32480930</v>
      </c>
      <c r="AP93">
        <v>24338314</v>
      </c>
      <c r="AQ93">
        <v>26569818</v>
      </c>
      <c r="AR93">
        <v>24556366</v>
      </c>
      <c r="AS93">
        <v>26702522</v>
      </c>
      <c r="AT93" s="11">
        <v>8405412</v>
      </c>
      <c r="AU93" s="11">
        <v>7682900</v>
      </c>
      <c r="AW93" s="14">
        <v>11239710</v>
      </c>
      <c r="AX93" s="14">
        <v>9562922</v>
      </c>
      <c r="AZ93" s="16">
        <v>15793011</v>
      </c>
      <c r="BA93" s="16">
        <v>16544955</v>
      </c>
      <c r="BC93" s="18">
        <v>15399817</v>
      </c>
      <c r="BD93" s="18">
        <v>15436980</v>
      </c>
    </row>
    <row r="94" spans="1:56" hidden="1">
      <c r="A94">
        <v>16802</v>
      </c>
      <c r="B94" t="s">
        <v>450</v>
      </c>
      <c r="D94" t="s">
        <v>450</v>
      </c>
      <c r="F94" t="s">
        <v>451</v>
      </c>
      <c r="G94">
        <v>270.84100000000001</v>
      </c>
      <c r="H94" t="s">
        <v>58</v>
      </c>
      <c r="I94">
        <v>2</v>
      </c>
      <c r="J94">
        <v>1</v>
      </c>
      <c r="K94">
        <v>0</v>
      </c>
      <c r="L94">
        <v>25.11</v>
      </c>
      <c r="M94">
        <v>24409</v>
      </c>
      <c r="N94">
        <v>12</v>
      </c>
      <c r="O94">
        <v>4</v>
      </c>
      <c r="P94">
        <v>4</v>
      </c>
      <c r="Q94">
        <v>5</v>
      </c>
      <c r="R94">
        <v>5</v>
      </c>
      <c r="S94">
        <v>421</v>
      </c>
      <c r="T94">
        <v>421</v>
      </c>
      <c r="U94">
        <v>5</v>
      </c>
      <c r="V94">
        <v>5</v>
      </c>
      <c r="W94">
        <v>5</v>
      </c>
      <c r="X94">
        <v>4</v>
      </c>
      <c r="Y94">
        <v>5</v>
      </c>
      <c r="Z94">
        <v>4</v>
      </c>
      <c r="AA94">
        <v>5</v>
      </c>
      <c r="AB94">
        <v>5</v>
      </c>
      <c r="AC94">
        <v>4</v>
      </c>
      <c r="AD94">
        <v>46</v>
      </c>
      <c r="AE94">
        <v>45</v>
      </c>
      <c r="AF94">
        <v>27</v>
      </c>
      <c r="AG94">
        <v>31</v>
      </c>
      <c r="AH94">
        <v>64</v>
      </c>
      <c r="AI94">
        <v>71</v>
      </c>
      <c r="AJ94">
        <v>71</v>
      </c>
      <c r="AK94">
        <v>66</v>
      </c>
      <c r="AL94">
        <v>1026200128</v>
      </c>
      <c r="AM94">
        <v>971142016</v>
      </c>
      <c r="AN94">
        <v>1031823232</v>
      </c>
      <c r="AO94">
        <v>1121117568</v>
      </c>
      <c r="AP94">
        <v>1054858624</v>
      </c>
      <c r="AQ94">
        <v>1085889280</v>
      </c>
      <c r="AR94">
        <v>918272192</v>
      </c>
      <c r="AS94">
        <v>939814656</v>
      </c>
      <c r="AT94" s="11">
        <v>748378880</v>
      </c>
      <c r="AU94" s="11">
        <v>670937600</v>
      </c>
      <c r="AW94" s="14">
        <v>416678688</v>
      </c>
      <c r="AX94" s="14">
        <v>458414464</v>
      </c>
      <c r="AZ94" s="16">
        <v>684117696</v>
      </c>
      <c r="BA94" s="16">
        <v>746946624</v>
      </c>
      <c r="BC94" s="18">
        <v>692789952</v>
      </c>
      <c r="BD94" s="18">
        <v>624637760</v>
      </c>
    </row>
    <row r="95" spans="1:56" hidden="1">
      <c r="A95">
        <v>16660</v>
      </c>
      <c r="B95" t="s">
        <v>452</v>
      </c>
      <c r="C95" t="s">
        <v>453</v>
      </c>
      <c r="D95" t="s">
        <v>454</v>
      </c>
      <c r="F95" t="s">
        <v>455</v>
      </c>
      <c r="G95">
        <v>262.96499999999997</v>
      </c>
      <c r="H95" t="s">
        <v>58</v>
      </c>
      <c r="I95">
        <v>2</v>
      </c>
      <c r="J95">
        <v>21</v>
      </c>
      <c r="K95">
        <v>0</v>
      </c>
      <c r="L95">
        <v>47.97</v>
      </c>
      <c r="M95">
        <v>13540</v>
      </c>
      <c r="N95">
        <v>7</v>
      </c>
      <c r="O95">
        <v>9</v>
      </c>
      <c r="P95">
        <v>9</v>
      </c>
      <c r="Q95">
        <v>11</v>
      </c>
      <c r="R95">
        <v>11</v>
      </c>
      <c r="S95">
        <v>382</v>
      </c>
      <c r="T95">
        <v>382</v>
      </c>
      <c r="U95">
        <v>11</v>
      </c>
      <c r="V95">
        <v>11</v>
      </c>
      <c r="W95">
        <v>10</v>
      </c>
      <c r="X95">
        <v>9</v>
      </c>
      <c r="Y95">
        <v>9</v>
      </c>
      <c r="Z95">
        <v>10</v>
      </c>
      <c r="AA95">
        <v>10</v>
      </c>
      <c r="AB95">
        <v>9</v>
      </c>
      <c r="AC95">
        <v>10</v>
      </c>
      <c r="AD95">
        <v>72</v>
      </c>
      <c r="AE95">
        <v>81</v>
      </c>
      <c r="AF95">
        <v>20</v>
      </c>
      <c r="AG95">
        <v>35</v>
      </c>
      <c r="AH95">
        <v>43</v>
      </c>
      <c r="AI95">
        <v>47</v>
      </c>
      <c r="AJ95">
        <v>42</v>
      </c>
      <c r="AK95">
        <v>41</v>
      </c>
      <c r="AL95">
        <v>588458048</v>
      </c>
      <c r="AM95">
        <v>593927936</v>
      </c>
      <c r="AN95">
        <v>371452096</v>
      </c>
      <c r="AO95">
        <v>613759744</v>
      </c>
      <c r="AP95">
        <v>436400992</v>
      </c>
      <c r="AQ95">
        <v>545170496</v>
      </c>
      <c r="AR95">
        <v>499518080</v>
      </c>
      <c r="AS95">
        <v>424520032</v>
      </c>
      <c r="AT95" s="11">
        <v>652688128</v>
      </c>
      <c r="AU95" s="11">
        <v>743906944</v>
      </c>
      <c r="AW95" s="14">
        <v>200332800</v>
      </c>
      <c r="AX95" s="14">
        <v>187852528</v>
      </c>
      <c r="AZ95" s="16">
        <v>293445024</v>
      </c>
      <c r="BA95" s="16">
        <v>336629152</v>
      </c>
      <c r="BC95" s="18">
        <v>298274272</v>
      </c>
      <c r="BD95" s="18">
        <v>214258528</v>
      </c>
    </row>
    <row r="96" spans="1:56" hidden="1">
      <c r="A96">
        <v>16714</v>
      </c>
      <c r="B96" t="s">
        <v>456</v>
      </c>
      <c r="C96" t="s">
        <v>457</v>
      </c>
      <c r="D96" t="s">
        <v>458</v>
      </c>
      <c r="F96" t="s">
        <v>459</v>
      </c>
      <c r="G96">
        <v>261.09699999999998</v>
      </c>
      <c r="H96" t="s">
        <v>58</v>
      </c>
      <c r="I96">
        <v>2</v>
      </c>
      <c r="J96">
        <v>3</v>
      </c>
      <c r="K96">
        <v>0</v>
      </c>
      <c r="L96">
        <v>46.43</v>
      </c>
      <c r="M96">
        <v>20852</v>
      </c>
      <c r="N96">
        <v>5</v>
      </c>
      <c r="O96">
        <v>5</v>
      </c>
      <c r="P96">
        <v>5</v>
      </c>
      <c r="Q96">
        <v>5</v>
      </c>
      <c r="R96">
        <v>5</v>
      </c>
      <c r="S96">
        <v>77</v>
      </c>
      <c r="T96">
        <v>77</v>
      </c>
      <c r="U96">
        <v>5</v>
      </c>
      <c r="V96">
        <v>3</v>
      </c>
      <c r="W96">
        <v>3</v>
      </c>
      <c r="X96">
        <v>5</v>
      </c>
      <c r="Y96">
        <v>5</v>
      </c>
      <c r="Z96">
        <v>4</v>
      </c>
      <c r="AA96">
        <v>4</v>
      </c>
      <c r="AB96">
        <v>5</v>
      </c>
      <c r="AC96">
        <v>5</v>
      </c>
      <c r="AD96">
        <v>0</v>
      </c>
      <c r="AE96">
        <v>0</v>
      </c>
      <c r="AF96">
        <v>15</v>
      </c>
      <c r="AG96">
        <v>16</v>
      </c>
      <c r="AH96">
        <v>13</v>
      </c>
      <c r="AI96">
        <v>13</v>
      </c>
      <c r="AJ96">
        <v>7</v>
      </c>
      <c r="AK96">
        <v>12</v>
      </c>
      <c r="AL96">
        <v>14249614</v>
      </c>
      <c r="AM96">
        <v>8878714</v>
      </c>
      <c r="AN96">
        <v>43281124</v>
      </c>
      <c r="AO96">
        <v>88288144</v>
      </c>
      <c r="AP96">
        <v>49793308</v>
      </c>
      <c r="AQ96">
        <v>58982596</v>
      </c>
      <c r="AR96">
        <v>58060548</v>
      </c>
      <c r="AS96">
        <v>65911980</v>
      </c>
      <c r="AT96" s="11">
        <v>13484303</v>
      </c>
      <c r="AU96" s="11">
        <v>10849554</v>
      </c>
      <c r="AW96" s="14">
        <v>21997814</v>
      </c>
      <c r="AX96" s="14">
        <v>27719122</v>
      </c>
      <c r="AZ96" s="16">
        <v>30030364</v>
      </c>
      <c r="BA96" s="16">
        <v>32074992</v>
      </c>
      <c r="BC96" s="18">
        <v>29426924</v>
      </c>
      <c r="BD96" s="18">
        <v>30697658</v>
      </c>
    </row>
    <row r="97" spans="1:56" hidden="1">
      <c r="A97">
        <v>16827</v>
      </c>
      <c r="B97" t="s">
        <v>460</v>
      </c>
      <c r="C97" t="s">
        <v>461</v>
      </c>
      <c r="D97" t="s">
        <v>462</v>
      </c>
      <c r="F97" t="s">
        <v>463</v>
      </c>
      <c r="G97">
        <v>251.66499999999999</v>
      </c>
      <c r="H97" t="s">
        <v>58</v>
      </c>
      <c r="I97">
        <v>2</v>
      </c>
      <c r="J97">
        <v>3</v>
      </c>
      <c r="K97">
        <v>0</v>
      </c>
      <c r="L97">
        <v>46.62</v>
      </c>
      <c r="M97">
        <v>16794</v>
      </c>
      <c r="N97">
        <v>9</v>
      </c>
      <c r="O97">
        <v>5</v>
      </c>
      <c r="P97">
        <v>5</v>
      </c>
      <c r="Q97">
        <v>5</v>
      </c>
      <c r="R97">
        <v>5</v>
      </c>
      <c r="S97">
        <v>56</v>
      </c>
      <c r="T97">
        <v>56</v>
      </c>
      <c r="U97">
        <v>5</v>
      </c>
      <c r="V97">
        <v>4</v>
      </c>
      <c r="W97">
        <v>3</v>
      </c>
      <c r="X97">
        <v>5</v>
      </c>
      <c r="Y97">
        <v>5</v>
      </c>
      <c r="Z97">
        <v>5</v>
      </c>
      <c r="AA97">
        <v>5</v>
      </c>
      <c r="AB97">
        <v>5</v>
      </c>
      <c r="AC97">
        <v>5</v>
      </c>
      <c r="AD97">
        <v>3</v>
      </c>
      <c r="AE97">
        <v>4</v>
      </c>
      <c r="AF97">
        <v>9</v>
      </c>
      <c r="AG97">
        <v>9</v>
      </c>
      <c r="AH97">
        <v>8</v>
      </c>
      <c r="AI97">
        <v>10</v>
      </c>
      <c r="AJ97">
        <v>6</v>
      </c>
      <c r="AK97">
        <v>7</v>
      </c>
      <c r="AL97">
        <v>19331596</v>
      </c>
      <c r="AM97">
        <v>18727552</v>
      </c>
      <c r="AN97">
        <v>74735600</v>
      </c>
      <c r="AO97">
        <v>115859240</v>
      </c>
      <c r="AP97">
        <v>47824344</v>
      </c>
      <c r="AQ97">
        <v>55365004</v>
      </c>
      <c r="AR97">
        <v>53446440</v>
      </c>
      <c r="AS97">
        <v>63112828</v>
      </c>
      <c r="AT97" s="11">
        <v>3352492</v>
      </c>
      <c r="AU97" s="11">
        <v>2378300.75</v>
      </c>
      <c r="AW97" s="14">
        <v>39996276</v>
      </c>
      <c r="AX97" s="14">
        <v>54997128</v>
      </c>
      <c r="AZ97" s="16">
        <v>26666372</v>
      </c>
      <c r="BA97" s="16">
        <v>44370024</v>
      </c>
      <c r="BC97" s="18">
        <v>39274628</v>
      </c>
      <c r="BD97" s="18">
        <v>43384508</v>
      </c>
    </row>
    <row r="98" spans="1:56" hidden="1">
      <c r="A98">
        <v>16708</v>
      </c>
      <c r="B98" t="s">
        <v>464</v>
      </c>
      <c r="C98" t="s">
        <v>465</v>
      </c>
      <c r="D98" t="s">
        <v>466</v>
      </c>
      <c r="F98" t="s">
        <v>467</v>
      </c>
      <c r="G98">
        <v>247.39400000000001</v>
      </c>
      <c r="H98" t="s">
        <v>58</v>
      </c>
      <c r="I98">
        <v>2</v>
      </c>
      <c r="J98">
        <v>20</v>
      </c>
      <c r="K98">
        <v>0</v>
      </c>
      <c r="L98">
        <v>71.430000000000007</v>
      </c>
      <c r="M98">
        <v>7273</v>
      </c>
      <c r="N98">
        <v>4</v>
      </c>
      <c r="O98">
        <v>7</v>
      </c>
      <c r="P98">
        <v>7</v>
      </c>
      <c r="Q98">
        <v>8</v>
      </c>
      <c r="R98">
        <v>8</v>
      </c>
      <c r="S98">
        <v>206</v>
      </c>
      <c r="T98">
        <v>206</v>
      </c>
      <c r="U98">
        <v>8</v>
      </c>
      <c r="V98">
        <v>5</v>
      </c>
      <c r="W98">
        <v>5</v>
      </c>
      <c r="X98">
        <v>7</v>
      </c>
      <c r="Y98">
        <v>8</v>
      </c>
      <c r="Z98">
        <v>8</v>
      </c>
      <c r="AA98">
        <v>8</v>
      </c>
      <c r="AB98">
        <v>8</v>
      </c>
      <c r="AC98">
        <v>8</v>
      </c>
      <c r="AD98">
        <v>41</v>
      </c>
      <c r="AE98">
        <v>47</v>
      </c>
      <c r="AF98">
        <v>12</v>
      </c>
      <c r="AG98">
        <v>17</v>
      </c>
      <c r="AH98">
        <v>21</v>
      </c>
      <c r="AI98">
        <v>21</v>
      </c>
      <c r="AJ98">
        <v>26</v>
      </c>
      <c r="AK98">
        <v>21</v>
      </c>
      <c r="AL98">
        <v>135888784</v>
      </c>
      <c r="AM98">
        <v>126266976</v>
      </c>
      <c r="AN98">
        <v>125686112</v>
      </c>
      <c r="AO98">
        <v>256956448</v>
      </c>
      <c r="AP98">
        <v>154683216</v>
      </c>
      <c r="AQ98">
        <v>190311120</v>
      </c>
      <c r="AR98">
        <v>175730384</v>
      </c>
      <c r="AS98">
        <v>151090064</v>
      </c>
      <c r="AT98" s="11">
        <v>149749792</v>
      </c>
      <c r="AU98" s="11">
        <v>97690688</v>
      </c>
      <c r="AW98" s="14">
        <v>71643800</v>
      </c>
      <c r="AX98" s="14">
        <v>116881904</v>
      </c>
      <c r="AZ98" s="16">
        <v>110792696</v>
      </c>
      <c r="BA98" s="16">
        <v>123905392</v>
      </c>
      <c r="BC98" s="18">
        <v>111220048</v>
      </c>
      <c r="BD98" s="18">
        <v>83904696</v>
      </c>
    </row>
    <row r="99" spans="1:56" hidden="1">
      <c r="A99">
        <v>16715</v>
      </c>
      <c r="B99" t="s">
        <v>468</v>
      </c>
      <c r="C99" t="s">
        <v>469</v>
      </c>
      <c r="D99" t="s">
        <v>470</v>
      </c>
      <c r="E99" t="s">
        <v>471</v>
      </c>
      <c r="F99" t="s">
        <v>472</v>
      </c>
      <c r="G99">
        <v>235.785</v>
      </c>
      <c r="H99" t="s">
        <v>58</v>
      </c>
      <c r="I99">
        <v>2</v>
      </c>
      <c r="J99">
        <v>14</v>
      </c>
      <c r="K99">
        <v>7</v>
      </c>
      <c r="L99">
        <v>74.040000000000006</v>
      </c>
      <c r="M99">
        <v>11316</v>
      </c>
      <c r="N99">
        <v>6</v>
      </c>
      <c r="O99">
        <v>10</v>
      </c>
      <c r="P99">
        <v>10</v>
      </c>
      <c r="Q99">
        <v>10</v>
      </c>
      <c r="R99">
        <v>10</v>
      </c>
      <c r="S99">
        <v>128</v>
      </c>
      <c r="T99">
        <v>128</v>
      </c>
      <c r="U99">
        <v>10</v>
      </c>
      <c r="V99">
        <v>6</v>
      </c>
      <c r="W99">
        <v>7</v>
      </c>
      <c r="X99">
        <v>6</v>
      </c>
      <c r="Y99">
        <v>6</v>
      </c>
      <c r="Z99">
        <v>8</v>
      </c>
      <c r="AA99">
        <v>8</v>
      </c>
      <c r="AB99">
        <v>8</v>
      </c>
      <c r="AC99">
        <v>7</v>
      </c>
      <c r="AD99">
        <v>15</v>
      </c>
      <c r="AE99">
        <v>19</v>
      </c>
      <c r="AF99">
        <v>10</v>
      </c>
      <c r="AG99">
        <v>22</v>
      </c>
      <c r="AH99">
        <v>13</v>
      </c>
      <c r="AI99">
        <v>16</v>
      </c>
      <c r="AJ99">
        <v>15</v>
      </c>
      <c r="AK99">
        <v>18</v>
      </c>
      <c r="AL99">
        <v>192690608</v>
      </c>
      <c r="AM99">
        <v>232145728</v>
      </c>
      <c r="AN99">
        <v>100154104</v>
      </c>
      <c r="AO99">
        <v>148606528</v>
      </c>
      <c r="AP99">
        <v>113474472</v>
      </c>
      <c r="AQ99">
        <v>153569536</v>
      </c>
      <c r="AR99">
        <v>141780288</v>
      </c>
      <c r="AS99">
        <v>118856384</v>
      </c>
      <c r="AT99" s="11">
        <v>14551038</v>
      </c>
      <c r="AU99" s="11">
        <v>147385792</v>
      </c>
      <c r="AW99" s="14">
        <v>45093340</v>
      </c>
      <c r="AX99" s="14">
        <v>113884192</v>
      </c>
      <c r="AZ99" s="16">
        <v>112431536</v>
      </c>
      <c r="BA99" s="16">
        <v>125505760</v>
      </c>
      <c r="BC99" s="18">
        <v>125079096</v>
      </c>
      <c r="BD99" s="18">
        <v>90162024</v>
      </c>
    </row>
    <row r="100" spans="1:56" hidden="1">
      <c r="A100">
        <v>16739</v>
      </c>
      <c r="B100" t="s">
        <v>473</v>
      </c>
      <c r="C100" t="s">
        <v>474</v>
      </c>
      <c r="D100" t="s">
        <v>475</v>
      </c>
      <c r="F100" t="s">
        <v>476</v>
      </c>
      <c r="G100">
        <v>227.209</v>
      </c>
      <c r="H100" t="s">
        <v>58</v>
      </c>
      <c r="I100">
        <v>2</v>
      </c>
      <c r="J100">
        <v>20</v>
      </c>
      <c r="K100">
        <v>0</v>
      </c>
      <c r="L100">
        <v>93.22</v>
      </c>
      <c r="M100">
        <v>6541</v>
      </c>
      <c r="N100">
        <v>4</v>
      </c>
      <c r="O100">
        <v>10</v>
      </c>
      <c r="P100">
        <v>10</v>
      </c>
      <c r="Q100">
        <v>10</v>
      </c>
      <c r="R100">
        <v>10</v>
      </c>
      <c r="S100">
        <v>416</v>
      </c>
      <c r="T100">
        <v>416</v>
      </c>
      <c r="U100">
        <v>10</v>
      </c>
      <c r="V100">
        <v>8</v>
      </c>
      <c r="W100">
        <v>7</v>
      </c>
      <c r="X100">
        <v>7</v>
      </c>
      <c r="Y100">
        <v>9</v>
      </c>
      <c r="Z100">
        <v>9</v>
      </c>
      <c r="AA100">
        <v>8</v>
      </c>
      <c r="AB100">
        <v>9</v>
      </c>
      <c r="AC100">
        <v>9</v>
      </c>
      <c r="AD100">
        <v>73</v>
      </c>
      <c r="AE100">
        <v>76</v>
      </c>
      <c r="AF100">
        <v>31</v>
      </c>
      <c r="AG100">
        <v>49</v>
      </c>
      <c r="AH100">
        <v>38</v>
      </c>
      <c r="AI100">
        <v>43</v>
      </c>
      <c r="AJ100">
        <v>62</v>
      </c>
      <c r="AK100">
        <v>44</v>
      </c>
      <c r="AL100">
        <v>379042848</v>
      </c>
      <c r="AM100">
        <v>363901888</v>
      </c>
      <c r="AN100">
        <v>249776976</v>
      </c>
      <c r="AO100">
        <v>503085920</v>
      </c>
      <c r="AP100">
        <v>183199664</v>
      </c>
      <c r="AQ100">
        <v>330900416</v>
      </c>
      <c r="AR100">
        <v>324100224</v>
      </c>
      <c r="AS100">
        <v>297080960</v>
      </c>
      <c r="AT100" s="11">
        <v>379114816</v>
      </c>
      <c r="AU100" s="11">
        <v>373548288</v>
      </c>
      <c r="AW100" s="14">
        <v>141076032</v>
      </c>
      <c r="AX100" s="14">
        <v>180123328</v>
      </c>
      <c r="AZ100" s="16">
        <v>178419664</v>
      </c>
      <c r="BA100" s="16">
        <v>172996992</v>
      </c>
      <c r="BC100" s="18">
        <v>171287200</v>
      </c>
      <c r="BD100" s="18">
        <v>138317968</v>
      </c>
    </row>
    <row r="101" spans="1:56" hidden="1">
      <c r="A101">
        <v>16733</v>
      </c>
      <c r="B101" t="s">
        <v>477</v>
      </c>
      <c r="C101" t="s">
        <v>478</v>
      </c>
      <c r="D101" t="s">
        <v>479</v>
      </c>
      <c r="E101" t="s">
        <v>480</v>
      </c>
      <c r="F101" t="s">
        <v>481</v>
      </c>
      <c r="G101">
        <v>226.54599999999999</v>
      </c>
      <c r="H101" t="s">
        <v>58</v>
      </c>
      <c r="I101">
        <v>2</v>
      </c>
      <c r="J101">
        <v>18</v>
      </c>
      <c r="K101">
        <v>2</v>
      </c>
      <c r="L101">
        <v>46.77</v>
      </c>
      <c r="M101">
        <v>13736</v>
      </c>
      <c r="N101">
        <v>7</v>
      </c>
      <c r="O101">
        <v>7</v>
      </c>
      <c r="P101">
        <v>7</v>
      </c>
      <c r="Q101">
        <v>7</v>
      </c>
      <c r="R101">
        <v>7</v>
      </c>
      <c r="S101">
        <v>696</v>
      </c>
      <c r="T101">
        <v>696</v>
      </c>
      <c r="U101">
        <v>7</v>
      </c>
      <c r="V101">
        <v>5</v>
      </c>
      <c r="W101">
        <v>5</v>
      </c>
      <c r="X101">
        <v>4</v>
      </c>
      <c r="Y101">
        <v>7</v>
      </c>
      <c r="Z101">
        <v>6</v>
      </c>
      <c r="AA101">
        <v>6</v>
      </c>
      <c r="AB101">
        <v>7</v>
      </c>
      <c r="AC101">
        <v>7</v>
      </c>
      <c r="AD101">
        <v>86</v>
      </c>
      <c r="AE101">
        <v>91</v>
      </c>
      <c r="AF101">
        <v>89</v>
      </c>
      <c r="AG101">
        <v>58</v>
      </c>
      <c r="AH101">
        <v>77</v>
      </c>
      <c r="AI101">
        <v>90</v>
      </c>
      <c r="AJ101">
        <v>92</v>
      </c>
      <c r="AK101">
        <v>113</v>
      </c>
      <c r="AL101">
        <v>1647115264</v>
      </c>
      <c r="AM101">
        <v>1617261952</v>
      </c>
      <c r="AN101">
        <v>2002524928</v>
      </c>
      <c r="AO101">
        <v>2339552000</v>
      </c>
      <c r="AP101">
        <v>1349579008</v>
      </c>
      <c r="AQ101">
        <v>1303155200</v>
      </c>
      <c r="AR101">
        <v>1112962432</v>
      </c>
      <c r="AS101">
        <v>1219664640</v>
      </c>
      <c r="AT101" s="11">
        <v>1340310912</v>
      </c>
      <c r="AU101" s="11">
        <v>953763328</v>
      </c>
      <c r="AW101" s="14">
        <v>502349632</v>
      </c>
      <c r="AX101" s="14">
        <v>1163890560</v>
      </c>
      <c r="AZ101" s="16">
        <v>869929856</v>
      </c>
      <c r="BA101" s="16">
        <v>739090304</v>
      </c>
      <c r="BC101" s="18">
        <v>1120563840</v>
      </c>
      <c r="BD101" s="18">
        <v>809463808</v>
      </c>
    </row>
    <row r="102" spans="1:56" hidden="1">
      <c r="A102">
        <v>16842</v>
      </c>
      <c r="B102" t="s">
        <v>482</v>
      </c>
      <c r="C102" t="s">
        <v>483</v>
      </c>
      <c r="D102" t="s">
        <v>484</v>
      </c>
      <c r="F102" t="s">
        <v>485</v>
      </c>
      <c r="G102">
        <v>224.63200000000001</v>
      </c>
      <c r="H102" t="s">
        <v>58</v>
      </c>
      <c r="I102">
        <v>2</v>
      </c>
      <c r="J102">
        <v>3</v>
      </c>
      <c r="K102">
        <v>0</v>
      </c>
      <c r="L102">
        <v>49.43</v>
      </c>
      <c r="M102">
        <v>19736</v>
      </c>
      <c r="N102">
        <v>8</v>
      </c>
      <c r="O102">
        <v>6</v>
      </c>
      <c r="P102">
        <v>6</v>
      </c>
      <c r="Q102">
        <v>6</v>
      </c>
      <c r="R102">
        <v>6</v>
      </c>
      <c r="S102">
        <v>74</v>
      </c>
      <c r="T102">
        <v>74</v>
      </c>
      <c r="U102">
        <v>6</v>
      </c>
      <c r="V102">
        <v>3</v>
      </c>
      <c r="W102">
        <v>4</v>
      </c>
      <c r="X102">
        <v>6</v>
      </c>
      <c r="Y102">
        <v>5</v>
      </c>
      <c r="Z102">
        <v>5</v>
      </c>
      <c r="AA102">
        <v>5</v>
      </c>
      <c r="AB102">
        <v>6</v>
      </c>
      <c r="AC102">
        <v>6</v>
      </c>
      <c r="AD102">
        <v>9</v>
      </c>
      <c r="AE102">
        <v>11</v>
      </c>
      <c r="AF102">
        <v>13</v>
      </c>
      <c r="AG102">
        <v>12</v>
      </c>
      <c r="AH102">
        <v>4</v>
      </c>
      <c r="AI102">
        <v>7</v>
      </c>
      <c r="AJ102">
        <v>8</v>
      </c>
      <c r="AK102">
        <v>10</v>
      </c>
      <c r="AL102">
        <v>37260764</v>
      </c>
      <c r="AM102">
        <v>48299684</v>
      </c>
      <c r="AN102">
        <v>74780032</v>
      </c>
      <c r="AO102">
        <v>79894376</v>
      </c>
      <c r="AP102">
        <v>24361820</v>
      </c>
      <c r="AQ102">
        <v>32524804</v>
      </c>
      <c r="AR102">
        <v>32378706</v>
      </c>
      <c r="AS102">
        <v>55180920</v>
      </c>
      <c r="AT102" s="11">
        <v>2157959</v>
      </c>
      <c r="AU102" s="11">
        <v>10638538</v>
      </c>
      <c r="AW102" s="14">
        <v>51558240</v>
      </c>
      <c r="AX102" s="14">
        <v>85746056</v>
      </c>
      <c r="AZ102" s="16">
        <v>45769872</v>
      </c>
      <c r="BA102" s="16">
        <v>51189592</v>
      </c>
      <c r="BC102" s="18">
        <v>33548216</v>
      </c>
      <c r="BD102" s="18">
        <v>43451276</v>
      </c>
    </row>
    <row r="103" spans="1:56" hidden="1">
      <c r="A103">
        <v>16841</v>
      </c>
      <c r="B103" t="s">
        <v>486</v>
      </c>
      <c r="C103" t="s">
        <v>487</v>
      </c>
      <c r="D103" t="s">
        <v>488</v>
      </c>
      <c r="F103" t="s">
        <v>489</v>
      </c>
      <c r="G103">
        <v>221.14599999999999</v>
      </c>
      <c r="H103" t="s">
        <v>58</v>
      </c>
      <c r="I103">
        <v>2</v>
      </c>
      <c r="J103">
        <v>7</v>
      </c>
      <c r="K103">
        <v>0</v>
      </c>
      <c r="L103">
        <v>66.67</v>
      </c>
      <c r="M103">
        <v>8249</v>
      </c>
      <c r="N103">
        <v>4</v>
      </c>
      <c r="O103">
        <v>3</v>
      </c>
      <c r="P103">
        <v>3</v>
      </c>
      <c r="Q103">
        <v>3</v>
      </c>
      <c r="R103">
        <v>3</v>
      </c>
      <c r="S103">
        <v>112</v>
      </c>
      <c r="T103">
        <v>112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3</v>
      </c>
      <c r="AB103">
        <v>3</v>
      </c>
      <c r="AC103">
        <v>3</v>
      </c>
      <c r="AD103">
        <v>20</v>
      </c>
      <c r="AE103">
        <v>19</v>
      </c>
      <c r="AF103">
        <v>10</v>
      </c>
      <c r="AG103">
        <v>18</v>
      </c>
      <c r="AH103">
        <v>12</v>
      </c>
      <c r="AI103">
        <v>13</v>
      </c>
      <c r="AJ103">
        <v>12</v>
      </c>
      <c r="AK103">
        <v>8</v>
      </c>
      <c r="AL103">
        <v>76607912</v>
      </c>
      <c r="AM103">
        <v>66595592</v>
      </c>
      <c r="AN103">
        <v>70913328</v>
      </c>
      <c r="AO103">
        <v>97451296</v>
      </c>
      <c r="AP103">
        <v>49435720</v>
      </c>
      <c r="AQ103">
        <v>51024008</v>
      </c>
      <c r="AR103">
        <v>52013644</v>
      </c>
      <c r="AS103">
        <v>50519896</v>
      </c>
      <c r="AT103" s="11">
        <v>83527024</v>
      </c>
      <c r="AU103" s="11">
        <v>71431672</v>
      </c>
      <c r="AW103" s="14">
        <v>33536610</v>
      </c>
      <c r="AX103" s="14">
        <v>38934152</v>
      </c>
      <c r="AZ103" s="16">
        <v>29528290</v>
      </c>
      <c r="BA103" s="16">
        <v>26994534</v>
      </c>
      <c r="BC103" s="18">
        <v>25808700</v>
      </c>
      <c r="BD103" s="18">
        <v>25766312</v>
      </c>
    </row>
    <row r="104" spans="1:56" hidden="1">
      <c r="A104">
        <v>16873</v>
      </c>
      <c r="B104" t="s">
        <v>490</v>
      </c>
      <c r="D104" t="s">
        <v>490</v>
      </c>
      <c r="F104" t="s">
        <v>491</v>
      </c>
      <c r="G104">
        <v>220.06299999999999</v>
      </c>
      <c r="H104" t="s">
        <v>58</v>
      </c>
      <c r="I104">
        <v>2</v>
      </c>
      <c r="J104">
        <v>1</v>
      </c>
      <c r="K104">
        <v>0</v>
      </c>
      <c r="L104">
        <v>37.700000000000003</v>
      </c>
      <c r="M104">
        <v>18833</v>
      </c>
      <c r="N104">
        <v>8</v>
      </c>
      <c r="O104">
        <v>4</v>
      </c>
      <c r="P104">
        <v>4</v>
      </c>
      <c r="Q104">
        <v>4</v>
      </c>
      <c r="R104">
        <v>4</v>
      </c>
      <c r="S104">
        <v>42</v>
      </c>
      <c r="T104">
        <v>42</v>
      </c>
      <c r="U104">
        <v>4</v>
      </c>
      <c r="V104">
        <v>4</v>
      </c>
      <c r="W104">
        <v>4</v>
      </c>
      <c r="X104">
        <v>3</v>
      </c>
      <c r="Y104">
        <v>3</v>
      </c>
      <c r="Z104">
        <v>2</v>
      </c>
      <c r="AA104">
        <v>3</v>
      </c>
      <c r="AB104">
        <v>2</v>
      </c>
      <c r="AC104">
        <v>3</v>
      </c>
      <c r="AD104">
        <v>23</v>
      </c>
      <c r="AE104">
        <v>5</v>
      </c>
      <c r="AF104">
        <v>3</v>
      </c>
      <c r="AG104">
        <v>3</v>
      </c>
      <c r="AH104">
        <v>2</v>
      </c>
      <c r="AI104">
        <v>2</v>
      </c>
      <c r="AJ104">
        <v>2</v>
      </c>
      <c r="AK104">
        <v>2</v>
      </c>
      <c r="AL104">
        <v>18444136</v>
      </c>
      <c r="AM104">
        <v>4676755</v>
      </c>
      <c r="AN104">
        <v>5807492</v>
      </c>
      <c r="AO104">
        <v>6063735</v>
      </c>
      <c r="AP104">
        <v>4161032.5</v>
      </c>
      <c r="AQ104">
        <v>5151331</v>
      </c>
      <c r="AR104">
        <v>3805117.25</v>
      </c>
      <c r="AS104">
        <v>5050851</v>
      </c>
      <c r="AT104" s="11">
        <v>36017964</v>
      </c>
      <c r="AU104" s="11">
        <v>10476236</v>
      </c>
      <c r="AW104" s="14">
        <v>1097948.8799999999</v>
      </c>
      <c r="AX104" s="14">
        <v>1179673.6200000001</v>
      </c>
      <c r="AZ104" s="16">
        <v>389125.19</v>
      </c>
      <c r="BA104" s="16">
        <v>817302.19</v>
      </c>
      <c r="BC104" s="18">
        <v>405656.97</v>
      </c>
      <c r="BD104" s="18">
        <v>650386.88</v>
      </c>
    </row>
    <row r="105" spans="1:56" hidden="1">
      <c r="A105">
        <v>16717</v>
      </c>
      <c r="B105" t="s">
        <v>492</v>
      </c>
      <c r="C105" t="s">
        <v>493</v>
      </c>
      <c r="D105" t="s">
        <v>494</v>
      </c>
      <c r="F105" t="s">
        <v>495</v>
      </c>
      <c r="G105">
        <v>218.30099999999999</v>
      </c>
      <c r="H105" t="s">
        <v>58</v>
      </c>
      <c r="I105">
        <v>2</v>
      </c>
      <c r="J105">
        <v>20</v>
      </c>
      <c r="K105">
        <v>0</v>
      </c>
      <c r="L105">
        <v>46.48</v>
      </c>
      <c r="M105">
        <v>8499</v>
      </c>
      <c r="N105">
        <v>2</v>
      </c>
      <c r="O105">
        <v>8</v>
      </c>
      <c r="P105">
        <v>8</v>
      </c>
      <c r="Q105">
        <v>8</v>
      </c>
      <c r="R105">
        <v>8</v>
      </c>
      <c r="S105">
        <v>1563</v>
      </c>
      <c r="T105">
        <v>1563</v>
      </c>
      <c r="U105">
        <v>8</v>
      </c>
      <c r="V105">
        <v>5</v>
      </c>
      <c r="W105">
        <v>5</v>
      </c>
      <c r="X105">
        <v>7</v>
      </c>
      <c r="Y105">
        <v>7</v>
      </c>
      <c r="Z105">
        <v>6</v>
      </c>
      <c r="AA105">
        <v>6</v>
      </c>
      <c r="AB105">
        <v>7</v>
      </c>
      <c r="AC105">
        <v>6</v>
      </c>
      <c r="AD105">
        <v>159</v>
      </c>
      <c r="AE105">
        <v>173</v>
      </c>
      <c r="AF105">
        <v>230</v>
      </c>
      <c r="AG105">
        <v>210</v>
      </c>
      <c r="AH105">
        <v>224</v>
      </c>
      <c r="AI105">
        <v>224</v>
      </c>
      <c r="AJ105">
        <v>190</v>
      </c>
      <c r="AK105">
        <v>153</v>
      </c>
      <c r="AL105">
        <v>1967809408</v>
      </c>
      <c r="AM105">
        <v>1926311936</v>
      </c>
      <c r="AN105">
        <v>3628012544</v>
      </c>
      <c r="AO105">
        <v>3887547136</v>
      </c>
      <c r="AP105">
        <v>2052391296</v>
      </c>
      <c r="AQ105">
        <v>2136950272</v>
      </c>
      <c r="AR105">
        <v>1976674176</v>
      </c>
      <c r="AS105">
        <v>1532517248</v>
      </c>
      <c r="AT105" s="11">
        <v>1480768256</v>
      </c>
      <c r="AU105" s="11">
        <v>1797645824</v>
      </c>
      <c r="AW105" s="14">
        <v>2086882560</v>
      </c>
      <c r="AX105" s="14">
        <v>2096700416</v>
      </c>
      <c r="AZ105" s="16">
        <v>1481826176</v>
      </c>
      <c r="BA105" s="16">
        <v>1420468608</v>
      </c>
      <c r="BC105" s="18">
        <v>1530124928</v>
      </c>
      <c r="BD105" s="18">
        <v>1017065408</v>
      </c>
    </row>
    <row r="106" spans="1:56" hidden="1">
      <c r="A106">
        <v>16724</v>
      </c>
      <c r="B106" t="s">
        <v>496</v>
      </c>
      <c r="C106" t="s">
        <v>425</v>
      </c>
      <c r="D106" t="s">
        <v>496</v>
      </c>
      <c r="F106" t="s">
        <v>497</v>
      </c>
      <c r="G106">
        <v>218.25200000000001</v>
      </c>
      <c r="H106" t="s">
        <v>58</v>
      </c>
      <c r="I106">
        <v>2</v>
      </c>
      <c r="J106">
        <v>1</v>
      </c>
      <c r="K106">
        <v>0</v>
      </c>
      <c r="L106">
        <v>47.52</v>
      </c>
      <c r="M106">
        <v>11594</v>
      </c>
      <c r="N106">
        <v>7</v>
      </c>
      <c r="O106">
        <v>10</v>
      </c>
      <c r="P106">
        <v>1</v>
      </c>
      <c r="Q106">
        <v>10</v>
      </c>
      <c r="R106">
        <v>1</v>
      </c>
      <c r="S106">
        <v>664</v>
      </c>
      <c r="T106">
        <v>8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464540352</v>
      </c>
      <c r="AM106">
        <v>417875552</v>
      </c>
      <c r="AN106">
        <v>765996608</v>
      </c>
      <c r="AO106">
        <v>1138573056</v>
      </c>
      <c r="AP106">
        <v>551283520</v>
      </c>
      <c r="AQ106">
        <v>575965888</v>
      </c>
      <c r="AR106">
        <v>546232512</v>
      </c>
      <c r="AS106">
        <v>463024320</v>
      </c>
      <c r="AT106" s="11">
        <v>1687351.5</v>
      </c>
      <c r="AU106" s="11">
        <v>1315168.25</v>
      </c>
      <c r="AW106" s="14">
        <v>730309.38</v>
      </c>
      <c r="AX106" s="14">
        <v>473269.19</v>
      </c>
      <c r="AZ106" s="16">
        <v>733588.94</v>
      </c>
      <c r="BA106" s="16">
        <v>670954.68999999994</v>
      </c>
      <c r="BC106" s="18">
        <v>565044.5</v>
      </c>
      <c r="BD106" s="18">
        <v>416458.72</v>
      </c>
    </row>
    <row r="107" spans="1:56" hidden="1">
      <c r="A107">
        <v>16783</v>
      </c>
      <c r="B107" t="s">
        <v>498</v>
      </c>
      <c r="C107" t="s">
        <v>499</v>
      </c>
      <c r="D107" t="s">
        <v>500</v>
      </c>
      <c r="F107" t="s">
        <v>501</v>
      </c>
      <c r="G107">
        <v>210.536</v>
      </c>
      <c r="H107" t="s">
        <v>58</v>
      </c>
      <c r="I107">
        <v>2</v>
      </c>
      <c r="J107">
        <v>5</v>
      </c>
      <c r="K107">
        <v>0</v>
      </c>
      <c r="L107">
        <v>77</v>
      </c>
      <c r="M107">
        <v>11198</v>
      </c>
      <c r="N107">
        <v>6</v>
      </c>
      <c r="O107">
        <v>11</v>
      </c>
      <c r="P107">
        <v>11</v>
      </c>
      <c r="Q107">
        <v>11</v>
      </c>
      <c r="R107">
        <v>11</v>
      </c>
      <c r="S107">
        <v>190</v>
      </c>
      <c r="T107">
        <v>190</v>
      </c>
      <c r="U107">
        <v>10</v>
      </c>
      <c r="V107">
        <v>6</v>
      </c>
      <c r="W107">
        <v>8</v>
      </c>
      <c r="X107">
        <v>8</v>
      </c>
      <c r="Y107">
        <v>10</v>
      </c>
      <c r="Z107">
        <v>9</v>
      </c>
      <c r="AA107">
        <v>8</v>
      </c>
      <c r="AB107">
        <v>7</v>
      </c>
      <c r="AC107">
        <v>7</v>
      </c>
      <c r="AD107">
        <v>23</v>
      </c>
      <c r="AE107">
        <v>36</v>
      </c>
      <c r="AF107">
        <v>13</v>
      </c>
      <c r="AG107">
        <v>49</v>
      </c>
      <c r="AH107">
        <v>27</v>
      </c>
      <c r="AI107">
        <v>23</v>
      </c>
      <c r="AJ107">
        <v>17</v>
      </c>
      <c r="AK107">
        <v>1</v>
      </c>
      <c r="AL107">
        <v>189549664</v>
      </c>
      <c r="AM107">
        <v>237239088</v>
      </c>
      <c r="AN107">
        <v>115204744</v>
      </c>
      <c r="AO107">
        <v>150002304</v>
      </c>
      <c r="AP107">
        <v>159622880</v>
      </c>
      <c r="AQ107">
        <v>61268992</v>
      </c>
      <c r="AR107">
        <v>149034176</v>
      </c>
      <c r="AS107">
        <v>115587192</v>
      </c>
      <c r="AT107" s="11">
        <v>52480196</v>
      </c>
      <c r="AU107" s="11">
        <v>140521616</v>
      </c>
      <c r="AW107" s="14">
        <v>59865836</v>
      </c>
      <c r="AX107" s="14">
        <v>241335776</v>
      </c>
      <c r="AZ107" s="16">
        <v>127372944</v>
      </c>
      <c r="BA107" s="16">
        <v>49914408</v>
      </c>
      <c r="BC107" s="18">
        <v>80882448</v>
      </c>
      <c r="BD107" s="18">
        <v>31156926</v>
      </c>
    </row>
    <row r="108" spans="1:56" hidden="1">
      <c r="A108">
        <v>16654</v>
      </c>
      <c r="B108" t="s">
        <v>502</v>
      </c>
      <c r="C108" t="s">
        <v>503</v>
      </c>
      <c r="D108" t="s">
        <v>504</v>
      </c>
      <c r="E108" t="s">
        <v>505</v>
      </c>
      <c r="F108" t="s">
        <v>506</v>
      </c>
      <c r="G108">
        <v>208.291</v>
      </c>
      <c r="H108" t="s">
        <v>58</v>
      </c>
      <c r="I108">
        <v>2</v>
      </c>
      <c r="J108">
        <v>4</v>
      </c>
      <c r="K108">
        <v>17</v>
      </c>
      <c r="L108">
        <v>17.63</v>
      </c>
      <c r="M108">
        <v>65912</v>
      </c>
      <c r="N108">
        <v>38</v>
      </c>
      <c r="O108">
        <v>9</v>
      </c>
      <c r="P108">
        <v>9</v>
      </c>
      <c r="Q108">
        <v>9</v>
      </c>
      <c r="R108">
        <v>9</v>
      </c>
      <c r="S108">
        <v>29</v>
      </c>
      <c r="T108">
        <v>29</v>
      </c>
      <c r="U108">
        <v>9</v>
      </c>
      <c r="V108">
        <v>5</v>
      </c>
      <c r="W108">
        <v>4</v>
      </c>
      <c r="X108">
        <v>6</v>
      </c>
      <c r="Y108">
        <v>9</v>
      </c>
      <c r="Z108">
        <v>8</v>
      </c>
      <c r="AA108">
        <v>9</v>
      </c>
      <c r="AB108">
        <v>8</v>
      </c>
      <c r="AC108">
        <v>9</v>
      </c>
      <c r="AD108">
        <v>2</v>
      </c>
      <c r="AE108">
        <v>1</v>
      </c>
      <c r="AF108">
        <v>2</v>
      </c>
      <c r="AG108">
        <v>3</v>
      </c>
      <c r="AH108">
        <v>4</v>
      </c>
      <c r="AI108">
        <v>9</v>
      </c>
      <c r="AJ108">
        <v>2</v>
      </c>
      <c r="AK108">
        <v>7</v>
      </c>
      <c r="AL108">
        <v>3612421.5</v>
      </c>
      <c r="AM108">
        <v>3412624.75</v>
      </c>
      <c r="AN108">
        <v>10205745</v>
      </c>
      <c r="AO108">
        <v>22020324</v>
      </c>
      <c r="AP108">
        <v>17515108</v>
      </c>
      <c r="AQ108">
        <v>24719022</v>
      </c>
      <c r="AR108">
        <v>16500258</v>
      </c>
      <c r="AS108">
        <v>24169554</v>
      </c>
      <c r="AT108" s="11">
        <v>948003.5</v>
      </c>
      <c r="AU108" s="11">
        <v>449080.53</v>
      </c>
      <c r="AW108" s="14">
        <v>3303095.25</v>
      </c>
      <c r="AX108" s="14">
        <v>8701705</v>
      </c>
      <c r="AZ108" s="16">
        <v>11881274</v>
      </c>
      <c r="BA108" s="16">
        <v>15803346</v>
      </c>
      <c r="BC108" s="18">
        <v>8713909</v>
      </c>
      <c r="BD108" s="18">
        <v>13303526</v>
      </c>
    </row>
    <row r="109" spans="1:56" hidden="1">
      <c r="A109">
        <v>16840</v>
      </c>
      <c r="B109" t="s">
        <v>507</v>
      </c>
      <c r="C109" t="s">
        <v>508</v>
      </c>
      <c r="D109" t="s">
        <v>507</v>
      </c>
      <c r="F109" t="s">
        <v>509</v>
      </c>
      <c r="G109">
        <v>204.88800000000001</v>
      </c>
      <c r="H109" t="s">
        <v>58</v>
      </c>
      <c r="I109">
        <v>2</v>
      </c>
      <c r="J109">
        <v>1</v>
      </c>
      <c r="K109">
        <v>0</v>
      </c>
      <c r="L109">
        <v>20</v>
      </c>
      <c r="M109">
        <v>25096</v>
      </c>
      <c r="N109">
        <v>11</v>
      </c>
      <c r="O109">
        <v>5</v>
      </c>
      <c r="P109">
        <v>5</v>
      </c>
      <c r="Q109">
        <v>5</v>
      </c>
      <c r="R109">
        <v>5</v>
      </c>
      <c r="S109">
        <v>43</v>
      </c>
      <c r="T109">
        <v>43</v>
      </c>
      <c r="U109">
        <v>5</v>
      </c>
      <c r="V109">
        <v>3</v>
      </c>
      <c r="W109">
        <v>3</v>
      </c>
      <c r="X109">
        <v>4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1</v>
      </c>
      <c r="AE109">
        <v>2</v>
      </c>
      <c r="AF109">
        <v>7</v>
      </c>
      <c r="AG109">
        <v>8</v>
      </c>
      <c r="AH109">
        <v>5</v>
      </c>
      <c r="AI109">
        <v>9</v>
      </c>
      <c r="AJ109">
        <v>4</v>
      </c>
      <c r="AK109">
        <v>8</v>
      </c>
      <c r="AL109">
        <v>4786409</v>
      </c>
      <c r="AM109">
        <v>10212294</v>
      </c>
      <c r="AN109">
        <v>26013598</v>
      </c>
      <c r="AO109">
        <v>38040128</v>
      </c>
      <c r="AP109">
        <v>22110832</v>
      </c>
      <c r="AQ109">
        <v>26518442</v>
      </c>
      <c r="AR109">
        <v>20190730</v>
      </c>
      <c r="AS109">
        <v>25999076</v>
      </c>
      <c r="AT109" s="11">
        <v>648107.31000000006</v>
      </c>
      <c r="AU109" s="11">
        <v>664822.5</v>
      </c>
      <c r="AW109" s="14">
        <v>9786912</v>
      </c>
      <c r="AX109" s="14">
        <v>20114032</v>
      </c>
      <c r="AZ109" s="16">
        <v>18229992</v>
      </c>
      <c r="BA109" s="16">
        <v>18957298</v>
      </c>
      <c r="BC109" s="18">
        <v>13480206</v>
      </c>
      <c r="BD109" s="18">
        <v>20803200</v>
      </c>
    </row>
    <row r="110" spans="1:56" hidden="1">
      <c r="A110">
        <v>16745</v>
      </c>
      <c r="B110" t="s">
        <v>510</v>
      </c>
      <c r="C110" t="s">
        <v>511</v>
      </c>
      <c r="D110" t="s">
        <v>512</v>
      </c>
      <c r="E110" t="s">
        <v>513</v>
      </c>
      <c r="F110" t="s">
        <v>514</v>
      </c>
      <c r="G110">
        <v>203.726</v>
      </c>
      <c r="H110" t="s">
        <v>58</v>
      </c>
      <c r="I110">
        <v>2</v>
      </c>
      <c r="J110">
        <v>19</v>
      </c>
      <c r="K110">
        <v>2</v>
      </c>
      <c r="L110">
        <v>69.66</v>
      </c>
      <c r="M110">
        <v>10268</v>
      </c>
      <c r="N110">
        <v>5</v>
      </c>
      <c r="O110">
        <v>7</v>
      </c>
      <c r="P110">
        <v>7</v>
      </c>
      <c r="Q110">
        <v>7</v>
      </c>
      <c r="R110">
        <v>7</v>
      </c>
      <c r="S110">
        <v>445</v>
      </c>
      <c r="T110">
        <v>445</v>
      </c>
      <c r="U110">
        <v>7</v>
      </c>
      <c r="V110">
        <v>5</v>
      </c>
      <c r="W110">
        <v>6</v>
      </c>
      <c r="X110">
        <v>5</v>
      </c>
      <c r="Y110">
        <v>6</v>
      </c>
      <c r="Z110">
        <v>5</v>
      </c>
      <c r="AA110">
        <v>6</v>
      </c>
      <c r="AB110">
        <v>6</v>
      </c>
      <c r="AC110">
        <v>7</v>
      </c>
      <c r="AD110">
        <v>59</v>
      </c>
      <c r="AE110">
        <v>63</v>
      </c>
      <c r="AF110">
        <v>47</v>
      </c>
      <c r="AG110">
        <v>67</v>
      </c>
      <c r="AH110">
        <v>46</v>
      </c>
      <c r="AI110">
        <v>39</v>
      </c>
      <c r="AJ110">
        <v>55</v>
      </c>
      <c r="AK110">
        <v>69</v>
      </c>
      <c r="AL110">
        <v>1758916736</v>
      </c>
      <c r="AM110">
        <v>2028986240</v>
      </c>
      <c r="AN110">
        <v>1001179008</v>
      </c>
      <c r="AO110">
        <v>1238642432</v>
      </c>
      <c r="AP110">
        <v>580257536</v>
      </c>
      <c r="AQ110">
        <v>612988544</v>
      </c>
      <c r="AR110">
        <v>525718816</v>
      </c>
      <c r="AS110">
        <v>729491392</v>
      </c>
      <c r="AT110" s="11">
        <v>543188032</v>
      </c>
      <c r="AU110" s="11">
        <v>1601233408</v>
      </c>
      <c r="AW110" s="14">
        <v>444881408</v>
      </c>
      <c r="AX110" s="14">
        <v>652098688</v>
      </c>
      <c r="AZ110" s="16">
        <v>413137792</v>
      </c>
      <c r="BA110" s="16">
        <v>375782976</v>
      </c>
      <c r="BC110" s="18">
        <v>748493440</v>
      </c>
      <c r="BD110" s="18">
        <v>889521856</v>
      </c>
    </row>
    <row r="111" spans="1:56" hidden="1">
      <c r="A111">
        <v>16761</v>
      </c>
      <c r="B111" t="s">
        <v>515</v>
      </c>
      <c r="C111" t="s">
        <v>516</v>
      </c>
      <c r="D111" t="s">
        <v>517</v>
      </c>
      <c r="F111" t="s">
        <v>518</v>
      </c>
      <c r="G111">
        <v>202.48599999999999</v>
      </c>
      <c r="H111" t="s">
        <v>58</v>
      </c>
      <c r="I111">
        <v>2</v>
      </c>
      <c r="J111">
        <v>20</v>
      </c>
      <c r="K111">
        <v>0</v>
      </c>
      <c r="L111">
        <v>76.36</v>
      </c>
      <c r="M111">
        <v>6371</v>
      </c>
      <c r="N111">
        <v>3</v>
      </c>
      <c r="O111">
        <v>5</v>
      </c>
      <c r="P111">
        <v>5</v>
      </c>
      <c r="Q111">
        <v>5</v>
      </c>
      <c r="R111">
        <v>5</v>
      </c>
      <c r="S111">
        <v>373</v>
      </c>
      <c r="T111">
        <v>373</v>
      </c>
      <c r="U111">
        <v>5</v>
      </c>
      <c r="V111">
        <v>4</v>
      </c>
      <c r="W111">
        <v>5</v>
      </c>
      <c r="X111">
        <v>4</v>
      </c>
      <c r="Y111">
        <v>5</v>
      </c>
      <c r="Z111">
        <v>5</v>
      </c>
      <c r="AA111">
        <v>5</v>
      </c>
      <c r="AB111">
        <v>5</v>
      </c>
      <c r="AC111">
        <v>4</v>
      </c>
      <c r="AD111">
        <v>57</v>
      </c>
      <c r="AE111">
        <v>51</v>
      </c>
      <c r="AF111">
        <v>39</v>
      </c>
      <c r="AG111">
        <v>41</v>
      </c>
      <c r="AH111">
        <v>53</v>
      </c>
      <c r="AI111">
        <v>52</v>
      </c>
      <c r="AJ111">
        <v>49</v>
      </c>
      <c r="AK111">
        <v>31</v>
      </c>
      <c r="AL111">
        <v>59152180</v>
      </c>
      <c r="AM111">
        <v>57467620</v>
      </c>
      <c r="AN111">
        <v>115666536</v>
      </c>
      <c r="AO111">
        <v>83785360</v>
      </c>
      <c r="AP111">
        <v>103524696</v>
      </c>
      <c r="AQ111">
        <v>114504544</v>
      </c>
      <c r="AR111">
        <v>149898464</v>
      </c>
      <c r="AS111">
        <v>131704872</v>
      </c>
      <c r="AT111" s="11">
        <v>110359152</v>
      </c>
      <c r="AU111" s="11">
        <v>168244128</v>
      </c>
      <c r="AW111" s="14">
        <v>118247696</v>
      </c>
      <c r="AX111" s="14">
        <v>174625504</v>
      </c>
      <c r="AZ111" s="16">
        <v>129767056</v>
      </c>
      <c r="BA111" s="16">
        <v>131791888</v>
      </c>
      <c r="BC111" s="18">
        <v>155633008</v>
      </c>
      <c r="BD111" s="18">
        <v>129305464</v>
      </c>
    </row>
    <row r="112" spans="1:56" hidden="1">
      <c r="A112">
        <v>16683</v>
      </c>
      <c r="B112" t="s">
        <v>519</v>
      </c>
      <c r="C112" t="s">
        <v>520</v>
      </c>
      <c r="D112" t="s">
        <v>521</v>
      </c>
      <c r="E112" t="s">
        <v>522</v>
      </c>
      <c r="F112" t="s">
        <v>523</v>
      </c>
      <c r="G112">
        <v>201.53399999999999</v>
      </c>
      <c r="H112" t="s">
        <v>58</v>
      </c>
      <c r="I112">
        <v>2</v>
      </c>
      <c r="J112">
        <v>20</v>
      </c>
      <c r="K112">
        <v>1</v>
      </c>
      <c r="L112">
        <v>55.12</v>
      </c>
      <c r="M112">
        <v>14364</v>
      </c>
      <c r="N112">
        <v>8</v>
      </c>
      <c r="O112">
        <v>8</v>
      </c>
      <c r="P112">
        <v>8</v>
      </c>
      <c r="Q112">
        <v>8</v>
      </c>
      <c r="R112">
        <v>8</v>
      </c>
      <c r="S112">
        <v>153</v>
      </c>
      <c r="T112">
        <v>153</v>
      </c>
      <c r="U112">
        <v>8</v>
      </c>
      <c r="V112">
        <v>7</v>
      </c>
      <c r="W112">
        <v>6</v>
      </c>
      <c r="X112">
        <v>6</v>
      </c>
      <c r="Y112">
        <v>8</v>
      </c>
      <c r="Z112">
        <v>6</v>
      </c>
      <c r="AA112">
        <v>6</v>
      </c>
      <c r="AB112">
        <v>7</v>
      </c>
      <c r="AC112">
        <v>7</v>
      </c>
      <c r="AD112">
        <v>36</v>
      </c>
      <c r="AE112">
        <v>34</v>
      </c>
      <c r="AF112">
        <v>10</v>
      </c>
      <c r="AG112">
        <v>20</v>
      </c>
      <c r="AH112">
        <v>12</v>
      </c>
      <c r="AI112">
        <v>13</v>
      </c>
      <c r="AJ112">
        <v>15</v>
      </c>
      <c r="AK112">
        <v>13</v>
      </c>
      <c r="AL112">
        <v>336534112</v>
      </c>
      <c r="AM112">
        <v>421478464</v>
      </c>
      <c r="AN112">
        <v>241997984</v>
      </c>
      <c r="AO112">
        <v>324066144</v>
      </c>
      <c r="AP112">
        <v>257981536</v>
      </c>
      <c r="AQ112">
        <v>343679360</v>
      </c>
      <c r="AR112">
        <v>331831072</v>
      </c>
      <c r="AS112">
        <v>297383360</v>
      </c>
      <c r="AT112" s="11">
        <v>289092128</v>
      </c>
      <c r="AU112" s="11">
        <v>345050400</v>
      </c>
      <c r="AW112" s="14">
        <v>117222136</v>
      </c>
      <c r="AX112" s="14">
        <v>148228752</v>
      </c>
      <c r="AZ112" s="16">
        <v>167941200</v>
      </c>
      <c r="BA112" s="16">
        <v>204401312</v>
      </c>
      <c r="BC112" s="18">
        <v>190520128</v>
      </c>
      <c r="BD112" s="18">
        <v>153338448</v>
      </c>
    </row>
    <row r="113" spans="1:56" hidden="1">
      <c r="A113">
        <v>16703</v>
      </c>
      <c r="B113" t="s">
        <v>524</v>
      </c>
      <c r="C113" t="s">
        <v>525</v>
      </c>
      <c r="D113" t="s">
        <v>526</v>
      </c>
      <c r="F113" t="s">
        <v>527</v>
      </c>
      <c r="G113">
        <v>189.32300000000001</v>
      </c>
      <c r="H113" t="s">
        <v>58</v>
      </c>
      <c r="I113">
        <v>2</v>
      </c>
      <c r="J113">
        <v>20</v>
      </c>
      <c r="K113">
        <v>0</v>
      </c>
      <c r="L113">
        <v>27.06</v>
      </c>
      <c r="M113">
        <v>28422</v>
      </c>
      <c r="N113">
        <v>16</v>
      </c>
      <c r="O113">
        <v>7</v>
      </c>
      <c r="P113">
        <v>7</v>
      </c>
      <c r="Q113">
        <v>7</v>
      </c>
      <c r="R113">
        <v>7</v>
      </c>
      <c r="S113">
        <v>27</v>
      </c>
      <c r="T113">
        <v>27</v>
      </c>
      <c r="U113">
        <v>7</v>
      </c>
      <c r="V113">
        <v>4</v>
      </c>
      <c r="W113">
        <v>3</v>
      </c>
      <c r="X113">
        <v>6</v>
      </c>
      <c r="Y113">
        <v>7</v>
      </c>
      <c r="Z113">
        <v>7</v>
      </c>
      <c r="AA113">
        <v>7</v>
      </c>
      <c r="AB113">
        <v>7</v>
      </c>
      <c r="AC113">
        <v>7</v>
      </c>
      <c r="AD113">
        <v>1</v>
      </c>
      <c r="AE113">
        <v>1</v>
      </c>
      <c r="AF113">
        <v>4</v>
      </c>
      <c r="AG113">
        <v>8</v>
      </c>
      <c r="AH113">
        <v>1</v>
      </c>
      <c r="AI113">
        <v>5</v>
      </c>
      <c r="AJ113">
        <v>4</v>
      </c>
      <c r="AK113">
        <v>5</v>
      </c>
      <c r="AL113">
        <v>8487632</v>
      </c>
      <c r="AM113">
        <v>7672545.5</v>
      </c>
      <c r="AN113">
        <v>27000178</v>
      </c>
      <c r="AO113">
        <v>35941188</v>
      </c>
      <c r="AP113">
        <v>11949553</v>
      </c>
      <c r="AQ113">
        <v>16947238</v>
      </c>
      <c r="AR113">
        <v>15520900</v>
      </c>
      <c r="AS113">
        <v>16598280</v>
      </c>
      <c r="AT113" s="11">
        <v>1334611.1200000001</v>
      </c>
      <c r="AU113" s="11">
        <v>384443.78</v>
      </c>
      <c r="AW113" s="14">
        <v>14313863</v>
      </c>
      <c r="AX113" s="14">
        <v>17651224</v>
      </c>
      <c r="AZ113" s="16">
        <v>14156634</v>
      </c>
      <c r="BA113" s="16">
        <v>14765507</v>
      </c>
      <c r="BC113" s="18">
        <v>12499440</v>
      </c>
      <c r="BD113" s="18">
        <v>13143422</v>
      </c>
    </row>
    <row r="114" spans="1:56" hidden="1">
      <c r="A114">
        <v>16787</v>
      </c>
      <c r="B114" t="s">
        <v>528</v>
      </c>
      <c r="C114" t="s">
        <v>529</v>
      </c>
      <c r="D114" t="s">
        <v>530</v>
      </c>
      <c r="F114" t="s">
        <v>531</v>
      </c>
      <c r="G114">
        <v>188.23400000000001</v>
      </c>
      <c r="H114" t="s">
        <v>58</v>
      </c>
      <c r="I114">
        <v>2</v>
      </c>
      <c r="J114">
        <v>3</v>
      </c>
      <c r="K114">
        <v>0</v>
      </c>
      <c r="L114">
        <v>33.33</v>
      </c>
      <c r="M114">
        <v>8323</v>
      </c>
      <c r="N114">
        <v>5</v>
      </c>
      <c r="O114">
        <v>2</v>
      </c>
      <c r="P114">
        <v>2</v>
      </c>
      <c r="Q114">
        <v>3</v>
      </c>
      <c r="R114">
        <v>3</v>
      </c>
      <c r="S114">
        <v>59</v>
      </c>
      <c r="T114">
        <v>59</v>
      </c>
      <c r="U114">
        <v>3</v>
      </c>
      <c r="V114">
        <v>3</v>
      </c>
      <c r="W114">
        <v>3</v>
      </c>
      <c r="X114">
        <v>3</v>
      </c>
      <c r="Y114">
        <v>3</v>
      </c>
      <c r="Z114">
        <v>3</v>
      </c>
      <c r="AA114">
        <v>3</v>
      </c>
      <c r="AB114">
        <v>3</v>
      </c>
      <c r="AC114">
        <v>3</v>
      </c>
      <c r="AD114">
        <v>14</v>
      </c>
      <c r="AE114">
        <v>11</v>
      </c>
      <c r="AF114">
        <v>6</v>
      </c>
      <c r="AG114">
        <v>4</v>
      </c>
      <c r="AH114">
        <v>7</v>
      </c>
      <c r="AI114">
        <v>8</v>
      </c>
      <c r="AJ114">
        <v>5</v>
      </c>
      <c r="AK114">
        <v>4</v>
      </c>
      <c r="AL114">
        <v>60520220</v>
      </c>
      <c r="AM114">
        <v>64406620</v>
      </c>
      <c r="AN114">
        <v>57516324</v>
      </c>
      <c r="AO114">
        <v>61994880</v>
      </c>
      <c r="AP114">
        <v>50661240</v>
      </c>
      <c r="AQ114">
        <v>50925532</v>
      </c>
      <c r="AR114">
        <v>31039406</v>
      </c>
      <c r="AS114">
        <v>32790860</v>
      </c>
      <c r="AT114" s="11">
        <v>75547192</v>
      </c>
      <c r="AU114" s="11">
        <v>77462504</v>
      </c>
      <c r="AW114" s="14">
        <v>31256746</v>
      </c>
      <c r="AX114" s="14">
        <v>22449038</v>
      </c>
      <c r="AZ114" s="16">
        <v>32987686</v>
      </c>
      <c r="BA114" s="16">
        <v>27395378</v>
      </c>
      <c r="BC114" s="18">
        <v>15990702</v>
      </c>
      <c r="BD114" s="18">
        <v>12779059</v>
      </c>
    </row>
    <row r="115" spans="1:56" hidden="1">
      <c r="A115">
        <v>16735</v>
      </c>
      <c r="B115" t="s">
        <v>532</v>
      </c>
      <c r="C115" t="s">
        <v>533</v>
      </c>
      <c r="D115" t="s">
        <v>534</v>
      </c>
      <c r="F115" t="s">
        <v>535</v>
      </c>
      <c r="G115">
        <v>184.048</v>
      </c>
      <c r="H115" t="s">
        <v>58</v>
      </c>
      <c r="I115">
        <v>2</v>
      </c>
      <c r="J115">
        <v>21</v>
      </c>
      <c r="K115">
        <v>0</v>
      </c>
      <c r="L115">
        <v>48.31</v>
      </c>
      <c r="M115">
        <v>13496</v>
      </c>
      <c r="N115">
        <v>10</v>
      </c>
      <c r="O115">
        <v>8</v>
      </c>
      <c r="P115">
        <v>8</v>
      </c>
      <c r="Q115">
        <v>8</v>
      </c>
      <c r="R115">
        <v>8</v>
      </c>
      <c r="S115">
        <v>119</v>
      </c>
      <c r="T115">
        <v>119</v>
      </c>
      <c r="U115">
        <v>8</v>
      </c>
      <c r="V115">
        <v>8</v>
      </c>
      <c r="W115">
        <v>7</v>
      </c>
      <c r="X115">
        <v>6</v>
      </c>
      <c r="Y115">
        <v>6</v>
      </c>
      <c r="Z115">
        <v>7</v>
      </c>
      <c r="AA115">
        <v>7</v>
      </c>
      <c r="AB115">
        <v>7</v>
      </c>
      <c r="AC115">
        <v>7</v>
      </c>
      <c r="AD115">
        <v>37</v>
      </c>
      <c r="AE115">
        <v>23</v>
      </c>
      <c r="AF115">
        <v>5</v>
      </c>
      <c r="AG115">
        <v>9</v>
      </c>
      <c r="AH115">
        <v>10</v>
      </c>
      <c r="AI115">
        <v>13</v>
      </c>
      <c r="AJ115">
        <v>12</v>
      </c>
      <c r="AK115">
        <v>10</v>
      </c>
      <c r="AL115">
        <v>103055536</v>
      </c>
      <c r="AM115">
        <v>130768576</v>
      </c>
      <c r="AN115">
        <v>53807492</v>
      </c>
      <c r="AO115">
        <v>133563584</v>
      </c>
      <c r="AP115">
        <v>116785328</v>
      </c>
      <c r="AQ115">
        <v>165937664</v>
      </c>
      <c r="AR115">
        <v>149247744</v>
      </c>
      <c r="AS115">
        <v>127591968</v>
      </c>
      <c r="AT115" s="11">
        <v>109643824</v>
      </c>
      <c r="AU115" s="11">
        <v>140338544</v>
      </c>
      <c r="AW115" s="14">
        <v>22616694</v>
      </c>
      <c r="AX115" s="14">
        <v>41930872</v>
      </c>
      <c r="AZ115" s="16">
        <v>69347984</v>
      </c>
      <c r="BA115" s="16">
        <v>91643496</v>
      </c>
      <c r="BC115" s="18">
        <v>76646504</v>
      </c>
      <c r="BD115" s="18">
        <v>55892548</v>
      </c>
    </row>
    <row r="116" spans="1:56" hidden="1">
      <c r="A116">
        <v>16690</v>
      </c>
      <c r="B116" t="s">
        <v>536</v>
      </c>
      <c r="C116" t="s">
        <v>537</v>
      </c>
      <c r="D116" t="s">
        <v>538</v>
      </c>
      <c r="E116" t="s">
        <v>539</v>
      </c>
      <c r="F116" t="s">
        <v>540</v>
      </c>
      <c r="G116">
        <v>180.70500000000001</v>
      </c>
      <c r="H116" t="s">
        <v>58</v>
      </c>
      <c r="I116">
        <v>2</v>
      </c>
      <c r="J116">
        <v>3</v>
      </c>
      <c r="K116">
        <v>17</v>
      </c>
      <c r="L116">
        <v>67.09</v>
      </c>
      <c r="M116">
        <v>9402</v>
      </c>
      <c r="N116">
        <v>6</v>
      </c>
      <c r="O116">
        <v>4</v>
      </c>
      <c r="P116">
        <v>4</v>
      </c>
      <c r="Q116">
        <v>4</v>
      </c>
      <c r="R116">
        <v>4</v>
      </c>
      <c r="S116">
        <v>26</v>
      </c>
      <c r="T116">
        <v>26</v>
      </c>
      <c r="U116">
        <v>4</v>
      </c>
      <c r="V116">
        <v>4</v>
      </c>
      <c r="W116">
        <v>3</v>
      </c>
      <c r="X116">
        <v>3</v>
      </c>
      <c r="Y116">
        <v>4</v>
      </c>
      <c r="Z116">
        <v>4</v>
      </c>
      <c r="AA116">
        <v>4</v>
      </c>
      <c r="AB116">
        <v>4</v>
      </c>
      <c r="AC116">
        <v>3</v>
      </c>
      <c r="AD116">
        <v>5</v>
      </c>
      <c r="AE116">
        <v>5</v>
      </c>
      <c r="AF116">
        <v>1</v>
      </c>
      <c r="AG116">
        <v>2</v>
      </c>
      <c r="AH116">
        <v>6</v>
      </c>
      <c r="AI116">
        <v>5</v>
      </c>
      <c r="AJ116">
        <v>2</v>
      </c>
      <c r="AK116">
        <v>0</v>
      </c>
      <c r="AL116">
        <v>10230323</v>
      </c>
      <c r="AM116">
        <v>8510340</v>
      </c>
      <c r="AN116">
        <v>5886291</v>
      </c>
      <c r="AO116">
        <v>9399941</v>
      </c>
      <c r="AP116">
        <v>11011052</v>
      </c>
      <c r="AQ116">
        <v>10800816</v>
      </c>
      <c r="AR116">
        <v>5499109</v>
      </c>
      <c r="AS116">
        <v>3596094</v>
      </c>
      <c r="AT116" s="11">
        <v>16457024</v>
      </c>
      <c r="AU116" s="11">
        <v>19942250</v>
      </c>
      <c r="AW116" s="14">
        <v>5483877</v>
      </c>
      <c r="AX116" s="14">
        <v>4368589.5</v>
      </c>
      <c r="AZ116" s="16">
        <v>10567637</v>
      </c>
      <c r="BA116" s="16">
        <v>9490013</v>
      </c>
      <c r="BC116" s="18">
        <v>3148518.75</v>
      </c>
      <c r="BD116" s="18">
        <v>1967250.25</v>
      </c>
    </row>
    <row r="117" spans="1:56" hidden="1">
      <c r="A117">
        <v>16824</v>
      </c>
      <c r="B117" t="s">
        <v>541</v>
      </c>
      <c r="C117" t="s">
        <v>542</v>
      </c>
      <c r="D117" t="s">
        <v>543</v>
      </c>
      <c r="F117" t="s">
        <v>544</v>
      </c>
      <c r="G117">
        <v>178.697</v>
      </c>
      <c r="H117" t="s">
        <v>58</v>
      </c>
      <c r="I117">
        <v>2</v>
      </c>
      <c r="J117">
        <v>3</v>
      </c>
      <c r="K117">
        <v>0</v>
      </c>
      <c r="L117">
        <v>56.64</v>
      </c>
      <c r="M117">
        <v>12784</v>
      </c>
      <c r="N117">
        <v>8</v>
      </c>
      <c r="O117">
        <v>5</v>
      </c>
      <c r="P117">
        <v>5</v>
      </c>
      <c r="Q117">
        <v>5</v>
      </c>
      <c r="R117">
        <v>5</v>
      </c>
      <c r="S117">
        <v>50</v>
      </c>
      <c r="T117">
        <v>50</v>
      </c>
      <c r="U117">
        <v>5</v>
      </c>
      <c r="V117">
        <v>4</v>
      </c>
      <c r="W117">
        <v>4</v>
      </c>
      <c r="X117">
        <v>5</v>
      </c>
      <c r="Y117">
        <v>5</v>
      </c>
      <c r="Z117">
        <v>5</v>
      </c>
      <c r="AA117">
        <v>5</v>
      </c>
      <c r="AB117">
        <v>5</v>
      </c>
      <c r="AC117">
        <v>5</v>
      </c>
      <c r="AD117">
        <v>5</v>
      </c>
      <c r="AE117">
        <v>9</v>
      </c>
      <c r="AF117">
        <v>10</v>
      </c>
      <c r="AG117">
        <v>4</v>
      </c>
      <c r="AH117">
        <v>7</v>
      </c>
      <c r="AI117">
        <v>8</v>
      </c>
      <c r="AJ117">
        <v>3</v>
      </c>
      <c r="AK117">
        <v>4</v>
      </c>
      <c r="AL117">
        <v>43028960</v>
      </c>
      <c r="AM117">
        <v>42127112</v>
      </c>
      <c r="AN117">
        <v>71784920</v>
      </c>
      <c r="AO117">
        <v>74534192</v>
      </c>
      <c r="AP117">
        <v>43310892</v>
      </c>
      <c r="AQ117">
        <v>43285920</v>
      </c>
      <c r="AR117">
        <v>37092136</v>
      </c>
      <c r="AS117">
        <v>30264782</v>
      </c>
      <c r="AT117" s="11">
        <v>27354888</v>
      </c>
      <c r="AU117" s="11">
        <v>29675872</v>
      </c>
      <c r="AW117" s="14">
        <v>37650552</v>
      </c>
      <c r="AX117" s="14">
        <v>33052520</v>
      </c>
      <c r="AZ117" s="16">
        <v>34797092</v>
      </c>
      <c r="BA117" s="16">
        <v>33785500</v>
      </c>
      <c r="BC117" s="18">
        <v>27125970</v>
      </c>
      <c r="BD117" s="18">
        <v>21416020</v>
      </c>
    </row>
    <row r="118" spans="1:56" hidden="1">
      <c r="A118">
        <v>16754</v>
      </c>
      <c r="B118" t="s">
        <v>545</v>
      </c>
      <c r="C118" t="s">
        <v>546</v>
      </c>
      <c r="D118" t="s">
        <v>547</v>
      </c>
      <c r="F118" t="s">
        <v>548</v>
      </c>
      <c r="G118">
        <v>159.87200000000001</v>
      </c>
      <c r="H118" t="s">
        <v>58</v>
      </c>
      <c r="I118">
        <v>2</v>
      </c>
      <c r="J118">
        <v>18</v>
      </c>
      <c r="K118">
        <v>0</v>
      </c>
      <c r="L118">
        <v>70.180000000000007</v>
      </c>
      <c r="M118">
        <v>6446</v>
      </c>
      <c r="N118">
        <v>3</v>
      </c>
      <c r="O118">
        <v>4</v>
      </c>
      <c r="P118">
        <v>4</v>
      </c>
      <c r="Q118">
        <v>4</v>
      </c>
      <c r="R118">
        <v>4</v>
      </c>
      <c r="S118">
        <v>91</v>
      </c>
      <c r="T118">
        <v>91</v>
      </c>
      <c r="U118">
        <v>4</v>
      </c>
      <c r="V118">
        <v>1</v>
      </c>
      <c r="W118">
        <v>4</v>
      </c>
      <c r="X118">
        <v>3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8</v>
      </c>
      <c r="AE118">
        <v>16</v>
      </c>
      <c r="AF118">
        <v>4</v>
      </c>
      <c r="AG118">
        <v>8</v>
      </c>
      <c r="AH118">
        <v>10</v>
      </c>
      <c r="AI118">
        <v>13</v>
      </c>
      <c r="AJ118">
        <v>15</v>
      </c>
      <c r="AK118">
        <v>17</v>
      </c>
      <c r="AL118">
        <v>2630127.75</v>
      </c>
      <c r="AM118">
        <v>8070280.5</v>
      </c>
      <c r="AN118">
        <v>5838565</v>
      </c>
      <c r="AO118">
        <v>7028606.5</v>
      </c>
      <c r="AP118">
        <v>4916360.5</v>
      </c>
      <c r="AQ118">
        <v>6249675</v>
      </c>
      <c r="AR118">
        <v>5056534</v>
      </c>
      <c r="AS118">
        <v>7351869</v>
      </c>
      <c r="AT118" s="11">
        <v>6090418</v>
      </c>
      <c r="AU118" s="11">
        <v>13761362</v>
      </c>
      <c r="AW118" s="14">
        <v>4026056.75</v>
      </c>
      <c r="AX118" s="14">
        <v>4009283.75</v>
      </c>
      <c r="AZ118" s="16">
        <v>4784054</v>
      </c>
      <c r="BA118" s="16">
        <v>3609220</v>
      </c>
      <c r="BC118" s="18">
        <v>7235832.5</v>
      </c>
      <c r="BD118" s="18">
        <v>11585821</v>
      </c>
    </row>
    <row r="119" spans="1:56" hidden="1">
      <c r="A119">
        <v>16833</v>
      </c>
      <c r="B119" t="s">
        <v>549</v>
      </c>
      <c r="C119" t="s">
        <v>550</v>
      </c>
      <c r="D119" t="s">
        <v>549</v>
      </c>
      <c r="F119" t="s">
        <v>551</v>
      </c>
      <c r="G119">
        <v>158.59700000000001</v>
      </c>
      <c r="H119" t="s">
        <v>58</v>
      </c>
      <c r="I119">
        <v>2</v>
      </c>
      <c r="J119">
        <v>1</v>
      </c>
      <c r="K119">
        <v>0</v>
      </c>
      <c r="L119">
        <v>32.36</v>
      </c>
      <c r="M119">
        <v>37093</v>
      </c>
      <c r="N119">
        <v>20</v>
      </c>
      <c r="O119">
        <v>7</v>
      </c>
      <c r="P119">
        <v>7</v>
      </c>
      <c r="Q119">
        <v>7</v>
      </c>
      <c r="R119">
        <v>7</v>
      </c>
      <c r="S119">
        <v>25</v>
      </c>
      <c r="T119">
        <v>25</v>
      </c>
      <c r="U119">
        <v>7</v>
      </c>
      <c r="V119">
        <v>4</v>
      </c>
      <c r="W119">
        <v>3</v>
      </c>
      <c r="X119">
        <v>5</v>
      </c>
      <c r="Y119">
        <v>7</v>
      </c>
      <c r="Z119">
        <v>5</v>
      </c>
      <c r="AA119">
        <v>6</v>
      </c>
      <c r="AB119">
        <v>5</v>
      </c>
      <c r="AC119">
        <v>6</v>
      </c>
      <c r="AD119">
        <v>0</v>
      </c>
      <c r="AE119">
        <v>0</v>
      </c>
      <c r="AF119">
        <v>6</v>
      </c>
      <c r="AG119">
        <v>8</v>
      </c>
      <c r="AH119">
        <v>3</v>
      </c>
      <c r="AI119">
        <v>4</v>
      </c>
      <c r="AJ119">
        <v>1</v>
      </c>
      <c r="AK119">
        <v>3</v>
      </c>
      <c r="AL119">
        <v>7517134</v>
      </c>
      <c r="AM119">
        <v>5114048.5</v>
      </c>
      <c r="AN119">
        <v>25027736</v>
      </c>
      <c r="AO119">
        <v>34384060</v>
      </c>
      <c r="AP119">
        <v>13930087</v>
      </c>
      <c r="AQ119">
        <v>15431991</v>
      </c>
      <c r="AR119">
        <v>11988273</v>
      </c>
      <c r="AS119">
        <v>16242856</v>
      </c>
      <c r="AT119" s="11">
        <v>8429874</v>
      </c>
      <c r="AU119" s="11">
        <v>4673973</v>
      </c>
      <c r="AW119" s="14">
        <v>12383356</v>
      </c>
      <c r="AX119" s="14">
        <v>13659153</v>
      </c>
      <c r="AZ119" s="16">
        <v>8405643</v>
      </c>
      <c r="BA119" s="16">
        <v>9016830</v>
      </c>
      <c r="BC119" s="18">
        <v>8138768.5</v>
      </c>
      <c r="BD119" s="18">
        <v>7730341</v>
      </c>
    </row>
    <row r="120" spans="1:56" hidden="1">
      <c r="A120">
        <v>16685</v>
      </c>
      <c r="B120" t="s">
        <v>552</v>
      </c>
      <c r="C120" t="s">
        <v>553</v>
      </c>
      <c r="D120" t="s">
        <v>554</v>
      </c>
      <c r="F120" t="s">
        <v>555</v>
      </c>
      <c r="G120">
        <v>152.77500000000001</v>
      </c>
      <c r="H120" t="s">
        <v>58</v>
      </c>
      <c r="I120">
        <v>2</v>
      </c>
      <c r="J120">
        <v>19</v>
      </c>
      <c r="K120">
        <v>0</v>
      </c>
      <c r="L120">
        <v>69.900000000000006</v>
      </c>
      <c r="M120">
        <v>11564</v>
      </c>
      <c r="N120">
        <v>7</v>
      </c>
      <c r="O120">
        <v>7</v>
      </c>
      <c r="P120">
        <v>7</v>
      </c>
      <c r="Q120">
        <v>8</v>
      </c>
      <c r="R120">
        <v>8</v>
      </c>
      <c r="S120">
        <v>149</v>
      </c>
      <c r="T120">
        <v>149</v>
      </c>
      <c r="U120">
        <v>8</v>
      </c>
      <c r="V120">
        <v>6</v>
      </c>
      <c r="W120">
        <v>7</v>
      </c>
      <c r="X120">
        <v>8</v>
      </c>
      <c r="Y120">
        <v>8</v>
      </c>
      <c r="Z120">
        <v>8</v>
      </c>
      <c r="AA120">
        <v>8</v>
      </c>
      <c r="AB120">
        <v>8</v>
      </c>
      <c r="AC120">
        <v>8</v>
      </c>
      <c r="AD120">
        <v>29</v>
      </c>
      <c r="AE120">
        <v>38</v>
      </c>
      <c r="AF120">
        <v>9</v>
      </c>
      <c r="AG120">
        <v>12</v>
      </c>
      <c r="AH120">
        <v>16</v>
      </c>
      <c r="AI120">
        <v>20</v>
      </c>
      <c r="AJ120">
        <v>15</v>
      </c>
      <c r="AK120">
        <v>10</v>
      </c>
      <c r="AL120">
        <v>234399696</v>
      </c>
      <c r="AM120">
        <v>289054144</v>
      </c>
      <c r="AN120">
        <v>148273696</v>
      </c>
      <c r="AO120">
        <v>208826944</v>
      </c>
      <c r="AP120">
        <v>168483472</v>
      </c>
      <c r="AQ120">
        <v>248007408</v>
      </c>
      <c r="AR120">
        <v>227928640</v>
      </c>
      <c r="AS120">
        <v>230875408</v>
      </c>
      <c r="AT120" s="11">
        <v>164624928</v>
      </c>
      <c r="AU120" s="11">
        <v>276466336</v>
      </c>
      <c r="AW120" s="14">
        <v>80588144</v>
      </c>
      <c r="AX120" s="14">
        <v>79978832</v>
      </c>
      <c r="AZ120" s="16">
        <v>122476896</v>
      </c>
      <c r="BA120" s="16">
        <v>138445632</v>
      </c>
      <c r="BC120" s="18">
        <v>140351824</v>
      </c>
      <c r="BD120" s="18">
        <v>115350288</v>
      </c>
    </row>
    <row r="121" spans="1:56" hidden="1">
      <c r="A121">
        <v>16869</v>
      </c>
      <c r="B121" t="s">
        <v>556</v>
      </c>
      <c r="C121" t="s">
        <v>557</v>
      </c>
      <c r="D121" t="s">
        <v>558</v>
      </c>
      <c r="F121" t="s">
        <v>559</v>
      </c>
      <c r="G121">
        <v>150.27199999999999</v>
      </c>
      <c r="H121" t="s">
        <v>58</v>
      </c>
      <c r="I121">
        <v>2</v>
      </c>
      <c r="J121">
        <v>3</v>
      </c>
      <c r="K121">
        <v>0</v>
      </c>
      <c r="L121">
        <v>26.23</v>
      </c>
      <c r="M121">
        <v>34275</v>
      </c>
      <c r="N121">
        <v>17</v>
      </c>
      <c r="O121">
        <v>7</v>
      </c>
      <c r="P121">
        <v>7</v>
      </c>
      <c r="Q121">
        <v>7</v>
      </c>
      <c r="R121">
        <v>7</v>
      </c>
      <c r="S121">
        <v>19</v>
      </c>
      <c r="T121">
        <v>19</v>
      </c>
      <c r="U121">
        <v>7</v>
      </c>
      <c r="V121">
        <v>5</v>
      </c>
      <c r="W121">
        <v>5</v>
      </c>
      <c r="X121">
        <v>5</v>
      </c>
      <c r="Y121">
        <v>7</v>
      </c>
      <c r="Z121">
        <v>6</v>
      </c>
      <c r="AA121">
        <v>6</v>
      </c>
      <c r="AB121">
        <v>7</v>
      </c>
      <c r="AC121">
        <v>7</v>
      </c>
      <c r="AD121">
        <v>1</v>
      </c>
      <c r="AE121">
        <v>1</v>
      </c>
      <c r="AF121">
        <v>3</v>
      </c>
      <c r="AG121">
        <v>5</v>
      </c>
      <c r="AH121">
        <v>3</v>
      </c>
      <c r="AI121">
        <v>2</v>
      </c>
      <c r="AJ121">
        <v>2</v>
      </c>
      <c r="AK121">
        <v>4</v>
      </c>
      <c r="AL121">
        <v>5694465</v>
      </c>
      <c r="AM121">
        <v>5516037.5</v>
      </c>
      <c r="AN121">
        <v>20161792</v>
      </c>
      <c r="AO121">
        <v>32559656</v>
      </c>
      <c r="AP121">
        <v>13154864</v>
      </c>
      <c r="AQ121">
        <v>15148425</v>
      </c>
      <c r="AR121">
        <v>15161223</v>
      </c>
      <c r="AS121">
        <v>16642450</v>
      </c>
      <c r="AT121" s="11">
        <v>5617039.5</v>
      </c>
      <c r="AU121" s="11">
        <v>6342964</v>
      </c>
      <c r="AW121" s="14">
        <v>9277716</v>
      </c>
      <c r="AX121" s="14">
        <v>9207329</v>
      </c>
      <c r="AZ121" s="16">
        <v>8923863</v>
      </c>
      <c r="BA121" s="16">
        <v>8804957</v>
      </c>
      <c r="BC121" s="18">
        <v>7928519.5</v>
      </c>
      <c r="BD121" s="18">
        <v>7669032.5</v>
      </c>
    </row>
    <row r="122" spans="1:56" hidden="1">
      <c r="A122">
        <v>16743</v>
      </c>
      <c r="B122" t="s">
        <v>560</v>
      </c>
      <c r="C122" t="s">
        <v>561</v>
      </c>
      <c r="D122" t="s">
        <v>562</v>
      </c>
      <c r="E122" t="s">
        <v>563</v>
      </c>
      <c r="F122" t="s">
        <v>564</v>
      </c>
      <c r="G122">
        <v>148.69499999999999</v>
      </c>
      <c r="H122" t="s">
        <v>58</v>
      </c>
      <c r="I122">
        <v>2</v>
      </c>
      <c r="J122">
        <v>21</v>
      </c>
      <c r="K122">
        <v>2</v>
      </c>
      <c r="L122">
        <v>22.16</v>
      </c>
      <c r="M122">
        <v>19092</v>
      </c>
      <c r="N122">
        <v>7</v>
      </c>
      <c r="O122">
        <v>3</v>
      </c>
      <c r="P122">
        <v>3</v>
      </c>
      <c r="Q122">
        <v>3</v>
      </c>
      <c r="R122">
        <v>3</v>
      </c>
      <c r="S122">
        <v>8</v>
      </c>
      <c r="T122">
        <v>8</v>
      </c>
      <c r="U122">
        <v>3</v>
      </c>
      <c r="V122">
        <v>2</v>
      </c>
      <c r="W122">
        <v>2</v>
      </c>
      <c r="X122">
        <v>2</v>
      </c>
      <c r="Y122">
        <v>3</v>
      </c>
      <c r="Z122">
        <v>3</v>
      </c>
      <c r="AA122">
        <v>2</v>
      </c>
      <c r="AB122">
        <v>3</v>
      </c>
      <c r="AC122">
        <v>3</v>
      </c>
      <c r="AD122">
        <v>1</v>
      </c>
      <c r="AE122">
        <v>1</v>
      </c>
      <c r="AF122">
        <v>1</v>
      </c>
      <c r="AG122">
        <v>5</v>
      </c>
      <c r="AH122">
        <v>0</v>
      </c>
      <c r="AI122">
        <v>0</v>
      </c>
      <c r="AJ122">
        <v>0</v>
      </c>
      <c r="AK122">
        <v>2</v>
      </c>
      <c r="AL122">
        <v>5606279</v>
      </c>
      <c r="AM122">
        <v>4324543.5</v>
      </c>
      <c r="AN122">
        <v>16321972</v>
      </c>
      <c r="AO122">
        <v>55690400</v>
      </c>
      <c r="AP122">
        <v>4950264</v>
      </c>
      <c r="AQ122">
        <v>6403864.5</v>
      </c>
      <c r="AR122">
        <v>4311483</v>
      </c>
      <c r="AS122">
        <v>18102336</v>
      </c>
      <c r="AT122" s="11">
        <v>5050800</v>
      </c>
      <c r="AU122" s="11">
        <v>713060.44</v>
      </c>
      <c r="AW122" s="14">
        <v>813233.94</v>
      </c>
      <c r="AX122" s="14">
        <v>20575046</v>
      </c>
      <c r="AZ122" s="16">
        <v>10398202</v>
      </c>
      <c r="BA122" s="16">
        <v>3556654.75</v>
      </c>
      <c r="BC122" s="18">
        <v>1543163.5</v>
      </c>
      <c r="BD122" s="18">
        <v>11808895</v>
      </c>
    </row>
    <row r="123" spans="1:56" hidden="1">
      <c r="A123">
        <v>16858</v>
      </c>
      <c r="B123" t="s">
        <v>565</v>
      </c>
      <c r="C123" t="s">
        <v>566</v>
      </c>
      <c r="D123" t="s">
        <v>567</v>
      </c>
      <c r="F123" t="s">
        <v>568</v>
      </c>
      <c r="G123">
        <v>145.791</v>
      </c>
      <c r="H123" t="s">
        <v>58</v>
      </c>
      <c r="I123">
        <v>2</v>
      </c>
      <c r="J123">
        <v>2</v>
      </c>
      <c r="K123">
        <v>0</v>
      </c>
      <c r="L123">
        <v>14.07</v>
      </c>
      <c r="M123">
        <v>44010</v>
      </c>
      <c r="N123">
        <v>21</v>
      </c>
      <c r="O123">
        <v>4</v>
      </c>
      <c r="P123">
        <v>4</v>
      </c>
      <c r="Q123">
        <v>4</v>
      </c>
      <c r="R123">
        <v>4</v>
      </c>
      <c r="S123">
        <v>14</v>
      </c>
      <c r="T123">
        <v>14</v>
      </c>
      <c r="U123">
        <v>4</v>
      </c>
      <c r="V123">
        <v>1</v>
      </c>
      <c r="W123">
        <v>1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0</v>
      </c>
      <c r="AE123">
        <v>0</v>
      </c>
      <c r="AF123">
        <v>3</v>
      </c>
      <c r="AG123">
        <v>3</v>
      </c>
      <c r="AH123">
        <v>2</v>
      </c>
      <c r="AI123">
        <v>2</v>
      </c>
      <c r="AJ123">
        <v>2</v>
      </c>
      <c r="AK123">
        <v>2</v>
      </c>
      <c r="AL123">
        <v>289945.38</v>
      </c>
      <c r="AM123">
        <v>767986.56</v>
      </c>
      <c r="AN123">
        <v>5122344</v>
      </c>
      <c r="AO123">
        <v>6575393</v>
      </c>
      <c r="AP123">
        <v>3089509.25</v>
      </c>
      <c r="AQ123">
        <v>3330741</v>
      </c>
      <c r="AR123">
        <v>3370097</v>
      </c>
      <c r="AS123">
        <v>3468180.75</v>
      </c>
      <c r="AT123" s="11">
        <v>111278.99</v>
      </c>
      <c r="AU123" s="11">
        <v>63106</v>
      </c>
      <c r="AW123" s="14">
        <v>2666272.75</v>
      </c>
      <c r="AX123" s="14">
        <v>2502848.25</v>
      </c>
      <c r="AZ123" s="16">
        <v>2023231.25</v>
      </c>
      <c r="BA123" s="16">
        <v>1734086</v>
      </c>
      <c r="BC123" s="18">
        <v>1729782.25</v>
      </c>
      <c r="BD123" s="18">
        <v>1693844.88</v>
      </c>
    </row>
    <row r="124" spans="1:56" hidden="1">
      <c r="A124">
        <v>16846</v>
      </c>
      <c r="B124" t="s">
        <v>569</v>
      </c>
      <c r="C124" t="s">
        <v>570</v>
      </c>
      <c r="D124" t="s">
        <v>569</v>
      </c>
      <c r="F124" t="s">
        <v>571</v>
      </c>
      <c r="G124">
        <v>145.75200000000001</v>
      </c>
      <c r="H124" t="s">
        <v>58</v>
      </c>
      <c r="I124">
        <v>2</v>
      </c>
      <c r="J124">
        <v>1</v>
      </c>
      <c r="K124">
        <v>0</v>
      </c>
      <c r="L124">
        <v>14.59</v>
      </c>
      <c r="M124">
        <v>56176</v>
      </c>
      <c r="N124">
        <v>30</v>
      </c>
      <c r="O124">
        <v>6</v>
      </c>
      <c r="P124">
        <v>6</v>
      </c>
      <c r="Q124">
        <v>6</v>
      </c>
      <c r="R124">
        <v>6</v>
      </c>
      <c r="S124">
        <v>31</v>
      </c>
      <c r="T124">
        <v>31</v>
      </c>
      <c r="U124">
        <v>6</v>
      </c>
      <c r="V124">
        <v>3</v>
      </c>
      <c r="W124">
        <v>2</v>
      </c>
      <c r="X124">
        <v>5</v>
      </c>
      <c r="Y124">
        <v>6</v>
      </c>
      <c r="Z124">
        <v>6</v>
      </c>
      <c r="AA124">
        <v>6</v>
      </c>
      <c r="AB124">
        <v>6</v>
      </c>
      <c r="AC124">
        <v>6</v>
      </c>
      <c r="AD124">
        <v>0</v>
      </c>
      <c r="AE124">
        <v>0</v>
      </c>
      <c r="AF124">
        <v>3</v>
      </c>
      <c r="AG124">
        <v>8</v>
      </c>
      <c r="AH124">
        <v>4</v>
      </c>
      <c r="AI124">
        <v>6</v>
      </c>
      <c r="AJ124">
        <v>4</v>
      </c>
      <c r="AK124">
        <v>6</v>
      </c>
      <c r="AL124">
        <v>5671044</v>
      </c>
      <c r="AM124">
        <v>2705665</v>
      </c>
      <c r="AN124">
        <v>12422135</v>
      </c>
      <c r="AO124">
        <v>24176676</v>
      </c>
      <c r="AP124">
        <v>11992912</v>
      </c>
      <c r="AQ124">
        <v>12227359</v>
      </c>
      <c r="AR124">
        <v>10215641</v>
      </c>
      <c r="AS124">
        <v>13210746</v>
      </c>
      <c r="AT124" s="11">
        <v>393692.47</v>
      </c>
      <c r="AU124" s="11">
        <v>159764.73000000001</v>
      </c>
      <c r="AW124" s="14">
        <v>6997461</v>
      </c>
      <c r="AX124" s="14">
        <v>10450500</v>
      </c>
      <c r="AZ124" s="16">
        <v>8613555</v>
      </c>
      <c r="BA124" s="16">
        <v>8558400</v>
      </c>
      <c r="BC124" s="18">
        <v>7081649</v>
      </c>
      <c r="BD124" s="18">
        <v>7553335.5</v>
      </c>
    </row>
    <row r="125" spans="1:56" hidden="1">
      <c r="A125">
        <v>16835</v>
      </c>
      <c r="B125" t="s">
        <v>572</v>
      </c>
      <c r="C125" t="s">
        <v>573</v>
      </c>
      <c r="D125" t="s">
        <v>574</v>
      </c>
      <c r="F125" t="s">
        <v>575</v>
      </c>
      <c r="G125">
        <v>145.09100000000001</v>
      </c>
      <c r="H125" t="s">
        <v>58</v>
      </c>
      <c r="I125">
        <v>2</v>
      </c>
      <c r="J125">
        <v>3</v>
      </c>
      <c r="K125">
        <v>0</v>
      </c>
      <c r="L125">
        <v>14.29</v>
      </c>
      <c r="M125">
        <v>64421</v>
      </c>
      <c r="N125">
        <v>37</v>
      </c>
      <c r="O125">
        <v>8</v>
      </c>
      <c r="P125">
        <v>8</v>
      </c>
      <c r="Q125">
        <v>8</v>
      </c>
      <c r="R125">
        <v>8</v>
      </c>
      <c r="S125">
        <v>24</v>
      </c>
      <c r="T125">
        <v>24</v>
      </c>
      <c r="U125">
        <v>8</v>
      </c>
      <c r="V125">
        <v>4</v>
      </c>
      <c r="W125">
        <v>3</v>
      </c>
      <c r="X125">
        <v>8</v>
      </c>
      <c r="Y125">
        <v>8</v>
      </c>
      <c r="Z125">
        <v>7</v>
      </c>
      <c r="AA125">
        <v>7</v>
      </c>
      <c r="AB125">
        <v>8</v>
      </c>
      <c r="AC125">
        <v>7</v>
      </c>
      <c r="AD125">
        <v>0</v>
      </c>
      <c r="AE125">
        <v>0</v>
      </c>
      <c r="AF125">
        <v>5</v>
      </c>
      <c r="AG125">
        <v>6</v>
      </c>
      <c r="AH125">
        <v>3</v>
      </c>
      <c r="AI125">
        <v>4</v>
      </c>
      <c r="AJ125">
        <v>3</v>
      </c>
      <c r="AK125">
        <v>3</v>
      </c>
      <c r="AL125">
        <v>3937871</v>
      </c>
      <c r="AM125">
        <v>2923550.5</v>
      </c>
      <c r="AN125">
        <v>15403408</v>
      </c>
      <c r="AO125">
        <v>17596352</v>
      </c>
      <c r="AP125">
        <v>8656170</v>
      </c>
      <c r="AQ125">
        <v>8901939</v>
      </c>
      <c r="AR125">
        <v>8516230</v>
      </c>
      <c r="AS125">
        <v>7977235</v>
      </c>
      <c r="AT125" s="11">
        <v>2094627.88</v>
      </c>
      <c r="AU125" s="11">
        <v>444942.53</v>
      </c>
      <c r="AW125" s="14">
        <v>8335285.5</v>
      </c>
      <c r="AX125" s="14">
        <v>7009304</v>
      </c>
      <c r="AZ125" s="16">
        <v>5720524</v>
      </c>
      <c r="BA125" s="16">
        <v>5026544</v>
      </c>
      <c r="BC125" s="18">
        <v>5069343.5</v>
      </c>
      <c r="BD125" s="18">
        <v>3645033.5</v>
      </c>
    </row>
    <row r="126" spans="1:56" hidden="1">
      <c r="A126">
        <v>16740</v>
      </c>
      <c r="B126" t="s">
        <v>576</v>
      </c>
      <c r="C126" t="s">
        <v>577</v>
      </c>
      <c r="D126" t="s">
        <v>578</v>
      </c>
      <c r="F126" t="s">
        <v>579</v>
      </c>
      <c r="G126">
        <v>142.685</v>
      </c>
      <c r="H126" t="s">
        <v>58</v>
      </c>
      <c r="I126">
        <v>2</v>
      </c>
      <c r="J126">
        <v>3</v>
      </c>
      <c r="K126">
        <v>0</v>
      </c>
      <c r="L126">
        <v>13.66</v>
      </c>
      <c r="M126">
        <v>57825</v>
      </c>
      <c r="N126">
        <v>33</v>
      </c>
      <c r="O126">
        <v>7</v>
      </c>
      <c r="P126">
        <v>1</v>
      </c>
      <c r="Q126">
        <v>7</v>
      </c>
      <c r="R126">
        <v>1</v>
      </c>
      <c r="S126">
        <v>38</v>
      </c>
      <c r="T126">
        <v>4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1</v>
      </c>
      <c r="AJ126">
        <v>1</v>
      </c>
      <c r="AK126">
        <v>1</v>
      </c>
      <c r="AL126">
        <v>41461720</v>
      </c>
      <c r="AM126">
        <v>41645336</v>
      </c>
      <c r="AN126">
        <v>65642804</v>
      </c>
      <c r="AO126">
        <v>97656512</v>
      </c>
      <c r="AP126">
        <v>77317024</v>
      </c>
      <c r="AQ126">
        <v>92739048</v>
      </c>
      <c r="AR126">
        <v>80217984</v>
      </c>
      <c r="AS126">
        <v>98464240</v>
      </c>
      <c r="AT126" s="11">
        <v>865196.69</v>
      </c>
      <c r="AU126" s="11">
        <v>1968174.25</v>
      </c>
      <c r="AW126" s="14">
        <v>978162.06</v>
      </c>
      <c r="AX126" s="14">
        <v>965563.19</v>
      </c>
      <c r="AZ126" s="16">
        <v>1682560.5</v>
      </c>
      <c r="BA126" s="16">
        <v>1528308.62</v>
      </c>
      <c r="BC126" s="18">
        <v>1126346</v>
      </c>
      <c r="BD126" s="18">
        <v>1242262.25</v>
      </c>
    </row>
    <row r="127" spans="1:56" hidden="1">
      <c r="A127">
        <v>16792</v>
      </c>
      <c r="B127" t="s">
        <v>580</v>
      </c>
      <c r="C127" t="s">
        <v>581</v>
      </c>
      <c r="D127" t="s">
        <v>582</v>
      </c>
      <c r="F127" t="s">
        <v>583</v>
      </c>
      <c r="G127">
        <v>141.19800000000001</v>
      </c>
      <c r="H127" t="s">
        <v>58</v>
      </c>
      <c r="I127">
        <v>2</v>
      </c>
      <c r="J127">
        <v>3</v>
      </c>
      <c r="K127">
        <v>0</v>
      </c>
      <c r="L127">
        <v>10.78</v>
      </c>
      <c r="M127">
        <v>37998</v>
      </c>
      <c r="N127">
        <v>18</v>
      </c>
      <c r="O127">
        <v>3</v>
      </c>
      <c r="P127">
        <v>3</v>
      </c>
      <c r="Q127">
        <v>3</v>
      </c>
      <c r="R127">
        <v>3</v>
      </c>
      <c r="S127">
        <v>9</v>
      </c>
      <c r="T127">
        <v>9</v>
      </c>
      <c r="U127">
        <v>3</v>
      </c>
      <c r="V127">
        <v>3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3</v>
      </c>
      <c r="AC127">
        <v>3</v>
      </c>
      <c r="AD127">
        <v>1</v>
      </c>
      <c r="AE127">
        <v>0</v>
      </c>
      <c r="AF127">
        <v>2</v>
      </c>
      <c r="AG127">
        <v>2</v>
      </c>
      <c r="AH127">
        <v>1</v>
      </c>
      <c r="AI127">
        <v>2</v>
      </c>
      <c r="AJ127">
        <v>0</v>
      </c>
      <c r="AK127">
        <v>1</v>
      </c>
      <c r="AL127">
        <v>3155448.25</v>
      </c>
      <c r="AM127">
        <v>3315396.75</v>
      </c>
      <c r="AN127">
        <v>10155270</v>
      </c>
      <c r="AO127">
        <v>11084841</v>
      </c>
      <c r="AP127">
        <v>5906533</v>
      </c>
      <c r="AQ127">
        <v>6414725.5</v>
      </c>
      <c r="AR127">
        <v>5808894.5</v>
      </c>
      <c r="AS127">
        <v>6217016</v>
      </c>
      <c r="AT127" s="11">
        <v>3019568.5</v>
      </c>
      <c r="AU127" s="11">
        <v>3155165</v>
      </c>
      <c r="AW127" s="14">
        <v>4724996.5</v>
      </c>
      <c r="AX127" s="14">
        <v>3680143</v>
      </c>
      <c r="AZ127" s="16">
        <v>3657025.75</v>
      </c>
      <c r="BA127" s="16">
        <v>3628748</v>
      </c>
      <c r="BC127" s="18">
        <v>3028027.75</v>
      </c>
      <c r="BD127" s="18">
        <v>3070710.25</v>
      </c>
    </row>
    <row r="128" spans="1:56" hidden="1">
      <c r="A128">
        <v>16720</v>
      </c>
      <c r="B128" t="s">
        <v>584</v>
      </c>
      <c r="C128" t="s">
        <v>585</v>
      </c>
      <c r="D128" t="s">
        <v>584</v>
      </c>
      <c r="E128" t="s">
        <v>586</v>
      </c>
      <c r="F128" t="s">
        <v>587</v>
      </c>
      <c r="G128">
        <v>134.22200000000001</v>
      </c>
      <c r="H128" t="s">
        <v>58</v>
      </c>
      <c r="I128">
        <v>2</v>
      </c>
      <c r="J128">
        <v>1</v>
      </c>
      <c r="K128">
        <v>6</v>
      </c>
      <c r="L128">
        <v>11.72</v>
      </c>
      <c r="M128">
        <v>40367</v>
      </c>
      <c r="N128">
        <v>21</v>
      </c>
      <c r="O128">
        <v>3</v>
      </c>
      <c r="P128">
        <v>3</v>
      </c>
      <c r="Q128">
        <v>3</v>
      </c>
      <c r="R128">
        <v>3</v>
      </c>
      <c r="S128">
        <v>23</v>
      </c>
      <c r="T128">
        <v>23</v>
      </c>
      <c r="U128">
        <v>3</v>
      </c>
      <c r="V128">
        <v>2</v>
      </c>
      <c r="W128">
        <v>2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3</v>
      </c>
      <c r="AD128">
        <v>3</v>
      </c>
      <c r="AE128">
        <v>4</v>
      </c>
      <c r="AF128">
        <v>4</v>
      </c>
      <c r="AG128">
        <v>4</v>
      </c>
      <c r="AH128">
        <v>3</v>
      </c>
      <c r="AI128">
        <v>3</v>
      </c>
      <c r="AJ128">
        <v>1</v>
      </c>
      <c r="AK128">
        <v>1</v>
      </c>
      <c r="AL128">
        <v>11685135</v>
      </c>
      <c r="AM128">
        <v>12584517</v>
      </c>
      <c r="AN128">
        <v>8796011</v>
      </c>
      <c r="AO128">
        <v>11948313</v>
      </c>
      <c r="AP128">
        <v>7971927</v>
      </c>
      <c r="AQ128">
        <v>6272084</v>
      </c>
      <c r="AR128">
        <v>2982563.5</v>
      </c>
      <c r="AS128">
        <v>2281527</v>
      </c>
      <c r="AT128" s="11">
        <v>18912598</v>
      </c>
      <c r="AU128" s="11">
        <v>18878614</v>
      </c>
      <c r="AW128" s="14">
        <v>8359395.5</v>
      </c>
      <c r="AX128" s="14">
        <v>6574579</v>
      </c>
      <c r="AZ128" s="16">
        <v>6390978.5</v>
      </c>
      <c r="BA128" s="16">
        <v>5079481</v>
      </c>
      <c r="BC128" s="18">
        <v>2267571.25</v>
      </c>
      <c r="BD128" s="18">
        <v>1414629.88</v>
      </c>
    </row>
    <row r="129" spans="1:56" hidden="1">
      <c r="A129">
        <v>16738</v>
      </c>
      <c r="B129" t="s">
        <v>588</v>
      </c>
      <c r="C129" t="s">
        <v>589</v>
      </c>
      <c r="D129" t="s">
        <v>590</v>
      </c>
      <c r="E129" t="s">
        <v>591</v>
      </c>
      <c r="F129" t="s">
        <v>592</v>
      </c>
      <c r="G129">
        <v>128.96</v>
      </c>
      <c r="H129" t="s">
        <v>58</v>
      </c>
      <c r="I129">
        <v>2</v>
      </c>
      <c r="J129">
        <v>19</v>
      </c>
      <c r="K129">
        <v>1</v>
      </c>
      <c r="L129">
        <v>44.71</v>
      </c>
      <c r="M129">
        <v>9124</v>
      </c>
      <c r="N129">
        <v>5</v>
      </c>
      <c r="O129">
        <v>6</v>
      </c>
      <c r="P129">
        <v>6</v>
      </c>
      <c r="Q129">
        <v>6</v>
      </c>
      <c r="R129">
        <v>6</v>
      </c>
      <c r="S129">
        <v>65</v>
      </c>
      <c r="T129">
        <v>65</v>
      </c>
      <c r="U129">
        <v>6</v>
      </c>
      <c r="V129">
        <v>5</v>
      </c>
      <c r="W129">
        <v>5</v>
      </c>
      <c r="X129">
        <v>4</v>
      </c>
      <c r="Y129">
        <v>5</v>
      </c>
      <c r="Z129">
        <v>4</v>
      </c>
      <c r="AA129">
        <v>4</v>
      </c>
      <c r="AB129">
        <v>6</v>
      </c>
      <c r="AC129">
        <v>6</v>
      </c>
      <c r="AD129">
        <v>7</v>
      </c>
      <c r="AE129">
        <v>10</v>
      </c>
      <c r="AF129">
        <v>4</v>
      </c>
      <c r="AG129">
        <v>7</v>
      </c>
      <c r="AH129">
        <v>8</v>
      </c>
      <c r="AI129">
        <v>11</v>
      </c>
      <c r="AJ129">
        <v>10</v>
      </c>
      <c r="AK129">
        <v>8</v>
      </c>
      <c r="AL129">
        <v>74418880</v>
      </c>
      <c r="AM129">
        <v>77831424</v>
      </c>
      <c r="AN129">
        <v>65127100</v>
      </c>
      <c r="AO129">
        <v>219594736</v>
      </c>
      <c r="AP129">
        <v>97847456</v>
      </c>
      <c r="AQ129">
        <v>117966688</v>
      </c>
      <c r="AR129">
        <v>156408944</v>
      </c>
      <c r="AS129">
        <v>150919584</v>
      </c>
      <c r="AT129" s="11">
        <v>101788408</v>
      </c>
      <c r="AU129" s="11">
        <v>114770776</v>
      </c>
      <c r="AW129" s="14">
        <v>31125014</v>
      </c>
      <c r="AX129" s="14">
        <v>58720268</v>
      </c>
      <c r="AZ129" s="16">
        <v>53270356</v>
      </c>
      <c r="BA129" s="16">
        <v>53703860</v>
      </c>
      <c r="BC129" s="18">
        <v>73049024</v>
      </c>
      <c r="BD129" s="18">
        <v>60305584</v>
      </c>
    </row>
    <row r="130" spans="1:56" hidden="1">
      <c r="A130">
        <v>16816</v>
      </c>
      <c r="B130" t="s">
        <v>593</v>
      </c>
      <c r="C130" t="s">
        <v>594</v>
      </c>
      <c r="D130" t="s">
        <v>595</v>
      </c>
      <c r="F130" t="s">
        <v>596</v>
      </c>
      <c r="G130">
        <v>124.726</v>
      </c>
      <c r="H130" t="s">
        <v>58</v>
      </c>
      <c r="I130">
        <v>2</v>
      </c>
      <c r="J130">
        <v>3</v>
      </c>
      <c r="K130">
        <v>0</v>
      </c>
      <c r="L130">
        <v>39.42</v>
      </c>
      <c r="M130">
        <v>15539</v>
      </c>
      <c r="N130">
        <v>11</v>
      </c>
      <c r="O130">
        <v>4</v>
      </c>
      <c r="P130">
        <v>4</v>
      </c>
      <c r="Q130">
        <v>4</v>
      </c>
      <c r="R130">
        <v>4</v>
      </c>
      <c r="S130">
        <v>20</v>
      </c>
      <c r="T130">
        <v>20</v>
      </c>
      <c r="U130">
        <v>4</v>
      </c>
      <c r="V130">
        <v>3</v>
      </c>
      <c r="W130">
        <v>4</v>
      </c>
      <c r="X130">
        <v>3</v>
      </c>
      <c r="Y130">
        <v>4</v>
      </c>
      <c r="Z130">
        <v>4</v>
      </c>
      <c r="AA130">
        <v>3</v>
      </c>
      <c r="AB130">
        <v>3</v>
      </c>
      <c r="AC130">
        <v>4</v>
      </c>
      <c r="AD130">
        <v>3</v>
      </c>
      <c r="AE130">
        <v>8</v>
      </c>
      <c r="AF130">
        <v>1</v>
      </c>
      <c r="AG130">
        <v>2</v>
      </c>
      <c r="AH130">
        <v>4</v>
      </c>
      <c r="AI130">
        <v>2</v>
      </c>
      <c r="AJ130">
        <v>1</v>
      </c>
      <c r="AK130">
        <v>0</v>
      </c>
      <c r="AL130">
        <v>5733494</v>
      </c>
      <c r="AM130">
        <v>8417316</v>
      </c>
      <c r="AN130">
        <v>5149871.5</v>
      </c>
      <c r="AO130">
        <v>6645236.5</v>
      </c>
      <c r="AP130">
        <v>5823717</v>
      </c>
      <c r="AQ130">
        <v>3371835.5</v>
      </c>
      <c r="AR130">
        <v>1962802.25</v>
      </c>
      <c r="AS130">
        <v>2816446.25</v>
      </c>
      <c r="AT130" s="11">
        <v>5063475</v>
      </c>
      <c r="AU130" s="11">
        <v>9105978</v>
      </c>
      <c r="AW130" s="14">
        <v>2900519.75</v>
      </c>
      <c r="AX130" s="14">
        <v>2093490.12</v>
      </c>
      <c r="AZ130" s="16">
        <v>3274153.25</v>
      </c>
      <c r="BA130" s="16">
        <v>2352095.75</v>
      </c>
      <c r="BC130" s="18">
        <v>1046351.25</v>
      </c>
      <c r="BD130" s="18">
        <v>951376.88</v>
      </c>
    </row>
    <row r="131" spans="1:56" hidden="1">
      <c r="A131">
        <v>16815</v>
      </c>
      <c r="B131" t="s">
        <v>597</v>
      </c>
      <c r="C131" t="s">
        <v>598</v>
      </c>
      <c r="D131" t="s">
        <v>599</v>
      </c>
      <c r="E131" t="s">
        <v>600</v>
      </c>
      <c r="F131" t="s">
        <v>601</v>
      </c>
      <c r="G131">
        <v>123.497</v>
      </c>
      <c r="H131" t="s">
        <v>58</v>
      </c>
      <c r="I131">
        <v>2</v>
      </c>
      <c r="J131">
        <v>10</v>
      </c>
      <c r="K131">
        <v>2</v>
      </c>
      <c r="L131">
        <v>12.17</v>
      </c>
      <c r="M131">
        <v>42323</v>
      </c>
      <c r="N131">
        <v>22</v>
      </c>
      <c r="O131">
        <v>3</v>
      </c>
      <c r="P131">
        <v>3</v>
      </c>
      <c r="Q131">
        <v>3</v>
      </c>
      <c r="R131">
        <v>3</v>
      </c>
      <c r="S131">
        <v>9</v>
      </c>
      <c r="T131">
        <v>9</v>
      </c>
      <c r="U131">
        <v>3</v>
      </c>
      <c r="V131">
        <v>3</v>
      </c>
      <c r="W131">
        <v>2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0</v>
      </c>
      <c r="AE131">
        <v>0</v>
      </c>
      <c r="AF131">
        <v>2</v>
      </c>
      <c r="AG131">
        <v>2</v>
      </c>
      <c r="AH131">
        <v>1</v>
      </c>
      <c r="AI131">
        <v>2</v>
      </c>
      <c r="AJ131">
        <v>1</v>
      </c>
      <c r="AK131">
        <v>1</v>
      </c>
      <c r="AL131">
        <v>3582661</v>
      </c>
      <c r="AM131">
        <v>2601680</v>
      </c>
      <c r="AN131">
        <v>9135645</v>
      </c>
      <c r="AO131">
        <v>8478521</v>
      </c>
      <c r="AP131">
        <v>5250869</v>
      </c>
      <c r="AQ131">
        <v>5597124.5</v>
      </c>
      <c r="AR131">
        <v>5820890.5</v>
      </c>
      <c r="AS131">
        <v>5394547.5</v>
      </c>
      <c r="AT131" s="11">
        <v>3472502.25</v>
      </c>
      <c r="AU131" s="11">
        <v>2845261.5</v>
      </c>
      <c r="AW131" s="14">
        <v>4398687</v>
      </c>
      <c r="AX131" s="14">
        <v>2920164.75</v>
      </c>
      <c r="AZ131" s="16">
        <v>2992807.5</v>
      </c>
      <c r="BA131" s="16">
        <v>3054585.75</v>
      </c>
      <c r="BC131" s="18">
        <v>2975961.5</v>
      </c>
      <c r="BD131" s="18">
        <v>2518391</v>
      </c>
    </row>
    <row r="132" spans="1:56" hidden="1">
      <c r="A132">
        <v>16851</v>
      </c>
      <c r="B132" t="s">
        <v>602</v>
      </c>
      <c r="C132" t="s">
        <v>603</v>
      </c>
      <c r="D132" t="s">
        <v>602</v>
      </c>
      <c r="F132" t="s">
        <v>604</v>
      </c>
      <c r="G132">
        <v>122.4</v>
      </c>
      <c r="H132" t="s">
        <v>58</v>
      </c>
      <c r="I132">
        <v>2</v>
      </c>
      <c r="J132">
        <v>1</v>
      </c>
      <c r="K132">
        <v>0</v>
      </c>
      <c r="L132">
        <v>11.2</v>
      </c>
      <c r="M132">
        <v>71136</v>
      </c>
      <c r="N132">
        <v>44</v>
      </c>
      <c r="O132">
        <v>7</v>
      </c>
      <c r="P132">
        <v>7</v>
      </c>
      <c r="Q132">
        <v>7</v>
      </c>
      <c r="R132">
        <v>7</v>
      </c>
      <c r="S132">
        <v>19</v>
      </c>
      <c r="T132">
        <v>19</v>
      </c>
      <c r="U132">
        <v>7</v>
      </c>
      <c r="V132">
        <v>4</v>
      </c>
      <c r="W132">
        <v>2</v>
      </c>
      <c r="X132">
        <v>7</v>
      </c>
      <c r="Y132">
        <v>7</v>
      </c>
      <c r="Z132">
        <v>7</v>
      </c>
      <c r="AA132">
        <v>7</v>
      </c>
      <c r="AB132">
        <v>7</v>
      </c>
      <c r="AC132">
        <v>7</v>
      </c>
      <c r="AD132">
        <v>0</v>
      </c>
      <c r="AE132">
        <v>0</v>
      </c>
      <c r="AF132">
        <v>3</v>
      </c>
      <c r="AG132">
        <v>8</v>
      </c>
      <c r="AH132">
        <v>2</v>
      </c>
      <c r="AI132">
        <v>3</v>
      </c>
      <c r="AJ132">
        <v>2</v>
      </c>
      <c r="AK132">
        <v>1</v>
      </c>
      <c r="AL132">
        <v>2407607</v>
      </c>
      <c r="AM132">
        <v>677077.75</v>
      </c>
      <c r="AN132">
        <v>14250931</v>
      </c>
      <c r="AO132">
        <v>17740702</v>
      </c>
      <c r="AP132">
        <v>6696874</v>
      </c>
      <c r="AQ132">
        <v>7034130.5</v>
      </c>
      <c r="AR132">
        <v>6623407.5</v>
      </c>
      <c r="AS132">
        <v>7339415</v>
      </c>
      <c r="AT132" s="11">
        <v>497677.84</v>
      </c>
      <c r="AU132" s="11">
        <v>110854.42</v>
      </c>
      <c r="AW132" s="14">
        <v>9076647</v>
      </c>
      <c r="AX132" s="14">
        <v>7319452</v>
      </c>
      <c r="AZ132" s="16">
        <v>5004439.5</v>
      </c>
      <c r="BA132" s="16">
        <v>4994918</v>
      </c>
      <c r="BC132" s="18">
        <v>4375565</v>
      </c>
      <c r="BD132" s="18">
        <v>4521904</v>
      </c>
    </row>
    <row r="133" spans="1:56" hidden="1">
      <c r="A133">
        <v>16830</v>
      </c>
      <c r="B133" t="s">
        <v>605</v>
      </c>
      <c r="C133" t="s">
        <v>606</v>
      </c>
      <c r="D133" t="s">
        <v>605</v>
      </c>
      <c r="F133" t="s">
        <v>607</v>
      </c>
      <c r="G133">
        <v>121.992</v>
      </c>
      <c r="H133" t="s">
        <v>58</v>
      </c>
      <c r="I133">
        <v>2</v>
      </c>
      <c r="J133">
        <v>1</v>
      </c>
      <c r="K133">
        <v>0</v>
      </c>
      <c r="L133">
        <v>12.62</v>
      </c>
      <c r="M133">
        <v>46215</v>
      </c>
      <c r="N133">
        <v>24</v>
      </c>
      <c r="O133">
        <v>6</v>
      </c>
      <c r="P133">
        <v>6</v>
      </c>
      <c r="Q133">
        <v>6</v>
      </c>
      <c r="R133">
        <v>6</v>
      </c>
      <c r="S133">
        <v>23</v>
      </c>
      <c r="T133">
        <v>23</v>
      </c>
      <c r="U133">
        <v>6</v>
      </c>
      <c r="V133">
        <v>5</v>
      </c>
      <c r="W133">
        <v>5</v>
      </c>
      <c r="X133">
        <v>6</v>
      </c>
      <c r="Y133">
        <v>6</v>
      </c>
      <c r="Z133">
        <v>5</v>
      </c>
      <c r="AA133">
        <v>5</v>
      </c>
      <c r="AB133">
        <v>5</v>
      </c>
      <c r="AC133">
        <v>6</v>
      </c>
      <c r="AD133">
        <v>1</v>
      </c>
      <c r="AE133">
        <v>0</v>
      </c>
      <c r="AF133">
        <v>5</v>
      </c>
      <c r="AG133">
        <v>4</v>
      </c>
      <c r="AH133">
        <v>3</v>
      </c>
      <c r="AI133">
        <v>4</v>
      </c>
      <c r="AJ133">
        <v>3</v>
      </c>
      <c r="AK133">
        <v>3</v>
      </c>
      <c r="AL133">
        <v>5232864</v>
      </c>
      <c r="AM133">
        <v>4109146.25</v>
      </c>
      <c r="AN133">
        <v>18399006</v>
      </c>
      <c r="AO133">
        <v>13214294</v>
      </c>
      <c r="AP133">
        <v>7668990</v>
      </c>
      <c r="AQ133">
        <v>8311687</v>
      </c>
      <c r="AR133">
        <v>4969165.5</v>
      </c>
      <c r="AS133">
        <v>9804410</v>
      </c>
      <c r="AT133" s="11">
        <v>5040485.5</v>
      </c>
      <c r="AU133" s="11">
        <v>3332186.75</v>
      </c>
      <c r="AW133" s="14">
        <v>7950727</v>
      </c>
      <c r="AX133" s="14">
        <v>5580042</v>
      </c>
      <c r="AZ133" s="16">
        <v>4369002.5</v>
      </c>
      <c r="BA133" s="16">
        <v>4291132</v>
      </c>
      <c r="BC133" s="18">
        <v>3920439.75</v>
      </c>
      <c r="BD133" s="18">
        <v>4150463.25</v>
      </c>
    </row>
    <row r="134" spans="1:56" hidden="1">
      <c r="A134">
        <v>16726</v>
      </c>
      <c r="B134" t="s">
        <v>608</v>
      </c>
      <c r="C134" t="s">
        <v>609</v>
      </c>
      <c r="D134" t="s">
        <v>610</v>
      </c>
      <c r="F134" t="s">
        <v>611</v>
      </c>
      <c r="G134">
        <v>116.78</v>
      </c>
      <c r="H134" t="s">
        <v>58</v>
      </c>
      <c r="I134">
        <v>2</v>
      </c>
      <c r="J134">
        <v>20</v>
      </c>
      <c r="K134">
        <v>0</v>
      </c>
      <c r="L134">
        <v>46.15</v>
      </c>
      <c r="M134">
        <v>9006</v>
      </c>
      <c r="N134">
        <v>6</v>
      </c>
      <c r="O134">
        <v>6</v>
      </c>
      <c r="P134">
        <v>6</v>
      </c>
      <c r="Q134">
        <v>6</v>
      </c>
      <c r="R134">
        <v>6</v>
      </c>
      <c r="S134">
        <v>595</v>
      </c>
      <c r="T134">
        <v>595</v>
      </c>
      <c r="U134">
        <v>6</v>
      </c>
      <c r="V134">
        <v>4</v>
      </c>
      <c r="W134">
        <v>5</v>
      </c>
      <c r="X134">
        <v>6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63</v>
      </c>
      <c r="AE134">
        <v>88</v>
      </c>
      <c r="AF134">
        <v>70</v>
      </c>
      <c r="AG134">
        <v>57</v>
      </c>
      <c r="AH134">
        <v>69</v>
      </c>
      <c r="AI134">
        <v>90</v>
      </c>
      <c r="AJ134">
        <v>80</v>
      </c>
      <c r="AK134">
        <v>78</v>
      </c>
      <c r="AL134">
        <v>225112000</v>
      </c>
      <c r="AM134">
        <v>248803200</v>
      </c>
      <c r="AN134">
        <v>154487104</v>
      </c>
      <c r="AO134">
        <v>202345152</v>
      </c>
      <c r="AP134">
        <v>152456192</v>
      </c>
      <c r="AQ134">
        <v>265900304</v>
      </c>
      <c r="AR134">
        <v>206059552</v>
      </c>
      <c r="AS134">
        <v>191797264</v>
      </c>
      <c r="AT134" s="11">
        <v>213700656</v>
      </c>
      <c r="AU134" s="11">
        <v>252713984</v>
      </c>
      <c r="AW134" s="14">
        <v>96363672</v>
      </c>
      <c r="AX134" s="14">
        <v>75142944</v>
      </c>
      <c r="AZ134" s="16">
        <v>105645952</v>
      </c>
      <c r="BA134" s="16">
        <v>142645264</v>
      </c>
      <c r="BC134" s="18">
        <v>124051104</v>
      </c>
      <c r="BD134" s="18">
        <v>110257640</v>
      </c>
    </row>
    <row r="135" spans="1:56" hidden="1">
      <c r="A135">
        <v>16749</v>
      </c>
      <c r="B135" t="s">
        <v>612</v>
      </c>
      <c r="C135" t="s">
        <v>613</v>
      </c>
      <c r="D135" t="s">
        <v>614</v>
      </c>
      <c r="E135" t="s">
        <v>615</v>
      </c>
      <c r="F135" t="s">
        <v>616</v>
      </c>
      <c r="G135">
        <v>113.437</v>
      </c>
      <c r="H135" t="s">
        <v>58</v>
      </c>
      <c r="I135">
        <v>2</v>
      </c>
      <c r="J135">
        <v>20</v>
      </c>
      <c r="K135">
        <v>1</v>
      </c>
      <c r="L135">
        <v>35</v>
      </c>
      <c r="M135">
        <v>18268</v>
      </c>
      <c r="N135">
        <v>8</v>
      </c>
      <c r="O135">
        <v>6</v>
      </c>
      <c r="P135">
        <v>6</v>
      </c>
      <c r="Q135">
        <v>6</v>
      </c>
      <c r="R135">
        <v>6</v>
      </c>
      <c r="S135">
        <v>82</v>
      </c>
      <c r="T135">
        <v>82</v>
      </c>
      <c r="U135">
        <v>6</v>
      </c>
      <c r="V135">
        <v>3</v>
      </c>
      <c r="W135">
        <v>3</v>
      </c>
      <c r="X135">
        <v>5</v>
      </c>
      <c r="Y135">
        <v>6</v>
      </c>
      <c r="Z135">
        <v>5</v>
      </c>
      <c r="AA135">
        <v>5</v>
      </c>
      <c r="AB135">
        <v>5</v>
      </c>
      <c r="AC135">
        <v>6</v>
      </c>
      <c r="AD135">
        <v>7</v>
      </c>
      <c r="AE135">
        <v>3</v>
      </c>
      <c r="AF135">
        <v>16</v>
      </c>
      <c r="AG135">
        <v>14</v>
      </c>
      <c r="AH135">
        <v>18</v>
      </c>
      <c r="AI135">
        <v>12</v>
      </c>
      <c r="AJ135">
        <v>8</v>
      </c>
      <c r="AK135">
        <v>4</v>
      </c>
      <c r="AL135">
        <v>35696024</v>
      </c>
      <c r="AM135">
        <v>40601272</v>
      </c>
      <c r="AN135">
        <v>97925408</v>
      </c>
      <c r="AO135">
        <v>131736360</v>
      </c>
      <c r="AP135">
        <v>37681112</v>
      </c>
      <c r="AQ135">
        <v>69847472</v>
      </c>
      <c r="AR135">
        <v>70582624</v>
      </c>
      <c r="AS135">
        <v>73195536</v>
      </c>
      <c r="AT135" s="11">
        <v>4413478.5</v>
      </c>
      <c r="AU135" s="11">
        <v>3819581.75</v>
      </c>
      <c r="AW135" s="14">
        <v>74690808</v>
      </c>
      <c r="AX135" s="14">
        <v>62357372</v>
      </c>
      <c r="AZ135" s="16">
        <v>41390312</v>
      </c>
      <c r="BA135" s="16">
        <v>23760164</v>
      </c>
      <c r="BC135" s="18">
        <v>35373304</v>
      </c>
      <c r="BD135" s="18">
        <v>39894296</v>
      </c>
    </row>
    <row r="136" spans="1:56" hidden="1">
      <c r="A136">
        <v>16777</v>
      </c>
      <c r="B136" t="s">
        <v>617</v>
      </c>
      <c r="C136" t="s">
        <v>618</v>
      </c>
      <c r="D136" t="s">
        <v>619</v>
      </c>
      <c r="F136" t="s">
        <v>620</v>
      </c>
      <c r="G136">
        <v>108.253</v>
      </c>
      <c r="H136" t="s">
        <v>58</v>
      </c>
      <c r="I136">
        <v>2</v>
      </c>
      <c r="J136">
        <v>3</v>
      </c>
      <c r="K136">
        <v>0</v>
      </c>
      <c r="L136">
        <v>11.25</v>
      </c>
      <c r="M136">
        <v>37093</v>
      </c>
      <c r="N136">
        <v>19</v>
      </c>
      <c r="O136">
        <v>3</v>
      </c>
      <c r="P136">
        <v>3</v>
      </c>
      <c r="Q136">
        <v>3</v>
      </c>
      <c r="R136">
        <v>3</v>
      </c>
      <c r="S136">
        <v>20</v>
      </c>
      <c r="T136">
        <v>20</v>
      </c>
      <c r="U136">
        <v>3</v>
      </c>
      <c r="V136">
        <v>3</v>
      </c>
      <c r="W136">
        <v>3</v>
      </c>
      <c r="X136">
        <v>3</v>
      </c>
      <c r="Y136">
        <v>3</v>
      </c>
      <c r="Z136">
        <v>3</v>
      </c>
      <c r="AA136">
        <v>3</v>
      </c>
      <c r="AB136">
        <v>3</v>
      </c>
      <c r="AC136">
        <v>3</v>
      </c>
      <c r="AD136">
        <v>1</v>
      </c>
      <c r="AE136">
        <v>1</v>
      </c>
      <c r="AF136">
        <v>4</v>
      </c>
      <c r="AG136">
        <v>5</v>
      </c>
      <c r="AH136">
        <v>3</v>
      </c>
      <c r="AI136">
        <v>3</v>
      </c>
      <c r="AJ136">
        <v>1</v>
      </c>
      <c r="AK136">
        <v>4</v>
      </c>
      <c r="AL136">
        <v>3910434</v>
      </c>
      <c r="AM136">
        <v>3315582.75</v>
      </c>
      <c r="AN136">
        <v>12467895</v>
      </c>
      <c r="AO136">
        <v>13159762</v>
      </c>
      <c r="AP136">
        <v>6208437</v>
      </c>
      <c r="AQ136">
        <v>6665962.5</v>
      </c>
      <c r="AR136">
        <v>6685726</v>
      </c>
      <c r="AS136">
        <v>6036847</v>
      </c>
      <c r="AT136" s="11">
        <v>3703931.75</v>
      </c>
      <c r="AU136" s="11">
        <v>3701173.5</v>
      </c>
      <c r="AW136" s="14">
        <v>6208535.5</v>
      </c>
      <c r="AX136" s="14">
        <v>4535208</v>
      </c>
      <c r="AZ136" s="16">
        <v>3665378.5</v>
      </c>
      <c r="BA136" s="16">
        <v>3514100.5</v>
      </c>
      <c r="BC136" s="18">
        <v>3247349</v>
      </c>
      <c r="BD136" s="18">
        <v>2737726</v>
      </c>
    </row>
    <row r="137" spans="1:56" hidden="1">
      <c r="A137">
        <v>16845</v>
      </c>
      <c r="B137" t="s">
        <v>621</v>
      </c>
      <c r="C137" t="s">
        <v>622</v>
      </c>
      <c r="D137" t="s">
        <v>621</v>
      </c>
      <c r="F137" t="s">
        <v>623</v>
      </c>
      <c r="G137">
        <v>106.223</v>
      </c>
      <c r="H137" t="s">
        <v>58</v>
      </c>
      <c r="I137">
        <v>2</v>
      </c>
      <c r="J137">
        <v>1</v>
      </c>
      <c r="K137">
        <v>0</v>
      </c>
      <c r="L137">
        <v>9.93</v>
      </c>
      <c r="M137">
        <v>62983</v>
      </c>
      <c r="N137">
        <v>31</v>
      </c>
      <c r="O137">
        <v>6</v>
      </c>
      <c r="P137">
        <v>6</v>
      </c>
      <c r="Q137">
        <v>6</v>
      </c>
      <c r="R137">
        <v>6</v>
      </c>
      <c r="S137">
        <v>12</v>
      </c>
      <c r="T137">
        <v>12</v>
      </c>
      <c r="U137">
        <v>6</v>
      </c>
      <c r="V137">
        <v>4</v>
      </c>
      <c r="W137">
        <v>3</v>
      </c>
      <c r="X137">
        <v>5</v>
      </c>
      <c r="Y137">
        <v>6</v>
      </c>
      <c r="Z137">
        <v>6</v>
      </c>
      <c r="AA137">
        <v>6</v>
      </c>
      <c r="AB137">
        <v>5</v>
      </c>
      <c r="AC137">
        <v>5</v>
      </c>
      <c r="AD137">
        <v>0</v>
      </c>
      <c r="AE137">
        <v>0</v>
      </c>
      <c r="AF137">
        <v>0</v>
      </c>
      <c r="AG137">
        <v>5</v>
      </c>
      <c r="AH137">
        <v>2</v>
      </c>
      <c r="AI137">
        <v>4</v>
      </c>
      <c r="AJ137">
        <v>1</v>
      </c>
      <c r="AK137">
        <v>1</v>
      </c>
      <c r="AL137">
        <v>6256308</v>
      </c>
      <c r="AM137">
        <v>4701586.5</v>
      </c>
      <c r="AN137">
        <v>14286705</v>
      </c>
      <c r="AO137">
        <v>27604598</v>
      </c>
      <c r="AP137">
        <v>10242367</v>
      </c>
      <c r="AQ137">
        <v>14018895</v>
      </c>
      <c r="AR137">
        <v>12274786</v>
      </c>
      <c r="AS137">
        <v>10822785</v>
      </c>
      <c r="AT137" s="11">
        <v>4341190</v>
      </c>
      <c r="AU137" s="11">
        <v>1769727.12</v>
      </c>
      <c r="AW137" s="14">
        <v>5781912.5</v>
      </c>
      <c r="AX137" s="14">
        <v>11468268</v>
      </c>
      <c r="AZ137" s="16">
        <v>9199218</v>
      </c>
      <c r="BA137" s="16">
        <v>9000287</v>
      </c>
      <c r="BC137" s="18">
        <v>4893029</v>
      </c>
      <c r="BD137" s="18">
        <v>4673333</v>
      </c>
    </row>
    <row r="138" spans="1:56" hidden="1">
      <c r="A138">
        <v>16820</v>
      </c>
      <c r="B138" t="s">
        <v>624</v>
      </c>
      <c r="C138" t="s">
        <v>625</v>
      </c>
      <c r="D138" t="s">
        <v>624</v>
      </c>
      <c r="F138" t="s">
        <v>626</v>
      </c>
      <c r="G138">
        <v>104.17100000000001</v>
      </c>
      <c r="H138" t="s">
        <v>58</v>
      </c>
      <c r="I138">
        <v>2</v>
      </c>
      <c r="J138">
        <v>1</v>
      </c>
      <c r="K138">
        <v>0</v>
      </c>
      <c r="L138">
        <v>17.46</v>
      </c>
      <c r="M138">
        <v>28047</v>
      </c>
      <c r="N138">
        <v>11</v>
      </c>
      <c r="O138">
        <v>4</v>
      </c>
      <c r="P138">
        <v>4</v>
      </c>
      <c r="Q138">
        <v>4</v>
      </c>
      <c r="R138">
        <v>4</v>
      </c>
      <c r="S138">
        <v>10</v>
      </c>
      <c r="T138">
        <v>10</v>
      </c>
      <c r="U138">
        <v>4</v>
      </c>
      <c r="V138">
        <v>2</v>
      </c>
      <c r="W138">
        <v>2</v>
      </c>
      <c r="X138">
        <v>3</v>
      </c>
      <c r="Y138">
        <v>4</v>
      </c>
      <c r="Z138">
        <v>3</v>
      </c>
      <c r="AA138">
        <v>3</v>
      </c>
      <c r="AB138">
        <v>4</v>
      </c>
      <c r="AC138">
        <v>4</v>
      </c>
      <c r="AD138">
        <v>0</v>
      </c>
      <c r="AE138">
        <v>0</v>
      </c>
      <c r="AF138">
        <v>1</v>
      </c>
      <c r="AG138">
        <v>3</v>
      </c>
      <c r="AH138">
        <v>1</v>
      </c>
      <c r="AI138">
        <v>2</v>
      </c>
      <c r="AJ138">
        <v>1</v>
      </c>
      <c r="AK138">
        <v>2</v>
      </c>
      <c r="AL138">
        <v>1837134</v>
      </c>
      <c r="AM138">
        <v>1934720.5</v>
      </c>
      <c r="AN138">
        <v>6657813</v>
      </c>
      <c r="AO138">
        <v>10621534</v>
      </c>
      <c r="AP138">
        <v>3905080.5</v>
      </c>
      <c r="AQ138">
        <v>4425740</v>
      </c>
      <c r="AR138">
        <v>3806767</v>
      </c>
      <c r="AS138">
        <v>4951177.5</v>
      </c>
      <c r="AT138" s="11">
        <v>804294.81</v>
      </c>
      <c r="AU138" s="11">
        <v>702358.25</v>
      </c>
      <c r="AW138" s="14">
        <v>2587921.25</v>
      </c>
      <c r="AX138" s="14">
        <v>5009414.5</v>
      </c>
      <c r="AZ138" s="16">
        <v>1974480</v>
      </c>
      <c r="BA138" s="16">
        <v>1973519</v>
      </c>
      <c r="BC138" s="18">
        <v>2418221.25</v>
      </c>
      <c r="BD138" s="18">
        <v>3489848.25</v>
      </c>
    </row>
    <row r="139" spans="1:56" hidden="1">
      <c r="A139">
        <v>16674</v>
      </c>
      <c r="B139" t="s">
        <v>627</v>
      </c>
      <c r="C139" t="s">
        <v>628</v>
      </c>
      <c r="D139" t="s">
        <v>629</v>
      </c>
      <c r="F139" t="s">
        <v>630</v>
      </c>
      <c r="G139">
        <v>103.80200000000001</v>
      </c>
      <c r="H139" t="s">
        <v>58</v>
      </c>
      <c r="I139">
        <v>2</v>
      </c>
      <c r="J139">
        <v>21</v>
      </c>
      <c r="K139">
        <v>0</v>
      </c>
      <c r="L139">
        <v>39.29</v>
      </c>
      <c r="M139">
        <v>9704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274</v>
      </c>
      <c r="T139">
        <v>274</v>
      </c>
      <c r="U139">
        <v>4</v>
      </c>
      <c r="V139">
        <v>3</v>
      </c>
      <c r="W139">
        <v>3</v>
      </c>
      <c r="X139">
        <v>4</v>
      </c>
      <c r="Y139">
        <v>4</v>
      </c>
      <c r="Z139">
        <v>4</v>
      </c>
      <c r="AA139">
        <v>4</v>
      </c>
      <c r="AB139">
        <v>4</v>
      </c>
      <c r="AC139">
        <v>4</v>
      </c>
      <c r="AD139">
        <v>51</v>
      </c>
      <c r="AE139">
        <v>44</v>
      </c>
      <c r="AF139">
        <v>54</v>
      </c>
      <c r="AG139">
        <v>36</v>
      </c>
      <c r="AH139">
        <v>24</v>
      </c>
      <c r="AI139">
        <v>20</v>
      </c>
      <c r="AJ139">
        <v>18</v>
      </c>
      <c r="AK139">
        <v>27</v>
      </c>
      <c r="AL139">
        <v>318848416</v>
      </c>
      <c r="AM139">
        <v>384822016</v>
      </c>
      <c r="AN139">
        <v>337953472</v>
      </c>
      <c r="AO139">
        <v>468231008</v>
      </c>
      <c r="AP139">
        <v>210481408</v>
      </c>
      <c r="AQ139">
        <v>218180704</v>
      </c>
      <c r="AR139">
        <v>167365296</v>
      </c>
      <c r="AS139">
        <v>273089888</v>
      </c>
      <c r="AT139" s="11">
        <v>278697184</v>
      </c>
      <c r="AU139" s="11">
        <v>94476520</v>
      </c>
      <c r="AW139" s="14">
        <v>270566752</v>
      </c>
      <c r="AX139" s="14">
        <v>231518864</v>
      </c>
      <c r="AZ139" s="16">
        <v>163416288</v>
      </c>
      <c r="BA139" s="16">
        <v>119248624</v>
      </c>
      <c r="BC139" s="18">
        <v>126355352</v>
      </c>
      <c r="BD139" s="18">
        <v>137222608</v>
      </c>
    </row>
    <row r="140" spans="1:56" hidden="1">
      <c r="A140">
        <v>16837</v>
      </c>
      <c r="B140" t="s">
        <v>631</v>
      </c>
      <c r="C140" t="s">
        <v>632</v>
      </c>
      <c r="D140" t="s">
        <v>631</v>
      </c>
      <c r="F140" t="s">
        <v>633</v>
      </c>
      <c r="G140">
        <v>98.314999999999998</v>
      </c>
      <c r="H140" t="s">
        <v>58</v>
      </c>
      <c r="I140">
        <v>2</v>
      </c>
      <c r="J140">
        <v>1</v>
      </c>
      <c r="K140">
        <v>0</v>
      </c>
      <c r="L140">
        <v>15.69</v>
      </c>
      <c r="M140">
        <v>29738</v>
      </c>
      <c r="N140">
        <v>16</v>
      </c>
      <c r="O140">
        <v>3</v>
      </c>
      <c r="P140">
        <v>3</v>
      </c>
      <c r="Q140">
        <v>3</v>
      </c>
      <c r="R140">
        <v>3</v>
      </c>
      <c r="S140">
        <v>10</v>
      </c>
      <c r="T140">
        <v>10</v>
      </c>
      <c r="U140">
        <v>3</v>
      </c>
      <c r="V140">
        <v>1</v>
      </c>
      <c r="W140">
        <v>2</v>
      </c>
      <c r="X140">
        <v>3</v>
      </c>
      <c r="Y140">
        <v>3</v>
      </c>
      <c r="Z140">
        <v>3</v>
      </c>
      <c r="AA140">
        <v>3</v>
      </c>
      <c r="AB140">
        <v>3</v>
      </c>
      <c r="AC140">
        <v>3</v>
      </c>
      <c r="AD140">
        <v>0</v>
      </c>
      <c r="AE140">
        <v>0</v>
      </c>
      <c r="AF140">
        <v>1</v>
      </c>
      <c r="AG140">
        <v>3</v>
      </c>
      <c r="AH140">
        <v>1</v>
      </c>
      <c r="AI140">
        <v>2</v>
      </c>
      <c r="AJ140">
        <v>1</v>
      </c>
      <c r="AK140">
        <v>2</v>
      </c>
      <c r="AL140">
        <v>599804.12</v>
      </c>
      <c r="AM140">
        <v>1546304.25</v>
      </c>
      <c r="AN140">
        <v>6448781</v>
      </c>
      <c r="AO140">
        <v>6660197</v>
      </c>
      <c r="AP140">
        <v>2851257</v>
      </c>
      <c r="AQ140">
        <v>3427757.25</v>
      </c>
      <c r="AR140">
        <v>3325708.5</v>
      </c>
      <c r="AS140">
        <v>3893638.5</v>
      </c>
      <c r="AT140" s="11">
        <v>49923.93</v>
      </c>
      <c r="AU140" s="11">
        <v>2315981.5</v>
      </c>
      <c r="AW140" s="14">
        <v>2965851.75</v>
      </c>
      <c r="AX140" s="14">
        <v>2363967.25</v>
      </c>
      <c r="AZ140" s="16">
        <v>1687432.38</v>
      </c>
      <c r="BA140" s="16">
        <v>1719980.12</v>
      </c>
      <c r="BC140" s="18">
        <v>1851187</v>
      </c>
      <c r="BD140" s="18">
        <v>1682794.25</v>
      </c>
    </row>
    <row r="141" spans="1:56" hidden="1">
      <c r="A141">
        <v>16666</v>
      </c>
      <c r="B141" t="s">
        <v>634</v>
      </c>
      <c r="C141" t="s">
        <v>635</v>
      </c>
      <c r="D141" t="s">
        <v>636</v>
      </c>
      <c r="E141" t="s">
        <v>637</v>
      </c>
      <c r="F141" t="s">
        <v>638</v>
      </c>
      <c r="G141">
        <v>95.965000000000003</v>
      </c>
      <c r="H141" t="s">
        <v>58</v>
      </c>
      <c r="I141">
        <v>2</v>
      </c>
      <c r="J141">
        <v>19</v>
      </c>
      <c r="K141">
        <v>2</v>
      </c>
      <c r="L141">
        <v>11.19</v>
      </c>
      <c r="M141">
        <v>63477</v>
      </c>
      <c r="N141">
        <v>41</v>
      </c>
      <c r="O141">
        <v>6</v>
      </c>
      <c r="P141">
        <v>6</v>
      </c>
      <c r="Q141">
        <v>6</v>
      </c>
      <c r="R141">
        <v>6</v>
      </c>
      <c r="S141">
        <v>13</v>
      </c>
      <c r="T141">
        <v>13</v>
      </c>
      <c r="U141">
        <v>6</v>
      </c>
      <c r="V141">
        <v>5</v>
      </c>
      <c r="W141">
        <v>6</v>
      </c>
      <c r="X141">
        <v>6</v>
      </c>
      <c r="Y141">
        <v>6</v>
      </c>
      <c r="Z141">
        <v>5</v>
      </c>
      <c r="AA141">
        <v>5</v>
      </c>
      <c r="AB141">
        <v>5</v>
      </c>
      <c r="AC141">
        <v>6</v>
      </c>
      <c r="AD141">
        <v>1</v>
      </c>
      <c r="AE141">
        <v>1</v>
      </c>
      <c r="AF141">
        <v>1</v>
      </c>
      <c r="AG141">
        <v>3</v>
      </c>
      <c r="AH141">
        <v>2</v>
      </c>
      <c r="AI141">
        <v>5</v>
      </c>
      <c r="AJ141">
        <v>1</v>
      </c>
      <c r="AK141">
        <v>2</v>
      </c>
      <c r="AL141">
        <v>5740617</v>
      </c>
      <c r="AM141">
        <v>5425318.5</v>
      </c>
      <c r="AN141">
        <v>7049797.5</v>
      </c>
      <c r="AO141">
        <v>9138012</v>
      </c>
      <c r="AP141">
        <v>5911956.5</v>
      </c>
      <c r="AQ141">
        <v>7323273</v>
      </c>
      <c r="AR141">
        <v>5134146</v>
      </c>
      <c r="AS141">
        <v>7971702.5</v>
      </c>
      <c r="AT141" s="11">
        <v>5576643.5</v>
      </c>
      <c r="AU141" s="11">
        <v>5570264.5</v>
      </c>
      <c r="AW141" s="14">
        <v>3370636.25</v>
      </c>
      <c r="AX141" s="14">
        <v>3217917.25</v>
      </c>
      <c r="AZ141" s="16">
        <v>3307839</v>
      </c>
      <c r="BA141" s="16">
        <v>4090869.5</v>
      </c>
      <c r="BC141" s="18">
        <v>2672278</v>
      </c>
      <c r="BD141" s="18">
        <v>3800729.5</v>
      </c>
    </row>
    <row r="142" spans="1:56" hidden="1">
      <c r="A142">
        <v>16864</v>
      </c>
      <c r="B142" t="s">
        <v>639</v>
      </c>
      <c r="C142" t="s">
        <v>640</v>
      </c>
      <c r="D142" t="s">
        <v>639</v>
      </c>
      <c r="E142" t="s">
        <v>641</v>
      </c>
      <c r="F142" t="s">
        <v>642</v>
      </c>
      <c r="G142">
        <v>90.498999999999995</v>
      </c>
      <c r="H142" t="s">
        <v>58</v>
      </c>
      <c r="I142">
        <v>2</v>
      </c>
      <c r="J142">
        <v>1</v>
      </c>
      <c r="K142">
        <v>6</v>
      </c>
      <c r="L142">
        <v>7.3</v>
      </c>
      <c r="M142">
        <v>66037</v>
      </c>
      <c r="N142">
        <v>35</v>
      </c>
      <c r="O142">
        <v>4</v>
      </c>
      <c r="P142">
        <v>4</v>
      </c>
      <c r="Q142">
        <v>4</v>
      </c>
      <c r="R142">
        <v>4</v>
      </c>
      <c r="S142">
        <v>4</v>
      </c>
      <c r="T142">
        <v>4</v>
      </c>
      <c r="U142">
        <v>4</v>
      </c>
      <c r="V142">
        <v>4</v>
      </c>
      <c r="AD142">
        <v>4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4575558</v>
      </c>
      <c r="AT142" s="11">
        <v>4575558</v>
      </c>
      <c r="AU142" s="11">
        <v>151704.31</v>
      </c>
      <c r="AW142" s="14">
        <v>374615.16</v>
      </c>
      <c r="AX142" s="14">
        <v>360097.09</v>
      </c>
      <c r="AZ142" s="16">
        <v>278828.78000000003</v>
      </c>
      <c r="BA142" s="16">
        <v>249615.83</v>
      </c>
      <c r="BC142" s="18">
        <v>274135.90999999997</v>
      </c>
      <c r="BD142" s="18">
        <v>275347</v>
      </c>
    </row>
    <row r="143" spans="1:56" hidden="1">
      <c r="A143">
        <v>16836</v>
      </c>
      <c r="B143" t="s">
        <v>643</v>
      </c>
      <c r="C143" t="s">
        <v>644</v>
      </c>
      <c r="D143" t="s">
        <v>643</v>
      </c>
      <c r="F143" t="s">
        <v>645</v>
      </c>
      <c r="G143">
        <v>87.753</v>
      </c>
      <c r="H143" t="s">
        <v>58</v>
      </c>
      <c r="I143">
        <v>2</v>
      </c>
      <c r="J143">
        <v>1</v>
      </c>
      <c r="K143">
        <v>0</v>
      </c>
      <c r="L143">
        <v>16.23</v>
      </c>
      <c r="M143">
        <v>25258</v>
      </c>
      <c r="N143">
        <v>14</v>
      </c>
      <c r="O143">
        <v>4</v>
      </c>
      <c r="P143">
        <v>4</v>
      </c>
      <c r="Q143">
        <v>4</v>
      </c>
      <c r="R143">
        <v>4</v>
      </c>
      <c r="S143">
        <v>19</v>
      </c>
      <c r="T143">
        <v>19</v>
      </c>
      <c r="U143">
        <v>4</v>
      </c>
      <c r="V143">
        <v>3</v>
      </c>
      <c r="W143">
        <v>3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2</v>
      </c>
      <c r="AE143">
        <v>0</v>
      </c>
      <c r="AF143">
        <v>4</v>
      </c>
      <c r="AG143">
        <v>4</v>
      </c>
      <c r="AH143">
        <v>2</v>
      </c>
      <c r="AI143">
        <v>3</v>
      </c>
      <c r="AJ143">
        <v>3</v>
      </c>
      <c r="AK143">
        <v>3</v>
      </c>
      <c r="AL143">
        <v>1681945.88</v>
      </c>
      <c r="AM143">
        <v>2371699.5</v>
      </c>
      <c r="AN143">
        <v>9155653</v>
      </c>
      <c r="AO143">
        <v>11388222</v>
      </c>
      <c r="AP143">
        <v>5194922.5</v>
      </c>
      <c r="AQ143">
        <v>5755115.5</v>
      </c>
      <c r="AR143">
        <v>4769956</v>
      </c>
      <c r="AS143">
        <v>5579790</v>
      </c>
      <c r="AT143" s="11">
        <v>826168.06</v>
      </c>
      <c r="AU143" s="11">
        <v>3509032.25</v>
      </c>
      <c r="AW143" s="14">
        <v>6674543</v>
      </c>
      <c r="AX143" s="14">
        <v>6346179</v>
      </c>
      <c r="AZ143" s="16">
        <v>4483755</v>
      </c>
      <c r="BA143" s="16">
        <v>4624210.5</v>
      </c>
      <c r="BC143" s="18">
        <v>3794012.25</v>
      </c>
      <c r="BD143" s="18">
        <v>3858476.5</v>
      </c>
    </row>
    <row r="144" spans="1:56" hidden="1">
      <c r="A144">
        <v>16716</v>
      </c>
      <c r="B144" t="s">
        <v>646</v>
      </c>
      <c r="C144" t="s">
        <v>647</v>
      </c>
      <c r="D144" t="s">
        <v>648</v>
      </c>
      <c r="E144" t="s">
        <v>649</v>
      </c>
      <c r="F144" t="s">
        <v>650</v>
      </c>
      <c r="G144">
        <v>82.412000000000006</v>
      </c>
      <c r="H144" t="s">
        <v>58</v>
      </c>
      <c r="I144">
        <v>2</v>
      </c>
      <c r="J144">
        <v>18</v>
      </c>
      <c r="K144">
        <v>3</v>
      </c>
      <c r="L144">
        <v>9.98</v>
      </c>
      <c r="M144">
        <v>53597</v>
      </c>
      <c r="N144">
        <v>20</v>
      </c>
      <c r="O144">
        <v>5</v>
      </c>
      <c r="P144">
        <v>5</v>
      </c>
      <c r="Q144">
        <v>5</v>
      </c>
      <c r="R144">
        <v>5</v>
      </c>
      <c r="S144">
        <v>27</v>
      </c>
      <c r="T144">
        <v>27</v>
      </c>
      <c r="U144">
        <v>5</v>
      </c>
      <c r="V144">
        <v>4</v>
      </c>
      <c r="W144">
        <v>4</v>
      </c>
      <c r="X144">
        <v>4</v>
      </c>
      <c r="Y144">
        <v>4</v>
      </c>
      <c r="Z144">
        <v>4</v>
      </c>
      <c r="AA144">
        <v>4</v>
      </c>
      <c r="AB144">
        <v>4</v>
      </c>
      <c r="AC144">
        <v>5</v>
      </c>
      <c r="AD144">
        <v>0</v>
      </c>
      <c r="AE144">
        <v>2</v>
      </c>
      <c r="AF144">
        <v>5</v>
      </c>
      <c r="AG144">
        <v>6</v>
      </c>
      <c r="AH144">
        <v>2</v>
      </c>
      <c r="AI144">
        <v>5</v>
      </c>
      <c r="AJ144">
        <v>5</v>
      </c>
      <c r="AK144">
        <v>4</v>
      </c>
      <c r="AL144">
        <v>10496198</v>
      </c>
      <c r="AM144">
        <v>9057115</v>
      </c>
      <c r="AN144">
        <v>21843266</v>
      </c>
      <c r="AO144">
        <v>19969942</v>
      </c>
      <c r="AP144">
        <v>13283638</v>
      </c>
      <c r="AQ144">
        <v>14573185</v>
      </c>
      <c r="AR144">
        <v>9732081</v>
      </c>
      <c r="AS144">
        <v>13977784</v>
      </c>
      <c r="AT144" s="11">
        <v>6763682</v>
      </c>
      <c r="AU144" s="11">
        <v>8296725</v>
      </c>
      <c r="AW144" s="14">
        <v>11468995</v>
      </c>
      <c r="AX144" s="14">
        <v>10578286</v>
      </c>
      <c r="AZ144" s="16">
        <v>7396864</v>
      </c>
      <c r="BA144" s="16">
        <v>7489633</v>
      </c>
      <c r="BC144" s="18">
        <v>6622268.5</v>
      </c>
      <c r="BD144" s="18">
        <v>7190543.5</v>
      </c>
    </row>
    <row r="145" spans="1:56" hidden="1">
      <c r="A145">
        <v>16856</v>
      </c>
      <c r="B145" t="s">
        <v>651</v>
      </c>
      <c r="C145" t="s">
        <v>652</v>
      </c>
      <c r="D145" t="s">
        <v>653</v>
      </c>
      <c r="F145" t="s">
        <v>654</v>
      </c>
      <c r="G145">
        <v>79.040999999999997</v>
      </c>
      <c r="H145" t="s">
        <v>58</v>
      </c>
      <c r="I145">
        <v>2</v>
      </c>
      <c r="J145">
        <v>2</v>
      </c>
      <c r="K145">
        <v>0</v>
      </c>
      <c r="L145">
        <v>10.19</v>
      </c>
      <c r="M145">
        <v>39666</v>
      </c>
      <c r="N145">
        <v>22</v>
      </c>
      <c r="O145">
        <v>3</v>
      </c>
      <c r="P145">
        <v>3</v>
      </c>
      <c r="Q145">
        <v>3</v>
      </c>
      <c r="R145">
        <v>3</v>
      </c>
      <c r="S145">
        <v>3</v>
      </c>
      <c r="T145">
        <v>3</v>
      </c>
      <c r="U145">
        <v>3</v>
      </c>
      <c r="V145">
        <v>1</v>
      </c>
      <c r="W145">
        <v>2</v>
      </c>
      <c r="X145">
        <v>3</v>
      </c>
      <c r="Y145">
        <v>2</v>
      </c>
      <c r="Z145">
        <v>2</v>
      </c>
      <c r="AA145">
        <v>2</v>
      </c>
      <c r="AB145">
        <v>2</v>
      </c>
      <c r="AC145">
        <v>1</v>
      </c>
      <c r="AD145">
        <v>0</v>
      </c>
      <c r="AE145">
        <v>0</v>
      </c>
      <c r="AF145">
        <v>2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1442390.88</v>
      </c>
      <c r="AM145">
        <v>1858043.12</v>
      </c>
      <c r="AN145">
        <v>5945442.5</v>
      </c>
      <c r="AO145">
        <v>6837624.5</v>
      </c>
      <c r="AP145">
        <v>2659295.5</v>
      </c>
      <c r="AQ145">
        <v>2652999.5</v>
      </c>
      <c r="AR145">
        <v>2881935.5</v>
      </c>
      <c r="AS145">
        <v>1185959.5</v>
      </c>
      <c r="AT145" s="11">
        <v>72366.880000000005</v>
      </c>
      <c r="AU145" s="11">
        <v>1315640.1200000001</v>
      </c>
      <c r="AW145" s="14">
        <v>4307313.5</v>
      </c>
      <c r="AX145" s="14">
        <v>2449870</v>
      </c>
      <c r="AZ145" s="16">
        <v>1575850.25</v>
      </c>
      <c r="BA145" s="16">
        <v>1531525</v>
      </c>
      <c r="BC145" s="18">
        <v>1567748.75</v>
      </c>
      <c r="BD145" s="18">
        <v>355214.12</v>
      </c>
    </row>
    <row r="146" spans="1:56" hidden="1">
      <c r="A146">
        <v>16866</v>
      </c>
      <c r="B146" t="s">
        <v>655</v>
      </c>
      <c r="C146" t="s">
        <v>656</v>
      </c>
      <c r="D146" t="s">
        <v>655</v>
      </c>
      <c r="F146" t="s">
        <v>657</v>
      </c>
      <c r="G146">
        <v>71.509</v>
      </c>
      <c r="H146" t="s">
        <v>58</v>
      </c>
      <c r="I146">
        <v>2</v>
      </c>
      <c r="J146">
        <v>1</v>
      </c>
      <c r="K146">
        <v>0</v>
      </c>
      <c r="L146">
        <v>6.19</v>
      </c>
      <c r="M146">
        <v>46587</v>
      </c>
      <c r="N146">
        <v>20</v>
      </c>
      <c r="O146">
        <v>2</v>
      </c>
      <c r="P146">
        <v>2</v>
      </c>
      <c r="Q146">
        <v>2</v>
      </c>
      <c r="R146">
        <v>2</v>
      </c>
      <c r="S146">
        <v>9</v>
      </c>
      <c r="T146">
        <v>9</v>
      </c>
      <c r="U146">
        <v>2</v>
      </c>
      <c r="V146">
        <v>1</v>
      </c>
      <c r="W146">
        <v>1</v>
      </c>
      <c r="X146">
        <v>1</v>
      </c>
      <c r="Y146">
        <v>2</v>
      </c>
      <c r="Z146">
        <v>2</v>
      </c>
      <c r="AA146">
        <v>2</v>
      </c>
      <c r="AB146">
        <v>2</v>
      </c>
      <c r="AC146">
        <v>2</v>
      </c>
      <c r="AD146">
        <v>0</v>
      </c>
      <c r="AE146">
        <v>0</v>
      </c>
      <c r="AF146">
        <v>0</v>
      </c>
      <c r="AG146">
        <v>2</v>
      </c>
      <c r="AH146">
        <v>2</v>
      </c>
      <c r="AI146">
        <v>2</v>
      </c>
      <c r="AJ146">
        <v>1</v>
      </c>
      <c r="AK146">
        <v>2</v>
      </c>
      <c r="AL146">
        <v>598358.93999999994</v>
      </c>
      <c r="AM146">
        <v>485248.84</v>
      </c>
      <c r="AN146">
        <v>1351189.38</v>
      </c>
      <c r="AO146">
        <v>4020858.75</v>
      </c>
      <c r="AP146">
        <v>2030545.5</v>
      </c>
      <c r="AQ146">
        <v>2268609</v>
      </c>
      <c r="AR146">
        <v>1822648.5</v>
      </c>
      <c r="AS146">
        <v>2836309.25</v>
      </c>
      <c r="AT146" s="11">
        <v>47621.71</v>
      </c>
      <c r="AU146" s="11">
        <v>31420.07</v>
      </c>
      <c r="AW146" s="14">
        <v>20857.02</v>
      </c>
      <c r="AX146" s="14">
        <v>1668451.38</v>
      </c>
      <c r="AZ146" s="16">
        <v>1513152.12</v>
      </c>
      <c r="BA146" s="16">
        <v>1550471.38</v>
      </c>
      <c r="BC146" s="18">
        <v>1149379.25</v>
      </c>
      <c r="BD146" s="18">
        <v>1566419.5</v>
      </c>
    </row>
    <row r="147" spans="1:56" hidden="1">
      <c r="A147">
        <v>16850</v>
      </c>
      <c r="B147" t="s">
        <v>658</v>
      </c>
      <c r="C147" t="s">
        <v>659</v>
      </c>
      <c r="D147" t="s">
        <v>660</v>
      </c>
      <c r="F147" t="s">
        <v>661</v>
      </c>
      <c r="G147">
        <v>70.578999999999994</v>
      </c>
      <c r="H147" t="s">
        <v>58</v>
      </c>
      <c r="I147">
        <v>2</v>
      </c>
      <c r="J147">
        <v>2</v>
      </c>
      <c r="K147">
        <v>0</v>
      </c>
      <c r="L147">
        <v>13.02</v>
      </c>
      <c r="M147">
        <v>37126</v>
      </c>
      <c r="N147">
        <v>12</v>
      </c>
      <c r="O147">
        <v>4</v>
      </c>
      <c r="P147">
        <v>4</v>
      </c>
      <c r="Q147">
        <v>4</v>
      </c>
      <c r="R147">
        <v>4</v>
      </c>
      <c r="S147">
        <v>18</v>
      </c>
      <c r="T147">
        <v>18</v>
      </c>
      <c r="U147">
        <v>4</v>
      </c>
      <c r="V147">
        <v>3</v>
      </c>
      <c r="W147">
        <v>3</v>
      </c>
      <c r="X147">
        <v>4</v>
      </c>
      <c r="Y147">
        <v>4</v>
      </c>
      <c r="Z147">
        <v>4</v>
      </c>
      <c r="AA147">
        <v>4</v>
      </c>
      <c r="AB147">
        <v>4</v>
      </c>
      <c r="AC147">
        <v>4</v>
      </c>
      <c r="AD147">
        <v>0</v>
      </c>
      <c r="AE147">
        <v>2</v>
      </c>
      <c r="AF147">
        <v>1</v>
      </c>
      <c r="AG147">
        <v>2</v>
      </c>
      <c r="AH147">
        <v>3</v>
      </c>
      <c r="AI147">
        <v>3</v>
      </c>
      <c r="AJ147">
        <v>4</v>
      </c>
      <c r="AK147">
        <v>4</v>
      </c>
      <c r="AL147">
        <v>6091010</v>
      </c>
      <c r="AM147">
        <v>5552329</v>
      </c>
      <c r="AN147">
        <v>18346404</v>
      </c>
      <c r="AO147">
        <v>21860610</v>
      </c>
      <c r="AP147">
        <v>10866882</v>
      </c>
      <c r="AQ147">
        <v>11228190</v>
      </c>
      <c r="AR147">
        <v>10924322</v>
      </c>
      <c r="AS147">
        <v>11051464</v>
      </c>
      <c r="AT147" s="11">
        <v>6323740</v>
      </c>
      <c r="AU147" s="11">
        <v>5495984</v>
      </c>
      <c r="AW147" s="14">
        <v>8823807</v>
      </c>
      <c r="AX147" s="14">
        <v>7475739</v>
      </c>
      <c r="AZ147" s="16">
        <v>6451250.5</v>
      </c>
      <c r="BA147" s="16">
        <v>6124510</v>
      </c>
      <c r="BC147" s="18">
        <v>5563957</v>
      </c>
      <c r="BD147" s="18">
        <v>5030342</v>
      </c>
    </row>
    <row r="148" spans="1:56" hidden="1">
      <c r="A148">
        <v>16812</v>
      </c>
      <c r="B148" t="s">
        <v>662</v>
      </c>
      <c r="C148" t="s">
        <v>663</v>
      </c>
      <c r="D148" t="s">
        <v>664</v>
      </c>
      <c r="F148" t="s">
        <v>665</v>
      </c>
      <c r="G148">
        <v>69.05</v>
      </c>
      <c r="H148" t="s">
        <v>58</v>
      </c>
      <c r="I148">
        <v>2</v>
      </c>
      <c r="J148">
        <v>3</v>
      </c>
      <c r="K148">
        <v>0</v>
      </c>
      <c r="L148">
        <v>22.39</v>
      </c>
      <c r="M148">
        <v>7276</v>
      </c>
      <c r="N148">
        <v>6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Y148">
        <v>1</v>
      </c>
      <c r="AC148">
        <v>1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2789542.5</v>
      </c>
      <c r="AM148">
        <v>2557843.5</v>
      </c>
      <c r="AO148">
        <v>2975933</v>
      </c>
      <c r="AS148">
        <v>1254802.25</v>
      </c>
      <c r="AT148" s="11">
        <v>2789542.5</v>
      </c>
      <c r="AU148" s="11">
        <v>2654808.5</v>
      </c>
      <c r="AW148" s="14">
        <v>374615.16</v>
      </c>
      <c r="AX148" s="14">
        <v>995774.5</v>
      </c>
      <c r="AZ148" s="16">
        <v>278828.78000000003</v>
      </c>
      <c r="BA148" s="16">
        <v>249615.83</v>
      </c>
      <c r="BC148" s="18">
        <v>274135.90999999997</v>
      </c>
      <c r="BD148" s="18">
        <v>575598.56000000006</v>
      </c>
    </row>
    <row r="149" spans="1:56" hidden="1">
      <c r="A149">
        <v>16670</v>
      </c>
      <c r="B149" t="s">
        <v>666</v>
      </c>
      <c r="C149" t="s">
        <v>667</v>
      </c>
      <c r="D149" t="s">
        <v>668</v>
      </c>
      <c r="F149" t="s">
        <v>669</v>
      </c>
      <c r="G149">
        <v>65.888000000000005</v>
      </c>
      <c r="H149" t="s">
        <v>58</v>
      </c>
      <c r="I149">
        <v>2</v>
      </c>
      <c r="J149">
        <v>19</v>
      </c>
      <c r="K149">
        <v>0</v>
      </c>
      <c r="L149">
        <v>8.51</v>
      </c>
      <c r="M149">
        <v>41043</v>
      </c>
      <c r="N149">
        <v>17</v>
      </c>
      <c r="O149">
        <v>3</v>
      </c>
      <c r="P149">
        <v>3</v>
      </c>
      <c r="Q149">
        <v>3</v>
      </c>
      <c r="R149">
        <v>3</v>
      </c>
      <c r="S149">
        <v>18</v>
      </c>
      <c r="T149">
        <v>18</v>
      </c>
      <c r="U149">
        <v>3</v>
      </c>
      <c r="V149">
        <v>2</v>
      </c>
      <c r="W149">
        <v>2</v>
      </c>
      <c r="X149">
        <v>3</v>
      </c>
      <c r="Y149">
        <v>3</v>
      </c>
      <c r="Z149">
        <v>3</v>
      </c>
      <c r="AA149">
        <v>3</v>
      </c>
      <c r="AB149">
        <v>3</v>
      </c>
      <c r="AC149">
        <v>3</v>
      </c>
      <c r="AD149">
        <v>0</v>
      </c>
      <c r="AE149">
        <v>0</v>
      </c>
      <c r="AF149">
        <v>2</v>
      </c>
      <c r="AG149">
        <v>3</v>
      </c>
      <c r="AH149">
        <v>2</v>
      </c>
      <c r="AI149">
        <v>4</v>
      </c>
      <c r="AJ149">
        <v>4</v>
      </c>
      <c r="AK149">
        <v>3</v>
      </c>
      <c r="AL149">
        <v>2397378.75</v>
      </c>
      <c r="AM149">
        <v>2499497</v>
      </c>
      <c r="AN149">
        <v>10985312</v>
      </c>
      <c r="AO149">
        <v>11765584</v>
      </c>
      <c r="AP149">
        <v>5035711</v>
      </c>
      <c r="AQ149">
        <v>5697196</v>
      </c>
      <c r="AR149">
        <v>5555770</v>
      </c>
      <c r="AS149">
        <v>5872357.5</v>
      </c>
      <c r="AT149" s="11">
        <v>2116047.5</v>
      </c>
      <c r="AU149" s="11">
        <v>2255379.5</v>
      </c>
      <c r="AW149" s="14">
        <v>5165649.5</v>
      </c>
      <c r="AX149" s="14">
        <v>4086797</v>
      </c>
      <c r="AZ149" s="16">
        <v>3229521</v>
      </c>
      <c r="BA149" s="16">
        <v>3345274</v>
      </c>
      <c r="BC149" s="18">
        <v>2845927.5</v>
      </c>
      <c r="BD149" s="18">
        <v>2691317</v>
      </c>
    </row>
    <row r="150" spans="1:56" hidden="1">
      <c r="A150">
        <v>16713</v>
      </c>
      <c r="B150" t="s">
        <v>670</v>
      </c>
      <c r="C150" t="s">
        <v>671</v>
      </c>
      <c r="D150" t="s">
        <v>672</v>
      </c>
      <c r="F150" t="s">
        <v>673</v>
      </c>
      <c r="G150">
        <v>64.355999999999995</v>
      </c>
      <c r="H150" t="s">
        <v>58</v>
      </c>
      <c r="I150">
        <v>2</v>
      </c>
      <c r="J150">
        <v>18</v>
      </c>
      <c r="K150">
        <v>0</v>
      </c>
      <c r="L150">
        <v>42.31</v>
      </c>
      <c r="M150">
        <v>8639</v>
      </c>
      <c r="N150">
        <v>3</v>
      </c>
      <c r="O150">
        <v>4</v>
      </c>
      <c r="P150">
        <v>4</v>
      </c>
      <c r="Q150">
        <v>4</v>
      </c>
      <c r="R150">
        <v>4</v>
      </c>
      <c r="S150">
        <v>24</v>
      </c>
      <c r="T150">
        <v>24</v>
      </c>
      <c r="U150">
        <v>4</v>
      </c>
      <c r="V150">
        <v>3</v>
      </c>
      <c r="W150">
        <v>3</v>
      </c>
      <c r="X150">
        <v>3</v>
      </c>
      <c r="Y150">
        <v>4</v>
      </c>
      <c r="Z150">
        <v>3</v>
      </c>
      <c r="AA150">
        <v>4</v>
      </c>
      <c r="AB150">
        <v>4</v>
      </c>
      <c r="AC150">
        <v>4</v>
      </c>
      <c r="AD150">
        <v>7</v>
      </c>
      <c r="AE150">
        <v>3</v>
      </c>
      <c r="AF150">
        <v>4</v>
      </c>
      <c r="AG150">
        <v>4</v>
      </c>
      <c r="AH150">
        <v>2</v>
      </c>
      <c r="AI150">
        <v>1</v>
      </c>
      <c r="AJ150">
        <v>1</v>
      </c>
      <c r="AK150">
        <v>2</v>
      </c>
      <c r="AL150">
        <v>34334744</v>
      </c>
      <c r="AM150">
        <v>33400920</v>
      </c>
      <c r="AN150">
        <v>28864970</v>
      </c>
      <c r="AO150">
        <v>38336008</v>
      </c>
      <c r="AP150">
        <v>15341479</v>
      </c>
      <c r="AQ150">
        <v>20886746</v>
      </c>
      <c r="AR150">
        <v>15852143</v>
      </c>
      <c r="AS150">
        <v>15140707</v>
      </c>
      <c r="AT150" s="11">
        <v>44004412</v>
      </c>
      <c r="AU150" s="11">
        <v>42407280</v>
      </c>
      <c r="AW150" s="14">
        <v>17942978</v>
      </c>
      <c r="AX150" s="14">
        <v>16134794</v>
      </c>
      <c r="AZ150" s="16">
        <v>12276946</v>
      </c>
      <c r="BA150" s="16">
        <v>14494105</v>
      </c>
      <c r="BC150" s="18">
        <v>10273623</v>
      </c>
      <c r="BD150" s="18">
        <v>9857787</v>
      </c>
    </row>
    <row r="151" spans="1:56" hidden="1">
      <c r="A151">
        <v>16784</v>
      </c>
      <c r="B151" t="s">
        <v>674</v>
      </c>
      <c r="C151" t="s">
        <v>675</v>
      </c>
      <c r="D151" t="s">
        <v>676</v>
      </c>
      <c r="F151" t="s">
        <v>677</v>
      </c>
      <c r="G151">
        <v>63.55</v>
      </c>
      <c r="H151" t="s">
        <v>58</v>
      </c>
      <c r="I151">
        <v>2</v>
      </c>
      <c r="J151">
        <v>8</v>
      </c>
      <c r="K151">
        <v>0</v>
      </c>
      <c r="L151">
        <v>8.27</v>
      </c>
      <c r="M151">
        <v>41117</v>
      </c>
      <c r="N151">
        <v>23</v>
      </c>
      <c r="O151">
        <v>5</v>
      </c>
      <c r="P151">
        <v>5</v>
      </c>
      <c r="Q151">
        <v>5</v>
      </c>
      <c r="R151">
        <v>5</v>
      </c>
      <c r="S151">
        <v>19</v>
      </c>
      <c r="T151">
        <v>19</v>
      </c>
      <c r="U151">
        <v>5</v>
      </c>
      <c r="V151">
        <v>3</v>
      </c>
      <c r="W151">
        <v>4</v>
      </c>
      <c r="X151">
        <v>5</v>
      </c>
      <c r="Y151">
        <v>5</v>
      </c>
      <c r="Z151">
        <v>5</v>
      </c>
      <c r="AA151">
        <v>5</v>
      </c>
      <c r="AB151">
        <v>3</v>
      </c>
      <c r="AC151">
        <v>4</v>
      </c>
      <c r="AD151">
        <v>2</v>
      </c>
      <c r="AE151">
        <v>2</v>
      </c>
      <c r="AF151">
        <v>4</v>
      </c>
      <c r="AG151">
        <v>5</v>
      </c>
      <c r="AH151">
        <v>3</v>
      </c>
      <c r="AI151">
        <v>3</v>
      </c>
      <c r="AJ151">
        <v>0</v>
      </c>
      <c r="AK151">
        <v>0</v>
      </c>
      <c r="AL151">
        <v>14944800</v>
      </c>
      <c r="AM151">
        <v>23513036</v>
      </c>
      <c r="AN151">
        <v>22226648</v>
      </c>
      <c r="AO151">
        <v>20722722</v>
      </c>
      <c r="AP151">
        <v>20231604</v>
      </c>
      <c r="AQ151">
        <v>17980348</v>
      </c>
      <c r="AR151">
        <v>10554956</v>
      </c>
      <c r="AS151">
        <v>10792353</v>
      </c>
      <c r="AT151" s="11">
        <v>2022768.38</v>
      </c>
      <c r="AU151" s="11">
        <v>19406292</v>
      </c>
      <c r="AW151" s="14">
        <v>17262058</v>
      </c>
      <c r="AX151" s="14">
        <v>11552267</v>
      </c>
      <c r="AZ151" s="16">
        <v>15025843</v>
      </c>
      <c r="BA151" s="16">
        <v>12982031</v>
      </c>
      <c r="BC151" s="18">
        <v>6517047.5</v>
      </c>
      <c r="BD151" s="18">
        <v>6927917.5</v>
      </c>
    </row>
    <row r="152" spans="1:56" hidden="1">
      <c r="A152">
        <v>16736</v>
      </c>
      <c r="B152" t="s">
        <v>678</v>
      </c>
      <c r="C152" t="s">
        <v>679</v>
      </c>
      <c r="D152" t="s">
        <v>680</v>
      </c>
      <c r="F152" t="s">
        <v>681</v>
      </c>
      <c r="G152">
        <v>61.521999999999998</v>
      </c>
      <c r="H152" t="s">
        <v>58</v>
      </c>
      <c r="I152">
        <v>2</v>
      </c>
      <c r="J152">
        <v>3</v>
      </c>
      <c r="K152">
        <v>0</v>
      </c>
      <c r="L152">
        <v>39.58</v>
      </c>
      <c r="M152">
        <v>4809</v>
      </c>
      <c r="N152">
        <v>2</v>
      </c>
      <c r="O152">
        <v>1</v>
      </c>
      <c r="P152">
        <v>1</v>
      </c>
      <c r="Q152">
        <v>1</v>
      </c>
      <c r="R152">
        <v>1</v>
      </c>
      <c r="S152">
        <v>8</v>
      </c>
      <c r="T152">
        <v>8</v>
      </c>
      <c r="U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0</v>
      </c>
      <c r="AE152">
        <v>2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M152">
        <v>2512229.25</v>
      </c>
      <c r="AN152">
        <v>1407074.88</v>
      </c>
      <c r="AO152">
        <v>1547342</v>
      </c>
      <c r="AP152">
        <v>1134925</v>
      </c>
      <c r="AQ152">
        <v>1268150.8799999999</v>
      </c>
      <c r="AR152">
        <v>750676.19</v>
      </c>
      <c r="AS152">
        <v>650210.62</v>
      </c>
      <c r="AT152" s="11">
        <v>99934.65</v>
      </c>
      <c r="AU152" s="11">
        <v>2607465</v>
      </c>
      <c r="AW152" s="14">
        <v>672361</v>
      </c>
      <c r="AX152" s="14">
        <v>517754.84</v>
      </c>
      <c r="AZ152" s="16">
        <v>685145.38</v>
      </c>
      <c r="BA152" s="16">
        <v>696262.69</v>
      </c>
      <c r="BC152" s="18">
        <v>383112.06</v>
      </c>
      <c r="BD152" s="18">
        <v>298262.38</v>
      </c>
    </row>
    <row r="153" spans="1:56" hidden="1">
      <c r="A153">
        <v>16848</v>
      </c>
      <c r="B153" t="s">
        <v>682</v>
      </c>
      <c r="C153" t="s">
        <v>683</v>
      </c>
      <c r="D153" t="s">
        <v>682</v>
      </c>
      <c r="E153" t="s">
        <v>684</v>
      </c>
      <c r="F153" t="s">
        <v>685</v>
      </c>
      <c r="G153">
        <v>59.481000000000002</v>
      </c>
      <c r="H153" t="s">
        <v>58</v>
      </c>
      <c r="I153">
        <v>2</v>
      </c>
      <c r="J153">
        <v>1</v>
      </c>
      <c r="K153">
        <v>2</v>
      </c>
      <c r="L153">
        <v>49.12</v>
      </c>
      <c r="M153">
        <v>6547</v>
      </c>
      <c r="N153">
        <v>4</v>
      </c>
      <c r="O153">
        <v>3</v>
      </c>
      <c r="P153">
        <v>3</v>
      </c>
      <c r="Q153">
        <v>3</v>
      </c>
      <c r="R153">
        <v>3</v>
      </c>
      <c r="S153">
        <v>11</v>
      </c>
      <c r="T153">
        <v>11</v>
      </c>
      <c r="U153">
        <v>3</v>
      </c>
      <c r="V153">
        <v>2</v>
      </c>
      <c r="W153">
        <v>2</v>
      </c>
      <c r="X153">
        <v>3</v>
      </c>
      <c r="Y153">
        <v>3</v>
      </c>
      <c r="Z153">
        <v>3</v>
      </c>
      <c r="AA153">
        <v>3</v>
      </c>
      <c r="AB153">
        <v>3</v>
      </c>
      <c r="AC153">
        <v>3</v>
      </c>
      <c r="AD153">
        <v>0</v>
      </c>
      <c r="AE153">
        <v>2</v>
      </c>
      <c r="AF153">
        <v>0</v>
      </c>
      <c r="AG153">
        <v>1</v>
      </c>
      <c r="AH153">
        <v>3</v>
      </c>
      <c r="AI153">
        <v>3</v>
      </c>
      <c r="AJ153">
        <v>1</v>
      </c>
      <c r="AK153">
        <v>1</v>
      </c>
      <c r="AL153">
        <v>5473524</v>
      </c>
      <c r="AM153">
        <v>7242350.5</v>
      </c>
      <c r="AN153">
        <v>4794818</v>
      </c>
      <c r="AO153">
        <v>5602085.5</v>
      </c>
      <c r="AP153">
        <v>7622089</v>
      </c>
      <c r="AQ153">
        <v>7469263.5</v>
      </c>
      <c r="AR153">
        <v>3635681</v>
      </c>
      <c r="AS153">
        <v>3836538</v>
      </c>
      <c r="AT153" s="11">
        <v>5464561</v>
      </c>
      <c r="AU153" s="11">
        <v>7653844</v>
      </c>
      <c r="AW153" s="14">
        <v>2273727.5</v>
      </c>
      <c r="AX153" s="14">
        <v>1945413.75</v>
      </c>
      <c r="AZ153" s="16">
        <v>4572569</v>
      </c>
      <c r="BA153" s="16">
        <v>4061557.5</v>
      </c>
      <c r="BC153" s="18">
        <v>1728634.75</v>
      </c>
      <c r="BD153" s="18">
        <v>1797017.38</v>
      </c>
    </row>
    <row r="154" spans="1:56" hidden="1">
      <c r="A154">
        <v>16663</v>
      </c>
      <c r="B154" t="s">
        <v>686</v>
      </c>
      <c r="C154" t="s">
        <v>687</v>
      </c>
      <c r="D154" t="s">
        <v>688</v>
      </c>
      <c r="F154" t="s">
        <v>689</v>
      </c>
      <c r="G154">
        <v>58.171999999999997</v>
      </c>
      <c r="H154" t="s">
        <v>58</v>
      </c>
      <c r="I154">
        <v>2</v>
      </c>
      <c r="J154">
        <v>19</v>
      </c>
      <c r="K154">
        <v>0</v>
      </c>
      <c r="L154">
        <v>69.569999999999993</v>
      </c>
      <c r="M154">
        <v>5380</v>
      </c>
      <c r="N154">
        <v>1</v>
      </c>
      <c r="O154">
        <v>6</v>
      </c>
      <c r="P154">
        <v>6</v>
      </c>
      <c r="Q154">
        <v>6</v>
      </c>
      <c r="R154">
        <v>6</v>
      </c>
      <c r="S154">
        <v>163</v>
      </c>
      <c r="T154">
        <v>163</v>
      </c>
      <c r="U154">
        <v>6</v>
      </c>
      <c r="V154">
        <v>3</v>
      </c>
      <c r="W154">
        <v>6</v>
      </c>
      <c r="X154">
        <v>6</v>
      </c>
      <c r="Y154">
        <v>6</v>
      </c>
      <c r="Z154">
        <v>6</v>
      </c>
      <c r="AA154">
        <v>6</v>
      </c>
      <c r="AB154">
        <v>6</v>
      </c>
      <c r="AC154">
        <v>6</v>
      </c>
      <c r="AD154">
        <v>21</v>
      </c>
      <c r="AE154">
        <v>32</v>
      </c>
      <c r="AF154">
        <v>19</v>
      </c>
      <c r="AG154">
        <v>20</v>
      </c>
      <c r="AH154">
        <v>20</v>
      </c>
      <c r="AI154">
        <v>16</v>
      </c>
      <c r="AJ154">
        <v>20</v>
      </c>
      <c r="AK154">
        <v>15</v>
      </c>
      <c r="AL154">
        <v>174242048</v>
      </c>
      <c r="AM154">
        <v>242857312</v>
      </c>
      <c r="AN154">
        <v>203804928</v>
      </c>
      <c r="AO154">
        <v>280668192</v>
      </c>
      <c r="AP154">
        <v>128697400</v>
      </c>
      <c r="AQ154">
        <v>144151312</v>
      </c>
      <c r="AR154">
        <v>161523536</v>
      </c>
      <c r="AS154">
        <v>147686464</v>
      </c>
      <c r="AT154" s="11">
        <v>112834624</v>
      </c>
      <c r="AU154" s="11">
        <v>174845328</v>
      </c>
      <c r="AW154" s="14">
        <v>123016656</v>
      </c>
      <c r="AX154" s="14">
        <v>165533408</v>
      </c>
      <c r="AZ154" s="16">
        <v>117450032</v>
      </c>
      <c r="BA154" s="16">
        <v>118143384</v>
      </c>
      <c r="BC154" s="18">
        <v>118221440</v>
      </c>
      <c r="BD154" s="18">
        <v>110704376</v>
      </c>
    </row>
    <row r="155" spans="1:56" hidden="1">
      <c r="A155">
        <v>16875</v>
      </c>
      <c r="B155" t="s">
        <v>690</v>
      </c>
      <c r="C155" t="s">
        <v>691</v>
      </c>
      <c r="D155" t="s">
        <v>692</v>
      </c>
      <c r="F155" t="s">
        <v>693</v>
      </c>
      <c r="G155">
        <v>55.841000000000001</v>
      </c>
      <c r="H155" t="s">
        <v>58</v>
      </c>
      <c r="I155">
        <v>2</v>
      </c>
      <c r="J155">
        <v>2</v>
      </c>
      <c r="K155">
        <v>0</v>
      </c>
      <c r="L155">
        <v>10.44</v>
      </c>
      <c r="M155">
        <v>18110</v>
      </c>
      <c r="N155">
        <v>4</v>
      </c>
      <c r="O155">
        <v>1</v>
      </c>
      <c r="P155">
        <v>1</v>
      </c>
      <c r="Q155">
        <v>1</v>
      </c>
      <c r="R155">
        <v>1</v>
      </c>
      <c r="S155">
        <v>6</v>
      </c>
      <c r="T155">
        <v>6</v>
      </c>
      <c r="U155">
        <v>1</v>
      </c>
      <c r="V155">
        <v>1</v>
      </c>
      <c r="W155">
        <v>1</v>
      </c>
      <c r="X155">
        <v>1</v>
      </c>
      <c r="Y155">
        <v>1</v>
      </c>
      <c r="AD155">
        <v>2</v>
      </c>
      <c r="AE155">
        <v>2</v>
      </c>
      <c r="AF155">
        <v>1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3461892</v>
      </c>
      <c r="AM155">
        <v>3826781</v>
      </c>
      <c r="AN155">
        <v>2262206.75</v>
      </c>
      <c r="AO155">
        <v>2774975.5</v>
      </c>
      <c r="AT155" s="11">
        <v>3461892</v>
      </c>
      <c r="AU155" s="11">
        <v>3971849.75</v>
      </c>
      <c r="AW155" s="14">
        <v>1080979.8799999999</v>
      </c>
      <c r="AX155" s="14">
        <v>928532.25</v>
      </c>
      <c r="AZ155" s="16">
        <v>278828.78000000003</v>
      </c>
      <c r="BA155" s="16">
        <v>249615.83</v>
      </c>
      <c r="BC155" s="18">
        <v>274135.90999999997</v>
      </c>
      <c r="BD155" s="18">
        <v>275347</v>
      </c>
    </row>
    <row r="156" spans="1:56" hidden="1">
      <c r="A156">
        <v>16796</v>
      </c>
      <c r="B156" t="s">
        <v>694</v>
      </c>
      <c r="C156" t="s">
        <v>695</v>
      </c>
      <c r="D156" t="s">
        <v>694</v>
      </c>
      <c r="E156" t="s">
        <v>696</v>
      </c>
      <c r="F156" t="s">
        <v>697</v>
      </c>
      <c r="G156">
        <v>51.302999999999997</v>
      </c>
      <c r="H156" t="s">
        <v>58</v>
      </c>
      <c r="I156">
        <v>2</v>
      </c>
      <c r="J156">
        <v>1</v>
      </c>
      <c r="K156">
        <v>3</v>
      </c>
      <c r="L156">
        <v>18.059999999999999</v>
      </c>
      <c r="M156">
        <v>16016</v>
      </c>
      <c r="N156">
        <v>8</v>
      </c>
      <c r="O156">
        <v>2</v>
      </c>
      <c r="P156">
        <v>2</v>
      </c>
      <c r="Q156">
        <v>2</v>
      </c>
      <c r="R156">
        <v>2</v>
      </c>
      <c r="S156">
        <v>4</v>
      </c>
      <c r="T156">
        <v>4</v>
      </c>
      <c r="U156">
        <v>2</v>
      </c>
      <c r="V156">
        <v>1</v>
      </c>
      <c r="W156">
        <v>1</v>
      </c>
      <c r="X156">
        <v>2</v>
      </c>
      <c r="Y156">
        <v>2</v>
      </c>
      <c r="Z156">
        <v>2</v>
      </c>
      <c r="AA156">
        <v>2</v>
      </c>
      <c r="AB156">
        <v>1</v>
      </c>
      <c r="AC156">
        <v>2</v>
      </c>
      <c r="AD156">
        <v>0</v>
      </c>
      <c r="AE156">
        <v>1</v>
      </c>
      <c r="AF156">
        <v>0</v>
      </c>
      <c r="AG156">
        <v>0</v>
      </c>
      <c r="AH156">
        <v>2</v>
      </c>
      <c r="AI156">
        <v>1</v>
      </c>
      <c r="AJ156">
        <v>0</v>
      </c>
      <c r="AK156">
        <v>0</v>
      </c>
      <c r="AL156">
        <v>1808708.38</v>
      </c>
      <c r="AM156">
        <v>1527824.5</v>
      </c>
      <c r="AN156">
        <v>1288882.6200000001</v>
      </c>
      <c r="AO156">
        <v>1557511.5</v>
      </c>
      <c r="AP156">
        <v>1860812.25</v>
      </c>
      <c r="AQ156">
        <v>1693274</v>
      </c>
      <c r="AR156">
        <v>255525.62</v>
      </c>
      <c r="AS156">
        <v>828636.38</v>
      </c>
      <c r="AT156" s="11">
        <v>247882.7</v>
      </c>
      <c r="AU156" s="11">
        <v>161474.17000000001</v>
      </c>
      <c r="AW156" s="14">
        <v>1086984.75</v>
      </c>
      <c r="AX156" s="14">
        <v>895505.56</v>
      </c>
      <c r="AZ156" s="16">
        <v>1857177.38</v>
      </c>
      <c r="BA156" s="16">
        <v>1476331.5</v>
      </c>
      <c r="BC156" s="18">
        <v>274135.90999999997</v>
      </c>
      <c r="BD156" s="18">
        <v>447633.47</v>
      </c>
    </row>
    <row r="157" spans="1:56" hidden="1">
      <c r="A157">
        <v>16656</v>
      </c>
      <c r="B157" t="s">
        <v>698</v>
      </c>
      <c r="C157" t="s">
        <v>699</v>
      </c>
      <c r="D157" t="s">
        <v>700</v>
      </c>
      <c r="F157" t="s">
        <v>701</v>
      </c>
      <c r="G157">
        <v>50.119</v>
      </c>
      <c r="H157" t="s">
        <v>58</v>
      </c>
      <c r="I157">
        <v>2</v>
      </c>
      <c r="J157">
        <v>21</v>
      </c>
      <c r="K157">
        <v>0</v>
      </c>
      <c r="L157">
        <v>11.11</v>
      </c>
      <c r="M157">
        <v>48178</v>
      </c>
      <c r="N157">
        <v>30</v>
      </c>
      <c r="O157">
        <v>4</v>
      </c>
      <c r="P157">
        <v>4</v>
      </c>
      <c r="Q157">
        <v>4</v>
      </c>
      <c r="R157">
        <v>4</v>
      </c>
      <c r="S157">
        <v>12</v>
      </c>
      <c r="T157">
        <v>12</v>
      </c>
      <c r="U157">
        <v>4</v>
      </c>
      <c r="V157">
        <v>3</v>
      </c>
      <c r="W157">
        <v>3</v>
      </c>
      <c r="X157">
        <v>4</v>
      </c>
      <c r="Y157">
        <v>4</v>
      </c>
      <c r="Z157">
        <v>4</v>
      </c>
      <c r="AA157">
        <v>4</v>
      </c>
      <c r="AB157">
        <v>4</v>
      </c>
      <c r="AC157">
        <v>4</v>
      </c>
      <c r="AD157">
        <v>1</v>
      </c>
      <c r="AE157">
        <v>2</v>
      </c>
      <c r="AF157">
        <v>2</v>
      </c>
      <c r="AG157">
        <v>3</v>
      </c>
      <c r="AH157">
        <v>1</v>
      </c>
      <c r="AI157">
        <v>1</v>
      </c>
      <c r="AJ157">
        <v>3</v>
      </c>
      <c r="AK157">
        <v>0</v>
      </c>
      <c r="AL157">
        <v>1761579.25</v>
      </c>
      <c r="AM157">
        <v>1493499</v>
      </c>
      <c r="AN157">
        <v>7474425.5</v>
      </c>
      <c r="AO157">
        <v>11524577</v>
      </c>
      <c r="AP157">
        <v>2563846.5</v>
      </c>
      <c r="AQ157">
        <v>3322075</v>
      </c>
      <c r="AR157">
        <v>3740797.5</v>
      </c>
      <c r="AS157">
        <v>3925793.75</v>
      </c>
      <c r="AT157" s="11">
        <v>1807202.5</v>
      </c>
      <c r="AU157" s="11">
        <v>1937371.12</v>
      </c>
      <c r="AW157" s="14">
        <v>3368597</v>
      </c>
      <c r="AX157" s="14">
        <v>3469757</v>
      </c>
      <c r="AZ157" s="16">
        <v>1789741.38</v>
      </c>
      <c r="BA157" s="16">
        <v>1954857.5</v>
      </c>
      <c r="BC157" s="18">
        <v>1914080.25</v>
      </c>
      <c r="BD157" s="18">
        <v>1693508</v>
      </c>
    </row>
    <row r="158" spans="1:56" hidden="1">
      <c r="A158">
        <v>16744</v>
      </c>
      <c r="B158" t="s">
        <v>702</v>
      </c>
      <c r="C158" t="s">
        <v>703</v>
      </c>
      <c r="D158" t="s">
        <v>704</v>
      </c>
      <c r="E158" t="s">
        <v>705</v>
      </c>
      <c r="F158" t="s">
        <v>706</v>
      </c>
      <c r="G158">
        <v>48.146999999999998</v>
      </c>
      <c r="H158" t="s">
        <v>58</v>
      </c>
      <c r="I158">
        <v>2</v>
      </c>
      <c r="J158">
        <v>18</v>
      </c>
      <c r="K158">
        <v>3</v>
      </c>
      <c r="L158">
        <v>4.24</v>
      </c>
      <c r="M158">
        <v>74228</v>
      </c>
      <c r="N158">
        <v>41</v>
      </c>
      <c r="O158">
        <v>3</v>
      </c>
      <c r="P158">
        <v>3</v>
      </c>
      <c r="Q158">
        <v>3</v>
      </c>
      <c r="R158">
        <v>3</v>
      </c>
      <c r="S158">
        <v>4</v>
      </c>
      <c r="T158">
        <v>4</v>
      </c>
      <c r="U158">
        <v>3</v>
      </c>
      <c r="V158">
        <v>3</v>
      </c>
      <c r="W158">
        <v>2</v>
      </c>
      <c r="X158">
        <v>3</v>
      </c>
      <c r="Y158">
        <v>3</v>
      </c>
      <c r="Z158">
        <v>3</v>
      </c>
      <c r="AA158">
        <v>3</v>
      </c>
      <c r="AB158">
        <v>3</v>
      </c>
      <c r="AC158">
        <v>3</v>
      </c>
      <c r="AD158">
        <v>2</v>
      </c>
      <c r="AE158">
        <v>1</v>
      </c>
      <c r="AF158">
        <v>3</v>
      </c>
      <c r="AG158">
        <v>1</v>
      </c>
      <c r="AH158">
        <v>2</v>
      </c>
      <c r="AI158">
        <v>3</v>
      </c>
      <c r="AJ158">
        <v>1</v>
      </c>
      <c r="AK158">
        <v>2</v>
      </c>
      <c r="AL158">
        <v>995579.75</v>
      </c>
      <c r="AM158">
        <v>498900.12</v>
      </c>
      <c r="AN158">
        <v>26672762</v>
      </c>
      <c r="AO158">
        <v>58031512</v>
      </c>
      <c r="AP158">
        <v>12525392</v>
      </c>
      <c r="AQ158">
        <v>13439301</v>
      </c>
      <c r="AR158">
        <v>18723254</v>
      </c>
      <c r="AS158">
        <v>15939012</v>
      </c>
      <c r="AT158" s="11">
        <v>6567529</v>
      </c>
      <c r="AU158" s="11">
        <v>349446.59</v>
      </c>
      <c r="AW158" s="14">
        <v>13082904</v>
      </c>
      <c r="AX158" s="14">
        <v>12258912</v>
      </c>
      <c r="AZ158" s="16">
        <v>9515979</v>
      </c>
      <c r="BA158" s="16">
        <v>8518194</v>
      </c>
      <c r="BC158" s="18">
        <v>7736031</v>
      </c>
      <c r="BD158" s="18">
        <v>8865815</v>
      </c>
    </row>
    <row r="159" spans="1:56" hidden="1">
      <c r="A159">
        <v>16879</v>
      </c>
      <c r="B159" t="s">
        <v>707</v>
      </c>
      <c r="C159" t="s">
        <v>708</v>
      </c>
      <c r="D159" t="s">
        <v>707</v>
      </c>
      <c r="F159" t="s">
        <v>709</v>
      </c>
      <c r="G159">
        <v>46.671999999999997</v>
      </c>
      <c r="H159" t="s">
        <v>58</v>
      </c>
      <c r="I159">
        <v>2</v>
      </c>
      <c r="J159">
        <v>1</v>
      </c>
      <c r="K159">
        <v>0</v>
      </c>
      <c r="L159">
        <v>2.2400000000000002</v>
      </c>
      <c r="M159">
        <v>85356</v>
      </c>
      <c r="N159">
        <v>50</v>
      </c>
      <c r="O159">
        <v>2</v>
      </c>
      <c r="P159">
        <v>2</v>
      </c>
      <c r="Q159">
        <v>2</v>
      </c>
      <c r="R159">
        <v>2</v>
      </c>
      <c r="S159">
        <v>10</v>
      </c>
      <c r="T159">
        <v>10</v>
      </c>
      <c r="U159">
        <v>2</v>
      </c>
      <c r="V159">
        <v>2</v>
      </c>
      <c r="W159">
        <v>2</v>
      </c>
      <c r="X159">
        <v>2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2</v>
      </c>
      <c r="AE159">
        <v>3</v>
      </c>
      <c r="AF159">
        <v>1</v>
      </c>
      <c r="AG159">
        <v>1</v>
      </c>
      <c r="AH159">
        <v>0</v>
      </c>
      <c r="AI159">
        <v>1</v>
      </c>
      <c r="AJ159">
        <v>1</v>
      </c>
      <c r="AK159">
        <v>1</v>
      </c>
      <c r="AL159">
        <v>11395344</v>
      </c>
      <c r="AM159">
        <v>13409068</v>
      </c>
      <c r="AN159">
        <v>7862918.5</v>
      </c>
      <c r="AO159">
        <v>9571113</v>
      </c>
      <c r="AP159">
        <v>11010917</v>
      </c>
      <c r="AQ159">
        <v>11755885</v>
      </c>
      <c r="AR159">
        <v>4979188</v>
      </c>
      <c r="AS159">
        <v>4639408.5</v>
      </c>
      <c r="AT159" s="11">
        <v>10796907</v>
      </c>
      <c r="AU159" s="11">
        <v>21932474</v>
      </c>
      <c r="AW159" s="14">
        <v>4576158</v>
      </c>
      <c r="AX159" s="14">
        <v>2182707.75</v>
      </c>
      <c r="AZ159" s="16">
        <v>4525754</v>
      </c>
      <c r="BA159" s="16">
        <v>4396041.5</v>
      </c>
      <c r="BC159" s="18">
        <v>1870457.25</v>
      </c>
      <c r="BD159" s="18">
        <v>1467217.5</v>
      </c>
    </row>
    <row r="160" spans="1:56" hidden="1">
      <c r="A160">
        <v>16790</v>
      </c>
      <c r="B160" t="s">
        <v>710</v>
      </c>
      <c r="C160" t="s">
        <v>711</v>
      </c>
      <c r="D160" t="s">
        <v>712</v>
      </c>
      <c r="F160" t="s">
        <v>713</v>
      </c>
      <c r="G160">
        <v>46.378</v>
      </c>
      <c r="H160" t="s">
        <v>58</v>
      </c>
      <c r="I160">
        <v>2</v>
      </c>
      <c r="J160">
        <v>3</v>
      </c>
      <c r="K160">
        <v>0</v>
      </c>
      <c r="L160">
        <v>34.44</v>
      </c>
      <c r="M160">
        <v>9225</v>
      </c>
      <c r="N160">
        <v>6</v>
      </c>
      <c r="O160">
        <v>3</v>
      </c>
      <c r="P160">
        <v>3</v>
      </c>
      <c r="Q160">
        <v>3</v>
      </c>
      <c r="R160">
        <v>3</v>
      </c>
      <c r="S160">
        <v>5</v>
      </c>
      <c r="T160">
        <v>5</v>
      </c>
      <c r="U160">
        <v>3</v>
      </c>
      <c r="V160">
        <v>1</v>
      </c>
      <c r="W160">
        <v>2</v>
      </c>
      <c r="X160">
        <v>1</v>
      </c>
      <c r="Y160">
        <v>2</v>
      </c>
      <c r="Z160">
        <v>2</v>
      </c>
      <c r="AA160">
        <v>2</v>
      </c>
      <c r="AB160">
        <v>2</v>
      </c>
      <c r="AC160">
        <v>1</v>
      </c>
      <c r="AD160">
        <v>1</v>
      </c>
      <c r="AE160">
        <v>2</v>
      </c>
      <c r="AF160">
        <v>0</v>
      </c>
      <c r="AG160">
        <v>1</v>
      </c>
      <c r="AH160">
        <v>1</v>
      </c>
      <c r="AI160">
        <v>0</v>
      </c>
      <c r="AJ160">
        <v>0</v>
      </c>
      <c r="AK160">
        <v>0</v>
      </c>
      <c r="AL160">
        <v>29750872</v>
      </c>
      <c r="AM160">
        <v>63027020</v>
      </c>
      <c r="AN160">
        <v>13740936</v>
      </c>
      <c r="AO160">
        <v>19424702</v>
      </c>
      <c r="AP160">
        <v>16771890</v>
      </c>
      <c r="AQ160">
        <v>16515109</v>
      </c>
      <c r="AR160">
        <v>6817893</v>
      </c>
      <c r="AS160">
        <v>4019618.75</v>
      </c>
      <c r="AT160" s="11">
        <v>587900.81000000006</v>
      </c>
      <c r="AU160" s="11">
        <v>60638084</v>
      </c>
      <c r="AW160" s="14">
        <v>300837.15999999997</v>
      </c>
      <c r="AX160" s="14">
        <v>13038441</v>
      </c>
      <c r="AZ160" s="16">
        <v>21872242</v>
      </c>
      <c r="BA160" s="16">
        <v>19523688</v>
      </c>
      <c r="BC160" s="18">
        <v>8610599</v>
      </c>
      <c r="BD160" s="18">
        <v>788144.44</v>
      </c>
    </row>
    <row r="161" spans="1:56" hidden="1">
      <c r="A161">
        <v>16881</v>
      </c>
      <c r="B161" t="s">
        <v>714</v>
      </c>
      <c r="C161" t="s">
        <v>715</v>
      </c>
      <c r="D161" t="s">
        <v>714</v>
      </c>
      <c r="F161" t="s">
        <v>716</v>
      </c>
      <c r="G161">
        <v>43.683999999999997</v>
      </c>
      <c r="H161" t="s">
        <v>58</v>
      </c>
      <c r="I161">
        <v>2</v>
      </c>
      <c r="J161">
        <v>1</v>
      </c>
      <c r="K161">
        <v>0</v>
      </c>
      <c r="L161">
        <v>4.33</v>
      </c>
      <c r="M161">
        <v>62063</v>
      </c>
      <c r="N161">
        <v>30</v>
      </c>
      <c r="O161">
        <v>2</v>
      </c>
      <c r="P161">
        <v>2</v>
      </c>
      <c r="Q161">
        <v>2</v>
      </c>
      <c r="R161">
        <v>2</v>
      </c>
      <c r="S161">
        <v>2</v>
      </c>
      <c r="T161">
        <v>2</v>
      </c>
      <c r="U161">
        <v>2</v>
      </c>
      <c r="V161">
        <v>2</v>
      </c>
      <c r="AD161">
        <v>2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1643194.25</v>
      </c>
      <c r="AT161" s="11">
        <v>1643194.25</v>
      </c>
      <c r="AU161" s="11">
        <v>151704.31</v>
      </c>
      <c r="AW161" s="14">
        <v>374615.16</v>
      </c>
      <c r="AX161" s="14">
        <v>360097.09</v>
      </c>
      <c r="AZ161" s="16">
        <v>278828.78000000003</v>
      </c>
      <c r="BA161" s="16">
        <v>249615.83</v>
      </c>
      <c r="BC161" s="18">
        <v>274135.90999999997</v>
      </c>
      <c r="BD161" s="18">
        <v>275347</v>
      </c>
    </row>
    <row r="162" spans="1:56" hidden="1">
      <c r="A162">
        <v>16828</v>
      </c>
      <c r="B162" t="s">
        <v>717</v>
      </c>
      <c r="C162" t="s">
        <v>718</v>
      </c>
      <c r="D162" t="s">
        <v>719</v>
      </c>
      <c r="F162" t="s">
        <v>720</v>
      </c>
      <c r="G162">
        <v>43.337000000000003</v>
      </c>
      <c r="H162" t="s">
        <v>58</v>
      </c>
      <c r="I162">
        <v>2</v>
      </c>
      <c r="J162">
        <v>2</v>
      </c>
      <c r="K162">
        <v>0</v>
      </c>
      <c r="L162">
        <v>13.38</v>
      </c>
      <c r="M162">
        <v>51542</v>
      </c>
      <c r="N162">
        <v>25</v>
      </c>
      <c r="O162">
        <v>6</v>
      </c>
      <c r="P162">
        <v>6</v>
      </c>
      <c r="Q162">
        <v>6</v>
      </c>
      <c r="R162">
        <v>6</v>
      </c>
      <c r="S162">
        <v>18</v>
      </c>
      <c r="T162">
        <v>18</v>
      </c>
      <c r="U162">
        <v>6</v>
      </c>
      <c r="V162">
        <v>3</v>
      </c>
      <c r="W162">
        <v>4</v>
      </c>
      <c r="X162">
        <v>6</v>
      </c>
      <c r="Y162">
        <v>6</v>
      </c>
      <c r="Z162">
        <v>6</v>
      </c>
      <c r="AA162">
        <v>6</v>
      </c>
      <c r="AB162">
        <v>5</v>
      </c>
      <c r="AC162">
        <v>6</v>
      </c>
      <c r="AD162">
        <v>0</v>
      </c>
      <c r="AE162">
        <v>0</v>
      </c>
      <c r="AF162">
        <v>3</v>
      </c>
      <c r="AG162">
        <v>4</v>
      </c>
      <c r="AH162">
        <v>3</v>
      </c>
      <c r="AI162">
        <v>3</v>
      </c>
      <c r="AJ162">
        <v>2</v>
      </c>
      <c r="AK162">
        <v>3</v>
      </c>
      <c r="AL162">
        <v>2314292</v>
      </c>
      <c r="AM162">
        <v>2549946</v>
      </c>
      <c r="AN162">
        <v>11351385</v>
      </c>
      <c r="AO162">
        <v>16426720</v>
      </c>
      <c r="AP162">
        <v>5953659</v>
      </c>
      <c r="AQ162">
        <v>6352479</v>
      </c>
      <c r="AR162">
        <v>4946668</v>
      </c>
      <c r="AS162">
        <v>8277753.5</v>
      </c>
      <c r="AT162" s="11">
        <v>281709.84000000003</v>
      </c>
      <c r="AU162" s="11">
        <v>1489541.38</v>
      </c>
      <c r="AW162" s="14">
        <v>7183500.5</v>
      </c>
      <c r="AX162" s="14">
        <v>6713306.5</v>
      </c>
      <c r="AZ162" s="16">
        <v>4313160</v>
      </c>
      <c r="BA162" s="16">
        <v>4269262.5</v>
      </c>
      <c r="BC162" s="18">
        <v>3350650.75</v>
      </c>
      <c r="BD162" s="18">
        <v>4411403</v>
      </c>
    </row>
    <row r="163" spans="1:56" hidden="1">
      <c r="A163">
        <v>16686</v>
      </c>
      <c r="B163" t="s">
        <v>721</v>
      </c>
      <c r="C163" t="s">
        <v>722</v>
      </c>
      <c r="D163" t="s">
        <v>723</v>
      </c>
      <c r="F163" t="s">
        <v>724</v>
      </c>
      <c r="G163">
        <v>43.335000000000001</v>
      </c>
      <c r="H163" t="s">
        <v>58</v>
      </c>
      <c r="I163">
        <v>2</v>
      </c>
      <c r="J163">
        <v>13</v>
      </c>
      <c r="K163">
        <v>0</v>
      </c>
      <c r="L163">
        <v>15.41</v>
      </c>
      <c r="M163">
        <v>32534</v>
      </c>
      <c r="N163">
        <v>14</v>
      </c>
      <c r="O163">
        <v>4</v>
      </c>
      <c r="P163">
        <v>4</v>
      </c>
      <c r="Q163">
        <v>4</v>
      </c>
      <c r="R163">
        <v>4</v>
      </c>
      <c r="S163">
        <v>21</v>
      </c>
      <c r="T163">
        <v>21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3</v>
      </c>
      <c r="AE163">
        <v>1</v>
      </c>
      <c r="AF163">
        <v>4</v>
      </c>
      <c r="AG163">
        <v>4</v>
      </c>
      <c r="AH163">
        <v>1</v>
      </c>
      <c r="AI163">
        <v>3</v>
      </c>
      <c r="AJ163">
        <v>3</v>
      </c>
      <c r="AK163">
        <v>3</v>
      </c>
      <c r="AL163">
        <v>9602965</v>
      </c>
      <c r="AM163">
        <v>4262272</v>
      </c>
      <c r="AN163">
        <v>17366782</v>
      </c>
      <c r="AO163">
        <v>23960668</v>
      </c>
      <c r="AP163">
        <v>10743535</v>
      </c>
      <c r="AQ163">
        <v>11095602</v>
      </c>
      <c r="AR163">
        <v>9816307</v>
      </c>
      <c r="AS163">
        <v>11774316</v>
      </c>
      <c r="AT163" s="11">
        <v>9227979</v>
      </c>
      <c r="AU163" s="11">
        <v>2133867.25</v>
      </c>
      <c r="AW163" s="14">
        <v>8877065</v>
      </c>
      <c r="AX163" s="14">
        <v>8766793</v>
      </c>
      <c r="AZ163" s="16">
        <v>6890392</v>
      </c>
      <c r="BA163" s="16">
        <v>6404075.5</v>
      </c>
      <c r="BC163" s="18">
        <v>4781575</v>
      </c>
      <c r="BD163" s="18">
        <v>5635775</v>
      </c>
    </row>
    <row r="164" spans="1:56" hidden="1">
      <c r="A164">
        <v>16838</v>
      </c>
      <c r="B164" t="s">
        <v>725</v>
      </c>
      <c r="C164" t="s">
        <v>726</v>
      </c>
      <c r="D164" t="s">
        <v>727</v>
      </c>
      <c r="F164" t="s">
        <v>728</v>
      </c>
      <c r="G164">
        <v>41.808999999999997</v>
      </c>
      <c r="H164" t="s">
        <v>58</v>
      </c>
      <c r="I164">
        <v>2</v>
      </c>
      <c r="J164">
        <v>4</v>
      </c>
      <c r="K164">
        <v>0</v>
      </c>
      <c r="L164">
        <v>46.38</v>
      </c>
      <c r="M164">
        <v>7463</v>
      </c>
      <c r="N164">
        <v>6</v>
      </c>
      <c r="O164">
        <v>3</v>
      </c>
      <c r="P164">
        <v>3</v>
      </c>
      <c r="Q164">
        <v>3</v>
      </c>
      <c r="R164">
        <v>3</v>
      </c>
      <c r="S164">
        <v>16</v>
      </c>
      <c r="T164">
        <v>16</v>
      </c>
      <c r="U164">
        <v>3</v>
      </c>
      <c r="V164">
        <v>3</v>
      </c>
      <c r="W164">
        <v>3</v>
      </c>
      <c r="X164">
        <v>3</v>
      </c>
      <c r="Y164">
        <v>3</v>
      </c>
      <c r="Z164">
        <v>3</v>
      </c>
      <c r="AA164">
        <v>3</v>
      </c>
      <c r="AB164">
        <v>3</v>
      </c>
      <c r="AC164">
        <v>3</v>
      </c>
      <c r="AD164">
        <v>5</v>
      </c>
      <c r="AE164">
        <v>0</v>
      </c>
      <c r="AF164">
        <v>3</v>
      </c>
      <c r="AG164">
        <v>3</v>
      </c>
      <c r="AH164">
        <v>2</v>
      </c>
      <c r="AI164">
        <v>3</v>
      </c>
      <c r="AJ164">
        <v>1</v>
      </c>
      <c r="AK164">
        <v>0</v>
      </c>
      <c r="AL164">
        <v>38866508</v>
      </c>
      <c r="AM164">
        <v>40134620</v>
      </c>
      <c r="AN164">
        <v>21477524</v>
      </c>
      <c r="AO164">
        <v>28120630</v>
      </c>
      <c r="AP164">
        <v>12826614</v>
      </c>
      <c r="AQ164">
        <v>13910340</v>
      </c>
      <c r="AR164">
        <v>9751811</v>
      </c>
      <c r="AS164">
        <v>8041654.5</v>
      </c>
      <c r="AT164" s="11">
        <v>39523676</v>
      </c>
      <c r="AU164" s="11">
        <v>41448604</v>
      </c>
      <c r="AW164" s="14">
        <v>10906173</v>
      </c>
      <c r="AX164" s="14">
        <v>8788326</v>
      </c>
      <c r="AZ164" s="16">
        <v>7652779</v>
      </c>
      <c r="BA164" s="16">
        <v>7539799.5</v>
      </c>
      <c r="BC164" s="18">
        <v>4795997</v>
      </c>
      <c r="BD164" s="18">
        <v>3712260.75</v>
      </c>
    </row>
    <row r="165" spans="1:56" hidden="1">
      <c r="A165">
        <v>16818</v>
      </c>
      <c r="B165" t="s">
        <v>729</v>
      </c>
      <c r="C165" t="s">
        <v>730</v>
      </c>
      <c r="D165" t="s">
        <v>731</v>
      </c>
      <c r="F165" t="s">
        <v>732</v>
      </c>
      <c r="G165">
        <v>41.168999999999997</v>
      </c>
      <c r="H165" t="s">
        <v>58</v>
      </c>
      <c r="I165">
        <v>2</v>
      </c>
      <c r="J165">
        <v>5</v>
      </c>
      <c r="K165">
        <v>0</v>
      </c>
      <c r="L165">
        <v>22.22</v>
      </c>
      <c r="M165">
        <v>5095</v>
      </c>
      <c r="N165">
        <v>3</v>
      </c>
      <c r="O165">
        <v>1</v>
      </c>
      <c r="P165">
        <v>1</v>
      </c>
      <c r="Q165">
        <v>1</v>
      </c>
      <c r="R165">
        <v>1</v>
      </c>
      <c r="S165">
        <v>8</v>
      </c>
      <c r="T165">
        <v>8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2</v>
      </c>
      <c r="AE165">
        <v>2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9058433</v>
      </c>
      <c r="AM165">
        <v>8780371</v>
      </c>
      <c r="AN165">
        <v>11319976</v>
      </c>
      <c r="AO165">
        <v>12676747</v>
      </c>
      <c r="AP165">
        <v>6298693.5</v>
      </c>
      <c r="AQ165">
        <v>5670608.5</v>
      </c>
      <c r="AR165">
        <v>5375219</v>
      </c>
      <c r="AS165">
        <v>4408605.5</v>
      </c>
      <c r="AT165" s="11">
        <v>9058433</v>
      </c>
      <c r="AU165" s="11">
        <v>9113224</v>
      </c>
      <c r="AW165" s="14">
        <v>5409172.5</v>
      </c>
      <c r="AX165" s="14">
        <v>4241756</v>
      </c>
      <c r="AZ165" s="16">
        <v>3802472</v>
      </c>
      <c r="BA165" s="16">
        <v>3113378</v>
      </c>
      <c r="BC165" s="18">
        <v>2743275</v>
      </c>
      <c r="BD165" s="18">
        <v>2022300.25</v>
      </c>
    </row>
    <row r="166" spans="1:56" hidden="1">
      <c r="A166">
        <v>16877</v>
      </c>
      <c r="B166" t="s">
        <v>733</v>
      </c>
      <c r="C166" t="s">
        <v>734</v>
      </c>
      <c r="D166" t="s">
        <v>733</v>
      </c>
      <c r="F166" t="s">
        <v>735</v>
      </c>
      <c r="G166">
        <v>37.479999999999997</v>
      </c>
      <c r="H166" t="s">
        <v>58</v>
      </c>
      <c r="I166">
        <v>2</v>
      </c>
      <c r="J166">
        <v>1</v>
      </c>
      <c r="K166">
        <v>0</v>
      </c>
      <c r="L166">
        <v>4.16</v>
      </c>
      <c r="M166">
        <v>49873</v>
      </c>
      <c r="N166">
        <v>22</v>
      </c>
      <c r="O166">
        <v>2</v>
      </c>
      <c r="P166">
        <v>2</v>
      </c>
      <c r="Q166">
        <v>2</v>
      </c>
      <c r="R166">
        <v>2</v>
      </c>
      <c r="S166">
        <v>7</v>
      </c>
      <c r="T166">
        <v>7</v>
      </c>
      <c r="U166">
        <v>2</v>
      </c>
      <c r="V166">
        <v>1</v>
      </c>
      <c r="W166">
        <v>1</v>
      </c>
      <c r="X166">
        <v>2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0</v>
      </c>
      <c r="AE166">
        <v>1</v>
      </c>
      <c r="AF166">
        <v>2</v>
      </c>
      <c r="AG166">
        <v>2</v>
      </c>
      <c r="AH166">
        <v>1</v>
      </c>
      <c r="AI166">
        <v>1</v>
      </c>
      <c r="AJ166">
        <v>1</v>
      </c>
      <c r="AK166">
        <v>0</v>
      </c>
      <c r="AL166">
        <v>1280924.6200000001</v>
      </c>
      <c r="AM166">
        <v>1272319.8799999999</v>
      </c>
      <c r="AN166">
        <v>12895891</v>
      </c>
      <c r="AO166">
        <v>18676132</v>
      </c>
      <c r="AP166">
        <v>9132051</v>
      </c>
      <c r="AQ166">
        <v>9013477</v>
      </c>
      <c r="AR166">
        <v>7763120</v>
      </c>
      <c r="AS166">
        <v>9136897</v>
      </c>
      <c r="AT166" s="11">
        <v>48416.29</v>
      </c>
      <c r="AU166" s="11">
        <v>31963.439999999999</v>
      </c>
      <c r="AW166" s="14">
        <v>6568256.5</v>
      </c>
      <c r="AX166" s="14">
        <v>6456595.5</v>
      </c>
      <c r="AZ166" s="16">
        <v>5903691</v>
      </c>
      <c r="BA166" s="16">
        <v>5307223.5</v>
      </c>
      <c r="BC166" s="18">
        <v>4255511</v>
      </c>
      <c r="BD166" s="18">
        <v>4503745.5</v>
      </c>
    </row>
    <row r="167" spans="1:56" hidden="1">
      <c r="A167">
        <v>16775</v>
      </c>
      <c r="B167" t="s">
        <v>736</v>
      </c>
      <c r="C167" t="s">
        <v>737</v>
      </c>
      <c r="D167" t="s">
        <v>738</v>
      </c>
      <c r="F167" t="s">
        <v>739</v>
      </c>
      <c r="G167">
        <v>37.450000000000003</v>
      </c>
      <c r="H167" t="s">
        <v>58</v>
      </c>
      <c r="I167">
        <v>2</v>
      </c>
      <c r="J167">
        <v>20</v>
      </c>
      <c r="K167">
        <v>0</v>
      </c>
      <c r="L167">
        <v>12.5</v>
      </c>
      <c r="M167">
        <v>8951</v>
      </c>
      <c r="N167">
        <v>6</v>
      </c>
      <c r="O167">
        <v>2</v>
      </c>
      <c r="P167">
        <v>2</v>
      </c>
      <c r="Q167">
        <v>2</v>
      </c>
      <c r="R167">
        <v>2</v>
      </c>
      <c r="S167">
        <v>11</v>
      </c>
      <c r="T167">
        <v>11</v>
      </c>
      <c r="U167">
        <v>2</v>
      </c>
      <c r="V167">
        <v>1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1</v>
      </c>
      <c r="AE167">
        <v>2</v>
      </c>
      <c r="AF167">
        <v>1</v>
      </c>
      <c r="AG167">
        <v>2</v>
      </c>
      <c r="AH167">
        <v>1</v>
      </c>
      <c r="AI167">
        <v>1</v>
      </c>
      <c r="AJ167">
        <v>2</v>
      </c>
      <c r="AK167">
        <v>2</v>
      </c>
      <c r="AL167">
        <v>1170714</v>
      </c>
      <c r="AM167">
        <v>1367194</v>
      </c>
      <c r="AN167">
        <v>5129861</v>
      </c>
      <c r="AO167">
        <v>6213301</v>
      </c>
      <c r="AP167">
        <v>2667790</v>
      </c>
      <c r="AQ167">
        <v>2914751.5</v>
      </c>
      <c r="AR167">
        <v>2475343.75</v>
      </c>
      <c r="AS167">
        <v>2839085.5</v>
      </c>
      <c r="AT167" s="11">
        <v>56715.519999999997</v>
      </c>
      <c r="AU167" s="11">
        <v>1353997.12</v>
      </c>
      <c r="AW167" s="14">
        <v>2661609.25</v>
      </c>
      <c r="AX167" s="14">
        <v>2189338.25</v>
      </c>
      <c r="AZ167" s="16">
        <v>1779812.38</v>
      </c>
      <c r="BA167" s="16">
        <v>1764443.25</v>
      </c>
      <c r="BC167" s="18">
        <v>1396273.25</v>
      </c>
      <c r="BD167" s="18">
        <v>1442509.88</v>
      </c>
    </row>
    <row r="168" spans="1:56" hidden="1">
      <c r="A168">
        <v>16748</v>
      </c>
      <c r="B168" t="s">
        <v>740</v>
      </c>
      <c r="C168" t="s">
        <v>741</v>
      </c>
      <c r="D168" t="s">
        <v>742</v>
      </c>
      <c r="F168" t="s">
        <v>743</v>
      </c>
      <c r="G168">
        <v>32.35</v>
      </c>
      <c r="H168" t="s">
        <v>58</v>
      </c>
      <c r="I168">
        <v>2</v>
      </c>
      <c r="J168">
        <v>20</v>
      </c>
      <c r="K168">
        <v>0</v>
      </c>
      <c r="L168">
        <v>10.18</v>
      </c>
      <c r="M168">
        <v>18695</v>
      </c>
      <c r="N168">
        <v>13</v>
      </c>
      <c r="O168">
        <v>2</v>
      </c>
      <c r="P168">
        <v>2</v>
      </c>
      <c r="Q168">
        <v>2</v>
      </c>
      <c r="R168">
        <v>2</v>
      </c>
      <c r="S168">
        <v>7</v>
      </c>
      <c r="T168">
        <v>7</v>
      </c>
      <c r="U168">
        <v>2</v>
      </c>
      <c r="V168">
        <v>2</v>
      </c>
      <c r="W168">
        <v>2</v>
      </c>
      <c r="X168">
        <v>2</v>
      </c>
      <c r="Y168">
        <v>1</v>
      </c>
      <c r="Z168">
        <v>2</v>
      </c>
      <c r="AA168">
        <v>2</v>
      </c>
      <c r="AB168">
        <v>1</v>
      </c>
      <c r="AD168">
        <v>1</v>
      </c>
      <c r="AE168">
        <v>3</v>
      </c>
      <c r="AF168">
        <v>0</v>
      </c>
      <c r="AG168">
        <v>0</v>
      </c>
      <c r="AH168">
        <v>1</v>
      </c>
      <c r="AI168">
        <v>2</v>
      </c>
      <c r="AJ168">
        <v>1</v>
      </c>
      <c r="AK168">
        <v>0</v>
      </c>
      <c r="AL168">
        <v>4479768.5</v>
      </c>
      <c r="AM168">
        <v>5098633.5</v>
      </c>
      <c r="AN168">
        <v>3265524</v>
      </c>
      <c r="AO168">
        <v>2761425</v>
      </c>
      <c r="AP168">
        <v>3462750.5</v>
      </c>
      <c r="AQ168">
        <v>2765176.25</v>
      </c>
      <c r="AR168">
        <v>1505215.75</v>
      </c>
      <c r="AT168" s="11">
        <v>4176750.25</v>
      </c>
      <c r="AU168" s="11">
        <v>4873465</v>
      </c>
      <c r="AW168" s="14">
        <v>1586303.38</v>
      </c>
      <c r="AX168" s="14">
        <v>240822.3</v>
      </c>
      <c r="AZ168" s="16">
        <v>3017440.5</v>
      </c>
      <c r="BA168" s="16">
        <v>2137996.5</v>
      </c>
      <c r="BC168" s="18">
        <v>481028.81</v>
      </c>
      <c r="BD168" s="18">
        <v>275347</v>
      </c>
    </row>
    <row r="169" spans="1:56" hidden="1">
      <c r="A169">
        <v>16839</v>
      </c>
      <c r="B169" t="s">
        <v>744</v>
      </c>
      <c r="C169" t="s">
        <v>745</v>
      </c>
      <c r="D169" t="s">
        <v>746</v>
      </c>
      <c r="F169" t="s">
        <v>747</v>
      </c>
      <c r="G169">
        <v>31.751999999999999</v>
      </c>
      <c r="H169" t="s">
        <v>58</v>
      </c>
      <c r="I169">
        <v>2</v>
      </c>
      <c r="J169">
        <v>2</v>
      </c>
      <c r="K169">
        <v>0</v>
      </c>
      <c r="L169">
        <v>2.4700000000000002</v>
      </c>
      <c r="M169">
        <v>96126</v>
      </c>
      <c r="N169">
        <v>47</v>
      </c>
      <c r="O169">
        <v>2</v>
      </c>
      <c r="P169">
        <v>2</v>
      </c>
      <c r="Q169">
        <v>2</v>
      </c>
      <c r="R169">
        <v>2</v>
      </c>
      <c r="S169">
        <v>3</v>
      </c>
      <c r="T169">
        <v>3</v>
      </c>
      <c r="U169">
        <v>2</v>
      </c>
      <c r="V169">
        <v>1</v>
      </c>
      <c r="W169">
        <v>1</v>
      </c>
      <c r="X169">
        <v>2</v>
      </c>
      <c r="Y169">
        <v>2</v>
      </c>
      <c r="Z169">
        <v>2</v>
      </c>
      <c r="AA169">
        <v>2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2</v>
      </c>
      <c r="AH169">
        <v>0</v>
      </c>
      <c r="AI169">
        <v>0</v>
      </c>
      <c r="AJ169">
        <v>0</v>
      </c>
      <c r="AK169">
        <v>1</v>
      </c>
      <c r="AL169">
        <v>695911.81</v>
      </c>
      <c r="AM169">
        <v>2495000.25</v>
      </c>
      <c r="AN169">
        <v>2864964.5</v>
      </c>
      <c r="AO169">
        <v>3476092</v>
      </c>
      <c r="AP169">
        <v>1574647.75</v>
      </c>
      <c r="AQ169">
        <v>559223.12</v>
      </c>
      <c r="AR169">
        <v>1102312.3799999999</v>
      </c>
      <c r="AS169">
        <v>735022.69</v>
      </c>
      <c r="AT169" s="11">
        <v>76981.62</v>
      </c>
      <c r="AU169" s="11">
        <v>275203.65999999997</v>
      </c>
      <c r="AW169" s="14">
        <v>2230870.75</v>
      </c>
      <c r="AX169" s="14">
        <v>1857429.88</v>
      </c>
      <c r="AZ169" s="16">
        <v>1573814.38</v>
      </c>
      <c r="BA169" s="16">
        <v>565858.31000000006</v>
      </c>
      <c r="BC169" s="18">
        <v>466023.03</v>
      </c>
      <c r="BD169" s="18">
        <v>272864.25</v>
      </c>
    </row>
    <row r="170" spans="1:56" hidden="1">
      <c r="A170">
        <v>16876</v>
      </c>
      <c r="B170" t="s">
        <v>748</v>
      </c>
      <c r="C170" t="s">
        <v>749</v>
      </c>
      <c r="D170" t="s">
        <v>748</v>
      </c>
      <c r="F170" t="s">
        <v>750</v>
      </c>
      <c r="G170">
        <v>31.297000000000001</v>
      </c>
      <c r="H170" t="s">
        <v>58</v>
      </c>
      <c r="I170">
        <v>2</v>
      </c>
      <c r="J170">
        <v>1</v>
      </c>
      <c r="K170">
        <v>0</v>
      </c>
      <c r="L170">
        <v>3.65</v>
      </c>
      <c r="M170">
        <v>63561</v>
      </c>
      <c r="N170">
        <v>34</v>
      </c>
      <c r="O170">
        <v>2</v>
      </c>
      <c r="P170">
        <v>2</v>
      </c>
      <c r="Q170">
        <v>2</v>
      </c>
      <c r="R170">
        <v>2</v>
      </c>
      <c r="S170">
        <v>6</v>
      </c>
      <c r="T170">
        <v>6</v>
      </c>
      <c r="U170">
        <v>2</v>
      </c>
      <c r="V170">
        <v>2</v>
      </c>
      <c r="W170">
        <v>2</v>
      </c>
      <c r="X170">
        <v>2</v>
      </c>
      <c r="Y170">
        <v>2</v>
      </c>
      <c r="Z170">
        <v>2</v>
      </c>
      <c r="AA170">
        <v>2</v>
      </c>
      <c r="AB170">
        <v>2</v>
      </c>
      <c r="AC170">
        <v>2</v>
      </c>
      <c r="AD170">
        <v>0</v>
      </c>
      <c r="AE170">
        <v>2</v>
      </c>
      <c r="AF170">
        <v>2</v>
      </c>
      <c r="AG170">
        <v>2</v>
      </c>
      <c r="AH170">
        <v>0</v>
      </c>
      <c r="AI170">
        <v>0</v>
      </c>
      <c r="AJ170">
        <v>0</v>
      </c>
      <c r="AK170">
        <v>0</v>
      </c>
      <c r="AL170">
        <v>2321267</v>
      </c>
      <c r="AM170">
        <v>1528438</v>
      </c>
      <c r="AN170">
        <v>3306524</v>
      </c>
      <c r="AO170">
        <v>3095427.75</v>
      </c>
      <c r="AP170">
        <v>1300777.1200000001</v>
      </c>
      <c r="AQ170">
        <v>1253122.75</v>
      </c>
      <c r="AR170">
        <v>2481473.5</v>
      </c>
      <c r="AS170">
        <v>2021357.5</v>
      </c>
      <c r="AT170" s="11">
        <v>2420896.75</v>
      </c>
      <c r="AU170" s="11">
        <v>1669574.38</v>
      </c>
      <c r="AW170" s="14">
        <v>1535071.75</v>
      </c>
      <c r="AX170" s="14">
        <v>1060636</v>
      </c>
      <c r="AZ170" s="16">
        <v>828254.19</v>
      </c>
      <c r="BA170" s="16">
        <v>732708.44</v>
      </c>
      <c r="BC170" s="18">
        <v>1127294.75</v>
      </c>
      <c r="BD170" s="18">
        <v>856308.88</v>
      </c>
    </row>
    <row r="171" spans="1:56" hidden="1">
      <c r="A171">
        <v>16821</v>
      </c>
      <c r="B171" t="s">
        <v>751</v>
      </c>
      <c r="C171" t="s">
        <v>752</v>
      </c>
      <c r="D171" t="s">
        <v>751</v>
      </c>
      <c r="F171" t="s">
        <v>753</v>
      </c>
      <c r="G171">
        <v>30.818999999999999</v>
      </c>
      <c r="H171" t="s">
        <v>58</v>
      </c>
      <c r="I171">
        <v>2</v>
      </c>
      <c r="J171">
        <v>1</v>
      </c>
      <c r="K171">
        <v>0</v>
      </c>
      <c r="L171">
        <v>4.5</v>
      </c>
      <c r="M171">
        <v>32343</v>
      </c>
      <c r="N171">
        <v>10</v>
      </c>
      <c r="O171">
        <v>1</v>
      </c>
      <c r="P171">
        <v>1</v>
      </c>
      <c r="Q171">
        <v>1</v>
      </c>
      <c r="R171">
        <v>1</v>
      </c>
      <c r="S171">
        <v>2</v>
      </c>
      <c r="T171">
        <v>2</v>
      </c>
      <c r="U171">
        <v>1</v>
      </c>
      <c r="V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1350156.62</v>
      </c>
      <c r="AN171">
        <v>3902244.25</v>
      </c>
      <c r="AO171">
        <v>3509634.75</v>
      </c>
      <c r="AP171">
        <v>1427461.5</v>
      </c>
      <c r="AQ171">
        <v>1763003.38</v>
      </c>
      <c r="AR171">
        <v>1581169.5</v>
      </c>
      <c r="AS171">
        <v>1570985.12</v>
      </c>
      <c r="AT171" s="11">
        <v>1350156.62</v>
      </c>
      <c r="AU171" s="11">
        <v>151704.31</v>
      </c>
      <c r="AW171" s="14">
        <v>1864660.5</v>
      </c>
      <c r="AX171" s="14">
        <v>1174356</v>
      </c>
      <c r="AZ171" s="16">
        <v>861747.31</v>
      </c>
      <c r="BA171" s="16">
        <v>967955.31</v>
      </c>
      <c r="BC171" s="18">
        <v>806959.25</v>
      </c>
      <c r="BD171" s="18">
        <v>720636.88</v>
      </c>
    </row>
    <row r="172" spans="1:56" hidden="1">
      <c r="A172">
        <v>16870</v>
      </c>
      <c r="B172" t="s">
        <v>754</v>
      </c>
      <c r="C172" t="s">
        <v>755</v>
      </c>
      <c r="D172" t="s">
        <v>756</v>
      </c>
      <c r="F172" t="s">
        <v>757</v>
      </c>
      <c r="G172">
        <v>28.625</v>
      </c>
      <c r="H172" t="s">
        <v>58</v>
      </c>
      <c r="I172">
        <v>2</v>
      </c>
      <c r="J172">
        <v>3</v>
      </c>
      <c r="K172">
        <v>0</v>
      </c>
      <c r="L172">
        <v>15.32</v>
      </c>
      <c r="M172">
        <v>12344</v>
      </c>
      <c r="N172">
        <v>5</v>
      </c>
      <c r="O172">
        <v>1</v>
      </c>
      <c r="P172">
        <v>1</v>
      </c>
      <c r="Q172">
        <v>1</v>
      </c>
      <c r="R172">
        <v>1</v>
      </c>
      <c r="S172">
        <v>2</v>
      </c>
      <c r="T172">
        <v>2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1398921.88</v>
      </c>
      <c r="AM172">
        <v>1254302.1200000001</v>
      </c>
      <c r="AN172">
        <v>1113551.25</v>
      </c>
      <c r="AO172">
        <v>1693935.88</v>
      </c>
      <c r="AP172">
        <v>773570.62</v>
      </c>
      <c r="AQ172">
        <v>994405.88</v>
      </c>
      <c r="AR172">
        <v>693711.38</v>
      </c>
      <c r="AS172">
        <v>657173.75</v>
      </c>
      <c r="AT172" s="11">
        <v>1398921.88</v>
      </c>
      <c r="AU172" s="11">
        <v>1301851.25</v>
      </c>
      <c r="AW172" s="14">
        <v>532102.81000000006</v>
      </c>
      <c r="AX172" s="14">
        <v>566806.5</v>
      </c>
      <c r="AZ172" s="16">
        <v>466998.56</v>
      </c>
      <c r="BA172" s="16">
        <v>545966.31000000006</v>
      </c>
      <c r="BC172" s="18">
        <v>354039.72</v>
      </c>
      <c r="BD172" s="18">
        <v>301456.46999999997</v>
      </c>
    </row>
    <row r="173" spans="1:56" hidden="1">
      <c r="A173">
        <v>16865</v>
      </c>
      <c r="B173" t="s">
        <v>758</v>
      </c>
      <c r="C173" t="s">
        <v>759</v>
      </c>
      <c r="D173" t="s">
        <v>760</v>
      </c>
      <c r="F173" t="s">
        <v>761</v>
      </c>
      <c r="G173">
        <v>26.768999999999998</v>
      </c>
      <c r="H173" t="s">
        <v>58</v>
      </c>
      <c r="I173">
        <v>2</v>
      </c>
      <c r="J173">
        <v>2</v>
      </c>
      <c r="K173">
        <v>0</v>
      </c>
      <c r="L173">
        <v>2.56</v>
      </c>
      <c r="M173">
        <v>43285</v>
      </c>
      <c r="N173">
        <v>21</v>
      </c>
      <c r="O173">
        <v>1</v>
      </c>
      <c r="P173">
        <v>1</v>
      </c>
      <c r="Q173">
        <v>1</v>
      </c>
      <c r="R173">
        <v>1</v>
      </c>
      <c r="S173">
        <v>3</v>
      </c>
      <c r="T173">
        <v>3</v>
      </c>
      <c r="U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0</v>
      </c>
      <c r="AE173">
        <v>0</v>
      </c>
      <c r="AF173">
        <v>1</v>
      </c>
      <c r="AG173">
        <v>1</v>
      </c>
      <c r="AH173">
        <v>0</v>
      </c>
      <c r="AI173">
        <v>1</v>
      </c>
      <c r="AJ173">
        <v>1</v>
      </c>
      <c r="AK173">
        <v>1</v>
      </c>
      <c r="AN173">
        <v>1197586.25</v>
      </c>
      <c r="AO173">
        <v>1241210.1200000001</v>
      </c>
      <c r="AP173">
        <v>674168.94</v>
      </c>
      <c r="AQ173">
        <v>554927</v>
      </c>
      <c r="AR173">
        <v>561886.25</v>
      </c>
      <c r="AS173">
        <v>424636.15999999997</v>
      </c>
      <c r="AT173" s="11">
        <v>99934.65</v>
      </c>
      <c r="AU173" s="11">
        <v>151704.31</v>
      </c>
      <c r="AW173" s="14">
        <v>572258.31000000006</v>
      </c>
      <c r="AX173" s="14">
        <v>415320.28</v>
      </c>
      <c r="AZ173" s="16">
        <v>406990.53</v>
      </c>
      <c r="BA173" s="16">
        <v>304675.84000000003</v>
      </c>
      <c r="BC173" s="18">
        <v>286762</v>
      </c>
      <c r="BD173" s="18">
        <v>194787.62</v>
      </c>
    </row>
    <row r="174" spans="1:56" hidden="1">
      <c r="A174">
        <v>16847</v>
      </c>
      <c r="B174" t="s">
        <v>762</v>
      </c>
      <c r="C174" t="s">
        <v>763</v>
      </c>
      <c r="D174" t="s">
        <v>764</v>
      </c>
      <c r="F174" t="s">
        <v>765</v>
      </c>
      <c r="G174">
        <v>25.253</v>
      </c>
      <c r="H174" t="s">
        <v>58</v>
      </c>
      <c r="I174">
        <v>2</v>
      </c>
      <c r="J174">
        <v>3</v>
      </c>
      <c r="K174">
        <v>0</v>
      </c>
      <c r="L174">
        <v>1.64</v>
      </c>
      <c r="M174">
        <v>66907</v>
      </c>
      <c r="N174">
        <v>32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1</v>
      </c>
      <c r="W174">
        <v>1</v>
      </c>
      <c r="X174">
        <v>2</v>
      </c>
      <c r="Y174">
        <v>2</v>
      </c>
      <c r="Z174">
        <v>2</v>
      </c>
      <c r="AA174">
        <v>2</v>
      </c>
      <c r="AB174">
        <v>2</v>
      </c>
      <c r="AC174">
        <v>2</v>
      </c>
      <c r="AD174">
        <v>0</v>
      </c>
      <c r="AE174">
        <v>0</v>
      </c>
      <c r="AF174">
        <v>0</v>
      </c>
      <c r="AG174">
        <v>1</v>
      </c>
      <c r="AH174">
        <v>1</v>
      </c>
      <c r="AI174">
        <v>1</v>
      </c>
      <c r="AJ174">
        <v>0</v>
      </c>
      <c r="AK174">
        <v>0</v>
      </c>
      <c r="AL174">
        <v>466379.16</v>
      </c>
      <c r="AM174">
        <v>448633.19</v>
      </c>
      <c r="AN174">
        <v>1594205.25</v>
      </c>
      <c r="AO174">
        <v>2104094</v>
      </c>
      <c r="AP174">
        <v>796765</v>
      </c>
      <c r="AQ174">
        <v>959450.62</v>
      </c>
      <c r="AR174">
        <v>748412.5</v>
      </c>
      <c r="AS174">
        <v>1052796.8799999999</v>
      </c>
      <c r="AT174" s="11">
        <v>74964.3</v>
      </c>
      <c r="AU174" s="11">
        <v>38848.93</v>
      </c>
      <c r="AW174" s="14">
        <v>917972</v>
      </c>
      <c r="AX174" s="14">
        <v>727006.44</v>
      </c>
      <c r="AZ174" s="16">
        <v>597168.12</v>
      </c>
      <c r="BA174" s="16">
        <v>658352.93999999994</v>
      </c>
      <c r="BC174" s="18">
        <v>477330.56</v>
      </c>
      <c r="BD174" s="18">
        <v>601511.31000000006</v>
      </c>
    </row>
    <row r="175" spans="1:56" hidden="1">
      <c r="A175">
        <v>16705</v>
      </c>
      <c r="B175" t="s">
        <v>766</v>
      </c>
      <c r="C175" t="s">
        <v>767</v>
      </c>
      <c r="D175" t="s">
        <v>768</v>
      </c>
      <c r="F175" t="s">
        <v>769</v>
      </c>
      <c r="G175">
        <v>23.45</v>
      </c>
      <c r="H175" t="s">
        <v>58</v>
      </c>
      <c r="I175">
        <v>2</v>
      </c>
      <c r="J175">
        <v>18</v>
      </c>
      <c r="K175">
        <v>0</v>
      </c>
      <c r="L175">
        <v>10.77</v>
      </c>
      <c r="M175">
        <v>7302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18</v>
      </c>
      <c r="T175">
        <v>18</v>
      </c>
      <c r="U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0</v>
      </c>
      <c r="AE175">
        <v>0</v>
      </c>
      <c r="AF175">
        <v>0</v>
      </c>
      <c r="AG175">
        <v>7</v>
      </c>
      <c r="AH175">
        <v>4</v>
      </c>
      <c r="AI175">
        <v>3</v>
      </c>
      <c r="AJ175">
        <v>4</v>
      </c>
      <c r="AK175">
        <v>3</v>
      </c>
      <c r="AO175">
        <v>8038559.5</v>
      </c>
      <c r="AP175">
        <v>526441.25</v>
      </c>
      <c r="AQ175">
        <v>556929</v>
      </c>
      <c r="AR175">
        <v>721808.19</v>
      </c>
      <c r="AS175">
        <v>431671.75</v>
      </c>
      <c r="AT175" s="11">
        <v>99934.65</v>
      </c>
      <c r="AU175" s="11">
        <v>151704.31</v>
      </c>
      <c r="AW175" s="14">
        <v>374615.16</v>
      </c>
      <c r="AX175" s="14">
        <v>2689775.75</v>
      </c>
      <c r="AZ175" s="16">
        <v>317808.46999999997</v>
      </c>
      <c r="BA175" s="16">
        <v>305775.03000000003</v>
      </c>
      <c r="BC175" s="18">
        <v>368379.09</v>
      </c>
      <c r="BD175" s="18">
        <v>198014.97</v>
      </c>
    </row>
    <row r="176" spans="1:56" hidden="1">
      <c r="A176">
        <v>16765</v>
      </c>
      <c r="B176" t="s">
        <v>770</v>
      </c>
      <c r="C176" t="s">
        <v>771</v>
      </c>
      <c r="D176" t="s">
        <v>770</v>
      </c>
      <c r="F176" t="s">
        <v>772</v>
      </c>
      <c r="G176">
        <v>21.728000000000002</v>
      </c>
      <c r="H176" t="s">
        <v>58</v>
      </c>
      <c r="I176">
        <v>2</v>
      </c>
      <c r="J176">
        <v>1</v>
      </c>
      <c r="K176">
        <v>0</v>
      </c>
      <c r="L176">
        <v>3.04</v>
      </c>
      <c r="M176">
        <v>28232</v>
      </c>
      <c r="N176">
        <v>12</v>
      </c>
      <c r="O176">
        <v>1</v>
      </c>
      <c r="P176">
        <v>1</v>
      </c>
      <c r="Q176">
        <v>1</v>
      </c>
      <c r="R176">
        <v>1</v>
      </c>
      <c r="S176">
        <v>16</v>
      </c>
      <c r="T176">
        <v>16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2</v>
      </c>
      <c r="AE176">
        <v>0</v>
      </c>
      <c r="AF176">
        <v>2</v>
      </c>
      <c r="AG176">
        <v>2</v>
      </c>
      <c r="AH176">
        <v>2</v>
      </c>
      <c r="AI176">
        <v>3</v>
      </c>
      <c r="AJ176">
        <v>2</v>
      </c>
      <c r="AK176">
        <v>3</v>
      </c>
      <c r="AL176">
        <v>19992314</v>
      </c>
      <c r="AM176">
        <v>28666430</v>
      </c>
      <c r="AN176">
        <v>37345812</v>
      </c>
      <c r="AO176">
        <v>73016416</v>
      </c>
      <c r="AP176">
        <v>30896386</v>
      </c>
      <c r="AQ176">
        <v>35927916</v>
      </c>
      <c r="AR176">
        <v>38376556</v>
      </c>
      <c r="AS176">
        <v>31379266</v>
      </c>
      <c r="AT176" s="11">
        <v>19992314</v>
      </c>
      <c r="AU176" s="11">
        <v>29753140</v>
      </c>
      <c r="AW176" s="14">
        <v>17845438</v>
      </c>
      <c r="AX176" s="14">
        <v>24431962</v>
      </c>
      <c r="AZ176" s="16">
        <v>18651906</v>
      </c>
      <c r="BA176" s="16">
        <v>19725780</v>
      </c>
      <c r="BC176" s="18">
        <v>19585704</v>
      </c>
      <c r="BD176" s="18">
        <v>14394188</v>
      </c>
    </row>
    <row r="177" spans="1:56" hidden="1">
      <c r="A177">
        <v>16693</v>
      </c>
      <c r="B177" t="s">
        <v>773</v>
      </c>
      <c r="C177" t="s">
        <v>774</v>
      </c>
      <c r="D177" t="s">
        <v>775</v>
      </c>
      <c r="F177" t="s">
        <v>776</v>
      </c>
      <c r="G177">
        <v>21.396999999999998</v>
      </c>
      <c r="H177" t="s">
        <v>58</v>
      </c>
      <c r="I177">
        <v>2</v>
      </c>
      <c r="J177">
        <v>21</v>
      </c>
      <c r="K177">
        <v>0</v>
      </c>
      <c r="L177">
        <v>3.27</v>
      </c>
      <c r="M177">
        <v>34424</v>
      </c>
      <c r="N177">
        <v>16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345603.91</v>
      </c>
      <c r="AM177">
        <v>263928.69</v>
      </c>
      <c r="AN177">
        <v>788757.5</v>
      </c>
      <c r="AO177">
        <v>849508.56</v>
      </c>
      <c r="AP177">
        <v>440942.75</v>
      </c>
      <c r="AQ177">
        <v>458317</v>
      </c>
      <c r="AR177">
        <v>277029.78000000003</v>
      </c>
      <c r="AT177" s="11">
        <v>345603.91</v>
      </c>
      <c r="AU177" s="11">
        <v>273933.94</v>
      </c>
      <c r="AW177" s="14">
        <v>376902.34</v>
      </c>
      <c r="AX177" s="14">
        <v>284253.34000000003</v>
      </c>
      <c r="AZ177" s="16">
        <v>266193.69</v>
      </c>
      <c r="BA177" s="16">
        <v>251633.33</v>
      </c>
      <c r="BC177" s="18">
        <v>141383.79999999999</v>
      </c>
      <c r="BD177" s="18">
        <v>275347</v>
      </c>
    </row>
    <row r="178" spans="1:56" hidden="1">
      <c r="A178">
        <v>16832</v>
      </c>
      <c r="B178" t="s">
        <v>777</v>
      </c>
      <c r="C178" t="s">
        <v>778</v>
      </c>
      <c r="D178" t="s">
        <v>779</v>
      </c>
      <c r="F178" t="s">
        <v>780</v>
      </c>
      <c r="G178">
        <v>21.256</v>
      </c>
      <c r="H178" t="s">
        <v>58</v>
      </c>
      <c r="I178">
        <v>2</v>
      </c>
      <c r="J178">
        <v>2</v>
      </c>
      <c r="K178">
        <v>0</v>
      </c>
      <c r="L178">
        <v>2.6</v>
      </c>
      <c r="M178">
        <v>37200</v>
      </c>
      <c r="N178">
        <v>21</v>
      </c>
      <c r="O178">
        <v>1</v>
      </c>
      <c r="P178">
        <v>1</v>
      </c>
      <c r="Q178">
        <v>1</v>
      </c>
      <c r="R178">
        <v>1</v>
      </c>
      <c r="S178">
        <v>3</v>
      </c>
      <c r="T178">
        <v>3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2</v>
      </c>
      <c r="AE178">
        <v>0</v>
      </c>
      <c r="AF178">
        <v>1</v>
      </c>
      <c r="AG178">
        <v>1</v>
      </c>
      <c r="AH178">
        <v>0</v>
      </c>
      <c r="AI178">
        <v>0</v>
      </c>
      <c r="AJ178">
        <v>1</v>
      </c>
      <c r="AK178">
        <v>1</v>
      </c>
      <c r="AL178">
        <v>6891198</v>
      </c>
      <c r="AM178">
        <v>8830874</v>
      </c>
      <c r="AN178">
        <v>5513921</v>
      </c>
      <c r="AO178">
        <v>5599760.5</v>
      </c>
      <c r="AP178">
        <v>5038212</v>
      </c>
      <c r="AQ178">
        <v>4683371.5</v>
      </c>
      <c r="AR178">
        <v>3026369</v>
      </c>
      <c r="AS178">
        <v>2823445.25</v>
      </c>
      <c r="AT178" s="11">
        <v>6891198</v>
      </c>
      <c r="AU178" s="11">
        <v>9165643</v>
      </c>
      <c r="AW178" s="14">
        <v>2634789.25</v>
      </c>
      <c r="AX178" s="14">
        <v>1873731.25</v>
      </c>
      <c r="AZ178" s="16">
        <v>3041529</v>
      </c>
      <c r="BA178" s="16">
        <v>2571347.5</v>
      </c>
      <c r="BC178" s="18">
        <v>1544525.5</v>
      </c>
      <c r="BD178" s="18">
        <v>1295161</v>
      </c>
    </row>
    <row r="179" spans="1:56" hidden="1">
      <c r="A179">
        <v>16707</v>
      </c>
      <c r="B179" t="s">
        <v>781</v>
      </c>
      <c r="C179" t="s">
        <v>782</v>
      </c>
      <c r="D179" t="s">
        <v>783</v>
      </c>
      <c r="F179" t="s">
        <v>784</v>
      </c>
      <c r="G179">
        <v>20.675000000000001</v>
      </c>
      <c r="H179" t="s">
        <v>58</v>
      </c>
      <c r="I179">
        <v>2</v>
      </c>
      <c r="J179">
        <v>20</v>
      </c>
      <c r="K179">
        <v>0</v>
      </c>
      <c r="L179">
        <v>21.84</v>
      </c>
      <c r="M179">
        <v>9827</v>
      </c>
      <c r="N179">
        <v>4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W179">
        <v>1</v>
      </c>
      <c r="X179">
        <v>1</v>
      </c>
      <c r="Y179">
        <v>1</v>
      </c>
      <c r="AA179">
        <v>1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M179">
        <v>734009.31</v>
      </c>
      <c r="AN179">
        <v>783439.25</v>
      </c>
      <c r="AO179">
        <v>924829.5</v>
      </c>
      <c r="AQ179">
        <v>657168.38</v>
      </c>
      <c r="AT179" s="11">
        <v>99934.65</v>
      </c>
      <c r="AU179" s="11">
        <v>761834.75</v>
      </c>
      <c r="AW179" s="14">
        <v>374361.03</v>
      </c>
      <c r="AX179" s="14">
        <v>309456.44</v>
      </c>
      <c r="AZ179" s="16">
        <v>278828.78000000003</v>
      </c>
      <c r="BA179" s="16">
        <v>360810.22</v>
      </c>
      <c r="BC179" s="18">
        <v>274135.90999999997</v>
      </c>
      <c r="BD179" s="18">
        <v>275347</v>
      </c>
    </row>
    <row r="180" spans="1:56" hidden="1">
      <c r="A180">
        <v>16780</v>
      </c>
      <c r="B180" t="s">
        <v>785</v>
      </c>
      <c r="C180" t="s">
        <v>786</v>
      </c>
      <c r="D180" t="s">
        <v>787</v>
      </c>
      <c r="F180" t="s">
        <v>788</v>
      </c>
      <c r="G180">
        <v>20.271999999999998</v>
      </c>
      <c r="H180" t="s">
        <v>58</v>
      </c>
      <c r="I180">
        <v>2</v>
      </c>
      <c r="J180">
        <v>3</v>
      </c>
      <c r="K180">
        <v>0</v>
      </c>
      <c r="L180">
        <v>3.66</v>
      </c>
      <c r="M180">
        <v>70575</v>
      </c>
      <c r="N180">
        <v>40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2</v>
      </c>
      <c r="AD180">
        <v>0</v>
      </c>
      <c r="AE180">
        <v>0</v>
      </c>
      <c r="AF180">
        <v>2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1042906.19</v>
      </c>
      <c r="AM180">
        <v>1059604</v>
      </c>
      <c r="AN180">
        <v>2376175</v>
      </c>
      <c r="AO180">
        <v>2883629</v>
      </c>
      <c r="AP180">
        <v>1020468.5</v>
      </c>
      <c r="AQ180">
        <v>1094062.1200000001</v>
      </c>
      <c r="AR180">
        <v>1426472.38</v>
      </c>
      <c r="AS180">
        <v>1478122.75</v>
      </c>
      <c r="AT180" s="11">
        <v>1045362</v>
      </c>
      <c r="AU180" s="11">
        <v>1092513.5</v>
      </c>
      <c r="AW180" s="14">
        <v>1133725.25</v>
      </c>
      <c r="AX180" s="14">
        <v>996342.88</v>
      </c>
      <c r="AZ180" s="16">
        <v>599436.75</v>
      </c>
      <c r="BA180" s="16">
        <v>603783.68999999994</v>
      </c>
      <c r="BC180" s="18">
        <v>743386.31</v>
      </c>
      <c r="BD180" s="18">
        <v>649704.56000000006</v>
      </c>
    </row>
    <row r="181" spans="1:56" hidden="1">
      <c r="A181">
        <v>16701</v>
      </c>
      <c r="B181" t="s">
        <v>789</v>
      </c>
      <c r="C181" t="s">
        <v>790</v>
      </c>
      <c r="D181" t="s">
        <v>791</v>
      </c>
      <c r="F181" t="s">
        <v>792</v>
      </c>
      <c r="G181">
        <v>19.408999999999999</v>
      </c>
      <c r="H181" t="s">
        <v>58</v>
      </c>
      <c r="I181">
        <v>2</v>
      </c>
      <c r="J181">
        <v>3</v>
      </c>
      <c r="K181">
        <v>0</v>
      </c>
      <c r="L181">
        <v>7.45</v>
      </c>
      <c r="M181">
        <v>17688</v>
      </c>
      <c r="N181">
        <v>11</v>
      </c>
      <c r="O181">
        <v>1</v>
      </c>
      <c r="P181">
        <v>1</v>
      </c>
      <c r="Q181">
        <v>1</v>
      </c>
      <c r="R181">
        <v>1</v>
      </c>
      <c r="S181">
        <v>2</v>
      </c>
      <c r="T181">
        <v>2</v>
      </c>
      <c r="U181">
        <v>1</v>
      </c>
      <c r="V181">
        <v>1</v>
      </c>
      <c r="W181">
        <v>1</v>
      </c>
      <c r="AD181">
        <v>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1309864.8799999999</v>
      </c>
      <c r="AM181">
        <v>1566276.75</v>
      </c>
      <c r="AT181" s="11">
        <v>1309864.8799999999</v>
      </c>
      <c r="AU181" s="11">
        <v>1625652.5</v>
      </c>
      <c r="AW181" s="14">
        <v>374615.16</v>
      </c>
      <c r="AX181" s="14">
        <v>360097.09</v>
      </c>
      <c r="AZ181" s="16">
        <v>278828.78000000003</v>
      </c>
      <c r="BA181" s="16">
        <v>249615.83</v>
      </c>
      <c r="BC181" s="18">
        <v>274135.90999999997</v>
      </c>
      <c r="BD181" s="18">
        <v>275347</v>
      </c>
    </row>
    <row r="182" spans="1:56" hidden="1">
      <c r="A182">
        <v>16776</v>
      </c>
      <c r="B182" t="s">
        <v>793</v>
      </c>
      <c r="C182" t="s">
        <v>794</v>
      </c>
      <c r="D182" t="s">
        <v>795</v>
      </c>
      <c r="F182" t="s">
        <v>796</v>
      </c>
      <c r="G182">
        <v>19.277999999999999</v>
      </c>
      <c r="H182" t="s">
        <v>58</v>
      </c>
      <c r="I182">
        <v>2</v>
      </c>
      <c r="J182">
        <v>3</v>
      </c>
      <c r="K182">
        <v>0</v>
      </c>
      <c r="L182">
        <v>1.45</v>
      </c>
      <c r="M182">
        <v>80430</v>
      </c>
      <c r="N182">
        <v>49</v>
      </c>
      <c r="O182">
        <v>1</v>
      </c>
      <c r="P182">
        <v>1</v>
      </c>
      <c r="Q182">
        <v>1</v>
      </c>
      <c r="R182">
        <v>1</v>
      </c>
      <c r="S182">
        <v>2</v>
      </c>
      <c r="T182">
        <v>2</v>
      </c>
      <c r="U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0</v>
      </c>
      <c r="AE182">
        <v>0</v>
      </c>
      <c r="AF182">
        <v>0</v>
      </c>
      <c r="AG182">
        <v>2</v>
      </c>
      <c r="AH182">
        <v>0</v>
      </c>
      <c r="AI182">
        <v>0</v>
      </c>
      <c r="AJ182">
        <v>0</v>
      </c>
      <c r="AK182">
        <v>0</v>
      </c>
      <c r="AN182">
        <v>1821369.25</v>
      </c>
      <c r="AO182">
        <v>2420361</v>
      </c>
      <c r="AP182">
        <v>687465.31</v>
      </c>
      <c r="AQ182">
        <v>881891.06</v>
      </c>
      <c r="AR182">
        <v>644748.12</v>
      </c>
      <c r="AS182">
        <v>636100.93999999994</v>
      </c>
      <c r="AT182" s="11">
        <v>99934.65</v>
      </c>
      <c r="AU182" s="11">
        <v>151704.31</v>
      </c>
      <c r="AW182" s="14">
        <v>1283042.8799999999</v>
      </c>
      <c r="AX182" s="14">
        <v>1223069.1200000001</v>
      </c>
      <c r="AZ182" s="16">
        <v>589359.06000000006</v>
      </c>
      <c r="BA182" s="16">
        <v>916762.38</v>
      </c>
      <c r="BC182" s="18">
        <v>543860.18999999994</v>
      </c>
      <c r="BD182" s="18">
        <v>499706.66</v>
      </c>
    </row>
    <row r="183" spans="1:56" hidden="1">
      <c r="A183">
        <v>16843</v>
      </c>
      <c r="B183" t="s">
        <v>797</v>
      </c>
      <c r="C183" t="s">
        <v>798</v>
      </c>
      <c r="D183" t="s">
        <v>799</v>
      </c>
      <c r="F183" t="s">
        <v>800</v>
      </c>
      <c r="G183">
        <v>19.119</v>
      </c>
      <c r="H183" t="s">
        <v>58</v>
      </c>
      <c r="I183">
        <v>2</v>
      </c>
      <c r="J183">
        <v>2</v>
      </c>
      <c r="K183">
        <v>0</v>
      </c>
      <c r="L183">
        <v>6.45</v>
      </c>
      <c r="M183">
        <v>21886</v>
      </c>
      <c r="N183">
        <v>13</v>
      </c>
      <c r="O183">
        <v>1</v>
      </c>
      <c r="P183">
        <v>1</v>
      </c>
      <c r="Q183">
        <v>1</v>
      </c>
      <c r="R183">
        <v>1</v>
      </c>
      <c r="S183">
        <v>2</v>
      </c>
      <c r="T183">
        <v>2</v>
      </c>
      <c r="U183">
        <v>1</v>
      </c>
      <c r="V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0</v>
      </c>
      <c r="AE183">
        <v>0</v>
      </c>
      <c r="AF183">
        <v>1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799774.38</v>
      </c>
      <c r="AN183">
        <v>1869034.25</v>
      </c>
      <c r="AO183">
        <v>2031977.12</v>
      </c>
      <c r="AP183">
        <v>924808.06</v>
      </c>
      <c r="AQ183">
        <v>906888.5</v>
      </c>
      <c r="AR183">
        <v>466887.38</v>
      </c>
      <c r="AS183">
        <v>923658.31</v>
      </c>
      <c r="AT183" s="11">
        <v>799774.38</v>
      </c>
      <c r="AU183" s="11">
        <v>151704.31</v>
      </c>
      <c r="AW183" s="14">
        <v>893105.19</v>
      </c>
      <c r="AX183" s="14">
        <v>679918.19</v>
      </c>
      <c r="AZ183" s="16">
        <v>558299.43999999994</v>
      </c>
      <c r="BA183" s="16">
        <v>497915.97</v>
      </c>
      <c r="BC183" s="18">
        <v>238278.75</v>
      </c>
      <c r="BD183" s="18">
        <v>423697.38</v>
      </c>
    </row>
    <row r="184" spans="1:56" hidden="1">
      <c r="A184">
        <v>16665</v>
      </c>
      <c r="B184" t="s">
        <v>801</v>
      </c>
      <c r="C184" t="s">
        <v>802</v>
      </c>
      <c r="D184" t="s">
        <v>803</v>
      </c>
      <c r="F184" t="s">
        <v>804</v>
      </c>
      <c r="G184">
        <v>19.073</v>
      </c>
      <c r="H184" t="s">
        <v>58</v>
      </c>
      <c r="I184">
        <v>2</v>
      </c>
      <c r="J184">
        <v>19</v>
      </c>
      <c r="K184">
        <v>0</v>
      </c>
      <c r="L184">
        <v>5.62</v>
      </c>
      <c r="M184">
        <v>34841</v>
      </c>
      <c r="N184">
        <v>19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1577799.62</v>
      </c>
      <c r="AM184">
        <v>1650598.38</v>
      </c>
      <c r="AN184">
        <v>1878519.12</v>
      </c>
      <c r="AO184">
        <v>1478787.75</v>
      </c>
      <c r="AP184">
        <v>1198856.6200000001</v>
      </c>
      <c r="AQ184">
        <v>740008.44</v>
      </c>
      <c r="AT184" s="11">
        <v>1577799.62</v>
      </c>
      <c r="AU184" s="11">
        <v>1713170.62</v>
      </c>
      <c r="AW184" s="14">
        <v>897637.44</v>
      </c>
      <c r="AX184" s="14">
        <v>494815.97</v>
      </c>
      <c r="AZ184" s="16">
        <v>723740.38</v>
      </c>
      <c r="BA184" s="16">
        <v>406292.53</v>
      </c>
      <c r="BC184" s="18">
        <v>274135.90999999997</v>
      </c>
      <c r="BD184" s="18">
        <v>275347</v>
      </c>
    </row>
    <row r="185" spans="1:56" hidden="1">
      <c r="A185">
        <v>16709</v>
      </c>
      <c r="B185" t="s">
        <v>805</v>
      </c>
      <c r="C185" t="s">
        <v>806</v>
      </c>
      <c r="D185" t="s">
        <v>807</v>
      </c>
      <c r="F185" t="s">
        <v>808</v>
      </c>
      <c r="G185">
        <v>18.931000000000001</v>
      </c>
      <c r="H185" t="s">
        <v>58</v>
      </c>
      <c r="I185">
        <v>2</v>
      </c>
      <c r="J185">
        <v>9</v>
      </c>
      <c r="K185">
        <v>0</v>
      </c>
      <c r="L185">
        <v>3.85</v>
      </c>
      <c r="M185">
        <v>71447</v>
      </c>
      <c r="N185">
        <v>40</v>
      </c>
      <c r="O185">
        <v>2</v>
      </c>
      <c r="P185">
        <v>2</v>
      </c>
      <c r="Q185">
        <v>2</v>
      </c>
      <c r="R185">
        <v>2</v>
      </c>
      <c r="S185">
        <v>4</v>
      </c>
      <c r="T185">
        <v>4</v>
      </c>
      <c r="U185">
        <v>2</v>
      </c>
      <c r="V185">
        <v>2</v>
      </c>
      <c r="W185">
        <v>2</v>
      </c>
      <c r="X185">
        <v>2</v>
      </c>
      <c r="Y185">
        <v>2</v>
      </c>
      <c r="Z185">
        <v>1</v>
      </c>
      <c r="AA185">
        <v>1</v>
      </c>
      <c r="AB185">
        <v>1</v>
      </c>
      <c r="AC185">
        <v>1</v>
      </c>
      <c r="AD185">
        <v>0</v>
      </c>
      <c r="AE185">
        <v>0</v>
      </c>
      <c r="AF185">
        <v>2</v>
      </c>
      <c r="AG185">
        <v>2</v>
      </c>
      <c r="AH185">
        <v>1</v>
      </c>
      <c r="AI185">
        <v>1</v>
      </c>
      <c r="AJ185">
        <v>1</v>
      </c>
      <c r="AK185">
        <v>1</v>
      </c>
      <c r="AL185">
        <v>227871616</v>
      </c>
      <c r="AM185">
        <v>214239584</v>
      </c>
      <c r="AN185">
        <v>16634864</v>
      </c>
      <c r="AO185">
        <v>17619286</v>
      </c>
      <c r="AP185">
        <v>523810.59</v>
      </c>
      <c r="AQ185">
        <v>459283</v>
      </c>
      <c r="AR185">
        <v>472658.62</v>
      </c>
      <c r="AS185">
        <v>494888.25</v>
      </c>
      <c r="AT185" s="11">
        <v>57110484</v>
      </c>
      <c r="AU185" s="11">
        <v>82526104</v>
      </c>
      <c r="AW185" s="14">
        <v>84981608</v>
      </c>
      <c r="AX185" s="14">
        <v>59370160</v>
      </c>
      <c r="AZ185" s="16">
        <v>34378652</v>
      </c>
      <c r="BA185" s="16">
        <v>27416276</v>
      </c>
      <c r="BC185" s="18">
        <v>26241288</v>
      </c>
      <c r="BD185" s="18">
        <v>24679158</v>
      </c>
    </row>
    <row r="186" spans="1:56" hidden="1">
      <c r="A186">
        <v>16791</v>
      </c>
      <c r="B186" t="s">
        <v>809</v>
      </c>
      <c r="C186" t="s">
        <v>810</v>
      </c>
      <c r="D186" t="s">
        <v>811</v>
      </c>
      <c r="F186" t="s">
        <v>812</v>
      </c>
      <c r="G186">
        <v>18.64</v>
      </c>
      <c r="H186" t="s">
        <v>58</v>
      </c>
      <c r="I186">
        <v>2</v>
      </c>
      <c r="J186">
        <v>20</v>
      </c>
      <c r="K186">
        <v>0</v>
      </c>
      <c r="L186">
        <v>11.43</v>
      </c>
      <c r="M186">
        <v>7870</v>
      </c>
      <c r="N186">
        <v>5</v>
      </c>
      <c r="O186">
        <v>2</v>
      </c>
      <c r="P186">
        <v>2</v>
      </c>
      <c r="Q186">
        <v>2</v>
      </c>
      <c r="R186">
        <v>2</v>
      </c>
      <c r="S186">
        <v>44</v>
      </c>
      <c r="T186">
        <v>44</v>
      </c>
      <c r="U186">
        <v>2</v>
      </c>
      <c r="V186">
        <v>1</v>
      </c>
      <c r="W186">
        <v>1</v>
      </c>
      <c r="X186">
        <v>1</v>
      </c>
      <c r="Y186">
        <v>2</v>
      </c>
      <c r="Z186">
        <v>2</v>
      </c>
      <c r="AA186">
        <v>2</v>
      </c>
      <c r="AB186">
        <v>2</v>
      </c>
      <c r="AC186">
        <v>2</v>
      </c>
      <c r="AD186">
        <v>4</v>
      </c>
      <c r="AE186">
        <v>6</v>
      </c>
      <c r="AF186">
        <v>6</v>
      </c>
      <c r="AG186">
        <v>6</v>
      </c>
      <c r="AH186">
        <v>7</v>
      </c>
      <c r="AI186">
        <v>8</v>
      </c>
      <c r="AJ186">
        <v>7</v>
      </c>
      <c r="AK186">
        <v>4</v>
      </c>
      <c r="AL186">
        <v>127400472</v>
      </c>
      <c r="AM186">
        <v>102388120</v>
      </c>
      <c r="AN186">
        <v>195913872</v>
      </c>
      <c r="AO186">
        <v>327696896</v>
      </c>
      <c r="AP186">
        <v>112116728</v>
      </c>
      <c r="AQ186">
        <v>117524776</v>
      </c>
      <c r="AR186">
        <v>128747592</v>
      </c>
      <c r="AS186">
        <v>97739120</v>
      </c>
      <c r="AT186" s="11">
        <v>1037102.69</v>
      </c>
      <c r="AU186" s="11">
        <v>680064.94</v>
      </c>
      <c r="AW186" s="14">
        <v>390653.75</v>
      </c>
      <c r="AX186" s="14">
        <v>179552544</v>
      </c>
      <c r="AZ186" s="16">
        <v>128905032</v>
      </c>
      <c r="BA186" s="16">
        <v>120545392</v>
      </c>
      <c r="BC186" s="18">
        <v>113488920</v>
      </c>
      <c r="BD186" s="18">
        <v>80332944</v>
      </c>
    </row>
    <row r="187" spans="1:56">
      <c r="A187">
        <v>16862</v>
      </c>
      <c r="B187" t="s">
        <v>813</v>
      </c>
      <c r="C187" t="s">
        <v>814</v>
      </c>
      <c r="D187" t="s">
        <v>815</v>
      </c>
      <c r="F187" t="s">
        <v>816</v>
      </c>
      <c r="G187">
        <v>18.247</v>
      </c>
      <c r="H187" t="s">
        <v>58</v>
      </c>
      <c r="I187">
        <v>2</v>
      </c>
      <c r="J187">
        <v>2</v>
      </c>
      <c r="K187">
        <v>0</v>
      </c>
      <c r="L187">
        <v>5.26</v>
      </c>
      <c r="M187">
        <v>31453</v>
      </c>
      <c r="N187">
        <v>4</v>
      </c>
      <c r="O187">
        <v>1</v>
      </c>
      <c r="P187">
        <v>1</v>
      </c>
      <c r="Q187">
        <v>1</v>
      </c>
      <c r="R187">
        <v>1</v>
      </c>
      <c r="S187">
        <v>7</v>
      </c>
      <c r="T187">
        <v>7</v>
      </c>
      <c r="U187">
        <v>1</v>
      </c>
      <c r="V187">
        <v>1</v>
      </c>
      <c r="W187">
        <v>1</v>
      </c>
      <c r="Y187">
        <v>1</v>
      </c>
      <c r="AB187">
        <v>1</v>
      </c>
      <c r="AC187">
        <v>1</v>
      </c>
      <c r="AD187">
        <v>0</v>
      </c>
      <c r="AE187">
        <v>0</v>
      </c>
      <c r="AF187">
        <v>0</v>
      </c>
      <c r="AG187">
        <v>6</v>
      </c>
      <c r="AH187">
        <v>0</v>
      </c>
      <c r="AI187">
        <v>0</v>
      </c>
      <c r="AJ187">
        <v>1</v>
      </c>
      <c r="AK187">
        <v>1</v>
      </c>
      <c r="AL187">
        <v>843347.88</v>
      </c>
      <c r="AM187">
        <v>635444.12</v>
      </c>
      <c r="AO187">
        <v>9379704</v>
      </c>
      <c r="AR187">
        <v>2352990</v>
      </c>
      <c r="AS187">
        <v>3654254</v>
      </c>
      <c r="AT187" s="11">
        <v>230540.2</v>
      </c>
      <c r="AU187" s="11">
        <v>151500.23000000001</v>
      </c>
      <c r="AW187" s="14">
        <v>374615.16</v>
      </c>
      <c r="AX187" s="14">
        <v>3994735.75</v>
      </c>
      <c r="AZ187" s="16">
        <v>278828.78000000003</v>
      </c>
      <c r="BA187" s="16">
        <v>249615.83</v>
      </c>
      <c r="BC187" s="18">
        <v>1696086.5</v>
      </c>
      <c r="BD187" s="18">
        <v>2018069.38</v>
      </c>
    </row>
    <row r="188" spans="1:56" hidden="1">
      <c r="A188">
        <v>16759</v>
      </c>
      <c r="B188" t="s">
        <v>817</v>
      </c>
      <c r="C188" t="s">
        <v>818</v>
      </c>
      <c r="D188" t="s">
        <v>819</v>
      </c>
      <c r="F188" t="s">
        <v>820</v>
      </c>
      <c r="G188">
        <v>17.940999999999999</v>
      </c>
      <c r="H188" t="s">
        <v>58</v>
      </c>
      <c r="I188">
        <v>2</v>
      </c>
      <c r="J188">
        <v>21</v>
      </c>
      <c r="K188">
        <v>0</v>
      </c>
      <c r="L188">
        <v>11.54</v>
      </c>
      <c r="M188">
        <v>20605</v>
      </c>
      <c r="N188">
        <v>12</v>
      </c>
      <c r="O188">
        <v>2</v>
      </c>
      <c r="P188">
        <v>2</v>
      </c>
      <c r="Q188">
        <v>2</v>
      </c>
      <c r="R188">
        <v>2</v>
      </c>
      <c r="S188">
        <v>3</v>
      </c>
      <c r="T188">
        <v>3</v>
      </c>
      <c r="U188">
        <v>1</v>
      </c>
      <c r="V188">
        <v>1</v>
      </c>
      <c r="W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1</v>
      </c>
      <c r="AL188">
        <v>1065575.5</v>
      </c>
      <c r="AM188">
        <v>1029503.06</v>
      </c>
      <c r="AO188">
        <v>2321838.5</v>
      </c>
      <c r="AP188">
        <v>906061.06</v>
      </c>
      <c r="AQ188">
        <v>866503.69</v>
      </c>
      <c r="AR188">
        <v>877612.75</v>
      </c>
      <c r="AS188">
        <v>1055965.1200000001</v>
      </c>
      <c r="AT188" s="11">
        <v>1065575.5</v>
      </c>
      <c r="AU188" s="11">
        <v>1068530.3799999999</v>
      </c>
      <c r="AW188" s="14">
        <v>374615.16</v>
      </c>
      <c r="AX188" s="14">
        <v>776908.44</v>
      </c>
      <c r="AZ188" s="16">
        <v>546982</v>
      </c>
      <c r="BA188" s="16">
        <v>475743.22</v>
      </c>
      <c r="BC188" s="18">
        <v>447894.88</v>
      </c>
      <c r="BD188" s="18">
        <v>484388.66</v>
      </c>
    </row>
    <row r="189" spans="1:56" hidden="1">
      <c r="A189">
        <v>16727</v>
      </c>
      <c r="B189" t="s">
        <v>821</v>
      </c>
      <c r="C189" t="s">
        <v>822</v>
      </c>
      <c r="D189" t="s">
        <v>821</v>
      </c>
      <c r="F189" t="s">
        <v>823</v>
      </c>
      <c r="G189">
        <v>17.056000000000001</v>
      </c>
      <c r="H189" t="s">
        <v>58</v>
      </c>
      <c r="I189">
        <v>2</v>
      </c>
      <c r="J189">
        <v>1</v>
      </c>
      <c r="K189">
        <v>0</v>
      </c>
      <c r="L189">
        <v>4.6399999999999997</v>
      </c>
      <c r="M189">
        <v>51192</v>
      </c>
      <c r="N189">
        <v>28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X189">
        <v>1</v>
      </c>
      <c r="Y189">
        <v>1</v>
      </c>
      <c r="Z189">
        <v>1</v>
      </c>
      <c r="AA189">
        <v>1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N189">
        <v>1159532.6200000001</v>
      </c>
      <c r="AO189">
        <v>1172029.25</v>
      </c>
      <c r="AP189">
        <v>973037.06</v>
      </c>
      <c r="AQ189">
        <v>711535.81</v>
      </c>
      <c r="AS189">
        <v>986346.25</v>
      </c>
      <c r="AT189" s="11">
        <v>99934.65</v>
      </c>
      <c r="AU189" s="11">
        <v>151704.31</v>
      </c>
      <c r="AW189" s="14">
        <v>554074.68999999994</v>
      </c>
      <c r="AX189" s="14">
        <v>392171.72</v>
      </c>
      <c r="AZ189" s="16">
        <v>587414.88</v>
      </c>
      <c r="BA189" s="16">
        <v>390660</v>
      </c>
      <c r="BC189" s="18">
        <v>274135.90999999997</v>
      </c>
      <c r="BD189" s="18">
        <v>452453.34</v>
      </c>
    </row>
    <row r="190" spans="1:56" hidden="1">
      <c r="A190">
        <v>16806</v>
      </c>
      <c r="B190" t="s">
        <v>824</v>
      </c>
      <c r="C190" t="s">
        <v>825</v>
      </c>
      <c r="D190" t="s">
        <v>826</v>
      </c>
      <c r="F190" t="s">
        <v>827</v>
      </c>
      <c r="G190">
        <v>16.315000000000001</v>
      </c>
      <c r="H190" t="s">
        <v>58</v>
      </c>
      <c r="I190">
        <v>2</v>
      </c>
      <c r="J190">
        <v>3</v>
      </c>
      <c r="K190">
        <v>0</v>
      </c>
      <c r="L190">
        <v>10.57</v>
      </c>
      <c r="M190">
        <v>28203</v>
      </c>
      <c r="N190">
        <v>18</v>
      </c>
      <c r="O190">
        <v>2</v>
      </c>
      <c r="P190">
        <v>2</v>
      </c>
      <c r="Q190">
        <v>2</v>
      </c>
      <c r="R190">
        <v>2</v>
      </c>
      <c r="S190">
        <v>3</v>
      </c>
      <c r="T190">
        <v>3</v>
      </c>
      <c r="U190">
        <v>2</v>
      </c>
      <c r="W190">
        <v>1</v>
      </c>
      <c r="X190">
        <v>1</v>
      </c>
      <c r="Y190">
        <v>2</v>
      </c>
      <c r="Z190">
        <v>1</v>
      </c>
      <c r="AA190">
        <v>1</v>
      </c>
      <c r="AB190">
        <v>2</v>
      </c>
      <c r="AC190">
        <v>1</v>
      </c>
      <c r="AD190">
        <v>0</v>
      </c>
      <c r="AE190">
        <v>0</v>
      </c>
      <c r="AF190">
        <v>0</v>
      </c>
      <c r="AG190">
        <v>2</v>
      </c>
      <c r="AH190">
        <v>0</v>
      </c>
      <c r="AI190">
        <v>1</v>
      </c>
      <c r="AJ190">
        <v>0</v>
      </c>
      <c r="AK190">
        <v>0</v>
      </c>
      <c r="AM190">
        <v>461477.75</v>
      </c>
      <c r="AN190">
        <v>1264990.75</v>
      </c>
      <c r="AO190">
        <v>2727538.75</v>
      </c>
      <c r="AP190">
        <v>457610.75</v>
      </c>
      <c r="AQ190">
        <v>1050023.3799999999</v>
      </c>
      <c r="AR190">
        <v>1143210.1200000001</v>
      </c>
      <c r="AS190">
        <v>915890</v>
      </c>
      <c r="AT190" s="11">
        <v>99934.65</v>
      </c>
      <c r="AU190" s="11">
        <v>151871.28</v>
      </c>
      <c r="AW190" s="14">
        <v>143339.22</v>
      </c>
      <c r="AX190" s="14">
        <v>1270942.5</v>
      </c>
      <c r="AZ190" s="16">
        <v>112417.63</v>
      </c>
      <c r="BA190" s="16">
        <v>210750.84</v>
      </c>
      <c r="BC190" s="18">
        <v>1645051</v>
      </c>
      <c r="BD190" s="18">
        <v>223590.84</v>
      </c>
    </row>
    <row r="191" spans="1:56" hidden="1">
      <c r="A191">
        <v>16831</v>
      </c>
      <c r="B191" t="s">
        <v>828</v>
      </c>
      <c r="C191" t="s">
        <v>829</v>
      </c>
      <c r="D191" t="s">
        <v>830</v>
      </c>
      <c r="F191" t="s">
        <v>831</v>
      </c>
      <c r="G191">
        <v>14.75</v>
      </c>
      <c r="H191" t="s">
        <v>58</v>
      </c>
      <c r="I191">
        <v>2</v>
      </c>
      <c r="J191">
        <v>2</v>
      </c>
      <c r="K191">
        <v>0</v>
      </c>
      <c r="L191">
        <v>3.64</v>
      </c>
      <c r="M191">
        <v>32730</v>
      </c>
      <c r="N191">
        <v>19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N191">
        <v>501104.84</v>
      </c>
      <c r="AO191">
        <v>843894.31</v>
      </c>
      <c r="AP191">
        <v>425144.5</v>
      </c>
      <c r="AQ191">
        <v>415432.75</v>
      </c>
      <c r="AR191">
        <v>381300.16</v>
      </c>
      <c r="AT191" s="11">
        <v>99934.65</v>
      </c>
      <c r="AU191" s="11">
        <v>151704.31</v>
      </c>
      <c r="AW191" s="14">
        <v>239449.48</v>
      </c>
      <c r="AX191" s="14">
        <v>282374.78000000003</v>
      </c>
      <c r="AZ191" s="16">
        <v>256656.41</v>
      </c>
      <c r="BA191" s="16">
        <v>228088.23</v>
      </c>
      <c r="BC191" s="18">
        <v>194598.81</v>
      </c>
      <c r="BD191" s="18">
        <v>275347</v>
      </c>
    </row>
    <row r="192" spans="1:56" hidden="1">
      <c r="A192">
        <v>16723</v>
      </c>
      <c r="B192" t="s">
        <v>832</v>
      </c>
      <c r="C192" t="s">
        <v>833</v>
      </c>
      <c r="D192" t="s">
        <v>834</v>
      </c>
      <c r="F192" t="s">
        <v>835</v>
      </c>
      <c r="G192">
        <v>13.887</v>
      </c>
      <c r="H192" t="s">
        <v>58</v>
      </c>
      <c r="I192">
        <v>2</v>
      </c>
      <c r="J192">
        <v>20</v>
      </c>
      <c r="K192">
        <v>0</v>
      </c>
      <c r="L192">
        <v>6.83</v>
      </c>
      <c r="M192">
        <v>17360</v>
      </c>
      <c r="N192">
        <v>6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C192">
        <v>1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952996.81</v>
      </c>
      <c r="AM192">
        <v>1070348.1200000001</v>
      </c>
      <c r="AN192">
        <v>1017293.94</v>
      </c>
      <c r="AO192">
        <v>1378773.25</v>
      </c>
      <c r="AP192">
        <v>529692.12</v>
      </c>
      <c r="AQ192">
        <v>453723.75</v>
      </c>
      <c r="AS192">
        <v>616923.06000000006</v>
      </c>
      <c r="AT192" s="11">
        <v>952996.81</v>
      </c>
      <c r="AU192" s="11">
        <v>1110923.8799999999</v>
      </c>
      <c r="AW192" s="14">
        <v>486106.91</v>
      </c>
      <c r="AX192" s="14">
        <v>461350.19</v>
      </c>
      <c r="AZ192" s="16">
        <v>319771</v>
      </c>
      <c r="BA192" s="16">
        <v>249111.45</v>
      </c>
      <c r="BC192" s="18">
        <v>274135.90999999997</v>
      </c>
      <c r="BD192" s="18">
        <v>282992.81</v>
      </c>
    </row>
    <row r="193" spans="1:56" hidden="1">
      <c r="A193">
        <v>16844</v>
      </c>
      <c r="B193" t="s">
        <v>836</v>
      </c>
      <c r="C193" t="s">
        <v>837</v>
      </c>
      <c r="D193" t="s">
        <v>836</v>
      </c>
      <c r="F193" t="s">
        <v>838</v>
      </c>
      <c r="G193">
        <v>13.419</v>
      </c>
      <c r="H193" t="s">
        <v>58</v>
      </c>
      <c r="I193">
        <v>2</v>
      </c>
      <c r="J193">
        <v>1</v>
      </c>
      <c r="K193">
        <v>0</v>
      </c>
      <c r="L193">
        <v>4.88</v>
      </c>
      <c r="M193">
        <v>27797</v>
      </c>
      <c r="N193">
        <v>14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1</v>
      </c>
      <c r="AN193">
        <v>593552.31000000006</v>
      </c>
      <c r="AO193">
        <v>662546.38</v>
      </c>
      <c r="AP193">
        <v>289420.5</v>
      </c>
      <c r="AQ193">
        <v>444718.66</v>
      </c>
      <c r="AR193">
        <v>286749.53000000003</v>
      </c>
      <c r="AS193">
        <v>412964.97</v>
      </c>
      <c r="AT193" s="11">
        <v>99934.65</v>
      </c>
      <c r="AU193" s="11">
        <v>151704.31</v>
      </c>
      <c r="AW193" s="14">
        <v>283624.90999999997</v>
      </c>
      <c r="AX193" s="14">
        <v>221694.09</v>
      </c>
      <c r="AZ193" s="16">
        <v>174720.89</v>
      </c>
      <c r="BA193" s="16">
        <v>244167.3</v>
      </c>
      <c r="BC193" s="18">
        <v>146344.32999999999</v>
      </c>
      <c r="BD193" s="18">
        <v>189433.86</v>
      </c>
    </row>
    <row r="194" spans="1:56" hidden="1">
      <c r="A194">
        <v>16755</v>
      </c>
      <c r="B194" t="s">
        <v>839</v>
      </c>
      <c r="C194" t="s">
        <v>840</v>
      </c>
      <c r="D194" t="s">
        <v>841</v>
      </c>
      <c r="F194" t="s">
        <v>842</v>
      </c>
      <c r="G194">
        <v>12.491</v>
      </c>
      <c r="H194" t="s">
        <v>58</v>
      </c>
      <c r="I194">
        <v>2</v>
      </c>
      <c r="J194">
        <v>2</v>
      </c>
      <c r="K194">
        <v>0</v>
      </c>
      <c r="L194">
        <v>3.18</v>
      </c>
      <c r="M194">
        <v>37389</v>
      </c>
      <c r="N194">
        <v>14</v>
      </c>
      <c r="O194">
        <v>1</v>
      </c>
      <c r="P194">
        <v>1</v>
      </c>
      <c r="Q194">
        <v>1</v>
      </c>
      <c r="R194">
        <v>1</v>
      </c>
      <c r="S194">
        <v>3</v>
      </c>
      <c r="T194">
        <v>3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0</v>
      </c>
      <c r="AE194">
        <v>0</v>
      </c>
      <c r="AF194">
        <v>1</v>
      </c>
      <c r="AG194">
        <v>1</v>
      </c>
      <c r="AH194">
        <v>0</v>
      </c>
      <c r="AI194">
        <v>1</v>
      </c>
      <c r="AJ194">
        <v>0</v>
      </c>
      <c r="AK194">
        <v>0</v>
      </c>
      <c r="AL194">
        <v>559103.5</v>
      </c>
      <c r="AM194">
        <v>350763.81</v>
      </c>
      <c r="AN194">
        <v>1213961.5</v>
      </c>
      <c r="AO194">
        <v>1540407.38</v>
      </c>
      <c r="AP194">
        <v>641012.5</v>
      </c>
      <c r="AQ194">
        <v>895949.56</v>
      </c>
      <c r="AR194">
        <v>661868.38</v>
      </c>
      <c r="AS194">
        <v>647693</v>
      </c>
      <c r="AT194" s="11">
        <v>559103.5</v>
      </c>
      <c r="AU194" s="11">
        <v>364060.84</v>
      </c>
      <c r="AW194" s="14">
        <v>580083.12</v>
      </c>
      <c r="AX194" s="14">
        <v>515434.44</v>
      </c>
      <c r="AZ194" s="16">
        <v>386974.25</v>
      </c>
      <c r="BA194" s="16">
        <v>491910.09</v>
      </c>
      <c r="BC194" s="18">
        <v>337788.47</v>
      </c>
      <c r="BD194" s="18">
        <v>297107.5</v>
      </c>
    </row>
    <row r="195" spans="1:56" hidden="1">
      <c r="A195">
        <v>16711</v>
      </c>
      <c r="B195" t="s">
        <v>843</v>
      </c>
      <c r="C195" t="s">
        <v>844</v>
      </c>
      <c r="D195" t="s">
        <v>845</v>
      </c>
      <c r="F195" t="s">
        <v>846</v>
      </c>
      <c r="G195">
        <v>12.438000000000001</v>
      </c>
      <c r="H195" t="s">
        <v>58</v>
      </c>
      <c r="I195">
        <v>2</v>
      </c>
      <c r="J195">
        <v>19</v>
      </c>
      <c r="K195">
        <v>0</v>
      </c>
      <c r="L195">
        <v>6.23</v>
      </c>
      <c r="M195">
        <v>37972</v>
      </c>
      <c r="N195">
        <v>21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1</v>
      </c>
      <c r="AA195">
        <v>1</v>
      </c>
      <c r="AB195">
        <v>2</v>
      </c>
      <c r="AC195">
        <v>2</v>
      </c>
      <c r="AD195">
        <v>0</v>
      </c>
      <c r="AE195">
        <v>0</v>
      </c>
      <c r="AF195">
        <v>1</v>
      </c>
      <c r="AG195">
        <v>2</v>
      </c>
      <c r="AH195">
        <v>0</v>
      </c>
      <c r="AI195">
        <v>0</v>
      </c>
      <c r="AJ195">
        <v>0</v>
      </c>
      <c r="AK195">
        <v>0</v>
      </c>
      <c r="AL195">
        <v>627066.88</v>
      </c>
      <c r="AM195">
        <v>590824.31000000006</v>
      </c>
      <c r="AN195">
        <v>2220470.75</v>
      </c>
      <c r="AO195">
        <v>2772021</v>
      </c>
      <c r="AP195">
        <v>482583.72</v>
      </c>
      <c r="AQ195">
        <v>598249.75</v>
      </c>
      <c r="AR195">
        <v>839941.25</v>
      </c>
      <c r="AS195">
        <v>978458.88</v>
      </c>
      <c r="AT195" s="11">
        <v>586254.93999999994</v>
      </c>
      <c r="AU195" s="11">
        <v>563630.68999999994</v>
      </c>
      <c r="AW195" s="14">
        <v>988714.69</v>
      </c>
      <c r="AX195" s="14">
        <v>844469.75</v>
      </c>
      <c r="AZ195" s="16">
        <v>121750.62</v>
      </c>
      <c r="BA195" s="16">
        <v>132782.20000000001</v>
      </c>
      <c r="BC195" s="18">
        <v>699156.75</v>
      </c>
      <c r="BD195" s="18">
        <v>760112.81</v>
      </c>
    </row>
    <row r="196" spans="1:56" hidden="1">
      <c r="A196">
        <v>16762</v>
      </c>
      <c r="B196" t="s">
        <v>847</v>
      </c>
      <c r="C196" t="s">
        <v>848</v>
      </c>
      <c r="D196" t="s">
        <v>849</v>
      </c>
      <c r="F196" t="s">
        <v>850</v>
      </c>
      <c r="G196">
        <v>11.132</v>
      </c>
      <c r="H196" t="s">
        <v>58</v>
      </c>
      <c r="I196">
        <v>2</v>
      </c>
      <c r="J196">
        <v>19</v>
      </c>
      <c r="K196">
        <v>0</v>
      </c>
      <c r="L196">
        <v>4.96</v>
      </c>
      <c r="M196">
        <v>42363</v>
      </c>
      <c r="N196">
        <v>18</v>
      </c>
      <c r="O196">
        <v>2</v>
      </c>
      <c r="P196">
        <v>2</v>
      </c>
      <c r="Q196">
        <v>2</v>
      </c>
      <c r="R196">
        <v>2</v>
      </c>
      <c r="S196">
        <v>2</v>
      </c>
      <c r="T196">
        <v>2</v>
      </c>
      <c r="U196">
        <v>2</v>
      </c>
      <c r="V196">
        <v>1</v>
      </c>
      <c r="W196">
        <v>2</v>
      </c>
      <c r="X196">
        <v>1</v>
      </c>
      <c r="Y196">
        <v>2</v>
      </c>
      <c r="Z196">
        <v>1</v>
      </c>
      <c r="AA196">
        <v>1</v>
      </c>
      <c r="AB196">
        <v>2</v>
      </c>
      <c r="AC196">
        <v>2</v>
      </c>
      <c r="AD196">
        <v>0</v>
      </c>
      <c r="AE196">
        <v>0</v>
      </c>
      <c r="AF196">
        <v>0</v>
      </c>
      <c r="AG196">
        <v>2</v>
      </c>
      <c r="AH196">
        <v>0</v>
      </c>
      <c r="AI196">
        <v>0</v>
      </c>
      <c r="AJ196">
        <v>0</v>
      </c>
      <c r="AK196">
        <v>1</v>
      </c>
      <c r="AL196">
        <v>51308.74</v>
      </c>
      <c r="AM196">
        <v>372479.5</v>
      </c>
      <c r="AN196">
        <v>53362.93</v>
      </c>
      <c r="AO196">
        <v>5615783</v>
      </c>
      <c r="AP196">
        <v>847713.56</v>
      </c>
      <c r="AQ196">
        <v>539961.12</v>
      </c>
      <c r="AR196">
        <v>1692292.25</v>
      </c>
      <c r="AS196">
        <v>1829131.88</v>
      </c>
      <c r="AT196" s="11">
        <v>46945.04</v>
      </c>
      <c r="AU196" s="11">
        <v>257071.86</v>
      </c>
      <c r="AW196" s="14">
        <v>21698.61</v>
      </c>
      <c r="AX196" s="14">
        <v>1320813.25</v>
      </c>
      <c r="AZ196" s="16">
        <v>128674.61</v>
      </c>
      <c r="BA196" s="16">
        <v>89316.19</v>
      </c>
      <c r="BC196" s="18">
        <v>1438560.12</v>
      </c>
      <c r="BD196" s="18">
        <v>1521378.12</v>
      </c>
    </row>
    <row r="197" spans="1:56" hidden="1">
      <c r="A197">
        <v>16774</v>
      </c>
      <c r="B197" t="s">
        <v>851</v>
      </c>
      <c r="C197" t="s">
        <v>852</v>
      </c>
      <c r="D197" t="s">
        <v>853</v>
      </c>
      <c r="F197" t="s">
        <v>854</v>
      </c>
      <c r="G197">
        <v>10.484999999999999</v>
      </c>
      <c r="H197" t="s">
        <v>58</v>
      </c>
      <c r="I197">
        <v>2</v>
      </c>
      <c r="J197">
        <v>22</v>
      </c>
      <c r="K197">
        <v>0</v>
      </c>
      <c r="L197">
        <v>1.64</v>
      </c>
      <c r="M197">
        <v>57328</v>
      </c>
      <c r="N197">
        <v>34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1</v>
      </c>
      <c r="AJ197">
        <v>0</v>
      </c>
      <c r="AK197">
        <v>1</v>
      </c>
      <c r="AL197">
        <v>693655.5</v>
      </c>
      <c r="AM197">
        <v>636614.75</v>
      </c>
      <c r="AN197">
        <v>1794133.75</v>
      </c>
      <c r="AO197">
        <v>1677711.5</v>
      </c>
      <c r="AP197">
        <v>817734.25</v>
      </c>
      <c r="AQ197">
        <v>349728.91</v>
      </c>
      <c r="AR197">
        <v>406034.38</v>
      </c>
      <c r="AS197">
        <v>816156.25</v>
      </c>
      <c r="AT197" s="11">
        <v>693655.5</v>
      </c>
      <c r="AU197" s="11">
        <v>660748.06000000006</v>
      </c>
      <c r="AW197" s="14">
        <v>857314.44</v>
      </c>
      <c r="AX197" s="14">
        <v>561377.68999999994</v>
      </c>
      <c r="AZ197" s="16">
        <v>493659.78</v>
      </c>
      <c r="BA197" s="16">
        <v>192014.36</v>
      </c>
      <c r="BC197" s="18">
        <v>207222.06</v>
      </c>
      <c r="BD197" s="18">
        <v>374384.38</v>
      </c>
    </row>
    <row r="198" spans="1:56" hidden="1">
      <c r="A198">
        <v>16867</v>
      </c>
      <c r="B198" t="s">
        <v>855</v>
      </c>
      <c r="C198" t="s">
        <v>856</v>
      </c>
      <c r="D198" t="s">
        <v>855</v>
      </c>
      <c r="F198" t="s">
        <v>857</v>
      </c>
      <c r="G198">
        <v>10.391</v>
      </c>
      <c r="H198" t="s">
        <v>58</v>
      </c>
      <c r="I198">
        <v>2</v>
      </c>
      <c r="J198">
        <v>1</v>
      </c>
      <c r="K198">
        <v>0</v>
      </c>
      <c r="L198">
        <v>8.85</v>
      </c>
      <c r="M198">
        <v>20694</v>
      </c>
      <c r="N198">
        <v>8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0</v>
      </c>
      <c r="AE198">
        <v>0</v>
      </c>
      <c r="AF198">
        <v>1</v>
      </c>
      <c r="AG198">
        <v>1</v>
      </c>
      <c r="AH198">
        <v>1</v>
      </c>
      <c r="AI198">
        <v>1</v>
      </c>
      <c r="AJ198">
        <v>0</v>
      </c>
      <c r="AK198">
        <v>0</v>
      </c>
      <c r="AL198">
        <v>961477.88</v>
      </c>
      <c r="AN198">
        <v>1767073.12</v>
      </c>
      <c r="AO198">
        <v>1401943.5</v>
      </c>
      <c r="AP198">
        <v>609480.62</v>
      </c>
      <c r="AQ198">
        <v>774621.44</v>
      </c>
      <c r="AR198">
        <v>1027803.44</v>
      </c>
      <c r="AS198">
        <v>939401.38</v>
      </c>
      <c r="AT198" s="11">
        <v>961477.88</v>
      </c>
      <c r="AU198" s="11">
        <v>151704.31</v>
      </c>
      <c r="AW198" s="14">
        <v>844383.69</v>
      </c>
      <c r="AX198" s="14">
        <v>469103.19</v>
      </c>
      <c r="AZ198" s="16">
        <v>367938.69</v>
      </c>
      <c r="BA198" s="16">
        <v>425296.41</v>
      </c>
      <c r="BC198" s="18">
        <v>524545.62</v>
      </c>
      <c r="BD198" s="18">
        <v>430918.94</v>
      </c>
    </row>
    <row r="199" spans="1:56" hidden="1">
      <c r="A199">
        <v>16811</v>
      </c>
      <c r="B199" t="s">
        <v>858</v>
      </c>
      <c r="C199" t="s">
        <v>859</v>
      </c>
      <c r="D199" t="s">
        <v>860</v>
      </c>
      <c r="F199" t="s">
        <v>861</v>
      </c>
      <c r="G199">
        <v>10.324999999999999</v>
      </c>
      <c r="H199" t="s">
        <v>58</v>
      </c>
      <c r="I199">
        <v>2</v>
      </c>
      <c r="J199">
        <v>3</v>
      </c>
      <c r="K199">
        <v>0</v>
      </c>
      <c r="L199">
        <v>1.93</v>
      </c>
      <c r="M199">
        <v>52667</v>
      </c>
      <c r="N199">
        <v>26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1371500.5</v>
      </c>
      <c r="AM199">
        <v>1525312.5</v>
      </c>
      <c r="AN199">
        <v>965119.38</v>
      </c>
      <c r="AO199">
        <v>1469976.25</v>
      </c>
      <c r="AP199">
        <v>1089235.25</v>
      </c>
      <c r="AQ199">
        <v>1121270.5</v>
      </c>
      <c r="AR199">
        <v>555266.68999999994</v>
      </c>
      <c r="AS199">
        <v>359680.69</v>
      </c>
      <c r="AT199" s="11">
        <v>1371500.5</v>
      </c>
      <c r="AU199" s="11">
        <v>1583135.38</v>
      </c>
      <c r="AW199" s="14">
        <v>461175.66</v>
      </c>
      <c r="AX199" s="14">
        <v>491867.53</v>
      </c>
      <c r="AZ199" s="16">
        <v>657562.81000000006</v>
      </c>
      <c r="BA199" s="16">
        <v>615619.75</v>
      </c>
      <c r="BC199" s="18">
        <v>283383.65999999997</v>
      </c>
      <c r="BD199" s="18">
        <v>164991.48000000001</v>
      </c>
    </row>
    <row r="200" spans="1:56" hidden="1">
      <c r="A200">
        <v>16782</v>
      </c>
      <c r="B200" t="s">
        <v>862</v>
      </c>
      <c r="C200" t="s">
        <v>863</v>
      </c>
      <c r="D200" t="s">
        <v>864</v>
      </c>
      <c r="F200" t="s">
        <v>865</v>
      </c>
      <c r="G200">
        <v>9.5559999999999992</v>
      </c>
      <c r="H200" t="s">
        <v>58</v>
      </c>
      <c r="I200">
        <v>2</v>
      </c>
      <c r="J200">
        <v>3</v>
      </c>
      <c r="K200">
        <v>0</v>
      </c>
      <c r="L200">
        <v>4.37</v>
      </c>
      <c r="M200">
        <v>28547</v>
      </c>
      <c r="N200">
        <v>11</v>
      </c>
      <c r="O200">
        <v>1</v>
      </c>
      <c r="P200">
        <v>1</v>
      </c>
      <c r="Q200">
        <v>1</v>
      </c>
      <c r="R200">
        <v>1</v>
      </c>
      <c r="S200">
        <v>2</v>
      </c>
      <c r="T200">
        <v>2</v>
      </c>
      <c r="U200">
        <v>1</v>
      </c>
      <c r="X200">
        <v>1</v>
      </c>
      <c r="Z200">
        <v>1</v>
      </c>
      <c r="AA200">
        <v>1</v>
      </c>
      <c r="AB200">
        <v>1</v>
      </c>
      <c r="AD200">
        <v>0</v>
      </c>
      <c r="AE200">
        <v>0</v>
      </c>
      <c r="AF200">
        <v>2</v>
      </c>
      <c r="AG200">
        <v>0</v>
      </c>
      <c r="AH200">
        <v>1</v>
      </c>
      <c r="AI200">
        <v>1</v>
      </c>
      <c r="AJ200">
        <v>0</v>
      </c>
      <c r="AK200">
        <v>0</v>
      </c>
      <c r="AN200">
        <v>1404409.88</v>
      </c>
      <c r="AP200">
        <v>530415.38</v>
      </c>
      <c r="AQ200">
        <v>719736.62</v>
      </c>
      <c r="AR200">
        <v>768169.88</v>
      </c>
      <c r="AT200" s="11">
        <v>99934.65</v>
      </c>
      <c r="AU200" s="11">
        <v>151704.31</v>
      </c>
      <c r="AW200" s="14">
        <v>671087.56000000006</v>
      </c>
      <c r="AX200" s="14">
        <v>360097.09</v>
      </c>
      <c r="AZ200" s="16">
        <v>320207.62</v>
      </c>
      <c r="BA200" s="16">
        <v>395162.56</v>
      </c>
      <c r="BC200" s="18">
        <v>392040.06</v>
      </c>
      <c r="BD200" s="18">
        <v>275347</v>
      </c>
    </row>
    <row r="201" spans="1:56" hidden="1">
      <c r="A201">
        <v>16807</v>
      </c>
      <c r="B201" t="s">
        <v>866</v>
      </c>
      <c r="C201" t="s">
        <v>867</v>
      </c>
      <c r="D201" t="s">
        <v>868</v>
      </c>
      <c r="F201" t="s">
        <v>869</v>
      </c>
      <c r="G201">
        <v>9.2750000000000004</v>
      </c>
      <c r="H201" t="s">
        <v>58</v>
      </c>
      <c r="I201">
        <v>2</v>
      </c>
      <c r="J201">
        <v>11</v>
      </c>
      <c r="K201">
        <v>0</v>
      </c>
      <c r="L201">
        <v>1.38</v>
      </c>
      <c r="M201">
        <v>80038</v>
      </c>
      <c r="N201">
        <v>43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Y201">
        <v>1</v>
      </c>
      <c r="AA201">
        <v>1</v>
      </c>
      <c r="AB201">
        <v>1</v>
      </c>
      <c r="AC201">
        <v>1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O201">
        <v>841323.25</v>
      </c>
      <c r="AQ201">
        <v>405213.97</v>
      </c>
      <c r="AR201">
        <v>428977.25</v>
      </c>
      <c r="AS201">
        <v>368183.03</v>
      </c>
      <c r="AT201" s="11">
        <v>99934.65</v>
      </c>
      <c r="AU201" s="11">
        <v>151704.31</v>
      </c>
      <c r="AW201" s="14">
        <v>374615.16</v>
      </c>
      <c r="AX201" s="14">
        <v>281514.5</v>
      </c>
      <c r="AZ201" s="16">
        <v>278828.78000000003</v>
      </c>
      <c r="BA201" s="16">
        <v>222477.73</v>
      </c>
      <c r="BC201" s="18">
        <v>218931.11</v>
      </c>
      <c r="BD201" s="18">
        <v>168891.64</v>
      </c>
    </row>
    <row r="202" spans="1:56" hidden="1">
      <c r="A202">
        <v>16868</v>
      </c>
      <c r="B202" t="s">
        <v>870</v>
      </c>
      <c r="C202" t="s">
        <v>871</v>
      </c>
      <c r="D202" t="s">
        <v>872</v>
      </c>
      <c r="F202" t="s">
        <v>873</v>
      </c>
      <c r="G202">
        <v>9.2650000000000006</v>
      </c>
      <c r="H202" t="s">
        <v>58</v>
      </c>
      <c r="I202">
        <v>2</v>
      </c>
      <c r="J202">
        <v>3</v>
      </c>
      <c r="K202">
        <v>0</v>
      </c>
      <c r="L202">
        <v>2.7</v>
      </c>
      <c r="M202">
        <v>107806</v>
      </c>
      <c r="N202">
        <v>54</v>
      </c>
      <c r="O202">
        <v>2</v>
      </c>
      <c r="P202">
        <v>2</v>
      </c>
      <c r="Q202">
        <v>2</v>
      </c>
      <c r="R202">
        <v>2</v>
      </c>
      <c r="S202">
        <v>4</v>
      </c>
      <c r="T202">
        <v>4</v>
      </c>
      <c r="U202">
        <v>2</v>
      </c>
      <c r="V202">
        <v>1</v>
      </c>
      <c r="X202">
        <v>2</v>
      </c>
      <c r="Y202">
        <v>2</v>
      </c>
      <c r="Z202">
        <v>2</v>
      </c>
      <c r="AA202">
        <v>2</v>
      </c>
      <c r="AB202">
        <v>2</v>
      </c>
      <c r="AC202">
        <v>2</v>
      </c>
      <c r="AD202">
        <v>0</v>
      </c>
      <c r="AE202">
        <v>0</v>
      </c>
      <c r="AF202">
        <v>1</v>
      </c>
      <c r="AG202">
        <v>3</v>
      </c>
      <c r="AH202">
        <v>2</v>
      </c>
      <c r="AI202">
        <v>2</v>
      </c>
      <c r="AJ202">
        <v>1</v>
      </c>
      <c r="AK202">
        <v>1</v>
      </c>
      <c r="AL202">
        <v>22785034</v>
      </c>
      <c r="AN202">
        <v>17668172</v>
      </c>
      <c r="AO202">
        <v>23070016</v>
      </c>
      <c r="AP202">
        <v>18221692</v>
      </c>
      <c r="AQ202">
        <v>20563384</v>
      </c>
      <c r="AR202">
        <v>16399928</v>
      </c>
      <c r="AS202">
        <v>23595024</v>
      </c>
      <c r="AT202" s="11">
        <v>82918.12</v>
      </c>
      <c r="AU202" s="11">
        <v>151704.31</v>
      </c>
      <c r="AW202" s="14">
        <v>9095386</v>
      </c>
      <c r="AX202" s="14">
        <v>10037723</v>
      </c>
      <c r="AZ202" s="16">
        <v>14843719</v>
      </c>
      <c r="BA202" s="16">
        <v>15451343</v>
      </c>
      <c r="BC202" s="18">
        <v>11500998</v>
      </c>
      <c r="BD202" s="18">
        <v>14509054</v>
      </c>
    </row>
    <row r="203" spans="1:56" hidden="1">
      <c r="A203">
        <v>16731</v>
      </c>
      <c r="B203" t="s">
        <v>874</v>
      </c>
      <c r="C203" t="s">
        <v>875</v>
      </c>
      <c r="D203" t="s">
        <v>876</v>
      </c>
      <c r="F203" t="s">
        <v>877</v>
      </c>
      <c r="G203">
        <v>8.2720000000000002</v>
      </c>
      <c r="H203" t="s">
        <v>58</v>
      </c>
      <c r="I203">
        <v>2</v>
      </c>
      <c r="J203">
        <v>21</v>
      </c>
      <c r="K203">
        <v>0</v>
      </c>
      <c r="L203">
        <v>2.88</v>
      </c>
      <c r="M203">
        <v>45316</v>
      </c>
      <c r="N203">
        <v>22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0</v>
      </c>
      <c r="AE203">
        <v>0</v>
      </c>
      <c r="AF203">
        <v>1</v>
      </c>
      <c r="AG203">
        <v>1</v>
      </c>
      <c r="AH203">
        <v>0</v>
      </c>
      <c r="AI203">
        <v>1</v>
      </c>
      <c r="AJ203">
        <v>0</v>
      </c>
      <c r="AK203">
        <v>0</v>
      </c>
      <c r="AL203">
        <v>740286.31</v>
      </c>
      <c r="AM203">
        <v>593224.18999999994</v>
      </c>
      <c r="AN203">
        <v>1100317.3799999999</v>
      </c>
      <c r="AO203">
        <v>1489882</v>
      </c>
      <c r="AP203">
        <v>320968.06</v>
      </c>
      <c r="AQ203">
        <v>345948.41</v>
      </c>
      <c r="AR203">
        <v>362924.22</v>
      </c>
      <c r="AS203">
        <v>361340.94</v>
      </c>
      <c r="AT203" s="11">
        <v>740286.31</v>
      </c>
      <c r="AU203" s="11">
        <v>615712.62</v>
      </c>
      <c r="AW203" s="14">
        <v>525779.06000000006</v>
      </c>
      <c r="AX203" s="14">
        <v>498528.19</v>
      </c>
      <c r="AZ203" s="16">
        <v>193765.91</v>
      </c>
      <c r="BA203" s="16">
        <v>189938.72</v>
      </c>
      <c r="BC203" s="18">
        <v>185220.55</v>
      </c>
      <c r="BD203" s="18">
        <v>165753.06</v>
      </c>
    </row>
    <row r="204" spans="1:56" hidden="1">
      <c r="A204">
        <v>16814</v>
      </c>
      <c r="B204" t="s">
        <v>878</v>
      </c>
      <c r="C204" t="s">
        <v>879</v>
      </c>
      <c r="D204" t="s">
        <v>880</v>
      </c>
      <c r="F204" t="s">
        <v>881</v>
      </c>
      <c r="G204">
        <v>7.3810000000000002</v>
      </c>
      <c r="H204" t="s">
        <v>58</v>
      </c>
      <c r="I204">
        <v>2</v>
      </c>
      <c r="J204">
        <v>3</v>
      </c>
      <c r="K204">
        <v>0</v>
      </c>
      <c r="L204">
        <v>3.74</v>
      </c>
      <c r="M204">
        <v>34031</v>
      </c>
      <c r="N204">
        <v>19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N204">
        <v>810505.62</v>
      </c>
      <c r="AO204">
        <v>987273.5</v>
      </c>
      <c r="AP204">
        <v>458474.09</v>
      </c>
      <c r="AQ204">
        <v>646688.31000000006</v>
      </c>
      <c r="AR204">
        <v>498483.16</v>
      </c>
      <c r="AS204">
        <v>632683.25</v>
      </c>
      <c r="AT204" s="11">
        <v>99934.65</v>
      </c>
      <c r="AU204" s="11">
        <v>151704.31</v>
      </c>
      <c r="AW204" s="14">
        <v>387294.53</v>
      </c>
      <c r="AX204" s="14">
        <v>330350.78000000003</v>
      </c>
      <c r="AZ204" s="16">
        <v>276777.21999999997</v>
      </c>
      <c r="BA204" s="16">
        <v>355056.25</v>
      </c>
      <c r="BC204" s="18">
        <v>254403.84</v>
      </c>
      <c r="BD204" s="18">
        <v>290222.28000000003</v>
      </c>
    </row>
    <row r="205" spans="1:56" hidden="1">
      <c r="A205">
        <v>16808</v>
      </c>
      <c r="B205" t="s">
        <v>882</v>
      </c>
      <c r="C205" t="s">
        <v>883</v>
      </c>
      <c r="D205" t="s">
        <v>884</v>
      </c>
      <c r="F205" t="s">
        <v>885</v>
      </c>
      <c r="G205">
        <v>7.3230000000000004</v>
      </c>
      <c r="H205" t="s">
        <v>58</v>
      </c>
      <c r="I205">
        <v>2</v>
      </c>
      <c r="J205">
        <v>10</v>
      </c>
      <c r="K205">
        <v>0</v>
      </c>
      <c r="L205">
        <v>1.75</v>
      </c>
      <c r="M205">
        <v>51859</v>
      </c>
      <c r="N205">
        <v>33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686346.5</v>
      </c>
      <c r="AM205">
        <v>537392.88</v>
      </c>
      <c r="AN205">
        <v>1679491.88</v>
      </c>
      <c r="AO205">
        <v>1957946.25</v>
      </c>
      <c r="AP205">
        <v>829214.12</v>
      </c>
      <c r="AQ205">
        <v>835627.56</v>
      </c>
      <c r="AR205">
        <v>665648.38</v>
      </c>
      <c r="AS205">
        <v>908491.5</v>
      </c>
      <c r="AT205" s="11">
        <v>686346.5</v>
      </c>
      <c r="AU205" s="11">
        <v>557764.81000000006</v>
      </c>
      <c r="AW205" s="14">
        <v>802533.62</v>
      </c>
      <c r="AX205" s="14">
        <v>655146.81000000006</v>
      </c>
      <c r="AZ205" s="16">
        <v>500590.06</v>
      </c>
      <c r="BA205" s="16">
        <v>458791.03</v>
      </c>
      <c r="BC205" s="18">
        <v>339717.62</v>
      </c>
      <c r="BD205" s="18">
        <v>416740.06</v>
      </c>
    </row>
    <row r="206" spans="1:56" hidden="1">
      <c r="A206">
        <v>16752</v>
      </c>
      <c r="B206" t="s">
        <v>886</v>
      </c>
      <c r="C206" t="s">
        <v>887</v>
      </c>
      <c r="D206" t="s">
        <v>888</v>
      </c>
      <c r="F206" t="s">
        <v>889</v>
      </c>
      <c r="G206">
        <v>7.306</v>
      </c>
      <c r="H206" t="s">
        <v>58</v>
      </c>
      <c r="I206">
        <v>2</v>
      </c>
      <c r="J206">
        <v>18</v>
      </c>
      <c r="K206">
        <v>0</v>
      </c>
      <c r="L206">
        <v>2.2200000000000002</v>
      </c>
      <c r="M206">
        <v>36359</v>
      </c>
      <c r="N206">
        <v>18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375279.06</v>
      </c>
      <c r="AM206">
        <v>382199.69</v>
      </c>
      <c r="AN206">
        <v>964201.38</v>
      </c>
      <c r="AO206">
        <v>1165349.1200000001</v>
      </c>
      <c r="AP206">
        <v>590663.93999999994</v>
      </c>
      <c r="AQ206">
        <v>684834.62</v>
      </c>
      <c r="AR206">
        <v>516278</v>
      </c>
      <c r="AS206">
        <v>510664.34</v>
      </c>
      <c r="AT206" s="11">
        <v>375279.06</v>
      </c>
      <c r="AU206" s="11">
        <v>396688.44</v>
      </c>
      <c r="AW206" s="14">
        <v>460737</v>
      </c>
      <c r="AX206" s="14">
        <v>389936.53</v>
      </c>
      <c r="AZ206" s="16">
        <v>356579.22</v>
      </c>
      <c r="BA206" s="16">
        <v>376000.03</v>
      </c>
      <c r="BC206" s="18">
        <v>263485.56</v>
      </c>
      <c r="BD206" s="18">
        <v>234250.17</v>
      </c>
    </row>
    <row r="207" spans="1:56" hidden="1">
      <c r="A207">
        <v>16746</v>
      </c>
      <c r="B207" t="s">
        <v>890</v>
      </c>
      <c r="C207" t="s">
        <v>891</v>
      </c>
      <c r="D207" t="s">
        <v>892</v>
      </c>
      <c r="E207" t="s">
        <v>893</v>
      </c>
      <c r="F207" t="s">
        <v>894</v>
      </c>
      <c r="G207">
        <v>7.056</v>
      </c>
      <c r="H207" t="s">
        <v>58</v>
      </c>
      <c r="I207">
        <v>2</v>
      </c>
      <c r="J207">
        <v>3</v>
      </c>
      <c r="K207">
        <v>1</v>
      </c>
      <c r="L207">
        <v>4.83</v>
      </c>
      <c r="M207">
        <v>35532</v>
      </c>
      <c r="N207">
        <v>24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2</v>
      </c>
      <c r="AA207">
        <v>1</v>
      </c>
      <c r="AB207">
        <v>1</v>
      </c>
      <c r="AD207">
        <v>0</v>
      </c>
      <c r="AE207">
        <v>2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18454528</v>
      </c>
      <c r="AM207">
        <v>21967140</v>
      </c>
      <c r="AQ207">
        <v>181949.16</v>
      </c>
      <c r="AR207">
        <v>150616.03</v>
      </c>
      <c r="AT207" s="11">
        <v>14311312</v>
      </c>
      <c r="AU207" s="11">
        <v>25092926</v>
      </c>
      <c r="AW207" s="14">
        <v>374615.16</v>
      </c>
      <c r="AX207" s="14">
        <v>360097.09</v>
      </c>
      <c r="AZ207" s="16">
        <v>278828.78000000003</v>
      </c>
      <c r="BA207" s="16">
        <v>948097.75</v>
      </c>
      <c r="BC207" s="18">
        <v>731947.62</v>
      </c>
      <c r="BD207" s="18">
        <v>275347</v>
      </c>
    </row>
    <row r="208" spans="1:56" hidden="1">
      <c r="A208">
        <v>16697</v>
      </c>
      <c r="B208" t="s">
        <v>895</v>
      </c>
      <c r="C208" t="s">
        <v>896</v>
      </c>
      <c r="D208" t="s">
        <v>897</v>
      </c>
      <c r="F208" t="s">
        <v>898</v>
      </c>
      <c r="G208">
        <v>6.8179999999999996</v>
      </c>
      <c r="H208" t="s">
        <v>58</v>
      </c>
      <c r="I208">
        <v>2</v>
      </c>
      <c r="J208">
        <v>3</v>
      </c>
      <c r="K208">
        <v>0</v>
      </c>
      <c r="L208">
        <v>3.36</v>
      </c>
      <c r="M208">
        <v>129898</v>
      </c>
      <c r="N208">
        <v>76</v>
      </c>
      <c r="O208">
        <v>4</v>
      </c>
      <c r="P208">
        <v>4</v>
      </c>
      <c r="Q208">
        <v>4</v>
      </c>
      <c r="R208">
        <v>4</v>
      </c>
      <c r="S208">
        <v>4</v>
      </c>
      <c r="T208">
        <v>4</v>
      </c>
      <c r="U208">
        <v>4</v>
      </c>
      <c r="V208">
        <v>3</v>
      </c>
      <c r="W208">
        <v>3</v>
      </c>
      <c r="X208">
        <v>4</v>
      </c>
      <c r="Y208">
        <v>4</v>
      </c>
      <c r="Z208">
        <v>4</v>
      </c>
      <c r="AA208">
        <v>3</v>
      </c>
      <c r="AB208">
        <v>4</v>
      </c>
      <c r="AC208">
        <v>4</v>
      </c>
      <c r="AD208">
        <v>0</v>
      </c>
      <c r="AE208">
        <v>0</v>
      </c>
      <c r="AF208">
        <v>0</v>
      </c>
      <c r="AG208">
        <v>2</v>
      </c>
      <c r="AH208">
        <v>0</v>
      </c>
      <c r="AI208">
        <v>1</v>
      </c>
      <c r="AJ208">
        <v>2</v>
      </c>
      <c r="AK208">
        <v>1</v>
      </c>
      <c r="AL208">
        <v>1072091.75</v>
      </c>
      <c r="AM208">
        <v>1116550</v>
      </c>
      <c r="AN208">
        <v>3972200.5</v>
      </c>
      <c r="AO208">
        <v>4682863</v>
      </c>
      <c r="AP208">
        <v>1949414.5</v>
      </c>
      <c r="AQ208">
        <v>1728115.88</v>
      </c>
      <c r="AR208">
        <v>2168782.75</v>
      </c>
      <c r="AS208">
        <v>2189201.75</v>
      </c>
      <c r="AT208" s="11">
        <v>689333.25</v>
      </c>
      <c r="AU208" s="11">
        <v>1072552.1200000001</v>
      </c>
      <c r="AW208" s="14">
        <v>2009980.5</v>
      </c>
      <c r="AX208" s="14">
        <v>1746035.38</v>
      </c>
      <c r="AZ208" s="16">
        <v>1192973.8799999999</v>
      </c>
      <c r="BA208" s="16">
        <v>1070496.1200000001</v>
      </c>
      <c r="BC208" s="18">
        <v>1080069.25</v>
      </c>
      <c r="BD208" s="18">
        <v>968719.31</v>
      </c>
    </row>
    <row r="209" spans="1:56" hidden="1">
      <c r="A209">
        <v>16804</v>
      </c>
      <c r="B209" t="s">
        <v>899</v>
      </c>
      <c r="C209" t="s">
        <v>900</v>
      </c>
      <c r="D209" t="s">
        <v>901</v>
      </c>
      <c r="F209" t="s">
        <v>902</v>
      </c>
      <c r="G209">
        <v>6.641</v>
      </c>
      <c r="H209" t="s">
        <v>58</v>
      </c>
      <c r="I209">
        <v>2</v>
      </c>
      <c r="J209">
        <v>3</v>
      </c>
      <c r="K209">
        <v>0</v>
      </c>
      <c r="L209">
        <v>9.2799999999999994</v>
      </c>
      <c r="M209">
        <v>10783</v>
      </c>
      <c r="N209">
        <v>7</v>
      </c>
      <c r="O209">
        <v>1</v>
      </c>
      <c r="P209">
        <v>1</v>
      </c>
      <c r="Q209">
        <v>1</v>
      </c>
      <c r="R209">
        <v>1</v>
      </c>
      <c r="S209">
        <v>2</v>
      </c>
      <c r="T209">
        <v>2</v>
      </c>
      <c r="U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</v>
      </c>
      <c r="AN209">
        <v>11637938</v>
      </c>
      <c r="AO209">
        <v>10113879</v>
      </c>
      <c r="AP209">
        <v>7639404</v>
      </c>
      <c r="AQ209">
        <v>6620152</v>
      </c>
      <c r="AR209">
        <v>6874028</v>
      </c>
      <c r="AS209">
        <v>7819862.5</v>
      </c>
      <c r="AT209" s="11">
        <v>99934.65</v>
      </c>
      <c r="AU209" s="11">
        <v>151704.31</v>
      </c>
      <c r="AW209" s="14">
        <v>6821532.5</v>
      </c>
      <c r="AX209" s="14">
        <v>6241384.5</v>
      </c>
      <c r="AZ209" s="16">
        <v>5890405</v>
      </c>
      <c r="BA209" s="16">
        <v>5125438</v>
      </c>
      <c r="BC209" s="18">
        <v>4733588.5</v>
      </c>
      <c r="BD209" s="18">
        <v>5721715.5</v>
      </c>
    </row>
    <row r="210" spans="1:56" hidden="1">
      <c r="A210">
        <v>16702</v>
      </c>
      <c r="B210" t="s">
        <v>903</v>
      </c>
      <c r="C210" t="s">
        <v>904</v>
      </c>
      <c r="D210" t="s">
        <v>905</v>
      </c>
      <c r="F210" t="s">
        <v>906</v>
      </c>
      <c r="G210">
        <v>6.1120000000000001</v>
      </c>
      <c r="H210" t="s">
        <v>58</v>
      </c>
      <c r="I210">
        <v>2</v>
      </c>
      <c r="J210">
        <v>17</v>
      </c>
      <c r="K210">
        <v>0</v>
      </c>
      <c r="L210">
        <v>1.63</v>
      </c>
      <c r="M210">
        <v>52932</v>
      </c>
      <c r="N210">
        <v>25</v>
      </c>
      <c r="O210">
        <v>1</v>
      </c>
      <c r="P210">
        <v>1</v>
      </c>
      <c r="Q210">
        <v>1</v>
      </c>
      <c r="R210">
        <v>1</v>
      </c>
      <c r="S210">
        <v>2</v>
      </c>
      <c r="T210">
        <v>2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0</v>
      </c>
      <c r="AH210">
        <v>2</v>
      </c>
      <c r="AI210">
        <v>2</v>
      </c>
      <c r="AJ210">
        <v>1</v>
      </c>
      <c r="AK210">
        <v>0</v>
      </c>
      <c r="AL210">
        <v>4443353</v>
      </c>
      <c r="AM210">
        <v>4196692.5</v>
      </c>
      <c r="AN210">
        <v>20221118</v>
      </c>
      <c r="AO210">
        <v>21378596</v>
      </c>
      <c r="AP210">
        <v>8546025</v>
      </c>
      <c r="AQ210">
        <v>8487204</v>
      </c>
      <c r="AR210">
        <v>8387340.5</v>
      </c>
      <c r="AS210">
        <v>10086005</v>
      </c>
      <c r="AT210" s="11">
        <v>4443353</v>
      </c>
      <c r="AU210" s="11">
        <v>4355784.5</v>
      </c>
      <c r="AW210" s="14">
        <v>9662522</v>
      </c>
      <c r="AX210" s="14">
        <v>7153474.5</v>
      </c>
      <c r="AZ210" s="16">
        <v>5159168.5</v>
      </c>
      <c r="BA210" s="16">
        <v>4659795</v>
      </c>
      <c r="BC210" s="18">
        <v>4280529.5</v>
      </c>
      <c r="BD210" s="18">
        <v>4626617</v>
      </c>
    </row>
    <row r="211" spans="1:56" hidden="1">
      <c r="A211">
        <v>16861</v>
      </c>
      <c r="B211" t="s">
        <v>907</v>
      </c>
      <c r="C211" t="s">
        <v>908</v>
      </c>
      <c r="D211" t="s">
        <v>909</v>
      </c>
      <c r="F211" t="s">
        <v>910</v>
      </c>
      <c r="G211">
        <v>5.8769999999999998</v>
      </c>
      <c r="H211" t="s">
        <v>58</v>
      </c>
      <c r="I211">
        <v>2</v>
      </c>
      <c r="J211">
        <v>3</v>
      </c>
      <c r="K211">
        <v>0</v>
      </c>
      <c r="L211">
        <v>0.82</v>
      </c>
      <c r="M211">
        <v>95583</v>
      </c>
      <c r="N211">
        <v>58</v>
      </c>
      <c r="O211">
        <v>1</v>
      </c>
      <c r="P211">
        <v>1</v>
      </c>
      <c r="Q211">
        <v>1</v>
      </c>
      <c r="R211">
        <v>1</v>
      </c>
      <c r="S211">
        <v>14</v>
      </c>
      <c r="T211">
        <v>14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2</v>
      </c>
      <c r="AE211">
        <v>0</v>
      </c>
      <c r="AF211">
        <v>1</v>
      </c>
      <c r="AG211">
        <v>3</v>
      </c>
      <c r="AH211">
        <v>2</v>
      </c>
      <c r="AI211">
        <v>3</v>
      </c>
      <c r="AJ211">
        <v>2</v>
      </c>
      <c r="AK211">
        <v>3</v>
      </c>
      <c r="AL211">
        <v>44601080</v>
      </c>
      <c r="AM211">
        <v>40584352</v>
      </c>
      <c r="AN211">
        <v>47071700</v>
      </c>
      <c r="AO211">
        <v>68604624</v>
      </c>
      <c r="AP211">
        <v>35575856</v>
      </c>
      <c r="AQ211">
        <v>35674004</v>
      </c>
      <c r="AR211">
        <v>30349004</v>
      </c>
      <c r="AS211">
        <v>30041428</v>
      </c>
      <c r="AT211" s="11">
        <v>44601080</v>
      </c>
      <c r="AU211" s="11">
        <v>42122856</v>
      </c>
      <c r="AW211" s="14">
        <v>22492888</v>
      </c>
      <c r="AX211" s="14">
        <v>22955736</v>
      </c>
      <c r="AZ211" s="16">
        <v>21476866</v>
      </c>
      <c r="BA211" s="16">
        <v>19586374</v>
      </c>
      <c r="BC211" s="18">
        <v>15488796</v>
      </c>
      <c r="BD211" s="18">
        <v>13780500</v>
      </c>
    </row>
    <row r="212" spans="1:56" hidden="1">
      <c r="A212">
        <v>16653</v>
      </c>
      <c r="B212" t="s">
        <v>911</v>
      </c>
      <c r="C212" t="s">
        <v>912</v>
      </c>
      <c r="D212" t="s">
        <v>913</v>
      </c>
      <c r="F212" t="s">
        <v>914</v>
      </c>
      <c r="G212">
        <v>5.7869999999999999</v>
      </c>
      <c r="H212" t="s">
        <v>58</v>
      </c>
      <c r="I212">
        <v>2</v>
      </c>
      <c r="J212">
        <v>21</v>
      </c>
      <c r="K212">
        <v>0</v>
      </c>
      <c r="L212">
        <v>9.15</v>
      </c>
      <c r="M212">
        <v>17120</v>
      </c>
      <c r="N212">
        <v>12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1</v>
      </c>
      <c r="AL212">
        <v>711412.88</v>
      </c>
      <c r="AN212">
        <v>1282679.5</v>
      </c>
      <c r="AO212">
        <v>1003179.12</v>
      </c>
      <c r="AP212">
        <v>1158820.8799999999</v>
      </c>
      <c r="AQ212">
        <v>952727.81</v>
      </c>
      <c r="AR212">
        <v>723927.19</v>
      </c>
      <c r="AS212">
        <v>1071403.1200000001</v>
      </c>
      <c r="AT212" s="11">
        <v>711412.88</v>
      </c>
      <c r="AU212" s="11">
        <v>151704.31</v>
      </c>
      <c r="AW212" s="14">
        <v>612919.56000000006</v>
      </c>
      <c r="AX212" s="14">
        <v>335672.94</v>
      </c>
      <c r="AZ212" s="16">
        <v>699571.12</v>
      </c>
      <c r="BA212" s="16">
        <v>523083.5</v>
      </c>
      <c r="BC212" s="18">
        <v>369460.53</v>
      </c>
      <c r="BD212" s="18">
        <v>491470.31</v>
      </c>
    </row>
    <row r="213" spans="1:56" hidden="1">
      <c r="A213">
        <v>16853</v>
      </c>
      <c r="B213" t="s">
        <v>915</v>
      </c>
      <c r="C213" t="s">
        <v>916</v>
      </c>
      <c r="D213" t="s">
        <v>917</v>
      </c>
      <c r="F213" t="s">
        <v>918</v>
      </c>
      <c r="G213">
        <v>5.3959999999999999</v>
      </c>
      <c r="H213" t="s">
        <v>58</v>
      </c>
      <c r="I213">
        <v>2</v>
      </c>
      <c r="J213">
        <v>4</v>
      </c>
      <c r="K213">
        <v>0</v>
      </c>
      <c r="L213">
        <v>1.1499999999999999</v>
      </c>
      <c r="M213">
        <v>67354</v>
      </c>
      <c r="N213">
        <v>29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AD213">
        <v>0</v>
      </c>
      <c r="AE213">
        <v>1</v>
      </c>
      <c r="AF213">
        <v>1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673312.81</v>
      </c>
      <c r="AM213">
        <v>1122494.6200000001</v>
      </c>
      <c r="AN213">
        <v>15659772</v>
      </c>
      <c r="AO213">
        <v>24145492</v>
      </c>
      <c r="AT213" s="11">
        <v>673312.81</v>
      </c>
      <c r="AU213" s="11">
        <v>1165047.1200000001</v>
      </c>
      <c r="AW213" s="14">
        <v>7482914</v>
      </c>
      <c r="AX213" s="14">
        <v>8079303</v>
      </c>
      <c r="AZ213" s="16">
        <v>278828.78000000003</v>
      </c>
      <c r="BA213" s="16">
        <v>249615.83</v>
      </c>
      <c r="BC213" s="18">
        <v>274135.90999999997</v>
      </c>
      <c r="BD213" s="18">
        <v>275347</v>
      </c>
    </row>
    <row r="214" spans="1:56" hidden="1">
      <c r="A214">
        <v>16696</v>
      </c>
      <c r="B214" t="s">
        <v>919</v>
      </c>
      <c r="C214" t="s">
        <v>920</v>
      </c>
      <c r="D214" t="s">
        <v>919</v>
      </c>
      <c r="F214" t="s">
        <v>921</v>
      </c>
      <c r="G214">
        <v>4.0670000000000002</v>
      </c>
      <c r="H214" t="s">
        <v>58</v>
      </c>
      <c r="I214">
        <v>2</v>
      </c>
      <c r="J214">
        <v>1</v>
      </c>
      <c r="K214">
        <v>0</v>
      </c>
      <c r="L214">
        <v>1.51</v>
      </c>
      <c r="M214">
        <v>51569</v>
      </c>
      <c r="N214">
        <v>29</v>
      </c>
      <c r="O214">
        <v>1</v>
      </c>
      <c r="P214">
        <v>1</v>
      </c>
      <c r="Q214">
        <v>1</v>
      </c>
      <c r="R214">
        <v>1</v>
      </c>
      <c r="S214">
        <v>2</v>
      </c>
      <c r="T214">
        <v>2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0</v>
      </c>
      <c r="AE214">
        <v>0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194904.17</v>
      </c>
      <c r="AM214">
        <v>927074.19</v>
      </c>
      <c r="AN214">
        <v>1333389</v>
      </c>
      <c r="AO214">
        <v>1014399.62</v>
      </c>
      <c r="AP214">
        <v>2258257.25</v>
      </c>
      <c r="AQ214">
        <v>2392747.5</v>
      </c>
      <c r="AR214">
        <v>1678912.88</v>
      </c>
      <c r="AS214">
        <v>1599825.75</v>
      </c>
      <c r="AT214" s="11">
        <v>194904.17</v>
      </c>
      <c r="AU214" s="11">
        <v>962218.5</v>
      </c>
      <c r="AW214" s="14">
        <v>637150.75</v>
      </c>
      <c r="AX214" s="14">
        <v>339427.44</v>
      </c>
      <c r="AZ214" s="16">
        <v>1363292.25</v>
      </c>
      <c r="BA214" s="16">
        <v>1313708.6200000001</v>
      </c>
      <c r="BC214" s="18">
        <v>856843.12</v>
      </c>
      <c r="BD214" s="18">
        <v>733866.56</v>
      </c>
    </row>
    <row r="215" spans="1:56" hidden="1">
      <c r="A215">
        <v>16673</v>
      </c>
      <c r="B215" t="s">
        <v>922</v>
      </c>
      <c r="C215" t="s">
        <v>923</v>
      </c>
      <c r="D215" t="s">
        <v>924</v>
      </c>
      <c r="F215" t="s">
        <v>925</v>
      </c>
      <c r="G215">
        <v>3.706</v>
      </c>
      <c r="H215" t="s">
        <v>58</v>
      </c>
      <c r="I215">
        <v>2</v>
      </c>
      <c r="J215">
        <v>15</v>
      </c>
      <c r="K215">
        <v>0</v>
      </c>
      <c r="L215">
        <v>11.49</v>
      </c>
      <c r="M215">
        <v>9920</v>
      </c>
      <c r="N215">
        <v>6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0</v>
      </c>
      <c r="AE215">
        <v>0</v>
      </c>
      <c r="AF215">
        <v>1</v>
      </c>
      <c r="AG215">
        <v>0</v>
      </c>
      <c r="AH215">
        <v>1</v>
      </c>
      <c r="AI215">
        <v>1</v>
      </c>
      <c r="AJ215">
        <v>0</v>
      </c>
      <c r="AK215">
        <v>0</v>
      </c>
      <c r="AN215">
        <v>1620050.62</v>
      </c>
      <c r="AO215">
        <v>1604526.12</v>
      </c>
      <c r="AP215">
        <v>815199.5</v>
      </c>
      <c r="AQ215">
        <v>834081.5</v>
      </c>
      <c r="AR215">
        <v>843734.62</v>
      </c>
      <c r="AS215">
        <v>600856.56000000006</v>
      </c>
      <c r="AT215" s="11">
        <v>99934.65</v>
      </c>
      <c r="AU215" s="11">
        <v>151704.31</v>
      </c>
      <c r="AW215" s="14">
        <v>774130.06</v>
      </c>
      <c r="AX215" s="14">
        <v>536889.12</v>
      </c>
      <c r="AZ215" s="16">
        <v>492129.53</v>
      </c>
      <c r="BA215" s="16">
        <v>457942.19</v>
      </c>
      <c r="BC215" s="18">
        <v>430604.97</v>
      </c>
      <c r="BD215" s="18">
        <v>275622.84000000003</v>
      </c>
    </row>
    <row r="216" spans="1:56" hidden="1">
      <c r="A216">
        <v>16878</v>
      </c>
      <c r="B216" t="s">
        <v>926</v>
      </c>
      <c r="C216" t="s">
        <v>927</v>
      </c>
      <c r="D216" t="s">
        <v>926</v>
      </c>
      <c r="F216" t="s">
        <v>928</v>
      </c>
      <c r="G216">
        <v>3.4529999999999998</v>
      </c>
      <c r="H216" t="s">
        <v>58</v>
      </c>
      <c r="I216">
        <v>2</v>
      </c>
      <c r="J216">
        <v>1</v>
      </c>
      <c r="K216">
        <v>0</v>
      </c>
      <c r="L216">
        <v>2.37</v>
      </c>
      <c r="M216">
        <v>37188</v>
      </c>
      <c r="N216">
        <v>21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862291.25</v>
      </c>
      <c r="AM216">
        <v>1122016.5</v>
      </c>
      <c r="AN216">
        <v>76905936</v>
      </c>
      <c r="AO216">
        <v>4913409</v>
      </c>
      <c r="AP216">
        <v>18770686</v>
      </c>
      <c r="AQ216">
        <v>22364524</v>
      </c>
      <c r="AT216" s="11">
        <v>862291.25</v>
      </c>
      <c r="AU216" s="11">
        <v>1164550.8799999999</v>
      </c>
      <c r="AW216" s="14">
        <v>36748972</v>
      </c>
      <c r="AX216" s="14">
        <v>1644071.88</v>
      </c>
      <c r="AZ216" s="16">
        <v>11331716</v>
      </c>
      <c r="BA216" s="16">
        <v>12278967</v>
      </c>
      <c r="BC216" s="18">
        <v>274135.90999999997</v>
      </c>
      <c r="BD216" s="18">
        <v>275347</v>
      </c>
    </row>
    <row r="217" spans="1:56" hidden="1">
      <c r="A217">
        <v>16763</v>
      </c>
      <c r="B217" t="s">
        <v>929</v>
      </c>
      <c r="C217" t="s">
        <v>930</v>
      </c>
      <c r="D217" t="s">
        <v>931</v>
      </c>
      <c r="F217" t="s">
        <v>932</v>
      </c>
      <c r="G217">
        <v>1.1259999999999999</v>
      </c>
      <c r="H217" t="s">
        <v>58</v>
      </c>
      <c r="I217">
        <v>2</v>
      </c>
      <c r="J217">
        <v>3</v>
      </c>
      <c r="K217">
        <v>0</v>
      </c>
      <c r="L217">
        <v>2.4500000000000002</v>
      </c>
      <c r="M217">
        <v>103882</v>
      </c>
      <c r="N217">
        <v>52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2</v>
      </c>
      <c r="W217">
        <v>1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2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1</v>
      </c>
      <c r="AJ217">
        <v>0</v>
      </c>
      <c r="AK217">
        <v>2</v>
      </c>
      <c r="AL217">
        <v>3788682.25</v>
      </c>
      <c r="AM217">
        <v>1957333.5</v>
      </c>
      <c r="AN217">
        <v>6136436.5</v>
      </c>
      <c r="AO217">
        <v>6505323</v>
      </c>
      <c r="AP217">
        <v>4112426</v>
      </c>
      <c r="AQ217">
        <v>4661367</v>
      </c>
      <c r="AR217">
        <v>3710715</v>
      </c>
      <c r="AS217">
        <v>4677075.5</v>
      </c>
      <c r="AT217" s="11">
        <v>2793850.75</v>
      </c>
      <c r="AU217" s="11">
        <v>172274.89</v>
      </c>
      <c r="AW217" s="14">
        <v>4006427.5</v>
      </c>
      <c r="AX217" s="14">
        <v>2793850.75</v>
      </c>
      <c r="AZ217" s="16">
        <v>2531254</v>
      </c>
      <c r="BA217" s="16">
        <v>2479625.5</v>
      </c>
      <c r="BC217" s="18">
        <v>1944106.75</v>
      </c>
      <c r="BD217" s="18">
        <v>2640687</v>
      </c>
    </row>
    <row r="218" spans="1:56" hidden="1">
      <c r="A218">
        <v>16849</v>
      </c>
      <c r="B218" t="s">
        <v>933</v>
      </c>
      <c r="C218" t="s">
        <v>934</v>
      </c>
      <c r="D218" t="s">
        <v>935</v>
      </c>
      <c r="F218" t="s">
        <v>936</v>
      </c>
      <c r="G218">
        <v>0.78600000000000003</v>
      </c>
      <c r="H218" t="s">
        <v>58</v>
      </c>
      <c r="I218">
        <v>2</v>
      </c>
      <c r="J218">
        <v>2</v>
      </c>
      <c r="K218">
        <v>0</v>
      </c>
      <c r="L218">
        <v>18.100000000000001</v>
      </c>
      <c r="M218">
        <v>11582</v>
      </c>
      <c r="N218">
        <v>5</v>
      </c>
      <c r="O218">
        <v>2</v>
      </c>
      <c r="P218">
        <v>2</v>
      </c>
      <c r="Q218">
        <v>2</v>
      </c>
      <c r="R218">
        <v>2</v>
      </c>
      <c r="S218">
        <v>5</v>
      </c>
      <c r="T218">
        <v>5</v>
      </c>
      <c r="U218">
        <v>2</v>
      </c>
      <c r="V218">
        <v>2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5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5446587</v>
      </c>
      <c r="AM218">
        <v>3399948.75</v>
      </c>
      <c r="AN218">
        <v>1479116.12</v>
      </c>
      <c r="AO218">
        <v>4211220.5</v>
      </c>
      <c r="AP218">
        <v>1926647.38</v>
      </c>
      <c r="AQ218">
        <v>2147555.5</v>
      </c>
      <c r="AR218">
        <v>1698329.75</v>
      </c>
      <c r="AS218">
        <v>2275591.25</v>
      </c>
      <c r="AT218" s="11">
        <v>5601043</v>
      </c>
      <c r="AU218" s="11">
        <v>3480977.75</v>
      </c>
      <c r="AW218" s="14">
        <v>697479.88</v>
      </c>
      <c r="AX218" s="14">
        <v>1389906.25</v>
      </c>
      <c r="AZ218" s="16">
        <v>1147655.5</v>
      </c>
      <c r="BA218" s="16">
        <v>1163415.5</v>
      </c>
      <c r="BC218" s="18">
        <v>856552.38</v>
      </c>
      <c r="BD218" s="18">
        <v>1029768.19</v>
      </c>
    </row>
    <row r="219" spans="1:56" hidden="1">
      <c r="A219">
        <v>16657</v>
      </c>
      <c r="B219" t="s">
        <v>937</v>
      </c>
      <c r="C219" t="s">
        <v>938</v>
      </c>
      <c r="D219" t="s">
        <v>939</v>
      </c>
      <c r="F219" t="s">
        <v>940</v>
      </c>
      <c r="G219">
        <v>0</v>
      </c>
      <c r="H219" t="s">
        <v>58</v>
      </c>
      <c r="I219">
        <v>2</v>
      </c>
      <c r="J219">
        <v>21</v>
      </c>
      <c r="K219">
        <v>0</v>
      </c>
      <c r="L219">
        <v>5.22</v>
      </c>
      <c r="M219">
        <v>50324</v>
      </c>
      <c r="N219">
        <v>24</v>
      </c>
      <c r="O219">
        <v>2</v>
      </c>
      <c r="P219">
        <v>2</v>
      </c>
      <c r="Q219">
        <v>2</v>
      </c>
      <c r="R219">
        <v>2</v>
      </c>
      <c r="S219">
        <v>4</v>
      </c>
      <c r="T219">
        <v>4</v>
      </c>
      <c r="U219">
        <v>2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1</v>
      </c>
      <c r="AE219">
        <v>0</v>
      </c>
      <c r="AF219">
        <v>1</v>
      </c>
      <c r="AG219">
        <v>1</v>
      </c>
      <c r="AH219">
        <v>1</v>
      </c>
      <c r="AI219">
        <v>2</v>
      </c>
      <c r="AJ219">
        <v>1</v>
      </c>
      <c r="AK219">
        <v>2</v>
      </c>
      <c r="AL219">
        <v>12366136</v>
      </c>
      <c r="AM219">
        <v>10782563</v>
      </c>
      <c r="AN219">
        <v>21119706</v>
      </c>
      <c r="AO219">
        <v>25144328</v>
      </c>
      <c r="AP219">
        <v>16692434</v>
      </c>
      <c r="AQ219">
        <v>18743626</v>
      </c>
      <c r="AR219">
        <v>13697930</v>
      </c>
      <c r="AS219">
        <v>5550724</v>
      </c>
      <c r="AT219" s="11">
        <v>13882680</v>
      </c>
      <c r="AU219" s="11">
        <v>7515283</v>
      </c>
      <c r="AW219" s="14">
        <v>11028301</v>
      </c>
      <c r="AX219" s="14">
        <v>8112712</v>
      </c>
      <c r="AZ219" s="16">
        <v>10467376</v>
      </c>
      <c r="BA219" s="16">
        <v>9495820</v>
      </c>
      <c r="BC219" s="18">
        <v>7189334</v>
      </c>
      <c r="BD219" s="18">
        <v>3755368.75</v>
      </c>
    </row>
    <row r="220" spans="1:56" hidden="1">
      <c r="A220">
        <v>16687</v>
      </c>
      <c r="B220" t="s">
        <v>941</v>
      </c>
      <c r="C220" t="s">
        <v>942</v>
      </c>
      <c r="D220" t="s">
        <v>941</v>
      </c>
      <c r="F220" t="s">
        <v>943</v>
      </c>
      <c r="G220">
        <v>0</v>
      </c>
      <c r="H220" t="s">
        <v>58</v>
      </c>
      <c r="I220">
        <v>2</v>
      </c>
      <c r="J220">
        <v>1</v>
      </c>
      <c r="K220">
        <v>0</v>
      </c>
      <c r="L220">
        <v>10.199999999999999</v>
      </c>
      <c r="M220">
        <v>33519</v>
      </c>
      <c r="N220">
        <v>22</v>
      </c>
      <c r="O220">
        <v>3</v>
      </c>
      <c r="P220">
        <v>3</v>
      </c>
      <c r="Q220">
        <v>3</v>
      </c>
      <c r="R220">
        <v>3</v>
      </c>
      <c r="S220">
        <v>5</v>
      </c>
      <c r="T220">
        <v>5</v>
      </c>
      <c r="U220">
        <v>3</v>
      </c>
      <c r="V220">
        <v>2</v>
      </c>
      <c r="W220">
        <v>2</v>
      </c>
      <c r="X220">
        <v>2</v>
      </c>
      <c r="Y220">
        <v>3</v>
      </c>
      <c r="Z220">
        <v>3</v>
      </c>
      <c r="AA220">
        <v>3</v>
      </c>
      <c r="AB220">
        <v>3</v>
      </c>
      <c r="AC220">
        <v>3</v>
      </c>
      <c r="AD220">
        <v>0</v>
      </c>
      <c r="AE220">
        <v>0</v>
      </c>
      <c r="AF220">
        <v>0</v>
      </c>
      <c r="AG220">
        <v>3</v>
      </c>
      <c r="AH220">
        <v>0</v>
      </c>
      <c r="AI220">
        <v>0</v>
      </c>
      <c r="AJ220">
        <v>2</v>
      </c>
      <c r="AK220">
        <v>0</v>
      </c>
      <c r="AL220">
        <v>842636.19</v>
      </c>
      <c r="AM220">
        <v>680203.19</v>
      </c>
      <c r="AN220">
        <v>1411533.75</v>
      </c>
      <c r="AO220">
        <v>3003206.5</v>
      </c>
      <c r="AP220">
        <v>1220052</v>
      </c>
      <c r="AQ220">
        <v>1229688.25</v>
      </c>
      <c r="AR220">
        <v>1440009.25</v>
      </c>
      <c r="AS220">
        <v>1489800</v>
      </c>
      <c r="AT220" s="11">
        <v>257312.12</v>
      </c>
      <c r="AU220" s="11">
        <v>290273.90999999997</v>
      </c>
      <c r="AW220" s="14">
        <v>307826.94</v>
      </c>
      <c r="AX220" s="14">
        <v>1731114.62</v>
      </c>
      <c r="AZ220" s="16">
        <v>1313197</v>
      </c>
      <c r="BA220" s="16">
        <v>1283459.3799999999</v>
      </c>
      <c r="BC220" s="18">
        <v>1175957.25</v>
      </c>
      <c r="BD220" s="18">
        <v>1172122.75</v>
      </c>
    </row>
    <row r="221" spans="1:56" hidden="1">
      <c r="A221">
        <v>16700</v>
      </c>
      <c r="B221" t="s">
        <v>944</v>
      </c>
      <c r="C221" t="s">
        <v>945</v>
      </c>
      <c r="D221" t="s">
        <v>946</v>
      </c>
      <c r="F221" t="s">
        <v>947</v>
      </c>
      <c r="G221">
        <v>0</v>
      </c>
      <c r="H221" t="s">
        <v>58</v>
      </c>
      <c r="I221">
        <v>2</v>
      </c>
      <c r="J221">
        <v>20</v>
      </c>
      <c r="K221">
        <v>0</v>
      </c>
      <c r="L221">
        <v>8.16</v>
      </c>
      <c r="M221">
        <v>21740</v>
      </c>
      <c r="N221">
        <v>9</v>
      </c>
      <c r="O221">
        <v>2</v>
      </c>
      <c r="P221">
        <v>2</v>
      </c>
      <c r="Q221">
        <v>2</v>
      </c>
      <c r="R221">
        <v>2</v>
      </c>
      <c r="S221">
        <v>2</v>
      </c>
      <c r="T221">
        <v>2</v>
      </c>
      <c r="U221">
        <v>2</v>
      </c>
      <c r="X221">
        <v>2</v>
      </c>
      <c r="Y221">
        <v>2</v>
      </c>
      <c r="Z221">
        <v>2</v>
      </c>
      <c r="AA221">
        <v>2</v>
      </c>
      <c r="AB221">
        <v>2</v>
      </c>
      <c r="AC221">
        <v>2</v>
      </c>
      <c r="AD221">
        <v>0</v>
      </c>
      <c r="AE221">
        <v>0</v>
      </c>
      <c r="AF221">
        <v>1</v>
      </c>
      <c r="AG221">
        <v>2</v>
      </c>
      <c r="AH221">
        <v>1</v>
      </c>
      <c r="AI221">
        <v>1</v>
      </c>
      <c r="AJ221">
        <v>0</v>
      </c>
      <c r="AK221">
        <v>0</v>
      </c>
      <c r="AN221">
        <v>2782912.25</v>
      </c>
      <c r="AO221">
        <v>3489835.5</v>
      </c>
      <c r="AP221">
        <v>1774601.25</v>
      </c>
      <c r="AQ221">
        <v>1296349.5</v>
      </c>
      <c r="AR221">
        <v>1385528.5</v>
      </c>
      <c r="AS221">
        <v>1769823</v>
      </c>
      <c r="AT221" s="11">
        <v>99934.65</v>
      </c>
      <c r="AU221" s="11">
        <v>151704.31</v>
      </c>
      <c r="AW221" s="14">
        <v>712770.62</v>
      </c>
      <c r="AX221" s="14">
        <v>1328785.8799999999</v>
      </c>
      <c r="AZ221" s="16">
        <v>1087138.6200000001</v>
      </c>
      <c r="BA221" s="16">
        <v>601907.25</v>
      </c>
      <c r="BC221" s="18">
        <v>935246.62</v>
      </c>
      <c r="BD221" s="18">
        <v>1106567.3799999999</v>
      </c>
    </row>
    <row r="222" spans="1:56" hidden="1">
      <c r="A222">
        <v>16712</v>
      </c>
      <c r="B222" t="s">
        <v>1042</v>
      </c>
      <c r="C222" t="s">
        <v>1043</v>
      </c>
      <c r="D222" t="s">
        <v>1044</v>
      </c>
      <c r="F222" t="s">
        <v>1045</v>
      </c>
      <c r="G222">
        <v>0</v>
      </c>
      <c r="H222" t="s">
        <v>58</v>
      </c>
      <c r="I222">
        <v>2</v>
      </c>
      <c r="J222">
        <v>19</v>
      </c>
      <c r="K222">
        <v>0</v>
      </c>
      <c r="L222">
        <v>3.3</v>
      </c>
      <c r="M222">
        <v>33992</v>
      </c>
      <c r="N222">
        <v>20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2</v>
      </c>
      <c r="V222">
        <v>1</v>
      </c>
      <c r="W222">
        <v>1</v>
      </c>
      <c r="X222">
        <v>2</v>
      </c>
      <c r="Y222">
        <v>2</v>
      </c>
      <c r="Z222">
        <v>2</v>
      </c>
      <c r="AA222">
        <v>2</v>
      </c>
      <c r="AB222">
        <v>1</v>
      </c>
      <c r="AC222">
        <v>1</v>
      </c>
      <c r="AD222">
        <v>0</v>
      </c>
      <c r="AE222">
        <v>0</v>
      </c>
      <c r="AF222">
        <v>1</v>
      </c>
      <c r="AG222">
        <v>0</v>
      </c>
      <c r="AH222">
        <v>2</v>
      </c>
      <c r="AI222">
        <v>1</v>
      </c>
      <c r="AJ222">
        <v>1</v>
      </c>
      <c r="AK222">
        <v>0</v>
      </c>
      <c r="AL222">
        <v>3915422.25</v>
      </c>
      <c r="AM222">
        <v>6041013</v>
      </c>
      <c r="AN222">
        <v>2106611.25</v>
      </c>
      <c r="AO222">
        <v>5488123</v>
      </c>
      <c r="AP222">
        <v>4191303</v>
      </c>
      <c r="AQ222">
        <v>4342254.5</v>
      </c>
      <c r="AR222">
        <v>3175508.25</v>
      </c>
      <c r="AS222">
        <v>4730925</v>
      </c>
      <c r="AT222" s="11">
        <v>519196.41</v>
      </c>
      <c r="AU222" s="11">
        <v>497839.75</v>
      </c>
      <c r="AW222" s="14">
        <v>1252043.8799999999</v>
      </c>
      <c r="AX222" s="14">
        <v>4605436</v>
      </c>
      <c r="AZ222" s="16">
        <v>5399415</v>
      </c>
      <c r="BA222" s="16">
        <v>5155977.5</v>
      </c>
      <c r="BC222" s="18">
        <v>974604.19</v>
      </c>
      <c r="BD222" s="18">
        <v>1282773.6200000001</v>
      </c>
    </row>
    <row r="223" spans="1:56" hidden="1">
      <c r="A223">
        <v>16732</v>
      </c>
      <c r="B223" t="s">
        <v>1046</v>
      </c>
      <c r="C223" t="s">
        <v>1047</v>
      </c>
      <c r="D223" t="s">
        <v>1048</v>
      </c>
      <c r="F223" t="s">
        <v>1049</v>
      </c>
      <c r="G223">
        <v>0</v>
      </c>
      <c r="H223" t="s">
        <v>58</v>
      </c>
      <c r="I223">
        <v>2</v>
      </c>
      <c r="J223">
        <v>3</v>
      </c>
      <c r="K223">
        <v>0</v>
      </c>
      <c r="L223">
        <v>9.34</v>
      </c>
      <c r="M223">
        <v>20354</v>
      </c>
      <c r="N223">
        <v>13</v>
      </c>
      <c r="O223">
        <v>2</v>
      </c>
      <c r="P223">
        <v>2</v>
      </c>
      <c r="Q223">
        <v>2</v>
      </c>
      <c r="R223">
        <v>2</v>
      </c>
      <c r="S223">
        <v>3</v>
      </c>
      <c r="T223">
        <v>3</v>
      </c>
      <c r="U223">
        <v>2</v>
      </c>
      <c r="V223">
        <v>2</v>
      </c>
      <c r="W223">
        <v>1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2</v>
      </c>
      <c r="AD223">
        <v>5</v>
      </c>
      <c r="AE223">
        <v>0</v>
      </c>
      <c r="AF223">
        <v>2</v>
      </c>
      <c r="AG223">
        <v>3</v>
      </c>
      <c r="AH223">
        <v>2</v>
      </c>
      <c r="AI223">
        <v>2</v>
      </c>
      <c r="AJ223">
        <v>2</v>
      </c>
      <c r="AK223">
        <v>2</v>
      </c>
      <c r="AL223">
        <v>142333936</v>
      </c>
      <c r="AM223">
        <v>510755.03</v>
      </c>
      <c r="AN223">
        <v>150715200</v>
      </c>
      <c r="AO223">
        <v>201968224</v>
      </c>
      <c r="AP223">
        <v>112748152</v>
      </c>
      <c r="AQ223">
        <v>126821968</v>
      </c>
      <c r="AR223">
        <v>79654304</v>
      </c>
      <c r="AS223">
        <v>90549856</v>
      </c>
      <c r="AT223" s="11">
        <v>13632181</v>
      </c>
      <c r="AU223" s="11">
        <v>67120.59</v>
      </c>
      <c r="AW223" s="14">
        <v>140846368</v>
      </c>
      <c r="AX223" s="14">
        <v>101881880</v>
      </c>
      <c r="AZ223" s="16">
        <v>61353352</v>
      </c>
      <c r="BA223" s="16">
        <v>54924384</v>
      </c>
      <c r="BC223" s="18">
        <v>54713596</v>
      </c>
      <c r="BD223" s="18">
        <v>47020144</v>
      </c>
    </row>
    <row r="224" spans="1:56" hidden="1">
      <c r="A224">
        <v>16760</v>
      </c>
      <c r="B224" t="s">
        <v>1050</v>
      </c>
      <c r="C224" t="s">
        <v>1051</v>
      </c>
      <c r="D224" t="s">
        <v>1052</v>
      </c>
      <c r="F224" t="s">
        <v>1053</v>
      </c>
      <c r="G224">
        <v>0</v>
      </c>
      <c r="H224" t="s">
        <v>58</v>
      </c>
      <c r="I224">
        <v>2</v>
      </c>
      <c r="J224">
        <v>3</v>
      </c>
      <c r="K224">
        <v>0</v>
      </c>
      <c r="L224">
        <v>1.68</v>
      </c>
      <c r="M224">
        <v>117854</v>
      </c>
      <c r="N224">
        <v>64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2</v>
      </c>
      <c r="V224">
        <v>1</v>
      </c>
      <c r="W224">
        <v>1</v>
      </c>
      <c r="X224">
        <v>2</v>
      </c>
      <c r="Y224">
        <v>1</v>
      </c>
      <c r="Z224">
        <v>1</v>
      </c>
      <c r="AA224">
        <v>2</v>
      </c>
      <c r="AB224">
        <v>2</v>
      </c>
      <c r="AC224">
        <v>2</v>
      </c>
      <c r="AD224">
        <v>1</v>
      </c>
      <c r="AE224">
        <v>1</v>
      </c>
      <c r="AF224">
        <v>2</v>
      </c>
      <c r="AG224">
        <v>1</v>
      </c>
      <c r="AH224">
        <v>1</v>
      </c>
      <c r="AI224">
        <v>1</v>
      </c>
      <c r="AJ224">
        <v>2</v>
      </c>
      <c r="AK224">
        <v>1</v>
      </c>
      <c r="AL224">
        <v>10658665</v>
      </c>
      <c r="AM224">
        <v>16470037</v>
      </c>
      <c r="AN224">
        <v>33594804</v>
      </c>
      <c r="AO224">
        <v>38112764</v>
      </c>
      <c r="AP224">
        <v>19759766</v>
      </c>
      <c r="AQ224">
        <v>19639332</v>
      </c>
      <c r="AR224">
        <v>50423816</v>
      </c>
      <c r="AS224">
        <v>69642752</v>
      </c>
      <c r="AT224" s="11">
        <v>254907.03</v>
      </c>
      <c r="AU224" s="11">
        <v>246387.05</v>
      </c>
      <c r="AW224" s="14">
        <v>2262398.75</v>
      </c>
      <c r="AX224" s="14">
        <v>173643.8</v>
      </c>
      <c r="AZ224" s="16">
        <v>213826.27</v>
      </c>
      <c r="BA224" s="16">
        <v>3542808.75</v>
      </c>
      <c r="BC224" s="18">
        <v>65569516</v>
      </c>
      <c r="BD224" s="18">
        <v>58201296</v>
      </c>
    </row>
    <row r="225" spans="1:56" hidden="1">
      <c r="A225">
        <v>16772</v>
      </c>
      <c r="B225" t="s">
        <v>1054</v>
      </c>
      <c r="C225" t="s">
        <v>1055</v>
      </c>
      <c r="D225" t="s">
        <v>1056</v>
      </c>
      <c r="F225" t="s">
        <v>1057</v>
      </c>
      <c r="G225">
        <v>0</v>
      </c>
      <c r="H225" t="s">
        <v>58</v>
      </c>
      <c r="I225">
        <v>2</v>
      </c>
      <c r="J225">
        <v>3</v>
      </c>
      <c r="K225">
        <v>0</v>
      </c>
      <c r="L225">
        <v>3.66</v>
      </c>
      <c r="M225">
        <v>53870</v>
      </c>
      <c r="N225">
        <v>33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2</v>
      </c>
      <c r="V225">
        <v>2</v>
      </c>
      <c r="W225">
        <v>1</v>
      </c>
      <c r="X225">
        <v>2</v>
      </c>
      <c r="Y225">
        <v>2</v>
      </c>
      <c r="Z225">
        <v>1</v>
      </c>
      <c r="AA225">
        <v>2</v>
      </c>
      <c r="AB225">
        <v>1</v>
      </c>
      <c r="AC225">
        <v>1</v>
      </c>
      <c r="AD225">
        <v>1</v>
      </c>
      <c r="AE225">
        <v>0</v>
      </c>
      <c r="AF225">
        <v>0</v>
      </c>
      <c r="AG225">
        <v>2</v>
      </c>
      <c r="AH225">
        <v>0</v>
      </c>
      <c r="AI225">
        <v>0</v>
      </c>
      <c r="AJ225">
        <v>0</v>
      </c>
      <c r="AK225">
        <v>0</v>
      </c>
      <c r="AL225">
        <v>2320864</v>
      </c>
      <c r="AM225">
        <v>2138845.75</v>
      </c>
      <c r="AN225">
        <v>9588926</v>
      </c>
      <c r="AO225">
        <v>7449629.5</v>
      </c>
      <c r="AP225">
        <v>1955799.88</v>
      </c>
      <c r="AQ225">
        <v>4916678.5</v>
      </c>
      <c r="AR225">
        <v>1475952</v>
      </c>
      <c r="AS225">
        <v>1371813.12</v>
      </c>
      <c r="AT225" s="11">
        <v>1476104.5</v>
      </c>
      <c r="AU225" s="11">
        <v>271512.81</v>
      </c>
      <c r="AW225" s="14">
        <v>4646150</v>
      </c>
      <c r="AX225" s="14">
        <v>3052691.5</v>
      </c>
      <c r="AZ225" s="16">
        <v>463533.94</v>
      </c>
      <c r="BA225" s="16">
        <v>5464184</v>
      </c>
      <c r="BC225" s="18">
        <v>504817.97</v>
      </c>
      <c r="BD225" s="18">
        <v>416627.16</v>
      </c>
    </row>
    <row r="226" spans="1:56" hidden="1">
      <c r="A226">
        <v>16813</v>
      </c>
      <c r="B226" t="s">
        <v>1058</v>
      </c>
      <c r="C226" t="s">
        <v>1059</v>
      </c>
      <c r="D226" t="s">
        <v>1060</v>
      </c>
      <c r="F226" t="s">
        <v>1061</v>
      </c>
      <c r="G226">
        <v>0</v>
      </c>
      <c r="H226" t="s">
        <v>58</v>
      </c>
      <c r="I226">
        <v>2</v>
      </c>
      <c r="J226">
        <v>12</v>
      </c>
      <c r="K226">
        <v>0</v>
      </c>
      <c r="L226">
        <v>1.42</v>
      </c>
      <c r="M226">
        <v>78750</v>
      </c>
      <c r="N226">
        <v>45</v>
      </c>
      <c r="O226">
        <v>1</v>
      </c>
      <c r="P226">
        <v>1</v>
      </c>
      <c r="Q226">
        <v>2</v>
      </c>
      <c r="R226">
        <v>2</v>
      </c>
      <c r="S226">
        <v>3</v>
      </c>
      <c r="T226">
        <v>3</v>
      </c>
      <c r="U226">
        <v>2</v>
      </c>
      <c r="V226">
        <v>1</v>
      </c>
      <c r="W226">
        <v>1</v>
      </c>
      <c r="X226">
        <v>1</v>
      </c>
      <c r="Y226">
        <v>2</v>
      </c>
      <c r="Z226">
        <v>1</v>
      </c>
      <c r="AA226">
        <v>1</v>
      </c>
      <c r="AB226">
        <v>2</v>
      </c>
      <c r="AC226">
        <v>2</v>
      </c>
      <c r="AD226">
        <v>0</v>
      </c>
      <c r="AE226">
        <v>0</v>
      </c>
      <c r="AF226">
        <v>0</v>
      </c>
      <c r="AG226">
        <v>3</v>
      </c>
      <c r="AH226">
        <v>0</v>
      </c>
      <c r="AI226">
        <v>0</v>
      </c>
      <c r="AJ226">
        <v>0</v>
      </c>
      <c r="AK226">
        <v>0</v>
      </c>
      <c r="AL226">
        <v>1017512.56</v>
      </c>
      <c r="AM226">
        <v>1028206.75</v>
      </c>
      <c r="AN226">
        <v>2045694.38</v>
      </c>
      <c r="AO226">
        <v>282543680</v>
      </c>
      <c r="AP226">
        <v>11490783</v>
      </c>
      <c r="AQ226">
        <v>9947339</v>
      </c>
      <c r="AR226">
        <v>128217272</v>
      </c>
      <c r="AS226">
        <v>148566624</v>
      </c>
      <c r="AT226" s="11">
        <v>20251.59</v>
      </c>
      <c r="AU226" s="11">
        <v>16869.13</v>
      </c>
      <c r="AW226" s="14">
        <v>11778.92</v>
      </c>
      <c r="AX226" s="14">
        <v>15815971</v>
      </c>
      <c r="AZ226" s="16">
        <v>139284.56</v>
      </c>
      <c r="BA226" s="16">
        <v>116212.3</v>
      </c>
      <c r="BC226" s="18">
        <v>112784480</v>
      </c>
      <c r="BD226" s="18">
        <v>116079976</v>
      </c>
    </row>
    <row r="227" spans="1:56" hidden="1">
      <c r="A227">
        <v>16825</v>
      </c>
      <c r="B227" t="s">
        <v>1062</v>
      </c>
      <c r="C227" t="s">
        <v>1063</v>
      </c>
      <c r="D227" t="s">
        <v>1064</v>
      </c>
      <c r="F227" t="s">
        <v>1065</v>
      </c>
      <c r="G227">
        <v>0</v>
      </c>
      <c r="H227" t="s">
        <v>58</v>
      </c>
      <c r="I227">
        <v>2</v>
      </c>
      <c r="J227">
        <v>17</v>
      </c>
      <c r="K227">
        <v>0</v>
      </c>
      <c r="L227">
        <v>3.94</v>
      </c>
      <c r="M227">
        <v>47606</v>
      </c>
      <c r="N227">
        <v>26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0</v>
      </c>
      <c r="AE227">
        <v>0</v>
      </c>
      <c r="AF227">
        <v>1</v>
      </c>
      <c r="AG227">
        <v>0</v>
      </c>
      <c r="AH227">
        <v>4</v>
      </c>
      <c r="AI227">
        <v>2</v>
      </c>
      <c r="AJ227">
        <v>2</v>
      </c>
      <c r="AK227">
        <v>0</v>
      </c>
      <c r="AL227">
        <v>32713676</v>
      </c>
      <c r="AM227">
        <v>91889736</v>
      </c>
      <c r="AN227">
        <v>305296832</v>
      </c>
      <c r="AO227">
        <v>29565060</v>
      </c>
      <c r="AP227">
        <v>342269760</v>
      </c>
      <c r="AQ227">
        <v>293188192</v>
      </c>
      <c r="AR227">
        <v>280767232</v>
      </c>
      <c r="AS227">
        <v>114130096</v>
      </c>
      <c r="AT227" s="11">
        <v>55100972</v>
      </c>
      <c r="AU227" s="11">
        <v>128675304</v>
      </c>
      <c r="AW227" s="14">
        <v>133845112</v>
      </c>
      <c r="AX227" s="14">
        <v>18314576</v>
      </c>
      <c r="AZ227" s="16">
        <v>166638304</v>
      </c>
      <c r="BA227" s="16">
        <v>177831136</v>
      </c>
      <c r="BC227" s="18">
        <v>112981584</v>
      </c>
      <c r="BD227" s="18">
        <v>65216704</v>
      </c>
    </row>
    <row r="228" spans="1:56" hidden="1">
      <c r="A228">
        <v>16852</v>
      </c>
      <c r="B228" t="s">
        <v>1066</v>
      </c>
      <c r="C228" t="s">
        <v>1067</v>
      </c>
      <c r="D228" t="s">
        <v>1066</v>
      </c>
      <c r="E228" t="s">
        <v>1068</v>
      </c>
      <c r="F228" t="s">
        <v>1069</v>
      </c>
      <c r="G228">
        <v>0</v>
      </c>
      <c r="H228" t="s">
        <v>58</v>
      </c>
      <c r="I228">
        <v>2</v>
      </c>
      <c r="J228">
        <v>1</v>
      </c>
      <c r="K228">
        <v>1</v>
      </c>
      <c r="L228">
        <v>2.44</v>
      </c>
      <c r="M228">
        <v>77850</v>
      </c>
      <c r="N228">
        <v>39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W228">
        <v>1</v>
      </c>
      <c r="X228">
        <v>2</v>
      </c>
      <c r="Y228">
        <v>2</v>
      </c>
      <c r="Z228">
        <v>2</v>
      </c>
      <c r="AA228">
        <v>2</v>
      </c>
      <c r="AB228">
        <v>2</v>
      </c>
      <c r="AC228">
        <v>2</v>
      </c>
      <c r="AD228">
        <v>0</v>
      </c>
      <c r="AE228">
        <v>1</v>
      </c>
      <c r="AF228">
        <v>1</v>
      </c>
      <c r="AG228">
        <v>2</v>
      </c>
      <c r="AH228">
        <v>1</v>
      </c>
      <c r="AI228">
        <v>0</v>
      </c>
      <c r="AJ228">
        <v>1</v>
      </c>
      <c r="AK228">
        <v>1</v>
      </c>
      <c r="AM228">
        <v>359845.09</v>
      </c>
      <c r="AN228">
        <v>73820360</v>
      </c>
      <c r="AO228">
        <v>64788384</v>
      </c>
      <c r="AP228">
        <v>38910468</v>
      </c>
      <c r="AQ228">
        <v>37511424</v>
      </c>
      <c r="AR228">
        <v>26536184</v>
      </c>
      <c r="AS228">
        <v>34317004</v>
      </c>
      <c r="AT228" s="11">
        <v>99934.65</v>
      </c>
      <c r="AU228" s="11">
        <v>422298.97</v>
      </c>
      <c r="AW228" s="14">
        <v>27830706</v>
      </c>
      <c r="AX228" s="14">
        <v>23604212</v>
      </c>
      <c r="AZ228" s="16">
        <v>19642130</v>
      </c>
      <c r="BA228" s="16">
        <v>25916946</v>
      </c>
      <c r="BC228" s="18">
        <v>16922386</v>
      </c>
      <c r="BD228" s="18">
        <v>16246298</v>
      </c>
    </row>
    <row r="229" spans="1:56" hidden="1">
      <c r="A229">
        <v>16854</v>
      </c>
      <c r="B229" t="s">
        <v>1070</v>
      </c>
      <c r="C229" t="s">
        <v>1071</v>
      </c>
      <c r="D229" t="s">
        <v>1072</v>
      </c>
      <c r="E229" t="s">
        <v>1073</v>
      </c>
      <c r="F229" t="s">
        <v>1074</v>
      </c>
      <c r="G229">
        <v>0</v>
      </c>
      <c r="H229" t="s">
        <v>58</v>
      </c>
      <c r="I229">
        <v>2</v>
      </c>
      <c r="J229">
        <v>2</v>
      </c>
      <c r="K229">
        <v>1</v>
      </c>
      <c r="L229">
        <v>3.46</v>
      </c>
      <c r="M229">
        <v>46238</v>
      </c>
      <c r="N229">
        <v>20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X229">
        <v>1</v>
      </c>
      <c r="Y229">
        <v>2</v>
      </c>
      <c r="Z229">
        <v>1</v>
      </c>
      <c r="AA229">
        <v>1</v>
      </c>
      <c r="AB229">
        <v>2</v>
      </c>
      <c r="AC229">
        <v>2</v>
      </c>
      <c r="AD229">
        <v>0</v>
      </c>
      <c r="AE229">
        <v>0</v>
      </c>
      <c r="AF229">
        <v>1</v>
      </c>
      <c r="AG229">
        <v>1</v>
      </c>
      <c r="AH229">
        <v>1</v>
      </c>
      <c r="AI229">
        <v>1</v>
      </c>
      <c r="AJ229">
        <v>2</v>
      </c>
      <c r="AK229">
        <v>0</v>
      </c>
      <c r="AN229">
        <v>581957.62</v>
      </c>
      <c r="AO229">
        <v>620114624</v>
      </c>
      <c r="AP229">
        <v>211995952</v>
      </c>
      <c r="AQ229">
        <v>224938816</v>
      </c>
      <c r="AR229">
        <v>168222368</v>
      </c>
      <c r="AS229">
        <v>221178064</v>
      </c>
      <c r="AT229" s="11">
        <v>99934.65</v>
      </c>
      <c r="AU229" s="11">
        <v>151704.31</v>
      </c>
      <c r="AW229" s="14">
        <v>167556.25</v>
      </c>
      <c r="AX229" s="14">
        <v>103218504</v>
      </c>
      <c r="AZ229" s="16">
        <v>12327739</v>
      </c>
      <c r="BA229" s="16">
        <v>12010521</v>
      </c>
      <c r="BC229" s="18">
        <v>258582640</v>
      </c>
      <c r="BD229" s="18">
        <v>258464112</v>
      </c>
    </row>
    <row r="230" spans="1:56" hidden="1">
      <c r="A230">
        <v>16857</v>
      </c>
      <c r="B230" t="s">
        <v>1075</v>
      </c>
      <c r="C230" t="s">
        <v>1076</v>
      </c>
      <c r="D230" t="s">
        <v>1077</v>
      </c>
      <c r="F230" t="s">
        <v>1078</v>
      </c>
      <c r="G230">
        <v>0</v>
      </c>
      <c r="H230" t="s">
        <v>58</v>
      </c>
      <c r="I230">
        <v>2</v>
      </c>
      <c r="J230">
        <v>2</v>
      </c>
      <c r="K230">
        <v>0</v>
      </c>
      <c r="L230">
        <v>2.99</v>
      </c>
      <c r="M230">
        <v>79341</v>
      </c>
      <c r="N230">
        <v>39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2</v>
      </c>
      <c r="W230">
        <v>1</v>
      </c>
      <c r="X230">
        <v>2</v>
      </c>
      <c r="Y230">
        <v>2</v>
      </c>
      <c r="Z230">
        <v>1</v>
      </c>
      <c r="AA230">
        <v>2</v>
      </c>
      <c r="AB230">
        <v>1</v>
      </c>
      <c r="AC230">
        <v>1</v>
      </c>
      <c r="AD230">
        <v>0</v>
      </c>
      <c r="AE230">
        <v>0</v>
      </c>
      <c r="AF230">
        <v>0</v>
      </c>
      <c r="AG230">
        <v>2</v>
      </c>
      <c r="AH230">
        <v>0</v>
      </c>
      <c r="AI230">
        <v>0</v>
      </c>
      <c r="AJ230">
        <v>0</v>
      </c>
      <c r="AK230">
        <v>0</v>
      </c>
      <c r="AM230">
        <v>225280.95</v>
      </c>
      <c r="AN230">
        <v>846233.12</v>
      </c>
      <c r="AO230">
        <v>1046126.5</v>
      </c>
      <c r="AP230">
        <v>62662.720000000001</v>
      </c>
      <c r="AQ230">
        <v>234510.66</v>
      </c>
      <c r="AR230">
        <v>106866.86</v>
      </c>
      <c r="AS230">
        <v>101422.59</v>
      </c>
      <c r="AT230" s="11">
        <v>99934.65</v>
      </c>
      <c r="AU230" s="11">
        <v>52351.77</v>
      </c>
      <c r="AW230" s="14">
        <v>445045.06</v>
      </c>
      <c r="AX230" s="14">
        <v>347308.78</v>
      </c>
      <c r="AZ230" s="16">
        <v>47986.55</v>
      </c>
      <c r="BA230" s="16">
        <v>157301.5</v>
      </c>
      <c r="BC230" s="18">
        <v>91288.6</v>
      </c>
      <c r="BD230" s="18">
        <v>74588.84</v>
      </c>
    </row>
    <row r="231" spans="1:56" hidden="1">
      <c r="A231">
        <v>16880</v>
      </c>
      <c r="B231" t="s">
        <v>1079</v>
      </c>
      <c r="C231" t="s">
        <v>1080</v>
      </c>
      <c r="D231" t="s">
        <v>1079</v>
      </c>
      <c r="F231" t="s">
        <v>1081</v>
      </c>
      <c r="G231">
        <v>0</v>
      </c>
      <c r="H231" t="s">
        <v>58</v>
      </c>
      <c r="I231">
        <v>2</v>
      </c>
      <c r="J231">
        <v>1</v>
      </c>
      <c r="K231">
        <v>0</v>
      </c>
      <c r="L231">
        <v>0.9</v>
      </c>
      <c r="M231">
        <v>187250</v>
      </c>
      <c r="N231">
        <v>108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>
        <v>2</v>
      </c>
      <c r="W231">
        <v>1</v>
      </c>
      <c r="X231">
        <v>1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0</v>
      </c>
      <c r="AE231">
        <v>0</v>
      </c>
      <c r="AF231">
        <v>0</v>
      </c>
      <c r="AG231">
        <v>2</v>
      </c>
      <c r="AH231">
        <v>0</v>
      </c>
      <c r="AI231">
        <v>2</v>
      </c>
      <c r="AJ231">
        <v>1</v>
      </c>
      <c r="AK231">
        <v>1</v>
      </c>
      <c r="AM231">
        <v>477062.94</v>
      </c>
      <c r="AN231">
        <v>2397177.25</v>
      </c>
      <c r="AO231">
        <v>4607283</v>
      </c>
      <c r="AP231">
        <v>912431.31</v>
      </c>
      <c r="AQ231">
        <v>1822684.75</v>
      </c>
      <c r="AR231">
        <v>1465328.88</v>
      </c>
      <c r="AS231">
        <v>1343048.25</v>
      </c>
      <c r="AT231" s="11">
        <v>99934.65</v>
      </c>
      <c r="AU231" s="11">
        <v>77499.759999999995</v>
      </c>
      <c r="AW231" s="14">
        <v>57496.26</v>
      </c>
      <c r="AX231" s="14">
        <v>1151699</v>
      </c>
      <c r="AZ231" s="16">
        <v>763011.94</v>
      </c>
      <c r="BA231" s="16">
        <v>2122789.5</v>
      </c>
      <c r="BC231" s="18">
        <v>1036143.75</v>
      </c>
      <c r="BD231" s="18">
        <v>807408.88</v>
      </c>
    </row>
  </sheetData>
  <autoFilter ref="A1:BD231" xr:uid="{37F169D3-2BC9-44D7-BD28-10D5B2F8D799}">
    <filterColumn colId="2">
      <filters>
        <filter val="cdsA"/>
        <filter val="ftsA"/>
        <filter val="ftsZ"/>
        <filter val="minD"/>
        <filter val="minE"/>
        <filter val="plsB"/>
        <filter val="plsC"/>
        <filter val="psd"/>
        <filter val="pssA"/>
      </filters>
    </filterColumn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A6BB-81FD-EA4E-A857-6E0A9F1A27BB}">
  <dimension ref="A1:O15"/>
  <sheetViews>
    <sheetView tabSelected="1" topLeftCell="L1" workbookViewId="0">
      <selection activeCell="Q14" sqref="Q14"/>
    </sheetView>
  </sheetViews>
  <sheetFormatPr baseColWidth="10" defaultRowHeight="14.25"/>
  <cols>
    <col min="2" max="2" width="17.125" customWidth="1"/>
    <col min="3" max="3" width="16.125" customWidth="1"/>
    <col min="4" max="4" width="17.375" customWidth="1"/>
    <col min="5" max="5" width="18.125" customWidth="1"/>
    <col min="6" max="6" width="15.125" customWidth="1"/>
    <col min="7" max="7" width="12.125" customWidth="1"/>
    <col min="8" max="8" width="16.625" customWidth="1"/>
    <col min="9" max="9" width="16.5" customWidth="1"/>
    <col min="10" max="10" width="13" customWidth="1"/>
    <col min="11" max="12" width="16.875" customWidth="1"/>
    <col min="14" max="14" width="20.625" customWidth="1"/>
    <col min="15" max="15" width="19.5" customWidth="1"/>
  </cols>
  <sheetData>
    <row r="1" spans="1:15" ht="15.75" thickBot="1">
      <c r="B1" s="12" t="s">
        <v>45</v>
      </c>
      <c r="C1" s="10" t="s">
        <v>46</v>
      </c>
      <c r="D1" s="12" t="s">
        <v>1206</v>
      </c>
      <c r="E1" s="13" t="s">
        <v>47</v>
      </c>
      <c r="F1" s="13" t="s">
        <v>48</v>
      </c>
      <c r="G1" s="25" t="s">
        <v>1206</v>
      </c>
      <c r="H1" s="15" t="s">
        <v>49</v>
      </c>
      <c r="I1" s="15" t="s">
        <v>50</v>
      </c>
      <c r="J1" s="26" t="s">
        <v>1206</v>
      </c>
      <c r="K1" s="17" t="s">
        <v>51</v>
      </c>
      <c r="L1" s="17" t="s">
        <v>52</v>
      </c>
      <c r="M1" s="27" t="s">
        <v>1206</v>
      </c>
      <c r="N1" s="32" t="s">
        <v>1207</v>
      </c>
      <c r="O1" s="33" t="s">
        <v>1208</v>
      </c>
    </row>
    <row r="2" spans="1:15">
      <c r="A2" t="s">
        <v>64</v>
      </c>
      <c r="B2" s="11">
        <v>5277456896</v>
      </c>
      <c r="C2" s="11">
        <v>4879404544</v>
      </c>
      <c r="D2" s="11">
        <f>(B2+C2)/2</f>
        <v>5078430720</v>
      </c>
      <c r="E2" s="14">
        <v>5952979456</v>
      </c>
      <c r="F2" s="14">
        <v>4830801408</v>
      </c>
      <c r="G2" s="14">
        <f>(E2+F2)/2</f>
        <v>5391890432</v>
      </c>
      <c r="H2" s="16">
        <v>2339232512</v>
      </c>
      <c r="I2" s="16">
        <v>2363166208</v>
      </c>
      <c r="J2" s="16">
        <f>(H2+I2)/2</f>
        <v>2351199360</v>
      </c>
      <c r="K2" s="18">
        <v>10993537024</v>
      </c>
      <c r="L2" s="18">
        <v>12211140608</v>
      </c>
      <c r="M2" s="18">
        <f>(K2+L2)/2</f>
        <v>11602338816</v>
      </c>
      <c r="N2" s="28">
        <f>(D2-J2)/J2</f>
        <v>1.1599319931764527</v>
      </c>
      <c r="O2" s="29">
        <f>(G2-M2)/M2</f>
        <v>-0.53527555801383697</v>
      </c>
    </row>
    <row r="3" spans="1:15">
      <c r="A3" t="s">
        <v>96</v>
      </c>
      <c r="B3" s="11">
        <v>444778304</v>
      </c>
      <c r="C3" s="11">
        <v>619225152</v>
      </c>
      <c r="D3" s="11">
        <f t="shared" ref="D3:D14" si="0">(B3+C3)/2</f>
        <v>532001728</v>
      </c>
      <c r="E3" s="14">
        <v>809379392</v>
      </c>
      <c r="F3" s="14">
        <v>847743040</v>
      </c>
      <c r="G3" s="14">
        <f t="shared" ref="G3:G14" si="1">(E3+F3)/2</f>
        <v>828561216</v>
      </c>
      <c r="H3" s="16">
        <v>299623520</v>
      </c>
      <c r="I3" s="16">
        <v>295364704</v>
      </c>
      <c r="J3" s="16">
        <f t="shared" ref="J3:J14" si="2">(H3+I3)/2</f>
        <v>297494112</v>
      </c>
      <c r="K3" s="18">
        <v>640100608</v>
      </c>
      <c r="L3" s="18">
        <v>617986368</v>
      </c>
      <c r="M3" s="18">
        <f t="shared" ref="M3:M14" si="3">(K3+L3)/2</f>
        <v>629043488</v>
      </c>
      <c r="N3" s="28">
        <f>(D3-J3)/J3</f>
        <v>0.78827649536808309</v>
      </c>
      <c r="O3" s="29">
        <f t="shared" ref="O3:O13" si="4">(G3-M3)/M3</f>
        <v>0.31717636666799098</v>
      </c>
    </row>
    <row r="4" spans="1:15">
      <c r="A4" t="s">
        <v>117</v>
      </c>
      <c r="B4" s="11">
        <v>764708160</v>
      </c>
      <c r="C4" s="11">
        <v>842193728</v>
      </c>
      <c r="D4" s="11">
        <f>(B4+C4)/2</f>
        <v>803450944</v>
      </c>
      <c r="E4" s="14">
        <v>885238464</v>
      </c>
      <c r="F4" s="14">
        <v>875286592</v>
      </c>
      <c r="G4" s="14">
        <f t="shared" si="1"/>
        <v>880262528</v>
      </c>
      <c r="H4" s="16">
        <v>359320576</v>
      </c>
      <c r="I4" s="16">
        <v>345878272</v>
      </c>
      <c r="J4" s="16">
        <f t="shared" si="2"/>
        <v>352599424</v>
      </c>
      <c r="K4" s="18">
        <v>790283648</v>
      </c>
      <c r="L4" s="18">
        <v>802509760</v>
      </c>
      <c r="M4" s="18">
        <f t="shared" si="3"/>
        <v>796396704</v>
      </c>
      <c r="N4" s="28">
        <f t="shared" ref="N4:N13" si="5">(D4-J4)/J4</f>
        <v>1.2786507558219948</v>
      </c>
      <c r="O4" s="29">
        <f t="shared" si="4"/>
        <v>0.10530659353406867</v>
      </c>
    </row>
    <row r="5" spans="1:15">
      <c r="A5" t="s">
        <v>130</v>
      </c>
      <c r="B5" s="11">
        <v>5361149440</v>
      </c>
      <c r="C5" s="11">
        <v>5321134080</v>
      </c>
      <c r="D5" s="11">
        <f t="shared" si="0"/>
        <v>5341141760</v>
      </c>
      <c r="E5" s="14">
        <v>2874567168</v>
      </c>
      <c r="F5" s="14">
        <v>2178234368</v>
      </c>
      <c r="G5" s="14">
        <f t="shared" si="1"/>
        <v>2526400768</v>
      </c>
      <c r="H5" s="16">
        <v>1930479232</v>
      </c>
      <c r="I5" s="16">
        <v>1867681536</v>
      </c>
      <c r="J5" s="16">
        <f t="shared" si="2"/>
        <v>1899080384</v>
      </c>
      <c r="K5" s="18">
        <v>5432747008</v>
      </c>
      <c r="L5" s="18">
        <v>5265046016</v>
      </c>
      <c r="M5" s="18">
        <f t="shared" si="3"/>
        <v>5348896512</v>
      </c>
      <c r="N5" s="28">
        <f t="shared" si="5"/>
        <v>1.8124885102283275</v>
      </c>
      <c r="O5" s="29">
        <f t="shared" si="4"/>
        <v>-0.5276781365404738</v>
      </c>
    </row>
    <row r="6" spans="1:15">
      <c r="A6" t="s">
        <v>200</v>
      </c>
      <c r="B6" s="11">
        <v>420957920</v>
      </c>
      <c r="C6" s="11">
        <v>426705216</v>
      </c>
      <c r="D6" s="11">
        <f t="shared" si="0"/>
        <v>423831568</v>
      </c>
      <c r="E6" s="14">
        <v>549725632</v>
      </c>
      <c r="F6" s="14">
        <v>485863552</v>
      </c>
      <c r="G6" s="14">
        <f t="shared" si="1"/>
        <v>517794592</v>
      </c>
      <c r="H6" s="16">
        <v>141472784</v>
      </c>
      <c r="I6" s="16">
        <v>150070752</v>
      </c>
      <c r="J6" s="16">
        <f t="shared" si="2"/>
        <v>145771768</v>
      </c>
      <c r="K6" s="18">
        <v>520868832</v>
      </c>
      <c r="L6" s="18">
        <v>517507968</v>
      </c>
      <c r="M6" s="18">
        <f t="shared" si="3"/>
        <v>519188400</v>
      </c>
      <c r="N6" s="28">
        <f t="shared" si="5"/>
        <v>1.9075010464303348</v>
      </c>
      <c r="O6" s="29">
        <f t="shared" si="4"/>
        <v>-2.6845900255090447E-3</v>
      </c>
    </row>
    <row r="7" spans="1:15">
      <c r="A7" t="s">
        <v>296</v>
      </c>
      <c r="B7" s="11">
        <v>3435012</v>
      </c>
      <c r="C7" s="11">
        <v>6161888.5</v>
      </c>
      <c r="D7" s="11">
        <f t="shared" si="0"/>
        <v>4798450.25</v>
      </c>
      <c r="E7" s="14">
        <v>80985728</v>
      </c>
      <c r="F7" s="14">
        <v>83807240</v>
      </c>
      <c r="G7" s="14">
        <f t="shared" si="1"/>
        <v>82396484</v>
      </c>
      <c r="H7" s="16">
        <v>24253324</v>
      </c>
      <c r="I7" s="16">
        <v>29884488</v>
      </c>
      <c r="J7" s="16">
        <f t="shared" si="2"/>
        <v>27068906</v>
      </c>
      <c r="K7" s="18">
        <v>81653040</v>
      </c>
      <c r="L7" s="18">
        <v>78398688</v>
      </c>
      <c r="M7" s="18">
        <f t="shared" si="3"/>
        <v>80025864</v>
      </c>
      <c r="N7" s="28">
        <f t="shared" si="5"/>
        <v>-0.82273202138276291</v>
      </c>
      <c r="O7" s="29">
        <f t="shared" si="4"/>
        <v>2.9623172828224634E-2</v>
      </c>
    </row>
    <row r="8" spans="1:15">
      <c r="A8" t="s">
        <v>356</v>
      </c>
      <c r="B8" s="11">
        <v>687157248</v>
      </c>
      <c r="C8" s="11">
        <v>668123008</v>
      </c>
      <c r="D8" s="11">
        <f t="shared" si="0"/>
        <v>677640128</v>
      </c>
      <c r="E8" s="14">
        <v>765872256</v>
      </c>
      <c r="F8" s="14">
        <v>558292096</v>
      </c>
      <c r="G8" s="14">
        <f t="shared" si="1"/>
        <v>662082176</v>
      </c>
      <c r="H8" s="16">
        <v>207641728</v>
      </c>
      <c r="I8" s="16">
        <v>218508080</v>
      </c>
      <c r="J8" s="16">
        <f t="shared" si="2"/>
        <v>213074904</v>
      </c>
      <c r="K8" s="18">
        <v>400804672</v>
      </c>
      <c r="L8" s="18">
        <v>440179680</v>
      </c>
      <c r="M8" s="18">
        <f t="shared" si="3"/>
        <v>420492176</v>
      </c>
      <c r="N8" s="28">
        <f t="shared" si="5"/>
        <v>2.1802906643571691</v>
      </c>
      <c r="O8" s="29">
        <f t="shared" si="4"/>
        <v>0.57454101119826784</v>
      </c>
    </row>
    <row r="9" spans="1:15">
      <c r="A9" t="s">
        <v>373</v>
      </c>
      <c r="B9" s="11">
        <v>230040384</v>
      </c>
      <c r="C9" s="11">
        <v>174788928</v>
      </c>
      <c r="D9" s="11">
        <f t="shared" si="0"/>
        <v>202414656</v>
      </c>
      <c r="E9" s="14">
        <v>194730064</v>
      </c>
      <c r="F9" s="14">
        <v>187295296</v>
      </c>
      <c r="G9" s="14">
        <f t="shared" si="1"/>
        <v>191012680</v>
      </c>
      <c r="H9" s="16">
        <v>56884088</v>
      </c>
      <c r="I9" s="16">
        <v>54533076</v>
      </c>
      <c r="J9" s="16">
        <f t="shared" si="2"/>
        <v>55708582</v>
      </c>
      <c r="K9" s="18">
        <v>137524496</v>
      </c>
      <c r="L9" s="18">
        <v>141835984</v>
      </c>
      <c r="M9" s="18">
        <f t="shared" si="3"/>
        <v>139680240</v>
      </c>
      <c r="N9" s="28">
        <f t="shared" si="5"/>
        <v>2.6334555419127343</v>
      </c>
      <c r="O9" s="29">
        <f t="shared" si="4"/>
        <v>0.36749965492613701</v>
      </c>
    </row>
    <row r="10" spans="1:15">
      <c r="A10" t="s">
        <v>814</v>
      </c>
      <c r="B10" s="11">
        <v>230540.2</v>
      </c>
      <c r="C10" s="11">
        <v>151500.23000000001</v>
      </c>
      <c r="D10" s="11">
        <f t="shared" si="0"/>
        <v>191020.21500000003</v>
      </c>
      <c r="E10" s="14">
        <v>374615.16</v>
      </c>
      <c r="F10" s="14">
        <v>3994735.75</v>
      </c>
      <c r="G10" s="14">
        <f t="shared" si="1"/>
        <v>2184675.4550000001</v>
      </c>
      <c r="H10" s="16">
        <v>278828.78000000003</v>
      </c>
      <c r="I10" s="16">
        <v>249615.83</v>
      </c>
      <c r="J10" s="16">
        <f t="shared" si="2"/>
        <v>264222.30499999999</v>
      </c>
      <c r="K10" s="18">
        <v>1696086.5</v>
      </c>
      <c r="L10" s="18">
        <v>2018069.38</v>
      </c>
      <c r="M10" s="18">
        <f t="shared" si="3"/>
        <v>1857077.94</v>
      </c>
      <c r="N10" s="28">
        <f t="shared" si="5"/>
        <v>-0.2770473522286469</v>
      </c>
      <c r="O10" s="29">
        <f t="shared" si="4"/>
        <v>0.17640482822169551</v>
      </c>
    </row>
    <row r="11" spans="1:15">
      <c r="A11" t="s">
        <v>1198</v>
      </c>
      <c r="B11" s="11">
        <v>2918830592</v>
      </c>
      <c r="C11" s="11">
        <v>2796321024</v>
      </c>
      <c r="D11" s="11">
        <f t="shared" si="0"/>
        <v>2857575808</v>
      </c>
      <c r="E11" s="14">
        <v>3361662208</v>
      </c>
      <c r="F11" s="14">
        <v>3118186752</v>
      </c>
      <c r="G11" s="14">
        <f>(E11+F11)/2</f>
        <v>3239924480</v>
      </c>
      <c r="H11" s="16">
        <v>1527015040</v>
      </c>
      <c r="I11" s="16">
        <v>1471797760</v>
      </c>
      <c r="J11" s="16">
        <f t="shared" si="2"/>
        <v>1499406400</v>
      </c>
      <c r="K11" s="18">
        <v>3422046208</v>
      </c>
      <c r="L11" s="18">
        <v>2544448256</v>
      </c>
      <c r="M11" s="18">
        <f t="shared" si="3"/>
        <v>2983247232</v>
      </c>
      <c r="N11" s="28">
        <f t="shared" si="5"/>
        <v>0.9058047291248057</v>
      </c>
      <c r="O11" s="29">
        <f t="shared" si="4"/>
        <v>8.6039549537408236E-2</v>
      </c>
    </row>
    <row r="12" spans="1:15">
      <c r="A12" t="s">
        <v>1199</v>
      </c>
      <c r="B12" s="11">
        <v>505644512</v>
      </c>
      <c r="C12" s="11">
        <v>426261984</v>
      </c>
      <c r="D12" s="11">
        <f t="shared" si="0"/>
        <v>465953248</v>
      </c>
      <c r="E12" s="14">
        <v>711247872</v>
      </c>
      <c r="F12" s="14">
        <v>695637120</v>
      </c>
      <c r="G12" s="14">
        <f t="shared" si="1"/>
        <v>703442496</v>
      </c>
      <c r="H12" s="16">
        <v>250216752</v>
      </c>
      <c r="I12" s="16">
        <v>256954240</v>
      </c>
      <c r="J12" s="16">
        <f t="shared" si="2"/>
        <v>253585496</v>
      </c>
      <c r="K12" s="18">
        <v>713439168</v>
      </c>
      <c r="L12" s="18">
        <v>780376960</v>
      </c>
      <c r="M12" s="18">
        <f t="shared" si="3"/>
        <v>746908064</v>
      </c>
      <c r="N12" s="28">
        <f t="shared" si="5"/>
        <v>0.83746016767457399</v>
      </c>
      <c r="O12" s="29">
        <f t="shared" si="4"/>
        <v>-5.8194000165460794E-2</v>
      </c>
    </row>
    <row r="13" spans="1:15">
      <c r="A13" t="s">
        <v>1201</v>
      </c>
      <c r="B13" s="11">
        <v>215185360</v>
      </c>
      <c r="C13" s="11">
        <v>276508224</v>
      </c>
      <c r="D13" s="11">
        <f t="shared" si="0"/>
        <v>245846792</v>
      </c>
      <c r="E13" s="14">
        <v>207125008</v>
      </c>
      <c r="F13" s="14">
        <v>167305872</v>
      </c>
      <c r="G13" s="14">
        <f t="shared" si="1"/>
        <v>187215440</v>
      </c>
      <c r="H13" s="16">
        <v>8091876.5</v>
      </c>
      <c r="I13" s="16">
        <v>16174679</v>
      </c>
      <c r="J13" s="16">
        <f>(H13+I13)/2</f>
        <v>12133277.75</v>
      </c>
      <c r="K13" s="18">
        <v>57765840</v>
      </c>
      <c r="L13" s="18">
        <v>49816444</v>
      </c>
      <c r="M13" s="18">
        <f>(K13+L13)/2</f>
        <v>53791142</v>
      </c>
      <c r="N13" s="28">
        <f t="shared" si="5"/>
        <v>19.262191063746151</v>
      </c>
      <c r="O13" s="29">
        <f t="shared" si="4"/>
        <v>2.4804139313495148</v>
      </c>
    </row>
    <row r="14" spans="1:15" ht="15" thickBot="1">
      <c r="A14" t="s">
        <v>1200</v>
      </c>
      <c r="B14" s="11">
        <v>142710512</v>
      </c>
      <c r="C14" s="11">
        <v>136497488</v>
      </c>
      <c r="D14" s="11">
        <f t="shared" si="0"/>
        <v>139604000</v>
      </c>
      <c r="E14" s="14">
        <v>134165056</v>
      </c>
      <c r="F14" s="14">
        <v>108473904</v>
      </c>
      <c r="G14" s="14">
        <f t="shared" si="1"/>
        <v>121319480</v>
      </c>
      <c r="H14" s="16">
        <v>34972336</v>
      </c>
      <c r="I14" s="16">
        <v>33299914</v>
      </c>
      <c r="J14" s="16">
        <f t="shared" si="2"/>
        <v>34136125</v>
      </c>
      <c r="K14" s="18">
        <v>86870544</v>
      </c>
      <c r="L14" s="18">
        <v>86586024</v>
      </c>
      <c r="M14" s="18">
        <f t="shared" si="3"/>
        <v>86728284</v>
      </c>
      <c r="N14" s="30">
        <f>(D14-J14)/J14</f>
        <v>3.0896264587735134</v>
      </c>
      <c r="O14" s="31">
        <f>(G14-M14)/M14</f>
        <v>0.39884561765340587</v>
      </c>
    </row>
    <row r="15" spans="1:15" ht="15">
      <c r="C15" s="24" t="s">
        <v>1202</v>
      </c>
      <c r="D15" s="24"/>
      <c r="E15" s="24"/>
      <c r="F15" s="24" t="s">
        <v>1204</v>
      </c>
      <c r="G15" s="24"/>
      <c r="H15" s="24"/>
      <c r="I15" s="24" t="s">
        <v>1203</v>
      </c>
      <c r="J15" s="24"/>
      <c r="K15" s="24"/>
      <c r="L15" s="24" t="s">
        <v>1205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621B-CC30-4CB8-9C5F-7E8A829F68D6}">
  <dimension ref="A2:D16"/>
  <sheetViews>
    <sheetView workbookViewId="0">
      <selection activeCell="C4" sqref="C4"/>
    </sheetView>
  </sheetViews>
  <sheetFormatPr baseColWidth="10" defaultRowHeight="14.25"/>
  <sheetData>
    <row r="2" spans="1:4">
      <c r="A2" t="s">
        <v>1209</v>
      </c>
    </row>
    <row r="3" spans="1:4">
      <c r="C3" t="s">
        <v>1210</v>
      </c>
      <c r="D3" t="s">
        <v>1211</v>
      </c>
    </row>
    <row r="4" spans="1:4">
      <c r="B4" t="s">
        <v>64</v>
      </c>
      <c r="C4">
        <f>SQRT(((1/Histogram!J2)*_xlfn.STDEV.S(Histogram!B2:C2))^2+((-Histogram!D2/(Histogram!J2^2))* _xlfn.STDEV.S(Histogram!H2:I2))^2)</f>
        <v>0.12071678617569544</v>
      </c>
      <c r="D4">
        <f>SQRT(((1/Histogram!M2)*_xlfn.STDEV.S(Histogram!E2:F2))^2+((-Histogram!G2/(Histogram!M2^2))* _xlfn.STDEV.S(Histogram!K2:L2))^2)</f>
        <v>7.6594069327141315E-2</v>
      </c>
    </row>
    <row r="5" spans="1:4">
      <c r="B5" t="s">
        <v>96</v>
      </c>
      <c r="C5">
        <f>SQRT(((1/Histogram!J3)*_xlfn.STDEV.S(Histogram!B3:C3))^2+((-Histogram!D3/(Histogram!J3^2))* _xlfn.STDEV.S(Histogram!H3:I3))^2)</f>
        <v>0.41503358439007887</v>
      </c>
      <c r="D5">
        <f>SQRT(((1/Histogram!M3)*_xlfn.STDEV.S(Histogram!E3:F3))^2+((-Histogram!G3/(Histogram!M3^2))* _xlfn.STDEV.S(Histogram!K3:L3))^2)</f>
        <v>5.4146438766797457E-2</v>
      </c>
    </row>
    <row r="6" spans="1:4">
      <c r="B6" t="s">
        <v>117</v>
      </c>
      <c r="C6">
        <f>SQRT(((1/Histogram!J4)*_xlfn.STDEV.S(Histogram!B4:C4))^2+((-Histogram!D4/(Histogram!J4^2))* _xlfn.STDEV.S(Histogram!H4:I4))^2)</f>
        <v>0.16709093435124533</v>
      </c>
      <c r="D6">
        <f>SQRT(((1/Histogram!M4)*_xlfn.STDEV.S(Histogram!E4:F4))^2+((-Histogram!G4/(Histogram!M4^2))* _xlfn.STDEV.S(Histogram!K4:L4))^2)</f>
        <v>1.4901019316113394E-2</v>
      </c>
    </row>
    <row r="7" spans="1:4">
      <c r="B7" t="s">
        <v>130</v>
      </c>
      <c r="C7">
        <f>SQRT(((1/Histogram!J5)*_xlfn.STDEV.S(Histogram!B5:C5))^2+((-Histogram!D5/(Histogram!J5^2))* _xlfn.STDEV.S(Histogram!H5:I5))^2)</f>
        <v>6.7428884278075266E-2</v>
      </c>
      <c r="D7">
        <f>SQRT(((1/Histogram!M5)*_xlfn.STDEV.S(Histogram!E5:F5))^2+((-Histogram!G5/(Histogram!M5^2))* _xlfn.STDEV.S(Histogram!K5:L5))^2)</f>
        <v>9.2646579171153626E-2</v>
      </c>
    </row>
    <row r="8" spans="1:4">
      <c r="B8" t="s">
        <v>200</v>
      </c>
      <c r="C8">
        <f>SQRT(((1/Histogram!J6)*_xlfn.STDEV.S(Histogram!B6:C6))^2+((-Histogram!D6/(Histogram!J6^2))* _xlfn.STDEV.S(Histogram!H6:I6))^2)</f>
        <v>0.12442619177285805</v>
      </c>
      <c r="D8">
        <f>SQRT(((1/Histogram!M6)*_xlfn.STDEV.S(Histogram!E6:F6))^2+((-Histogram!G6/(Histogram!M6^2))* _xlfn.STDEV.S(Histogram!K6:L6))^2)</f>
        <v>8.709644785076405E-2</v>
      </c>
    </row>
    <row r="9" spans="1:4">
      <c r="B9" t="s">
        <v>296</v>
      </c>
      <c r="C9">
        <f>SQRT(((1/Histogram!J7)*_xlfn.STDEV.S(Histogram!B7:C7))^2+((-Histogram!D7/(Histogram!J7^2))* _xlfn.STDEV.S(Histogram!H7:I7))^2)</f>
        <v>7.5855582431999025E-2</v>
      </c>
      <c r="D9">
        <f>SQRT(((1/Histogram!M7)*_xlfn.STDEV.S(Histogram!E7:F7))^2+((-Histogram!G7/(Histogram!M7^2))* _xlfn.STDEV.S(Histogram!K7:L7))^2)</f>
        <v>3.8705716654910134E-2</v>
      </c>
    </row>
    <row r="10" spans="1:4">
      <c r="B10" t="s">
        <v>356</v>
      </c>
      <c r="C10">
        <f>SQRT(((1/Histogram!J8)*_xlfn.STDEV.S(Histogram!B8:C8))^2+((-Histogram!D8/(Histogram!J8^2))* _xlfn.STDEV.S(Histogram!H8:I8))^2)</f>
        <v>0.13092929471234938</v>
      </c>
      <c r="D10">
        <f>SQRT(((1/Histogram!M8)*_xlfn.STDEV.S(Histogram!E8:F8))^2+((-Histogram!G8/(Histogram!M8^2))* _xlfn.STDEV.S(Histogram!K8:L8))^2)</f>
        <v>0.36430678729355892</v>
      </c>
    </row>
    <row r="11" spans="1:4">
      <c r="B11" t="s">
        <v>373</v>
      </c>
      <c r="C11">
        <f>SQRT(((1/Histogram!J9)*_xlfn.STDEV.S(Histogram!B9:C9))^2+((-Histogram!D9/(Histogram!J9^2))* _xlfn.STDEV.S(Histogram!H9:I9))^2)</f>
        <v>0.70963682499362857</v>
      </c>
      <c r="D11">
        <f>SQRT(((1/Histogram!M9)*_xlfn.STDEV.S(Histogram!E9:F9))^2+((-Histogram!G9/(Histogram!M9^2))* _xlfn.STDEV.S(Histogram!K9:L9))^2)</f>
        <v>4.8035596798322595E-2</v>
      </c>
    </row>
    <row r="12" spans="1:4">
      <c r="B12" t="s">
        <v>814</v>
      </c>
      <c r="C12">
        <f>SQRT(((1/Histogram!J10)*_xlfn.STDEV.S(Histogram!B10:C10))^2+((-Histogram!D10/(Histogram!J10^2))* _xlfn.STDEV.S(Histogram!H10:I10))^2)</f>
        <v>0.21894619712247929</v>
      </c>
      <c r="D12">
        <f>SQRT(((1/Histogram!M10)*_xlfn.STDEV.S(Histogram!E10:F10))^2+((-Histogram!G10/(Histogram!M10^2))* _xlfn.STDEV.S(Histogram!K10:L10))^2)</f>
        <v>1.38593323099517</v>
      </c>
    </row>
    <row r="13" spans="1:4">
      <c r="B13" t="s">
        <v>1198</v>
      </c>
      <c r="C13">
        <f>SQRT(((1/Histogram!J11)*_xlfn.STDEV.S(Histogram!B11:C11))^2+((-Histogram!D11/(Histogram!J11^2))* _xlfn.STDEV.S(Histogram!H11:I11))^2)</f>
        <v>7.6162558197561972E-2</v>
      </c>
      <c r="D13">
        <f>SQRT(((1/Histogram!M11)*_xlfn.STDEV.S(Histogram!E11:F11))^2+((-Histogram!G11/(Histogram!M11^2))* _xlfn.STDEV.S(Histogram!K11:L11))^2)</f>
        <v>0.23316546200928442</v>
      </c>
    </row>
    <row r="14" spans="1:4">
      <c r="B14" t="s">
        <v>1199</v>
      </c>
      <c r="C14">
        <f>SQRT(((1/Histogram!J12)*_xlfn.STDEV.S(Histogram!B12:C12))^2+((-Histogram!D12/(Histogram!J12^2))* _xlfn.STDEV.S(Histogram!H12:I12))^2)</f>
        <v>0.22402865039597572</v>
      </c>
      <c r="D14">
        <f>SQRT(((1/Histogram!M12)*_xlfn.STDEV.S(Histogram!E12:F12))^2+((-Histogram!G12/(Histogram!M12^2))* _xlfn.STDEV.S(Histogram!K12:L12))^2)</f>
        <v>6.1485580956204072E-2</v>
      </c>
    </row>
    <row r="15" spans="1:4">
      <c r="B15" t="s">
        <v>1201</v>
      </c>
      <c r="C15">
        <f>SQRT(((1/Histogram!J13)*_xlfn.STDEV.S(Histogram!B13:C13))^2+((-Histogram!D13/(Histogram!J13^2))* _xlfn.STDEV.S(Histogram!H13:I13))^2)</f>
        <v>10.191679563691178</v>
      </c>
      <c r="D15">
        <f>SQRT(((1/Histogram!M13)*_xlfn.STDEV.S(Histogram!E13:F13))^2+((-Histogram!G13/(Histogram!M13^2))* _xlfn.STDEV.S(Histogram!K13:L13))^2)</f>
        <v>0.63738811595997302</v>
      </c>
    </row>
    <row r="16" spans="1:4">
      <c r="B16" t="s">
        <v>1200</v>
      </c>
      <c r="C16">
        <f>SQRT(((1/Histogram!J14)*_xlfn.STDEV.S(Histogram!B14:C14))^2+((-Histogram!D14/(Histogram!J14^2))* _xlfn.STDEV.S(Histogram!H14:I14))^2)</f>
        <v>0.19140477655072399</v>
      </c>
      <c r="D16">
        <f>SQRT(((1/Histogram!M14)*_xlfn.STDEV.S(Histogram!E14:F14))^2+((-Histogram!G14/(Histogram!M14^2))* _xlfn.STDEV.S(Histogram!K14:L14))^2)</f>
        <v>0.20948837826734248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Search settings and infos</vt:lpstr>
      <vt:lpstr>Import and filters</vt:lpstr>
      <vt:lpstr>Quant config</vt:lpstr>
      <vt:lpstr>Protein sets</vt:lpstr>
      <vt:lpstr>Phage proteins </vt:lpstr>
      <vt:lpstr>E coli proteins</vt:lpstr>
      <vt:lpstr>Histogram</vt:lpstr>
      <vt:lpstr>Error Propagation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Yannick Bernard-Lapeyre</cp:lastModifiedBy>
  <dcterms:created xsi:type="dcterms:W3CDTF">2025-06-11T09:50:31Z</dcterms:created>
  <dcterms:modified xsi:type="dcterms:W3CDTF">2026-06-19T15:58:53Z</dcterms:modified>
</cp:coreProperties>
</file>