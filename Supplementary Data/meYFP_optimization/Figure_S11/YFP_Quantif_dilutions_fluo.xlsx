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TBI\ead6\manips\Manip_clario\Yannick EAD11\"/>
    </mc:Choice>
  </mc:AlternateContent>
  <xr:revisionPtr revIDLastSave="0" documentId="13_ncr:1_{7ACBA504-5879-47D2-9B95-9DA9F71B4CC4}" xr6:coauthVersionLast="47" xr6:coauthVersionMax="47" xr10:uidLastSave="{00000000-0000-0000-0000-000000000000}"/>
  <bookViews>
    <workbookView xWindow="-120" yWindow="-120" windowWidth="19440" windowHeight="15000" xr2:uid="{5EEC2327-B917-491E-B1CB-2B102396942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E45" i="1"/>
  <c r="D45" i="1"/>
  <c r="E44" i="1"/>
  <c r="D26" i="1"/>
</calcChain>
</file>

<file path=xl/sharedStrings.xml><?xml version="1.0" encoding="utf-8"?>
<sst xmlns="http://schemas.openxmlformats.org/spreadsheetml/2006/main" count="37" uniqueCount="27">
  <si>
    <t>User: USER</t>
  </si>
  <si>
    <t>Path: C:\Program Files (x86)\BMG\CLARIOstar\User\Data\</t>
  </si>
  <si>
    <t>Test ID: 4417</t>
  </si>
  <si>
    <t>Test Name: YFP_YBL</t>
  </si>
  <si>
    <t>Date: 12/05/2026</t>
  </si>
  <si>
    <t>Time: 10:38:05</t>
  </si>
  <si>
    <t>ID1: YFP_Quantif</t>
  </si>
  <si>
    <t>Fluorescence (FI)</t>
  </si>
  <si>
    <t>Well
Row</t>
  </si>
  <si>
    <t>Well
Col</t>
  </si>
  <si>
    <t>Content</t>
  </si>
  <si>
    <t>Raw Data (497-15/540-20)</t>
  </si>
  <si>
    <t>C</t>
  </si>
  <si>
    <t>Sample X1</t>
  </si>
  <si>
    <t>Sample X10</t>
  </si>
  <si>
    <t>D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</si>
  <si>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</si>
  <si>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</si>
  <si>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</si>
  <si>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</si>
  <si>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</si>
  <si>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</si>
  <si>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</si>
  <si>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</si>
  <si>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Fluorescence (RFU)</t>
  </si>
  <si>
    <t>(µg/ml)</t>
  </si>
  <si>
    <t>Concentration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</si>
</sst>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46368555456524"/>
          <c:y val="4.7268980909750673E-2"/>
          <c:w val="0.73562592592592591"/>
          <c:h val="0.784546621998883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'End point'!$D$25</c:f>
              <c:strCache>
                <c:ptCount val="1"/>
                <c:pt idx="0">
                  <c:v>Fluorescence (RFU)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316481481481483"/>
                  <c:y val="-0.12608645050847608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'End point'!$C$26:$C$35</c:f>
              <c:numCache>
                <c:formatCode>General</c:formatCode>
                <c:ptCount val="10"/>
                <c:pt idx="0">
                  <c:v>2.64</c:v>
                </c:pt>
                <c:pt idx="1">
                  <c:v>2.64</c:v>
                </c:pt>
                <c:pt idx="2">
                  <c:v>1.6</c:v>
                </c:pt>
                <c:pt idx="3">
                  <c:v>0.8</c:v>
                </c:pt>
                <c:pt idx="4">
                  <c:v>0.4</c:v>
                </c:pt>
                <c:pt idx="5">
                  <c:v>0.2</c:v>
                </c:pt>
                <c:pt idx="6">
                  <c:v>0.1</c:v>
                </c:pt>
                <c:pt idx="7">
                  <c:v>0.05</c:v>
                </c:pt>
                <c:pt idx="8">
                  <c:v>2.5000000000000001E-2</c:v>
                </c:pt>
                <c:pt idx="9">
                  <c:v>0</c:v>
                </c:pt>
              </c:numCache>
            </c:numRef>
          </c:xVal>
          <c:yVal>
            <c:numRef>
              <c:f>'End point'!$D$26:$D$35</c:f>
              <c:numCache>
                <c:formatCode>General</c:formatCode>
                <c:ptCount val="10"/>
                <c:pt idx="0">
                  <c:v>5173181.8181818174</c:v>
                </c:pt>
                <c:pt idx="1">
                  <c:v>3173000</c:v>
                </c:pt>
                <c:pt idx="2">
                  <c:v>2659000</c:v>
                </c:pt>
                <c:pt idx="3">
                  <c:v>1521000</c:v>
                </c:pt>
                <c:pt idx="4">
                  <c:v>886875</c:v>
                </c:pt>
                <c:pt idx="5">
                  <c:v>417610</c:v>
                </c:pt>
                <c:pt idx="6">
                  <c:v>188991</c:v>
                </c:pt>
                <c:pt idx="7">
                  <c:v>76466</c:v>
                </c:pt>
                <c:pt idx="8">
                  <c:v>157972</c:v>
                </c:pt>
                <c:pt idx="9">
                  <c:v>1063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E-4206-81B9-0D0B720FA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842752"/>
        <c:axId val="1684844832"/>
      </c:scatterChart>
      <c:valAx>
        <c:axId val="1684842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Concentration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844832"/>
        <c:crosses val="autoZero"/>
        <c:crossBetween val="midCat"/>
      </c:valAx>
      <c:valAx>
        <c:axId val="1684844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Fluorescence (x10</a:t>
                </a:r>
                <a:r>
                  <a:rPr lang="en-GB" baseline="30000"/>
                  <a:t>6</a:t>
                </a:r>
                <a:r>
                  <a:rPr lang="en-GB"/>
                  <a:t> RFU)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4842752"/>
        <c:crosses val="autoZero"/>
        <c:crossBetween val="midCat"/>
        <c:dispUnits>
          <c:builtInUnit val="millions"/>
        </c:dispUnits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527050</xdr:colOff>
      <xdr:row>16</xdr:row>
      <xdr:rowOff>153276</xdr:rowOff>
    </xdr:from>
    <xdr:to>
      <xdr:col>10</xdr:col>
      <xdr:colOff>475154</xdr:colOff>
      <xdr:row>35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AA4FC91-7FB7-44BB-A40C-AAAC691E1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1E4-C61C-4EED-9530-35BD51B3C94C}">
  <dimension ref="A1:E45"/>
  <sheetViews>
    <sheetView tabSelected="1" topLeftCell="B1" zoomScale="87" zoomScaleNormal="87" workbookViewId="0">
      <selection activeCell="M26" sqref="M26"/>
    </sheetView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8" spans="1:4" x14ac:dyDescent="0.25">
      <c r="A8" s="1" t="s">
        <v>7</v>
      </c>
    </row>
    <row r="11" spans="1:4" ht="45.75" thickBot="1" x14ac:dyDescent="0.3">
      <c r="A11" s="2" t="s">
        <v>8</v>
      </c>
      <c r="B11" s="3" t="s">
        <v>9</v>
      </c>
      <c r="C11" s="11" t="s">
        <v>10</v>
      </c>
      <c r="D11" s="8" t="s">
        <v>11</v>
      </c>
    </row>
    <row r="12" spans="1:4" x14ac:dyDescent="0.25">
      <c r="A12" s="4" t="s">
        <v>12</v>
      </c>
      <c r="B12" s="5">
        <v>3</v>
      </c>
      <c r="C12" s="12" t="s">
        <v>13</v>
      </c>
      <c r="D12" s="9">
        <v>3173000</v>
      </c>
    </row>
    <row r="13" spans="1:4" x14ac:dyDescent="0.25">
      <c r="A13" s="6" t="s">
        <v>12</v>
      </c>
      <c r="B13" s="7">
        <v>4</v>
      </c>
      <c r="C13" s="13" t="s">
        <v>14</v>
      </c>
      <c r="D13" s="10">
        <v>809</v>
      </c>
    </row>
    <row r="14" spans="1:4" x14ac:dyDescent="0.25">
      <c r="A14" s="6" t="s">
        <v>15</v>
      </c>
      <c r="B14" s="7">
        <v>3</v>
      </c>
      <c r="C14" s="13" t="s">
        <v>16</v>
      </c>
      <c r="D14" s="10">
        <v>2659000</v>
      </c>
    </row>
    <row r="15" spans="1:4" x14ac:dyDescent="0.25">
      <c r="A15" s="6" t="s">
        <v>15</v>
      </c>
      <c r="B15" s="7">
        <v>4</v>
      </c>
      <c r="C15" s="13" t="s">
        <v>17</v>
      </c>
      <c r="D15" s="10">
        <v>1521000</v>
      </c>
    </row>
    <row r="16" spans="1:4" x14ac:dyDescent="0.25">
      <c r="A16" s="6" t="s">
        <v>15</v>
      </c>
      <c r="B16" s="7">
        <v>5</v>
      </c>
      <c r="C16" s="13" t="s">
        <v>18</v>
      </c>
      <c r="D16" s="10">
        <v>886875</v>
      </c>
    </row>
    <row r="17" spans="1:4" x14ac:dyDescent="0.25">
      <c r="A17" s="6" t="s">
        <v>15</v>
      </c>
      <c r="B17" s="7">
        <v>6</v>
      </c>
      <c r="C17" s="13" t="s">
        <v>19</v>
      </c>
      <c r="D17" s="10">
        <v>417610</v>
      </c>
    </row>
    <row r="18" spans="1:4" x14ac:dyDescent="0.25">
      <c r="A18" s="6" t="s">
        <v>15</v>
      </c>
      <c r="B18" s="7">
        <v>7</v>
      </c>
      <c r="C18" s="13" t="s">
        <v>20</v>
      </c>
      <c r="D18" s="10">
        <v>188991</v>
      </c>
    </row>
    <row r="19" spans="1:4" x14ac:dyDescent="0.25">
      <c r="A19" s="6" t="s">
        <v>15</v>
      </c>
      <c r="B19" s="7">
        <v>8</v>
      </c>
      <c r="C19" s="13" t="s">
        <v>21</v>
      </c>
      <c r="D19" s="10">
        <v>76466</v>
      </c>
    </row>
    <row r="20" spans="1:4" x14ac:dyDescent="0.25">
      <c r="A20" s="6" t="s">
        <v>15</v>
      </c>
      <c r="B20" s="7">
        <v>9</v>
      </c>
      <c r="C20" s="13" t="s">
        <v>22</v>
      </c>
      <c r="D20" s="10">
        <v>157972</v>
      </c>
    </row>
    <row r="21" spans="1:4" x14ac:dyDescent="0.25">
      <c r="A21" s="6" t="s">
        <v>15</v>
      </c>
      <c r="B21" s="7">
        <v>10</v>
      </c>
      <c r="C21" s="13" t="s">
        <v>23</v>
      </c>
      <c r="D21" s="10">
        <v>1063</v>
      </c>
    </row>
    <row r="25" spans="1:4" x14ac:dyDescent="0.25">
      <c r="C25" t="s">
        <v>26</v>
      </c>
      <c r="D25" t="s">
        <v>24</v>
      </c>
    </row>
    <row r="26" spans="1:4" ht="15.75" thickBot="1" x14ac:dyDescent="0.3">
      <c r="C26">
        <v>2.64</v>
      </c>
      <c r="D26">
        <f>11381000/2.2</f>
        <v>5173181.8181818174</v>
      </c>
    </row>
    <row r="27" spans="1:4" x14ac:dyDescent="0.25">
      <c r="C27">
        <v>2.64</v>
      </c>
      <c r="D27" s="9">
        <v>3173000</v>
      </c>
    </row>
    <row r="28" spans="1:4" x14ac:dyDescent="0.25">
      <c r="C28">
        <v>1.6</v>
      </c>
      <c r="D28" s="10">
        <v>2659000</v>
      </c>
    </row>
    <row r="29" spans="1:4" x14ac:dyDescent="0.25">
      <c r="C29">
        <v>0.8</v>
      </c>
      <c r="D29" s="10">
        <v>1521000</v>
      </c>
    </row>
    <row r="30" spans="1:4" x14ac:dyDescent="0.25">
      <c r="C30">
        <v>0.4</v>
      </c>
      <c r="D30" s="10">
        <v>886875</v>
      </c>
    </row>
    <row r="31" spans="1:4" x14ac:dyDescent="0.25">
      <c r="C31">
        <v>0.2</v>
      </c>
      <c r="D31" s="10">
        <v>417610</v>
      </c>
    </row>
    <row r="32" spans="1:4" x14ac:dyDescent="0.25">
      <c r="C32">
        <v>0.1</v>
      </c>
      <c r="D32" s="10">
        <v>188991</v>
      </c>
    </row>
    <row r="33" spans="3:5" x14ac:dyDescent="0.25">
      <c r="C33">
        <v>0.05</v>
      </c>
      <c r="D33" s="10">
        <v>76466</v>
      </c>
    </row>
    <row r="34" spans="3:5" x14ac:dyDescent="0.25">
      <c r="C34">
        <v>2.5000000000000001E-2</v>
      </c>
      <c r="D34" s="10">
        <v>157972</v>
      </c>
    </row>
    <row r="35" spans="3:5" x14ac:dyDescent="0.25">
      <c r="C35">
        <v>0</v>
      </c>
      <c r="D35" s="10">
        <v>1063</v>
      </c>
    </row>
    <row r="37" spans="3:5" x14ac:dyDescent="0.25">
      <c r="C37">
        <v>1000</v>
      </c>
    </row>
    <row r="43" spans="3:5" x14ac:dyDescent="0.25">
      <c r="C43" t="s">
        <v>24</v>
      </c>
      <c r="D43" t="s">
        <v>26</v>
      </c>
      <c r="E43" t="s">
        <v>25</v>
      </c>
    </row>
    <row r="44" spans="3:5" x14ac:dyDescent="0.25">
      <c r="C44">
        <v>2500000</v>
      </c>
      <c r="D44">
        <f>((C44-106563)/1560000)</f>
        <v>1.5342544871794872</v>
      </c>
      <c r="E44">
        <f>(D44 *10^-3* 27048.3136)</f>
        <v>41.498996511437952</v>
      </c>
    </row>
    <row r="45" spans="3:5" x14ac:dyDescent="0.25">
      <c r="C45">
        <v>227410</v>
      </c>
      <c r="D45">
        <f>((C45-106563)/1560000)</f>
        <v>7.7466025641025643E-2</v>
      </c>
      <c r="E45">
        <f>(D45 *10^-3* 27048.3136)</f>
        <v>2.0953253548841029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Yannick Bernard-Lapeyre</cp:lastModifiedBy>
  <dcterms:created xsi:type="dcterms:W3CDTF">2026-05-12T08:45:45Z</dcterms:created>
  <dcterms:modified xsi:type="dcterms:W3CDTF">2026-06-18T16:16:42Z</dcterms:modified>
</cp:coreProperties>
</file>