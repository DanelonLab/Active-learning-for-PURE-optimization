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Echo - PURE\METIS\Post Bug\"/>
    </mc:Choice>
  </mc:AlternateContent>
  <xr:revisionPtr revIDLastSave="0" documentId="8_{BFDD5BD9-6A44-4D5B-841A-4DFD3A1659D5}" xr6:coauthVersionLast="47" xr6:coauthVersionMax="47" xr10:uidLastSave="{00000000-0000-0000-0000-000000000000}"/>
  <bookViews>
    <workbookView xWindow="-120" yWindow="-120" windowWidth="19440" windowHeight="15000" activeTab="2" xr2:uid="{00000000-000D-0000-FFFF-FFFF00000000}"/>
  </bookViews>
  <sheets>
    <sheet name="20240320EchoCherryPicking_Final" sheetId="2" r:id="rId1"/>
    <sheet name="Sheet1" sheetId="1" r:id="rId2"/>
    <sheet name="EchoCheeryPicking" sheetId="3" r:id="rId3"/>
  </sheets>
  <definedNames>
    <definedName name="DonnéesExternes_1" localSheetId="0" hidden="1">'20240320EchoCherryPicking_Final'!$A$1:$I$1243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9" i="1" l="1" a="1"/>
  <c r="X59" i="1" s="1"/>
  <c r="X60" i="1" a="1"/>
  <c r="X60" i="1"/>
  <c r="X61" i="1" a="1"/>
  <c r="X61" i="1" s="1"/>
  <c r="X62" i="1" a="1"/>
  <c r="X62" i="1" s="1"/>
  <c r="X63" i="1" a="1"/>
  <c r="X63" i="1" s="1"/>
  <c r="X64" i="1" a="1"/>
  <c r="X64" i="1" s="1"/>
  <c r="X65" i="1" a="1"/>
  <c r="X65" i="1" s="1"/>
  <c r="X66" i="1" a="1"/>
  <c r="X66" i="1"/>
  <c r="X67" i="1" a="1"/>
  <c r="X67" i="1" s="1"/>
  <c r="X68" i="1" a="1"/>
  <c r="X68" i="1"/>
  <c r="X69" i="1" a="1"/>
  <c r="X69" i="1" s="1"/>
  <c r="X70" i="1" a="1"/>
  <c r="X70" i="1" s="1"/>
  <c r="X71" i="1" a="1"/>
  <c r="X71" i="1" s="1"/>
  <c r="X72" i="1" a="1"/>
  <c r="X72" i="1" s="1"/>
  <c r="X73" i="1" a="1"/>
  <c r="X73" i="1" s="1"/>
  <c r="X74" i="1" a="1"/>
  <c r="X74" i="1"/>
  <c r="X75" i="1" a="1"/>
  <c r="X75" i="1" s="1"/>
  <c r="X76" i="1" a="1"/>
  <c r="X76" i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/>
  <c r="X83" i="1" a="1"/>
  <c r="X83" i="1" s="1"/>
  <c r="X84" i="1" a="1"/>
  <c r="X84" i="1"/>
  <c r="X85" i="1" a="1"/>
  <c r="X85" i="1" s="1"/>
  <c r="X86" i="1" a="1"/>
  <c r="X86" i="1" s="1"/>
  <c r="X87" i="1" a="1"/>
  <c r="X87" i="1" s="1"/>
  <c r="X88" i="1" a="1"/>
  <c r="X88" i="1" s="1"/>
  <c r="X89" i="1" a="1"/>
  <c r="X89" i="1" s="1"/>
  <c r="X90" i="1" a="1"/>
  <c r="X90" i="1"/>
  <c r="X91" i="1" a="1"/>
  <c r="X91" i="1" s="1"/>
  <c r="X92" i="1" a="1"/>
  <c r="X92" i="1"/>
  <c r="X93" i="1" a="1"/>
  <c r="X93" i="1" s="1"/>
  <c r="X94" i="1" a="1"/>
  <c r="X94" i="1" s="1"/>
  <c r="X95" i="1" a="1"/>
  <c r="X95" i="1" s="1"/>
  <c r="X96" i="1" a="1"/>
  <c r="X96" i="1" s="1"/>
  <c r="X97" i="1" a="1"/>
  <c r="X97" i="1" s="1"/>
  <c r="X98" i="1" a="1"/>
  <c r="X98" i="1"/>
  <c r="X99" i="1" a="1"/>
  <c r="X99" i="1" s="1"/>
  <c r="X100" i="1" a="1"/>
  <c r="X100" i="1"/>
  <c r="X101" i="1" a="1"/>
  <c r="X101" i="1" s="1"/>
  <c r="X102" i="1" a="1"/>
  <c r="X102" i="1" s="1"/>
  <c r="X103" i="1" a="1"/>
  <c r="X103" i="1" s="1"/>
  <c r="X104" i="1" a="1"/>
  <c r="X104" i="1" s="1"/>
  <c r="X105" i="1" a="1"/>
  <c r="X105" i="1" s="1"/>
  <c r="X106" i="1" a="1"/>
  <c r="X106" i="1"/>
  <c r="X107" i="1" a="1"/>
  <c r="X107" i="1" s="1"/>
  <c r="X108" i="1" a="1"/>
  <c r="X108" i="1"/>
  <c r="X109" i="1" a="1"/>
  <c r="X109" i="1" s="1"/>
  <c r="X110" i="1" a="1"/>
  <c r="X110" i="1" s="1"/>
  <c r="X111" i="1" a="1"/>
  <c r="X111" i="1" s="1"/>
  <c r="X58" i="1" a="1"/>
  <c r="X58" i="1" s="1"/>
  <c r="W59" i="1" a="1"/>
  <c r="W59" i="1" s="1"/>
  <c r="W60" i="1" a="1"/>
  <c r="W60" i="1"/>
  <c r="W61" i="1" a="1"/>
  <c r="W61" i="1" s="1"/>
  <c r="W62" i="1" a="1"/>
  <c r="W62" i="1"/>
  <c r="W63" i="1" a="1"/>
  <c r="W63" i="1" s="1"/>
  <c r="W64" i="1" a="1"/>
  <c r="W64" i="1"/>
  <c r="W65" i="1" a="1"/>
  <c r="W65" i="1" s="1"/>
  <c r="W66" i="1" a="1"/>
  <c r="W66" i="1"/>
  <c r="W67" i="1" a="1"/>
  <c r="W67" i="1" s="1"/>
  <c r="W68" i="1" a="1"/>
  <c r="W68" i="1"/>
  <c r="W69" i="1" a="1"/>
  <c r="W69" i="1" s="1"/>
  <c r="W70" i="1" a="1"/>
  <c r="W70" i="1"/>
  <c r="W71" i="1" a="1"/>
  <c r="W71" i="1" s="1"/>
  <c r="W72" i="1" a="1"/>
  <c r="W72" i="1" s="1"/>
  <c r="W73" i="1" a="1"/>
  <c r="W73" i="1" s="1"/>
  <c r="W74" i="1" a="1"/>
  <c r="W74" i="1" s="1"/>
  <c r="W75" i="1" a="1"/>
  <c r="W75" i="1" s="1"/>
  <c r="W76" i="1" a="1"/>
  <c r="W76" i="1"/>
  <c r="W77" i="1" a="1"/>
  <c r="W77" i="1" s="1"/>
  <c r="W78" i="1" a="1"/>
  <c r="W78" i="1"/>
  <c r="W79" i="1" a="1"/>
  <c r="W79" i="1" s="1"/>
  <c r="W80" i="1" a="1"/>
  <c r="W80" i="1" s="1"/>
  <c r="W81" i="1" a="1"/>
  <c r="W81" i="1"/>
  <c r="W82" i="1" a="1"/>
  <c r="W82" i="1" s="1"/>
  <c r="W83" i="1" a="1"/>
  <c r="W83" i="1"/>
  <c r="W84" i="1" a="1"/>
  <c r="W84" i="1" s="1"/>
  <c r="W85" i="1" a="1"/>
  <c r="W85" i="1"/>
  <c r="W86" i="1" a="1"/>
  <c r="W86" i="1" s="1"/>
  <c r="W87" i="1" a="1"/>
  <c r="W87" i="1"/>
  <c r="W88" i="1" a="1"/>
  <c r="W88" i="1" s="1"/>
  <c r="W89" i="1" a="1"/>
  <c r="W89" i="1"/>
  <c r="W90" i="1" a="1"/>
  <c r="W90" i="1" s="1"/>
  <c r="W91" i="1" a="1"/>
  <c r="W91" i="1"/>
  <c r="W92" i="1" a="1"/>
  <c r="W92" i="1" s="1"/>
  <c r="W93" i="1" a="1"/>
  <c r="W93" i="1"/>
  <c r="W94" i="1" a="1"/>
  <c r="W94" i="1" s="1"/>
  <c r="W95" i="1" a="1"/>
  <c r="W95" i="1"/>
  <c r="W96" i="1" a="1"/>
  <c r="W96" i="1" s="1"/>
  <c r="W97" i="1" a="1"/>
  <c r="W97" i="1"/>
  <c r="W98" i="1" a="1"/>
  <c r="W98" i="1" s="1"/>
  <c r="W99" i="1" a="1"/>
  <c r="W99" i="1"/>
  <c r="W100" i="1" a="1"/>
  <c r="W100" i="1" s="1"/>
  <c r="W101" i="1" a="1"/>
  <c r="W101" i="1"/>
  <c r="W102" i="1" a="1"/>
  <c r="W102" i="1" s="1"/>
  <c r="W103" i="1" a="1"/>
  <c r="W103" i="1"/>
  <c r="W104" i="1" a="1"/>
  <c r="W104" i="1" s="1"/>
  <c r="W105" i="1" a="1"/>
  <c r="W105" i="1" s="1"/>
  <c r="W106" i="1" a="1"/>
  <c r="W106" i="1" s="1"/>
  <c r="W107" i="1" a="1"/>
  <c r="W107" i="1" s="1"/>
  <c r="W108" i="1" a="1"/>
  <c r="W108" i="1" s="1"/>
  <c r="W109" i="1" a="1"/>
  <c r="W109" i="1" s="1"/>
  <c r="W110" i="1" a="1"/>
  <c r="W110" i="1" s="1"/>
  <c r="W111" i="1" a="1"/>
  <c r="W111" i="1" s="1"/>
  <c r="W58" i="1" a="1"/>
  <c r="W58" i="1" s="1"/>
  <c r="V59" i="1" a="1"/>
  <c r="V59" i="1" s="1"/>
  <c r="V60" i="1" a="1"/>
  <c r="V60" i="1" s="1"/>
  <c r="V61" i="1" a="1"/>
  <c r="V61" i="1" s="1"/>
  <c r="V62" i="1" a="1"/>
  <c r="V62" i="1" s="1"/>
  <c r="V63" i="1" a="1"/>
  <c r="V63" i="1" s="1"/>
  <c r="V64" i="1" a="1"/>
  <c r="V64" i="1"/>
  <c r="V65" i="1" a="1"/>
  <c r="V65" i="1" s="1"/>
  <c r="V66" i="1" a="1"/>
  <c r="V66" i="1" s="1"/>
  <c r="V67" i="1" a="1"/>
  <c r="V67" i="1" s="1"/>
  <c r="V68" i="1" a="1"/>
  <c r="V68" i="1" s="1"/>
  <c r="V69" i="1" a="1"/>
  <c r="V69" i="1" s="1"/>
  <c r="V70" i="1" a="1"/>
  <c r="V70" i="1" s="1"/>
  <c r="V71" i="1" a="1"/>
  <c r="V71" i="1" s="1"/>
  <c r="V72" i="1" a="1"/>
  <c r="V72" i="1"/>
  <c r="V73" i="1" a="1"/>
  <c r="V73" i="1" s="1"/>
  <c r="V74" i="1" a="1"/>
  <c r="V74" i="1" s="1"/>
  <c r="V75" i="1" a="1"/>
  <c r="V75" i="1" s="1"/>
  <c r="V76" i="1" a="1"/>
  <c r="V76" i="1" s="1"/>
  <c r="V77" i="1" a="1"/>
  <c r="V77" i="1" s="1"/>
  <c r="V78" i="1" a="1"/>
  <c r="V78" i="1" s="1"/>
  <c r="V79" i="1" a="1"/>
  <c r="V79" i="1" s="1"/>
  <c r="V80" i="1" a="1"/>
  <c r="V80" i="1"/>
  <c r="V81" i="1" a="1"/>
  <c r="V81" i="1" s="1"/>
  <c r="V82" i="1" a="1"/>
  <c r="V82" i="1" s="1"/>
  <c r="V83" i="1" a="1"/>
  <c r="V83" i="1" s="1"/>
  <c r="V84" i="1" a="1"/>
  <c r="V84" i="1" s="1"/>
  <c r="V85" i="1" a="1"/>
  <c r="V85" i="1" s="1"/>
  <c r="V86" i="1" a="1"/>
  <c r="V86" i="1" s="1"/>
  <c r="V87" i="1" a="1"/>
  <c r="V87" i="1" s="1"/>
  <c r="V88" i="1" a="1"/>
  <c r="V88" i="1"/>
  <c r="V89" i="1" a="1"/>
  <c r="V89" i="1" s="1"/>
  <c r="V90" i="1" a="1"/>
  <c r="V90" i="1" s="1"/>
  <c r="V91" i="1" a="1"/>
  <c r="V91" i="1" s="1"/>
  <c r="V92" i="1" a="1"/>
  <c r="V92" i="1" s="1"/>
  <c r="V93" i="1" a="1"/>
  <c r="V93" i="1" s="1"/>
  <c r="V94" i="1" a="1"/>
  <c r="V94" i="1" s="1"/>
  <c r="V95" i="1" a="1"/>
  <c r="V95" i="1" s="1"/>
  <c r="V96" i="1" a="1"/>
  <c r="V96" i="1"/>
  <c r="V97" i="1" a="1"/>
  <c r="V97" i="1" s="1"/>
  <c r="V98" i="1" a="1"/>
  <c r="V98" i="1" s="1"/>
  <c r="V99" i="1" a="1"/>
  <c r="V99" i="1" s="1"/>
  <c r="V100" i="1" a="1"/>
  <c r="V100" i="1" s="1"/>
  <c r="V101" i="1" a="1"/>
  <c r="V101" i="1" s="1"/>
  <c r="V102" i="1" a="1"/>
  <c r="V102" i="1" s="1"/>
  <c r="V103" i="1" a="1"/>
  <c r="V103" i="1" s="1"/>
  <c r="V104" i="1" a="1"/>
  <c r="V104" i="1"/>
  <c r="V105" i="1" a="1"/>
  <c r="V105" i="1" s="1"/>
  <c r="V106" i="1" a="1"/>
  <c r="V106" i="1" s="1"/>
  <c r="V107" i="1" a="1"/>
  <c r="V107" i="1" s="1"/>
  <c r="V108" i="1" a="1"/>
  <c r="V108" i="1" s="1"/>
  <c r="V109" i="1" a="1"/>
  <c r="V109" i="1" s="1"/>
  <c r="V110" i="1" a="1"/>
  <c r="V110" i="1" s="1"/>
  <c r="V111" i="1" a="1"/>
  <c r="V111" i="1" s="1"/>
  <c r="V58" i="1" a="1"/>
  <c r="V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/>
  <c r="U91" i="1" a="1"/>
  <c r="U91" i="1" s="1"/>
  <c r="U92" i="1" a="1"/>
  <c r="U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/>
  <c r="U99" i="1" a="1"/>
  <c r="U99" i="1" s="1"/>
  <c r="U100" i="1" a="1"/>
  <c r="U100" i="1" s="1"/>
  <c r="U101" i="1" a="1"/>
  <c r="U101" i="1" s="1"/>
  <c r="U102" i="1" a="1"/>
  <c r="U102" i="1" s="1"/>
  <c r="U103" i="1" a="1"/>
  <c r="U103" i="1" s="1"/>
  <c r="U104" i="1" a="1"/>
  <c r="U104" i="1" s="1"/>
  <c r="U105" i="1" a="1"/>
  <c r="U105" i="1" s="1"/>
  <c r="U106" i="1" a="1"/>
  <c r="U106" i="1"/>
  <c r="U107" i="1" a="1"/>
  <c r="U107" i="1" s="1"/>
  <c r="U108" i="1" a="1"/>
  <c r="U108" i="1" s="1"/>
  <c r="U109" i="1" a="1"/>
  <c r="U109" i="1" s="1"/>
  <c r="U110" i="1" a="1"/>
  <c r="U110" i="1" s="1"/>
  <c r="U111" i="1" a="1"/>
  <c r="U111" i="1" s="1"/>
  <c r="U58" i="1" a="1"/>
  <c r="U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/>
  <c r="T83" i="1" a="1"/>
  <c r="T83" i="1" s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 s="1"/>
  <c r="T97" i="1" a="1"/>
  <c r="T97" i="1" s="1"/>
  <c r="T98" i="1" a="1"/>
  <c r="T98" i="1"/>
  <c r="T99" i="1" a="1"/>
  <c r="T99" i="1" s="1"/>
  <c r="T100" i="1" a="1"/>
  <c r="T100" i="1" s="1"/>
  <c r="T101" i="1" a="1"/>
  <c r="T101" i="1" s="1"/>
  <c r="T102" i="1" a="1"/>
  <c r="T102" i="1" s="1"/>
  <c r="T103" i="1" a="1"/>
  <c r="T103" i="1" s="1"/>
  <c r="T104" i="1" a="1"/>
  <c r="T104" i="1" s="1"/>
  <c r="T105" i="1" a="1"/>
  <c r="T105" i="1" s="1"/>
  <c r="T106" i="1" a="1"/>
  <c r="T106" i="1"/>
  <c r="T107" i="1" a="1"/>
  <c r="T107" i="1" s="1"/>
  <c r="T108" i="1" a="1"/>
  <c r="T108" i="1" s="1"/>
  <c r="T109" i="1" a="1"/>
  <c r="T109" i="1" s="1"/>
  <c r="T110" i="1" a="1"/>
  <c r="T110" i="1" s="1"/>
  <c r="T111" i="1" a="1"/>
  <c r="T111" i="1" s="1"/>
  <c r="T58" i="1" a="1"/>
  <c r="T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58" i="1" a="1"/>
  <c r="S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/>
  <c r="R75" i="1" a="1"/>
  <c r="R75" i="1" s="1"/>
  <c r="R76" i="1" a="1"/>
  <c r="R76" i="1" s="1"/>
  <c r="R77" i="1" a="1"/>
  <c r="R77" i="1" s="1"/>
  <c r="R78" i="1" a="1"/>
  <c r="R78" i="1"/>
  <c r="R79" i="1" a="1"/>
  <c r="R79" i="1" s="1"/>
  <c r="R80" i="1" a="1"/>
  <c r="R80" i="1" s="1"/>
  <c r="R81" i="1" a="1"/>
  <c r="R81" i="1" s="1"/>
  <c r="R82" i="1" a="1"/>
  <c r="R82" i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/>
  <c r="R89" i="1" a="1"/>
  <c r="R89" i="1" s="1"/>
  <c r="R90" i="1" a="1"/>
  <c r="R90" i="1"/>
  <c r="R91" i="1" a="1"/>
  <c r="R91" i="1" s="1"/>
  <c r="R92" i="1" a="1"/>
  <c r="R92" i="1" s="1"/>
  <c r="R93" i="1" a="1"/>
  <c r="R93" i="1" s="1"/>
  <c r="R94" i="1" a="1"/>
  <c r="R94" i="1"/>
  <c r="R95" i="1" a="1"/>
  <c r="R95" i="1" s="1"/>
  <c r="R96" i="1" a="1"/>
  <c r="R96" i="1"/>
  <c r="R97" i="1" a="1"/>
  <c r="R97" i="1" s="1"/>
  <c r="R98" i="1" a="1"/>
  <c r="R98" i="1"/>
  <c r="R99" i="1" a="1"/>
  <c r="R99" i="1" s="1"/>
  <c r="R100" i="1" a="1"/>
  <c r="R100" i="1" s="1"/>
  <c r="R101" i="1" a="1"/>
  <c r="R101" i="1" s="1"/>
  <c r="R102" i="1" a="1"/>
  <c r="R102" i="1"/>
  <c r="R103" i="1" a="1"/>
  <c r="R103" i="1" s="1"/>
  <c r="R104" i="1" a="1"/>
  <c r="R104" i="1"/>
  <c r="R105" i="1" a="1"/>
  <c r="R105" i="1" s="1"/>
  <c r="R106" i="1" a="1"/>
  <c r="R106" i="1"/>
  <c r="R107" i="1" a="1"/>
  <c r="R107" i="1" s="1"/>
  <c r="R108" i="1" a="1"/>
  <c r="R108" i="1" s="1"/>
  <c r="R109" i="1" a="1"/>
  <c r="R109" i="1" s="1"/>
  <c r="R110" i="1" a="1"/>
  <c r="R110" i="1"/>
  <c r="R111" i="1" a="1"/>
  <c r="R111" i="1" s="1"/>
  <c r="R58" i="1" a="1"/>
  <c r="R58" i="1" s="1"/>
  <c r="Q59" i="1" a="1"/>
  <c r="Q59" i="1" s="1"/>
  <c r="Q60" i="1" a="1"/>
  <c r="Q60" i="1"/>
  <c r="Q61" i="1" a="1"/>
  <c r="Q61" i="1" s="1"/>
  <c r="Q62" i="1" a="1"/>
  <c r="Q62" i="1"/>
  <c r="Q63" i="1" a="1"/>
  <c r="Q63" i="1" s="1"/>
  <c r="Q64" i="1" a="1"/>
  <c r="Q64" i="1"/>
  <c r="Q65" i="1" a="1"/>
  <c r="Q65" i="1" s="1"/>
  <c r="Q66" i="1" a="1"/>
  <c r="Q66" i="1" s="1"/>
  <c r="Q67" i="1" a="1"/>
  <c r="Q67" i="1" s="1"/>
  <c r="Q68" i="1" a="1"/>
  <c r="Q68" i="1"/>
  <c r="Q69" i="1" a="1"/>
  <c r="Q69" i="1" s="1"/>
  <c r="Q70" i="1" a="1"/>
  <c r="Q70" i="1"/>
  <c r="Q71" i="1" a="1"/>
  <c r="Q71" i="1" s="1"/>
  <c r="Q72" i="1" a="1"/>
  <c r="Q72" i="1"/>
  <c r="Q73" i="1" a="1"/>
  <c r="Q73" i="1" s="1"/>
  <c r="Q74" i="1" a="1"/>
  <c r="Q74" i="1" s="1"/>
  <c r="Q75" i="1" a="1"/>
  <c r="Q75" i="1" s="1"/>
  <c r="Q76" i="1" a="1"/>
  <c r="Q76" i="1"/>
  <c r="Q77" i="1" a="1"/>
  <c r="Q77" i="1" s="1"/>
  <c r="Q78" i="1" a="1"/>
  <c r="Q78" i="1"/>
  <c r="Q79" i="1" a="1"/>
  <c r="Q79" i="1" s="1"/>
  <c r="Q80" i="1" a="1"/>
  <c r="Q80" i="1"/>
  <c r="Q81" i="1" a="1"/>
  <c r="Q81" i="1" s="1"/>
  <c r="Q82" i="1" a="1"/>
  <c r="Q82" i="1" s="1"/>
  <c r="Q83" i="1" a="1"/>
  <c r="Q83" i="1" s="1"/>
  <c r="Q84" i="1" a="1"/>
  <c r="Q84" i="1"/>
  <c r="Q85" i="1" a="1"/>
  <c r="Q85" i="1" s="1"/>
  <c r="Q86" i="1" a="1"/>
  <c r="Q86" i="1"/>
  <c r="Q87" i="1" a="1"/>
  <c r="Q87" i="1" s="1"/>
  <c r="Q88" i="1" a="1"/>
  <c r="Q88" i="1"/>
  <c r="Q89" i="1" a="1"/>
  <c r="Q89" i="1" s="1"/>
  <c r="Q90" i="1" a="1"/>
  <c r="Q90" i="1"/>
  <c r="Q91" i="1" a="1"/>
  <c r="Q91" i="1" s="1"/>
  <c r="Q92" i="1" a="1"/>
  <c r="Q92" i="1"/>
  <c r="Q93" i="1" a="1"/>
  <c r="Q93" i="1" s="1"/>
  <c r="Q94" i="1" a="1"/>
  <c r="Q94" i="1"/>
  <c r="Q95" i="1" a="1"/>
  <c r="Q95" i="1" s="1"/>
  <c r="Q96" i="1" a="1"/>
  <c r="Q96" i="1"/>
  <c r="Q97" i="1" a="1"/>
  <c r="Q97" i="1" s="1"/>
  <c r="Q98" i="1" a="1"/>
  <c r="Q98" i="1"/>
  <c r="Q99" i="1" a="1"/>
  <c r="Q99" i="1" s="1"/>
  <c r="Q100" i="1" a="1"/>
  <c r="Q100" i="1"/>
  <c r="Q101" i="1" a="1"/>
  <c r="Q101" i="1" s="1"/>
  <c r="Q102" i="1" a="1"/>
  <c r="Q102" i="1"/>
  <c r="Q103" i="1" a="1"/>
  <c r="Q103" i="1" s="1"/>
  <c r="Q104" i="1" a="1"/>
  <c r="Q104" i="1"/>
  <c r="Q105" i="1" a="1"/>
  <c r="Q105" i="1" s="1"/>
  <c r="Q106" i="1" a="1"/>
  <c r="Q106" i="1"/>
  <c r="Q107" i="1" a="1"/>
  <c r="Q107" i="1" s="1"/>
  <c r="Q108" i="1" a="1"/>
  <c r="Q108" i="1"/>
  <c r="Q109" i="1" a="1"/>
  <c r="Q109" i="1" s="1"/>
  <c r="Q110" i="1" a="1"/>
  <c r="Q110" i="1"/>
  <c r="Q111" i="1" a="1"/>
  <c r="Q111" i="1" s="1"/>
  <c r="Q58" i="1" a="1"/>
  <c r="Q58" i="1"/>
  <c r="P59" i="1" a="1"/>
  <c r="P59" i="1" s="1"/>
  <c r="P60" i="1" a="1"/>
  <c r="P60" i="1"/>
  <c r="P61" i="1" a="1"/>
  <c r="P61" i="1" s="1"/>
  <c r="P62" i="1" a="1"/>
  <c r="P62" i="1"/>
  <c r="P63" i="1" a="1"/>
  <c r="P63" i="1" s="1"/>
  <c r="P64" i="1" a="1"/>
  <c r="P64" i="1"/>
  <c r="P65" i="1" a="1"/>
  <c r="P65" i="1" s="1"/>
  <c r="P66" i="1" a="1"/>
  <c r="P66" i="1"/>
  <c r="P67" i="1" a="1"/>
  <c r="P67" i="1" s="1"/>
  <c r="P68" i="1" a="1"/>
  <c r="P68" i="1"/>
  <c r="P69" i="1" a="1"/>
  <c r="P69" i="1"/>
  <c r="P70" i="1" a="1"/>
  <c r="P70" i="1"/>
  <c r="P71" i="1" a="1"/>
  <c r="P71" i="1"/>
  <c r="P72" i="1" a="1"/>
  <c r="P72" i="1"/>
  <c r="P73" i="1" a="1"/>
  <c r="P73" i="1" s="1"/>
  <c r="P74" i="1" a="1"/>
  <c r="P74" i="1" s="1"/>
  <c r="P75" i="1" a="1"/>
  <c r="P75" i="1" s="1"/>
  <c r="P76" i="1" a="1"/>
  <c r="P76" i="1"/>
  <c r="P77" i="1" a="1"/>
  <c r="P77" i="1" s="1"/>
  <c r="P78" i="1" a="1"/>
  <c r="P78" i="1"/>
  <c r="P79" i="1" a="1"/>
  <c r="P79" i="1" s="1"/>
  <c r="P80" i="1" a="1"/>
  <c r="P80" i="1"/>
  <c r="P81" i="1" a="1"/>
  <c r="P81" i="1" s="1"/>
  <c r="P82" i="1" a="1"/>
  <c r="P82" i="1" s="1"/>
  <c r="P83" i="1" a="1"/>
  <c r="P83" i="1" s="1"/>
  <c r="P84" i="1" a="1"/>
  <c r="P84" i="1"/>
  <c r="P85" i="1" a="1"/>
  <c r="P85" i="1" s="1"/>
  <c r="P86" i="1" a="1"/>
  <c r="P86" i="1"/>
  <c r="P87" i="1" a="1"/>
  <c r="P87" i="1" s="1"/>
  <c r="P88" i="1" a="1"/>
  <c r="P88" i="1"/>
  <c r="P89" i="1" a="1"/>
  <c r="P89" i="1" s="1"/>
  <c r="P90" i="1" a="1"/>
  <c r="P90" i="1" s="1"/>
  <c r="P91" i="1" a="1"/>
  <c r="P91" i="1" s="1"/>
  <c r="P92" i="1" a="1"/>
  <c r="P92" i="1"/>
  <c r="P93" i="1" a="1"/>
  <c r="P93" i="1" s="1"/>
  <c r="P94" i="1" a="1"/>
  <c r="P94" i="1"/>
  <c r="P95" i="1" a="1"/>
  <c r="P95" i="1" s="1"/>
  <c r="P96" i="1" a="1"/>
  <c r="P96" i="1"/>
  <c r="P97" i="1" a="1"/>
  <c r="P97" i="1" s="1"/>
  <c r="P98" i="1" a="1"/>
  <c r="P98" i="1" s="1"/>
  <c r="P99" i="1" a="1"/>
  <c r="P99" i="1" s="1"/>
  <c r="P100" i="1" a="1"/>
  <c r="P100" i="1"/>
  <c r="P101" i="1" a="1"/>
  <c r="P101" i="1" s="1"/>
  <c r="P102" i="1" a="1"/>
  <c r="P102" i="1"/>
  <c r="P103" i="1" a="1"/>
  <c r="P103" i="1" s="1"/>
  <c r="P104" i="1" a="1"/>
  <c r="P104" i="1"/>
  <c r="P105" i="1" a="1"/>
  <c r="P105" i="1" s="1"/>
  <c r="P106" i="1" a="1"/>
  <c r="P106" i="1" s="1"/>
  <c r="P107" i="1" a="1"/>
  <c r="P107" i="1" s="1"/>
  <c r="P108" i="1" a="1"/>
  <c r="P108" i="1"/>
  <c r="P109" i="1" a="1"/>
  <c r="P109" i="1" s="1"/>
  <c r="P110" i="1" a="1"/>
  <c r="P110" i="1"/>
  <c r="P111" i="1" a="1"/>
  <c r="P111" i="1" s="1"/>
  <c r="P58" i="1" a="1"/>
  <c r="P58" i="1" s="1"/>
  <c r="O59" i="1" a="1"/>
  <c r="O59" i="1" s="1"/>
  <c r="O60" i="1" a="1"/>
  <c r="O60" i="1"/>
  <c r="O61" i="1" a="1"/>
  <c r="O61" i="1" s="1"/>
  <c r="O62" i="1" a="1"/>
  <c r="O62" i="1"/>
  <c r="O63" i="1" a="1"/>
  <c r="O63" i="1" s="1"/>
  <c r="O64" i="1" a="1"/>
  <c r="O64" i="1"/>
  <c r="O65" i="1" a="1"/>
  <c r="O65" i="1" s="1"/>
  <c r="O66" i="1" a="1"/>
  <c r="O66" i="1" s="1"/>
  <c r="O67" i="1" a="1"/>
  <c r="O67" i="1" s="1"/>
  <c r="O68" i="1" a="1"/>
  <c r="O68" i="1"/>
  <c r="O69" i="1" a="1"/>
  <c r="O69" i="1" s="1"/>
  <c r="O70" i="1" a="1"/>
  <c r="O70" i="1"/>
  <c r="O71" i="1" a="1"/>
  <c r="O71" i="1" s="1"/>
  <c r="O72" i="1" a="1"/>
  <c r="O72" i="1"/>
  <c r="O73" i="1" a="1"/>
  <c r="O73" i="1" s="1"/>
  <c r="O74" i="1" a="1"/>
  <c r="O74" i="1" s="1"/>
  <c r="O75" i="1" a="1"/>
  <c r="O75" i="1" s="1"/>
  <c r="O76" i="1" a="1"/>
  <c r="O76" i="1"/>
  <c r="O77" i="1" a="1"/>
  <c r="O77" i="1" s="1"/>
  <c r="O78" i="1" a="1"/>
  <c r="O78" i="1"/>
  <c r="O79" i="1" a="1"/>
  <c r="O79" i="1" s="1"/>
  <c r="O80" i="1" a="1"/>
  <c r="O80" i="1"/>
  <c r="O81" i="1" a="1"/>
  <c r="O81" i="1" s="1"/>
  <c r="O82" i="1" a="1"/>
  <c r="O82" i="1" s="1"/>
  <c r="O83" i="1" a="1"/>
  <c r="O83" i="1" s="1"/>
  <c r="O84" i="1" a="1"/>
  <c r="O84" i="1"/>
  <c r="O85" i="1" a="1"/>
  <c r="O85" i="1" s="1"/>
  <c r="O86" i="1" a="1"/>
  <c r="O86" i="1"/>
  <c r="O87" i="1" a="1"/>
  <c r="O87" i="1" s="1"/>
  <c r="O88" i="1" a="1"/>
  <c r="O88" i="1"/>
  <c r="O89" i="1" a="1"/>
  <c r="O89" i="1" s="1"/>
  <c r="O90" i="1" a="1"/>
  <c r="O90" i="1" s="1"/>
  <c r="O91" i="1" a="1"/>
  <c r="O91" i="1" s="1"/>
  <c r="O92" i="1" a="1"/>
  <c r="O92" i="1"/>
  <c r="O93" i="1" a="1"/>
  <c r="O93" i="1" s="1"/>
  <c r="O94" i="1" a="1"/>
  <c r="O94" i="1"/>
  <c r="O95" i="1" a="1"/>
  <c r="O95" i="1" s="1"/>
  <c r="O96" i="1" a="1"/>
  <c r="O96" i="1"/>
  <c r="O97" i="1" a="1"/>
  <c r="O97" i="1" s="1"/>
  <c r="O98" i="1" a="1"/>
  <c r="O98" i="1" s="1"/>
  <c r="O99" i="1" a="1"/>
  <c r="O99" i="1" s="1"/>
  <c r="O100" i="1" a="1"/>
  <c r="O100" i="1"/>
  <c r="O101" i="1" a="1"/>
  <c r="O101" i="1" s="1"/>
  <c r="O102" i="1" a="1"/>
  <c r="O102" i="1"/>
  <c r="O103" i="1" a="1"/>
  <c r="O103" i="1" s="1"/>
  <c r="O104" i="1" a="1"/>
  <c r="O104" i="1"/>
  <c r="O105" i="1" a="1"/>
  <c r="O105" i="1" s="1"/>
  <c r="O106" i="1" a="1"/>
  <c r="O106" i="1" s="1"/>
  <c r="O107" i="1" a="1"/>
  <c r="O107" i="1" s="1"/>
  <c r="O108" i="1" a="1"/>
  <c r="O108" i="1"/>
  <c r="O109" i="1" a="1"/>
  <c r="O109" i="1" s="1"/>
  <c r="O110" i="1" a="1"/>
  <c r="O110" i="1"/>
  <c r="O111" i="1" a="1"/>
  <c r="O111" i="1" s="1"/>
  <c r="O58" i="1" a="1"/>
  <c r="O58" i="1" s="1"/>
  <c r="N59" i="1" a="1"/>
  <c r="N59" i="1" s="1"/>
  <c r="N60" i="1" a="1"/>
  <c r="N60" i="1"/>
  <c r="N61" i="1" a="1"/>
  <c r="N61" i="1" s="1"/>
  <c r="N62" i="1" a="1"/>
  <c r="N62" i="1"/>
  <c r="N63" i="1" a="1"/>
  <c r="N63" i="1" s="1"/>
  <c r="N64" i="1" a="1"/>
  <c r="N64" i="1"/>
  <c r="N65" i="1" a="1"/>
  <c r="N65" i="1" s="1"/>
  <c r="N66" i="1" a="1"/>
  <c r="N66" i="1" s="1"/>
  <c r="N67" i="1" a="1"/>
  <c r="N67" i="1" s="1"/>
  <c r="N68" i="1" a="1"/>
  <c r="N68" i="1"/>
  <c r="N69" i="1" a="1"/>
  <c r="N69" i="1" s="1"/>
  <c r="N70" i="1" a="1"/>
  <c r="N70" i="1"/>
  <c r="N71" i="1" a="1"/>
  <c r="N71" i="1" s="1"/>
  <c r="N72" i="1" a="1"/>
  <c r="N72" i="1"/>
  <c r="N73" i="1" a="1"/>
  <c r="N73" i="1" s="1"/>
  <c r="N74" i="1" a="1"/>
  <c r="N74" i="1" s="1"/>
  <c r="N75" i="1" a="1"/>
  <c r="N75" i="1" s="1"/>
  <c r="N76" i="1" a="1"/>
  <c r="N76" i="1"/>
  <c r="N77" i="1" a="1"/>
  <c r="N77" i="1" s="1"/>
  <c r="N78" i="1" a="1"/>
  <c r="N78" i="1"/>
  <c r="N79" i="1" a="1"/>
  <c r="N79" i="1" s="1"/>
  <c r="N80" i="1" a="1"/>
  <c r="N80" i="1"/>
  <c r="N81" i="1" a="1"/>
  <c r="N81" i="1" s="1"/>
  <c r="N82" i="1" a="1"/>
  <c r="N82" i="1" s="1"/>
  <c r="N83" i="1" a="1"/>
  <c r="N83" i="1" s="1"/>
  <c r="N84" i="1" a="1"/>
  <c r="N84" i="1"/>
  <c r="N85" i="1" a="1"/>
  <c r="N85" i="1" s="1"/>
  <c r="N86" i="1" a="1"/>
  <c r="N86" i="1"/>
  <c r="N87" i="1" a="1"/>
  <c r="N87" i="1" s="1"/>
  <c r="N88" i="1" a="1"/>
  <c r="N88" i="1"/>
  <c r="N89" i="1" a="1"/>
  <c r="N89" i="1" s="1"/>
  <c r="N90" i="1" a="1"/>
  <c r="N90" i="1" s="1"/>
  <c r="N91" i="1" a="1"/>
  <c r="N91" i="1" s="1"/>
  <c r="N92" i="1" a="1"/>
  <c r="N92" i="1"/>
  <c r="N93" i="1" a="1"/>
  <c r="N93" i="1" s="1"/>
  <c r="N94" i="1" a="1"/>
  <c r="N94" i="1"/>
  <c r="N95" i="1" a="1"/>
  <c r="N95" i="1" s="1"/>
  <c r="N96" i="1" a="1"/>
  <c r="N96" i="1"/>
  <c r="N97" i="1" a="1"/>
  <c r="N97" i="1" s="1"/>
  <c r="N98" i="1" a="1"/>
  <c r="N98" i="1" s="1"/>
  <c r="N99" i="1" a="1"/>
  <c r="N99" i="1" s="1"/>
  <c r="N100" i="1" a="1"/>
  <c r="N100" i="1"/>
  <c r="N101" i="1" a="1"/>
  <c r="N101" i="1" s="1"/>
  <c r="N102" i="1" a="1"/>
  <c r="N102" i="1"/>
  <c r="N103" i="1" a="1"/>
  <c r="N103" i="1" s="1"/>
  <c r="N104" i="1" a="1"/>
  <c r="N104" i="1"/>
  <c r="N105" i="1" a="1"/>
  <c r="N105" i="1" s="1"/>
  <c r="N106" i="1" a="1"/>
  <c r="N106" i="1" s="1"/>
  <c r="N107" i="1" a="1"/>
  <c r="N107" i="1" s="1"/>
  <c r="N108" i="1" a="1"/>
  <c r="N108" i="1"/>
  <c r="N109" i="1" a="1"/>
  <c r="N109" i="1" s="1"/>
  <c r="N110" i="1" a="1"/>
  <c r="N110" i="1"/>
  <c r="N111" i="1" a="1"/>
  <c r="N111" i="1" s="1"/>
  <c r="N58" i="1" a="1"/>
  <c r="N58" i="1" s="1"/>
  <c r="M59" i="1" a="1"/>
  <c r="M59" i="1" s="1"/>
  <c r="M60" i="1" a="1"/>
  <c r="M60" i="1"/>
  <c r="M61" i="1" a="1"/>
  <c r="M61" i="1" s="1"/>
  <c r="M62" i="1" a="1"/>
  <c r="M62" i="1"/>
  <c r="M63" i="1" a="1"/>
  <c r="M63" i="1" s="1"/>
  <c r="M64" i="1" a="1"/>
  <c r="M64" i="1"/>
  <c r="M65" i="1" a="1"/>
  <c r="M65" i="1" s="1"/>
  <c r="M66" i="1" a="1"/>
  <c r="M66" i="1" s="1"/>
  <c r="M67" i="1" a="1"/>
  <c r="M67" i="1" s="1"/>
  <c r="M68" i="1" a="1"/>
  <c r="M68" i="1"/>
  <c r="M69" i="1" a="1"/>
  <c r="M69" i="1" s="1"/>
  <c r="M70" i="1" a="1"/>
  <c r="M70" i="1"/>
  <c r="M71" i="1" a="1"/>
  <c r="M71" i="1" s="1"/>
  <c r="M72" i="1" a="1"/>
  <c r="M72" i="1"/>
  <c r="M73" i="1" a="1"/>
  <c r="M73" i="1" s="1"/>
  <c r="M74" i="1" a="1"/>
  <c r="M74" i="1" s="1"/>
  <c r="M75" i="1" a="1"/>
  <c r="M75" i="1" s="1"/>
  <c r="M76" i="1" a="1"/>
  <c r="M76" i="1"/>
  <c r="M77" i="1" a="1"/>
  <c r="M77" i="1" s="1"/>
  <c r="M78" i="1" a="1"/>
  <c r="M78" i="1"/>
  <c r="M79" i="1" a="1"/>
  <c r="M79" i="1" s="1"/>
  <c r="M80" i="1" a="1"/>
  <c r="M80" i="1"/>
  <c r="M81" i="1" a="1"/>
  <c r="M81" i="1" s="1"/>
  <c r="M82" i="1" a="1"/>
  <c r="M82" i="1" s="1"/>
  <c r="M83" i="1" a="1"/>
  <c r="M83" i="1" s="1"/>
  <c r="M84" i="1" a="1"/>
  <c r="M84" i="1"/>
  <c r="M85" i="1" a="1"/>
  <c r="M85" i="1" s="1"/>
  <c r="M86" i="1" a="1"/>
  <c r="M86" i="1"/>
  <c r="M87" i="1" a="1"/>
  <c r="M87" i="1" s="1"/>
  <c r="M88" i="1" a="1"/>
  <c r="M88" i="1"/>
  <c r="M89" i="1" a="1"/>
  <c r="M89" i="1" s="1"/>
  <c r="M90" i="1" a="1"/>
  <c r="M90" i="1" s="1"/>
  <c r="M91" i="1" a="1"/>
  <c r="M91" i="1" s="1"/>
  <c r="M92" i="1" a="1"/>
  <c r="M92" i="1"/>
  <c r="M93" i="1" a="1"/>
  <c r="M93" i="1" s="1"/>
  <c r="M94" i="1" a="1"/>
  <c r="M94" i="1"/>
  <c r="M95" i="1" a="1"/>
  <c r="M95" i="1" s="1"/>
  <c r="M96" i="1" a="1"/>
  <c r="M96" i="1"/>
  <c r="M97" i="1" a="1"/>
  <c r="M97" i="1" s="1"/>
  <c r="M98" i="1" a="1"/>
  <c r="M98" i="1" s="1"/>
  <c r="M99" i="1" a="1"/>
  <c r="M99" i="1" s="1"/>
  <c r="M100" i="1" a="1"/>
  <c r="M100" i="1"/>
  <c r="M101" i="1" a="1"/>
  <c r="M101" i="1" s="1"/>
  <c r="M102" i="1" a="1"/>
  <c r="M102" i="1"/>
  <c r="M103" i="1" a="1"/>
  <c r="M103" i="1" s="1"/>
  <c r="M104" i="1" a="1"/>
  <c r="M104" i="1"/>
  <c r="M105" i="1" a="1"/>
  <c r="M105" i="1" s="1"/>
  <c r="M106" i="1" a="1"/>
  <c r="M106" i="1" s="1"/>
  <c r="M107" i="1" a="1"/>
  <c r="M107" i="1" s="1"/>
  <c r="M108" i="1" a="1"/>
  <c r="M108" i="1"/>
  <c r="M109" i="1" a="1"/>
  <c r="M109" i="1" s="1"/>
  <c r="M110" i="1" a="1"/>
  <c r="M110" i="1"/>
  <c r="M111" i="1" a="1"/>
  <c r="M111" i="1" s="1"/>
  <c r="M58" i="1" a="1"/>
  <c r="M58" i="1" s="1"/>
  <c r="L59" i="1" a="1"/>
  <c r="L59" i="1"/>
  <c r="L60" i="1" a="1"/>
  <c r="L60" i="1" s="1"/>
  <c r="L61" i="1" a="1"/>
  <c r="L61" i="1"/>
  <c r="L62" i="1" a="1"/>
  <c r="L62" i="1" s="1"/>
  <c r="L63" i="1" a="1"/>
  <c r="L63" i="1"/>
  <c r="L64" i="1" a="1"/>
  <c r="L64" i="1" s="1"/>
  <c r="L65" i="1" a="1"/>
  <c r="L65" i="1"/>
  <c r="L66" i="1" a="1"/>
  <c r="L66" i="1" s="1"/>
  <c r="L67" i="1" a="1"/>
  <c r="L67" i="1"/>
  <c r="L68" i="1" a="1"/>
  <c r="L68" i="1" s="1"/>
  <c r="L69" i="1" a="1"/>
  <c r="L69" i="1"/>
  <c r="L70" i="1" a="1"/>
  <c r="L70" i="1" s="1"/>
  <c r="L71" i="1" a="1"/>
  <c r="L71" i="1"/>
  <c r="L72" i="1" a="1"/>
  <c r="L72" i="1" s="1"/>
  <c r="L73" i="1" a="1"/>
  <c r="L73" i="1"/>
  <c r="L74" i="1" a="1"/>
  <c r="L74" i="1" s="1"/>
  <c r="L75" i="1" a="1"/>
  <c r="L75" i="1"/>
  <c r="L76" i="1" a="1"/>
  <c r="L76" i="1" s="1"/>
  <c r="L77" i="1" a="1"/>
  <c r="L77" i="1"/>
  <c r="L78" i="1" a="1"/>
  <c r="L78" i="1" s="1"/>
  <c r="L79" i="1" a="1"/>
  <c r="L79" i="1"/>
  <c r="L80" i="1" a="1"/>
  <c r="L80" i="1" s="1"/>
  <c r="L81" i="1" a="1"/>
  <c r="L81" i="1"/>
  <c r="L82" i="1" a="1"/>
  <c r="L82" i="1" s="1"/>
  <c r="L83" i="1" a="1"/>
  <c r="L83" i="1"/>
  <c r="L84" i="1" a="1"/>
  <c r="L84" i="1" s="1"/>
  <c r="L85" i="1" a="1"/>
  <c r="L85" i="1"/>
  <c r="L86" i="1" a="1"/>
  <c r="L86" i="1" s="1"/>
  <c r="L87" i="1" a="1"/>
  <c r="L87" i="1"/>
  <c r="L88" i="1" a="1"/>
  <c r="L88" i="1" s="1"/>
  <c r="L89" i="1" a="1"/>
  <c r="L89" i="1"/>
  <c r="L90" i="1" a="1"/>
  <c r="L90" i="1" s="1"/>
  <c r="L91" i="1" a="1"/>
  <c r="L91" i="1"/>
  <c r="L92" i="1" a="1"/>
  <c r="L92" i="1" s="1"/>
  <c r="L93" i="1" a="1"/>
  <c r="L93" i="1" s="1"/>
  <c r="L94" i="1" a="1"/>
  <c r="L94" i="1" s="1"/>
  <c r="L95" i="1" a="1"/>
  <c r="L95" i="1"/>
  <c r="L96" i="1" a="1"/>
  <c r="L96" i="1" s="1"/>
  <c r="L97" i="1" a="1"/>
  <c r="L97" i="1"/>
  <c r="L98" i="1" a="1"/>
  <c r="L98" i="1" s="1"/>
  <c r="L99" i="1" a="1"/>
  <c r="L99" i="1" s="1"/>
  <c r="L100" i="1" a="1"/>
  <c r="L100" i="1" s="1"/>
  <c r="L101" i="1" a="1"/>
  <c r="L101" i="1"/>
  <c r="L102" i="1" a="1"/>
  <c r="L102" i="1" s="1"/>
  <c r="L103" i="1" a="1"/>
  <c r="L103" i="1"/>
  <c r="L104" i="1" a="1"/>
  <c r="L104" i="1" s="1"/>
  <c r="L105" i="1" a="1"/>
  <c r="L105" i="1"/>
  <c r="L106" i="1" a="1"/>
  <c r="L106" i="1" s="1"/>
  <c r="L107" i="1" a="1"/>
  <c r="L107" i="1" s="1"/>
  <c r="L108" i="1" a="1"/>
  <c r="L108" i="1" s="1"/>
  <c r="L109" i="1" a="1"/>
  <c r="L109" i="1"/>
  <c r="L110" i="1" a="1"/>
  <c r="L110" i="1" s="1"/>
  <c r="L111" i="1" a="1"/>
  <c r="L111" i="1"/>
  <c r="L58" i="1" a="1"/>
  <c r="L58" i="1" s="1"/>
  <c r="K59" i="1" a="1"/>
  <c r="K59" i="1" s="1"/>
  <c r="K60" i="1" a="1"/>
  <c r="K60" i="1"/>
  <c r="K61" i="1" a="1"/>
  <c r="K61" i="1" s="1"/>
  <c r="K62" i="1" a="1"/>
  <c r="K62" i="1"/>
  <c r="K63" i="1" a="1"/>
  <c r="K63" i="1" s="1"/>
  <c r="K64" i="1" a="1"/>
  <c r="K64" i="1" s="1"/>
  <c r="K65" i="1" a="1"/>
  <c r="K65" i="1" s="1"/>
  <c r="K66" i="1" a="1"/>
  <c r="K66" i="1"/>
  <c r="K67" i="1" a="1"/>
  <c r="K67" i="1" s="1"/>
  <c r="K68" i="1" a="1"/>
  <c r="K68" i="1"/>
  <c r="K69" i="1" a="1"/>
  <c r="K69" i="1" s="1"/>
  <c r="K70" i="1" a="1"/>
  <c r="K70" i="1"/>
  <c r="K71" i="1" a="1"/>
  <c r="K71" i="1" s="1"/>
  <c r="K72" i="1" a="1"/>
  <c r="K72" i="1" s="1"/>
  <c r="K73" i="1" a="1"/>
  <c r="K73" i="1" s="1"/>
  <c r="K74" i="1" a="1"/>
  <c r="K74" i="1"/>
  <c r="K75" i="1" a="1"/>
  <c r="K75" i="1" s="1"/>
  <c r="K76" i="1" a="1"/>
  <c r="K76" i="1" s="1"/>
  <c r="K77" i="1" a="1"/>
  <c r="K77" i="1" s="1"/>
  <c r="K78" i="1" a="1"/>
  <c r="K78" i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/>
  <c r="K85" i="1" a="1"/>
  <c r="K85" i="1" s="1"/>
  <c r="K86" i="1" a="1"/>
  <c r="K86" i="1"/>
  <c r="K87" i="1" a="1"/>
  <c r="K87" i="1" s="1"/>
  <c r="K88" i="1" a="1"/>
  <c r="K88" i="1" s="1"/>
  <c r="K89" i="1" a="1"/>
  <c r="K89" i="1" s="1"/>
  <c r="K90" i="1" a="1"/>
  <c r="K90" i="1"/>
  <c r="K91" i="1" a="1"/>
  <c r="K91" i="1" s="1"/>
  <c r="K92" i="1" a="1"/>
  <c r="K92" i="1"/>
  <c r="K93" i="1" a="1"/>
  <c r="K93" i="1" s="1"/>
  <c r="K94" i="1" a="1"/>
  <c r="K94" i="1"/>
  <c r="K95" i="1" a="1"/>
  <c r="K95" i="1" s="1"/>
  <c r="K96" i="1" a="1"/>
  <c r="K96" i="1" s="1"/>
  <c r="K97" i="1" a="1"/>
  <c r="K97" i="1" s="1"/>
  <c r="K98" i="1" a="1"/>
  <c r="K98" i="1"/>
  <c r="K99" i="1" a="1"/>
  <c r="K99" i="1" s="1"/>
  <c r="K100" i="1" a="1"/>
  <c r="K100" i="1"/>
  <c r="K101" i="1" a="1"/>
  <c r="K101" i="1" s="1"/>
  <c r="K102" i="1" a="1"/>
  <c r="K102" i="1"/>
  <c r="K103" i="1" a="1"/>
  <c r="K103" i="1" s="1"/>
  <c r="K104" i="1" a="1"/>
  <c r="K104" i="1" s="1"/>
  <c r="K105" i="1" a="1"/>
  <c r="K105" i="1" s="1"/>
  <c r="K106" i="1" a="1"/>
  <c r="K106" i="1"/>
  <c r="K107" i="1" a="1"/>
  <c r="K107" i="1" s="1"/>
  <c r="K108" i="1" a="1"/>
  <c r="K108" i="1" s="1"/>
  <c r="K109" i="1" a="1"/>
  <c r="K109" i="1" s="1"/>
  <c r="K110" i="1" a="1"/>
  <c r="K110" i="1"/>
  <c r="K111" i="1" a="1"/>
  <c r="K111" i="1" s="1"/>
  <c r="K58" i="1" a="1"/>
  <c r="K58" i="1" s="1"/>
  <c r="J59" i="1" a="1"/>
  <c r="J59" i="1"/>
  <c r="J60" i="1" a="1"/>
  <c r="J60" i="1" s="1"/>
  <c r="J61" i="1" a="1"/>
  <c r="J61" i="1"/>
  <c r="J62" i="1" a="1"/>
  <c r="J62" i="1" s="1"/>
  <c r="J63" i="1" a="1"/>
  <c r="J63" i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/>
  <c r="J71" i="1" a="1"/>
  <c r="J71" i="1" s="1"/>
  <c r="J72" i="1" a="1"/>
  <c r="J72" i="1"/>
  <c r="J73" i="1" a="1"/>
  <c r="J73" i="1" s="1"/>
  <c r="J74" i="1" a="1"/>
  <c r="J74" i="1" s="1"/>
  <c r="J75" i="1" a="1"/>
  <c r="J75" i="1" s="1"/>
  <c r="J76" i="1" a="1"/>
  <c r="J76" i="1"/>
  <c r="J77" i="1" a="1"/>
  <c r="J77" i="1" s="1"/>
  <c r="J78" i="1" a="1"/>
  <c r="J78" i="1"/>
  <c r="J79" i="1" a="1"/>
  <c r="J79" i="1" s="1"/>
  <c r="J80" i="1" a="1"/>
  <c r="J80" i="1"/>
  <c r="J81" i="1" a="1"/>
  <c r="J81" i="1" s="1"/>
  <c r="J82" i="1" a="1"/>
  <c r="J82" i="1" s="1"/>
  <c r="J83" i="1" a="1"/>
  <c r="J83" i="1" s="1"/>
  <c r="J84" i="1" a="1"/>
  <c r="J84" i="1"/>
  <c r="J85" i="1" a="1"/>
  <c r="J85" i="1" s="1"/>
  <c r="J86" i="1" a="1"/>
  <c r="J86" i="1"/>
  <c r="J87" i="1" a="1"/>
  <c r="J87" i="1" s="1"/>
  <c r="J88" i="1" a="1"/>
  <c r="J88" i="1" s="1"/>
  <c r="J89" i="1" a="1"/>
  <c r="J89" i="1" s="1"/>
  <c r="J90" i="1" a="1"/>
  <c r="J90" i="1"/>
  <c r="J91" i="1" a="1"/>
  <c r="J91" i="1" s="1"/>
  <c r="J92" i="1" a="1"/>
  <c r="J92" i="1"/>
  <c r="J93" i="1" a="1"/>
  <c r="J93" i="1" s="1"/>
  <c r="J94" i="1" a="1"/>
  <c r="J94" i="1"/>
  <c r="J95" i="1" a="1"/>
  <c r="J95" i="1" s="1"/>
  <c r="J96" i="1" a="1"/>
  <c r="J96" i="1" s="1"/>
  <c r="J97" i="1" a="1"/>
  <c r="J97" i="1" s="1"/>
  <c r="J98" i="1" a="1"/>
  <c r="J98" i="1"/>
  <c r="J99" i="1" a="1"/>
  <c r="J99" i="1" s="1"/>
  <c r="J100" i="1" a="1"/>
  <c r="J100" i="1"/>
  <c r="J101" i="1" a="1"/>
  <c r="J101" i="1" s="1"/>
  <c r="J102" i="1" a="1"/>
  <c r="J102" i="1"/>
  <c r="J103" i="1" a="1"/>
  <c r="J103" i="1" s="1"/>
  <c r="J104" i="1" a="1"/>
  <c r="J104" i="1" s="1"/>
  <c r="J105" i="1" a="1"/>
  <c r="J105" i="1" s="1"/>
  <c r="J106" i="1" a="1"/>
  <c r="J106" i="1"/>
  <c r="J107" i="1" a="1"/>
  <c r="J107" i="1" s="1"/>
  <c r="J108" i="1" a="1"/>
  <c r="J108" i="1"/>
  <c r="J109" i="1" a="1"/>
  <c r="J109" i="1" s="1"/>
  <c r="J110" i="1" a="1"/>
  <c r="J110" i="1"/>
  <c r="J111" i="1" a="1"/>
  <c r="J111" i="1" s="1"/>
  <c r="J58" i="1" a="1"/>
  <c r="J58" i="1" s="1"/>
  <c r="I59" i="1" a="1"/>
  <c r="I59" i="1" s="1"/>
  <c r="I60" i="1" a="1"/>
  <c r="I60" i="1"/>
  <c r="I61" i="1" a="1"/>
  <c r="I61" i="1" s="1"/>
  <c r="I62" i="1" a="1"/>
  <c r="I62" i="1"/>
  <c r="I63" i="1" a="1"/>
  <c r="I63" i="1" s="1"/>
  <c r="I64" i="1" a="1"/>
  <c r="I64" i="1"/>
  <c r="I65" i="1" a="1"/>
  <c r="I65" i="1" s="1"/>
  <c r="I66" i="1" a="1"/>
  <c r="I66" i="1" s="1"/>
  <c r="I67" i="1" a="1"/>
  <c r="I67" i="1" s="1"/>
  <c r="I68" i="1" a="1"/>
  <c r="I68" i="1"/>
  <c r="I69" i="1" a="1"/>
  <c r="I69" i="1" s="1"/>
  <c r="I70" i="1" a="1"/>
  <c r="I70" i="1"/>
  <c r="I71" i="1" a="1"/>
  <c r="I71" i="1" s="1"/>
  <c r="I72" i="1" a="1"/>
  <c r="I72" i="1"/>
  <c r="I73" i="1" a="1"/>
  <c r="I73" i="1" s="1"/>
  <c r="I74" i="1" a="1"/>
  <c r="I74" i="1" s="1"/>
  <c r="I75" i="1" a="1"/>
  <c r="I75" i="1" s="1"/>
  <c r="I76" i="1" a="1"/>
  <c r="I76" i="1"/>
  <c r="I77" i="1" a="1"/>
  <c r="I77" i="1" s="1"/>
  <c r="I78" i="1" a="1"/>
  <c r="I78" i="1"/>
  <c r="I79" i="1" a="1"/>
  <c r="I79" i="1" s="1"/>
  <c r="I80" i="1" a="1"/>
  <c r="I80" i="1"/>
  <c r="I81" i="1" a="1"/>
  <c r="I81" i="1" s="1"/>
  <c r="I82" i="1" a="1"/>
  <c r="I82" i="1" s="1"/>
  <c r="I83" i="1" a="1"/>
  <c r="I83" i="1" s="1"/>
  <c r="I84" i="1" a="1"/>
  <c r="I84" i="1"/>
  <c r="I85" i="1" a="1"/>
  <c r="I85" i="1" s="1"/>
  <c r="I86" i="1" a="1"/>
  <c r="I86" i="1"/>
  <c r="I87" i="1" a="1"/>
  <c r="I87" i="1" s="1"/>
  <c r="I88" i="1" a="1"/>
  <c r="I88" i="1"/>
  <c r="I89" i="1" a="1"/>
  <c r="I89" i="1" s="1"/>
  <c r="I90" i="1" a="1"/>
  <c r="I90" i="1" s="1"/>
  <c r="I91" i="1" a="1"/>
  <c r="I91" i="1" s="1"/>
  <c r="I92" i="1" a="1"/>
  <c r="I92" i="1"/>
  <c r="I93" i="1" a="1"/>
  <c r="I93" i="1" s="1"/>
  <c r="I94" i="1" a="1"/>
  <c r="I94" i="1"/>
  <c r="I95" i="1" a="1"/>
  <c r="I95" i="1" s="1"/>
  <c r="I96" i="1" a="1"/>
  <c r="I96" i="1"/>
  <c r="I97" i="1" a="1"/>
  <c r="I97" i="1" s="1"/>
  <c r="I98" i="1" a="1"/>
  <c r="I98" i="1" s="1"/>
  <c r="I99" i="1" a="1"/>
  <c r="I99" i="1" s="1"/>
  <c r="I100" i="1" a="1"/>
  <c r="I100" i="1"/>
  <c r="I101" i="1" a="1"/>
  <c r="I101" i="1" s="1"/>
  <c r="I102" i="1" a="1"/>
  <c r="I102" i="1"/>
  <c r="I103" i="1" a="1"/>
  <c r="I103" i="1" s="1"/>
  <c r="I104" i="1" a="1"/>
  <c r="I104" i="1"/>
  <c r="I105" i="1" a="1"/>
  <c r="I105" i="1" s="1"/>
  <c r="I106" i="1" a="1"/>
  <c r="I106" i="1" s="1"/>
  <c r="I107" i="1" a="1"/>
  <c r="I107" i="1" s="1"/>
  <c r="I108" i="1" a="1"/>
  <c r="I108" i="1"/>
  <c r="I109" i="1" a="1"/>
  <c r="I109" i="1" s="1"/>
  <c r="I110" i="1" a="1"/>
  <c r="I110" i="1"/>
  <c r="I111" i="1" a="1"/>
  <c r="I111" i="1" s="1"/>
  <c r="I58" i="1" a="1"/>
  <c r="I58" i="1" s="1"/>
  <c r="H59" i="1" a="1"/>
  <c r="H59" i="1" s="1"/>
  <c r="H60" i="1" a="1"/>
  <c r="H60" i="1"/>
  <c r="H61" i="1" a="1"/>
  <c r="H61" i="1" s="1"/>
  <c r="H62" i="1" a="1"/>
  <c r="H62" i="1"/>
  <c r="H63" i="1" a="1"/>
  <c r="H63" i="1" s="1"/>
  <c r="H64" i="1" a="1"/>
  <c r="H64" i="1"/>
  <c r="H65" i="1" a="1"/>
  <c r="H65" i="1" s="1"/>
  <c r="H66" i="1" a="1"/>
  <c r="H66" i="1" s="1"/>
  <c r="H67" i="1" a="1"/>
  <c r="H67" i="1" s="1"/>
  <c r="H68" i="1" a="1"/>
  <c r="H68" i="1"/>
  <c r="H69" i="1" a="1"/>
  <c r="H69" i="1" s="1"/>
  <c r="H70" i="1" a="1"/>
  <c r="H70" i="1"/>
  <c r="H71" i="1" a="1"/>
  <c r="H71" i="1" s="1"/>
  <c r="H72" i="1" a="1"/>
  <c r="H72" i="1"/>
  <c r="H73" i="1" a="1"/>
  <c r="H73" i="1" s="1"/>
  <c r="H74" i="1" a="1"/>
  <c r="H74" i="1" s="1"/>
  <c r="H75" i="1" a="1"/>
  <c r="H75" i="1" s="1"/>
  <c r="H76" i="1" a="1"/>
  <c r="H76" i="1"/>
  <c r="H77" i="1" a="1"/>
  <c r="H77" i="1" s="1"/>
  <c r="H78" i="1" a="1"/>
  <c r="H78" i="1"/>
  <c r="H79" i="1" a="1"/>
  <c r="H79" i="1" s="1"/>
  <c r="H80" i="1" a="1"/>
  <c r="H80" i="1"/>
  <c r="H81" i="1" a="1"/>
  <c r="H81" i="1" s="1"/>
  <c r="H82" i="1" a="1"/>
  <c r="H82" i="1" s="1"/>
  <c r="H83" i="1" a="1"/>
  <c r="H83" i="1" s="1"/>
  <c r="H84" i="1" a="1"/>
  <c r="H84" i="1"/>
  <c r="H85" i="1" a="1"/>
  <c r="H85" i="1" s="1"/>
  <c r="H86" i="1" a="1"/>
  <c r="H86" i="1"/>
  <c r="H87" i="1" a="1"/>
  <c r="H87" i="1" s="1"/>
  <c r="H88" i="1" a="1"/>
  <c r="H88" i="1"/>
  <c r="H89" i="1" a="1"/>
  <c r="H89" i="1" s="1"/>
  <c r="H90" i="1" a="1"/>
  <c r="H90" i="1" s="1"/>
  <c r="H91" i="1" a="1"/>
  <c r="H91" i="1" s="1"/>
  <c r="H92" i="1" a="1"/>
  <c r="H92" i="1"/>
  <c r="H93" i="1" a="1"/>
  <c r="H93" i="1" s="1"/>
  <c r="H94" i="1" a="1"/>
  <c r="H94" i="1"/>
  <c r="H95" i="1" a="1"/>
  <c r="H95" i="1" s="1"/>
  <c r="H96" i="1" a="1"/>
  <c r="H96" i="1"/>
  <c r="H97" i="1" a="1"/>
  <c r="H97" i="1" s="1"/>
  <c r="H98" i="1" a="1"/>
  <c r="H98" i="1" s="1"/>
  <c r="H99" i="1" a="1"/>
  <c r="H99" i="1" s="1"/>
  <c r="H100" i="1" a="1"/>
  <c r="H100" i="1"/>
  <c r="H101" i="1" a="1"/>
  <c r="H101" i="1" s="1"/>
  <c r="H102" i="1" a="1"/>
  <c r="H102" i="1"/>
  <c r="H103" i="1" a="1"/>
  <c r="H103" i="1" s="1"/>
  <c r="H104" i="1" a="1"/>
  <c r="H104" i="1"/>
  <c r="H105" i="1" a="1"/>
  <c r="H105" i="1" s="1"/>
  <c r="H106" i="1" a="1"/>
  <c r="H106" i="1" s="1"/>
  <c r="H107" i="1" a="1"/>
  <c r="H107" i="1" s="1"/>
  <c r="H108" i="1" a="1"/>
  <c r="H108" i="1"/>
  <c r="H109" i="1" a="1"/>
  <c r="H109" i="1" s="1"/>
  <c r="H110" i="1" a="1"/>
  <c r="H110" i="1"/>
  <c r="H111" i="1" a="1"/>
  <c r="H111" i="1" s="1"/>
  <c r="G59" i="1" a="1"/>
  <c r="G59" i="1"/>
  <c r="G60" i="1" a="1"/>
  <c r="G60" i="1"/>
  <c r="G61" i="1" a="1"/>
  <c r="G61" i="1"/>
  <c r="G62" i="1" a="1"/>
  <c r="G62" i="1" s="1"/>
  <c r="G63" i="1" a="1"/>
  <c r="G63" i="1"/>
  <c r="G64" i="1" a="1"/>
  <c r="G64" i="1" s="1"/>
  <c r="G65" i="1" a="1"/>
  <c r="G65" i="1"/>
  <c r="G66" i="1" a="1"/>
  <c r="G66" i="1" s="1"/>
  <c r="G67" i="1" a="1"/>
  <c r="G67" i="1"/>
  <c r="G68" i="1" a="1"/>
  <c r="G68" i="1" s="1"/>
  <c r="G69" i="1" a="1"/>
  <c r="G69" i="1"/>
  <c r="G70" i="1" a="1"/>
  <c r="G70" i="1" s="1"/>
  <c r="G71" i="1" a="1"/>
  <c r="G71" i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58" i="1" a="1"/>
  <c r="G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58" i="1" a="1"/>
  <c r="F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/>
  <c r="E109" i="1" a="1"/>
  <c r="E109" i="1" s="1"/>
  <c r="E110" i="1" a="1"/>
  <c r="E110" i="1"/>
  <c r="E111" i="1" a="1"/>
  <c r="E111" i="1" s="1"/>
  <c r="E58" i="1" a="1"/>
  <c r="E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 s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58" i="1" a="1"/>
  <c r="D58" i="1" s="1"/>
  <c r="H58" i="1" a="1"/>
  <c r="H58" i="1" s="1"/>
  <c r="C79" i="1" a="1"/>
  <c r="C79" i="1"/>
  <c r="C80" i="1" a="1"/>
  <c r="C80" i="1"/>
  <c r="C81" i="1" a="1"/>
  <c r="C81" i="1"/>
  <c r="C82" i="1" a="1"/>
  <c r="C82" i="1"/>
  <c r="C83" i="1" a="1"/>
  <c r="C83" i="1"/>
  <c r="C84" i="1" a="1"/>
  <c r="C84" i="1"/>
  <c r="C85" i="1" a="1"/>
  <c r="C85" i="1"/>
  <c r="C86" i="1" a="1"/>
  <c r="C86" i="1"/>
  <c r="C87" i="1" a="1"/>
  <c r="C87" i="1"/>
  <c r="C88" i="1" a="1"/>
  <c r="C88" i="1"/>
  <c r="C89" i="1" a="1"/>
  <c r="C89" i="1" s="1"/>
  <c r="C90" i="1" a="1"/>
  <c r="C90" i="1" s="1"/>
  <c r="C91" i="1" a="1"/>
  <c r="C91" i="1" s="1"/>
  <c r="C92" i="1" a="1"/>
  <c r="C92" i="1"/>
  <c r="C93" i="1" a="1"/>
  <c r="C93" i="1" s="1"/>
  <c r="C94" i="1" a="1"/>
  <c r="C94" i="1" s="1"/>
  <c r="C95" i="1" a="1"/>
  <c r="C95" i="1" s="1"/>
  <c r="C96" i="1" a="1"/>
  <c r="C96" i="1"/>
  <c r="C97" i="1" a="1"/>
  <c r="C97" i="1" s="1"/>
  <c r="C98" i="1" a="1"/>
  <c r="C98" i="1" s="1"/>
  <c r="C99" i="1" a="1"/>
  <c r="C99" i="1" s="1"/>
  <c r="C100" i="1" a="1"/>
  <c r="C100" i="1"/>
  <c r="C101" i="1" a="1"/>
  <c r="C101" i="1" s="1"/>
  <c r="C102" i="1" a="1"/>
  <c r="C102" i="1"/>
  <c r="C103" i="1" a="1"/>
  <c r="C103" i="1" s="1"/>
  <c r="C104" i="1" a="1"/>
  <c r="C104" i="1"/>
  <c r="C105" i="1" a="1"/>
  <c r="C105" i="1" s="1"/>
  <c r="C106" i="1" a="1"/>
  <c r="C106" i="1" s="1"/>
  <c r="C107" i="1" a="1"/>
  <c r="C107" i="1" s="1"/>
  <c r="C108" i="1" a="1"/>
  <c r="C108" i="1"/>
  <c r="C109" i="1" a="1"/>
  <c r="C109" i="1" s="1"/>
  <c r="C110" i="1" a="1"/>
  <c r="C110" i="1"/>
  <c r="C111" i="1" a="1"/>
  <c r="C111" i="1" s="1"/>
  <c r="C59" i="1" a="1"/>
  <c r="C59" i="1" s="1"/>
  <c r="C60" i="1" a="1"/>
  <c r="C60" i="1" s="1"/>
  <c r="C61" i="1" a="1"/>
  <c r="C61" i="1" s="1"/>
  <c r="C62" i="1" a="1"/>
  <c r="C62" i="1"/>
  <c r="C63" i="1" a="1"/>
  <c r="C63" i="1" s="1"/>
  <c r="C64" i="1" a="1"/>
  <c r="C64" i="1" s="1"/>
  <c r="C65" i="1" a="1"/>
  <c r="C65" i="1" s="1"/>
  <c r="C66" i="1" a="1"/>
  <c r="C66" i="1"/>
  <c r="C67" i="1" a="1"/>
  <c r="C67" i="1" s="1"/>
  <c r="C68" i="1" a="1"/>
  <c r="C68" i="1" s="1"/>
  <c r="C69" i="1" a="1"/>
  <c r="C69" i="1" s="1"/>
  <c r="C70" i="1" a="1"/>
  <c r="C70" i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/>
  <c r="C77" i="1" a="1"/>
  <c r="C77" i="1" s="1"/>
  <c r="C78" i="1" a="1"/>
  <c r="C78" i="1"/>
  <c r="C58" i="1" a="1"/>
  <c r="C5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93BFE-54E7-4CF1-B51D-9D0FFC99F9D2}" keepAlive="1" name="Requête - 20240320EchoCherryPicking_Final" description="Connexion à la requête « 20240320EchoCherryPicking_Final » dans le classeur." type="5" refreshedVersion="7" background="1" saveData="1">
    <dbPr connection="Provider=Microsoft.Mashup.OleDb.1;Data Source=$Workbook$;Location=20240320EchoCherryPicking_Final;Extended Properties=&quot;&quot;" command="SELECT * FROM [20240320EchoCherryPicking_Final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<sst xmlns="http://schemas.openxmlformats.org/spreadsheetml/2006/main" count="10025" uniqueCount="254">
  <si>
    <t>Destination_Plate_Type</t>
  </si>
  <si>
    <t>Destination_Plate_Barcode</t>
  </si>
  <si>
    <t>Sample_name</t>
  </si>
  <si>
    <t>Destination_Well</t>
  </si>
  <si>
    <t>Transfer_Volume</t>
  </si>
  <si>
    <t>Source_Well</t>
  </si>
  <si>
    <t>Source_Plate_Name</t>
  </si>
  <si>
    <t>Source_Plate_Type</t>
  </si>
  <si>
    <t>Column1</t>
  </si>
  <si>
    <t>Greiner384_black_PS_Fbottom_781906</t>
  </si>
  <si>
    <t>destination1</t>
  </si>
  <si>
    <t>water well</t>
  </si>
  <si>
    <t>A1</t>
  </si>
  <si>
    <t>G3</t>
  </si>
  <si>
    <t>source1</t>
  </si>
  <si>
    <t>384PP_Plus_AQ_BP</t>
  </si>
  <si>
    <t/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</si>
  <si>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</si>
  <si>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</si>
  <si>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</si>
  <si>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</si>
  <si>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</si>
  <si>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</si>
  <si>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</si>
  <si>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</si>
  <si>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</si>
  <si>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</si>
  <si>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</si>
  <si>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</si>
  <si>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</si>
  <si>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</si>
  <si>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</si>
  <si>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</si>
  <si>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</si>
  <si>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</si>
  <si>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</si>
  <si>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</si>
  <si>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</si>
  <si>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</si>
  <si>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</si>
  <si>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</si>
  <si>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</si>
  <si>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</si>
  <si>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A9</t>
  </si>
  <si>
    <t>G4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</si>
  <si>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</si>
  <si>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</si>
  <si>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</si>
  <si>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</si>
  <si>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</si>
  <si>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</si>
  <si>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</si>
  <si>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</si>
  <si>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</si>
  <si>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</si>
  <si>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</si>
  <si>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</si>
  <si>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</si>
  <si>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</si>
  <si>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</si>
  <si>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</si>
  <si>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</si>
  <si>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</si>
  <si>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</si>
  <si>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</si>
  <si>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</si>
  <si>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</si>
  <si>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</si>
  <si>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</si>
  <si>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</si>
  <si>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</si>
  <si>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hepes well</t>
  </si>
  <si>
    <t>k-glut well</t>
  </si>
  <si>
    <t>384PP_Plus_AQ_GP</t>
  </si>
  <si>
    <t>mg-acet well</t>
  </si>
  <si>
    <t>384PP_Plus_AQ_SP</t>
  </si>
  <si>
    <t>gsh well</t>
  </si>
  <si>
    <t>spermidine well</t>
  </si>
  <si>
    <t>fthf well</t>
  </si>
  <si>
    <t>cp well</t>
  </si>
  <si>
    <t>E3</t>
  </si>
  <si>
    <t>384PP_Plus_AQ_GPSB</t>
  </si>
  <si>
    <t>aa1 well</t>
  </si>
  <si>
    <t>B3</t>
  </si>
  <si>
    <t>B4</t>
  </si>
  <si>
    <t>aa2 well</t>
  </si>
  <si>
    <t>aa3 well</t>
  </si>
  <si>
    <t>atp-gtp well</t>
  </si>
  <si>
    <t>Greiner384_black_PS_Fbottom_781907</t>
  </si>
  <si>
    <t>Greiner384_black_PS_Fbottom_781908</t>
  </si>
  <si>
    <t>Greiner384_black_PS_Fbottom_781909</t>
  </si>
  <si>
    <t>Greiner384_black_PS_Fbottom_781910</t>
  </si>
  <si>
    <t>Greiner384_black_PS_Fbottom_781911</t>
  </si>
  <si>
    <t>Greiner384_black_PS_Fbottom_781912</t>
  </si>
  <si>
    <t>Greiner384_black_PS_Fbottom_781913</t>
  </si>
  <si>
    <t>Greiner384_black_PS_Fbottom_781914</t>
  </si>
  <si>
    <t>ctp-utp well</t>
  </si>
  <si>
    <t>A3</t>
  </si>
  <si>
    <t>Greiner384_black_PS_Fbottom_781915</t>
  </si>
  <si>
    <t>Greiner384_black_PS_Fbottom_781916</t>
  </si>
  <si>
    <t>Greiner384_black_PS_Fbottom_781917</t>
  </si>
  <si>
    <t>Greiner384_black_PS_Fbottom_781918</t>
  </si>
  <si>
    <t>Greiner384_black_PS_Fbottom_781919</t>
  </si>
  <si>
    <t>Greiner384_black_PS_Fbottom_781920</t>
  </si>
  <si>
    <t>Greiner384_black_PS_Fbottom_781921</t>
  </si>
  <si>
    <t>Greiner384_black_PS_Fbottom_781922</t>
  </si>
  <si>
    <t>Greiner384_black_PS_Fbottom_781923</t>
  </si>
  <si>
    <t>Greiner384_black_PS_Fbottom_781924</t>
  </si>
  <si>
    <t>Greiner384_black_PS_Fbottom_781925</t>
  </si>
  <si>
    <t>Greiner384_black_PS_Fbottom_781926</t>
  </si>
  <si>
    <t>Greiner384_black_PS_Fbottom_781927</t>
  </si>
  <si>
    <t>Greiner384_black_PS_Fbottom_781928</t>
  </si>
  <si>
    <t>Greiner384_black_PS_Fbottom_781929</t>
  </si>
  <si>
    <t>Greiner384_black_PS_Fbottom_781930</t>
  </si>
  <si>
    <t>Greiner384_black_PS_Fbottom_781931</t>
  </si>
  <si>
    <t>Greiner384_black_PS_Fbottom_781932</t>
  </si>
  <si>
    <t>Greiner384_black_PS_Fbottom_781933</t>
  </si>
  <si>
    <t>Greiner384_black_PS_Fbottom_781934</t>
  </si>
  <si>
    <t>Greiner384_black_PS_Fbottom_781935</t>
  </si>
  <si>
    <t>Greiner384_black_PS_Fbottom_781936</t>
  </si>
  <si>
    <t>Greiner384_black_PS_Fbottom_781937</t>
  </si>
  <si>
    <t>Greiner384_black_PS_Fbottom_781938</t>
  </si>
  <si>
    <t>Greiner384_black_PS_Fbottom_781939</t>
  </si>
  <si>
    <t>Greiner384_black_PS_Fbottom_781940</t>
  </si>
  <si>
    <t>Greiner384_black_PS_Fbottom_781941</t>
  </si>
  <si>
    <t>Greiner384_black_PS_Fbottom_781942</t>
  </si>
  <si>
    <t>Greiner384_black_PS_Fbottom_781943</t>
  </si>
  <si>
    <t>Greiner384_black_PS_Fbottom_781944</t>
  </si>
  <si>
    <t>Greiner384_black_PS_Fbottom_781945</t>
  </si>
  <si>
    <t>Greiner384_black_PS_Fbottom_781946</t>
  </si>
  <si>
    <t>Greiner384_black_PS_Fbottom_781947</t>
  </si>
  <si>
    <t>Greiner384_black_PS_Fbottom_781948</t>
  </si>
  <si>
    <t>Greiner384_black_PS_Fbottom_781949</t>
  </si>
  <si>
    <t>Greiner384_black_PS_Fbottom_781950</t>
  </si>
  <si>
    <t>Greiner384_black_PS_Fbottom_781951</t>
  </si>
  <si>
    <t>Greiner384_black_PS_Fbottom_781952</t>
  </si>
  <si>
    <t>Greiner384_black_PS_Fbottom_781953</t>
  </si>
  <si>
    <t>Greiner384_black_PS_Fbottom_781954</t>
  </si>
  <si>
    <t>Greiner384_black_PS_Fbottom_781955</t>
  </si>
  <si>
    <t>Greiner384_black_PS_Fbottom_781956</t>
  </si>
  <si>
    <t>Greiner384_black_PS_Fbottom_781957</t>
  </si>
  <si>
    <t>Greiner384_black_PS_Fbottom_781958</t>
  </si>
  <si>
    <t>Greiner384_black_PS_Fbottom_781959</t>
  </si>
  <si>
    <t>Greiner384_black_PS_Fbottom_781960</t>
  </si>
  <si>
    <t>Greiner384_black_PS_Fbottom_781961</t>
  </si>
  <si>
    <t>Greiner384_black_PS_Fbottom_781962</t>
  </si>
  <si>
    <t>Greiner384_black_PS_Fbottom_781963</t>
  </si>
  <si>
    <t>Greiner384_black_PS_Fbottom_781964</t>
  </si>
  <si>
    <t>Greiner384_black_PS_Fbottom_781965</t>
  </si>
  <si>
    <t>Greiner384_black_PS_Fbottom_781966</t>
  </si>
  <si>
    <t>Greiner384_black_PS_Fbottom_781967</t>
  </si>
  <si>
    <t>Greiner384_black_PS_Fbottom_781968</t>
  </si>
  <si>
    <t>tRNA well</t>
  </si>
  <si>
    <t>Greiner384_black_PS_Fbottom_781969</t>
  </si>
  <si>
    <t>Greiner384_black_PS_Fbottom_781970</t>
  </si>
  <si>
    <t>Greiner384_black_PS_Fbottom_781971</t>
  </si>
  <si>
    <t>Greiner384_black_PS_Fbottom_781972</t>
  </si>
  <si>
    <t>Greiner384_black_PS_Fbottom_781973</t>
  </si>
  <si>
    <t>Greiner384_black_PS_Fbottom_781974</t>
  </si>
  <si>
    <t>Greiner384_black_PS_Fbottom_781975</t>
  </si>
  <si>
    <t>Greiner384_black_PS_Fbottom_781976</t>
  </si>
  <si>
    <t>Greiner384_black_PS_Fbottom_781977</t>
  </si>
  <si>
    <t>Greiner384_black_PS_Fbottom_781978</t>
  </si>
  <si>
    <t>Greiner384_black_PS_Fbottom_781979</t>
  </si>
  <si>
    <t>Greiner384_black_PS_Fbottom_781980</t>
  </si>
  <si>
    <t>Greiner384_black_PS_Fbottom_781981</t>
  </si>
  <si>
    <t>Greiner384_black_PS_Fbottom_781982</t>
  </si>
  <si>
    <t>Greiner384_black_PS_Fbottom_781983</t>
  </si>
  <si>
    <t>Greiner384_black_PS_Fbottom_781984</t>
  </si>
  <si>
    <t>Greiner384_black_PS_Fbottom_781985</t>
  </si>
  <si>
    <t>Greiner384_black_PS_Fbottom_781986</t>
  </si>
  <si>
    <t>Greiner384_black_PS_Fbottom_781987</t>
  </si>
  <si>
    <t>Greiner384_black_PS_Fbottom_781988</t>
  </si>
  <si>
    <t>Greiner384_black_PS_Fbottom_781989</t>
  </si>
  <si>
    <t>Greiner384_black_PS_Fbottom_781990</t>
  </si>
  <si>
    <t>Greiner384_black_PS_Fbottom_781991</t>
  </si>
  <si>
    <t>Greiner384_black_PS_Fbottom_781992</t>
  </si>
  <si>
    <t>Greiner384_black_PS_Fbottom_781993</t>
  </si>
  <si>
    <t>Greiner384_black_PS_Fbottom_781994</t>
  </si>
  <si>
    <t>Greiner384_black_PS_Fbottom_781995</t>
  </si>
  <si>
    <t>Greiner384_black_PS_Fbottom_781996</t>
  </si>
  <si>
    <t>Greiner384_black_PS_Fbottom_781997</t>
  </si>
  <si>
    <t>Greiner384_black_PS_Fbottom_781998</t>
  </si>
  <si>
    <t>Greiner384_black_PS_Fbottom_781999</t>
  </si>
  <si>
    <t>Greiner384_black_PS_Fbottom_782000</t>
  </si>
  <si>
    <t>Greiner384_black_PS_Fbottom_782001</t>
  </si>
  <si>
    <t>Greiner384_black_PS_Fbottom_782002</t>
  </si>
  <si>
    <t>Greiner384_black_PS_Fbottom_782003</t>
  </si>
  <si>
    <t>Greiner384_black_PS_Fbottom_782004</t>
  </si>
  <si>
    <t>Greiner384_black_PS_Fbottom_782005</t>
  </si>
  <si>
    <t>Greiner384_black_PS_Fbottom_782006</t>
  </si>
  <si>
    <t>Greiner384_black_PS_Fbottom_782007</t>
  </si>
  <si>
    <t>Greiner384_black_PS_Fbottom_782008</t>
  </si>
  <si>
    <t>Greiner384_black_PS_Fbottom_782009</t>
  </si>
  <si>
    <t>Greiner384_black_PS_Fbottom_782010</t>
  </si>
  <si>
    <t>Greiner384_black_PS_Fbottom_782011</t>
  </si>
  <si>
    <t>Greiner384_black_PS_Fbottom_782012</t>
  </si>
  <si>
    <t>Greiner384_black_PS_Fbottom_782013</t>
  </si>
  <si>
    <t>Greiner384_black_PS_Fbottom_782014</t>
  </si>
  <si>
    <t>Greiner384_black_PS_Fbottom_782015</t>
  </si>
  <si>
    <t>Greiner384_black_PS_Fbottom_782016</t>
  </si>
  <si>
    <t>Greiner384_black_PS_Fbottom_782017</t>
  </si>
  <si>
    <t>Greiner384_black_PS_Fbottom_782018</t>
  </si>
  <si>
    <t>Greiner384_black_PS_Fbottom_782019</t>
  </si>
  <si>
    <t>Greiner384_black_PS_Fbottom_782020</t>
  </si>
  <si>
    <t>Greiner384_black_PS_Fbottom_782021</t>
  </si>
  <si>
    <t>Greiner384_black_PS_Fbottom_782022</t>
  </si>
  <si>
    <t>aaRS-mtf well</t>
  </si>
  <si>
    <t>384PP_Plus_AQ_GPSA</t>
  </si>
  <si>
    <t>Greiner384_black_PS_Fbottom_782023</t>
  </si>
  <si>
    <t>Greiner384_black_PS_Fbottom_782024</t>
  </si>
  <si>
    <t>Greiner384_black_PS_Fbottom_782025</t>
  </si>
  <si>
    <t>Greiner384_black_PS_Fbottom_782026</t>
  </si>
  <si>
    <t>Greiner384_black_PS_Fbottom_782027</t>
  </si>
  <si>
    <t>Greiner384_black_PS_Fbottom_782028</t>
  </si>
  <si>
    <t>Greiner384_black_PS_Fbottom_782029</t>
  </si>
  <si>
    <t>Greiner384_black_PS_Fbottom_782030</t>
  </si>
  <si>
    <t>Greiner384_black_PS_Fbottom_782031</t>
  </si>
  <si>
    <t>Greiner384_black_PS_Fbottom_782032</t>
  </si>
  <si>
    <t>Greiner384_black_PS_Fbottom_782033</t>
  </si>
  <si>
    <t>Greiner384_black_PS_Fbottom_782034</t>
  </si>
  <si>
    <t>Greiner384_black_PS_Fbottom_782035</t>
  </si>
  <si>
    <t>Greiner384_black_PS_Fbottom_782036</t>
  </si>
  <si>
    <t>Greiner384_black_PS_Fbottom_782037</t>
  </si>
  <si>
    <t>Greiner384_black_PS_Fbottom_782038</t>
  </si>
  <si>
    <t>Greiner384_black_PS_Fbottom_782039</t>
  </si>
  <si>
    <t>Greiner384_black_PS_Fbottom_782040</t>
  </si>
  <si>
    <t>Greiner384_black_PS_Fbottom_782041</t>
  </si>
  <si>
    <t>Greiner384_black_PS_Fbottom_782042</t>
  </si>
  <si>
    <t>Greiner384_black_PS_Fbottom_782043</t>
  </si>
  <si>
    <t>Greiner384_black_PS_Fbottom_782044</t>
  </si>
  <si>
    <t>Greiner384_black_PS_Fbottom_782045</t>
  </si>
  <si>
    <t>Greiner384_black_PS_Fbottom_782046</t>
  </si>
  <si>
    <t>Greiner384_black_PS_Fbottom_782047</t>
  </si>
  <si>
    <t>Greiner384_black_PS_Fbottom_782048</t>
  </si>
  <si>
    <t>Greiner384_black_PS_Fbottom_782049</t>
  </si>
  <si>
    <t>Greiner384_black_PS_Fbottom_782050</t>
  </si>
  <si>
    <t>Greiner384_black_PS_Fbottom_782051</t>
  </si>
  <si>
    <t>Greiner384_black_PS_Fbottom_782052</t>
  </si>
  <si>
    <t>IFs well</t>
  </si>
  <si>
    <t>EFs well</t>
  </si>
  <si>
    <t>RFs well</t>
  </si>
  <si>
    <t>t7pol well</t>
  </si>
  <si>
    <t>F3</t>
  </si>
  <si>
    <t>ndk-mk-ck-ppiase well</t>
  </si>
  <si>
    <t>factors well</t>
  </si>
  <si>
    <t>ribosomes well</t>
  </si>
  <si>
    <t>DNA well</t>
  </si>
  <si>
    <t>Wells</t>
  </si>
  <si>
    <t>Water</t>
  </si>
  <si>
    <t>hepes</t>
  </si>
  <si>
    <t>k-glut</t>
  </si>
  <si>
    <t>REF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</si>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</sst>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3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B3FEF35-F388-4EB7-A739-F87C826C6C88}" autoFormatId="16" applyNumberFormats="0" applyBorderFormats="0" applyFontFormats="0" applyPatternFormats="0" applyAlignmentFormats="0" applyWidthHeightFormats="0">
  <queryTableRefresh nextId="10">
    <queryTableFields count="9">
      <queryTableField id="1" name="Destination_Plate_Type" tableColumnId="1"/>
      <queryTableField id="2" name="Destination_Plate_Barcode" tableColumnId="2"/>
      <queryTableField id="3" name="Sample_name" tableColumnId="3"/>
      <queryTableField id="4" name="Destination_Well" tableColumnId="4"/>
      <queryTableField id="5" name="Transfer_Volume" tableColumnId="5"/>
      <queryTableField id="6" name="Source_Well" tableColumnId="6"/>
      <queryTableField id="7" name="Source_Plate_Name" tableColumnId="7"/>
      <queryTableField id="8" name="Source_Plate_Type" tableColumnId="8"/>
      <queryTableField id="9" name="Column1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B840F0-785D-4570-85A3-732ECC0A05E4}" name="_20240320EchoCherryPicking_Final" displayName="_20240320EchoCherryPicking_Final" ref="A1:I1243" tableType="queryTable" totalsRowShown="0">
  <autoFilter ref="A1:I1243" xr:uid="{99B840F0-785D-4570-85A3-732ECC0A05E4}"/>
  <tableColumns count="9">
    <tableColumn id="1" xr3:uid="{44F8DA79-CA41-4F99-9984-30597C96EA82}" uniqueName="1" name="Destination_Plate_Type" queryTableFieldId="1" dataDxfId="7"/>
    <tableColumn id="2" xr3:uid="{43DA399A-3BD3-45D3-8DF5-B8C14C810A75}" uniqueName="2" name="Destination_Plate_Barcode" queryTableFieldId="2" dataDxfId="6"/>
    <tableColumn id="3" xr3:uid="{8B43EF88-3654-4C50-9BAD-DEEC34219347}" uniqueName="3" name="Sample_name" queryTableFieldId="3" dataDxfId="5"/>
    <tableColumn id="4" xr3:uid="{2A3A1880-A5EC-40F6-B2C2-24339C8E430D}" uniqueName="4" name="Destination_Well" queryTableFieldId="4" dataDxfId="4"/>
    <tableColumn id="5" xr3:uid="{E05B6051-5DBD-4264-9A3F-C22B6438BF63}" uniqueName="5" name="Transfer_Volume" queryTableFieldId="5"/>
    <tableColumn id="6" xr3:uid="{5BCEF096-8F5B-43DB-8122-079CAA860ABF}" uniqueName="6" name="Source_Well" queryTableFieldId="6" dataDxfId="3"/>
    <tableColumn id="7" xr3:uid="{79F17B0F-1485-4761-B11A-1E5CA9DD35FB}" uniqueName="7" name="Source_Plate_Name" queryTableFieldId="7" dataDxfId="2"/>
    <tableColumn id="8" xr3:uid="{D4D19E09-149B-4B41-834B-A5FA4940545D}" uniqueName="8" name="Source_Plate_Type" queryTableFieldId="8" dataDxfId="1"/>
    <tableColumn id="9" xr3:uid="{3D4DE60F-4277-481F-A6E3-D0E4A82054B5}" uniqueName="9" name="Column1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5098-8110-4AC6-BEA0-310C0ED75896}">
  <dimension ref="A1:I1243"/>
  <sheetViews>
    <sheetView topLeftCell="B1216" workbookViewId="0">
      <selection activeCell="E1247" sqref="E1247"/>
    </sheetView>
  </sheetViews>
  <sheetFormatPr baseColWidth="10" defaultRowHeight="15" x14ac:dyDescent="0.25"/>
  <cols>
    <col min="1" max="1" width="35.5703125" bestFit="1" customWidth="1"/>
    <col min="2" max="2" width="27.5703125" bestFit="1" customWidth="1"/>
    <col min="3" max="3" width="21.42578125" bestFit="1" customWidth="1"/>
    <col min="4" max="4" width="19" bestFit="1" customWidth="1"/>
    <col min="5" max="5" width="18.7109375" bestFit="1" customWidth="1"/>
    <col min="6" max="6" width="14.5703125" bestFit="1" customWidth="1"/>
    <col min="7" max="7" width="21.28515625" bestFit="1" customWidth="1"/>
    <col min="8" max="8" width="20.5703125" bestFit="1" customWidth="1"/>
    <col min="9" max="9" width="1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>
        <v>475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17</v>
      </c>
      <c r="E3">
        <v>850</v>
      </c>
      <c r="F3" s="1" t="s">
        <v>13</v>
      </c>
      <c r="G3" s="1" t="s">
        <v>14</v>
      </c>
      <c r="H3" s="1" t="s">
        <v>15</v>
      </c>
      <c r="I3" s="1" t="s">
        <v>16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18</v>
      </c>
      <c r="E4">
        <v>2550</v>
      </c>
      <c r="F4" s="1" t="s">
        <v>13</v>
      </c>
      <c r="G4" s="1" t="s">
        <v>14</v>
      </c>
      <c r="H4" s="1" t="s">
        <v>15</v>
      </c>
      <c r="I4" s="1" t="s">
        <v>16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19</v>
      </c>
      <c r="E5">
        <v>200</v>
      </c>
      <c r="F5" s="1" t="s">
        <v>13</v>
      </c>
      <c r="G5" s="1" t="s">
        <v>14</v>
      </c>
      <c r="H5" s="1" t="s">
        <v>15</v>
      </c>
      <c r="I5" s="1" t="s">
        <v>16</v>
      </c>
    </row>
    <row r="6" spans="1:9" x14ac:dyDescent="0.25">
      <c r="A6" s="1" t="s">
        <v>9</v>
      </c>
      <c r="B6" s="1" t="s">
        <v>10</v>
      </c>
      <c r="C6" s="1" t="s">
        <v>11</v>
      </c>
      <c r="D6" s="1" t="s">
        <v>20</v>
      </c>
      <c r="E6">
        <v>700</v>
      </c>
      <c r="F6" s="1" t="s">
        <v>13</v>
      </c>
      <c r="G6" s="1" t="s">
        <v>14</v>
      </c>
      <c r="H6" s="1" t="s">
        <v>15</v>
      </c>
      <c r="I6" s="1" t="s">
        <v>16</v>
      </c>
    </row>
    <row r="7" spans="1:9" x14ac:dyDescent="0.25">
      <c r="A7" s="1" t="s">
        <v>9</v>
      </c>
      <c r="B7" s="1" t="s">
        <v>10</v>
      </c>
      <c r="C7" s="1" t="s">
        <v>11</v>
      </c>
      <c r="D7" s="1" t="s">
        <v>21</v>
      </c>
      <c r="E7">
        <v>700</v>
      </c>
      <c r="F7" s="1" t="s">
        <v>13</v>
      </c>
      <c r="G7" s="1" t="s">
        <v>14</v>
      </c>
      <c r="H7" s="1" t="s">
        <v>15</v>
      </c>
      <c r="I7" s="1" t="s">
        <v>16</v>
      </c>
    </row>
    <row r="8" spans="1:9" x14ac:dyDescent="0.25">
      <c r="A8" s="1" t="s">
        <v>9</v>
      </c>
      <c r="B8" s="1" t="s">
        <v>10</v>
      </c>
      <c r="C8" s="1" t="s">
        <v>11</v>
      </c>
      <c r="D8" s="1" t="s">
        <v>22</v>
      </c>
      <c r="E8">
        <v>325</v>
      </c>
      <c r="F8" s="1" t="s">
        <v>13</v>
      </c>
      <c r="G8" s="1" t="s">
        <v>14</v>
      </c>
      <c r="H8" s="1" t="s">
        <v>15</v>
      </c>
      <c r="I8" s="1" t="s">
        <v>16</v>
      </c>
    </row>
    <row r="9" spans="1:9" x14ac:dyDescent="0.25">
      <c r="A9" s="1" t="s">
        <v>9</v>
      </c>
      <c r="B9" s="1" t="s">
        <v>10</v>
      </c>
      <c r="C9" s="1" t="s">
        <v>11</v>
      </c>
      <c r="D9" s="1" t="s">
        <v>23</v>
      </c>
      <c r="E9">
        <v>250</v>
      </c>
      <c r="F9" s="1" t="s">
        <v>13</v>
      </c>
      <c r="G9" s="1" t="s">
        <v>14</v>
      </c>
      <c r="H9" s="1" t="s">
        <v>15</v>
      </c>
      <c r="I9" s="1" t="s">
        <v>16</v>
      </c>
    </row>
    <row r="10" spans="1:9" x14ac:dyDescent="0.25">
      <c r="A10" s="1" t="s">
        <v>9</v>
      </c>
      <c r="B10" s="1" t="s">
        <v>10</v>
      </c>
      <c r="C10" s="1" t="s">
        <v>11</v>
      </c>
      <c r="D10" s="1" t="s">
        <v>24</v>
      </c>
      <c r="E10">
        <v>250</v>
      </c>
      <c r="F10" s="1" t="s">
        <v>13</v>
      </c>
      <c r="G10" s="1" t="s">
        <v>14</v>
      </c>
      <c r="H10" s="1" t="s">
        <v>15</v>
      </c>
      <c r="I10" s="1" t="s">
        <v>16</v>
      </c>
    </row>
    <row r="11" spans="1:9" x14ac:dyDescent="0.25">
      <c r="A11" s="1" t="s">
        <v>9</v>
      </c>
      <c r="B11" s="1" t="s">
        <v>10</v>
      </c>
      <c r="C11" s="1" t="s">
        <v>11</v>
      </c>
      <c r="D11" s="1" t="s">
        <v>25</v>
      </c>
      <c r="E11">
        <v>1100</v>
      </c>
      <c r="F11" s="1" t="s">
        <v>13</v>
      </c>
      <c r="G11" s="1" t="s">
        <v>14</v>
      </c>
      <c r="H11" s="1" t="s">
        <v>15</v>
      </c>
      <c r="I11" s="1" t="s">
        <v>16</v>
      </c>
    </row>
    <row r="12" spans="1:9" x14ac:dyDescent="0.25">
      <c r="A12" s="1" t="s">
        <v>9</v>
      </c>
      <c r="B12" s="1" t="s">
        <v>10</v>
      </c>
      <c r="C12" s="1" t="s">
        <v>11</v>
      </c>
      <c r="D12" s="1" t="s">
        <v>26</v>
      </c>
      <c r="E12">
        <v>1275</v>
      </c>
      <c r="F12" s="1" t="s">
        <v>13</v>
      </c>
      <c r="G12" s="1" t="s">
        <v>14</v>
      </c>
      <c r="H12" s="1" t="s">
        <v>15</v>
      </c>
      <c r="I12" s="1" t="s">
        <v>16</v>
      </c>
    </row>
    <row r="13" spans="1:9" x14ac:dyDescent="0.25">
      <c r="A13" s="1" t="s">
        <v>9</v>
      </c>
      <c r="B13" s="1" t="s">
        <v>10</v>
      </c>
      <c r="C13" s="1" t="s">
        <v>11</v>
      </c>
      <c r="D13" s="1" t="s">
        <v>27</v>
      </c>
      <c r="E13">
        <v>125</v>
      </c>
      <c r="F13" s="1" t="s">
        <v>13</v>
      </c>
      <c r="G13" s="1" t="s">
        <v>14</v>
      </c>
      <c r="H13" s="1" t="s">
        <v>15</v>
      </c>
      <c r="I13" s="1" t="s">
        <v>16</v>
      </c>
    </row>
    <row r="14" spans="1:9" x14ac:dyDescent="0.25">
      <c r="A14" s="1" t="s">
        <v>9</v>
      </c>
      <c r="B14" s="1" t="s">
        <v>10</v>
      </c>
      <c r="C14" s="1" t="s">
        <v>11</v>
      </c>
      <c r="D14" s="1" t="s">
        <v>28</v>
      </c>
      <c r="E14">
        <v>350</v>
      </c>
      <c r="F14" s="1" t="s">
        <v>13</v>
      </c>
      <c r="G14" s="1" t="s">
        <v>14</v>
      </c>
      <c r="H14" s="1" t="s">
        <v>15</v>
      </c>
      <c r="I14" s="1" t="s">
        <v>16</v>
      </c>
    </row>
    <row r="15" spans="1:9" x14ac:dyDescent="0.25">
      <c r="A15" s="1" t="s">
        <v>9</v>
      </c>
      <c r="B15" s="1" t="s">
        <v>10</v>
      </c>
      <c r="C15" s="1" t="s">
        <v>11</v>
      </c>
      <c r="D15" s="1" t="s">
        <v>29</v>
      </c>
      <c r="E15">
        <v>300</v>
      </c>
      <c r="F15" s="1" t="s">
        <v>13</v>
      </c>
      <c r="G15" s="1" t="s">
        <v>14</v>
      </c>
      <c r="H15" s="1" t="s">
        <v>15</v>
      </c>
      <c r="I15" s="1" t="s">
        <v>16</v>
      </c>
    </row>
    <row r="16" spans="1:9" x14ac:dyDescent="0.25">
      <c r="A16" s="1" t="s">
        <v>9</v>
      </c>
      <c r="B16" s="1" t="s">
        <v>10</v>
      </c>
      <c r="C16" s="1" t="s">
        <v>11</v>
      </c>
      <c r="D16" s="1" t="s">
        <v>30</v>
      </c>
      <c r="E16">
        <v>900</v>
      </c>
      <c r="F16" s="1" t="s">
        <v>13</v>
      </c>
      <c r="G16" s="1" t="s">
        <v>14</v>
      </c>
      <c r="H16" s="1" t="s">
        <v>15</v>
      </c>
      <c r="I16" s="1" t="s">
        <v>16</v>
      </c>
    </row>
    <row r="17" spans="1:9" x14ac:dyDescent="0.25">
      <c r="A17" s="1" t="s">
        <v>9</v>
      </c>
      <c r="B17" s="1" t="s">
        <v>10</v>
      </c>
      <c r="C17" s="1" t="s">
        <v>11</v>
      </c>
      <c r="D17" s="1" t="s">
        <v>31</v>
      </c>
      <c r="E17">
        <v>575</v>
      </c>
      <c r="F17" s="1" t="s">
        <v>13</v>
      </c>
      <c r="G17" s="1" t="s">
        <v>14</v>
      </c>
      <c r="H17" s="1" t="s">
        <v>15</v>
      </c>
      <c r="I17" s="1" t="s">
        <v>16</v>
      </c>
    </row>
    <row r="18" spans="1:9" x14ac:dyDescent="0.25">
      <c r="A18" s="1" t="s">
        <v>9</v>
      </c>
      <c r="B18" s="1" t="s">
        <v>10</v>
      </c>
      <c r="C18" s="1" t="s">
        <v>11</v>
      </c>
      <c r="D18" s="1" t="s">
        <v>32</v>
      </c>
      <c r="E18">
        <v>1900</v>
      </c>
      <c r="F18" s="1" t="s">
        <v>13</v>
      </c>
      <c r="G18" s="1" t="s">
        <v>14</v>
      </c>
      <c r="H18" s="1" t="s">
        <v>15</v>
      </c>
      <c r="I18" s="1" t="s">
        <v>16</v>
      </c>
    </row>
    <row r="19" spans="1:9" x14ac:dyDescent="0.25">
      <c r="A19" s="1" t="s">
        <v>9</v>
      </c>
      <c r="B19" s="1" t="s">
        <v>10</v>
      </c>
      <c r="C19" s="1" t="s">
        <v>11</v>
      </c>
      <c r="D19" s="1" t="s">
        <v>33</v>
      </c>
      <c r="E19">
        <v>1350</v>
      </c>
      <c r="F19" s="1" t="s">
        <v>13</v>
      </c>
      <c r="G19" s="1" t="s">
        <v>14</v>
      </c>
      <c r="H19" s="1" t="s">
        <v>15</v>
      </c>
      <c r="I19" s="1" t="s">
        <v>16</v>
      </c>
    </row>
    <row r="20" spans="1:9" x14ac:dyDescent="0.25">
      <c r="A20" s="1" t="s">
        <v>9</v>
      </c>
      <c r="B20" s="1" t="s">
        <v>10</v>
      </c>
      <c r="C20" s="1" t="s">
        <v>11</v>
      </c>
      <c r="D20" s="1" t="s">
        <v>34</v>
      </c>
      <c r="E20">
        <v>600</v>
      </c>
      <c r="F20" s="1" t="s">
        <v>13</v>
      </c>
      <c r="G20" s="1" t="s">
        <v>14</v>
      </c>
      <c r="H20" s="1" t="s">
        <v>15</v>
      </c>
      <c r="I20" s="1" t="s">
        <v>16</v>
      </c>
    </row>
    <row r="21" spans="1:9" x14ac:dyDescent="0.25">
      <c r="A21" s="1" t="s">
        <v>9</v>
      </c>
      <c r="B21" s="1" t="s">
        <v>10</v>
      </c>
      <c r="C21" s="1" t="s">
        <v>11</v>
      </c>
      <c r="D21" s="1" t="s">
        <v>35</v>
      </c>
      <c r="E21">
        <v>1225</v>
      </c>
      <c r="F21" s="1" t="s">
        <v>13</v>
      </c>
      <c r="G21" s="1" t="s">
        <v>14</v>
      </c>
      <c r="H21" s="1" t="s">
        <v>15</v>
      </c>
      <c r="I21" s="1" t="s">
        <v>16</v>
      </c>
    </row>
    <row r="22" spans="1:9" x14ac:dyDescent="0.25">
      <c r="A22" s="1" t="s">
        <v>9</v>
      </c>
      <c r="B22" s="1" t="s">
        <v>10</v>
      </c>
      <c r="C22" s="1" t="s">
        <v>11</v>
      </c>
      <c r="D22" s="1" t="s">
        <v>36</v>
      </c>
      <c r="E22">
        <v>500</v>
      </c>
      <c r="F22" s="1" t="s">
        <v>13</v>
      </c>
      <c r="G22" s="1" t="s">
        <v>14</v>
      </c>
      <c r="H22" s="1" t="s">
        <v>15</v>
      </c>
      <c r="I22" s="1" t="s">
        <v>16</v>
      </c>
    </row>
    <row r="23" spans="1:9" x14ac:dyDescent="0.25">
      <c r="A23" s="1" t="s">
        <v>9</v>
      </c>
      <c r="B23" s="1" t="s">
        <v>10</v>
      </c>
      <c r="C23" s="1" t="s">
        <v>11</v>
      </c>
      <c r="D23" s="1" t="s">
        <v>37</v>
      </c>
      <c r="E23">
        <v>150</v>
      </c>
      <c r="F23" s="1" t="s">
        <v>13</v>
      </c>
      <c r="G23" s="1" t="s">
        <v>14</v>
      </c>
      <c r="H23" s="1" t="s">
        <v>15</v>
      </c>
      <c r="I23" s="1" t="s">
        <v>16</v>
      </c>
    </row>
    <row r="24" spans="1:9" x14ac:dyDescent="0.25">
      <c r="A24" s="1" t="s">
        <v>9</v>
      </c>
      <c r="B24" s="1" t="s">
        <v>10</v>
      </c>
      <c r="C24" s="1" t="s">
        <v>11</v>
      </c>
      <c r="D24" s="1" t="s">
        <v>38</v>
      </c>
      <c r="E24">
        <v>1150</v>
      </c>
      <c r="F24" s="1" t="s">
        <v>13</v>
      </c>
      <c r="G24" s="1" t="s">
        <v>14</v>
      </c>
      <c r="H24" s="1" t="s">
        <v>15</v>
      </c>
      <c r="I24" s="1" t="s">
        <v>16</v>
      </c>
    </row>
    <row r="25" spans="1:9" x14ac:dyDescent="0.25">
      <c r="A25" s="1" t="s">
        <v>9</v>
      </c>
      <c r="B25" s="1" t="s">
        <v>10</v>
      </c>
      <c r="C25" s="1" t="s">
        <v>11</v>
      </c>
      <c r="D25" s="1" t="s">
        <v>39</v>
      </c>
      <c r="E25">
        <v>1100</v>
      </c>
      <c r="F25" s="1" t="s">
        <v>13</v>
      </c>
      <c r="G25" s="1" t="s">
        <v>14</v>
      </c>
      <c r="H25" s="1" t="s">
        <v>15</v>
      </c>
      <c r="I25" s="1" t="s">
        <v>16</v>
      </c>
    </row>
    <row r="26" spans="1:9" x14ac:dyDescent="0.25">
      <c r="A26" s="1" t="s">
        <v>9</v>
      </c>
      <c r="B26" s="1" t="s">
        <v>10</v>
      </c>
      <c r="C26" s="1" t="s">
        <v>11</v>
      </c>
      <c r="D26" s="1" t="s">
        <v>40</v>
      </c>
      <c r="E26">
        <v>1625</v>
      </c>
      <c r="F26" s="1" t="s">
        <v>13</v>
      </c>
      <c r="G26" s="1" t="s">
        <v>14</v>
      </c>
      <c r="H26" s="1" t="s">
        <v>15</v>
      </c>
      <c r="I26" s="1" t="s">
        <v>16</v>
      </c>
    </row>
    <row r="27" spans="1:9" x14ac:dyDescent="0.25">
      <c r="A27" s="1" t="s">
        <v>9</v>
      </c>
      <c r="B27" s="1" t="s">
        <v>10</v>
      </c>
      <c r="C27" s="1" t="s">
        <v>11</v>
      </c>
      <c r="D27" s="1" t="s">
        <v>41</v>
      </c>
      <c r="E27">
        <v>1175</v>
      </c>
      <c r="F27" s="1" t="s">
        <v>13</v>
      </c>
      <c r="G27" s="1" t="s">
        <v>14</v>
      </c>
      <c r="H27" s="1" t="s">
        <v>15</v>
      </c>
      <c r="I27" s="1" t="s">
        <v>16</v>
      </c>
    </row>
    <row r="28" spans="1:9" x14ac:dyDescent="0.25">
      <c r="A28" s="1" t="s">
        <v>9</v>
      </c>
      <c r="B28" s="1" t="s">
        <v>10</v>
      </c>
      <c r="C28" s="1" t="s">
        <v>11</v>
      </c>
      <c r="D28" s="1" t="s">
        <v>42</v>
      </c>
      <c r="E28">
        <v>1225</v>
      </c>
      <c r="F28" s="1" t="s">
        <v>13</v>
      </c>
      <c r="G28" s="1" t="s">
        <v>14</v>
      </c>
      <c r="H28" s="1" t="s">
        <v>15</v>
      </c>
      <c r="I28" s="1" t="s">
        <v>16</v>
      </c>
    </row>
    <row r="29" spans="1:9" x14ac:dyDescent="0.25">
      <c r="A29" s="1" t="s">
        <v>9</v>
      </c>
      <c r="B29" s="1" t="s">
        <v>10</v>
      </c>
      <c r="C29" s="1" t="s">
        <v>11</v>
      </c>
      <c r="D29" s="1" t="s">
        <v>43</v>
      </c>
      <c r="E29">
        <v>475</v>
      </c>
      <c r="F29" s="1" t="s">
        <v>44</v>
      </c>
      <c r="G29" s="1" t="s">
        <v>14</v>
      </c>
      <c r="H29" s="1" t="s">
        <v>15</v>
      </c>
      <c r="I29" s="1" t="s">
        <v>16</v>
      </c>
    </row>
    <row r="30" spans="1:9" x14ac:dyDescent="0.25">
      <c r="A30" s="1" t="s">
        <v>9</v>
      </c>
      <c r="B30" s="1" t="s">
        <v>10</v>
      </c>
      <c r="C30" s="1" t="s">
        <v>11</v>
      </c>
      <c r="D30" s="1" t="s">
        <v>45</v>
      </c>
      <c r="E30">
        <v>850</v>
      </c>
      <c r="F30" s="1" t="s">
        <v>44</v>
      </c>
      <c r="G30" s="1" t="s">
        <v>14</v>
      </c>
      <c r="H30" s="1" t="s">
        <v>15</v>
      </c>
      <c r="I30" s="1" t="s">
        <v>16</v>
      </c>
    </row>
    <row r="31" spans="1:9" x14ac:dyDescent="0.25">
      <c r="A31" s="1" t="s">
        <v>9</v>
      </c>
      <c r="B31" s="1" t="s">
        <v>10</v>
      </c>
      <c r="C31" s="1" t="s">
        <v>11</v>
      </c>
      <c r="D31" s="1" t="s">
        <v>46</v>
      </c>
      <c r="E31">
        <v>2550</v>
      </c>
      <c r="F31" s="1" t="s">
        <v>44</v>
      </c>
      <c r="G31" s="1" t="s">
        <v>14</v>
      </c>
      <c r="H31" s="1" t="s">
        <v>15</v>
      </c>
      <c r="I31" s="1" t="s">
        <v>16</v>
      </c>
    </row>
    <row r="32" spans="1:9" x14ac:dyDescent="0.25">
      <c r="A32" s="1" t="s">
        <v>9</v>
      </c>
      <c r="B32" s="1" t="s">
        <v>10</v>
      </c>
      <c r="C32" s="1" t="s">
        <v>11</v>
      </c>
      <c r="D32" s="1" t="s">
        <v>47</v>
      </c>
      <c r="E32">
        <v>200</v>
      </c>
      <c r="F32" s="1" t="s">
        <v>44</v>
      </c>
      <c r="G32" s="1" t="s">
        <v>14</v>
      </c>
      <c r="H32" s="1" t="s">
        <v>15</v>
      </c>
      <c r="I32" s="1" t="s">
        <v>16</v>
      </c>
    </row>
    <row r="33" spans="1:9" x14ac:dyDescent="0.25">
      <c r="A33" s="1" t="s">
        <v>9</v>
      </c>
      <c r="B33" s="1" t="s">
        <v>10</v>
      </c>
      <c r="C33" s="1" t="s">
        <v>11</v>
      </c>
      <c r="D33" s="1" t="s">
        <v>48</v>
      </c>
      <c r="E33">
        <v>700</v>
      </c>
      <c r="F33" s="1" t="s">
        <v>44</v>
      </c>
      <c r="G33" s="1" t="s">
        <v>14</v>
      </c>
      <c r="H33" s="1" t="s">
        <v>15</v>
      </c>
      <c r="I33" s="1" t="s">
        <v>16</v>
      </c>
    </row>
    <row r="34" spans="1:9" x14ac:dyDescent="0.25">
      <c r="A34" s="1" t="s">
        <v>9</v>
      </c>
      <c r="B34" s="1" t="s">
        <v>10</v>
      </c>
      <c r="C34" s="1" t="s">
        <v>11</v>
      </c>
      <c r="D34" s="1" t="s">
        <v>49</v>
      </c>
      <c r="E34">
        <v>700</v>
      </c>
      <c r="F34" s="1" t="s">
        <v>44</v>
      </c>
      <c r="G34" s="1" t="s">
        <v>14</v>
      </c>
      <c r="H34" s="1" t="s">
        <v>15</v>
      </c>
      <c r="I34" s="1" t="s">
        <v>16</v>
      </c>
    </row>
    <row r="35" spans="1:9" x14ac:dyDescent="0.25">
      <c r="A35" s="1" t="s">
        <v>9</v>
      </c>
      <c r="B35" s="1" t="s">
        <v>10</v>
      </c>
      <c r="C35" s="1" t="s">
        <v>11</v>
      </c>
      <c r="D35" s="1" t="s">
        <v>50</v>
      </c>
      <c r="E35">
        <v>325</v>
      </c>
      <c r="F35" s="1" t="s">
        <v>44</v>
      </c>
      <c r="G35" s="1" t="s">
        <v>14</v>
      </c>
      <c r="H35" s="1" t="s">
        <v>15</v>
      </c>
      <c r="I35" s="1" t="s">
        <v>16</v>
      </c>
    </row>
    <row r="36" spans="1:9" x14ac:dyDescent="0.25">
      <c r="A36" s="1" t="s">
        <v>9</v>
      </c>
      <c r="B36" s="1" t="s">
        <v>10</v>
      </c>
      <c r="C36" s="1" t="s">
        <v>11</v>
      </c>
      <c r="D36" s="1" t="s">
        <v>51</v>
      </c>
      <c r="E36">
        <v>250</v>
      </c>
      <c r="F36" s="1" t="s">
        <v>44</v>
      </c>
      <c r="G36" s="1" t="s">
        <v>14</v>
      </c>
      <c r="H36" s="1" t="s">
        <v>15</v>
      </c>
      <c r="I36" s="1" t="s">
        <v>16</v>
      </c>
    </row>
    <row r="37" spans="1:9" x14ac:dyDescent="0.25">
      <c r="A37" s="1" t="s">
        <v>9</v>
      </c>
      <c r="B37" s="1" t="s">
        <v>10</v>
      </c>
      <c r="C37" s="1" t="s">
        <v>11</v>
      </c>
      <c r="D37" s="1" t="s">
        <v>52</v>
      </c>
      <c r="E37">
        <v>250</v>
      </c>
      <c r="F37" s="1" t="s">
        <v>44</v>
      </c>
      <c r="G37" s="1" t="s">
        <v>14</v>
      </c>
      <c r="H37" s="1" t="s">
        <v>15</v>
      </c>
      <c r="I37" s="1" t="s">
        <v>16</v>
      </c>
    </row>
    <row r="38" spans="1:9" x14ac:dyDescent="0.25">
      <c r="A38" s="1" t="s">
        <v>9</v>
      </c>
      <c r="B38" s="1" t="s">
        <v>10</v>
      </c>
      <c r="C38" s="1" t="s">
        <v>11</v>
      </c>
      <c r="D38" s="1" t="s">
        <v>53</v>
      </c>
      <c r="E38">
        <v>1100</v>
      </c>
      <c r="F38" s="1" t="s">
        <v>44</v>
      </c>
      <c r="G38" s="1" t="s">
        <v>14</v>
      </c>
      <c r="H38" s="1" t="s">
        <v>15</v>
      </c>
      <c r="I38" s="1" t="s">
        <v>16</v>
      </c>
    </row>
    <row r="39" spans="1:9" x14ac:dyDescent="0.25">
      <c r="A39" s="1" t="s">
        <v>9</v>
      </c>
      <c r="B39" s="1" t="s">
        <v>10</v>
      </c>
      <c r="C39" s="1" t="s">
        <v>11</v>
      </c>
      <c r="D39" s="1" t="s">
        <v>54</v>
      </c>
      <c r="E39">
        <v>1275</v>
      </c>
      <c r="F39" s="1" t="s">
        <v>44</v>
      </c>
      <c r="G39" s="1" t="s">
        <v>14</v>
      </c>
      <c r="H39" s="1" t="s">
        <v>15</v>
      </c>
      <c r="I39" s="1" t="s">
        <v>16</v>
      </c>
    </row>
    <row r="40" spans="1:9" x14ac:dyDescent="0.25">
      <c r="A40" s="1" t="s">
        <v>9</v>
      </c>
      <c r="B40" s="1" t="s">
        <v>10</v>
      </c>
      <c r="C40" s="1" t="s">
        <v>11</v>
      </c>
      <c r="D40" s="1" t="s">
        <v>55</v>
      </c>
      <c r="E40">
        <v>125</v>
      </c>
      <c r="F40" s="1" t="s">
        <v>44</v>
      </c>
      <c r="G40" s="1" t="s">
        <v>14</v>
      </c>
      <c r="H40" s="1" t="s">
        <v>15</v>
      </c>
      <c r="I40" s="1" t="s">
        <v>16</v>
      </c>
    </row>
    <row r="41" spans="1:9" x14ac:dyDescent="0.25">
      <c r="A41" s="1" t="s">
        <v>9</v>
      </c>
      <c r="B41" s="1" t="s">
        <v>10</v>
      </c>
      <c r="C41" s="1" t="s">
        <v>11</v>
      </c>
      <c r="D41" s="1" t="s">
        <v>56</v>
      </c>
      <c r="E41">
        <v>350</v>
      </c>
      <c r="F41" s="1" t="s">
        <v>44</v>
      </c>
      <c r="G41" s="1" t="s">
        <v>14</v>
      </c>
      <c r="H41" s="1" t="s">
        <v>15</v>
      </c>
      <c r="I41" s="1" t="s">
        <v>16</v>
      </c>
    </row>
    <row r="42" spans="1:9" x14ac:dyDescent="0.25">
      <c r="A42" s="1" t="s">
        <v>9</v>
      </c>
      <c r="B42" s="1" t="s">
        <v>10</v>
      </c>
      <c r="C42" s="1" t="s">
        <v>11</v>
      </c>
      <c r="D42" s="1" t="s">
        <v>57</v>
      </c>
      <c r="E42">
        <v>300</v>
      </c>
      <c r="F42" s="1" t="s">
        <v>44</v>
      </c>
      <c r="G42" s="1" t="s">
        <v>14</v>
      </c>
      <c r="H42" s="1" t="s">
        <v>15</v>
      </c>
      <c r="I42" s="1" t="s">
        <v>16</v>
      </c>
    </row>
    <row r="43" spans="1:9" x14ac:dyDescent="0.25">
      <c r="A43" s="1" t="s">
        <v>9</v>
      </c>
      <c r="B43" s="1" t="s">
        <v>10</v>
      </c>
      <c r="C43" s="1" t="s">
        <v>11</v>
      </c>
      <c r="D43" s="1" t="s">
        <v>58</v>
      </c>
      <c r="E43">
        <v>900</v>
      </c>
      <c r="F43" s="1" t="s">
        <v>44</v>
      </c>
      <c r="G43" s="1" t="s">
        <v>14</v>
      </c>
      <c r="H43" s="1" t="s">
        <v>15</v>
      </c>
      <c r="I43" s="1" t="s">
        <v>16</v>
      </c>
    </row>
    <row r="44" spans="1:9" x14ac:dyDescent="0.25">
      <c r="A44" s="1" t="s">
        <v>9</v>
      </c>
      <c r="B44" s="1" t="s">
        <v>10</v>
      </c>
      <c r="C44" s="1" t="s">
        <v>11</v>
      </c>
      <c r="D44" s="1" t="s">
        <v>59</v>
      </c>
      <c r="E44">
        <v>575</v>
      </c>
      <c r="F44" s="1" t="s">
        <v>44</v>
      </c>
      <c r="G44" s="1" t="s">
        <v>14</v>
      </c>
      <c r="H44" s="1" t="s">
        <v>15</v>
      </c>
      <c r="I44" s="1" t="s">
        <v>16</v>
      </c>
    </row>
    <row r="45" spans="1:9" x14ac:dyDescent="0.25">
      <c r="A45" s="1" t="s">
        <v>9</v>
      </c>
      <c r="B45" s="1" t="s">
        <v>10</v>
      </c>
      <c r="C45" s="1" t="s">
        <v>11</v>
      </c>
      <c r="D45" s="1" t="s">
        <v>60</v>
      </c>
      <c r="E45">
        <v>1900</v>
      </c>
      <c r="F45" s="1" t="s">
        <v>44</v>
      </c>
      <c r="G45" s="1" t="s">
        <v>14</v>
      </c>
      <c r="H45" s="1" t="s">
        <v>15</v>
      </c>
      <c r="I45" s="1" t="s">
        <v>16</v>
      </c>
    </row>
    <row r="46" spans="1:9" x14ac:dyDescent="0.25">
      <c r="A46" s="1" t="s">
        <v>9</v>
      </c>
      <c r="B46" s="1" t="s">
        <v>10</v>
      </c>
      <c r="C46" s="1" t="s">
        <v>11</v>
      </c>
      <c r="D46" s="1" t="s">
        <v>61</v>
      </c>
      <c r="E46">
        <v>1350</v>
      </c>
      <c r="F46" s="1" t="s">
        <v>44</v>
      </c>
      <c r="G46" s="1" t="s">
        <v>14</v>
      </c>
      <c r="H46" s="1" t="s">
        <v>15</v>
      </c>
      <c r="I46" s="1" t="s">
        <v>16</v>
      </c>
    </row>
    <row r="47" spans="1:9" x14ac:dyDescent="0.25">
      <c r="A47" s="1" t="s">
        <v>9</v>
      </c>
      <c r="B47" s="1" t="s">
        <v>10</v>
      </c>
      <c r="C47" s="1" t="s">
        <v>11</v>
      </c>
      <c r="D47" s="1" t="s">
        <v>62</v>
      </c>
      <c r="E47">
        <v>600</v>
      </c>
      <c r="F47" s="1" t="s">
        <v>44</v>
      </c>
      <c r="G47" s="1" t="s">
        <v>14</v>
      </c>
      <c r="H47" s="1" t="s">
        <v>15</v>
      </c>
      <c r="I47" s="1" t="s">
        <v>16</v>
      </c>
    </row>
    <row r="48" spans="1:9" x14ac:dyDescent="0.25">
      <c r="A48" s="1" t="s">
        <v>9</v>
      </c>
      <c r="B48" s="1" t="s">
        <v>10</v>
      </c>
      <c r="C48" s="1" t="s">
        <v>11</v>
      </c>
      <c r="D48" s="1" t="s">
        <v>63</v>
      </c>
      <c r="E48">
        <v>1225</v>
      </c>
      <c r="F48" s="1" t="s">
        <v>44</v>
      </c>
      <c r="G48" s="1" t="s">
        <v>14</v>
      </c>
      <c r="H48" s="1" t="s">
        <v>15</v>
      </c>
      <c r="I48" s="1" t="s">
        <v>16</v>
      </c>
    </row>
    <row r="49" spans="1:9" x14ac:dyDescent="0.25">
      <c r="A49" s="1" t="s">
        <v>9</v>
      </c>
      <c r="B49" s="1" t="s">
        <v>10</v>
      </c>
      <c r="C49" s="1" t="s">
        <v>11</v>
      </c>
      <c r="D49" s="1" t="s">
        <v>64</v>
      </c>
      <c r="E49">
        <v>500</v>
      </c>
      <c r="F49" s="1" t="s">
        <v>44</v>
      </c>
      <c r="G49" s="1" t="s">
        <v>14</v>
      </c>
      <c r="H49" s="1" t="s">
        <v>15</v>
      </c>
      <c r="I49" s="1" t="s">
        <v>16</v>
      </c>
    </row>
    <row r="50" spans="1:9" x14ac:dyDescent="0.25">
      <c r="A50" s="1" t="s">
        <v>9</v>
      </c>
      <c r="B50" s="1" t="s">
        <v>10</v>
      </c>
      <c r="C50" s="1" t="s">
        <v>11</v>
      </c>
      <c r="D50" s="1" t="s">
        <v>65</v>
      </c>
      <c r="E50">
        <v>150</v>
      </c>
      <c r="F50" s="1" t="s">
        <v>44</v>
      </c>
      <c r="G50" s="1" t="s">
        <v>14</v>
      </c>
      <c r="H50" s="1" t="s">
        <v>15</v>
      </c>
      <c r="I50" s="1" t="s">
        <v>16</v>
      </c>
    </row>
    <row r="51" spans="1:9" x14ac:dyDescent="0.25">
      <c r="A51" s="1" t="s">
        <v>9</v>
      </c>
      <c r="B51" s="1" t="s">
        <v>10</v>
      </c>
      <c r="C51" s="1" t="s">
        <v>11</v>
      </c>
      <c r="D51" s="1" t="s">
        <v>66</v>
      </c>
      <c r="E51">
        <v>1150</v>
      </c>
      <c r="F51" s="1" t="s">
        <v>44</v>
      </c>
      <c r="G51" s="1" t="s">
        <v>14</v>
      </c>
      <c r="H51" s="1" t="s">
        <v>15</v>
      </c>
      <c r="I51" s="1" t="s">
        <v>16</v>
      </c>
    </row>
    <row r="52" spans="1:9" x14ac:dyDescent="0.25">
      <c r="A52" s="1" t="s">
        <v>9</v>
      </c>
      <c r="B52" s="1" t="s">
        <v>10</v>
      </c>
      <c r="C52" s="1" t="s">
        <v>11</v>
      </c>
      <c r="D52" s="1" t="s">
        <v>67</v>
      </c>
      <c r="E52">
        <v>1100</v>
      </c>
      <c r="F52" s="1" t="s">
        <v>44</v>
      </c>
      <c r="G52" s="1" t="s">
        <v>14</v>
      </c>
      <c r="H52" s="1" t="s">
        <v>15</v>
      </c>
      <c r="I52" s="1" t="s">
        <v>16</v>
      </c>
    </row>
    <row r="53" spans="1:9" x14ac:dyDescent="0.25">
      <c r="A53" s="1" t="s">
        <v>9</v>
      </c>
      <c r="B53" s="1" t="s">
        <v>10</v>
      </c>
      <c r="C53" s="1" t="s">
        <v>11</v>
      </c>
      <c r="D53" s="1" t="s">
        <v>68</v>
      </c>
      <c r="E53">
        <v>1625</v>
      </c>
      <c r="F53" s="1" t="s">
        <v>44</v>
      </c>
      <c r="G53" s="1" t="s">
        <v>14</v>
      </c>
      <c r="H53" s="1" t="s">
        <v>15</v>
      </c>
      <c r="I53" s="1" t="s">
        <v>16</v>
      </c>
    </row>
    <row r="54" spans="1:9" x14ac:dyDescent="0.25">
      <c r="A54" s="1" t="s">
        <v>9</v>
      </c>
      <c r="B54" s="1" t="s">
        <v>10</v>
      </c>
      <c r="C54" s="1" t="s">
        <v>11</v>
      </c>
      <c r="D54" s="1" t="s">
        <v>69</v>
      </c>
      <c r="E54">
        <v>1175</v>
      </c>
      <c r="F54" s="1" t="s">
        <v>44</v>
      </c>
      <c r="G54" s="1" t="s">
        <v>14</v>
      </c>
      <c r="H54" s="1" t="s">
        <v>15</v>
      </c>
      <c r="I54" s="1" t="s">
        <v>16</v>
      </c>
    </row>
    <row r="55" spans="1:9" x14ac:dyDescent="0.25">
      <c r="A55" s="1" t="s">
        <v>9</v>
      </c>
      <c r="B55" s="1" t="s">
        <v>10</v>
      </c>
      <c r="C55" s="1" t="s">
        <v>11</v>
      </c>
      <c r="D55" s="1" t="s">
        <v>70</v>
      </c>
      <c r="E55">
        <v>1225</v>
      </c>
      <c r="F55" s="1" t="s">
        <v>44</v>
      </c>
      <c r="G55" s="1" t="s">
        <v>14</v>
      </c>
      <c r="H55" s="1" t="s">
        <v>15</v>
      </c>
      <c r="I55" s="1" t="s">
        <v>16</v>
      </c>
    </row>
    <row r="56" spans="1:9" x14ac:dyDescent="0.25">
      <c r="A56" s="1" t="s">
        <v>9</v>
      </c>
      <c r="B56" s="1" t="s">
        <v>10</v>
      </c>
      <c r="C56" s="1" t="s">
        <v>71</v>
      </c>
      <c r="D56" s="1" t="s">
        <v>12</v>
      </c>
      <c r="E56">
        <v>325</v>
      </c>
      <c r="F56" s="1" t="s">
        <v>38</v>
      </c>
      <c r="G56" s="1" t="s">
        <v>14</v>
      </c>
      <c r="H56" s="1" t="s">
        <v>15</v>
      </c>
      <c r="I56" s="1" t="s">
        <v>16</v>
      </c>
    </row>
    <row r="57" spans="1:9" x14ac:dyDescent="0.25">
      <c r="A57" s="1" t="s">
        <v>9</v>
      </c>
      <c r="B57" s="1" t="s">
        <v>10</v>
      </c>
      <c r="C57" s="1" t="s">
        <v>71</v>
      </c>
      <c r="D57" s="1" t="s">
        <v>17</v>
      </c>
      <c r="E57">
        <v>650</v>
      </c>
      <c r="F57" s="1" t="s">
        <v>38</v>
      </c>
      <c r="G57" s="1" t="s">
        <v>14</v>
      </c>
      <c r="H57" s="1" t="s">
        <v>15</v>
      </c>
      <c r="I57" s="1" t="s">
        <v>16</v>
      </c>
    </row>
    <row r="58" spans="1:9" x14ac:dyDescent="0.25">
      <c r="A58" s="1" t="s">
        <v>9</v>
      </c>
      <c r="B58" s="1" t="s">
        <v>10</v>
      </c>
      <c r="C58" s="1" t="s">
        <v>71</v>
      </c>
      <c r="D58" s="1" t="s">
        <v>18</v>
      </c>
      <c r="E58">
        <v>175</v>
      </c>
      <c r="F58" s="1" t="s">
        <v>38</v>
      </c>
      <c r="G58" s="1" t="s">
        <v>14</v>
      </c>
      <c r="H58" s="1" t="s">
        <v>15</v>
      </c>
      <c r="I58" s="1" t="s">
        <v>16</v>
      </c>
    </row>
    <row r="59" spans="1:9" x14ac:dyDescent="0.25">
      <c r="A59" s="1" t="s">
        <v>9</v>
      </c>
      <c r="B59" s="1" t="s">
        <v>10</v>
      </c>
      <c r="C59" s="1" t="s">
        <v>71</v>
      </c>
      <c r="D59" s="1" t="s">
        <v>19</v>
      </c>
      <c r="E59">
        <v>175</v>
      </c>
      <c r="F59" s="1" t="s">
        <v>38</v>
      </c>
      <c r="G59" s="1" t="s">
        <v>14</v>
      </c>
      <c r="H59" s="1" t="s">
        <v>15</v>
      </c>
      <c r="I59" s="1" t="s">
        <v>16</v>
      </c>
    </row>
    <row r="60" spans="1:9" x14ac:dyDescent="0.25">
      <c r="A60" s="1" t="s">
        <v>9</v>
      </c>
      <c r="B60" s="1" t="s">
        <v>10</v>
      </c>
      <c r="C60" s="1" t="s">
        <v>71</v>
      </c>
      <c r="D60" s="1" t="s">
        <v>20</v>
      </c>
      <c r="E60">
        <v>175</v>
      </c>
      <c r="F60" s="1" t="s">
        <v>38</v>
      </c>
      <c r="G60" s="1" t="s">
        <v>14</v>
      </c>
      <c r="H60" s="1" t="s">
        <v>15</v>
      </c>
      <c r="I60" s="1" t="s">
        <v>16</v>
      </c>
    </row>
    <row r="61" spans="1:9" x14ac:dyDescent="0.25">
      <c r="A61" s="1" t="s">
        <v>9</v>
      </c>
      <c r="B61" s="1" t="s">
        <v>10</v>
      </c>
      <c r="C61" s="1" t="s">
        <v>71</v>
      </c>
      <c r="D61" s="1" t="s">
        <v>21</v>
      </c>
      <c r="E61">
        <v>325</v>
      </c>
      <c r="F61" s="1" t="s">
        <v>38</v>
      </c>
      <c r="G61" s="1" t="s">
        <v>14</v>
      </c>
      <c r="H61" s="1" t="s">
        <v>15</v>
      </c>
      <c r="I61" s="1" t="s">
        <v>16</v>
      </c>
    </row>
    <row r="62" spans="1:9" x14ac:dyDescent="0.25">
      <c r="A62" s="1" t="s">
        <v>9</v>
      </c>
      <c r="B62" s="1" t="s">
        <v>10</v>
      </c>
      <c r="C62" s="1" t="s">
        <v>71</v>
      </c>
      <c r="D62" s="1" t="s">
        <v>22</v>
      </c>
      <c r="E62">
        <v>175</v>
      </c>
      <c r="F62" s="1" t="s">
        <v>38</v>
      </c>
      <c r="G62" s="1" t="s">
        <v>14</v>
      </c>
      <c r="H62" s="1" t="s">
        <v>15</v>
      </c>
      <c r="I62" s="1" t="s">
        <v>16</v>
      </c>
    </row>
    <row r="63" spans="1:9" x14ac:dyDescent="0.25">
      <c r="A63" s="1" t="s">
        <v>9</v>
      </c>
      <c r="B63" s="1" t="s">
        <v>10</v>
      </c>
      <c r="C63" s="1" t="s">
        <v>71</v>
      </c>
      <c r="D63" s="1" t="s">
        <v>23</v>
      </c>
      <c r="E63">
        <v>325</v>
      </c>
      <c r="F63" s="1" t="s">
        <v>38</v>
      </c>
      <c r="G63" s="1" t="s">
        <v>14</v>
      </c>
      <c r="H63" s="1" t="s">
        <v>15</v>
      </c>
      <c r="I63" s="1" t="s">
        <v>16</v>
      </c>
    </row>
    <row r="64" spans="1:9" x14ac:dyDescent="0.25">
      <c r="A64" s="1" t="s">
        <v>9</v>
      </c>
      <c r="B64" s="1" t="s">
        <v>10</v>
      </c>
      <c r="C64" s="1" t="s">
        <v>71</v>
      </c>
      <c r="D64" s="1" t="s">
        <v>24</v>
      </c>
      <c r="E64">
        <v>175</v>
      </c>
      <c r="F64" s="1" t="s">
        <v>38</v>
      </c>
      <c r="G64" s="1" t="s">
        <v>14</v>
      </c>
      <c r="H64" s="1" t="s">
        <v>15</v>
      </c>
      <c r="I64" s="1" t="s">
        <v>16</v>
      </c>
    </row>
    <row r="65" spans="1:9" x14ac:dyDescent="0.25">
      <c r="A65" s="1" t="s">
        <v>9</v>
      </c>
      <c r="B65" s="1" t="s">
        <v>10</v>
      </c>
      <c r="C65" s="1" t="s">
        <v>71</v>
      </c>
      <c r="D65" s="1" t="s">
        <v>25</v>
      </c>
      <c r="E65">
        <v>175</v>
      </c>
      <c r="F65" s="1" t="s">
        <v>38</v>
      </c>
      <c r="G65" s="1" t="s">
        <v>14</v>
      </c>
      <c r="H65" s="1" t="s">
        <v>15</v>
      </c>
      <c r="I65" s="1" t="s">
        <v>16</v>
      </c>
    </row>
    <row r="66" spans="1:9" x14ac:dyDescent="0.25">
      <c r="A66" s="1" t="s">
        <v>9</v>
      </c>
      <c r="B66" s="1" t="s">
        <v>10</v>
      </c>
      <c r="C66" s="1" t="s">
        <v>71</v>
      </c>
      <c r="D66" s="1" t="s">
        <v>26</v>
      </c>
      <c r="E66">
        <v>650</v>
      </c>
      <c r="F66" s="1" t="s">
        <v>38</v>
      </c>
      <c r="G66" s="1" t="s">
        <v>14</v>
      </c>
      <c r="H66" s="1" t="s">
        <v>15</v>
      </c>
      <c r="I66" s="1" t="s">
        <v>16</v>
      </c>
    </row>
    <row r="67" spans="1:9" x14ac:dyDescent="0.25">
      <c r="A67" s="1" t="s">
        <v>9</v>
      </c>
      <c r="B67" s="1" t="s">
        <v>10</v>
      </c>
      <c r="C67" s="1" t="s">
        <v>71</v>
      </c>
      <c r="D67" s="1" t="s">
        <v>27</v>
      </c>
      <c r="E67">
        <v>650</v>
      </c>
      <c r="F67" s="1" t="s">
        <v>38</v>
      </c>
      <c r="G67" s="1" t="s">
        <v>14</v>
      </c>
      <c r="H67" s="1" t="s">
        <v>15</v>
      </c>
      <c r="I67" s="1" t="s">
        <v>16</v>
      </c>
    </row>
    <row r="68" spans="1:9" x14ac:dyDescent="0.25">
      <c r="A68" s="1" t="s">
        <v>9</v>
      </c>
      <c r="B68" s="1" t="s">
        <v>10</v>
      </c>
      <c r="C68" s="1" t="s">
        <v>71</v>
      </c>
      <c r="D68" s="1" t="s">
        <v>28</v>
      </c>
      <c r="E68">
        <v>175</v>
      </c>
      <c r="F68" s="1" t="s">
        <v>38</v>
      </c>
      <c r="G68" s="1" t="s">
        <v>14</v>
      </c>
      <c r="H68" s="1" t="s">
        <v>15</v>
      </c>
      <c r="I68" s="1" t="s">
        <v>16</v>
      </c>
    </row>
    <row r="69" spans="1:9" x14ac:dyDescent="0.25">
      <c r="A69" s="1" t="s">
        <v>9</v>
      </c>
      <c r="B69" s="1" t="s">
        <v>10</v>
      </c>
      <c r="C69" s="1" t="s">
        <v>71</v>
      </c>
      <c r="D69" s="1" t="s">
        <v>29</v>
      </c>
      <c r="E69">
        <v>175</v>
      </c>
      <c r="F69" s="1" t="s">
        <v>38</v>
      </c>
      <c r="G69" s="1" t="s">
        <v>14</v>
      </c>
      <c r="H69" s="1" t="s">
        <v>15</v>
      </c>
      <c r="I69" s="1" t="s">
        <v>16</v>
      </c>
    </row>
    <row r="70" spans="1:9" x14ac:dyDescent="0.25">
      <c r="A70" s="1" t="s">
        <v>9</v>
      </c>
      <c r="B70" s="1" t="s">
        <v>10</v>
      </c>
      <c r="C70" s="1" t="s">
        <v>71</v>
      </c>
      <c r="D70" s="1" t="s">
        <v>30</v>
      </c>
      <c r="E70">
        <v>175</v>
      </c>
      <c r="F70" s="1" t="s">
        <v>38</v>
      </c>
      <c r="G70" s="1" t="s">
        <v>14</v>
      </c>
      <c r="H70" s="1" t="s">
        <v>15</v>
      </c>
      <c r="I70" s="1" t="s">
        <v>16</v>
      </c>
    </row>
    <row r="71" spans="1:9" x14ac:dyDescent="0.25">
      <c r="A71" s="1" t="s">
        <v>9</v>
      </c>
      <c r="B71" s="1" t="s">
        <v>10</v>
      </c>
      <c r="C71" s="1" t="s">
        <v>71</v>
      </c>
      <c r="D71" s="1" t="s">
        <v>31</v>
      </c>
      <c r="E71">
        <v>325</v>
      </c>
      <c r="F71" s="1" t="s">
        <v>38</v>
      </c>
      <c r="G71" s="1" t="s">
        <v>14</v>
      </c>
      <c r="H71" s="1" t="s">
        <v>15</v>
      </c>
      <c r="I71" s="1" t="s">
        <v>16</v>
      </c>
    </row>
    <row r="72" spans="1:9" x14ac:dyDescent="0.25">
      <c r="A72" s="1" t="s">
        <v>9</v>
      </c>
      <c r="B72" s="1" t="s">
        <v>10</v>
      </c>
      <c r="C72" s="1" t="s">
        <v>71</v>
      </c>
      <c r="D72" s="1" t="s">
        <v>32</v>
      </c>
      <c r="E72">
        <v>175</v>
      </c>
      <c r="F72" s="1" t="s">
        <v>38</v>
      </c>
      <c r="G72" s="1" t="s">
        <v>14</v>
      </c>
      <c r="H72" s="1" t="s">
        <v>15</v>
      </c>
      <c r="I72" s="1" t="s">
        <v>16</v>
      </c>
    </row>
    <row r="73" spans="1:9" x14ac:dyDescent="0.25">
      <c r="A73" s="1" t="s">
        <v>9</v>
      </c>
      <c r="B73" s="1" t="s">
        <v>10</v>
      </c>
      <c r="C73" s="1" t="s">
        <v>71</v>
      </c>
      <c r="D73" s="1" t="s">
        <v>33</v>
      </c>
      <c r="E73">
        <v>325</v>
      </c>
      <c r="F73" s="1" t="s">
        <v>38</v>
      </c>
      <c r="G73" s="1" t="s">
        <v>14</v>
      </c>
      <c r="H73" s="1" t="s">
        <v>15</v>
      </c>
      <c r="I73" s="1" t="s">
        <v>16</v>
      </c>
    </row>
    <row r="74" spans="1:9" x14ac:dyDescent="0.25">
      <c r="A74" s="1" t="s">
        <v>9</v>
      </c>
      <c r="B74" s="1" t="s">
        <v>10</v>
      </c>
      <c r="C74" s="1" t="s">
        <v>71</v>
      </c>
      <c r="D74" s="1" t="s">
        <v>34</v>
      </c>
      <c r="E74">
        <v>325</v>
      </c>
      <c r="F74" s="1" t="s">
        <v>38</v>
      </c>
      <c r="G74" s="1" t="s">
        <v>14</v>
      </c>
      <c r="H74" s="1" t="s">
        <v>15</v>
      </c>
      <c r="I74" s="1" t="s">
        <v>16</v>
      </c>
    </row>
    <row r="75" spans="1:9" x14ac:dyDescent="0.25">
      <c r="A75" s="1" t="s">
        <v>9</v>
      </c>
      <c r="B75" s="1" t="s">
        <v>10</v>
      </c>
      <c r="C75" s="1" t="s">
        <v>71</v>
      </c>
      <c r="D75" s="1" t="s">
        <v>35</v>
      </c>
      <c r="E75">
        <v>325</v>
      </c>
      <c r="F75" s="1" t="s">
        <v>38</v>
      </c>
      <c r="G75" s="1" t="s">
        <v>14</v>
      </c>
      <c r="H75" s="1" t="s">
        <v>15</v>
      </c>
      <c r="I75" s="1" t="s">
        <v>16</v>
      </c>
    </row>
    <row r="76" spans="1:9" x14ac:dyDescent="0.25">
      <c r="A76" s="1" t="s">
        <v>9</v>
      </c>
      <c r="B76" s="1" t="s">
        <v>10</v>
      </c>
      <c r="C76" s="1" t="s">
        <v>71</v>
      </c>
      <c r="D76" s="1" t="s">
        <v>36</v>
      </c>
      <c r="E76">
        <v>175</v>
      </c>
      <c r="F76" s="1" t="s">
        <v>38</v>
      </c>
      <c r="G76" s="1" t="s">
        <v>14</v>
      </c>
      <c r="H76" s="1" t="s">
        <v>15</v>
      </c>
      <c r="I76" s="1" t="s">
        <v>16</v>
      </c>
    </row>
    <row r="77" spans="1:9" x14ac:dyDescent="0.25">
      <c r="A77" s="1" t="s">
        <v>9</v>
      </c>
      <c r="B77" s="1" t="s">
        <v>10</v>
      </c>
      <c r="C77" s="1" t="s">
        <v>71</v>
      </c>
      <c r="D77" s="1" t="s">
        <v>37</v>
      </c>
      <c r="E77">
        <v>175</v>
      </c>
      <c r="F77" s="1" t="s">
        <v>38</v>
      </c>
      <c r="G77" s="1" t="s">
        <v>14</v>
      </c>
      <c r="H77" s="1" t="s">
        <v>15</v>
      </c>
      <c r="I77" s="1" t="s">
        <v>16</v>
      </c>
    </row>
    <row r="78" spans="1:9" x14ac:dyDescent="0.25">
      <c r="A78" s="1" t="s">
        <v>9</v>
      </c>
      <c r="B78" s="1" t="s">
        <v>10</v>
      </c>
      <c r="C78" s="1" t="s">
        <v>71</v>
      </c>
      <c r="D78" s="1" t="s">
        <v>38</v>
      </c>
      <c r="E78">
        <v>175</v>
      </c>
      <c r="F78" s="1" t="s">
        <v>38</v>
      </c>
      <c r="G78" s="1" t="s">
        <v>14</v>
      </c>
      <c r="H78" s="1" t="s">
        <v>15</v>
      </c>
      <c r="I78" s="1" t="s">
        <v>16</v>
      </c>
    </row>
    <row r="79" spans="1:9" x14ac:dyDescent="0.25">
      <c r="A79" s="1" t="s">
        <v>9</v>
      </c>
      <c r="B79" s="1" t="s">
        <v>10</v>
      </c>
      <c r="C79" s="1" t="s">
        <v>71</v>
      </c>
      <c r="D79" s="1" t="s">
        <v>39</v>
      </c>
      <c r="E79">
        <v>175</v>
      </c>
      <c r="F79" s="1" t="s">
        <v>38</v>
      </c>
      <c r="G79" s="1" t="s">
        <v>14</v>
      </c>
      <c r="H79" s="1" t="s">
        <v>15</v>
      </c>
      <c r="I79" s="1" t="s">
        <v>16</v>
      </c>
    </row>
    <row r="80" spans="1:9" x14ac:dyDescent="0.25">
      <c r="A80" s="1" t="s">
        <v>9</v>
      </c>
      <c r="B80" s="1" t="s">
        <v>10</v>
      </c>
      <c r="C80" s="1" t="s">
        <v>71</v>
      </c>
      <c r="D80" s="1" t="s">
        <v>40</v>
      </c>
      <c r="E80">
        <v>175</v>
      </c>
      <c r="F80" s="1" t="s">
        <v>38</v>
      </c>
      <c r="G80" s="1" t="s">
        <v>14</v>
      </c>
      <c r="H80" s="1" t="s">
        <v>15</v>
      </c>
      <c r="I80" s="1" t="s">
        <v>16</v>
      </c>
    </row>
    <row r="81" spans="1:9" x14ac:dyDescent="0.25">
      <c r="A81" s="1" t="s">
        <v>9</v>
      </c>
      <c r="B81" s="1" t="s">
        <v>10</v>
      </c>
      <c r="C81" s="1" t="s">
        <v>71</v>
      </c>
      <c r="D81" s="1" t="s">
        <v>41</v>
      </c>
      <c r="E81">
        <v>175</v>
      </c>
      <c r="F81" s="1" t="s">
        <v>38</v>
      </c>
      <c r="G81" s="1" t="s">
        <v>14</v>
      </c>
      <c r="H81" s="1" t="s">
        <v>15</v>
      </c>
      <c r="I81" s="1" t="s">
        <v>16</v>
      </c>
    </row>
    <row r="82" spans="1:9" x14ac:dyDescent="0.25">
      <c r="A82" s="1" t="s">
        <v>9</v>
      </c>
      <c r="B82" s="1" t="s">
        <v>10</v>
      </c>
      <c r="C82" s="1" t="s">
        <v>71</v>
      </c>
      <c r="D82" s="1" t="s">
        <v>42</v>
      </c>
      <c r="E82">
        <v>325</v>
      </c>
      <c r="F82" s="1" t="s">
        <v>38</v>
      </c>
      <c r="G82" s="1" t="s">
        <v>14</v>
      </c>
      <c r="H82" s="1" t="s">
        <v>15</v>
      </c>
      <c r="I82" s="1" t="s">
        <v>16</v>
      </c>
    </row>
    <row r="83" spans="1:9" x14ac:dyDescent="0.25">
      <c r="A83" s="1" t="s">
        <v>9</v>
      </c>
      <c r="B83" s="1" t="s">
        <v>10</v>
      </c>
      <c r="C83" s="1" t="s">
        <v>71</v>
      </c>
      <c r="D83" s="1" t="s">
        <v>43</v>
      </c>
      <c r="E83">
        <v>325</v>
      </c>
      <c r="F83" s="1" t="s">
        <v>38</v>
      </c>
      <c r="G83" s="1" t="s">
        <v>14</v>
      </c>
      <c r="H83" s="1" t="s">
        <v>15</v>
      </c>
      <c r="I83" s="1" t="s">
        <v>16</v>
      </c>
    </row>
    <row r="84" spans="1:9" x14ac:dyDescent="0.25">
      <c r="A84" s="1" t="s">
        <v>9</v>
      </c>
      <c r="B84" s="1" t="s">
        <v>10</v>
      </c>
      <c r="C84" s="1" t="s">
        <v>71</v>
      </c>
      <c r="D84" s="1" t="s">
        <v>45</v>
      </c>
      <c r="E84">
        <v>650</v>
      </c>
      <c r="F84" s="1" t="s">
        <v>38</v>
      </c>
      <c r="G84" s="1" t="s">
        <v>14</v>
      </c>
      <c r="H84" s="1" t="s">
        <v>15</v>
      </c>
      <c r="I84" s="1" t="s">
        <v>16</v>
      </c>
    </row>
    <row r="85" spans="1:9" x14ac:dyDescent="0.25">
      <c r="A85" s="1" t="s">
        <v>9</v>
      </c>
      <c r="B85" s="1" t="s">
        <v>10</v>
      </c>
      <c r="C85" s="1" t="s">
        <v>71</v>
      </c>
      <c r="D85" s="1" t="s">
        <v>46</v>
      </c>
      <c r="E85">
        <v>175</v>
      </c>
      <c r="F85" s="1" t="s">
        <v>38</v>
      </c>
      <c r="G85" s="1" t="s">
        <v>14</v>
      </c>
      <c r="H85" s="1" t="s">
        <v>15</v>
      </c>
      <c r="I85" s="1" t="s">
        <v>16</v>
      </c>
    </row>
    <row r="86" spans="1:9" x14ac:dyDescent="0.25">
      <c r="A86" s="1" t="s">
        <v>9</v>
      </c>
      <c r="B86" s="1" t="s">
        <v>10</v>
      </c>
      <c r="C86" s="1" t="s">
        <v>71</v>
      </c>
      <c r="D86" s="1" t="s">
        <v>47</v>
      </c>
      <c r="E86">
        <v>175</v>
      </c>
      <c r="F86" s="1" t="s">
        <v>38</v>
      </c>
      <c r="G86" s="1" t="s">
        <v>14</v>
      </c>
      <c r="H86" s="1" t="s">
        <v>15</v>
      </c>
      <c r="I86" s="1" t="s">
        <v>16</v>
      </c>
    </row>
    <row r="87" spans="1:9" x14ac:dyDescent="0.25">
      <c r="A87" s="1" t="s">
        <v>9</v>
      </c>
      <c r="B87" s="1" t="s">
        <v>10</v>
      </c>
      <c r="C87" s="1" t="s">
        <v>71</v>
      </c>
      <c r="D87" s="1" t="s">
        <v>48</v>
      </c>
      <c r="E87">
        <v>175</v>
      </c>
      <c r="F87" s="1" t="s">
        <v>38</v>
      </c>
      <c r="G87" s="1" t="s">
        <v>14</v>
      </c>
      <c r="H87" s="1" t="s">
        <v>15</v>
      </c>
      <c r="I87" s="1" t="s">
        <v>16</v>
      </c>
    </row>
    <row r="88" spans="1:9" x14ac:dyDescent="0.25">
      <c r="A88" s="1" t="s">
        <v>9</v>
      </c>
      <c r="B88" s="1" t="s">
        <v>10</v>
      </c>
      <c r="C88" s="1" t="s">
        <v>71</v>
      </c>
      <c r="D88" s="1" t="s">
        <v>49</v>
      </c>
      <c r="E88">
        <v>325</v>
      </c>
      <c r="F88" s="1" t="s">
        <v>38</v>
      </c>
      <c r="G88" s="1" t="s">
        <v>14</v>
      </c>
      <c r="H88" s="1" t="s">
        <v>15</v>
      </c>
      <c r="I88" s="1" t="s">
        <v>16</v>
      </c>
    </row>
    <row r="89" spans="1:9" x14ac:dyDescent="0.25">
      <c r="A89" s="1" t="s">
        <v>9</v>
      </c>
      <c r="B89" s="1" t="s">
        <v>10</v>
      </c>
      <c r="C89" s="1" t="s">
        <v>71</v>
      </c>
      <c r="D89" s="1" t="s">
        <v>50</v>
      </c>
      <c r="E89">
        <v>175</v>
      </c>
      <c r="F89" s="1" t="s">
        <v>38</v>
      </c>
      <c r="G89" s="1" t="s">
        <v>14</v>
      </c>
      <c r="H89" s="1" t="s">
        <v>15</v>
      </c>
      <c r="I89" s="1" t="s">
        <v>16</v>
      </c>
    </row>
    <row r="90" spans="1:9" x14ac:dyDescent="0.25">
      <c r="A90" s="1" t="s">
        <v>9</v>
      </c>
      <c r="B90" s="1" t="s">
        <v>10</v>
      </c>
      <c r="C90" s="1" t="s">
        <v>71</v>
      </c>
      <c r="D90" s="1" t="s">
        <v>51</v>
      </c>
      <c r="E90">
        <v>325</v>
      </c>
      <c r="F90" s="1" t="s">
        <v>38</v>
      </c>
      <c r="G90" s="1" t="s">
        <v>14</v>
      </c>
      <c r="H90" s="1" t="s">
        <v>15</v>
      </c>
      <c r="I90" s="1" t="s">
        <v>16</v>
      </c>
    </row>
    <row r="91" spans="1:9" x14ac:dyDescent="0.25">
      <c r="A91" s="1" t="s">
        <v>9</v>
      </c>
      <c r="B91" s="1" t="s">
        <v>10</v>
      </c>
      <c r="C91" s="1" t="s">
        <v>71</v>
      </c>
      <c r="D91" s="1" t="s">
        <v>52</v>
      </c>
      <c r="E91">
        <v>175</v>
      </c>
      <c r="F91" s="1" t="s">
        <v>38</v>
      </c>
      <c r="G91" s="1" t="s">
        <v>14</v>
      </c>
      <c r="H91" s="1" t="s">
        <v>15</v>
      </c>
      <c r="I91" s="1" t="s">
        <v>16</v>
      </c>
    </row>
    <row r="92" spans="1:9" x14ac:dyDescent="0.25">
      <c r="A92" s="1" t="s">
        <v>9</v>
      </c>
      <c r="B92" s="1" t="s">
        <v>10</v>
      </c>
      <c r="C92" s="1" t="s">
        <v>71</v>
      </c>
      <c r="D92" s="1" t="s">
        <v>53</v>
      </c>
      <c r="E92">
        <v>175</v>
      </c>
      <c r="F92" s="1" t="s">
        <v>38</v>
      </c>
      <c r="G92" s="1" t="s">
        <v>14</v>
      </c>
      <c r="H92" s="1" t="s">
        <v>15</v>
      </c>
      <c r="I92" s="1" t="s">
        <v>16</v>
      </c>
    </row>
    <row r="93" spans="1:9" x14ac:dyDescent="0.25">
      <c r="A93" s="1" t="s">
        <v>9</v>
      </c>
      <c r="B93" s="1" t="s">
        <v>10</v>
      </c>
      <c r="C93" s="1" t="s">
        <v>71</v>
      </c>
      <c r="D93" s="1" t="s">
        <v>54</v>
      </c>
      <c r="E93">
        <v>650</v>
      </c>
      <c r="F93" s="1" t="s">
        <v>38</v>
      </c>
      <c r="G93" s="1" t="s">
        <v>14</v>
      </c>
      <c r="H93" s="1" t="s">
        <v>15</v>
      </c>
      <c r="I93" s="1" t="s">
        <v>16</v>
      </c>
    </row>
    <row r="94" spans="1:9" x14ac:dyDescent="0.25">
      <c r="A94" s="1" t="s">
        <v>9</v>
      </c>
      <c r="B94" s="1" t="s">
        <v>10</v>
      </c>
      <c r="C94" s="1" t="s">
        <v>71</v>
      </c>
      <c r="D94" s="1" t="s">
        <v>55</v>
      </c>
      <c r="E94">
        <v>650</v>
      </c>
      <c r="F94" s="1" t="s">
        <v>38</v>
      </c>
      <c r="G94" s="1" t="s">
        <v>14</v>
      </c>
      <c r="H94" s="1" t="s">
        <v>15</v>
      </c>
      <c r="I94" s="1" t="s">
        <v>16</v>
      </c>
    </row>
    <row r="95" spans="1:9" x14ac:dyDescent="0.25">
      <c r="A95" s="1" t="s">
        <v>9</v>
      </c>
      <c r="B95" s="1" t="s">
        <v>10</v>
      </c>
      <c r="C95" s="1" t="s">
        <v>71</v>
      </c>
      <c r="D95" s="1" t="s">
        <v>56</v>
      </c>
      <c r="E95">
        <v>175</v>
      </c>
      <c r="F95" s="1" t="s">
        <v>38</v>
      </c>
      <c r="G95" s="1" t="s">
        <v>14</v>
      </c>
      <c r="H95" s="1" t="s">
        <v>15</v>
      </c>
      <c r="I95" s="1" t="s">
        <v>16</v>
      </c>
    </row>
    <row r="96" spans="1:9" x14ac:dyDescent="0.25">
      <c r="A96" s="1" t="s">
        <v>9</v>
      </c>
      <c r="B96" s="1" t="s">
        <v>10</v>
      </c>
      <c r="C96" s="1" t="s">
        <v>71</v>
      </c>
      <c r="D96" s="1" t="s">
        <v>57</v>
      </c>
      <c r="E96">
        <v>175</v>
      </c>
      <c r="F96" s="1" t="s">
        <v>38</v>
      </c>
      <c r="G96" s="1" t="s">
        <v>14</v>
      </c>
      <c r="H96" s="1" t="s">
        <v>15</v>
      </c>
      <c r="I96" s="1" t="s">
        <v>16</v>
      </c>
    </row>
    <row r="97" spans="1:9" x14ac:dyDescent="0.25">
      <c r="A97" s="1" t="s">
        <v>9</v>
      </c>
      <c r="B97" s="1" t="s">
        <v>10</v>
      </c>
      <c r="C97" s="1" t="s">
        <v>71</v>
      </c>
      <c r="D97" s="1" t="s">
        <v>58</v>
      </c>
      <c r="E97">
        <v>175</v>
      </c>
      <c r="F97" s="1" t="s">
        <v>38</v>
      </c>
      <c r="G97" s="1" t="s">
        <v>14</v>
      </c>
      <c r="H97" s="1" t="s">
        <v>15</v>
      </c>
      <c r="I97" s="1" t="s">
        <v>16</v>
      </c>
    </row>
    <row r="98" spans="1:9" x14ac:dyDescent="0.25">
      <c r="A98" s="1" t="s">
        <v>9</v>
      </c>
      <c r="B98" s="1" t="s">
        <v>10</v>
      </c>
      <c r="C98" s="1" t="s">
        <v>71</v>
      </c>
      <c r="D98" s="1" t="s">
        <v>59</v>
      </c>
      <c r="E98">
        <v>325</v>
      </c>
      <c r="F98" s="1" t="s">
        <v>38</v>
      </c>
      <c r="G98" s="1" t="s">
        <v>14</v>
      </c>
      <c r="H98" s="1" t="s">
        <v>15</v>
      </c>
      <c r="I98" s="1" t="s">
        <v>16</v>
      </c>
    </row>
    <row r="99" spans="1:9" x14ac:dyDescent="0.25">
      <c r="A99" s="1" t="s">
        <v>9</v>
      </c>
      <c r="B99" s="1" t="s">
        <v>10</v>
      </c>
      <c r="C99" s="1" t="s">
        <v>71</v>
      </c>
      <c r="D99" s="1" t="s">
        <v>60</v>
      </c>
      <c r="E99">
        <v>175</v>
      </c>
      <c r="F99" s="1" t="s">
        <v>38</v>
      </c>
      <c r="G99" s="1" t="s">
        <v>14</v>
      </c>
      <c r="H99" s="1" t="s">
        <v>15</v>
      </c>
      <c r="I99" s="1" t="s">
        <v>16</v>
      </c>
    </row>
    <row r="100" spans="1:9" x14ac:dyDescent="0.25">
      <c r="A100" s="1" t="s">
        <v>9</v>
      </c>
      <c r="B100" s="1" t="s">
        <v>10</v>
      </c>
      <c r="C100" s="1" t="s">
        <v>71</v>
      </c>
      <c r="D100" s="1" t="s">
        <v>61</v>
      </c>
      <c r="E100">
        <v>325</v>
      </c>
      <c r="F100" s="1" t="s">
        <v>38</v>
      </c>
      <c r="G100" s="1" t="s">
        <v>14</v>
      </c>
      <c r="H100" s="1" t="s">
        <v>15</v>
      </c>
      <c r="I100" s="1" t="s">
        <v>16</v>
      </c>
    </row>
    <row r="101" spans="1:9" x14ac:dyDescent="0.25">
      <c r="A101" s="1" t="s">
        <v>9</v>
      </c>
      <c r="B101" s="1" t="s">
        <v>10</v>
      </c>
      <c r="C101" s="1" t="s">
        <v>71</v>
      </c>
      <c r="D101" s="1" t="s">
        <v>62</v>
      </c>
      <c r="E101">
        <v>325</v>
      </c>
      <c r="F101" s="1" t="s">
        <v>38</v>
      </c>
      <c r="G101" s="1" t="s">
        <v>14</v>
      </c>
      <c r="H101" s="1" t="s">
        <v>15</v>
      </c>
      <c r="I101" s="1" t="s">
        <v>16</v>
      </c>
    </row>
    <row r="102" spans="1:9" x14ac:dyDescent="0.25">
      <c r="A102" s="1" t="s">
        <v>9</v>
      </c>
      <c r="B102" s="1" t="s">
        <v>10</v>
      </c>
      <c r="C102" s="1" t="s">
        <v>71</v>
      </c>
      <c r="D102" s="1" t="s">
        <v>63</v>
      </c>
      <c r="E102">
        <v>325</v>
      </c>
      <c r="F102" s="1" t="s">
        <v>38</v>
      </c>
      <c r="G102" s="1" t="s">
        <v>14</v>
      </c>
      <c r="H102" s="1" t="s">
        <v>15</v>
      </c>
      <c r="I102" s="1" t="s">
        <v>16</v>
      </c>
    </row>
    <row r="103" spans="1:9" x14ac:dyDescent="0.25">
      <c r="A103" s="1" t="s">
        <v>9</v>
      </c>
      <c r="B103" s="1" t="s">
        <v>10</v>
      </c>
      <c r="C103" s="1" t="s">
        <v>71</v>
      </c>
      <c r="D103" s="1" t="s">
        <v>64</v>
      </c>
      <c r="E103">
        <v>175</v>
      </c>
      <c r="F103" s="1" t="s">
        <v>38</v>
      </c>
      <c r="G103" s="1" t="s">
        <v>14</v>
      </c>
      <c r="H103" s="1" t="s">
        <v>15</v>
      </c>
      <c r="I103" s="1" t="s">
        <v>16</v>
      </c>
    </row>
    <row r="104" spans="1:9" x14ac:dyDescent="0.25">
      <c r="A104" s="1" t="s">
        <v>9</v>
      </c>
      <c r="B104" s="1" t="s">
        <v>10</v>
      </c>
      <c r="C104" s="1" t="s">
        <v>71</v>
      </c>
      <c r="D104" s="1" t="s">
        <v>65</v>
      </c>
      <c r="E104">
        <v>175</v>
      </c>
      <c r="F104" s="1" t="s">
        <v>38</v>
      </c>
      <c r="G104" s="1" t="s">
        <v>14</v>
      </c>
      <c r="H104" s="1" t="s">
        <v>15</v>
      </c>
      <c r="I104" s="1" t="s">
        <v>16</v>
      </c>
    </row>
    <row r="105" spans="1:9" x14ac:dyDescent="0.25">
      <c r="A105" s="1" t="s">
        <v>9</v>
      </c>
      <c r="B105" s="1" t="s">
        <v>10</v>
      </c>
      <c r="C105" s="1" t="s">
        <v>71</v>
      </c>
      <c r="D105" s="1" t="s">
        <v>66</v>
      </c>
      <c r="E105">
        <v>175</v>
      </c>
      <c r="F105" s="1" t="s">
        <v>38</v>
      </c>
      <c r="G105" s="1" t="s">
        <v>14</v>
      </c>
      <c r="H105" s="1" t="s">
        <v>15</v>
      </c>
      <c r="I105" s="1" t="s">
        <v>16</v>
      </c>
    </row>
    <row r="106" spans="1:9" x14ac:dyDescent="0.25">
      <c r="A106" s="1" t="s">
        <v>9</v>
      </c>
      <c r="B106" s="1" t="s">
        <v>10</v>
      </c>
      <c r="C106" s="1" t="s">
        <v>71</v>
      </c>
      <c r="D106" s="1" t="s">
        <v>67</v>
      </c>
      <c r="E106">
        <v>175</v>
      </c>
      <c r="F106" s="1" t="s">
        <v>38</v>
      </c>
      <c r="G106" s="1" t="s">
        <v>14</v>
      </c>
      <c r="H106" s="1" t="s">
        <v>15</v>
      </c>
      <c r="I106" s="1" t="s">
        <v>16</v>
      </c>
    </row>
    <row r="107" spans="1:9" x14ac:dyDescent="0.25">
      <c r="A107" s="1" t="s">
        <v>9</v>
      </c>
      <c r="B107" s="1" t="s">
        <v>10</v>
      </c>
      <c r="C107" s="1" t="s">
        <v>71</v>
      </c>
      <c r="D107" s="1" t="s">
        <v>68</v>
      </c>
      <c r="E107">
        <v>175</v>
      </c>
      <c r="F107" s="1" t="s">
        <v>38</v>
      </c>
      <c r="G107" s="1" t="s">
        <v>14</v>
      </c>
      <c r="H107" s="1" t="s">
        <v>15</v>
      </c>
      <c r="I107" s="1" t="s">
        <v>16</v>
      </c>
    </row>
    <row r="108" spans="1:9" x14ac:dyDescent="0.25">
      <c r="A108" s="1" t="s">
        <v>9</v>
      </c>
      <c r="B108" s="1" t="s">
        <v>10</v>
      </c>
      <c r="C108" s="1" t="s">
        <v>71</v>
      </c>
      <c r="D108" s="1" t="s">
        <v>69</v>
      </c>
      <c r="E108">
        <v>175</v>
      </c>
      <c r="F108" s="1" t="s">
        <v>38</v>
      </c>
      <c r="G108" s="1" t="s">
        <v>14</v>
      </c>
      <c r="H108" s="1" t="s">
        <v>15</v>
      </c>
      <c r="I108" s="1" t="s">
        <v>16</v>
      </c>
    </row>
    <row r="109" spans="1:9" x14ac:dyDescent="0.25">
      <c r="A109" s="1" t="s">
        <v>9</v>
      </c>
      <c r="B109" s="1" t="s">
        <v>10</v>
      </c>
      <c r="C109" s="1" t="s">
        <v>71</v>
      </c>
      <c r="D109" s="1" t="s">
        <v>70</v>
      </c>
      <c r="E109">
        <v>325</v>
      </c>
      <c r="F109" s="1" t="s">
        <v>38</v>
      </c>
      <c r="G109" s="1" t="s">
        <v>14</v>
      </c>
      <c r="H109" s="1" t="s">
        <v>15</v>
      </c>
      <c r="I109" s="1" t="s">
        <v>16</v>
      </c>
    </row>
    <row r="110" spans="1:9" x14ac:dyDescent="0.25">
      <c r="A110" s="1" t="s">
        <v>9</v>
      </c>
      <c r="B110" s="1" t="s">
        <v>10</v>
      </c>
      <c r="C110" s="1" t="s">
        <v>72</v>
      </c>
      <c r="D110" s="1" t="s">
        <v>12</v>
      </c>
      <c r="E110">
        <v>650</v>
      </c>
      <c r="F110" s="1" t="s">
        <v>23</v>
      </c>
      <c r="G110" s="1" t="s">
        <v>14</v>
      </c>
      <c r="H110" s="1" t="s">
        <v>73</v>
      </c>
      <c r="I110" s="1" t="s">
        <v>16</v>
      </c>
    </row>
    <row r="111" spans="1:9" x14ac:dyDescent="0.25">
      <c r="A111" s="1" t="s">
        <v>9</v>
      </c>
      <c r="B111" s="1" t="s">
        <v>10</v>
      </c>
      <c r="C111" s="1" t="s">
        <v>72</v>
      </c>
      <c r="D111" s="1" t="s">
        <v>17</v>
      </c>
      <c r="E111">
        <v>650</v>
      </c>
      <c r="F111" s="1" t="s">
        <v>23</v>
      </c>
      <c r="G111" s="1" t="s">
        <v>14</v>
      </c>
      <c r="H111" s="1" t="s">
        <v>73</v>
      </c>
      <c r="I111" s="1" t="s">
        <v>16</v>
      </c>
    </row>
    <row r="112" spans="1:9" x14ac:dyDescent="0.25">
      <c r="A112" s="1" t="s">
        <v>9</v>
      </c>
      <c r="B112" s="1" t="s">
        <v>10</v>
      </c>
      <c r="C112" s="1" t="s">
        <v>72</v>
      </c>
      <c r="D112" s="1" t="s">
        <v>18</v>
      </c>
      <c r="E112">
        <v>325</v>
      </c>
      <c r="F112" s="1" t="s">
        <v>23</v>
      </c>
      <c r="G112" s="1" t="s">
        <v>14</v>
      </c>
      <c r="H112" s="1" t="s">
        <v>73</v>
      </c>
      <c r="I112" s="1" t="s">
        <v>16</v>
      </c>
    </row>
    <row r="113" spans="1:9" x14ac:dyDescent="0.25">
      <c r="A113" s="1" t="s">
        <v>9</v>
      </c>
      <c r="B113" s="1" t="s">
        <v>10</v>
      </c>
      <c r="C113" s="1" t="s">
        <v>72</v>
      </c>
      <c r="D113" s="1" t="s">
        <v>19</v>
      </c>
      <c r="E113">
        <v>650</v>
      </c>
      <c r="F113" s="1" t="s">
        <v>23</v>
      </c>
      <c r="G113" s="1" t="s">
        <v>14</v>
      </c>
      <c r="H113" s="1" t="s">
        <v>73</v>
      </c>
      <c r="I113" s="1" t="s">
        <v>16</v>
      </c>
    </row>
    <row r="114" spans="1:9" x14ac:dyDescent="0.25">
      <c r="A114" s="1" t="s">
        <v>9</v>
      </c>
      <c r="B114" s="1" t="s">
        <v>10</v>
      </c>
      <c r="C114" s="1" t="s">
        <v>72</v>
      </c>
      <c r="D114" s="1" t="s">
        <v>20</v>
      </c>
      <c r="E114">
        <v>325</v>
      </c>
      <c r="F114" s="1" t="s">
        <v>23</v>
      </c>
      <c r="G114" s="1" t="s">
        <v>14</v>
      </c>
      <c r="H114" s="1" t="s">
        <v>73</v>
      </c>
      <c r="I114" s="1" t="s">
        <v>16</v>
      </c>
    </row>
    <row r="115" spans="1:9" x14ac:dyDescent="0.25">
      <c r="A115" s="1" t="s">
        <v>9</v>
      </c>
      <c r="B115" s="1" t="s">
        <v>10</v>
      </c>
      <c r="C115" s="1" t="s">
        <v>72</v>
      </c>
      <c r="D115" s="1" t="s">
        <v>21</v>
      </c>
      <c r="E115">
        <v>325</v>
      </c>
      <c r="F115" s="1" t="s">
        <v>23</v>
      </c>
      <c r="G115" s="1" t="s">
        <v>14</v>
      </c>
      <c r="H115" s="1" t="s">
        <v>73</v>
      </c>
      <c r="I115" s="1" t="s">
        <v>16</v>
      </c>
    </row>
    <row r="116" spans="1:9" x14ac:dyDescent="0.25">
      <c r="A116" s="1" t="s">
        <v>9</v>
      </c>
      <c r="B116" s="1" t="s">
        <v>10</v>
      </c>
      <c r="C116" s="1" t="s">
        <v>72</v>
      </c>
      <c r="D116" s="1" t="s">
        <v>22</v>
      </c>
      <c r="E116">
        <v>325</v>
      </c>
      <c r="F116" s="1" t="s">
        <v>23</v>
      </c>
      <c r="G116" s="1" t="s">
        <v>14</v>
      </c>
      <c r="H116" s="1" t="s">
        <v>73</v>
      </c>
      <c r="I116" s="1" t="s">
        <v>16</v>
      </c>
    </row>
    <row r="117" spans="1:9" x14ac:dyDescent="0.25">
      <c r="A117" s="1" t="s">
        <v>9</v>
      </c>
      <c r="B117" s="1" t="s">
        <v>10</v>
      </c>
      <c r="C117" s="1" t="s">
        <v>72</v>
      </c>
      <c r="D117" s="1" t="s">
        <v>23</v>
      </c>
      <c r="E117">
        <v>650</v>
      </c>
      <c r="F117" s="1" t="s">
        <v>23</v>
      </c>
      <c r="G117" s="1" t="s">
        <v>14</v>
      </c>
      <c r="H117" s="1" t="s">
        <v>73</v>
      </c>
      <c r="I117" s="1" t="s">
        <v>16</v>
      </c>
    </row>
    <row r="118" spans="1:9" x14ac:dyDescent="0.25">
      <c r="A118" s="1" t="s">
        <v>9</v>
      </c>
      <c r="B118" s="1" t="s">
        <v>10</v>
      </c>
      <c r="C118" s="1" t="s">
        <v>72</v>
      </c>
      <c r="D118" s="1" t="s">
        <v>24</v>
      </c>
      <c r="E118">
        <v>325</v>
      </c>
      <c r="F118" s="1" t="s">
        <v>23</v>
      </c>
      <c r="G118" s="1" t="s">
        <v>14</v>
      </c>
      <c r="H118" s="1" t="s">
        <v>73</v>
      </c>
      <c r="I118" s="1" t="s">
        <v>16</v>
      </c>
    </row>
    <row r="119" spans="1:9" x14ac:dyDescent="0.25">
      <c r="A119" s="1" t="s">
        <v>9</v>
      </c>
      <c r="B119" s="1" t="s">
        <v>10</v>
      </c>
      <c r="C119" s="1" t="s">
        <v>72</v>
      </c>
      <c r="D119" s="1" t="s">
        <v>25</v>
      </c>
      <c r="E119">
        <v>650</v>
      </c>
      <c r="F119" s="1" t="s">
        <v>23</v>
      </c>
      <c r="G119" s="1" t="s">
        <v>14</v>
      </c>
      <c r="H119" s="1" t="s">
        <v>73</v>
      </c>
      <c r="I119" s="1" t="s">
        <v>16</v>
      </c>
    </row>
    <row r="120" spans="1:9" x14ac:dyDescent="0.25">
      <c r="A120" s="1" t="s">
        <v>9</v>
      </c>
      <c r="B120" s="1" t="s">
        <v>10</v>
      </c>
      <c r="C120" s="1" t="s">
        <v>72</v>
      </c>
      <c r="D120" s="1" t="s">
        <v>26</v>
      </c>
      <c r="E120">
        <v>325</v>
      </c>
      <c r="F120" s="1" t="s">
        <v>23</v>
      </c>
      <c r="G120" s="1" t="s">
        <v>14</v>
      </c>
      <c r="H120" s="1" t="s">
        <v>73</v>
      </c>
      <c r="I120" s="1" t="s">
        <v>16</v>
      </c>
    </row>
    <row r="121" spans="1:9" x14ac:dyDescent="0.25">
      <c r="A121" s="1" t="s">
        <v>9</v>
      </c>
      <c r="B121" s="1" t="s">
        <v>10</v>
      </c>
      <c r="C121" s="1" t="s">
        <v>72</v>
      </c>
      <c r="D121" s="1" t="s">
        <v>27</v>
      </c>
      <c r="E121">
        <v>650</v>
      </c>
      <c r="F121" s="1" t="s">
        <v>23</v>
      </c>
      <c r="G121" s="1" t="s">
        <v>14</v>
      </c>
      <c r="H121" s="1" t="s">
        <v>73</v>
      </c>
      <c r="I121" s="1" t="s">
        <v>16</v>
      </c>
    </row>
    <row r="122" spans="1:9" x14ac:dyDescent="0.25">
      <c r="A122" s="1" t="s">
        <v>9</v>
      </c>
      <c r="B122" s="1" t="s">
        <v>10</v>
      </c>
      <c r="C122" s="1" t="s">
        <v>72</v>
      </c>
      <c r="D122" s="1" t="s">
        <v>28</v>
      </c>
      <c r="E122">
        <v>650</v>
      </c>
      <c r="F122" s="1" t="s">
        <v>23</v>
      </c>
      <c r="G122" s="1" t="s">
        <v>14</v>
      </c>
      <c r="H122" s="1" t="s">
        <v>73</v>
      </c>
      <c r="I122" s="1" t="s">
        <v>16</v>
      </c>
    </row>
    <row r="123" spans="1:9" x14ac:dyDescent="0.25">
      <c r="A123" s="1" t="s">
        <v>9</v>
      </c>
      <c r="B123" s="1" t="s">
        <v>10</v>
      </c>
      <c r="C123" s="1" t="s">
        <v>72</v>
      </c>
      <c r="D123" s="1" t="s">
        <v>29</v>
      </c>
      <c r="E123">
        <v>650</v>
      </c>
      <c r="F123" s="1" t="s">
        <v>23</v>
      </c>
      <c r="G123" s="1" t="s">
        <v>14</v>
      </c>
      <c r="H123" s="1" t="s">
        <v>73</v>
      </c>
      <c r="I123" s="1" t="s">
        <v>16</v>
      </c>
    </row>
    <row r="124" spans="1:9" x14ac:dyDescent="0.25">
      <c r="A124" s="1" t="s">
        <v>9</v>
      </c>
      <c r="B124" s="1" t="s">
        <v>10</v>
      </c>
      <c r="C124" s="1" t="s">
        <v>72</v>
      </c>
      <c r="D124" s="1" t="s">
        <v>30</v>
      </c>
      <c r="E124">
        <v>650</v>
      </c>
      <c r="F124" s="1" t="s">
        <v>23</v>
      </c>
      <c r="G124" s="1" t="s">
        <v>14</v>
      </c>
      <c r="H124" s="1" t="s">
        <v>73</v>
      </c>
      <c r="I124" s="1" t="s">
        <v>16</v>
      </c>
    </row>
    <row r="125" spans="1:9" x14ac:dyDescent="0.25">
      <c r="A125" s="1" t="s">
        <v>9</v>
      </c>
      <c r="B125" s="1" t="s">
        <v>10</v>
      </c>
      <c r="C125" s="1" t="s">
        <v>72</v>
      </c>
      <c r="D125" s="1" t="s">
        <v>31</v>
      </c>
      <c r="E125">
        <v>650</v>
      </c>
      <c r="F125" s="1" t="s">
        <v>23</v>
      </c>
      <c r="G125" s="1" t="s">
        <v>14</v>
      </c>
      <c r="H125" s="1" t="s">
        <v>73</v>
      </c>
      <c r="I125" s="1" t="s">
        <v>16</v>
      </c>
    </row>
    <row r="126" spans="1:9" x14ac:dyDescent="0.25">
      <c r="A126" s="1" t="s">
        <v>9</v>
      </c>
      <c r="B126" s="1" t="s">
        <v>10</v>
      </c>
      <c r="C126" s="1" t="s">
        <v>72</v>
      </c>
      <c r="D126" s="1" t="s">
        <v>32</v>
      </c>
      <c r="E126">
        <v>650</v>
      </c>
      <c r="F126" s="1" t="s">
        <v>23</v>
      </c>
      <c r="G126" s="1" t="s">
        <v>14</v>
      </c>
      <c r="H126" s="1" t="s">
        <v>73</v>
      </c>
      <c r="I126" s="1" t="s">
        <v>16</v>
      </c>
    </row>
    <row r="127" spans="1:9" x14ac:dyDescent="0.25">
      <c r="A127" s="1" t="s">
        <v>9</v>
      </c>
      <c r="B127" s="1" t="s">
        <v>10</v>
      </c>
      <c r="C127" s="1" t="s">
        <v>72</v>
      </c>
      <c r="D127" s="1" t="s">
        <v>33</v>
      </c>
      <c r="E127">
        <v>325</v>
      </c>
      <c r="F127" s="1" t="s">
        <v>23</v>
      </c>
      <c r="G127" s="1" t="s">
        <v>14</v>
      </c>
      <c r="H127" s="1" t="s">
        <v>73</v>
      </c>
      <c r="I127" s="1" t="s">
        <v>16</v>
      </c>
    </row>
    <row r="128" spans="1:9" x14ac:dyDescent="0.25">
      <c r="A128" s="1" t="s">
        <v>9</v>
      </c>
      <c r="B128" s="1" t="s">
        <v>10</v>
      </c>
      <c r="C128" s="1" t="s">
        <v>72</v>
      </c>
      <c r="D128" s="1" t="s">
        <v>34</v>
      </c>
      <c r="E128">
        <v>325</v>
      </c>
      <c r="F128" s="1" t="s">
        <v>23</v>
      </c>
      <c r="G128" s="1" t="s">
        <v>14</v>
      </c>
      <c r="H128" s="1" t="s">
        <v>73</v>
      </c>
      <c r="I128" s="1" t="s">
        <v>16</v>
      </c>
    </row>
    <row r="129" spans="1:9" x14ac:dyDescent="0.25">
      <c r="A129" s="1" t="s">
        <v>9</v>
      </c>
      <c r="B129" s="1" t="s">
        <v>10</v>
      </c>
      <c r="C129" s="1" t="s">
        <v>72</v>
      </c>
      <c r="D129" s="1" t="s">
        <v>35</v>
      </c>
      <c r="E129">
        <v>650</v>
      </c>
      <c r="F129" s="1" t="s">
        <v>23</v>
      </c>
      <c r="G129" s="1" t="s">
        <v>14</v>
      </c>
      <c r="H129" s="1" t="s">
        <v>73</v>
      </c>
      <c r="I129" s="1" t="s">
        <v>16</v>
      </c>
    </row>
    <row r="130" spans="1:9" x14ac:dyDescent="0.25">
      <c r="A130" s="1" t="s">
        <v>9</v>
      </c>
      <c r="B130" s="1" t="s">
        <v>10</v>
      </c>
      <c r="C130" s="1" t="s">
        <v>72</v>
      </c>
      <c r="D130" s="1" t="s">
        <v>36</v>
      </c>
      <c r="E130">
        <v>650</v>
      </c>
      <c r="F130" s="1" t="s">
        <v>23</v>
      </c>
      <c r="G130" s="1" t="s">
        <v>14</v>
      </c>
      <c r="H130" s="1" t="s">
        <v>73</v>
      </c>
      <c r="I130" s="1" t="s">
        <v>16</v>
      </c>
    </row>
    <row r="131" spans="1:9" x14ac:dyDescent="0.25">
      <c r="A131" s="1" t="s">
        <v>9</v>
      </c>
      <c r="B131" s="1" t="s">
        <v>10</v>
      </c>
      <c r="C131" s="1" t="s">
        <v>72</v>
      </c>
      <c r="D131" s="1" t="s">
        <v>37</v>
      </c>
      <c r="E131">
        <v>650</v>
      </c>
      <c r="F131" s="1" t="s">
        <v>23</v>
      </c>
      <c r="G131" s="1" t="s">
        <v>14</v>
      </c>
      <c r="H131" s="1" t="s">
        <v>73</v>
      </c>
      <c r="I131" s="1" t="s">
        <v>16</v>
      </c>
    </row>
    <row r="132" spans="1:9" x14ac:dyDescent="0.25">
      <c r="A132" s="1" t="s">
        <v>9</v>
      </c>
      <c r="B132" s="1" t="s">
        <v>10</v>
      </c>
      <c r="C132" s="1" t="s">
        <v>72</v>
      </c>
      <c r="D132" s="1" t="s">
        <v>38</v>
      </c>
      <c r="E132">
        <v>650</v>
      </c>
      <c r="F132" s="1" t="s">
        <v>23</v>
      </c>
      <c r="G132" s="1" t="s">
        <v>14</v>
      </c>
      <c r="H132" s="1" t="s">
        <v>73</v>
      </c>
      <c r="I132" s="1" t="s">
        <v>16</v>
      </c>
    </row>
    <row r="133" spans="1:9" x14ac:dyDescent="0.25">
      <c r="A133" s="1" t="s">
        <v>9</v>
      </c>
      <c r="B133" s="1" t="s">
        <v>10</v>
      </c>
      <c r="C133" s="1" t="s">
        <v>72</v>
      </c>
      <c r="D133" s="1" t="s">
        <v>39</v>
      </c>
      <c r="E133">
        <v>650</v>
      </c>
      <c r="F133" s="1" t="s">
        <v>23</v>
      </c>
      <c r="G133" s="1" t="s">
        <v>14</v>
      </c>
      <c r="H133" s="1" t="s">
        <v>73</v>
      </c>
      <c r="I133" s="1" t="s">
        <v>16</v>
      </c>
    </row>
    <row r="134" spans="1:9" x14ac:dyDescent="0.25">
      <c r="A134" s="1" t="s">
        <v>9</v>
      </c>
      <c r="B134" s="1" t="s">
        <v>10</v>
      </c>
      <c r="C134" s="1" t="s">
        <v>72</v>
      </c>
      <c r="D134" s="1" t="s">
        <v>40</v>
      </c>
      <c r="E134">
        <v>650</v>
      </c>
      <c r="F134" s="1" t="s">
        <v>23</v>
      </c>
      <c r="G134" s="1" t="s">
        <v>14</v>
      </c>
      <c r="H134" s="1" t="s">
        <v>73</v>
      </c>
      <c r="I134" s="1" t="s">
        <v>16</v>
      </c>
    </row>
    <row r="135" spans="1:9" x14ac:dyDescent="0.25">
      <c r="A135" s="1" t="s">
        <v>9</v>
      </c>
      <c r="B135" s="1" t="s">
        <v>10</v>
      </c>
      <c r="C135" s="1" t="s">
        <v>72</v>
      </c>
      <c r="D135" s="1" t="s">
        <v>41</v>
      </c>
      <c r="E135">
        <v>650</v>
      </c>
      <c r="F135" s="1" t="s">
        <v>23</v>
      </c>
      <c r="G135" s="1" t="s">
        <v>14</v>
      </c>
      <c r="H135" s="1" t="s">
        <v>73</v>
      </c>
      <c r="I135" s="1" t="s">
        <v>16</v>
      </c>
    </row>
    <row r="136" spans="1:9" x14ac:dyDescent="0.25">
      <c r="A136" s="1" t="s">
        <v>9</v>
      </c>
      <c r="B136" s="1" t="s">
        <v>10</v>
      </c>
      <c r="C136" s="1" t="s">
        <v>72</v>
      </c>
      <c r="D136" s="1" t="s">
        <v>42</v>
      </c>
      <c r="E136">
        <v>650</v>
      </c>
      <c r="F136" s="1" t="s">
        <v>23</v>
      </c>
      <c r="G136" s="1" t="s">
        <v>14</v>
      </c>
      <c r="H136" s="1" t="s">
        <v>73</v>
      </c>
      <c r="I136" s="1" t="s">
        <v>16</v>
      </c>
    </row>
    <row r="137" spans="1:9" x14ac:dyDescent="0.25">
      <c r="A137" s="1" t="s">
        <v>9</v>
      </c>
      <c r="B137" s="1" t="s">
        <v>10</v>
      </c>
      <c r="C137" s="1" t="s">
        <v>72</v>
      </c>
      <c r="D137" s="1" t="s">
        <v>43</v>
      </c>
      <c r="E137">
        <v>650</v>
      </c>
      <c r="F137" s="1" t="s">
        <v>23</v>
      </c>
      <c r="G137" s="1" t="s">
        <v>14</v>
      </c>
      <c r="H137" s="1" t="s">
        <v>73</v>
      </c>
      <c r="I137" s="1" t="s">
        <v>16</v>
      </c>
    </row>
    <row r="138" spans="1:9" x14ac:dyDescent="0.25">
      <c r="A138" s="1" t="s">
        <v>9</v>
      </c>
      <c r="B138" s="1" t="s">
        <v>10</v>
      </c>
      <c r="C138" s="1" t="s">
        <v>72</v>
      </c>
      <c r="D138" s="1" t="s">
        <v>45</v>
      </c>
      <c r="E138">
        <v>650</v>
      </c>
      <c r="F138" s="1" t="s">
        <v>23</v>
      </c>
      <c r="G138" s="1" t="s">
        <v>14</v>
      </c>
      <c r="H138" s="1" t="s">
        <v>73</v>
      </c>
      <c r="I138" s="1" t="s">
        <v>16</v>
      </c>
    </row>
    <row r="139" spans="1:9" x14ac:dyDescent="0.25">
      <c r="A139" s="1" t="s">
        <v>9</v>
      </c>
      <c r="B139" s="1" t="s">
        <v>10</v>
      </c>
      <c r="C139" s="1" t="s">
        <v>72</v>
      </c>
      <c r="D139" s="1" t="s">
        <v>46</v>
      </c>
      <c r="E139">
        <v>325</v>
      </c>
      <c r="F139" s="1" t="s">
        <v>23</v>
      </c>
      <c r="G139" s="1" t="s">
        <v>14</v>
      </c>
      <c r="H139" s="1" t="s">
        <v>73</v>
      </c>
      <c r="I139" s="1" t="s">
        <v>16</v>
      </c>
    </row>
    <row r="140" spans="1:9" x14ac:dyDescent="0.25">
      <c r="A140" s="1" t="s">
        <v>9</v>
      </c>
      <c r="B140" s="1" t="s">
        <v>10</v>
      </c>
      <c r="C140" s="1" t="s">
        <v>72</v>
      </c>
      <c r="D140" s="1" t="s">
        <v>47</v>
      </c>
      <c r="E140">
        <v>650</v>
      </c>
      <c r="F140" s="1" t="s">
        <v>23</v>
      </c>
      <c r="G140" s="1" t="s">
        <v>14</v>
      </c>
      <c r="H140" s="1" t="s">
        <v>73</v>
      </c>
      <c r="I140" s="1" t="s">
        <v>16</v>
      </c>
    </row>
    <row r="141" spans="1:9" x14ac:dyDescent="0.25">
      <c r="A141" s="1" t="s">
        <v>9</v>
      </c>
      <c r="B141" s="1" t="s">
        <v>10</v>
      </c>
      <c r="C141" s="1" t="s">
        <v>72</v>
      </c>
      <c r="D141" s="1" t="s">
        <v>48</v>
      </c>
      <c r="E141">
        <v>325</v>
      </c>
      <c r="F141" s="1" t="s">
        <v>23</v>
      </c>
      <c r="G141" s="1" t="s">
        <v>14</v>
      </c>
      <c r="H141" s="1" t="s">
        <v>73</v>
      </c>
      <c r="I141" s="1" t="s">
        <v>16</v>
      </c>
    </row>
    <row r="142" spans="1:9" x14ac:dyDescent="0.25">
      <c r="A142" s="1" t="s">
        <v>9</v>
      </c>
      <c r="B142" s="1" t="s">
        <v>10</v>
      </c>
      <c r="C142" s="1" t="s">
        <v>72</v>
      </c>
      <c r="D142" s="1" t="s">
        <v>49</v>
      </c>
      <c r="E142">
        <v>325</v>
      </c>
      <c r="F142" s="1" t="s">
        <v>23</v>
      </c>
      <c r="G142" s="1" t="s">
        <v>14</v>
      </c>
      <c r="H142" s="1" t="s">
        <v>73</v>
      </c>
      <c r="I142" s="1" t="s">
        <v>16</v>
      </c>
    </row>
    <row r="143" spans="1:9" x14ac:dyDescent="0.25">
      <c r="A143" s="1" t="s">
        <v>9</v>
      </c>
      <c r="B143" s="1" t="s">
        <v>10</v>
      </c>
      <c r="C143" s="1" t="s">
        <v>72</v>
      </c>
      <c r="D143" s="1" t="s">
        <v>50</v>
      </c>
      <c r="E143">
        <v>325</v>
      </c>
      <c r="F143" s="1" t="s">
        <v>23</v>
      </c>
      <c r="G143" s="1" t="s">
        <v>14</v>
      </c>
      <c r="H143" s="1" t="s">
        <v>73</v>
      </c>
      <c r="I143" s="1" t="s">
        <v>16</v>
      </c>
    </row>
    <row r="144" spans="1:9" x14ac:dyDescent="0.25">
      <c r="A144" s="1" t="s">
        <v>9</v>
      </c>
      <c r="B144" s="1" t="s">
        <v>10</v>
      </c>
      <c r="C144" s="1" t="s">
        <v>72</v>
      </c>
      <c r="D144" s="1" t="s">
        <v>51</v>
      </c>
      <c r="E144">
        <v>650</v>
      </c>
      <c r="F144" s="1" t="s">
        <v>23</v>
      </c>
      <c r="G144" s="1" t="s">
        <v>14</v>
      </c>
      <c r="H144" s="1" t="s">
        <v>73</v>
      </c>
      <c r="I144" s="1" t="s">
        <v>16</v>
      </c>
    </row>
    <row r="145" spans="1:9" x14ac:dyDescent="0.25">
      <c r="A145" s="1" t="s">
        <v>9</v>
      </c>
      <c r="B145" s="1" t="s">
        <v>10</v>
      </c>
      <c r="C145" s="1" t="s">
        <v>72</v>
      </c>
      <c r="D145" s="1" t="s">
        <v>52</v>
      </c>
      <c r="E145">
        <v>325</v>
      </c>
      <c r="F145" s="1" t="s">
        <v>23</v>
      </c>
      <c r="G145" s="1" t="s">
        <v>14</v>
      </c>
      <c r="H145" s="1" t="s">
        <v>73</v>
      </c>
      <c r="I145" s="1" t="s">
        <v>16</v>
      </c>
    </row>
    <row r="146" spans="1:9" x14ac:dyDescent="0.25">
      <c r="A146" s="1" t="s">
        <v>9</v>
      </c>
      <c r="B146" s="1" t="s">
        <v>10</v>
      </c>
      <c r="C146" s="1" t="s">
        <v>72</v>
      </c>
      <c r="D146" s="1" t="s">
        <v>53</v>
      </c>
      <c r="E146">
        <v>650</v>
      </c>
      <c r="F146" s="1" t="s">
        <v>23</v>
      </c>
      <c r="G146" s="1" t="s">
        <v>14</v>
      </c>
      <c r="H146" s="1" t="s">
        <v>73</v>
      </c>
      <c r="I146" s="1" t="s">
        <v>16</v>
      </c>
    </row>
    <row r="147" spans="1:9" x14ac:dyDescent="0.25">
      <c r="A147" s="1" t="s">
        <v>9</v>
      </c>
      <c r="B147" s="1" t="s">
        <v>10</v>
      </c>
      <c r="C147" s="1" t="s">
        <v>72</v>
      </c>
      <c r="D147" s="1" t="s">
        <v>54</v>
      </c>
      <c r="E147">
        <v>325</v>
      </c>
      <c r="F147" s="1" t="s">
        <v>23</v>
      </c>
      <c r="G147" s="1" t="s">
        <v>14</v>
      </c>
      <c r="H147" s="1" t="s">
        <v>73</v>
      </c>
      <c r="I147" s="1" t="s">
        <v>16</v>
      </c>
    </row>
    <row r="148" spans="1:9" x14ac:dyDescent="0.25">
      <c r="A148" s="1" t="s">
        <v>9</v>
      </c>
      <c r="B148" s="1" t="s">
        <v>10</v>
      </c>
      <c r="C148" s="1" t="s">
        <v>72</v>
      </c>
      <c r="D148" s="1" t="s">
        <v>55</v>
      </c>
      <c r="E148">
        <v>650</v>
      </c>
      <c r="F148" s="1" t="s">
        <v>23</v>
      </c>
      <c r="G148" s="1" t="s">
        <v>14</v>
      </c>
      <c r="H148" s="1" t="s">
        <v>73</v>
      </c>
      <c r="I148" s="1" t="s">
        <v>16</v>
      </c>
    </row>
    <row r="149" spans="1:9" x14ac:dyDescent="0.25">
      <c r="A149" s="1" t="s">
        <v>9</v>
      </c>
      <c r="B149" s="1" t="s">
        <v>10</v>
      </c>
      <c r="C149" s="1" t="s">
        <v>72</v>
      </c>
      <c r="D149" s="1" t="s">
        <v>56</v>
      </c>
      <c r="E149">
        <v>650</v>
      </c>
      <c r="F149" s="1" t="s">
        <v>23</v>
      </c>
      <c r="G149" s="1" t="s">
        <v>14</v>
      </c>
      <c r="H149" s="1" t="s">
        <v>73</v>
      </c>
      <c r="I149" s="1" t="s">
        <v>16</v>
      </c>
    </row>
    <row r="150" spans="1:9" x14ac:dyDescent="0.25">
      <c r="A150" s="1" t="s">
        <v>9</v>
      </c>
      <c r="B150" s="1" t="s">
        <v>10</v>
      </c>
      <c r="C150" s="1" t="s">
        <v>72</v>
      </c>
      <c r="D150" s="1" t="s">
        <v>57</v>
      </c>
      <c r="E150">
        <v>650</v>
      </c>
      <c r="F150" s="1" t="s">
        <v>23</v>
      </c>
      <c r="G150" s="1" t="s">
        <v>14</v>
      </c>
      <c r="H150" s="1" t="s">
        <v>73</v>
      </c>
      <c r="I150" s="1" t="s">
        <v>16</v>
      </c>
    </row>
    <row r="151" spans="1:9" x14ac:dyDescent="0.25">
      <c r="A151" s="1" t="s">
        <v>9</v>
      </c>
      <c r="B151" s="1" t="s">
        <v>10</v>
      </c>
      <c r="C151" s="1" t="s">
        <v>72</v>
      </c>
      <c r="D151" s="1" t="s">
        <v>58</v>
      </c>
      <c r="E151">
        <v>650</v>
      </c>
      <c r="F151" s="1" t="s">
        <v>23</v>
      </c>
      <c r="G151" s="1" t="s">
        <v>14</v>
      </c>
      <c r="H151" s="1" t="s">
        <v>73</v>
      </c>
      <c r="I151" s="1" t="s">
        <v>16</v>
      </c>
    </row>
    <row r="152" spans="1:9" x14ac:dyDescent="0.25">
      <c r="A152" s="1" t="s">
        <v>9</v>
      </c>
      <c r="B152" s="1" t="s">
        <v>10</v>
      </c>
      <c r="C152" s="1" t="s">
        <v>72</v>
      </c>
      <c r="D152" s="1" t="s">
        <v>59</v>
      </c>
      <c r="E152">
        <v>650</v>
      </c>
      <c r="F152" s="1" t="s">
        <v>23</v>
      </c>
      <c r="G152" s="1" t="s">
        <v>14</v>
      </c>
      <c r="H152" s="1" t="s">
        <v>73</v>
      </c>
      <c r="I152" s="1" t="s">
        <v>16</v>
      </c>
    </row>
    <row r="153" spans="1:9" x14ac:dyDescent="0.25">
      <c r="A153" s="1" t="s">
        <v>9</v>
      </c>
      <c r="B153" s="1" t="s">
        <v>10</v>
      </c>
      <c r="C153" s="1" t="s">
        <v>72</v>
      </c>
      <c r="D153" s="1" t="s">
        <v>60</v>
      </c>
      <c r="E153">
        <v>650</v>
      </c>
      <c r="F153" s="1" t="s">
        <v>23</v>
      </c>
      <c r="G153" s="1" t="s">
        <v>14</v>
      </c>
      <c r="H153" s="1" t="s">
        <v>73</v>
      </c>
      <c r="I153" s="1" t="s">
        <v>16</v>
      </c>
    </row>
    <row r="154" spans="1:9" x14ac:dyDescent="0.25">
      <c r="A154" s="1" t="s">
        <v>9</v>
      </c>
      <c r="B154" s="1" t="s">
        <v>10</v>
      </c>
      <c r="C154" s="1" t="s">
        <v>72</v>
      </c>
      <c r="D154" s="1" t="s">
        <v>61</v>
      </c>
      <c r="E154">
        <v>325</v>
      </c>
      <c r="F154" s="1" t="s">
        <v>23</v>
      </c>
      <c r="G154" s="1" t="s">
        <v>14</v>
      </c>
      <c r="H154" s="1" t="s">
        <v>73</v>
      </c>
      <c r="I154" s="1" t="s">
        <v>16</v>
      </c>
    </row>
    <row r="155" spans="1:9" x14ac:dyDescent="0.25">
      <c r="A155" s="1" t="s">
        <v>9</v>
      </c>
      <c r="B155" s="1" t="s">
        <v>10</v>
      </c>
      <c r="C155" s="1" t="s">
        <v>72</v>
      </c>
      <c r="D155" s="1" t="s">
        <v>62</v>
      </c>
      <c r="E155">
        <v>325</v>
      </c>
      <c r="F155" s="1" t="s">
        <v>23</v>
      </c>
      <c r="G155" s="1" t="s">
        <v>14</v>
      </c>
      <c r="H155" s="1" t="s">
        <v>73</v>
      </c>
      <c r="I155" s="1" t="s">
        <v>16</v>
      </c>
    </row>
    <row r="156" spans="1:9" x14ac:dyDescent="0.25">
      <c r="A156" s="1" t="s">
        <v>9</v>
      </c>
      <c r="B156" s="1" t="s">
        <v>10</v>
      </c>
      <c r="C156" s="1" t="s">
        <v>72</v>
      </c>
      <c r="D156" s="1" t="s">
        <v>63</v>
      </c>
      <c r="E156">
        <v>650</v>
      </c>
      <c r="F156" s="1" t="s">
        <v>23</v>
      </c>
      <c r="G156" s="1" t="s">
        <v>14</v>
      </c>
      <c r="H156" s="1" t="s">
        <v>73</v>
      </c>
      <c r="I156" s="1" t="s">
        <v>16</v>
      </c>
    </row>
    <row r="157" spans="1:9" x14ac:dyDescent="0.25">
      <c r="A157" s="1" t="s">
        <v>9</v>
      </c>
      <c r="B157" s="1" t="s">
        <v>10</v>
      </c>
      <c r="C157" s="1" t="s">
        <v>72</v>
      </c>
      <c r="D157" s="1" t="s">
        <v>64</v>
      </c>
      <c r="E157">
        <v>650</v>
      </c>
      <c r="F157" s="1" t="s">
        <v>23</v>
      </c>
      <c r="G157" s="1" t="s">
        <v>14</v>
      </c>
      <c r="H157" s="1" t="s">
        <v>73</v>
      </c>
      <c r="I157" s="1" t="s">
        <v>16</v>
      </c>
    </row>
    <row r="158" spans="1:9" x14ac:dyDescent="0.25">
      <c r="A158" s="1" t="s">
        <v>9</v>
      </c>
      <c r="B158" s="1" t="s">
        <v>10</v>
      </c>
      <c r="C158" s="1" t="s">
        <v>72</v>
      </c>
      <c r="D158" s="1" t="s">
        <v>65</v>
      </c>
      <c r="E158">
        <v>650</v>
      </c>
      <c r="F158" s="1" t="s">
        <v>23</v>
      </c>
      <c r="G158" s="1" t="s">
        <v>14</v>
      </c>
      <c r="H158" s="1" t="s">
        <v>73</v>
      </c>
      <c r="I158" s="1" t="s">
        <v>16</v>
      </c>
    </row>
    <row r="159" spans="1:9" x14ac:dyDescent="0.25">
      <c r="A159" s="1" t="s">
        <v>9</v>
      </c>
      <c r="B159" s="1" t="s">
        <v>10</v>
      </c>
      <c r="C159" s="1" t="s">
        <v>72</v>
      </c>
      <c r="D159" s="1" t="s">
        <v>66</v>
      </c>
      <c r="E159">
        <v>650</v>
      </c>
      <c r="F159" s="1" t="s">
        <v>23</v>
      </c>
      <c r="G159" s="1" t="s">
        <v>14</v>
      </c>
      <c r="H159" s="1" t="s">
        <v>73</v>
      </c>
      <c r="I159" s="1" t="s">
        <v>16</v>
      </c>
    </row>
    <row r="160" spans="1:9" x14ac:dyDescent="0.25">
      <c r="A160" s="1" t="s">
        <v>9</v>
      </c>
      <c r="B160" s="1" t="s">
        <v>10</v>
      </c>
      <c r="C160" s="1" t="s">
        <v>72</v>
      </c>
      <c r="D160" s="1" t="s">
        <v>67</v>
      </c>
      <c r="E160">
        <v>650</v>
      </c>
      <c r="F160" s="1" t="s">
        <v>23</v>
      </c>
      <c r="G160" s="1" t="s">
        <v>14</v>
      </c>
      <c r="H160" s="1" t="s">
        <v>73</v>
      </c>
      <c r="I160" s="1" t="s">
        <v>16</v>
      </c>
    </row>
    <row r="161" spans="1:9" x14ac:dyDescent="0.25">
      <c r="A161" s="1" t="s">
        <v>9</v>
      </c>
      <c r="B161" s="1" t="s">
        <v>10</v>
      </c>
      <c r="C161" s="1" t="s">
        <v>72</v>
      </c>
      <c r="D161" s="1" t="s">
        <v>68</v>
      </c>
      <c r="E161">
        <v>650</v>
      </c>
      <c r="F161" s="1" t="s">
        <v>23</v>
      </c>
      <c r="G161" s="1" t="s">
        <v>14</v>
      </c>
      <c r="H161" s="1" t="s">
        <v>73</v>
      </c>
      <c r="I161" s="1" t="s">
        <v>16</v>
      </c>
    </row>
    <row r="162" spans="1:9" x14ac:dyDescent="0.25">
      <c r="A162" s="1" t="s">
        <v>9</v>
      </c>
      <c r="B162" s="1" t="s">
        <v>10</v>
      </c>
      <c r="C162" s="1" t="s">
        <v>72</v>
      </c>
      <c r="D162" s="1" t="s">
        <v>69</v>
      </c>
      <c r="E162">
        <v>650</v>
      </c>
      <c r="F162" s="1" t="s">
        <v>23</v>
      </c>
      <c r="G162" s="1" t="s">
        <v>14</v>
      </c>
      <c r="H162" s="1" t="s">
        <v>73</v>
      </c>
      <c r="I162" s="1" t="s">
        <v>16</v>
      </c>
    </row>
    <row r="163" spans="1:9" x14ac:dyDescent="0.25">
      <c r="A163" s="1" t="s">
        <v>9</v>
      </c>
      <c r="B163" s="1" t="s">
        <v>10</v>
      </c>
      <c r="C163" s="1" t="s">
        <v>72</v>
      </c>
      <c r="D163" s="1" t="s">
        <v>70</v>
      </c>
      <c r="E163">
        <v>650</v>
      </c>
      <c r="F163" s="1" t="s">
        <v>23</v>
      </c>
      <c r="G163" s="1" t="s">
        <v>14</v>
      </c>
      <c r="H163" s="1" t="s">
        <v>73</v>
      </c>
      <c r="I163" s="1" t="s">
        <v>16</v>
      </c>
    </row>
    <row r="164" spans="1:9" x14ac:dyDescent="0.25">
      <c r="A164" s="1" t="s">
        <v>9</v>
      </c>
      <c r="B164" s="1" t="s">
        <v>10</v>
      </c>
      <c r="C164" s="1" t="s">
        <v>74</v>
      </c>
      <c r="D164" s="1" t="s">
        <v>12</v>
      </c>
      <c r="E164">
        <v>175</v>
      </c>
      <c r="F164" s="1" t="s">
        <v>40</v>
      </c>
      <c r="G164" s="1" t="s">
        <v>14</v>
      </c>
      <c r="H164" s="1" t="s">
        <v>75</v>
      </c>
      <c r="I164" s="1" t="s">
        <v>16</v>
      </c>
    </row>
    <row r="165" spans="1:9" x14ac:dyDescent="0.25">
      <c r="A165" s="1" t="s">
        <v>9</v>
      </c>
      <c r="B165" s="1" t="s">
        <v>10</v>
      </c>
      <c r="C165" s="1" t="s">
        <v>74</v>
      </c>
      <c r="D165" s="1" t="s">
        <v>17</v>
      </c>
      <c r="E165">
        <v>325</v>
      </c>
      <c r="F165" s="1" t="s">
        <v>40</v>
      </c>
      <c r="G165" s="1" t="s">
        <v>14</v>
      </c>
      <c r="H165" s="1" t="s">
        <v>75</v>
      </c>
      <c r="I165" s="1" t="s">
        <v>16</v>
      </c>
    </row>
    <row r="166" spans="1:9" x14ac:dyDescent="0.25">
      <c r="A166" s="1" t="s">
        <v>9</v>
      </c>
      <c r="B166" s="1" t="s">
        <v>10</v>
      </c>
      <c r="C166" s="1" t="s">
        <v>74</v>
      </c>
      <c r="D166" s="1" t="s">
        <v>18</v>
      </c>
      <c r="E166">
        <v>650</v>
      </c>
      <c r="F166" s="1" t="s">
        <v>40</v>
      </c>
      <c r="G166" s="1" t="s">
        <v>14</v>
      </c>
      <c r="H166" s="1" t="s">
        <v>75</v>
      </c>
      <c r="I166" s="1" t="s">
        <v>16</v>
      </c>
    </row>
    <row r="167" spans="1:9" x14ac:dyDescent="0.25">
      <c r="A167" s="1" t="s">
        <v>9</v>
      </c>
      <c r="B167" s="1" t="s">
        <v>10</v>
      </c>
      <c r="C167" s="1" t="s">
        <v>74</v>
      </c>
      <c r="D167" s="1" t="s">
        <v>19</v>
      </c>
      <c r="E167">
        <v>325</v>
      </c>
      <c r="F167" s="1" t="s">
        <v>40</v>
      </c>
      <c r="G167" s="1" t="s">
        <v>14</v>
      </c>
      <c r="H167" s="1" t="s">
        <v>75</v>
      </c>
      <c r="I167" s="1" t="s">
        <v>16</v>
      </c>
    </row>
    <row r="168" spans="1:9" x14ac:dyDescent="0.25">
      <c r="A168" s="1" t="s">
        <v>9</v>
      </c>
      <c r="B168" s="1" t="s">
        <v>10</v>
      </c>
      <c r="C168" s="1" t="s">
        <v>74</v>
      </c>
      <c r="D168" s="1" t="s">
        <v>20</v>
      </c>
      <c r="E168">
        <v>175</v>
      </c>
      <c r="F168" s="1" t="s">
        <v>40</v>
      </c>
      <c r="G168" s="1" t="s">
        <v>14</v>
      </c>
      <c r="H168" s="1" t="s">
        <v>75</v>
      </c>
      <c r="I168" s="1" t="s">
        <v>16</v>
      </c>
    </row>
    <row r="169" spans="1:9" x14ac:dyDescent="0.25">
      <c r="A169" s="1" t="s">
        <v>9</v>
      </c>
      <c r="B169" s="1" t="s">
        <v>10</v>
      </c>
      <c r="C169" s="1" t="s">
        <v>74</v>
      </c>
      <c r="D169" s="1" t="s">
        <v>21</v>
      </c>
      <c r="E169">
        <v>175</v>
      </c>
      <c r="F169" s="1" t="s">
        <v>40</v>
      </c>
      <c r="G169" s="1" t="s">
        <v>14</v>
      </c>
      <c r="H169" s="1" t="s">
        <v>75</v>
      </c>
      <c r="I169" s="1" t="s">
        <v>16</v>
      </c>
    </row>
    <row r="170" spans="1:9" x14ac:dyDescent="0.25">
      <c r="A170" s="1" t="s">
        <v>9</v>
      </c>
      <c r="B170" s="1" t="s">
        <v>10</v>
      </c>
      <c r="C170" s="1" t="s">
        <v>74</v>
      </c>
      <c r="D170" s="1" t="s">
        <v>22</v>
      </c>
      <c r="E170">
        <v>175</v>
      </c>
      <c r="F170" s="1" t="s">
        <v>40</v>
      </c>
      <c r="G170" s="1" t="s">
        <v>14</v>
      </c>
      <c r="H170" s="1" t="s">
        <v>75</v>
      </c>
      <c r="I170" s="1" t="s">
        <v>16</v>
      </c>
    </row>
    <row r="171" spans="1:9" x14ac:dyDescent="0.25">
      <c r="A171" s="1" t="s">
        <v>9</v>
      </c>
      <c r="B171" s="1" t="s">
        <v>10</v>
      </c>
      <c r="C171" s="1" t="s">
        <v>74</v>
      </c>
      <c r="D171" s="1" t="s">
        <v>23</v>
      </c>
      <c r="E171">
        <v>325</v>
      </c>
      <c r="F171" s="1" t="s">
        <v>40</v>
      </c>
      <c r="G171" s="1" t="s">
        <v>14</v>
      </c>
      <c r="H171" s="1" t="s">
        <v>75</v>
      </c>
      <c r="I171" s="1" t="s">
        <v>16</v>
      </c>
    </row>
    <row r="172" spans="1:9" x14ac:dyDescent="0.25">
      <c r="A172" s="1" t="s">
        <v>9</v>
      </c>
      <c r="B172" s="1" t="s">
        <v>10</v>
      </c>
      <c r="C172" s="1" t="s">
        <v>74</v>
      </c>
      <c r="D172" s="1" t="s">
        <v>24</v>
      </c>
      <c r="E172">
        <v>650</v>
      </c>
      <c r="F172" s="1" t="s">
        <v>40</v>
      </c>
      <c r="G172" s="1" t="s">
        <v>14</v>
      </c>
      <c r="H172" s="1" t="s">
        <v>75</v>
      </c>
      <c r="I172" s="1" t="s">
        <v>16</v>
      </c>
    </row>
    <row r="173" spans="1:9" x14ac:dyDescent="0.25">
      <c r="A173" s="1" t="s">
        <v>9</v>
      </c>
      <c r="B173" s="1" t="s">
        <v>10</v>
      </c>
      <c r="C173" s="1" t="s">
        <v>74</v>
      </c>
      <c r="D173" s="1" t="s">
        <v>25</v>
      </c>
      <c r="E173">
        <v>325</v>
      </c>
      <c r="F173" s="1" t="s">
        <v>40</v>
      </c>
      <c r="G173" s="1" t="s">
        <v>14</v>
      </c>
      <c r="H173" s="1" t="s">
        <v>75</v>
      </c>
      <c r="I173" s="1" t="s">
        <v>16</v>
      </c>
    </row>
    <row r="174" spans="1:9" x14ac:dyDescent="0.25">
      <c r="A174" s="1" t="s">
        <v>9</v>
      </c>
      <c r="B174" s="1" t="s">
        <v>10</v>
      </c>
      <c r="C174" s="1" t="s">
        <v>74</v>
      </c>
      <c r="D174" s="1" t="s">
        <v>26</v>
      </c>
      <c r="E174">
        <v>325</v>
      </c>
      <c r="F174" s="1" t="s">
        <v>40</v>
      </c>
      <c r="G174" s="1" t="s">
        <v>14</v>
      </c>
      <c r="H174" s="1" t="s">
        <v>75</v>
      </c>
      <c r="I174" s="1" t="s">
        <v>16</v>
      </c>
    </row>
    <row r="175" spans="1:9" x14ac:dyDescent="0.25">
      <c r="A175" s="1" t="s">
        <v>9</v>
      </c>
      <c r="B175" s="1" t="s">
        <v>10</v>
      </c>
      <c r="C175" s="1" t="s">
        <v>74</v>
      </c>
      <c r="D175" s="1" t="s">
        <v>27</v>
      </c>
      <c r="E175">
        <v>175</v>
      </c>
      <c r="F175" s="1" t="s">
        <v>40</v>
      </c>
      <c r="G175" s="1" t="s">
        <v>14</v>
      </c>
      <c r="H175" s="1" t="s">
        <v>75</v>
      </c>
      <c r="I175" s="1" t="s">
        <v>16</v>
      </c>
    </row>
    <row r="176" spans="1:9" x14ac:dyDescent="0.25">
      <c r="A176" s="1" t="s">
        <v>9</v>
      </c>
      <c r="B176" s="1" t="s">
        <v>10</v>
      </c>
      <c r="C176" s="1" t="s">
        <v>74</v>
      </c>
      <c r="D176" s="1" t="s">
        <v>28</v>
      </c>
      <c r="E176">
        <v>175</v>
      </c>
      <c r="F176" s="1" t="s">
        <v>40</v>
      </c>
      <c r="G176" s="1" t="s">
        <v>14</v>
      </c>
      <c r="H176" s="1" t="s">
        <v>75</v>
      </c>
      <c r="I176" s="1" t="s">
        <v>16</v>
      </c>
    </row>
    <row r="177" spans="1:9" x14ac:dyDescent="0.25">
      <c r="A177" s="1" t="s">
        <v>9</v>
      </c>
      <c r="B177" s="1" t="s">
        <v>10</v>
      </c>
      <c r="C177" s="1" t="s">
        <v>74</v>
      </c>
      <c r="D177" s="1" t="s">
        <v>29</v>
      </c>
      <c r="E177">
        <v>175</v>
      </c>
      <c r="F177" s="1" t="s">
        <v>40</v>
      </c>
      <c r="G177" s="1" t="s">
        <v>14</v>
      </c>
      <c r="H177" s="1" t="s">
        <v>75</v>
      </c>
      <c r="I177" s="1" t="s">
        <v>16</v>
      </c>
    </row>
    <row r="178" spans="1:9" x14ac:dyDescent="0.25">
      <c r="A178" s="1" t="s">
        <v>9</v>
      </c>
      <c r="B178" s="1" t="s">
        <v>10</v>
      </c>
      <c r="C178" s="1" t="s">
        <v>74</v>
      </c>
      <c r="D178" s="1" t="s">
        <v>30</v>
      </c>
      <c r="E178">
        <v>175</v>
      </c>
      <c r="F178" s="1" t="s">
        <v>40</v>
      </c>
      <c r="G178" s="1" t="s">
        <v>14</v>
      </c>
      <c r="H178" s="1" t="s">
        <v>75</v>
      </c>
      <c r="I178" s="1" t="s">
        <v>16</v>
      </c>
    </row>
    <row r="179" spans="1:9" x14ac:dyDescent="0.25">
      <c r="A179" s="1" t="s">
        <v>9</v>
      </c>
      <c r="B179" s="1" t="s">
        <v>10</v>
      </c>
      <c r="C179" s="1" t="s">
        <v>74</v>
      </c>
      <c r="D179" s="1" t="s">
        <v>31</v>
      </c>
      <c r="E179">
        <v>175</v>
      </c>
      <c r="F179" s="1" t="s">
        <v>40</v>
      </c>
      <c r="G179" s="1" t="s">
        <v>14</v>
      </c>
      <c r="H179" s="1" t="s">
        <v>75</v>
      </c>
      <c r="I179" s="1" t="s">
        <v>16</v>
      </c>
    </row>
    <row r="180" spans="1:9" x14ac:dyDescent="0.25">
      <c r="A180" s="1" t="s">
        <v>9</v>
      </c>
      <c r="B180" s="1" t="s">
        <v>10</v>
      </c>
      <c r="C180" s="1" t="s">
        <v>74</v>
      </c>
      <c r="D180" s="1" t="s">
        <v>32</v>
      </c>
      <c r="E180">
        <v>175</v>
      </c>
      <c r="F180" s="1" t="s">
        <v>40</v>
      </c>
      <c r="G180" s="1" t="s">
        <v>14</v>
      </c>
      <c r="H180" s="1" t="s">
        <v>75</v>
      </c>
      <c r="I180" s="1" t="s">
        <v>16</v>
      </c>
    </row>
    <row r="181" spans="1:9" x14ac:dyDescent="0.25">
      <c r="A181" s="1" t="s">
        <v>9</v>
      </c>
      <c r="B181" s="1" t="s">
        <v>10</v>
      </c>
      <c r="C181" s="1" t="s">
        <v>74</v>
      </c>
      <c r="D181" s="1" t="s">
        <v>33</v>
      </c>
      <c r="E181">
        <v>650</v>
      </c>
      <c r="F181" s="1" t="s">
        <v>40</v>
      </c>
      <c r="G181" s="1" t="s">
        <v>14</v>
      </c>
      <c r="H181" s="1" t="s">
        <v>75</v>
      </c>
      <c r="I181" s="1" t="s">
        <v>16</v>
      </c>
    </row>
    <row r="182" spans="1:9" x14ac:dyDescent="0.25">
      <c r="A182" s="1" t="s">
        <v>9</v>
      </c>
      <c r="B182" s="1" t="s">
        <v>10</v>
      </c>
      <c r="C182" s="1" t="s">
        <v>74</v>
      </c>
      <c r="D182" s="1" t="s">
        <v>34</v>
      </c>
      <c r="E182">
        <v>175</v>
      </c>
      <c r="F182" s="1" t="s">
        <v>40</v>
      </c>
      <c r="G182" s="1" t="s">
        <v>14</v>
      </c>
      <c r="H182" s="1" t="s">
        <v>75</v>
      </c>
      <c r="I182" s="1" t="s">
        <v>16</v>
      </c>
    </row>
    <row r="183" spans="1:9" x14ac:dyDescent="0.25">
      <c r="A183" s="1" t="s">
        <v>9</v>
      </c>
      <c r="B183" s="1" t="s">
        <v>10</v>
      </c>
      <c r="C183" s="1" t="s">
        <v>74</v>
      </c>
      <c r="D183" s="1" t="s">
        <v>35</v>
      </c>
      <c r="E183">
        <v>325</v>
      </c>
      <c r="F183" s="1" t="s">
        <v>40</v>
      </c>
      <c r="G183" s="1" t="s">
        <v>14</v>
      </c>
      <c r="H183" s="1" t="s">
        <v>75</v>
      </c>
      <c r="I183" s="1" t="s">
        <v>16</v>
      </c>
    </row>
    <row r="184" spans="1:9" x14ac:dyDescent="0.25">
      <c r="A184" s="1" t="s">
        <v>9</v>
      </c>
      <c r="B184" s="1" t="s">
        <v>10</v>
      </c>
      <c r="C184" s="1" t="s">
        <v>74</v>
      </c>
      <c r="D184" s="1" t="s">
        <v>36</v>
      </c>
      <c r="E184">
        <v>650</v>
      </c>
      <c r="F184" s="1" t="s">
        <v>40</v>
      </c>
      <c r="G184" s="1" t="s">
        <v>14</v>
      </c>
      <c r="H184" s="1" t="s">
        <v>75</v>
      </c>
      <c r="I184" s="1" t="s">
        <v>16</v>
      </c>
    </row>
    <row r="185" spans="1:9" x14ac:dyDescent="0.25">
      <c r="A185" s="1" t="s">
        <v>9</v>
      </c>
      <c r="B185" s="1" t="s">
        <v>10</v>
      </c>
      <c r="C185" s="1" t="s">
        <v>74</v>
      </c>
      <c r="D185" s="1" t="s">
        <v>37</v>
      </c>
      <c r="E185">
        <v>325</v>
      </c>
      <c r="F185" s="1" t="s">
        <v>40</v>
      </c>
      <c r="G185" s="1" t="s">
        <v>14</v>
      </c>
      <c r="H185" s="1" t="s">
        <v>75</v>
      </c>
      <c r="I185" s="1" t="s">
        <v>16</v>
      </c>
    </row>
    <row r="186" spans="1:9" x14ac:dyDescent="0.25">
      <c r="A186" s="1" t="s">
        <v>9</v>
      </c>
      <c r="B186" s="1" t="s">
        <v>10</v>
      </c>
      <c r="C186" s="1" t="s">
        <v>74</v>
      </c>
      <c r="D186" s="1" t="s">
        <v>38</v>
      </c>
      <c r="E186">
        <v>650</v>
      </c>
      <c r="F186" s="1" t="s">
        <v>40</v>
      </c>
      <c r="G186" s="1" t="s">
        <v>14</v>
      </c>
      <c r="H186" s="1" t="s">
        <v>75</v>
      </c>
      <c r="I186" s="1" t="s">
        <v>16</v>
      </c>
    </row>
    <row r="187" spans="1:9" x14ac:dyDescent="0.25">
      <c r="A187" s="1" t="s">
        <v>9</v>
      </c>
      <c r="B187" s="1" t="s">
        <v>10</v>
      </c>
      <c r="C187" s="1" t="s">
        <v>74</v>
      </c>
      <c r="D187" s="1" t="s">
        <v>39</v>
      </c>
      <c r="E187">
        <v>325</v>
      </c>
      <c r="F187" s="1" t="s">
        <v>40</v>
      </c>
      <c r="G187" s="1" t="s">
        <v>14</v>
      </c>
      <c r="H187" s="1" t="s">
        <v>75</v>
      </c>
      <c r="I187" s="1" t="s">
        <v>16</v>
      </c>
    </row>
    <row r="188" spans="1:9" x14ac:dyDescent="0.25">
      <c r="A188" s="1" t="s">
        <v>9</v>
      </c>
      <c r="B188" s="1" t="s">
        <v>10</v>
      </c>
      <c r="C188" s="1" t="s">
        <v>74</v>
      </c>
      <c r="D188" s="1" t="s">
        <v>40</v>
      </c>
      <c r="E188">
        <v>650</v>
      </c>
      <c r="F188" s="1" t="s">
        <v>40</v>
      </c>
      <c r="G188" s="1" t="s">
        <v>14</v>
      </c>
      <c r="H188" s="1" t="s">
        <v>75</v>
      </c>
      <c r="I188" s="1" t="s">
        <v>16</v>
      </c>
    </row>
    <row r="189" spans="1:9" x14ac:dyDescent="0.25">
      <c r="A189" s="1" t="s">
        <v>9</v>
      </c>
      <c r="B189" s="1" t="s">
        <v>10</v>
      </c>
      <c r="C189" s="1" t="s">
        <v>74</v>
      </c>
      <c r="D189" s="1" t="s">
        <v>41</v>
      </c>
      <c r="E189">
        <v>325</v>
      </c>
      <c r="F189" s="1" t="s">
        <v>40</v>
      </c>
      <c r="G189" s="1" t="s">
        <v>14</v>
      </c>
      <c r="H189" s="1" t="s">
        <v>75</v>
      </c>
      <c r="I189" s="1" t="s">
        <v>16</v>
      </c>
    </row>
    <row r="190" spans="1:9" x14ac:dyDescent="0.25">
      <c r="A190" s="1" t="s">
        <v>9</v>
      </c>
      <c r="B190" s="1" t="s">
        <v>10</v>
      </c>
      <c r="C190" s="1" t="s">
        <v>74</v>
      </c>
      <c r="D190" s="1" t="s">
        <v>42</v>
      </c>
      <c r="E190">
        <v>325</v>
      </c>
      <c r="F190" s="1" t="s">
        <v>40</v>
      </c>
      <c r="G190" s="1" t="s">
        <v>14</v>
      </c>
      <c r="H190" s="1" t="s">
        <v>75</v>
      </c>
      <c r="I190" s="1" t="s">
        <v>16</v>
      </c>
    </row>
    <row r="191" spans="1:9" x14ac:dyDescent="0.25">
      <c r="A191" s="1" t="s">
        <v>9</v>
      </c>
      <c r="B191" s="1" t="s">
        <v>10</v>
      </c>
      <c r="C191" s="1" t="s">
        <v>74</v>
      </c>
      <c r="D191" s="1" t="s">
        <v>43</v>
      </c>
      <c r="E191">
        <v>175</v>
      </c>
      <c r="F191" s="1" t="s">
        <v>40</v>
      </c>
      <c r="G191" s="1" t="s">
        <v>14</v>
      </c>
      <c r="H191" s="1" t="s">
        <v>75</v>
      </c>
      <c r="I191" s="1" t="s">
        <v>16</v>
      </c>
    </row>
    <row r="192" spans="1:9" x14ac:dyDescent="0.25">
      <c r="A192" s="1" t="s">
        <v>9</v>
      </c>
      <c r="B192" s="1" t="s">
        <v>10</v>
      </c>
      <c r="C192" s="1" t="s">
        <v>74</v>
      </c>
      <c r="D192" s="1" t="s">
        <v>45</v>
      </c>
      <c r="E192">
        <v>325</v>
      </c>
      <c r="F192" s="1" t="s">
        <v>40</v>
      </c>
      <c r="G192" s="1" t="s">
        <v>14</v>
      </c>
      <c r="H192" s="1" t="s">
        <v>75</v>
      </c>
      <c r="I192" s="1" t="s">
        <v>16</v>
      </c>
    </row>
    <row r="193" spans="1:9" x14ac:dyDescent="0.25">
      <c r="A193" s="1" t="s">
        <v>9</v>
      </c>
      <c r="B193" s="1" t="s">
        <v>10</v>
      </c>
      <c r="C193" s="1" t="s">
        <v>74</v>
      </c>
      <c r="D193" s="1" t="s">
        <v>46</v>
      </c>
      <c r="E193">
        <v>650</v>
      </c>
      <c r="F193" s="1" t="s">
        <v>40</v>
      </c>
      <c r="G193" s="1" t="s">
        <v>14</v>
      </c>
      <c r="H193" s="1" t="s">
        <v>75</v>
      </c>
      <c r="I193" s="1" t="s">
        <v>16</v>
      </c>
    </row>
    <row r="194" spans="1:9" x14ac:dyDescent="0.25">
      <c r="A194" s="1" t="s">
        <v>9</v>
      </c>
      <c r="B194" s="1" t="s">
        <v>10</v>
      </c>
      <c r="C194" s="1" t="s">
        <v>74</v>
      </c>
      <c r="D194" s="1" t="s">
        <v>47</v>
      </c>
      <c r="E194">
        <v>325</v>
      </c>
      <c r="F194" s="1" t="s">
        <v>40</v>
      </c>
      <c r="G194" s="1" t="s">
        <v>14</v>
      </c>
      <c r="H194" s="1" t="s">
        <v>75</v>
      </c>
      <c r="I194" s="1" t="s">
        <v>16</v>
      </c>
    </row>
    <row r="195" spans="1:9" x14ac:dyDescent="0.25">
      <c r="A195" s="1" t="s">
        <v>9</v>
      </c>
      <c r="B195" s="1" t="s">
        <v>10</v>
      </c>
      <c r="C195" s="1" t="s">
        <v>74</v>
      </c>
      <c r="D195" s="1" t="s">
        <v>48</v>
      </c>
      <c r="E195">
        <v>175</v>
      </c>
      <c r="F195" s="1" t="s">
        <v>40</v>
      </c>
      <c r="G195" s="1" t="s">
        <v>14</v>
      </c>
      <c r="H195" s="1" t="s">
        <v>75</v>
      </c>
      <c r="I195" s="1" t="s">
        <v>16</v>
      </c>
    </row>
    <row r="196" spans="1:9" x14ac:dyDescent="0.25">
      <c r="A196" s="1" t="s">
        <v>9</v>
      </c>
      <c r="B196" s="1" t="s">
        <v>10</v>
      </c>
      <c r="C196" s="1" t="s">
        <v>74</v>
      </c>
      <c r="D196" s="1" t="s">
        <v>49</v>
      </c>
      <c r="E196">
        <v>175</v>
      </c>
      <c r="F196" s="1" t="s">
        <v>40</v>
      </c>
      <c r="G196" s="1" t="s">
        <v>14</v>
      </c>
      <c r="H196" s="1" t="s">
        <v>75</v>
      </c>
      <c r="I196" s="1" t="s">
        <v>16</v>
      </c>
    </row>
    <row r="197" spans="1:9" x14ac:dyDescent="0.25">
      <c r="A197" s="1" t="s">
        <v>9</v>
      </c>
      <c r="B197" s="1" t="s">
        <v>10</v>
      </c>
      <c r="C197" s="1" t="s">
        <v>74</v>
      </c>
      <c r="D197" s="1" t="s">
        <v>50</v>
      </c>
      <c r="E197">
        <v>175</v>
      </c>
      <c r="F197" s="1" t="s">
        <v>40</v>
      </c>
      <c r="G197" s="1" t="s">
        <v>14</v>
      </c>
      <c r="H197" s="1" t="s">
        <v>75</v>
      </c>
      <c r="I197" s="1" t="s">
        <v>16</v>
      </c>
    </row>
    <row r="198" spans="1:9" x14ac:dyDescent="0.25">
      <c r="A198" s="1" t="s">
        <v>9</v>
      </c>
      <c r="B198" s="1" t="s">
        <v>10</v>
      </c>
      <c r="C198" s="1" t="s">
        <v>74</v>
      </c>
      <c r="D198" s="1" t="s">
        <v>51</v>
      </c>
      <c r="E198">
        <v>325</v>
      </c>
      <c r="F198" s="1" t="s">
        <v>40</v>
      </c>
      <c r="G198" s="1" t="s">
        <v>14</v>
      </c>
      <c r="H198" s="1" t="s">
        <v>75</v>
      </c>
      <c r="I198" s="1" t="s">
        <v>16</v>
      </c>
    </row>
    <row r="199" spans="1:9" x14ac:dyDescent="0.25">
      <c r="A199" s="1" t="s">
        <v>9</v>
      </c>
      <c r="B199" s="1" t="s">
        <v>10</v>
      </c>
      <c r="C199" s="1" t="s">
        <v>74</v>
      </c>
      <c r="D199" s="1" t="s">
        <v>52</v>
      </c>
      <c r="E199">
        <v>650</v>
      </c>
      <c r="F199" s="1" t="s">
        <v>40</v>
      </c>
      <c r="G199" s="1" t="s">
        <v>14</v>
      </c>
      <c r="H199" s="1" t="s">
        <v>75</v>
      </c>
      <c r="I199" s="1" t="s">
        <v>16</v>
      </c>
    </row>
    <row r="200" spans="1:9" x14ac:dyDescent="0.25">
      <c r="A200" s="1" t="s">
        <v>9</v>
      </c>
      <c r="B200" s="1" t="s">
        <v>10</v>
      </c>
      <c r="C200" s="1" t="s">
        <v>74</v>
      </c>
      <c r="D200" s="1" t="s">
        <v>53</v>
      </c>
      <c r="E200">
        <v>325</v>
      </c>
      <c r="F200" s="1" t="s">
        <v>40</v>
      </c>
      <c r="G200" s="1" t="s">
        <v>14</v>
      </c>
      <c r="H200" s="1" t="s">
        <v>75</v>
      </c>
      <c r="I200" s="1" t="s">
        <v>16</v>
      </c>
    </row>
    <row r="201" spans="1:9" x14ac:dyDescent="0.25">
      <c r="A201" s="1" t="s">
        <v>9</v>
      </c>
      <c r="B201" s="1" t="s">
        <v>10</v>
      </c>
      <c r="C201" s="1" t="s">
        <v>74</v>
      </c>
      <c r="D201" s="1" t="s">
        <v>54</v>
      </c>
      <c r="E201">
        <v>325</v>
      </c>
      <c r="F201" s="1" t="s">
        <v>40</v>
      </c>
      <c r="G201" s="1" t="s">
        <v>14</v>
      </c>
      <c r="H201" s="1" t="s">
        <v>75</v>
      </c>
      <c r="I201" s="1" t="s">
        <v>16</v>
      </c>
    </row>
    <row r="202" spans="1:9" x14ac:dyDescent="0.25">
      <c r="A202" s="1" t="s">
        <v>9</v>
      </c>
      <c r="B202" s="1" t="s">
        <v>10</v>
      </c>
      <c r="C202" s="1" t="s">
        <v>74</v>
      </c>
      <c r="D202" s="1" t="s">
        <v>55</v>
      </c>
      <c r="E202">
        <v>175</v>
      </c>
      <c r="F202" s="1" t="s">
        <v>40</v>
      </c>
      <c r="G202" s="1" t="s">
        <v>14</v>
      </c>
      <c r="H202" s="1" t="s">
        <v>75</v>
      </c>
      <c r="I202" s="1" t="s">
        <v>16</v>
      </c>
    </row>
    <row r="203" spans="1:9" x14ac:dyDescent="0.25">
      <c r="A203" s="1" t="s">
        <v>9</v>
      </c>
      <c r="B203" s="1" t="s">
        <v>10</v>
      </c>
      <c r="C203" s="1" t="s">
        <v>74</v>
      </c>
      <c r="D203" s="1" t="s">
        <v>56</v>
      </c>
      <c r="E203">
        <v>175</v>
      </c>
      <c r="F203" s="1" t="s">
        <v>40</v>
      </c>
      <c r="G203" s="1" t="s">
        <v>14</v>
      </c>
      <c r="H203" s="1" t="s">
        <v>75</v>
      </c>
      <c r="I203" s="1" t="s">
        <v>16</v>
      </c>
    </row>
    <row r="204" spans="1:9" x14ac:dyDescent="0.25">
      <c r="A204" s="1" t="s">
        <v>9</v>
      </c>
      <c r="B204" s="1" t="s">
        <v>10</v>
      </c>
      <c r="C204" s="1" t="s">
        <v>74</v>
      </c>
      <c r="D204" s="1" t="s">
        <v>57</v>
      </c>
      <c r="E204">
        <v>175</v>
      </c>
      <c r="F204" s="1" t="s">
        <v>40</v>
      </c>
      <c r="G204" s="1" t="s">
        <v>14</v>
      </c>
      <c r="H204" s="1" t="s">
        <v>75</v>
      </c>
      <c r="I204" s="1" t="s">
        <v>16</v>
      </c>
    </row>
    <row r="205" spans="1:9" x14ac:dyDescent="0.25">
      <c r="A205" s="1" t="s">
        <v>9</v>
      </c>
      <c r="B205" s="1" t="s">
        <v>10</v>
      </c>
      <c r="C205" s="1" t="s">
        <v>74</v>
      </c>
      <c r="D205" s="1" t="s">
        <v>58</v>
      </c>
      <c r="E205">
        <v>175</v>
      </c>
      <c r="F205" s="1" t="s">
        <v>40</v>
      </c>
      <c r="G205" s="1" t="s">
        <v>14</v>
      </c>
      <c r="H205" s="1" t="s">
        <v>75</v>
      </c>
      <c r="I205" s="1" t="s">
        <v>16</v>
      </c>
    </row>
    <row r="206" spans="1:9" x14ac:dyDescent="0.25">
      <c r="A206" s="1" t="s">
        <v>9</v>
      </c>
      <c r="B206" s="1" t="s">
        <v>10</v>
      </c>
      <c r="C206" s="1" t="s">
        <v>74</v>
      </c>
      <c r="D206" s="1" t="s">
        <v>59</v>
      </c>
      <c r="E206">
        <v>175</v>
      </c>
      <c r="F206" s="1" t="s">
        <v>40</v>
      </c>
      <c r="G206" s="1" t="s">
        <v>14</v>
      </c>
      <c r="H206" s="1" t="s">
        <v>75</v>
      </c>
      <c r="I206" s="1" t="s">
        <v>16</v>
      </c>
    </row>
    <row r="207" spans="1:9" x14ac:dyDescent="0.25">
      <c r="A207" s="1" t="s">
        <v>9</v>
      </c>
      <c r="B207" s="1" t="s">
        <v>10</v>
      </c>
      <c r="C207" s="1" t="s">
        <v>74</v>
      </c>
      <c r="D207" s="1" t="s">
        <v>60</v>
      </c>
      <c r="E207">
        <v>175</v>
      </c>
      <c r="F207" s="1" t="s">
        <v>40</v>
      </c>
      <c r="G207" s="1" t="s">
        <v>14</v>
      </c>
      <c r="H207" s="1" t="s">
        <v>75</v>
      </c>
      <c r="I207" s="1" t="s">
        <v>16</v>
      </c>
    </row>
    <row r="208" spans="1:9" x14ac:dyDescent="0.25">
      <c r="A208" s="1" t="s">
        <v>9</v>
      </c>
      <c r="B208" s="1" t="s">
        <v>10</v>
      </c>
      <c r="C208" s="1" t="s">
        <v>74</v>
      </c>
      <c r="D208" s="1" t="s">
        <v>61</v>
      </c>
      <c r="E208">
        <v>650</v>
      </c>
      <c r="F208" s="1" t="s">
        <v>40</v>
      </c>
      <c r="G208" s="1" t="s">
        <v>14</v>
      </c>
      <c r="H208" s="1" t="s">
        <v>75</v>
      </c>
      <c r="I208" s="1" t="s">
        <v>16</v>
      </c>
    </row>
    <row r="209" spans="1:9" x14ac:dyDescent="0.25">
      <c r="A209" s="1" t="s">
        <v>9</v>
      </c>
      <c r="B209" s="1" t="s">
        <v>10</v>
      </c>
      <c r="C209" s="1" t="s">
        <v>74</v>
      </c>
      <c r="D209" s="1" t="s">
        <v>62</v>
      </c>
      <c r="E209">
        <v>175</v>
      </c>
      <c r="F209" s="1" t="s">
        <v>40</v>
      </c>
      <c r="G209" s="1" t="s">
        <v>14</v>
      </c>
      <c r="H209" s="1" t="s">
        <v>75</v>
      </c>
      <c r="I209" s="1" t="s">
        <v>16</v>
      </c>
    </row>
    <row r="210" spans="1:9" x14ac:dyDescent="0.25">
      <c r="A210" s="1" t="s">
        <v>9</v>
      </c>
      <c r="B210" s="1" t="s">
        <v>10</v>
      </c>
      <c r="C210" s="1" t="s">
        <v>74</v>
      </c>
      <c r="D210" s="1" t="s">
        <v>63</v>
      </c>
      <c r="E210">
        <v>325</v>
      </c>
      <c r="F210" s="1" t="s">
        <v>40</v>
      </c>
      <c r="G210" s="1" t="s">
        <v>14</v>
      </c>
      <c r="H210" s="1" t="s">
        <v>75</v>
      </c>
      <c r="I210" s="1" t="s">
        <v>16</v>
      </c>
    </row>
    <row r="211" spans="1:9" x14ac:dyDescent="0.25">
      <c r="A211" s="1" t="s">
        <v>9</v>
      </c>
      <c r="B211" s="1" t="s">
        <v>10</v>
      </c>
      <c r="C211" s="1" t="s">
        <v>74</v>
      </c>
      <c r="D211" s="1" t="s">
        <v>64</v>
      </c>
      <c r="E211">
        <v>650</v>
      </c>
      <c r="F211" s="1" t="s">
        <v>40</v>
      </c>
      <c r="G211" s="1" t="s">
        <v>14</v>
      </c>
      <c r="H211" s="1" t="s">
        <v>75</v>
      </c>
      <c r="I211" s="1" t="s">
        <v>16</v>
      </c>
    </row>
    <row r="212" spans="1:9" x14ac:dyDescent="0.25">
      <c r="A212" s="1" t="s">
        <v>9</v>
      </c>
      <c r="B212" s="1" t="s">
        <v>10</v>
      </c>
      <c r="C212" s="1" t="s">
        <v>74</v>
      </c>
      <c r="D212" s="1" t="s">
        <v>65</v>
      </c>
      <c r="E212">
        <v>325</v>
      </c>
      <c r="F212" s="1" t="s">
        <v>40</v>
      </c>
      <c r="G212" s="1" t="s">
        <v>14</v>
      </c>
      <c r="H212" s="1" t="s">
        <v>75</v>
      </c>
      <c r="I212" s="1" t="s">
        <v>16</v>
      </c>
    </row>
    <row r="213" spans="1:9" x14ac:dyDescent="0.25">
      <c r="A213" s="1" t="s">
        <v>9</v>
      </c>
      <c r="B213" s="1" t="s">
        <v>10</v>
      </c>
      <c r="C213" s="1" t="s">
        <v>74</v>
      </c>
      <c r="D213" s="1" t="s">
        <v>66</v>
      </c>
      <c r="E213">
        <v>650</v>
      </c>
      <c r="F213" s="1" t="s">
        <v>40</v>
      </c>
      <c r="G213" s="1" t="s">
        <v>14</v>
      </c>
      <c r="H213" s="1" t="s">
        <v>75</v>
      </c>
      <c r="I213" s="1" t="s">
        <v>16</v>
      </c>
    </row>
    <row r="214" spans="1:9" x14ac:dyDescent="0.25">
      <c r="A214" s="1" t="s">
        <v>9</v>
      </c>
      <c r="B214" s="1" t="s">
        <v>10</v>
      </c>
      <c r="C214" s="1" t="s">
        <v>74</v>
      </c>
      <c r="D214" s="1" t="s">
        <v>67</v>
      </c>
      <c r="E214">
        <v>325</v>
      </c>
      <c r="F214" s="1" t="s">
        <v>40</v>
      </c>
      <c r="G214" s="1" t="s">
        <v>14</v>
      </c>
      <c r="H214" s="1" t="s">
        <v>75</v>
      </c>
      <c r="I214" s="1" t="s">
        <v>16</v>
      </c>
    </row>
    <row r="215" spans="1:9" x14ac:dyDescent="0.25">
      <c r="A215" s="1" t="s">
        <v>9</v>
      </c>
      <c r="B215" s="1" t="s">
        <v>10</v>
      </c>
      <c r="C215" s="1" t="s">
        <v>74</v>
      </c>
      <c r="D215" s="1" t="s">
        <v>68</v>
      </c>
      <c r="E215">
        <v>650</v>
      </c>
      <c r="F215" s="1" t="s">
        <v>40</v>
      </c>
      <c r="G215" s="1" t="s">
        <v>14</v>
      </c>
      <c r="H215" s="1" t="s">
        <v>75</v>
      </c>
      <c r="I215" s="1" t="s">
        <v>16</v>
      </c>
    </row>
    <row r="216" spans="1:9" x14ac:dyDescent="0.25">
      <c r="A216" s="1" t="s">
        <v>9</v>
      </c>
      <c r="B216" s="1" t="s">
        <v>10</v>
      </c>
      <c r="C216" s="1" t="s">
        <v>74</v>
      </c>
      <c r="D216" s="1" t="s">
        <v>69</v>
      </c>
      <c r="E216">
        <v>325</v>
      </c>
      <c r="F216" s="1" t="s">
        <v>40</v>
      </c>
      <c r="G216" s="1" t="s">
        <v>14</v>
      </c>
      <c r="H216" s="1" t="s">
        <v>75</v>
      </c>
      <c r="I216" s="1" t="s">
        <v>16</v>
      </c>
    </row>
    <row r="217" spans="1:9" x14ac:dyDescent="0.25">
      <c r="A217" s="1" t="s">
        <v>9</v>
      </c>
      <c r="B217" s="1" t="s">
        <v>10</v>
      </c>
      <c r="C217" s="1" t="s">
        <v>74</v>
      </c>
      <c r="D217" s="1" t="s">
        <v>70</v>
      </c>
      <c r="E217">
        <v>325</v>
      </c>
      <c r="F217" s="1" t="s">
        <v>40</v>
      </c>
      <c r="G217" s="1" t="s">
        <v>14</v>
      </c>
      <c r="H217" s="1" t="s">
        <v>75</v>
      </c>
      <c r="I217" s="1" t="s">
        <v>16</v>
      </c>
    </row>
    <row r="218" spans="1:9" x14ac:dyDescent="0.25">
      <c r="A218" s="1" t="s">
        <v>9</v>
      </c>
      <c r="B218" s="1" t="s">
        <v>10</v>
      </c>
      <c r="C218" s="1" t="s">
        <v>76</v>
      </c>
      <c r="D218" s="1" t="s">
        <v>12</v>
      </c>
      <c r="E218">
        <v>175</v>
      </c>
      <c r="F218" s="1" t="s">
        <v>22</v>
      </c>
      <c r="G218" s="1" t="s">
        <v>14</v>
      </c>
      <c r="H218" s="1" t="s">
        <v>15</v>
      </c>
      <c r="I218" s="1" t="s">
        <v>16</v>
      </c>
    </row>
    <row r="219" spans="1:9" x14ac:dyDescent="0.25">
      <c r="A219" s="1" t="s">
        <v>9</v>
      </c>
      <c r="B219" s="1" t="s">
        <v>10</v>
      </c>
      <c r="C219" s="1" t="s">
        <v>76</v>
      </c>
      <c r="D219" s="1" t="s">
        <v>17</v>
      </c>
      <c r="E219">
        <v>350</v>
      </c>
      <c r="F219" s="1" t="s">
        <v>22</v>
      </c>
      <c r="G219" s="1" t="s">
        <v>14</v>
      </c>
      <c r="H219" s="1" t="s">
        <v>15</v>
      </c>
      <c r="I219" s="1" t="s">
        <v>16</v>
      </c>
    </row>
    <row r="220" spans="1:9" x14ac:dyDescent="0.25">
      <c r="A220" s="1" t="s">
        <v>9</v>
      </c>
      <c r="B220" s="1" t="s">
        <v>10</v>
      </c>
      <c r="C220" s="1" t="s">
        <v>76</v>
      </c>
      <c r="D220" s="1" t="s">
        <v>18</v>
      </c>
      <c r="E220">
        <v>350</v>
      </c>
      <c r="F220" s="1" t="s">
        <v>22</v>
      </c>
      <c r="G220" s="1" t="s">
        <v>14</v>
      </c>
      <c r="H220" s="1" t="s">
        <v>15</v>
      </c>
      <c r="I220" s="1" t="s">
        <v>16</v>
      </c>
    </row>
    <row r="221" spans="1:9" x14ac:dyDescent="0.25">
      <c r="A221" s="1" t="s">
        <v>9</v>
      </c>
      <c r="B221" s="1" t="s">
        <v>10</v>
      </c>
      <c r="C221" s="1" t="s">
        <v>76</v>
      </c>
      <c r="D221" s="1" t="s">
        <v>19</v>
      </c>
      <c r="E221">
        <v>175</v>
      </c>
      <c r="F221" s="1" t="s">
        <v>22</v>
      </c>
      <c r="G221" s="1" t="s">
        <v>14</v>
      </c>
      <c r="H221" s="1" t="s">
        <v>15</v>
      </c>
      <c r="I221" s="1" t="s">
        <v>16</v>
      </c>
    </row>
    <row r="222" spans="1:9" x14ac:dyDescent="0.25">
      <c r="A222" s="1" t="s">
        <v>9</v>
      </c>
      <c r="B222" s="1" t="s">
        <v>10</v>
      </c>
      <c r="C222" s="1" t="s">
        <v>76</v>
      </c>
      <c r="D222" s="1" t="s">
        <v>20</v>
      </c>
      <c r="E222">
        <v>175</v>
      </c>
      <c r="F222" s="1" t="s">
        <v>22</v>
      </c>
      <c r="G222" s="1" t="s">
        <v>14</v>
      </c>
      <c r="H222" s="1" t="s">
        <v>15</v>
      </c>
      <c r="I222" s="1" t="s">
        <v>16</v>
      </c>
    </row>
    <row r="223" spans="1:9" x14ac:dyDescent="0.25">
      <c r="A223" s="1" t="s">
        <v>9</v>
      </c>
      <c r="B223" s="1" t="s">
        <v>10</v>
      </c>
      <c r="C223" s="1" t="s">
        <v>76</v>
      </c>
      <c r="D223" s="1" t="s">
        <v>21</v>
      </c>
      <c r="E223">
        <v>175</v>
      </c>
      <c r="F223" s="1" t="s">
        <v>22</v>
      </c>
      <c r="G223" s="1" t="s">
        <v>14</v>
      </c>
      <c r="H223" s="1" t="s">
        <v>15</v>
      </c>
      <c r="I223" s="1" t="s">
        <v>16</v>
      </c>
    </row>
    <row r="224" spans="1:9" x14ac:dyDescent="0.25">
      <c r="A224" s="1" t="s">
        <v>9</v>
      </c>
      <c r="B224" s="1" t="s">
        <v>10</v>
      </c>
      <c r="C224" s="1" t="s">
        <v>76</v>
      </c>
      <c r="D224" s="1" t="s">
        <v>22</v>
      </c>
      <c r="E224">
        <v>700</v>
      </c>
      <c r="F224" s="1" t="s">
        <v>22</v>
      </c>
      <c r="G224" s="1" t="s">
        <v>14</v>
      </c>
      <c r="H224" s="1" t="s">
        <v>15</v>
      </c>
      <c r="I224" s="1" t="s">
        <v>16</v>
      </c>
    </row>
    <row r="225" spans="1:9" x14ac:dyDescent="0.25">
      <c r="A225" s="1" t="s">
        <v>9</v>
      </c>
      <c r="B225" s="1" t="s">
        <v>10</v>
      </c>
      <c r="C225" s="1" t="s">
        <v>76</v>
      </c>
      <c r="D225" s="1" t="s">
        <v>23</v>
      </c>
      <c r="E225">
        <v>175</v>
      </c>
      <c r="F225" s="1" t="s">
        <v>22</v>
      </c>
      <c r="G225" s="1" t="s">
        <v>14</v>
      </c>
      <c r="H225" s="1" t="s">
        <v>15</v>
      </c>
      <c r="I225" s="1" t="s">
        <v>16</v>
      </c>
    </row>
    <row r="226" spans="1:9" x14ac:dyDescent="0.25">
      <c r="A226" s="1" t="s">
        <v>9</v>
      </c>
      <c r="B226" s="1" t="s">
        <v>10</v>
      </c>
      <c r="C226" s="1" t="s">
        <v>76</v>
      </c>
      <c r="D226" s="1" t="s">
        <v>24</v>
      </c>
      <c r="E226">
        <v>700</v>
      </c>
      <c r="F226" s="1" t="s">
        <v>22</v>
      </c>
      <c r="G226" s="1" t="s">
        <v>14</v>
      </c>
      <c r="H226" s="1" t="s">
        <v>15</v>
      </c>
      <c r="I226" s="1" t="s">
        <v>16</v>
      </c>
    </row>
    <row r="227" spans="1:9" x14ac:dyDescent="0.25">
      <c r="A227" s="1" t="s">
        <v>9</v>
      </c>
      <c r="B227" s="1" t="s">
        <v>10</v>
      </c>
      <c r="C227" s="1" t="s">
        <v>76</v>
      </c>
      <c r="D227" s="1" t="s">
        <v>25</v>
      </c>
      <c r="E227">
        <v>700</v>
      </c>
      <c r="F227" s="1" t="s">
        <v>22</v>
      </c>
      <c r="G227" s="1" t="s">
        <v>14</v>
      </c>
      <c r="H227" s="1" t="s">
        <v>15</v>
      </c>
      <c r="I227" s="1" t="s">
        <v>16</v>
      </c>
    </row>
    <row r="228" spans="1:9" x14ac:dyDescent="0.25">
      <c r="A228" s="1" t="s">
        <v>9</v>
      </c>
      <c r="B228" s="1" t="s">
        <v>10</v>
      </c>
      <c r="C228" s="1" t="s">
        <v>76</v>
      </c>
      <c r="D228" s="1" t="s">
        <v>26</v>
      </c>
      <c r="E228">
        <v>350</v>
      </c>
      <c r="F228" s="1" t="s">
        <v>22</v>
      </c>
      <c r="G228" s="1" t="s">
        <v>14</v>
      </c>
      <c r="H228" s="1" t="s">
        <v>15</v>
      </c>
      <c r="I228" s="1" t="s">
        <v>16</v>
      </c>
    </row>
    <row r="229" spans="1:9" x14ac:dyDescent="0.25">
      <c r="A229" s="1" t="s">
        <v>9</v>
      </c>
      <c r="B229" s="1" t="s">
        <v>10</v>
      </c>
      <c r="C229" s="1" t="s">
        <v>76</v>
      </c>
      <c r="D229" s="1" t="s">
        <v>27</v>
      </c>
      <c r="E229">
        <v>700</v>
      </c>
      <c r="F229" s="1" t="s">
        <v>22</v>
      </c>
      <c r="G229" s="1" t="s">
        <v>14</v>
      </c>
      <c r="H229" s="1" t="s">
        <v>15</v>
      </c>
      <c r="I229" s="1" t="s">
        <v>16</v>
      </c>
    </row>
    <row r="230" spans="1:9" x14ac:dyDescent="0.25">
      <c r="A230" s="1" t="s">
        <v>9</v>
      </c>
      <c r="B230" s="1" t="s">
        <v>10</v>
      </c>
      <c r="C230" s="1" t="s">
        <v>76</v>
      </c>
      <c r="D230" s="1" t="s">
        <v>28</v>
      </c>
      <c r="E230">
        <v>700</v>
      </c>
      <c r="F230" s="1" t="s">
        <v>22</v>
      </c>
      <c r="G230" s="1" t="s">
        <v>14</v>
      </c>
      <c r="H230" s="1" t="s">
        <v>15</v>
      </c>
      <c r="I230" s="1" t="s">
        <v>16</v>
      </c>
    </row>
    <row r="231" spans="1:9" x14ac:dyDescent="0.25">
      <c r="A231" s="1" t="s">
        <v>9</v>
      </c>
      <c r="B231" s="1" t="s">
        <v>10</v>
      </c>
      <c r="C231" s="1" t="s">
        <v>76</v>
      </c>
      <c r="D231" s="1" t="s">
        <v>29</v>
      </c>
      <c r="E231">
        <v>175</v>
      </c>
      <c r="F231" s="1" t="s">
        <v>22</v>
      </c>
      <c r="G231" s="1" t="s">
        <v>14</v>
      </c>
      <c r="H231" s="1" t="s">
        <v>15</v>
      </c>
      <c r="I231" s="1" t="s">
        <v>16</v>
      </c>
    </row>
    <row r="232" spans="1:9" x14ac:dyDescent="0.25">
      <c r="A232" s="1" t="s">
        <v>9</v>
      </c>
      <c r="B232" s="1" t="s">
        <v>10</v>
      </c>
      <c r="C232" s="1" t="s">
        <v>76</v>
      </c>
      <c r="D232" s="1" t="s">
        <v>30</v>
      </c>
      <c r="E232">
        <v>700</v>
      </c>
      <c r="F232" s="1" t="s">
        <v>22</v>
      </c>
      <c r="G232" s="1" t="s">
        <v>14</v>
      </c>
      <c r="H232" s="1" t="s">
        <v>15</v>
      </c>
      <c r="I232" s="1" t="s">
        <v>16</v>
      </c>
    </row>
    <row r="233" spans="1:9" x14ac:dyDescent="0.25">
      <c r="A233" s="1" t="s">
        <v>9</v>
      </c>
      <c r="B233" s="1" t="s">
        <v>10</v>
      </c>
      <c r="C233" s="1" t="s">
        <v>76</v>
      </c>
      <c r="D233" s="1" t="s">
        <v>31</v>
      </c>
      <c r="E233">
        <v>700</v>
      </c>
      <c r="F233" s="1" t="s">
        <v>22</v>
      </c>
      <c r="G233" s="1" t="s">
        <v>14</v>
      </c>
      <c r="H233" s="1" t="s">
        <v>15</v>
      </c>
      <c r="I233" s="1" t="s">
        <v>16</v>
      </c>
    </row>
    <row r="234" spans="1:9" x14ac:dyDescent="0.25">
      <c r="A234" s="1" t="s">
        <v>9</v>
      </c>
      <c r="B234" s="1" t="s">
        <v>10</v>
      </c>
      <c r="C234" s="1" t="s">
        <v>76</v>
      </c>
      <c r="D234" s="1" t="s">
        <v>32</v>
      </c>
      <c r="E234">
        <v>350</v>
      </c>
      <c r="F234" s="1" t="s">
        <v>22</v>
      </c>
      <c r="G234" s="1" t="s">
        <v>14</v>
      </c>
      <c r="H234" s="1" t="s">
        <v>15</v>
      </c>
      <c r="I234" s="1" t="s">
        <v>16</v>
      </c>
    </row>
    <row r="235" spans="1:9" x14ac:dyDescent="0.25">
      <c r="A235" s="1" t="s">
        <v>9</v>
      </c>
      <c r="B235" s="1" t="s">
        <v>10</v>
      </c>
      <c r="C235" s="1" t="s">
        <v>76</v>
      </c>
      <c r="D235" s="1" t="s">
        <v>33</v>
      </c>
      <c r="E235">
        <v>350</v>
      </c>
      <c r="F235" s="1" t="s">
        <v>22</v>
      </c>
      <c r="G235" s="1" t="s">
        <v>14</v>
      </c>
      <c r="H235" s="1" t="s">
        <v>15</v>
      </c>
      <c r="I235" s="1" t="s">
        <v>16</v>
      </c>
    </row>
    <row r="236" spans="1:9" x14ac:dyDescent="0.25">
      <c r="A236" s="1" t="s">
        <v>9</v>
      </c>
      <c r="B236" s="1" t="s">
        <v>10</v>
      </c>
      <c r="C236" s="1" t="s">
        <v>76</v>
      </c>
      <c r="D236" s="1" t="s">
        <v>34</v>
      </c>
      <c r="E236">
        <v>350</v>
      </c>
      <c r="F236" s="1" t="s">
        <v>22</v>
      </c>
      <c r="G236" s="1" t="s">
        <v>14</v>
      </c>
      <c r="H236" s="1" t="s">
        <v>15</v>
      </c>
      <c r="I236" s="1" t="s">
        <v>16</v>
      </c>
    </row>
    <row r="237" spans="1:9" x14ac:dyDescent="0.25">
      <c r="A237" s="1" t="s">
        <v>9</v>
      </c>
      <c r="B237" s="1" t="s">
        <v>10</v>
      </c>
      <c r="C237" s="1" t="s">
        <v>76</v>
      </c>
      <c r="D237" s="1" t="s">
        <v>35</v>
      </c>
      <c r="E237">
        <v>350</v>
      </c>
      <c r="F237" s="1" t="s">
        <v>22</v>
      </c>
      <c r="G237" s="1" t="s">
        <v>14</v>
      </c>
      <c r="H237" s="1" t="s">
        <v>15</v>
      </c>
      <c r="I237" s="1" t="s">
        <v>16</v>
      </c>
    </row>
    <row r="238" spans="1:9" x14ac:dyDescent="0.25">
      <c r="A238" s="1" t="s">
        <v>9</v>
      </c>
      <c r="B238" s="1" t="s">
        <v>10</v>
      </c>
      <c r="C238" s="1" t="s">
        <v>76</v>
      </c>
      <c r="D238" s="1" t="s">
        <v>36</v>
      </c>
      <c r="E238">
        <v>700</v>
      </c>
      <c r="F238" s="1" t="s">
        <v>22</v>
      </c>
      <c r="G238" s="1" t="s">
        <v>14</v>
      </c>
      <c r="H238" s="1" t="s">
        <v>15</v>
      </c>
      <c r="I238" s="1" t="s">
        <v>16</v>
      </c>
    </row>
    <row r="239" spans="1:9" x14ac:dyDescent="0.25">
      <c r="A239" s="1" t="s">
        <v>9</v>
      </c>
      <c r="B239" s="1" t="s">
        <v>10</v>
      </c>
      <c r="C239" s="1" t="s">
        <v>76</v>
      </c>
      <c r="D239" s="1" t="s">
        <v>37</v>
      </c>
      <c r="E239">
        <v>700</v>
      </c>
      <c r="F239" s="1" t="s">
        <v>22</v>
      </c>
      <c r="G239" s="1" t="s">
        <v>14</v>
      </c>
      <c r="H239" s="1" t="s">
        <v>15</v>
      </c>
      <c r="I239" s="1" t="s">
        <v>16</v>
      </c>
    </row>
    <row r="240" spans="1:9" x14ac:dyDescent="0.25">
      <c r="A240" s="1" t="s">
        <v>9</v>
      </c>
      <c r="B240" s="1" t="s">
        <v>10</v>
      </c>
      <c r="C240" s="1" t="s">
        <v>76</v>
      </c>
      <c r="D240" s="1" t="s">
        <v>38</v>
      </c>
      <c r="E240">
        <v>175</v>
      </c>
      <c r="F240" s="1" t="s">
        <v>22</v>
      </c>
      <c r="G240" s="1" t="s">
        <v>14</v>
      </c>
      <c r="H240" s="1" t="s">
        <v>15</v>
      </c>
      <c r="I240" s="1" t="s">
        <v>16</v>
      </c>
    </row>
    <row r="241" spans="1:9" x14ac:dyDescent="0.25">
      <c r="A241" s="1" t="s">
        <v>9</v>
      </c>
      <c r="B241" s="1" t="s">
        <v>10</v>
      </c>
      <c r="C241" s="1" t="s">
        <v>76</v>
      </c>
      <c r="D241" s="1" t="s">
        <v>39</v>
      </c>
      <c r="E241">
        <v>175</v>
      </c>
      <c r="F241" s="1" t="s">
        <v>22</v>
      </c>
      <c r="G241" s="1" t="s">
        <v>14</v>
      </c>
      <c r="H241" s="1" t="s">
        <v>15</v>
      </c>
      <c r="I241" s="1" t="s">
        <v>16</v>
      </c>
    </row>
    <row r="242" spans="1:9" x14ac:dyDescent="0.25">
      <c r="A242" s="1" t="s">
        <v>9</v>
      </c>
      <c r="B242" s="1" t="s">
        <v>10</v>
      </c>
      <c r="C242" s="1" t="s">
        <v>76</v>
      </c>
      <c r="D242" s="1" t="s">
        <v>40</v>
      </c>
      <c r="E242">
        <v>175</v>
      </c>
      <c r="F242" s="1" t="s">
        <v>22</v>
      </c>
      <c r="G242" s="1" t="s">
        <v>14</v>
      </c>
      <c r="H242" s="1" t="s">
        <v>15</v>
      </c>
      <c r="I242" s="1" t="s">
        <v>16</v>
      </c>
    </row>
    <row r="243" spans="1:9" x14ac:dyDescent="0.25">
      <c r="A243" s="1" t="s">
        <v>9</v>
      </c>
      <c r="B243" s="1" t="s">
        <v>10</v>
      </c>
      <c r="C243" s="1" t="s">
        <v>76</v>
      </c>
      <c r="D243" s="1" t="s">
        <v>41</v>
      </c>
      <c r="E243">
        <v>175</v>
      </c>
      <c r="F243" s="1" t="s">
        <v>22</v>
      </c>
      <c r="G243" s="1" t="s">
        <v>14</v>
      </c>
      <c r="H243" s="1" t="s">
        <v>15</v>
      </c>
      <c r="I243" s="1" t="s">
        <v>16</v>
      </c>
    </row>
    <row r="244" spans="1:9" x14ac:dyDescent="0.25">
      <c r="A244" s="1" t="s">
        <v>9</v>
      </c>
      <c r="B244" s="1" t="s">
        <v>10</v>
      </c>
      <c r="C244" s="1" t="s">
        <v>76</v>
      </c>
      <c r="D244" s="1" t="s">
        <v>42</v>
      </c>
      <c r="E244">
        <v>350</v>
      </c>
      <c r="F244" s="1" t="s">
        <v>22</v>
      </c>
      <c r="G244" s="1" t="s">
        <v>14</v>
      </c>
      <c r="H244" s="1" t="s">
        <v>15</v>
      </c>
      <c r="I244" s="1" t="s">
        <v>16</v>
      </c>
    </row>
    <row r="245" spans="1:9" x14ac:dyDescent="0.25">
      <c r="A245" s="1" t="s">
        <v>9</v>
      </c>
      <c r="B245" s="1" t="s">
        <v>10</v>
      </c>
      <c r="C245" s="1" t="s">
        <v>76</v>
      </c>
      <c r="D245" s="1" t="s">
        <v>43</v>
      </c>
      <c r="E245">
        <v>175</v>
      </c>
      <c r="F245" s="1" t="s">
        <v>22</v>
      </c>
      <c r="G245" s="1" t="s">
        <v>14</v>
      </c>
      <c r="H245" s="1" t="s">
        <v>15</v>
      </c>
      <c r="I245" s="1" t="s">
        <v>16</v>
      </c>
    </row>
    <row r="246" spans="1:9" x14ac:dyDescent="0.25">
      <c r="A246" s="1" t="s">
        <v>9</v>
      </c>
      <c r="B246" s="1" t="s">
        <v>10</v>
      </c>
      <c r="C246" s="1" t="s">
        <v>76</v>
      </c>
      <c r="D246" s="1" t="s">
        <v>45</v>
      </c>
      <c r="E246">
        <v>350</v>
      </c>
      <c r="F246" s="1" t="s">
        <v>22</v>
      </c>
      <c r="G246" s="1" t="s">
        <v>14</v>
      </c>
      <c r="H246" s="1" t="s">
        <v>15</v>
      </c>
      <c r="I246" s="1" t="s">
        <v>16</v>
      </c>
    </row>
    <row r="247" spans="1:9" x14ac:dyDescent="0.25">
      <c r="A247" s="1" t="s">
        <v>9</v>
      </c>
      <c r="B247" s="1" t="s">
        <v>10</v>
      </c>
      <c r="C247" s="1" t="s">
        <v>76</v>
      </c>
      <c r="D247" s="1" t="s">
        <v>46</v>
      </c>
      <c r="E247">
        <v>350</v>
      </c>
      <c r="F247" s="1" t="s">
        <v>22</v>
      </c>
      <c r="G247" s="1" t="s">
        <v>14</v>
      </c>
      <c r="H247" s="1" t="s">
        <v>15</v>
      </c>
      <c r="I247" s="1" t="s">
        <v>16</v>
      </c>
    </row>
    <row r="248" spans="1:9" x14ac:dyDescent="0.25">
      <c r="A248" s="1" t="s">
        <v>9</v>
      </c>
      <c r="B248" s="1" t="s">
        <v>10</v>
      </c>
      <c r="C248" s="1" t="s">
        <v>76</v>
      </c>
      <c r="D248" s="1" t="s">
        <v>47</v>
      </c>
      <c r="E248">
        <v>175</v>
      </c>
      <c r="F248" s="1" t="s">
        <v>22</v>
      </c>
      <c r="G248" s="1" t="s">
        <v>14</v>
      </c>
      <c r="H248" s="1" t="s">
        <v>15</v>
      </c>
      <c r="I248" s="1" t="s">
        <v>16</v>
      </c>
    </row>
    <row r="249" spans="1:9" x14ac:dyDescent="0.25">
      <c r="A249" s="1" t="s">
        <v>9</v>
      </c>
      <c r="B249" s="1" t="s">
        <v>10</v>
      </c>
      <c r="C249" s="1" t="s">
        <v>76</v>
      </c>
      <c r="D249" s="1" t="s">
        <v>48</v>
      </c>
      <c r="E249">
        <v>175</v>
      </c>
      <c r="F249" s="1" t="s">
        <v>22</v>
      </c>
      <c r="G249" s="1" t="s">
        <v>14</v>
      </c>
      <c r="H249" s="1" t="s">
        <v>15</v>
      </c>
      <c r="I249" s="1" t="s">
        <v>16</v>
      </c>
    </row>
    <row r="250" spans="1:9" x14ac:dyDescent="0.25">
      <c r="A250" s="1" t="s">
        <v>9</v>
      </c>
      <c r="B250" s="1" t="s">
        <v>10</v>
      </c>
      <c r="C250" s="1" t="s">
        <v>76</v>
      </c>
      <c r="D250" s="1" t="s">
        <v>49</v>
      </c>
      <c r="E250">
        <v>175</v>
      </c>
      <c r="F250" s="1" t="s">
        <v>22</v>
      </c>
      <c r="G250" s="1" t="s">
        <v>14</v>
      </c>
      <c r="H250" s="1" t="s">
        <v>15</v>
      </c>
      <c r="I250" s="1" t="s">
        <v>16</v>
      </c>
    </row>
    <row r="251" spans="1:9" x14ac:dyDescent="0.25">
      <c r="A251" s="1" t="s">
        <v>9</v>
      </c>
      <c r="B251" s="1" t="s">
        <v>10</v>
      </c>
      <c r="C251" s="1" t="s">
        <v>76</v>
      </c>
      <c r="D251" s="1" t="s">
        <v>50</v>
      </c>
      <c r="E251">
        <v>700</v>
      </c>
      <c r="F251" s="1" t="s">
        <v>22</v>
      </c>
      <c r="G251" s="1" t="s">
        <v>14</v>
      </c>
      <c r="H251" s="1" t="s">
        <v>15</v>
      </c>
      <c r="I251" s="1" t="s">
        <v>16</v>
      </c>
    </row>
    <row r="252" spans="1:9" x14ac:dyDescent="0.25">
      <c r="A252" s="1" t="s">
        <v>9</v>
      </c>
      <c r="B252" s="1" t="s">
        <v>10</v>
      </c>
      <c r="C252" s="1" t="s">
        <v>76</v>
      </c>
      <c r="D252" s="1" t="s">
        <v>51</v>
      </c>
      <c r="E252">
        <v>175</v>
      </c>
      <c r="F252" s="1" t="s">
        <v>22</v>
      </c>
      <c r="G252" s="1" t="s">
        <v>14</v>
      </c>
      <c r="H252" s="1" t="s">
        <v>15</v>
      </c>
      <c r="I252" s="1" t="s">
        <v>16</v>
      </c>
    </row>
    <row r="253" spans="1:9" x14ac:dyDescent="0.25">
      <c r="A253" s="1" t="s">
        <v>9</v>
      </c>
      <c r="B253" s="1" t="s">
        <v>10</v>
      </c>
      <c r="C253" s="1" t="s">
        <v>76</v>
      </c>
      <c r="D253" s="1" t="s">
        <v>52</v>
      </c>
      <c r="E253">
        <v>700</v>
      </c>
      <c r="F253" s="1" t="s">
        <v>22</v>
      </c>
      <c r="G253" s="1" t="s">
        <v>14</v>
      </c>
      <c r="H253" s="1" t="s">
        <v>15</v>
      </c>
      <c r="I253" s="1" t="s">
        <v>16</v>
      </c>
    </row>
    <row r="254" spans="1:9" x14ac:dyDescent="0.25">
      <c r="A254" s="1" t="s">
        <v>9</v>
      </c>
      <c r="B254" s="1" t="s">
        <v>10</v>
      </c>
      <c r="C254" s="1" t="s">
        <v>76</v>
      </c>
      <c r="D254" s="1" t="s">
        <v>53</v>
      </c>
      <c r="E254">
        <v>700</v>
      </c>
      <c r="F254" s="1" t="s">
        <v>22</v>
      </c>
      <c r="G254" s="1" t="s">
        <v>14</v>
      </c>
      <c r="H254" s="1" t="s">
        <v>15</v>
      </c>
      <c r="I254" s="1" t="s">
        <v>16</v>
      </c>
    </row>
    <row r="255" spans="1:9" x14ac:dyDescent="0.25">
      <c r="A255" s="1" t="s">
        <v>9</v>
      </c>
      <c r="B255" s="1" t="s">
        <v>10</v>
      </c>
      <c r="C255" s="1" t="s">
        <v>76</v>
      </c>
      <c r="D255" s="1" t="s">
        <v>54</v>
      </c>
      <c r="E255">
        <v>350</v>
      </c>
      <c r="F255" s="1" t="s">
        <v>22</v>
      </c>
      <c r="G255" s="1" t="s">
        <v>14</v>
      </c>
      <c r="H255" s="1" t="s">
        <v>15</v>
      </c>
      <c r="I255" s="1" t="s">
        <v>16</v>
      </c>
    </row>
    <row r="256" spans="1:9" x14ac:dyDescent="0.25">
      <c r="A256" s="1" t="s">
        <v>9</v>
      </c>
      <c r="B256" s="1" t="s">
        <v>10</v>
      </c>
      <c r="C256" s="1" t="s">
        <v>76</v>
      </c>
      <c r="D256" s="1" t="s">
        <v>55</v>
      </c>
      <c r="E256">
        <v>700</v>
      </c>
      <c r="F256" s="1" t="s">
        <v>22</v>
      </c>
      <c r="G256" s="1" t="s">
        <v>14</v>
      </c>
      <c r="H256" s="1" t="s">
        <v>15</v>
      </c>
      <c r="I256" s="1" t="s">
        <v>16</v>
      </c>
    </row>
    <row r="257" spans="1:9" x14ac:dyDescent="0.25">
      <c r="A257" s="1" t="s">
        <v>9</v>
      </c>
      <c r="B257" s="1" t="s">
        <v>10</v>
      </c>
      <c r="C257" s="1" t="s">
        <v>76</v>
      </c>
      <c r="D257" s="1" t="s">
        <v>56</v>
      </c>
      <c r="E257">
        <v>700</v>
      </c>
      <c r="F257" s="1" t="s">
        <v>22</v>
      </c>
      <c r="G257" s="1" t="s">
        <v>14</v>
      </c>
      <c r="H257" s="1" t="s">
        <v>15</v>
      </c>
      <c r="I257" s="1" t="s">
        <v>16</v>
      </c>
    </row>
    <row r="258" spans="1:9" x14ac:dyDescent="0.25">
      <c r="A258" s="1" t="s">
        <v>9</v>
      </c>
      <c r="B258" s="1" t="s">
        <v>10</v>
      </c>
      <c r="C258" s="1" t="s">
        <v>76</v>
      </c>
      <c r="D258" s="1" t="s">
        <v>57</v>
      </c>
      <c r="E258">
        <v>175</v>
      </c>
      <c r="F258" s="1" t="s">
        <v>22</v>
      </c>
      <c r="G258" s="1" t="s">
        <v>14</v>
      </c>
      <c r="H258" s="1" t="s">
        <v>15</v>
      </c>
      <c r="I258" s="1" t="s">
        <v>16</v>
      </c>
    </row>
    <row r="259" spans="1:9" x14ac:dyDescent="0.25">
      <c r="A259" s="1" t="s">
        <v>9</v>
      </c>
      <c r="B259" s="1" t="s">
        <v>10</v>
      </c>
      <c r="C259" s="1" t="s">
        <v>76</v>
      </c>
      <c r="D259" s="1" t="s">
        <v>58</v>
      </c>
      <c r="E259">
        <v>700</v>
      </c>
      <c r="F259" s="1" t="s">
        <v>22</v>
      </c>
      <c r="G259" s="1" t="s">
        <v>14</v>
      </c>
      <c r="H259" s="1" t="s">
        <v>15</v>
      </c>
      <c r="I259" s="1" t="s">
        <v>16</v>
      </c>
    </row>
    <row r="260" spans="1:9" x14ac:dyDescent="0.25">
      <c r="A260" s="1" t="s">
        <v>9</v>
      </c>
      <c r="B260" s="1" t="s">
        <v>10</v>
      </c>
      <c r="C260" s="1" t="s">
        <v>76</v>
      </c>
      <c r="D260" s="1" t="s">
        <v>59</v>
      </c>
      <c r="E260">
        <v>700</v>
      </c>
      <c r="F260" s="1" t="s">
        <v>22</v>
      </c>
      <c r="G260" s="1" t="s">
        <v>14</v>
      </c>
      <c r="H260" s="1" t="s">
        <v>15</v>
      </c>
      <c r="I260" s="1" t="s">
        <v>16</v>
      </c>
    </row>
    <row r="261" spans="1:9" x14ac:dyDescent="0.25">
      <c r="A261" s="1" t="s">
        <v>9</v>
      </c>
      <c r="B261" s="1" t="s">
        <v>10</v>
      </c>
      <c r="C261" s="1" t="s">
        <v>76</v>
      </c>
      <c r="D261" s="1" t="s">
        <v>60</v>
      </c>
      <c r="E261">
        <v>350</v>
      </c>
      <c r="F261" s="1" t="s">
        <v>22</v>
      </c>
      <c r="G261" s="1" t="s">
        <v>14</v>
      </c>
      <c r="H261" s="1" t="s">
        <v>15</v>
      </c>
      <c r="I261" s="1" t="s">
        <v>16</v>
      </c>
    </row>
    <row r="262" spans="1:9" x14ac:dyDescent="0.25">
      <c r="A262" s="1" t="s">
        <v>9</v>
      </c>
      <c r="B262" s="1" t="s">
        <v>10</v>
      </c>
      <c r="C262" s="1" t="s">
        <v>76</v>
      </c>
      <c r="D262" s="1" t="s">
        <v>61</v>
      </c>
      <c r="E262">
        <v>350</v>
      </c>
      <c r="F262" s="1" t="s">
        <v>22</v>
      </c>
      <c r="G262" s="1" t="s">
        <v>14</v>
      </c>
      <c r="H262" s="1" t="s">
        <v>15</v>
      </c>
      <c r="I262" s="1" t="s">
        <v>16</v>
      </c>
    </row>
    <row r="263" spans="1:9" x14ac:dyDescent="0.25">
      <c r="A263" s="1" t="s">
        <v>9</v>
      </c>
      <c r="B263" s="1" t="s">
        <v>10</v>
      </c>
      <c r="C263" s="1" t="s">
        <v>76</v>
      </c>
      <c r="D263" s="1" t="s">
        <v>62</v>
      </c>
      <c r="E263">
        <v>350</v>
      </c>
      <c r="F263" s="1" t="s">
        <v>22</v>
      </c>
      <c r="G263" s="1" t="s">
        <v>14</v>
      </c>
      <c r="H263" s="1" t="s">
        <v>15</v>
      </c>
      <c r="I263" s="1" t="s">
        <v>16</v>
      </c>
    </row>
    <row r="264" spans="1:9" x14ac:dyDescent="0.25">
      <c r="A264" s="1" t="s">
        <v>9</v>
      </c>
      <c r="B264" s="1" t="s">
        <v>10</v>
      </c>
      <c r="C264" s="1" t="s">
        <v>76</v>
      </c>
      <c r="D264" s="1" t="s">
        <v>63</v>
      </c>
      <c r="E264">
        <v>350</v>
      </c>
      <c r="F264" s="1" t="s">
        <v>22</v>
      </c>
      <c r="G264" s="1" t="s">
        <v>14</v>
      </c>
      <c r="H264" s="1" t="s">
        <v>15</v>
      </c>
      <c r="I264" s="1" t="s">
        <v>16</v>
      </c>
    </row>
    <row r="265" spans="1:9" x14ac:dyDescent="0.25">
      <c r="A265" s="1" t="s">
        <v>9</v>
      </c>
      <c r="B265" s="1" t="s">
        <v>10</v>
      </c>
      <c r="C265" s="1" t="s">
        <v>76</v>
      </c>
      <c r="D265" s="1" t="s">
        <v>64</v>
      </c>
      <c r="E265">
        <v>700</v>
      </c>
      <c r="F265" s="1" t="s">
        <v>22</v>
      </c>
      <c r="G265" s="1" t="s">
        <v>14</v>
      </c>
      <c r="H265" s="1" t="s">
        <v>15</v>
      </c>
      <c r="I265" s="1" t="s">
        <v>16</v>
      </c>
    </row>
    <row r="266" spans="1:9" x14ac:dyDescent="0.25">
      <c r="A266" s="1" t="s">
        <v>9</v>
      </c>
      <c r="B266" s="1" t="s">
        <v>10</v>
      </c>
      <c r="C266" s="1" t="s">
        <v>76</v>
      </c>
      <c r="D266" s="1" t="s">
        <v>65</v>
      </c>
      <c r="E266">
        <v>700</v>
      </c>
      <c r="F266" s="1" t="s">
        <v>22</v>
      </c>
      <c r="G266" s="1" t="s">
        <v>14</v>
      </c>
      <c r="H266" s="1" t="s">
        <v>15</v>
      </c>
      <c r="I266" s="1" t="s">
        <v>16</v>
      </c>
    </row>
    <row r="267" spans="1:9" x14ac:dyDescent="0.25">
      <c r="A267" s="1" t="s">
        <v>9</v>
      </c>
      <c r="B267" s="1" t="s">
        <v>10</v>
      </c>
      <c r="C267" s="1" t="s">
        <v>76</v>
      </c>
      <c r="D267" s="1" t="s">
        <v>66</v>
      </c>
      <c r="E267">
        <v>175</v>
      </c>
      <c r="F267" s="1" t="s">
        <v>22</v>
      </c>
      <c r="G267" s="1" t="s">
        <v>14</v>
      </c>
      <c r="H267" s="1" t="s">
        <v>15</v>
      </c>
      <c r="I267" s="1" t="s">
        <v>16</v>
      </c>
    </row>
    <row r="268" spans="1:9" x14ac:dyDescent="0.25">
      <c r="A268" s="1" t="s">
        <v>9</v>
      </c>
      <c r="B268" s="1" t="s">
        <v>10</v>
      </c>
      <c r="C268" s="1" t="s">
        <v>76</v>
      </c>
      <c r="D268" s="1" t="s">
        <v>67</v>
      </c>
      <c r="E268">
        <v>175</v>
      </c>
      <c r="F268" s="1" t="s">
        <v>22</v>
      </c>
      <c r="G268" s="1" t="s">
        <v>14</v>
      </c>
      <c r="H268" s="1" t="s">
        <v>15</v>
      </c>
      <c r="I268" s="1" t="s">
        <v>16</v>
      </c>
    </row>
    <row r="269" spans="1:9" x14ac:dyDescent="0.25">
      <c r="A269" s="1" t="s">
        <v>9</v>
      </c>
      <c r="B269" s="1" t="s">
        <v>10</v>
      </c>
      <c r="C269" s="1" t="s">
        <v>76</v>
      </c>
      <c r="D269" s="1" t="s">
        <v>68</v>
      </c>
      <c r="E269">
        <v>175</v>
      </c>
      <c r="F269" s="1" t="s">
        <v>22</v>
      </c>
      <c r="G269" s="1" t="s">
        <v>14</v>
      </c>
      <c r="H269" s="1" t="s">
        <v>15</v>
      </c>
      <c r="I269" s="1" t="s">
        <v>16</v>
      </c>
    </row>
    <row r="270" spans="1:9" x14ac:dyDescent="0.25">
      <c r="A270" s="1" t="s">
        <v>9</v>
      </c>
      <c r="B270" s="1" t="s">
        <v>10</v>
      </c>
      <c r="C270" s="1" t="s">
        <v>76</v>
      </c>
      <c r="D270" s="1" t="s">
        <v>69</v>
      </c>
      <c r="E270">
        <v>175</v>
      </c>
      <c r="F270" s="1" t="s">
        <v>22</v>
      </c>
      <c r="G270" s="1" t="s">
        <v>14</v>
      </c>
      <c r="H270" s="1" t="s">
        <v>15</v>
      </c>
      <c r="I270" s="1" t="s">
        <v>16</v>
      </c>
    </row>
    <row r="271" spans="1:9" x14ac:dyDescent="0.25">
      <c r="A271" s="1" t="s">
        <v>9</v>
      </c>
      <c r="B271" s="1" t="s">
        <v>10</v>
      </c>
      <c r="C271" s="1" t="s">
        <v>76</v>
      </c>
      <c r="D271" s="1" t="s">
        <v>70</v>
      </c>
      <c r="E271">
        <v>350</v>
      </c>
      <c r="F271" s="1" t="s">
        <v>22</v>
      </c>
      <c r="G271" s="1" t="s">
        <v>14</v>
      </c>
      <c r="H271" s="1" t="s">
        <v>15</v>
      </c>
      <c r="I271" s="1" t="s">
        <v>16</v>
      </c>
    </row>
    <row r="272" spans="1:9" x14ac:dyDescent="0.25">
      <c r="A272" s="1" t="s">
        <v>9</v>
      </c>
      <c r="B272" s="1" t="s">
        <v>10</v>
      </c>
      <c r="C272" s="1" t="s">
        <v>77</v>
      </c>
      <c r="D272" s="1" t="s">
        <v>12</v>
      </c>
      <c r="E272">
        <v>175</v>
      </c>
      <c r="F272" s="1" t="s">
        <v>33</v>
      </c>
      <c r="G272" s="1" t="s">
        <v>14</v>
      </c>
      <c r="H272" s="1" t="s">
        <v>15</v>
      </c>
      <c r="I272" s="1" t="s">
        <v>16</v>
      </c>
    </row>
    <row r="273" spans="1:9" x14ac:dyDescent="0.25">
      <c r="A273" s="1" t="s">
        <v>9</v>
      </c>
      <c r="B273" s="1" t="s">
        <v>10</v>
      </c>
      <c r="C273" s="1" t="s">
        <v>77</v>
      </c>
      <c r="D273" s="1" t="s">
        <v>17</v>
      </c>
      <c r="E273">
        <v>175</v>
      </c>
      <c r="F273" s="1" t="s">
        <v>33</v>
      </c>
      <c r="G273" s="1" t="s">
        <v>14</v>
      </c>
      <c r="H273" s="1" t="s">
        <v>15</v>
      </c>
      <c r="I273" s="1" t="s">
        <v>16</v>
      </c>
    </row>
    <row r="274" spans="1:9" x14ac:dyDescent="0.25">
      <c r="A274" s="1" t="s">
        <v>9</v>
      </c>
      <c r="B274" s="1" t="s">
        <v>10</v>
      </c>
      <c r="C274" s="1" t="s">
        <v>77</v>
      </c>
      <c r="D274" s="1" t="s">
        <v>18</v>
      </c>
      <c r="E274">
        <v>175</v>
      </c>
      <c r="F274" s="1" t="s">
        <v>33</v>
      </c>
      <c r="G274" s="1" t="s">
        <v>14</v>
      </c>
      <c r="H274" s="1" t="s">
        <v>15</v>
      </c>
      <c r="I274" s="1" t="s">
        <v>16</v>
      </c>
    </row>
    <row r="275" spans="1:9" x14ac:dyDescent="0.25">
      <c r="A275" s="1" t="s">
        <v>9</v>
      </c>
      <c r="B275" s="1" t="s">
        <v>10</v>
      </c>
      <c r="C275" s="1" t="s">
        <v>77</v>
      </c>
      <c r="D275" s="1" t="s">
        <v>19</v>
      </c>
      <c r="E275">
        <v>175</v>
      </c>
      <c r="F275" s="1" t="s">
        <v>33</v>
      </c>
      <c r="G275" s="1" t="s">
        <v>14</v>
      </c>
      <c r="H275" s="1" t="s">
        <v>15</v>
      </c>
      <c r="I275" s="1" t="s">
        <v>16</v>
      </c>
    </row>
    <row r="276" spans="1:9" x14ac:dyDescent="0.25">
      <c r="A276" s="1" t="s">
        <v>9</v>
      </c>
      <c r="B276" s="1" t="s">
        <v>10</v>
      </c>
      <c r="C276" s="1" t="s">
        <v>77</v>
      </c>
      <c r="D276" s="1" t="s">
        <v>20</v>
      </c>
      <c r="E276">
        <v>175</v>
      </c>
      <c r="F276" s="1" t="s">
        <v>33</v>
      </c>
      <c r="G276" s="1" t="s">
        <v>14</v>
      </c>
      <c r="H276" s="1" t="s">
        <v>15</v>
      </c>
      <c r="I276" s="1" t="s">
        <v>16</v>
      </c>
    </row>
    <row r="277" spans="1:9" x14ac:dyDescent="0.25">
      <c r="A277" s="1" t="s">
        <v>9</v>
      </c>
      <c r="B277" s="1" t="s">
        <v>10</v>
      </c>
      <c r="C277" s="1" t="s">
        <v>77</v>
      </c>
      <c r="D277" s="1" t="s">
        <v>21</v>
      </c>
      <c r="E277">
        <v>175</v>
      </c>
      <c r="F277" s="1" t="s">
        <v>33</v>
      </c>
      <c r="G277" s="1" t="s">
        <v>14</v>
      </c>
      <c r="H277" s="1" t="s">
        <v>15</v>
      </c>
      <c r="I277" s="1" t="s">
        <v>16</v>
      </c>
    </row>
    <row r="278" spans="1:9" x14ac:dyDescent="0.25">
      <c r="A278" s="1" t="s">
        <v>9</v>
      </c>
      <c r="B278" s="1" t="s">
        <v>10</v>
      </c>
      <c r="C278" s="1" t="s">
        <v>77</v>
      </c>
      <c r="D278" s="1" t="s">
        <v>22</v>
      </c>
      <c r="E278">
        <v>325</v>
      </c>
      <c r="F278" s="1" t="s">
        <v>33</v>
      </c>
      <c r="G278" s="1" t="s">
        <v>14</v>
      </c>
      <c r="H278" s="1" t="s">
        <v>15</v>
      </c>
      <c r="I278" s="1" t="s">
        <v>16</v>
      </c>
    </row>
    <row r="279" spans="1:9" x14ac:dyDescent="0.25">
      <c r="A279" s="1" t="s">
        <v>9</v>
      </c>
      <c r="B279" s="1" t="s">
        <v>10</v>
      </c>
      <c r="C279" s="1" t="s">
        <v>77</v>
      </c>
      <c r="D279" s="1" t="s">
        <v>23</v>
      </c>
      <c r="E279">
        <v>175</v>
      </c>
      <c r="F279" s="1" t="s">
        <v>33</v>
      </c>
      <c r="G279" s="1" t="s">
        <v>14</v>
      </c>
      <c r="H279" s="1" t="s">
        <v>15</v>
      </c>
      <c r="I279" s="1" t="s">
        <v>16</v>
      </c>
    </row>
    <row r="280" spans="1:9" x14ac:dyDescent="0.25">
      <c r="A280" s="1" t="s">
        <v>9</v>
      </c>
      <c r="B280" s="1" t="s">
        <v>10</v>
      </c>
      <c r="C280" s="1" t="s">
        <v>77</v>
      </c>
      <c r="D280" s="1" t="s">
        <v>24</v>
      </c>
      <c r="E280">
        <v>175</v>
      </c>
      <c r="F280" s="1" t="s">
        <v>33</v>
      </c>
      <c r="G280" s="1" t="s">
        <v>14</v>
      </c>
      <c r="H280" s="1" t="s">
        <v>15</v>
      </c>
      <c r="I280" s="1" t="s">
        <v>16</v>
      </c>
    </row>
    <row r="281" spans="1:9" x14ac:dyDescent="0.25">
      <c r="A281" s="1" t="s">
        <v>9</v>
      </c>
      <c r="B281" s="1" t="s">
        <v>10</v>
      </c>
      <c r="C281" s="1" t="s">
        <v>77</v>
      </c>
      <c r="D281" s="1" t="s">
        <v>25</v>
      </c>
      <c r="E281">
        <v>175</v>
      </c>
      <c r="F281" s="1" t="s">
        <v>33</v>
      </c>
      <c r="G281" s="1" t="s">
        <v>14</v>
      </c>
      <c r="H281" s="1" t="s">
        <v>15</v>
      </c>
      <c r="I281" s="1" t="s">
        <v>16</v>
      </c>
    </row>
    <row r="282" spans="1:9" x14ac:dyDescent="0.25">
      <c r="A282" s="1" t="s">
        <v>9</v>
      </c>
      <c r="B282" s="1" t="s">
        <v>10</v>
      </c>
      <c r="C282" s="1" t="s">
        <v>77</v>
      </c>
      <c r="D282" s="1" t="s">
        <v>26</v>
      </c>
      <c r="E282">
        <v>175</v>
      </c>
      <c r="F282" s="1" t="s">
        <v>33</v>
      </c>
      <c r="G282" s="1" t="s">
        <v>14</v>
      </c>
      <c r="H282" s="1" t="s">
        <v>15</v>
      </c>
      <c r="I282" s="1" t="s">
        <v>16</v>
      </c>
    </row>
    <row r="283" spans="1:9" x14ac:dyDescent="0.25">
      <c r="A283" s="1" t="s">
        <v>9</v>
      </c>
      <c r="B283" s="1" t="s">
        <v>10</v>
      </c>
      <c r="C283" s="1" t="s">
        <v>77</v>
      </c>
      <c r="D283" s="1" t="s">
        <v>27</v>
      </c>
      <c r="E283">
        <v>175</v>
      </c>
      <c r="F283" s="1" t="s">
        <v>33</v>
      </c>
      <c r="G283" s="1" t="s">
        <v>14</v>
      </c>
      <c r="H283" s="1" t="s">
        <v>15</v>
      </c>
      <c r="I283" s="1" t="s">
        <v>16</v>
      </c>
    </row>
    <row r="284" spans="1:9" x14ac:dyDescent="0.25">
      <c r="A284" s="1" t="s">
        <v>9</v>
      </c>
      <c r="B284" s="1" t="s">
        <v>10</v>
      </c>
      <c r="C284" s="1" t="s">
        <v>77</v>
      </c>
      <c r="D284" s="1" t="s">
        <v>28</v>
      </c>
      <c r="E284">
        <v>175</v>
      </c>
      <c r="F284" s="1" t="s">
        <v>33</v>
      </c>
      <c r="G284" s="1" t="s">
        <v>14</v>
      </c>
      <c r="H284" s="1" t="s">
        <v>15</v>
      </c>
      <c r="I284" s="1" t="s">
        <v>16</v>
      </c>
    </row>
    <row r="285" spans="1:9" x14ac:dyDescent="0.25">
      <c r="A285" s="1" t="s">
        <v>9</v>
      </c>
      <c r="B285" s="1" t="s">
        <v>10</v>
      </c>
      <c r="C285" s="1" t="s">
        <v>77</v>
      </c>
      <c r="D285" s="1" t="s">
        <v>29</v>
      </c>
      <c r="E285">
        <v>325</v>
      </c>
      <c r="F285" s="1" t="s">
        <v>33</v>
      </c>
      <c r="G285" s="1" t="s">
        <v>14</v>
      </c>
      <c r="H285" s="1" t="s">
        <v>15</v>
      </c>
      <c r="I285" s="1" t="s">
        <v>16</v>
      </c>
    </row>
    <row r="286" spans="1:9" x14ac:dyDescent="0.25">
      <c r="A286" s="1" t="s">
        <v>9</v>
      </c>
      <c r="B286" s="1" t="s">
        <v>10</v>
      </c>
      <c r="C286" s="1" t="s">
        <v>77</v>
      </c>
      <c r="D286" s="1" t="s">
        <v>30</v>
      </c>
      <c r="E286">
        <v>175</v>
      </c>
      <c r="F286" s="1" t="s">
        <v>33</v>
      </c>
      <c r="G286" s="1" t="s">
        <v>14</v>
      </c>
      <c r="H286" s="1" t="s">
        <v>15</v>
      </c>
      <c r="I286" s="1" t="s">
        <v>16</v>
      </c>
    </row>
    <row r="287" spans="1:9" x14ac:dyDescent="0.25">
      <c r="A287" s="1" t="s">
        <v>9</v>
      </c>
      <c r="B287" s="1" t="s">
        <v>10</v>
      </c>
      <c r="C287" s="1" t="s">
        <v>77</v>
      </c>
      <c r="D287" s="1" t="s">
        <v>31</v>
      </c>
      <c r="E287">
        <v>175</v>
      </c>
      <c r="F287" s="1" t="s">
        <v>33</v>
      </c>
      <c r="G287" s="1" t="s">
        <v>14</v>
      </c>
      <c r="H287" s="1" t="s">
        <v>15</v>
      </c>
      <c r="I287" s="1" t="s">
        <v>16</v>
      </c>
    </row>
    <row r="288" spans="1:9" x14ac:dyDescent="0.25">
      <c r="A288" s="1" t="s">
        <v>9</v>
      </c>
      <c r="B288" s="1" t="s">
        <v>10</v>
      </c>
      <c r="C288" s="1" t="s">
        <v>77</v>
      </c>
      <c r="D288" s="1" t="s">
        <v>32</v>
      </c>
      <c r="E288">
        <v>325</v>
      </c>
      <c r="F288" s="1" t="s">
        <v>33</v>
      </c>
      <c r="G288" s="1" t="s">
        <v>14</v>
      </c>
      <c r="H288" s="1" t="s">
        <v>15</v>
      </c>
      <c r="I288" s="1" t="s">
        <v>16</v>
      </c>
    </row>
    <row r="289" spans="1:9" x14ac:dyDescent="0.25">
      <c r="A289" s="1" t="s">
        <v>9</v>
      </c>
      <c r="B289" s="1" t="s">
        <v>10</v>
      </c>
      <c r="C289" s="1" t="s">
        <v>77</v>
      </c>
      <c r="D289" s="1" t="s">
        <v>33</v>
      </c>
      <c r="E289">
        <v>175</v>
      </c>
      <c r="F289" s="1" t="s">
        <v>33</v>
      </c>
      <c r="G289" s="1" t="s">
        <v>14</v>
      </c>
      <c r="H289" s="1" t="s">
        <v>15</v>
      </c>
      <c r="I289" s="1" t="s">
        <v>16</v>
      </c>
    </row>
    <row r="290" spans="1:9" x14ac:dyDescent="0.25">
      <c r="A290" s="1" t="s">
        <v>9</v>
      </c>
      <c r="B290" s="1" t="s">
        <v>10</v>
      </c>
      <c r="C290" s="1" t="s">
        <v>77</v>
      </c>
      <c r="D290" s="1" t="s">
        <v>34</v>
      </c>
      <c r="E290">
        <v>175</v>
      </c>
      <c r="F290" s="1" t="s">
        <v>33</v>
      </c>
      <c r="G290" s="1" t="s">
        <v>14</v>
      </c>
      <c r="H290" s="1" t="s">
        <v>15</v>
      </c>
      <c r="I290" s="1" t="s">
        <v>16</v>
      </c>
    </row>
    <row r="291" spans="1:9" x14ac:dyDescent="0.25">
      <c r="A291" s="1" t="s">
        <v>9</v>
      </c>
      <c r="B291" s="1" t="s">
        <v>10</v>
      </c>
      <c r="C291" s="1" t="s">
        <v>77</v>
      </c>
      <c r="D291" s="1" t="s">
        <v>35</v>
      </c>
      <c r="E291">
        <v>175</v>
      </c>
      <c r="F291" s="1" t="s">
        <v>33</v>
      </c>
      <c r="G291" s="1" t="s">
        <v>14</v>
      </c>
      <c r="H291" s="1" t="s">
        <v>15</v>
      </c>
      <c r="I291" s="1" t="s">
        <v>16</v>
      </c>
    </row>
    <row r="292" spans="1:9" x14ac:dyDescent="0.25">
      <c r="A292" s="1" t="s">
        <v>9</v>
      </c>
      <c r="B292" s="1" t="s">
        <v>10</v>
      </c>
      <c r="C292" s="1" t="s">
        <v>77</v>
      </c>
      <c r="D292" s="1" t="s">
        <v>36</v>
      </c>
      <c r="E292">
        <v>175</v>
      </c>
      <c r="F292" s="1" t="s">
        <v>33</v>
      </c>
      <c r="G292" s="1" t="s">
        <v>14</v>
      </c>
      <c r="H292" s="1" t="s">
        <v>15</v>
      </c>
      <c r="I292" s="1" t="s">
        <v>16</v>
      </c>
    </row>
    <row r="293" spans="1:9" x14ac:dyDescent="0.25">
      <c r="A293" s="1" t="s">
        <v>9</v>
      </c>
      <c r="B293" s="1" t="s">
        <v>10</v>
      </c>
      <c r="C293" s="1" t="s">
        <v>77</v>
      </c>
      <c r="D293" s="1" t="s">
        <v>37</v>
      </c>
      <c r="E293">
        <v>325</v>
      </c>
      <c r="F293" s="1" t="s">
        <v>33</v>
      </c>
      <c r="G293" s="1" t="s">
        <v>14</v>
      </c>
      <c r="H293" s="1" t="s">
        <v>15</v>
      </c>
      <c r="I293" s="1" t="s">
        <v>16</v>
      </c>
    </row>
    <row r="294" spans="1:9" x14ac:dyDescent="0.25">
      <c r="A294" s="1" t="s">
        <v>9</v>
      </c>
      <c r="B294" s="1" t="s">
        <v>10</v>
      </c>
      <c r="C294" s="1" t="s">
        <v>77</v>
      </c>
      <c r="D294" s="1" t="s">
        <v>38</v>
      </c>
      <c r="E294">
        <v>175</v>
      </c>
      <c r="F294" s="1" t="s">
        <v>33</v>
      </c>
      <c r="G294" s="1" t="s">
        <v>14</v>
      </c>
      <c r="H294" s="1" t="s">
        <v>15</v>
      </c>
      <c r="I294" s="1" t="s">
        <v>16</v>
      </c>
    </row>
    <row r="295" spans="1:9" x14ac:dyDescent="0.25">
      <c r="A295" s="1" t="s">
        <v>9</v>
      </c>
      <c r="B295" s="1" t="s">
        <v>10</v>
      </c>
      <c r="C295" s="1" t="s">
        <v>77</v>
      </c>
      <c r="D295" s="1" t="s">
        <v>39</v>
      </c>
      <c r="E295">
        <v>175</v>
      </c>
      <c r="F295" s="1" t="s">
        <v>33</v>
      </c>
      <c r="G295" s="1" t="s">
        <v>14</v>
      </c>
      <c r="H295" s="1" t="s">
        <v>15</v>
      </c>
      <c r="I295" s="1" t="s">
        <v>16</v>
      </c>
    </row>
    <row r="296" spans="1:9" x14ac:dyDescent="0.25">
      <c r="A296" s="1" t="s">
        <v>9</v>
      </c>
      <c r="B296" s="1" t="s">
        <v>10</v>
      </c>
      <c r="C296" s="1" t="s">
        <v>77</v>
      </c>
      <c r="D296" s="1" t="s">
        <v>40</v>
      </c>
      <c r="E296">
        <v>175</v>
      </c>
      <c r="F296" s="1" t="s">
        <v>33</v>
      </c>
      <c r="G296" s="1" t="s">
        <v>14</v>
      </c>
      <c r="H296" s="1" t="s">
        <v>15</v>
      </c>
      <c r="I296" s="1" t="s">
        <v>16</v>
      </c>
    </row>
    <row r="297" spans="1:9" x14ac:dyDescent="0.25">
      <c r="A297" s="1" t="s">
        <v>9</v>
      </c>
      <c r="B297" s="1" t="s">
        <v>10</v>
      </c>
      <c r="C297" s="1" t="s">
        <v>77</v>
      </c>
      <c r="D297" s="1" t="s">
        <v>41</v>
      </c>
      <c r="E297">
        <v>175</v>
      </c>
      <c r="F297" s="1" t="s">
        <v>33</v>
      </c>
      <c r="G297" s="1" t="s">
        <v>14</v>
      </c>
      <c r="H297" s="1" t="s">
        <v>15</v>
      </c>
      <c r="I297" s="1" t="s">
        <v>16</v>
      </c>
    </row>
    <row r="298" spans="1:9" x14ac:dyDescent="0.25">
      <c r="A298" s="1" t="s">
        <v>9</v>
      </c>
      <c r="B298" s="1" t="s">
        <v>10</v>
      </c>
      <c r="C298" s="1" t="s">
        <v>77</v>
      </c>
      <c r="D298" s="1" t="s">
        <v>42</v>
      </c>
      <c r="E298">
        <v>325</v>
      </c>
      <c r="F298" s="1" t="s">
        <v>33</v>
      </c>
      <c r="G298" s="1" t="s">
        <v>14</v>
      </c>
      <c r="H298" s="1" t="s">
        <v>15</v>
      </c>
      <c r="I298" s="1" t="s">
        <v>16</v>
      </c>
    </row>
    <row r="299" spans="1:9" x14ac:dyDescent="0.25">
      <c r="A299" s="1" t="s">
        <v>9</v>
      </c>
      <c r="B299" s="1" t="s">
        <v>10</v>
      </c>
      <c r="C299" s="1" t="s">
        <v>77</v>
      </c>
      <c r="D299" s="1" t="s">
        <v>43</v>
      </c>
      <c r="E299">
        <v>175</v>
      </c>
      <c r="F299" s="1" t="s">
        <v>33</v>
      </c>
      <c r="G299" s="1" t="s">
        <v>14</v>
      </c>
      <c r="H299" s="1" t="s">
        <v>15</v>
      </c>
      <c r="I299" s="1" t="s">
        <v>16</v>
      </c>
    </row>
    <row r="300" spans="1:9" x14ac:dyDescent="0.25">
      <c r="A300" s="1" t="s">
        <v>9</v>
      </c>
      <c r="B300" s="1" t="s">
        <v>10</v>
      </c>
      <c r="C300" s="1" t="s">
        <v>77</v>
      </c>
      <c r="D300" s="1" t="s">
        <v>45</v>
      </c>
      <c r="E300">
        <v>175</v>
      </c>
      <c r="F300" s="1" t="s">
        <v>33</v>
      </c>
      <c r="G300" s="1" t="s">
        <v>14</v>
      </c>
      <c r="H300" s="1" t="s">
        <v>15</v>
      </c>
      <c r="I300" s="1" t="s">
        <v>16</v>
      </c>
    </row>
    <row r="301" spans="1:9" x14ac:dyDescent="0.25">
      <c r="A301" s="1" t="s">
        <v>9</v>
      </c>
      <c r="B301" s="1" t="s">
        <v>10</v>
      </c>
      <c r="C301" s="1" t="s">
        <v>77</v>
      </c>
      <c r="D301" s="1" t="s">
        <v>46</v>
      </c>
      <c r="E301">
        <v>175</v>
      </c>
      <c r="F301" s="1" t="s">
        <v>33</v>
      </c>
      <c r="G301" s="1" t="s">
        <v>14</v>
      </c>
      <c r="H301" s="1" t="s">
        <v>15</v>
      </c>
      <c r="I301" s="1" t="s">
        <v>16</v>
      </c>
    </row>
    <row r="302" spans="1:9" x14ac:dyDescent="0.25">
      <c r="A302" s="1" t="s">
        <v>9</v>
      </c>
      <c r="B302" s="1" t="s">
        <v>10</v>
      </c>
      <c r="C302" s="1" t="s">
        <v>77</v>
      </c>
      <c r="D302" s="1" t="s">
        <v>47</v>
      </c>
      <c r="E302">
        <v>175</v>
      </c>
      <c r="F302" s="1" t="s">
        <v>33</v>
      </c>
      <c r="G302" s="1" t="s">
        <v>14</v>
      </c>
      <c r="H302" s="1" t="s">
        <v>15</v>
      </c>
      <c r="I302" s="1" t="s">
        <v>16</v>
      </c>
    </row>
    <row r="303" spans="1:9" x14ac:dyDescent="0.25">
      <c r="A303" s="1" t="s">
        <v>9</v>
      </c>
      <c r="B303" s="1" t="s">
        <v>10</v>
      </c>
      <c r="C303" s="1" t="s">
        <v>77</v>
      </c>
      <c r="D303" s="1" t="s">
        <v>48</v>
      </c>
      <c r="E303">
        <v>175</v>
      </c>
      <c r="F303" s="1" t="s">
        <v>33</v>
      </c>
      <c r="G303" s="1" t="s">
        <v>14</v>
      </c>
      <c r="H303" s="1" t="s">
        <v>15</v>
      </c>
      <c r="I303" s="1" t="s">
        <v>16</v>
      </c>
    </row>
    <row r="304" spans="1:9" x14ac:dyDescent="0.25">
      <c r="A304" s="1" t="s">
        <v>9</v>
      </c>
      <c r="B304" s="1" t="s">
        <v>10</v>
      </c>
      <c r="C304" s="1" t="s">
        <v>77</v>
      </c>
      <c r="D304" s="1" t="s">
        <v>49</v>
      </c>
      <c r="E304">
        <v>175</v>
      </c>
      <c r="F304" s="1" t="s">
        <v>33</v>
      </c>
      <c r="G304" s="1" t="s">
        <v>14</v>
      </c>
      <c r="H304" s="1" t="s">
        <v>15</v>
      </c>
      <c r="I304" s="1" t="s">
        <v>16</v>
      </c>
    </row>
    <row r="305" spans="1:9" x14ac:dyDescent="0.25">
      <c r="A305" s="1" t="s">
        <v>9</v>
      </c>
      <c r="B305" s="1" t="s">
        <v>10</v>
      </c>
      <c r="C305" s="1" t="s">
        <v>77</v>
      </c>
      <c r="D305" s="1" t="s">
        <v>50</v>
      </c>
      <c r="E305">
        <v>325</v>
      </c>
      <c r="F305" s="1" t="s">
        <v>33</v>
      </c>
      <c r="G305" s="1" t="s">
        <v>14</v>
      </c>
      <c r="H305" s="1" t="s">
        <v>15</v>
      </c>
      <c r="I305" s="1" t="s">
        <v>16</v>
      </c>
    </row>
    <row r="306" spans="1:9" x14ac:dyDescent="0.25">
      <c r="A306" s="1" t="s">
        <v>9</v>
      </c>
      <c r="B306" s="1" t="s">
        <v>10</v>
      </c>
      <c r="C306" s="1" t="s">
        <v>77</v>
      </c>
      <c r="D306" s="1" t="s">
        <v>51</v>
      </c>
      <c r="E306">
        <v>175</v>
      </c>
      <c r="F306" s="1" t="s">
        <v>33</v>
      </c>
      <c r="G306" s="1" t="s">
        <v>14</v>
      </c>
      <c r="H306" s="1" t="s">
        <v>15</v>
      </c>
      <c r="I306" s="1" t="s">
        <v>16</v>
      </c>
    </row>
    <row r="307" spans="1:9" x14ac:dyDescent="0.25">
      <c r="A307" s="1" t="s">
        <v>9</v>
      </c>
      <c r="B307" s="1" t="s">
        <v>10</v>
      </c>
      <c r="C307" s="1" t="s">
        <v>77</v>
      </c>
      <c r="D307" s="1" t="s">
        <v>52</v>
      </c>
      <c r="E307">
        <v>175</v>
      </c>
      <c r="F307" s="1" t="s">
        <v>33</v>
      </c>
      <c r="G307" s="1" t="s">
        <v>14</v>
      </c>
      <c r="H307" s="1" t="s">
        <v>15</v>
      </c>
      <c r="I307" s="1" t="s">
        <v>16</v>
      </c>
    </row>
    <row r="308" spans="1:9" x14ac:dyDescent="0.25">
      <c r="A308" s="1" t="s">
        <v>9</v>
      </c>
      <c r="B308" s="1" t="s">
        <v>10</v>
      </c>
      <c r="C308" s="1" t="s">
        <v>77</v>
      </c>
      <c r="D308" s="1" t="s">
        <v>53</v>
      </c>
      <c r="E308">
        <v>175</v>
      </c>
      <c r="F308" s="1" t="s">
        <v>33</v>
      </c>
      <c r="G308" s="1" t="s">
        <v>14</v>
      </c>
      <c r="H308" s="1" t="s">
        <v>15</v>
      </c>
      <c r="I308" s="1" t="s">
        <v>16</v>
      </c>
    </row>
    <row r="309" spans="1:9" x14ac:dyDescent="0.25">
      <c r="A309" s="1" t="s">
        <v>9</v>
      </c>
      <c r="B309" s="1" t="s">
        <v>10</v>
      </c>
      <c r="C309" s="1" t="s">
        <v>77</v>
      </c>
      <c r="D309" s="1" t="s">
        <v>54</v>
      </c>
      <c r="E309">
        <v>175</v>
      </c>
      <c r="F309" s="1" t="s">
        <v>33</v>
      </c>
      <c r="G309" s="1" t="s">
        <v>14</v>
      </c>
      <c r="H309" s="1" t="s">
        <v>15</v>
      </c>
      <c r="I309" s="1" t="s">
        <v>16</v>
      </c>
    </row>
    <row r="310" spans="1:9" x14ac:dyDescent="0.25">
      <c r="A310" s="1" t="s">
        <v>9</v>
      </c>
      <c r="B310" s="1" t="s">
        <v>10</v>
      </c>
      <c r="C310" s="1" t="s">
        <v>77</v>
      </c>
      <c r="D310" s="1" t="s">
        <v>55</v>
      </c>
      <c r="E310">
        <v>175</v>
      </c>
      <c r="F310" s="1" t="s">
        <v>33</v>
      </c>
      <c r="G310" s="1" t="s">
        <v>14</v>
      </c>
      <c r="H310" s="1" t="s">
        <v>15</v>
      </c>
      <c r="I310" s="1" t="s">
        <v>16</v>
      </c>
    </row>
    <row r="311" spans="1:9" x14ac:dyDescent="0.25">
      <c r="A311" s="1" t="s">
        <v>9</v>
      </c>
      <c r="B311" s="1" t="s">
        <v>10</v>
      </c>
      <c r="C311" s="1" t="s">
        <v>77</v>
      </c>
      <c r="D311" s="1" t="s">
        <v>56</v>
      </c>
      <c r="E311">
        <v>175</v>
      </c>
      <c r="F311" s="1" t="s">
        <v>33</v>
      </c>
      <c r="G311" s="1" t="s">
        <v>14</v>
      </c>
      <c r="H311" s="1" t="s">
        <v>15</v>
      </c>
      <c r="I311" s="1" t="s">
        <v>16</v>
      </c>
    </row>
    <row r="312" spans="1:9" x14ac:dyDescent="0.25">
      <c r="A312" s="1" t="s">
        <v>9</v>
      </c>
      <c r="B312" s="1" t="s">
        <v>10</v>
      </c>
      <c r="C312" s="1" t="s">
        <v>77</v>
      </c>
      <c r="D312" s="1" t="s">
        <v>57</v>
      </c>
      <c r="E312">
        <v>325</v>
      </c>
      <c r="F312" s="1" t="s">
        <v>33</v>
      </c>
      <c r="G312" s="1" t="s">
        <v>14</v>
      </c>
      <c r="H312" s="1" t="s">
        <v>15</v>
      </c>
      <c r="I312" s="1" t="s">
        <v>16</v>
      </c>
    </row>
    <row r="313" spans="1:9" x14ac:dyDescent="0.25">
      <c r="A313" s="1" t="s">
        <v>9</v>
      </c>
      <c r="B313" s="1" t="s">
        <v>10</v>
      </c>
      <c r="C313" s="1" t="s">
        <v>77</v>
      </c>
      <c r="D313" s="1" t="s">
        <v>58</v>
      </c>
      <c r="E313">
        <v>175</v>
      </c>
      <c r="F313" s="1" t="s">
        <v>33</v>
      </c>
      <c r="G313" s="1" t="s">
        <v>14</v>
      </c>
      <c r="H313" s="1" t="s">
        <v>15</v>
      </c>
      <c r="I313" s="1" t="s">
        <v>16</v>
      </c>
    </row>
    <row r="314" spans="1:9" x14ac:dyDescent="0.25">
      <c r="A314" s="1" t="s">
        <v>9</v>
      </c>
      <c r="B314" s="1" t="s">
        <v>10</v>
      </c>
      <c r="C314" s="1" t="s">
        <v>77</v>
      </c>
      <c r="D314" s="1" t="s">
        <v>59</v>
      </c>
      <c r="E314">
        <v>175</v>
      </c>
      <c r="F314" s="1" t="s">
        <v>33</v>
      </c>
      <c r="G314" s="1" t="s">
        <v>14</v>
      </c>
      <c r="H314" s="1" t="s">
        <v>15</v>
      </c>
      <c r="I314" s="1" t="s">
        <v>16</v>
      </c>
    </row>
    <row r="315" spans="1:9" x14ac:dyDescent="0.25">
      <c r="A315" s="1" t="s">
        <v>9</v>
      </c>
      <c r="B315" s="1" t="s">
        <v>10</v>
      </c>
      <c r="C315" s="1" t="s">
        <v>77</v>
      </c>
      <c r="D315" s="1" t="s">
        <v>60</v>
      </c>
      <c r="E315">
        <v>325</v>
      </c>
      <c r="F315" s="1" t="s">
        <v>33</v>
      </c>
      <c r="G315" s="1" t="s">
        <v>14</v>
      </c>
      <c r="H315" s="1" t="s">
        <v>15</v>
      </c>
      <c r="I315" s="1" t="s">
        <v>16</v>
      </c>
    </row>
    <row r="316" spans="1:9" x14ac:dyDescent="0.25">
      <c r="A316" s="1" t="s">
        <v>9</v>
      </c>
      <c r="B316" s="1" t="s">
        <v>10</v>
      </c>
      <c r="C316" s="1" t="s">
        <v>77</v>
      </c>
      <c r="D316" s="1" t="s">
        <v>61</v>
      </c>
      <c r="E316">
        <v>175</v>
      </c>
      <c r="F316" s="1" t="s">
        <v>33</v>
      </c>
      <c r="G316" s="1" t="s">
        <v>14</v>
      </c>
      <c r="H316" s="1" t="s">
        <v>15</v>
      </c>
      <c r="I316" s="1" t="s">
        <v>16</v>
      </c>
    </row>
    <row r="317" spans="1:9" x14ac:dyDescent="0.25">
      <c r="A317" s="1" t="s">
        <v>9</v>
      </c>
      <c r="B317" s="1" t="s">
        <v>10</v>
      </c>
      <c r="C317" s="1" t="s">
        <v>77</v>
      </c>
      <c r="D317" s="1" t="s">
        <v>62</v>
      </c>
      <c r="E317">
        <v>175</v>
      </c>
      <c r="F317" s="1" t="s">
        <v>33</v>
      </c>
      <c r="G317" s="1" t="s">
        <v>14</v>
      </c>
      <c r="H317" s="1" t="s">
        <v>15</v>
      </c>
      <c r="I317" s="1" t="s">
        <v>16</v>
      </c>
    </row>
    <row r="318" spans="1:9" x14ac:dyDescent="0.25">
      <c r="A318" s="1" t="s">
        <v>9</v>
      </c>
      <c r="B318" s="1" t="s">
        <v>10</v>
      </c>
      <c r="C318" s="1" t="s">
        <v>77</v>
      </c>
      <c r="D318" s="1" t="s">
        <v>63</v>
      </c>
      <c r="E318">
        <v>175</v>
      </c>
      <c r="F318" s="1" t="s">
        <v>33</v>
      </c>
      <c r="G318" s="1" t="s">
        <v>14</v>
      </c>
      <c r="H318" s="1" t="s">
        <v>15</v>
      </c>
      <c r="I318" s="1" t="s">
        <v>16</v>
      </c>
    </row>
    <row r="319" spans="1:9" x14ac:dyDescent="0.25">
      <c r="A319" s="1" t="s">
        <v>9</v>
      </c>
      <c r="B319" s="1" t="s">
        <v>10</v>
      </c>
      <c r="C319" s="1" t="s">
        <v>77</v>
      </c>
      <c r="D319" s="1" t="s">
        <v>64</v>
      </c>
      <c r="E319">
        <v>175</v>
      </c>
      <c r="F319" s="1" t="s">
        <v>33</v>
      </c>
      <c r="G319" s="1" t="s">
        <v>14</v>
      </c>
      <c r="H319" s="1" t="s">
        <v>15</v>
      </c>
      <c r="I319" s="1" t="s">
        <v>16</v>
      </c>
    </row>
    <row r="320" spans="1:9" x14ac:dyDescent="0.25">
      <c r="A320" s="1" t="s">
        <v>9</v>
      </c>
      <c r="B320" s="1" t="s">
        <v>10</v>
      </c>
      <c r="C320" s="1" t="s">
        <v>77</v>
      </c>
      <c r="D320" s="1" t="s">
        <v>65</v>
      </c>
      <c r="E320">
        <v>325</v>
      </c>
      <c r="F320" s="1" t="s">
        <v>33</v>
      </c>
      <c r="G320" s="1" t="s">
        <v>14</v>
      </c>
      <c r="H320" s="1" t="s">
        <v>15</v>
      </c>
      <c r="I320" s="1" t="s">
        <v>16</v>
      </c>
    </row>
    <row r="321" spans="1:9" x14ac:dyDescent="0.25">
      <c r="A321" s="1" t="s">
        <v>9</v>
      </c>
      <c r="B321" s="1" t="s">
        <v>10</v>
      </c>
      <c r="C321" s="1" t="s">
        <v>77</v>
      </c>
      <c r="D321" s="1" t="s">
        <v>66</v>
      </c>
      <c r="E321">
        <v>175</v>
      </c>
      <c r="F321" s="1" t="s">
        <v>33</v>
      </c>
      <c r="G321" s="1" t="s">
        <v>14</v>
      </c>
      <c r="H321" s="1" t="s">
        <v>15</v>
      </c>
      <c r="I321" s="1" t="s">
        <v>16</v>
      </c>
    </row>
    <row r="322" spans="1:9" x14ac:dyDescent="0.25">
      <c r="A322" s="1" t="s">
        <v>9</v>
      </c>
      <c r="B322" s="1" t="s">
        <v>10</v>
      </c>
      <c r="C322" s="1" t="s">
        <v>77</v>
      </c>
      <c r="D322" s="1" t="s">
        <v>67</v>
      </c>
      <c r="E322">
        <v>175</v>
      </c>
      <c r="F322" s="1" t="s">
        <v>33</v>
      </c>
      <c r="G322" s="1" t="s">
        <v>14</v>
      </c>
      <c r="H322" s="1" t="s">
        <v>15</v>
      </c>
      <c r="I322" s="1" t="s">
        <v>16</v>
      </c>
    </row>
    <row r="323" spans="1:9" x14ac:dyDescent="0.25">
      <c r="A323" s="1" t="s">
        <v>9</v>
      </c>
      <c r="B323" s="1" t="s">
        <v>10</v>
      </c>
      <c r="C323" s="1" t="s">
        <v>77</v>
      </c>
      <c r="D323" s="1" t="s">
        <v>68</v>
      </c>
      <c r="E323">
        <v>175</v>
      </c>
      <c r="F323" s="1" t="s">
        <v>33</v>
      </c>
      <c r="G323" s="1" t="s">
        <v>14</v>
      </c>
      <c r="H323" s="1" t="s">
        <v>15</v>
      </c>
      <c r="I323" s="1" t="s">
        <v>16</v>
      </c>
    </row>
    <row r="324" spans="1:9" x14ac:dyDescent="0.25">
      <c r="A324" s="1" t="s">
        <v>9</v>
      </c>
      <c r="B324" s="1" t="s">
        <v>10</v>
      </c>
      <c r="C324" s="1" t="s">
        <v>77</v>
      </c>
      <c r="D324" s="1" t="s">
        <v>69</v>
      </c>
      <c r="E324">
        <v>175</v>
      </c>
      <c r="F324" s="1" t="s">
        <v>33</v>
      </c>
      <c r="G324" s="1" t="s">
        <v>14</v>
      </c>
      <c r="H324" s="1" t="s">
        <v>15</v>
      </c>
      <c r="I324" s="1" t="s">
        <v>16</v>
      </c>
    </row>
    <row r="325" spans="1:9" x14ac:dyDescent="0.25">
      <c r="A325" s="1" t="s">
        <v>9</v>
      </c>
      <c r="B325" s="1" t="s">
        <v>10</v>
      </c>
      <c r="C325" s="1" t="s">
        <v>77</v>
      </c>
      <c r="D325" s="1" t="s">
        <v>70</v>
      </c>
      <c r="E325">
        <v>325</v>
      </c>
      <c r="F325" s="1" t="s">
        <v>33</v>
      </c>
      <c r="G325" s="1" t="s">
        <v>14</v>
      </c>
      <c r="H325" s="1" t="s">
        <v>15</v>
      </c>
      <c r="I325" s="1" t="s">
        <v>16</v>
      </c>
    </row>
    <row r="326" spans="1:9" x14ac:dyDescent="0.25">
      <c r="A326" s="1" t="s">
        <v>9</v>
      </c>
      <c r="B326" s="1" t="s">
        <v>10</v>
      </c>
      <c r="C326" s="1" t="s">
        <v>78</v>
      </c>
      <c r="D326" s="1" t="s">
        <v>12</v>
      </c>
      <c r="E326">
        <v>325</v>
      </c>
      <c r="F326" s="1" t="s">
        <v>12</v>
      </c>
      <c r="G326" s="1" t="s">
        <v>14</v>
      </c>
      <c r="H326" s="1" t="s">
        <v>73</v>
      </c>
      <c r="I326" s="1" t="s">
        <v>16</v>
      </c>
    </row>
    <row r="327" spans="1:9" x14ac:dyDescent="0.25">
      <c r="A327" s="1" t="s">
        <v>9</v>
      </c>
      <c r="B327" s="1" t="s">
        <v>10</v>
      </c>
      <c r="C327" s="1" t="s">
        <v>78</v>
      </c>
      <c r="D327" s="1" t="s">
        <v>17</v>
      </c>
      <c r="E327">
        <v>325</v>
      </c>
      <c r="F327" s="1" t="s">
        <v>12</v>
      </c>
      <c r="G327" s="1" t="s">
        <v>14</v>
      </c>
      <c r="H327" s="1" t="s">
        <v>73</v>
      </c>
      <c r="I327" s="1" t="s">
        <v>16</v>
      </c>
    </row>
    <row r="328" spans="1:9" x14ac:dyDescent="0.25">
      <c r="A328" s="1" t="s">
        <v>9</v>
      </c>
      <c r="B328" s="1" t="s">
        <v>10</v>
      </c>
      <c r="C328" s="1" t="s">
        <v>78</v>
      </c>
      <c r="D328" s="1" t="s">
        <v>18</v>
      </c>
      <c r="E328">
        <v>650</v>
      </c>
      <c r="F328" s="1" t="s">
        <v>12</v>
      </c>
      <c r="G328" s="1" t="s">
        <v>14</v>
      </c>
      <c r="H328" s="1" t="s">
        <v>73</v>
      </c>
      <c r="I328" s="1" t="s">
        <v>16</v>
      </c>
    </row>
    <row r="329" spans="1:9" x14ac:dyDescent="0.25">
      <c r="A329" s="1" t="s">
        <v>9</v>
      </c>
      <c r="B329" s="1" t="s">
        <v>10</v>
      </c>
      <c r="C329" s="1" t="s">
        <v>78</v>
      </c>
      <c r="D329" s="1" t="s">
        <v>19</v>
      </c>
      <c r="E329">
        <v>650</v>
      </c>
      <c r="F329" s="1" t="s">
        <v>12</v>
      </c>
      <c r="G329" s="1" t="s">
        <v>14</v>
      </c>
      <c r="H329" s="1" t="s">
        <v>73</v>
      </c>
      <c r="I329" s="1" t="s">
        <v>16</v>
      </c>
    </row>
    <row r="330" spans="1:9" x14ac:dyDescent="0.25">
      <c r="A330" s="1" t="s">
        <v>9</v>
      </c>
      <c r="B330" s="1" t="s">
        <v>10</v>
      </c>
      <c r="C330" s="1" t="s">
        <v>78</v>
      </c>
      <c r="D330" s="1" t="s">
        <v>20</v>
      </c>
      <c r="E330">
        <v>650</v>
      </c>
      <c r="F330" s="1" t="s">
        <v>12</v>
      </c>
      <c r="G330" s="1" t="s">
        <v>14</v>
      </c>
      <c r="H330" s="1" t="s">
        <v>73</v>
      </c>
      <c r="I330" s="1" t="s">
        <v>16</v>
      </c>
    </row>
    <row r="331" spans="1:9" x14ac:dyDescent="0.25">
      <c r="A331" s="1" t="s">
        <v>9</v>
      </c>
      <c r="B331" s="1" t="s">
        <v>10</v>
      </c>
      <c r="C331" s="1" t="s">
        <v>78</v>
      </c>
      <c r="D331" s="1" t="s">
        <v>21</v>
      </c>
      <c r="E331">
        <v>325</v>
      </c>
      <c r="F331" s="1" t="s">
        <v>12</v>
      </c>
      <c r="G331" s="1" t="s">
        <v>14</v>
      </c>
      <c r="H331" s="1" t="s">
        <v>73</v>
      </c>
      <c r="I331" s="1" t="s">
        <v>16</v>
      </c>
    </row>
    <row r="332" spans="1:9" x14ac:dyDescent="0.25">
      <c r="A332" s="1" t="s">
        <v>9</v>
      </c>
      <c r="B332" s="1" t="s">
        <v>10</v>
      </c>
      <c r="C332" s="1" t="s">
        <v>78</v>
      </c>
      <c r="D332" s="1" t="s">
        <v>22</v>
      </c>
      <c r="E332">
        <v>650</v>
      </c>
      <c r="F332" s="1" t="s">
        <v>12</v>
      </c>
      <c r="G332" s="1" t="s">
        <v>14</v>
      </c>
      <c r="H332" s="1" t="s">
        <v>73</v>
      </c>
      <c r="I332" s="1" t="s">
        <v>16</v>
      </c>
    </row>
    <row r="333" spans="1:9" x14ac:dyDescent="0.25">
      <c r="A333" s="1" t="s">
        <v>9</v>
      </c>
      <c r="B333" s="1" t="s">
        <v>10</v>
      </c>
      <c r="C333" s="1" t="s">
        <v>78</v>
      </c>
      <c r="D333" s="1" t="s">
        <v>23</v>
      </c>
      <c r="E333">
        <v>325</v>
      </c>
      <c r="F333" s="1" t="s">
        <v>12</v>
      </c>
      <c r="G333" s="1" t="s">
        <v>14</v>
      </c>
      <c r="H333" s="1" t="s">
        <v>73</v>
      </c>
      <c r="I333" s="1" t="s">
        <v>16</v>
      </c>
    </row>
    <row r="334" spans="1:9" x14ac:dyDescent="0.25">
      <c r="A334" s="1" t="s">
        <v>9</v>
      </c>
      <c r="B334" s="1" t="s">
        <v>10</v>
      </c>
      <c r="C334" s="1" t="s">
        <v>78</v>
      </c>
      <c r="D334" s="1" t="s">
        <v>24</v>
      </c>
      <c r="E334">
        <v>650</v>
      </c>
      <c r="F334" s="1" t="s">
        <v>12</v>
      </c>
      <c r="G334" s="1" t="s">
        <v>14</v>
      </c>
      <c r="H334" s="1" t="s">
        <v>73</v>
      </c>
      <c r="I334" s="1" t="s">
        <v>16</v>
      </c>
    </row>
    <row r="335" spans="1:9" x14ac:dyDescent="0.25">
      <c r="A335" s="1" t="s">
        <v>9</v>
      </c>
      <c r="B335" s="1" t="s">
        <v>10</v>
      </c>
      <c r="C335" s="1" t="s">
        <v>78</v>
      </c>
      <c r="D335" s="1" t="s">
        <v>25</v>
      </c>
      <c r="E335">
        <v>325</v>
      </c>
      <c r="F335" s="1" t="s">
        <v>12</v>
      </c>
      <c r="G335" s="1" t="s">
        <v>14</v>
      </c>
      <c r="H335" s="1" t="s">
        <v>73</v>
      </c>
      <c r="I335" s="1" t="s">
        <v>16</v>
      </c>
    </row>
    <row r="336" spans="1:9" x14ac:dyDescent="0.25">
      <c r="A336" s="1" t="s">
        <v>9</v>
      </c>
      <c r="B336" s="1" t="s">
        <v>10</v>
      </c>
      <c r="C336" s="1" t="s">
        <v>78</v>
      </c>
      <c r="D336" s="1" t="s">
        <v>26</v>
      </c>
      <c r="E336">
        <v>325</v>
      </c>
      <c r="F336" s="1" t="s">
        <v>12</v>
      </c>
      <c r="G336" s="1" t="s">
        <v>14</v>
      </c>
      <c r="H336" s="1" t="s">
        <v>73</v>
      </c>
      <c r="I336" s="1" t="s">
        <v>16</v>
      </c>
    </row>
    <row r="337" spans="1:9" x14ac:dyDescent="0.25">
      <c r="A337" s="1" t="s">
        <v>9</v>
      </c>
      <c r="B337" s="1" t="s">
        <v>10</v>
      </c>
      <c r="C337" s="1" t="s">
        <v>78</v>
      </c>
      <c r="D337" s="1" t="s">
        <v>27</v>
      </c>
      <c r="E337">
        <v>325</v>
      </c>
      <c r="F337" s="1" t="s">
        <v>12</v>
      </c>
      <c r="G337" s="1" t="s">
        <v>14</v>
      </c>
      <c r="H337" s="1" t="s">
        <v>73</v>
      </c>
      <c r="I337" s="1" t="s">
        <v>16</v>
      </c>
    </row>
    <row r="338" spans="1:9" x14ac:dyDescent="0.25">
      <c r="A338" s="1" t="s">
        <v>9</v>
      </c>
      <c r="B338" s="1" t="s">
        <v>10</v>
      </c>
      <c r="C338" s="1" t="s">
        <v>78</v>
      </c>
      <c r="D338" s="1" t="s">
        <v>28</v>
      </c>
      <c r="E338">
        <v>650</v>
      </c>
      <c r="F338" s="1" t="s">
        <v>12</v>
      </c>
      <c r="G338" s="1" t="s">
        <v>14</v>
      </c>
      <c r="H338" s="1" t="s">
        <v>73</v>
      </c>
      <c r="I338" s="1" t="s">
        <v>16</v>
      </c>
    </row>
    <row r="339" spans="1:9" x14ac:dyDescent="0.25">
      <c r="A339" s="1" t="s">
        <v>9</v>
      </c>
      <c r="B339" s="1" t="s">
        <v>10</v>
      </c>
      <c r="C339" s="1" t="s">
        <v>78</v>
      </c>
      <c r="D339" s="1" t="s">
        <v>29</v>
      </c>
      <c r="E339">
        <v>325</v>
      </c>
      <c r="F339" s="1" t="s">
        <v>12</v>
      </c>
      <c r="G339" s="1" t="s">
        <v>14</v>
      </c>
      <c r="H339" s="1" t="s">
        <v>73</v>
      </c>
      <c r="I339" s="1" t="s">
        <v>16</v>
      </c>
    </row>
    <row r="340" spans="1:9" x14ac:dyDescent="0.25">
      <c r="A340" s="1" t="s">
        <v>9</v>
      </c>
      <c r="B340" s="1" t="s">
        <v>10</v>
      </c>
      <c r="C340" s="1" t="s">
        <v>78</v>
      </c>
      <c r="D340" s="1" t="s">
        <v>30</v>
      </c>
      <c r="E340">
        <v>325</v>
      </c>
      <c r="F340" s="1" t="s">
        <v>12</v>
      </c>
      <c r="G340" s="1" t="s">
        <v>14</v>
      </c>
      <c r="H340" s="1" t="s">
        <v>73</v>
      </c>
      <c r="I340" s="1" t="s">
        <v>16</v>
      </c>
    </row>
    <row r="341" spans="1:9" x14ac:dyDescent="0.25">
      <c r="A341" s="1" t="s">
        <v>9</v>
      </c>
      <c r="B341" s="1" t="s">
        <v>10</v>
      </c>
      <c r="C341" s="1" t="s">
        <v>78</v>
      </c>
      <c r="D341" s="1" t="s">
        <v>31</v>
      </c>
      <c r="E341">
        <v>325</v>
      </c>
      <c r="F341" s="1" t="s">
        <v>12</v>
      </c>
      <c r="G341" s="1" t="s">
        <v>14</v>
      </c>
      <c r="H341" s="1" t="s">
        <v>73</v>
      </c>
      <c r="I341" s="1" t="s">
        <v>16</v>
      </c>
    </row>
    <row r="342" spans="1:9" x14ac:dyDescent="0.25">
      <c r="A342" s="1" t="s">
        <v>9</v>
      </c>
      <c r="B342" s="1" t="s">
        <v>10</v>
      </c>
      <c r="C342" s="1" t="s">
        <v>78</v>
      </c>
      <c r="D342" s="1" t="s">
        <v>32</v>
      </c>
      <c r="E342">
        <v>325</v>
      </c>
      <c r="F342" s="1" t="s">
        <v>12</v>
      </c>
      <c r="G342" s="1" t="s">
        <v>14</v>
      </c>
      <c r="H342" s="1" t="s">
        <v>73</v>
      </c>
      <c r="I342" s="1" t="s">
        <v>16</v>
      </c>
    </row>
    <row r="343" spans="1:9" x14ac:dyDescent="0.25">
      <c r="A343" s="1" t="s">
        <v>9</v>
      </c>
      <c r="B343" s="1" t="s">
        <v>10</v>
      </c>
      <c r="C343" s="1" t="s">
        <v>78</v>
      </c>
      <c r="D343" s="1" t="s">
        <v>33</v>
      </c>
      <c r="E343">
        <v>650</v>
      </c>
      <c r="F343" s="1" t="s">
        <v>12</v>
      </c>
      <c r="G343" s="1" t="s">
        <v>14</v>
      </c>
      <c r="H343" s="1" t="s">
        <v>73</v>
      </c>
      <c r="I343" s="1" t="s">
        <v>16</v>
      </c>
    </row>
    <row r="344" spans="1:9" x14ac:dyDescent="0.25">
      <c r="A344" s="1" t="s">
        <v>9</v>
      </c>
      <c r="B344" s="1" t="s">
        <v>10</v>
      </c>
      <c r="C344" s="1" t="s">
        <v>78</v>
      </c>
      <c r="D344" s="1" t="s">
        <v>34</v>
      </c>
      <c r="E344">
        <v>325</v>
      </c>
      <c r="F344" s="1" t="s">
        <v>12</v>
      </c>
      <c r="G344" s="1" t="s">
        <v>14</v>
      </c>
      <c r="H344" s="1" t="s">
        <v>73</v>
      </c>
      <c r="I344" s="1" t="s">
        <v>16</v>
      </c>
    </row>
    <row r="345" spans="1:9" x14ac:dyDescent="0.25">
      <c r="A345" s="1" t="s">
        <v>9</v>
      </c>
      <c r="B345" s="1" t="s">
        <v>10</v>
      </c>
      <c r="C345" s="1" t="s">
        <v>78</v>
      </c>
      <c r="D345" s="1" t="s">
        <v>35</v>
      </c>
      <c r="E345">
        <v>650</v>
      </c>
      <c r="F345" s="1" t="s">
        <v>12</v>
      </c>
      <c r="G345" s="1" t="s">
        <v>14</v>
      </c>
      <c r="H345" s="1" t="s">
        <v>73</v>
      </c>
      <c r="I345" s="1" t="s">
        <v>16</v>
      </c>
    </row>
    <row r="346" spans="1:9" x14ac:dyDescent="0.25">
      <c r="A346" s="1" t="s">
        <v>9</v>
      </c>
      <c r="B346" s="1" t="s">
        <v>10</v>
      </c>
      <c r="C346" s="1" t="s">
        <v>78</v>
      </c>
      <c r="D346" s="1" t="s">
        <v>36</v>
      </c>
      <c r="E346">
        <v>650</v>
      </c>
      <c r="F346" s="1" t="s">
        <v>12</v>
      </c>
      <c r="G346" s="1" t="s">
        <v>14</v>
      </c>
      <c r="H346" s="1" t="s">
        <v>73</v>
      </c>
      <c r="I346" s="1" t="s">
        <v>16</v>
      </c>
    </row>
    <row r="347" spans="1:9" x14ac:dyDescent="0.25">
      <c r="A347" s="1" t="s">
        <v>9</v>
      </c>
      <c r="B347" s="1" t="s">
        <v>10</v>
      </c>
      <c r="C347" s="1" t="s">
        <v>78</v>
      </c>
      <c r="D347" s="1" t="s">
        <v>37</v>
      </c>
      <c r="E347">
        <v>325</v>
      </c>
      <c r="F347" s="1" t="s">
        <v>12</v>
      </c>
      <c r="G347" s="1" t="s">
        <v>14</v>
      </c>
      <c r="H347" s="1" t="s">
        <v>73</v>
      </c>
      <c r="I347" s="1" t="s">
        <v>16</v>
      </c>
    </row>
    <row r="348" spans="1:9" x14ac:dyDescent="0.25">
      <c r="A348" s="1" t="s">
        <v>9</v>
      </c>
      <c r="B348" s="1" t="s">
        <v>10</v>
      </c>
      <c r="C348" s="1" t="s">
        <v>78</v>
      </c>
      <c r="D348" s="1" t="s">
        <v>38</v>
      </c>
      <c r="E348">
        <v>650</v>
      </c>
      <c r="F348" s="1" t="s">
        <v>12</v>
      </c>
      <c r="G348" s="1" t="s">
        <v>14</v>
      </c>
      <c r="H348" s="1" t="s">
        <v>73</v>
      </c>
      <c r="I348" s="1" t="s">
        <v>16</v>
      </c>
    </row>
    <row r="349" spans="1:9" x14ac:dyDescent="0.25">
      <c r="A349" s="1" t="s">
        <v>9</v>
      </c>
      <c r="B349" s="1" t="s">
        <v>10</v>
      </c>
      <c r="C349" s="1" t="s">
        <v>78</v>
      </c>
      <c r="D349" s="1" t="s">
        <v>39</v>
      </c>
      <c r="E349">
        <v>650</v>
      </c>
      <c r="F349" s="1" t="s">
        <v>12</v>
      </c>
      <c r="G349" s="1" t="s">
        <v>14</v>
      </c>
      <c r="H349" s="1" t="s">
        <v>73</v>
      </c>
      <c r="I349" s="1" t="s">
        <v>16</v>
      </c>
    </row>
    <row r="350" spans="1:9" x14ac:dyDescent="0.25">
      <c r="A350" s="1" t="s">
        <v>9</v>
      </c>
      <c r="B350" s="1" t="s">
        <v>10</v>
      </c>
      <c r="C350" s="1" t="s">
        <v>78</v>
      </c>
      <c r="D350" s="1" t="s">
        <v>40</v>
      </c>
      <c r="E350">
        <v>325</v>
      </c>
      <c r="F350" s="1" t="s">
        <v>12</v>
      </c>
      <c r="G350" s="1" t="s">
        <v>14</v>
      </c>
      <c r="H350" s="1" t="s">
        <v>73</v>
      </c>
      <c r="I350" s="1" t="s">
        <v>16</v>
      </c>
    </row>
    <row r="351" spans="1:9" x14ac:dyDescent="0.25">
      <c r="A351" s="1" t="s">
        <v>9</v>
      </c>
      <c r="B351" s="1" t="s">
        <v>10</v>
      </c>
      <c r="C351" s="1" t="s">
        <v>78</v>
      </c>
      <c r="D351" s="1" t="s">
        <v>41</v>
      </c>
      <c r="E351">
        <v>325</v>
      </c>
      <c r="F351" s="1" t="s">
        <v>12</v>
      </c>
      <c r="G351" s="1" t="s">
        <v>14</v>
      </c>
      <c r="H351" s="1" t="s">
        <v>73</v>
      </c>
      <c r="I351" s="1" t="s">
        <v>16</v>
      </c>
    </row>
    <row r="352" spans="1:9" x14ac:dyDescent="0.25">
      <c r="A352" s="1" t="s">
        <v>9</v>
      </c>
      <c r="B352" s="1" t="s">
        <v>10</v>
      </c>
      <c r="C352" s="1" t="s">
        <v>78</v>
      </c>
      <c r="D352" s="1" t="s">
        <v>42</v>
      </c>
      <c r="E352">
        <v>325</v>
      </c>
      <c r="F352" s="1" t="s">
        <v>12</v>
      </c>
      <c r="G352" s="1" t="s">
        <v>14</v>
      </c>
      <c r="H352" s="1" t="s">
        <v>73</v>
      </c>
      <c r="I352" s="1" t="s">
        <v>16</v>
      </c>
    </row>
    <row r="353" spans="1:9" x14ac:dyDescent="0.25">
      <c r="A353" s="1" t="s">
        <v>9</v>
      </c>
      <c r="B353" s="1" t="s">
        <v>10</v>
      </c>
      <c r="C353" s="1" t="s">
        <v>78</v>
      </c>
      <c r="D353" s="1" t="s">
        <v>43</v>
      </c>
      <c r="E353">
        <v>325</v>
      </c>
      <c r="F353" s="1" t="s">
        <v>12</v>
      </c>
      <c r="G353" s="1" t="s">
        <v>14</v>
      </c>
      <c r="H353" s="1" t="s">
        <v>73</v>
      </c>
      <c r="I353" s="1" t="s">
        <v>16</v>
      </c>
    </row>
    <row r="354" spans="1:9" x14ac:dyDescent="0.25">
      <c r="A354" s="1" t="s">
        <v>9</v>
      </c>
      <c r="B354" s="1" t="s">
        <v>10</v>
      </c>
      <c r="C354" s="1" t="s">
        <v>78</v>
      </c>
      <c r="D354" s="1" t="s">
        <v>45</v>
      </c>
      <c r="E354">
        <v>325</v>
      </c>
      <c r="F354" s="1" t="s">
        <v>12</v>
      </c>
      <c r="G354" s="1" t="s">
        <v>14</v>
      </c>
      <c r="H354" s="1" t="s">
        <v>73</v>
      </c>
      <c r="I354" s="1" t="s">
        <v>16</v>
      </c>
    </row>
    <row r="355" spans="1:9" x14ac:dyDescent="0.25">
      <c r="A355" s="1" t="s">
        <v>9</v>
      </c>
      <c r="B355" s="1" t="s">
        <v>10</v>
      </c>
      <c r="C355" s="1" t="s">
        <v>78</v>
      </c>
      <c r="D355" s="1" t="s">
        <v>46</v>
      </c>
      <c r="E355">
        <v>650</v>
      </c>
      <c r="F355" s="1" t="s">
        <v>12</v>
      </c>
      <c r="G355" s="1" t="s">
        <v>14</v>
      </c>
      <c r="H355" s="1" t="s">
        <v>73</v>
      </c>
      <c r="I355" s="1" t="s">
        <v>16</v>
      </c>
    </row>
    <row r="356" spans="1:9" x14ac:dyDescent="0.25">
      <c r="A356" s="1" t="s">
        <v>9</v>
      </c>
      <c r="B356" s="1" t="s">
        <v>10</v>
      </c>
      <c r="C356" s="1" t="s">
        <v>78</v>
      </c>
      <c r="D356" s="1" t="s">
        <v>47</v>
      </c>
      <c r="E356">
        <v>650</v>
      </c>
      <c r="F356" s="1" t="s">
        <v>12</v>
      </c>
      <c r="G356" s="1" t="s">
        <v>14</v>
      </c>
      <c r="H356" s="1" t="s">
        <v>73</v>
      </c>
      <c r="I356" s="1" t="s">
        <v>16</v>
      </c>
    </row>
    <row r="357" spans="1:9" x14ac:dyDescent="0.25">
      <c r="A357" s="1" t="s">
        <v>9</v>
      </c>
      <c r="B357" s="1" t="s">
        <v>10</v>
      </c>
      <c r="C357" s="1" t="s">
        <v>78</v>
      </c>
      <c r="D357" s="1" t="s">
        <v>48</v>
      </c>
      <c r="E357">
        <v>650</v>
      </c>
      <c r="F357" s="1" t="s">
        <v>12</v>
      </c>
      <c r="G357" s="1" t="s">
        <v>14</v>
      </c>
      <c r="H357" s="1" t="s">
        <v>73</v>
      </c>
      <c r="I357" s="1" t="s">
        <v>16</v>
      </c>
    </row>
    <row r="358" spans="1:9" x14ac:dyDescent="0.25">
      <c r="A358" s="1" t="s">
        <v>9</v>
      </c>
      <c r="B358" s="1" t="s">
        <v>10</v>
      </c>
      <c r="C358" s="1" t="s">
        <v>78</v>
      </c>
      <c r="D358" s="1" t="s">
        <v>49</v>
      </c>
      <c r="E358">
        <v>325</v>
      </c>
      <c r="F358" s="1" t="s">
        <v>12</v>
      </c>
      <c r="G358" s="1" t="s">
        <v>14</v>
      </c>
      <c r="H358" s="1" t="s">
        <v>73</v>
      </c>
      <c r="I358" s="1" t="s">
        <v>16</v>
      </c>
    </row>
    <row r="359" spans="1:9" x14ac:dyDescent="0.25">
      <c r="A359" s="1" t="s">
        <v>9</v>
      </c>
      <c r="B359" s="1" t="s">
        <v>10</v>
      </c>
      <c r="C359" s="1" t="s">
        <v>78</v>
      </c>
      <c r="D359" s="1" t="s">
        <v>50</v>
      </c>
      <c r="E359">
        <v>650</v>
      </c>
      <c r="F359" s="1" t="s">
        <v>12</v>
      </c>
      <c r="G359" s="1" t="s">
        <v>14</v>
      </c>
      <c r="H359" s="1" t="s">
        <v>73</v>
      </c>
      <c r="I359" s="1" t="s">
        <v>16</v>
      </c>
    </row>
    <row r="360" spans="1:9" x14ac:dyDescent="0.25">
      <c r="A360" s="1" t="s">
        <v>9</v>
      </c>
      <c r="B360" s="1" t="s">
        <v>10</v>
      </c>
      <c r="C360" s="1" t="s">
        <v>78</v>
      </c>
      <c r="D360" s="1" t="s">
        <v>51</v>
      </c>
      <c r="E360">
        <v>325</v>
      </c>
      <c r="F360" s="1" t="s">
        <v>12</v>
      </c>
      <c r="G360" s="1" t="s">
        <v>14</v>
      </c>
      <c r="H360" s="1" t="s">
        <v>73</v>
      </c>
      <c r="I360" s="1" t="s">
        <v>16</v>
      </c>
    </row>
    <row r="361" spans="1:9" x14ac:dyDescent="0.25">
      <c r="A361" s="1" t="s">
        <v>9</v>
      </c>
      <c r="B361" s="1" t="s">
        <v>10</v>
      </c>
      <c r="C361" s="1" t="s">
        <v>78</v>
      </c>
      <c r="D361" s="1" t="s">
        <v>52</v>
      </c>
      <c r="E361">
        <v>650</v>
      </c>
      <c r="F361" s="1" t="s">
        <v>12</v>
      </c>
      <c r="G361" s="1" t="s">
        <v>14</v>
      </c>
      <c r="H361" s="1" t="s">
        <v>73</v>
      </c>
      <c r="I361" s="1" t="s">
        <v>16</v>
      </c>
    </row>
    <row r="362" spans="1:9" x14ac:dyDescent="0.25">
      <c r="A362" s="1" t="s">
        <v>9</v>
      </c>
      <c r="B362" s="1" t="s">
        <v>10</v>
      </c>
      <c r="C362" s="1" t="s">
        <v>78</v>
      </c>
      <c r="D362" s="1" t="s">
        <v>53</v>
      </c>
      <c r="E362">
        <v>325</v>
      </c>
      <c r="F362" s="1" t="s">
        <v>12</v>
      </c>
      <c r="G362" s="1" t="s">
        <v>14</v>
      </c>
      <c r="H362" s="1" t="s">
        <v>73</v>
      </c>
      <c r="I362" s="1" t="s">
        <v>16</v>
      </c>
    </row>
    <row r="363" spans="1:9" x14ac:dyDescent="0.25">
      <c r="A363" s="1" t="s">
        <v>9</v>
      </c>
      <c r="B363" s="1" t="s">
        <v>10</v>
      </c>
      <c r="C363" s="1" t="s">
        <v>78</v>
      </c>
      <c r="D363" s="1" t="s">
        <v>54</v>
      </c>
      <c r="E363">
        <v>325</v>
      </c>
      <c r="F363" s="1" t="s">
        <v>12</v>
      </c>
      <c r="G363" s="1" t="s">
        <v>14</v>
      </c>
      <c r="H363" s="1" t="s">
        <v>73</v>
      </c>
      <c r="I363" s="1" t="s">
        <v>16</v>
      </c>
    </row>
    <row r="364" spans="1:9" x14ac:dyDescent="0.25">
      <c r="A364" s="1" t="s">
        <v>9</v>
      </c>
      <c r="B364" s="1" t="s">
        <v>10</v>
      </c>
      <c r="C364" s="1" t="s">
        <v>78</v>
      </c>
      <c r="D364" s="1" t="s">
        <v>55</v>
      </c>
      <c r="E364">
        <v>325</v>
      </c>
      <c r="F364" s="1" t="s">
        <v>12</v>
      </c>
      <c r="G364" s="1" t="s">
        <v>14</v>
      </c>
      <c r="H364" s="1" t="s">
        <v>73</v>
      </c>
      <c r="I364" s="1" t="s">
        <v>16</v>
      </c>
    </row>
    <row r="365" spans="1:9" x14ac:dyDescent="0.25">
      <c r="A365" s="1" t="s">
        <v>9</v>
      </c>
      <c r="B365" s="1" t="s">
        <v>10</v>
      </c>
      <c r="C365" s="1" t="s">
        <v>78</v>
      </c>
      <c r="D365" s="1" t="s">
        <v>56</v>
      </c>
      <c r="E365">
        <v>650</v>
      </c>
      <c r="F365" s="1" t="s">
        <v>12</v>
      </c>
      <c r="G365" s="1" t="s">
        <v>14</v>
      </c>
      <c r="H365" s="1" t="s">
        <v>73</v>
      </c>
      <c r="I365" s="1" t="s">
        <v>16</v>
      </c>
    </row>
    <row r="366" spans="1:9" x14ac:dyDescent="0.25">
      <c r="A366" s="1" t="s">
        <v>9</v>
      </c>
      <c r="B366" s="1" t="s">
        <v>10</v>
      </c>
      <c r="C366" s="1" t="s">
        <v>78</v>
      </c>
      <c r="D366" s="1" t="s">
        <v>57</v>
      </c>
      <c r="E366">
        <v>325</v>
      </c>
      <c r="F366" s="1" t="s">
        <v>12</v>
      </c>
      <c r="G366" s="1" t="s">
        <v>14</v>
      </c>
      <c r="H366" s="1" t="s">
        <v>73</v>
      </c>
      <c r="I366" s="1" t="s">
        <v>16</v>
      </c>
    </row>
    <row r="367" spans="1:9" x14ac:dyDescent="0.25">
      <c r="A367" s="1" t="s">
        <v>9</v>
      </c>
      <c r="B367" s="1" t="s">
        <v>10</v>
      </c>
      <c r="C367" s="1" t="s">
        <v>78</v>
      </c>
      <c r="D367" s="1" t="s">
        <v>58</v>
      </c>
      <c r="E367">
        <v>325</v>
      </c>
      <c r="F367" s="1" t="s">
        <v>12</v>
      </c>
      <c r="G367" s="1" t="s">
        <v>14</v>
      </c>
      <c r="H367" s="1" t="s">
        <v>73</v>
      </c>
      <c r="I367" s="1" t="s">
        <v>16</v>
      </c>
    </row>
    <row r="368" spans="1:9" x14ac:dyDescent="0.25">
      <c r="A368" s="1" t="s">
        <v>9</v>
      </c>
      <c r="B368" s="1" t="s">
        <v>10</v>
      </c>
      <c r="C368" s="1" t="s">
        <v>78</v>
      </c>
      <c r="D368" s="1" t="s">
        <v>59</v>
      </c>
      <c r="E368">
        <v>325</v>
      </c>
      <c r="F368" s="1" t="s">
        <v>12</v>
      </c>
      <c r="G368" s="1" t="s">
        <v>14</v>
      </c>
      <c r="H368" s="1" t="s">
        <v>73</v>
      </c>
      <c r="I368" s="1" t="s">
        <v>16</v>
      </c>
    </row>
    <row r="369" spans="1:9" x14ac:dyDescent="0.25">
      <c r="A369" s="1" t="s">
        <v>9</v>
      </c>
      <c r="B369" s="1" t="s">
        <v>10</v>
      </c>
      <c r="C369" s="1" t="s">
        <v>78</v>
      </c>
      <c r="D369" s="1" t="s">
        <v>60</v>
      </c>
      <c r="E369">
        <v>325</v>
      </c>
      <c r="F369" s="1" t="s">
        <v>12</v>
      </c>
      <c r="G369" s="1" t="s">
        <v>14</v>
      </c>
      <c r="H369" s="1" t="s">
        <v>73</v>
      </c>
      <c r="I369" s="1" t="s">
        <v>16</v>
      </c>
    </row>
    <row r="370" spans="1:9" x14ac:dyDescent="0.25">
      <c r="A370" s="1" t="s">
        <v>9</v>
      </c>
      <c r="B370" s="1" t="s">
        <v>10</v>
      </c>
      <c r="C370" s="1" t="s">
        <v>78</v>
      </c>
      <c r="D370" s="1" t="s">
        <v>61</v>
      </c>
      <c r="E370">
        <v>650</v>
      </c>
      <c r="F370" s="1" t="s">
        <v>12</v>
      </c>
      <c r="G370" s="1" t="s">
        <v>14</v>
      </c>
      <c r="H370" s="1" t="s">
        <v>73</v>
      </c>
      <c r="I370" s="1" t="s">
        <v>16</v>
      </c>
    </row>
    <row r="371" spans="1:9" x14ac:dyDescent="0.25">
      <c r="A371" s="1" t="s">
        <v>9</v>
      </c>
      <c r="B371" s="1" t="s">
        <v>10</v>
      </c>
      <c r="C371" s="1" t="s">
        <v>78</v>
      </c>
      <c r="D371" s="1" t="s">
        <v>62</v>
      </c>
      <c r="E371">
        <v>325</v>
      </c>
      <c r="F371" s="1" t="s">
        <v>12</v>
      </c>
      <c r="G371" s="1" t="s">
        <v>14</v>
      </c>
      <c r="H371" s="1" t="s">
        <v>73</v>
      </c>
      <c r="I371" s="1" t="s">
        <v>16</v>
      </c>
    </row>
    <row r="372" spans="1:9" x14ac:dyDescent="0.25">
      <c r="A372" s="1" t="s">
        <v>9</v>
      </c>
      <c r="B372" s="1" t="s">
        <v>10</v>
      </c>
      <c r="C372" s="1" t="s">
        <v>78</v>
      </c>
      <c r="D372" s="1" t="s">
        <v>63</v>
      </c>
      <c r="E372">
        <v>650</v>
      </c>
      <c r="F372" s="1" t="s">
        <v>12</v>
      </c>
      <c r="G372" s="1" t="s">
        <v>14</v>
      </c>
      <c r="H372" s="1" t="s">
        <v>73</v>
      </c>
      <c r="I372" s="1" t="s">
        <v>16</v>
      </c>
    </row>
    <row r="373" spans="1:9" x14ac:dyDescent="0.25">
      <c r="A373" s="1" t="s">
        <v>9</v>
      </c>
      <c r="B373" s="1" t="s">
        <v>10</v>
      </c>
      <c r="C373" s="1" t="s">
        <v>78</v>
      </c>
      <c r="D373" s="1" t="s">
        <v>64</v>
      </c>
      <c r="E373">
        <v>650</v>
      </c>
      <c r="F373" s="1" t="s">
        <v>12</v>
      </c>
      <c r="G373" s="1" t="s">
        <v>14</v>
      </c>
      <c r="H373" s="1" t="s">
        <v>73</v>
      </c>
      <c r="I373" s="1" t="s">
        <v>16</v>
      </c>
    </row>
    <row r="374" spans="1:9" x14ac:dyDescent="0.25">
      <c r="A374" s="1" t="s">
        <v>9</v>
      </c>
      <c r="B374" s="1" t="s">
        <v>10</v>
      </c>
      <c r="C374" s="1" t="s">
        <v>78</v>
      </c>
      <c r="D374" s="1" t="s">
        <v>65</v>
      </c>
      <c r="E374">
        <v>325</v>
      </c>
      <c r="F374" s="1" t="s">
        <v>12</v>
      </c>
      <c r="G374" s="1" t="s">
        <v>14</v>
      </c>
      <c r="H374" s="1" t="s">
        <v>73</v>
      </c>
      <c r="I374" s="1" t="s">
        <v>16</v>
      </c>
    </row>
    <row r="375" spans="1:9" x14ac:dyDescent="0.25">
      <c r="A375" s="1" t="s">
        <v>9</v>
      </c>
      <c r="B375" s="1" t="s">
        <v>10</v>
      </c>
      <c r="C375" s="1" t="s">
        <v>78</v>
      </c>
      <c r="D375" s="1" t="s">
        <v>66</v>
      </c>
      <c r="E375">
        <v>650</v>
      </c>
      <c r="F375" s="1" t="s">
        <v>12</v>
      </c>
      <c r="G375" s="1" t="s">
        <v>14</v>
      </c>
      <c r="H375" s="1" t="s">
        <v>73</v>
      </c>
      <c r="I375" s="1" t="s">
        <v>16</v>
      </c>
    </row>
    <row r="376" spans="1:9" x14ac:dyDescent="0.25">
      <c r="A376" s="1" t="s">
        <v>9</v>
      </c>
      <c r="B376" s="1" t="s">
        <v>10</v>
      </c>
      <c r="C376" s="1" t="s">
        <v>78</v>
      </c>
      <c r="D376" s="1" t="s">
        <v>67</v>
      </c>
      <c r="E376">
        <v>650</v>
      </c>
      <c r="F376" s="1" t="s">
        <v>12</v>
      </c>
      <c r="G376" s="1" t="s">
        <v>14</v>
      </c>
      <c r="H376" s="1" t="s">
        <v>73</v>
      </c>
      <c r="I376" s="1" t="s">
        <v>16</v>
      </c>
    </row>
    <row r="377" spans="1:9" x14ac:dyDescent="0.25">
      <c r="A377" s="1" t="s">
        <v>9</v>
      </c>
      <c r="B377" s="1" t="s">
        <v>10</v>
      </c>
      <c r="C377" s="1" t="s">
        <v>78</v>
      </c>
      <c r="D377" s="1" t="s">
        <v>68</v>
      </c>
      <c r="E377">
        <v>325</v>
      </c>
      <c r="F377" s="1" t="s">
        <v>12</v>
      </c>
      <c r="G377" s="1" t="s">
        <v>14</v>
      </c>
      <c r="H377" s="1" t="s">
        <v>73</v>
      </c>
      <c r="I377" s="1" t="s">
        <v>16</v>
      </c>
    </row>
    <row r="378" spans="1:9" x14ac:dyDescent="0.25">
      <c r="A378" s="1" t="s">
        <v>9</v>
      </c>
      <c r="B378" s="1" t="s">
        <v>10</v>
      </c>
      <c r="C378" s="1" t="s">
        <v>78</v>
      </c>
      <c r="D378" s="1" t="s">
        <v>69</v>
      </c>
      <c r="E378">
        <v>325</v>
      </c>
      <c r="F378" s="1" t="s">
        <v>12</v>
      </c>
      <c r="G378" s="1" t="s">
        <v>14</v>
      </c>
      <c r="H378" s="1" t="s">
        <v>73</v>
      </c>
      <c r="I378" s="1" t="s">
        <v>16</v>
      </c>
    </row>
    <row r="379" spans="1:9" x14ac:dyDescent="0.25">
      <c r="A379" s="1" t="s">
        <v>9</v>
      </c>
      <c r="B379" s="1" t="s">
        <v>10</v>
      </c>
      <c r="C379" s="1" t="s">
        <v>78</v>
      </c>
      <c r="D379" s="1" t="s">
        <v>70</v>
      </c>
      <c r="E379">
        <v>325</v>
      </c>
      <c r="F379" s="1" t="s">
        <v>12</v>
      </c>
      <c r="G379" s="1" t="s">
        <v>14</v>
      </c>
      <c r="H379" s="1" t="s">
        <v>73</v>
      </c>
      <c r="I379" s="1" t="s">
        <v>16</v>
      </c>
    </row>
    <row r="380" spans="1:9" x14ac:dyDescent="0.25">
      <c r="A380" s="1" t="s">
        <v>9</v>
      </c>
      <c r="B380" s="1" t="s">
        <v>10</v>
      </c>
      <c r="C380" s="1" t="s">
        <v>79</v>
      </c>
      <c r="D380" s="1" t="s">
        <v>12</v>
      </c>
      <c r="E380">
        <v>325</v>
      </c>
      <c r="F380" s="1" t="s">
        <v>80</v>
      </c>
      <c r="G380" s="1" t="s">
        <v>14</v>
      </c>
      <c r="H380" s="1" t="s">
        <v>81</v>
      </c>
      <c r="I380" s="1" t="s">
        <v>16</v>
      </c>
    </row>
    <row r="381" spans="1:9" x14ac:dyDescent="0.25">
      <c r="A381" s="1" t="s">
        <v>9</v>
      </c>
      <c r="B381" s="1" t="s">
        <v>10</v>
      </c>
      <c r="C381" s="1" t="s">
        <v>79</v>
      </c>
      <c r="D381" s="1" t="s">
        <v>17</v>
      </c>
      <c r="E381">
        <v>325</v>
      </c>
      <c r="F381" s="1" t="s">
        <v>80</v>
      </c>
      <c r="G381" s="1" t="s">
        <v>14</v>
      </c>
      <c r="H381" s="1" t="s">
        <v>81</v>
      </c>
      <c r="I381" s="1" t="s">
        <v>16</v>
      </c>
    </row>
    <row r="382" spans="1:9" x14ac:dyDescent="0.25">
      <c r="A382" s="1" t="s">
        <v>9</v>
      </c>
      <c r="B382" s="1" t="s">
        <v>10</v>
      </c>
      <c r="C382" s="1" t="s">
        <v>79</v>
      </c>
      <c r="D382" s="1" t="s">
        <v>18</v>
      </c>
      <c r="E382">
        <v>325</v>
      </c>
      <c r="F382" s="1" t="s">
        <v>80</v>
      </c>
      <c r="G382" s="1" t="s">
        <v>14</v>
      </c>
      <c r="H382" s="1" t="s">
        <v>81</v>
      </c>
      <c r="I382" s="1" t="s">
        <v>16</v>
      </c>
    </row>
    <row r="383" spans="1:9" x14ac:dyDescent="0.25">
      <c r="A383" s="1" t="s">
        <v>9</v>
      </c>
      <c r="B383" s="1" t="s">
        <v>10</v>
      </c>
      <c r="C383" s="1" t="s">
        <v>79</v>
      </c>
      <c r="D383" s="1" t="s">
        <v>19</v>
      </c>
      <c r="E383">
        <v>325</v>
      </c>
      <c r="F383" s="1" t="s">
        <v>80</v>
      </c>
      <c r="G383" s="1" t="s">
        <v>14</v>
      </c>
      <c r="H383" s="1" t="s">
        <v>81</v>
      </c>
      <c r="I383" s="1" t="s">
        <v>16</v>
      </c>
    </row>
    <row r="384" spans="1:9" x14ac:dyDescent="0.25">
      <c r="A384" s="1" t="s">
        <v>9</v>
      </c>
      <c r="B384" s="1" t="s">
        <v>10</v>
      </c>
      <c r="C384" s="1" t="s">
        <v>79</v>
      </c>
      <c r="D384" s="1" t="s">
        <v>20</v>
      </c>
      <c r="E384">
        <v>325</v>
      </c>
      <c r="F384" s="1" t="s">
        <v>80</v>
      </c>
      <c r="G384" s="1" t="s">
        <v>14</v>
      </c>
      <c r="H384" s="1" t="s">
        <v>81</v>
      </c>
      <c r="I384" s="1" t="s">
        <v>16</v>
      </c>
    </row>
    <row r="385" spans="1:9" x14ac:dyDescent="0.25">
      <c r="A385" s="1" t="s">
        <v>9</v>
      </c>
      <c r="B385" s="1" t="s">
        <v>10</v>
      </c>
      <c r="C385" s="1" t="s">
        <v>79</v>
      </c>
      <c r="D385" s="1" t="s">
        <v>21</v>
      </c>
      <c r="E385">
        <v>325</v>
      </c>
      <c r="F385" s="1" t="s">
        <v>80</v>
      </c>
      <c r="G385" s="1" t="s">
        <v>14</v>
      </c>
      <c r="H385" s="1" t="s">
        <v>81</v>
      </c>
      <c r="I385" s="1" t="s">
        <v>16</v>
      </c>
    </row>
    <row r="386" spans="1:9" x14ac:dyDescent="0.25">
      <c r="A386" s="1" t="s">
        <v>9</v>
      </c>
      <c r="B386" s="1" t="s">
        <v>10</v>
      </c>
      <c r="C386" s="1" t="s">
        <v>79</v>
      </c>
      <c r="D386" s="1" t="s">
        <v>22</v>
      </c>
      <c r="E386">
        <v>325</v>
      </c>
      <c r="F386" s="1" t="s">
        <v>80</v>
      </c>
      <c r="G386" s="1" t="s">
        <v>14</v>
      </c>
      <c r="H386" s="1" t="s">
        <v>81</v>
      </c>
      <c r="I386" s="1" t="s">
        <v>16</v>
      </c>
    </row>
    <row r="387" spans="1:9" x14ac:dyDescent="0.25">
      <c r="A387" s="1" t="s">
        <v>9</v>
      </c>
      <c r="B387" s="1" t="s">
        <v>10</v>
      </c>
      <c r="C387" s="1" t="s">
        <v>79</v>
      </c>
      <c r="D387" s="1" t="s">
        <v>23</v>
      </c>
      <c r="E387">
        <v>325</v>
      </c>
      <c r="F387" s="1" t="s">
        <v>80</v>
      </c>
      <c r="G387" s="1" t="s">
        <v>14</v>
      </c>
      <c r="H387" s="1" t="s">
        <v>81</v>
      </c>
      <c r="I387" s="1" t="s">
        <v>16</v>
      </c>
    </row>
    <row r="388" spans="1:9" x14ac:dyDescent="0.25">
      <c r="A388" s="1" t="s">
        <v>9</v>
      </c>
      <c r="B388" s="1" t="s">
        <v>10</v>
      </c>
      <c r="C388" s="1" t="s">
        <v>79</v>
      </c>
      <c r="D388" s="1" t="s">
        <v>24</v>
      </c>
      <c r="E388">
        <v>325</v>
      </c>
      <c r="F388" s="1" t="s">
        <v>80</v>
      </c>
      <c r="G388" s="1" t="s">
        <v>14</v>
      </c>
      <c r="H388" s="1" t="s">
        <v>81</v>
      </c>
      <c r="I388" s="1" t="s">
        <v>16</v>
      </c>
    </row>
    <row r="389" spans="1:9" x14ac:dyDescent="0.25">
      <c r="A389" s="1" t="s">
        <v>9</v>
      </c>
      <c r="B389" s="1" t="s">
        <v>10</v>
      </c>
      <c r="C389" s="1" t="s">
        <v>79</v>
      </c>
      <c r="D389" s="1" t="s">
        <v>25</v>
      </c>
      <c r="E389">
        <v>325</v>
      </c>
      <c r="F389" s="1" t="s">
        <v>80</v>
      </c>
      <c r="G389" s="1" t="s">
        <v>14</v>
      </c>
      <c r="H389" s="1" t="s">
        <v>81</v>
      </c>
      <c r="I389" s="1" t="s">
        <v>16</v>
      </c>
    </row>
    <row r="390" spans="1:9" x14ac:dyDescent="0.25">
      <c r="A390" s="1" t="s">
        <v>9</v>
      </c>
      <c r="B390" s="1" t="s">
        <v>10</v>
      </c>
      <c r="C390" s="1" t="s">
        <v>79</v>
      </c>
      <c r="D390" s="1" t="s">
        <v>26</v>
      </c>
      <c r="E390">
        <v>325</v>
      </c>
      <c r="F390" s="1" t="s">
        <v>80</v>
      </c>
      <c r="G390" s="1" t="s">
        <v>14</v>
      </c>
      <c r="H390" s="1" t="s">
        <v>81</v>
      </c>
      <c r="I390" s="1" t="s">
        <v>16</v>
      </c>
    </row>
    <row r="391" spans="1:9" x14ac:dyDescent="0.25">
      <c r="A391" s="1" t="s">
        <v>9</v>
      </c>
      <c r="B391" s="1" t="s">
        <v>10</v>
      </c>
      <c r="C391" s="1" t="s">
        <v>79</v>
      </c>
      <c r="D391" s="1" t="s">
        <v>27</v>
      </c>
      <c r="E391">
        <v>325</v>
      </c>
      <c r="F391" s="1" t="s">
        <v>80</v>
      </c>
      <c r="G391" s="1" t="s">
        <v>14</v>
      </c>
      <c r="H391" s="1" t="s">
        <v>81</v>
      </c>
      <c r="I391" s="1" t="s">
        <v>16</v>
      </c>
    </row>
    <row r="392" spans="1:9" x14ac:dyDescent="0.25">
      <c r="A392" s="1" t="s">
        <v>9</v>
      </c>
      <c r="B392" s="1" t="s">
        <v>10</v>
      </c>
      <c r="C392" s="1" t="s">
        <v>79</v>
      </c>
      <c r="D392" s="1" t="s">
        <v>28</v>
      </c>
      <c r="E392">
        <v>325</v>
      </c>
      <c r="F392" s="1" t="s">
        <v>80</v>
      </c>
      <c r="G392" s="1" t="s">
        <v>14</v>
      </c>
      <c r="H392" s="1" t="s">
        <v>81</v>
      </c>
      <c r="I392" s="1" t="s">
        <v>16</v>
      </c>
    </row>
    <row r="393" spans="1:9" x14ac:dyDescent="0.25">
      <c r="A393" s="1" t="s">
        <v>9</v>
      </c>
      <c r="B393" s="1" t="s">
        <v>10</v>
      </c>
      <c r="C393" s="1" t="s">
        <v>79</v>
      </c>
      <c r="D393" s="1" t="s">
        <v>29</v>
      </c>
      <c r="E393">
        <v>325</v>
      </c>
      <c r="F393" s="1" t="s">
        <v>80</v>
      </c>
      <c r="G393" s="1" t="s">
        <v>14</v>
      </c>
      <c r="H393" s="1" t="s">
        <v>81</v>
      </c>
      <c r="I393" s="1" t="s">
        <v>16</v>
      </c>
    </row>
    <row r="394" spans="1:9" x14ac:dyDescent="0.25">
      <c r="A394" s="1" t="s">
        <v>9</v>
      </c>
      <c r="B394" s="1" t="s">
        <v>10</v>
      </c>
      <c r="C394" s="1" t="s">
        <v>79</v>
      </c>
      <c r="D394" s="1" t="s">
        <v>30</v>
      </c>
      <c r="E394">
        <v>325</v>
      </c>
      <c r="F394" s="1" t="s">
        <v>80</v>
      </c>
      <c r="G394" s="1" t="s">
        <v>14</v>
      </c>
      <c r="H394" s="1" t="s">
        <v>81</v>
      </c>
      <c r="I394" s="1" t="s">
        <v>16</v>
      </c>
    </row>
    <row r="395" spans="1:9" x14ac:dyDescent="0.25">
      <c r="A395" s="1" t="s">
        <v>9</v>
      </c>
      <c r="B395" s="1" t="s">
        <v>10</v>
      </c>
      <c r="C395" s="1" t="s">
        <v>79</v>
      </c>
      <c r="D395" s="1" t="s">
        <v>31</v>
      </c>
      <c r="E395">
        <v>325</v>
      </c>
      <c r="F395" s="1" t="s">
        <v>80</v>
      </c>
      <c r="G395" s="1" t="s">
        <v>14</v>
      </c>
      <c r="H395" s="1" t="s">
        <v>81</v>
      </c>
      <c r="I395" s="1" t="s">
        <v>16</v>
      </c>
    </row>
    <row r="396" spans="1:9" x14ac:dyDescent="0.25">
      <c r="A396" s="1" t="s">
        <v>9</v>
      </c>
      <c r="B396" s="1" t="s">
        <v>10</v>
      </c>
      <c r="C396" s="1" t="s">
        <v>79</v>
      </c>
      <c r="D396" s="1" t="s">
        <v>32</v>
      </c>
      <c r="E396">
        <v>325</v>
      </c>
      <c r="F396" s="1" t="s">
        <v>80</v>
      </c>
      <c r="G396" s="1" t="s">
        <v>14</v>
      </c>
      <c r="H396" s="1" t="s">
        <v>81</v>
      </c>
      <c r="I396" s="1" t="s">
        <v>16</v>
      </c>
    </row>
    <row r="397" spans="1:9" x14ac:dyDescent="0.25">
      <c r="A397" s="1" t="s">
        <v>9</v>
      </c>
      <c r="B397" s="1" t="s">
        <v>10</v>
      </c>
      <c r="C397" s="1" t="s">
        <v>79</v>
      </c>
      <c r="D397" s="1" t="s">
        <v>33</v>
      </c>
      <c r="E397">
        <v>325</v>
      </c>
      <c r="F397" s="1" t="s">
        <v>80</v>
      </c>
      <c r="G397" s="1" t="s">
        <v>14</v>
      </c>
      <c r="H397" s="1" t="s">
        <v>81</v>
      </c>
      <c r="I397" s="1" t="s">
        <v>16</v>
      </c>
    </row>
    <row r="398" spans="1:9" x14ac:dyDescent="0.25">
      <c r="A398" s="1" t="s">
        <v>9</v>
      </c>
      <c r="B398" s="1" t="s">
        <v>10</v>
      </c>
      <c r="C398" s="1" t="s">
        <v>79</v>
      </c>
      <c r="D398" s="1" t="s">
        <v>34</v>
      </c>
      <c r="E398">
        <v>325</v>
      </c>
      <c r="F398" s="1" t="s">
        <v>80</v>
      </c>
      <c r="G398" s="1" t="s">
        <v>14</v>
      </c>
      <c r="H398" s="1" t="s">
        <v>81</v>
      </c>
      <c r="I398" s="1" t="s">
        <v>16</v>
      </c>
    </row>
    <row r="399" spans="1:9" x14ac:dyDescent="0.25">
      <c r="A399" s="1" t="s">
        <v>9</v>
      </c>
      <c r="B399" s="1" t="s">
        <v>10</v>
      </c>
      <c r="C399" s="1" t="s">
        <v>79</v>
      </c>
      <c r="D399" s="1" t="s">
        <v>35</v>
      </c>
      <c r="E399">
        <v>325</v>
      </c>
      <c r="F399" s="1" t="s">
        <v>80</v>
      </c>
      <c r="G399" s="1" t="s">
        <v>14</v>
      </c>
      <c r="H399" s="1" t="s">
        <v>81</v>
      </c>
      <c r="I399" s="1" t="s">
        <v>16</v>
      </c>
    </row>
    <row r="400" spans="1:9" x14ac:dyDescent="0.25">
      <c r="A400" s="1" t="s">
        <v>9</v>
      </c>
      <c r="B400" s="1" t="s">
        <v>10</v>
      </c>
      <c r="C400" s="1" t="s">
        <v>79</v>
      </c>
      <c r="D400" s="1" t="s">
        <v>36</v>
      </c>
      <c r="E400">
        <v>325</v>
      </c>
      <c r="F400" s="1" t="s">
        <v>80</v>
      </c>
      <c r="G400" s="1" t="s">
        <v>14</v>
      </c>
      <c r="H400" s="1" t="s">
        <v>81</v>
      </c>
      <c r="I400" s="1" t="s">
        <v>16</v>
      </c>
    </row>
    <row r="401" spans="1:9" x14ac:dyDescent="0.25">
      <c r="A401" s="1" t="s">
        <v>9</v>
      </c>
      <c r="B401" s="1" t="s">
        <v>10</v>
      </c>
      <c r="C401" s="1" t="s">
        <v>79</v>
      </c>
      <c r="D401" s="1" t="s">
        <v>37</v>
      </c>
      <c r="E401">
        <v>325</v>
      </c>
      <c r="F401" s="1" t="s">
        <v>80</v>
      </c>
      <c r="G401" s="1" t="s">
        <v>14</v>
      </c>
      <c r="H401" s="1" t="s">
        <v>81</v>
      </c>
      <c r="I401" s="1" t="s">
        <v>16</v>
      </c>
    </row>
    <row r="402" spans="1:9" x14ac:dyDescent="0.25">
      <c r="A402" s="1" t="s">
        <v>9</v>
      </c>
      <c r="B402" s="1" t="s">
        <v>10</v>
      </c>
      <c r="C402" s="1" t="s">
        <v>79</v>
      </c>
      <c r="D402" s="1" t="s">
        <v>38</v>
      </c>
      <c r="E402">
        <v>325</v>
      </c>
      <c r="F402" s="1" t="s">
        <v>80</v>
      </c>
      <c r="G402" s="1" t="s">
        <v>14</v>
      </c>
      <c r="H402" s="1" t="s">
        <v>81</v>
      </c>
      <c r="I402" s="1" t="s">
        <v>16</v>
      </c>
    </row>
    <row r="403" spans="1:9" x14ac:dyDescent="0.25">
      <c r="A403" s="1" t="s">
        <v>9</v>
      </c>
      <c r="B403" s="1" t="s">
        <v>10</v>
      </c>
      <c r="C403" s="1" t="s">
        <v>79</v>
      </c>
      <c r="D403" s="1" t="s">
        <v>39</v>
      </c>
      <c r="E403">
        <v>325</v>
      </c>
      <c r="F403" s="1" t="s">
        <v>80</v>
      </c>
      <c r="G403" s="1" t="s">
        <v>14</v>
      </c>
      <c r="H403" s="1" t="s">
        <v>81</v>
      </c>
      <c r="I403" s="1" t="s">
        <v>16</v>
      </c>
    </row>
    <row r="404" spans="1:9" x14ac:dyDescent="0.25">
      <c r="A404" s="1" t="s">
        <v>9</v>
      </c>
      <c r="B404" s="1" t="s">
        <v>10</v>
      </c>
      <c r="C404" s="1" t="s">
        <v>79</v>
      </c>
      <c r="D404" s="1" t="s">
        <v>40</v>
      </c>
      <c r="E404">
        <v>325</v>
      </c>
      <c r="F404" s="1" t="s">
        <v>80</v>
      </c>
      <c r="G404" s="1" t="s">
        <v>14</v>
      </c>
      <c r="H404" s="1" t="s">
        <v>81</v>
      </c>
      <c r="I404" s="1" t="s">
        <v>16</v>
      </c>
    </row>
    <row r="405" spans="1:9" x14ac:dyDescent="0.25">
      <c r="A405" s="1" t="s">
        <v>9</v>
      </c>
      <c r="B405" s="1" t="s">
        <v>10</v>
      </c>
      <c r="C405" s="1" t="s">
        <v>79</v>
      </c>
      <c r="D405" s="1" t="s">
        <v>41</v>
      </c>
      <c r="E405">
        <v>325</v>
      </c>
      <c r="F405" s="1" t="s">
        <v>80</v>
      </c>
      <c r="G405" s="1" t="s">
        <v>14</v>
      </c>
      <c r="H405" s="1" t="s">
        <v>81</v>
      </c>
      <c r="I405" s="1" t="s">
        <v>16</v>
      </c>
    </row>
    <row r="406" spans="1:9" x14ac:dyDescent="0.25">
      <c r="A406" s="1" t="s">
        <v>9</v>
      </c>
      <c r="B406" s="1" t="s">
        <v>10</v>
      </c>
      <c r="C406" s="1" t="s">
        <v>79</v>
      </c>
      <c r="D406" s="1" t="s">
        <v>42</v>
      </c>
      <c r="E406">
        <v>650</v>
      </c>
      <c r="F406" s="1" t="s">
        <v>80</v>
      </c>
      <c r="G406" s="1" t="s">
        <v>14</v>
      </c>
      <c r="H406" s="1" t="s">
        <v>81</v>
      </c>
      <c r="I406" s="1" t="s">
        <v>16</v>
      </c>
    </row>
    <row r="407" spans="1:9" x14ac:dyDescent="0.25">
      <c r="A407" s="1" t="s">
        <v>9</v>
      </c>
      <c r="B407" s="1" t="s">
        <v>10</v>
      </c>
      <c r="C407" s="1" t="s">
        <v>79</v>
      </c>
      <c r="D407" s="1" t="s">
        <v>43</v>
      </c>
      <c r="E407">
        <v>325</v>
      </c>
      <c r="F407" s="1" t="s">
        <v>80</v>
      </c>
      <c r="G407" s="1" t="s">
        <v>14</v>
      </c>
      <c r="H407" s="1" t="s">
        <v>81</v>
      </c>
      <c r="I407" s="1" t="s">
        <v>16</v>
      </c>
    </row>
    <row r="408" spans="1:9" x14ac:dyDescent="0.25">
      <c r="A408" s="1" t="s">
        <v>9</v>
      </c>
      <c r="B408" s="1" t="s">
        <v>10</v>
      </c>
      <c r="C408" s="1" t="s">
        <v>79</v>
      </c>
      <c r="D408" s="1" t="s">
        <v>45</v>
      </c>
      <c r="E408">
        <v>325</v>
      </c>
      <c r="F408" s="1" t="s">
        <v>80</v>
      </c>
      <c r="G408" s="1" t="s">
        <v>14</v>
      </c>
      <c r="H408" s="1" t="s">
        <v>81</v>
      </c>
      <c r="I408" s="1" t="s">
        <v>16</v>
      </c>
    </row>
    <row r="409" spans="1:9" x14ac:dyDescent="0.25">
      <c r="A409" s="1" t="s">
        <v>9</v>
      </c>
      <c r="B409" s="1" t="s">
        <v>10</v>
      </c>
      <c r="C409" s="1" t="s">
        <v>79</v>
      </c>
      <c r="D409" s="1" t="s">
        <v>46</v>
      </c>
      <c r="E409">
        <v>325</v>
      </c>
      <c r="F409" s="1" t="s">
        <v>80</v>
      </c>
      <c r="G409" s="1" t="s">
        <v>14</v>
      </c>
      <c r="H409" s="1" t="s">
        <v>81</v>
      </c>
      <c r="I409" s="1" t="s">
        <v>16</v>
      </c>
    </row>
    <row r="410" spans="1:9" x14ac:dyDescent="0.25">
      <c r="A410" s="1" t="s">
        <v>9</v>
      </c>
      <c r="B410" s="1" t="s">
        <v>10</v>
      </c>
      <c r="C410" s="1" t="s">
        <v>79</v>
      </c>
      <c r="D410" s="1" t="s">
        <v>47</v>
      </c>
      <c r="E410">
        <v>325</v>
      </c>
      <c r="F410" s="1" t="s">
        <v>80</v>
      </c>
      <c r="G410" s="1" t="s">
        <v>14</v>
      </c>
      <c r="H410" s="1" t="s">
        <v>81</v>
      </c>
      <c r="I410" s="1" t="s">
        <v>16</v>
      </c>
    </row>
    <row r="411" spans="1:9" x14ac:dyDescent="0.25">
      <c r="A411" s="1" t="s">
        <v>9</v>
      </c>
      <c r="B411" s="1" t="s">
        <v>10</v>
      </c>
      <c r="C411" s="1" t="s">
        <v>79</v>
      </c>
      <c r="D411" s="1" t="s">
        <v>48</v>
      </c>
      <c r="E411">
        <v>325</v>
      </c>
      <c r="F411" s="1" t="s">
        <v>80</v>
      </c>
      <c r="G411" s="1" t="s">
        <v>14</v>
      </c>
      <c r="H411" s="1" t="s">
        <v>81</v>
      </c>
      <c r="I411" s="1" t="s">
        <v>16</v>
      </c>
    </row>
    <row r="412" spans="1:9" x14ac:dyDescent="0.25">
      <c r="A412" s="1" t="s">
        <v>9</v>
      </c>
      <c r="B412" s="1" t="s">
        <v>10</v>
      </c>
      <c r="C412" s="1" t="s">
        <v>79</v>
      </c>
      <c r="D412" s="1" t="s">
        <v>49</v>
      </c>
      <c r="E412">
        <v>325</v>
      </c>
      <c r="F412" s="1" t="s">
        <v>80</v>
      </c>
      <c r="G412" s="1" t="s">
        <v>14</v>
      </c>
      <c r="H412" s="1" t="s">
        <v>81</v>
      </c>
      <c r="I412" s="1" t="s">
        <v>16</v>
      </c>
    </row>
    <row r="413" spans="1:9" x14ac:dyDescent="0.25">
      <c r="A413" s="1" t="s">
        <v>9</v>
      </c>
      <c r="B413" s="1" t="s">
        <v>10</v>
      </c>
      <c r="C413" s="1" t="s">
        <v>79</v>
      </c>
      <c r="D413" s="1" t="s">
        <v>50</v>
      </c>
      <c r="E413">
        <v>325</v>
      </c>
      <c r="F413" s="1" t="s">
        <v>80</v>
      </c>
      <c r="G413" s="1" t="s">
        <v>14</v>
      </c>
      <c r="H413" s="1" t="s">
        <v>81</v>
      </c>
      <c r="I413" s="1" t="s">
        <v>16</v>
      </c>
    </row>
    <row r="414" spans="1:9" x14ac:dyDescent="0.25">
      <c r="A414" s="1" t="s">
        <v>9</v>
      </c>
      <c r="B414" s="1" t="s">
        <v>10</v>
      </c>
      <c r="C414" s="1" t="s">
        <v>79</v>
      </c>
      <c r="D414" s="1" t="s">
        <v>51</v>
      </c>
      <c r="E414">
        <v>325</v>
      </c>
      <c r="F414" s="1" t="s">
        <v>80</v>
      </c>
      <c r="G414" s="1" t="s">
        <v>14</v>
      </c>
      <c r="H414" s="1" t="s">
        <v>81</v>
      </c>
      <c r="I414" s="1" t="s">
        <v>16</v>
      </c>
    </row>
    <row r="415" spans="1:9" x14ac:dyDescent="0.25">
      <c r="A415" s="1" t="s">
        <v>9</v>
      </c>
      <c r="B415" s="1" t="s">
        <v>10</v>
      </c>
      <c r="C415" s="1" t="s">
        <v>79</v>
      </c>
      <c r="D415" s="1" t="s">
        <v>52</v>
      </c>
      <c r="E415">
        <v>325</v>
      </c>
      <c r="F415" s="1" t="s">
        <v>80</v>
      </c>
      <c r="G415" s="1" t="s">
        <v>14</v>
      </c>
      <c r="H415" s="1" t="s">
        <v>81</v>
      </c>
      <c r="I415" s="1" t="s">
        <v>16</v>
      </c>
    </row>
    <row r="416" spans="1:9" x14ac:dyDescent="0.25">
      <c r="A416" s="1" t="s">
        <v>9</v>
      </c>
      <c r="B416" s="1" t="s">
        <v>10</v>
      </c>
      <c r="C416" s="1" t="s">
        <v>79</v>
      </c>
      <c r="D416" s="1" t="s">
        <v>53</v>
      </c>
      <c r="E416">
        <v>325</v>
      </c>
      <c r="F416" s="1" t="s">
        <v>80</v>
      </c>
      <c r="G416" s="1" t="s">
        <v>14</v>
      </c>
      <c r="H416" s="1" t="s">
        <v>81</v>
      </c>
      <c r="I416" s="1" t="s">
        <v>16</v>
      </c>
    </row>
    <row r="417" spans="1:9" x14ac:dyDescent="0.25">
      <c r="A417" s="1" t="s">
        <v>9</v>
      </c>
      <c r="B417" s="1" t="s">
        <v>10</v>
      </c>
      <c r="C417" s="1" t="s">
        <v>79</v>
      </c>
      <c r="D417" s="1" t="s">
        <v>54</v>
      </c>
      <c r="E417">
        <v>325</v>
      </c>
      <c r="F417" s="1" t="s">
        <v>80</v>
      </c>
      <c r="G417" s="1" t="s">
        <v>14</v>
      </c>
      <c r="H417" s="1" t="s">
        <v>81</v>
      </c>
      <c r="I417" s="1" t="s">
        <v>16</v>
      </c>
    </row>
    <row r="418" spans="1:9" x14ac:dyDescent="0.25">
      <c r="A418" s="1" t="s">
        <v>9</v>
      </c>
      <c r="B418" s="1" t="s">
        <v>10</v>
      </c>
      <c r="C418" s="1" t="s">
        <v>79</v>
      </c>
      <c r="D418" s="1" t="s">
        <v>55</v>
      </c>
      <c r="E418">
        <v>325</v>
      </c>
      <c r="F418" s="1" t="s">
        <v>80</v>
      </c>
      <c r="G418" s="1" t="s">
        <v>14</v>
      </c>
      <c r="H418" s="1" t="s">
        <v>81</v>
      </c>
      <c r="I418" s="1" t="s">
        <v>16</v>
      </c>
    </row>
    <row r="419" spans="1:9" x14ac:dyDescent="0.25">
      <c r="A419" s="1" t="s">
        <v>9</v>
      </c>
      <c r="B419" s="1" t="s">
        <v>10</v>
      </c>
      <c r="C419" s="1" t="s">
        <v>79</v>
      </c>
      <c r="D419" s="1" t="s">
        <v>56</v>
      </c>
      <c r="E419">
        <v>325</v>
      </c>
      <c r="F419" s="1" t="s">
        <v>80</v>
      </c>
      <c r="G419" s="1" t="s">
        <v>14</v>
      </c>
      <c r="H419" s="1" t="s">
        <v>81</v>
      </c>
      <c r="I419" s="1" t="s">
        <v>16</v>
      </c>
    </row>
    <row r="420" spans="1:9" x14ac:dyDescent="0.25">
      <c r="A420" s="1" t="s">
        <v>9</v>
      </c>
      <c r="B420" s="1" t="s">
        <v>10</v>
      </c>
      <c r="C420" s="1" t="s">
        <v>79</v>
      </c>
      <c r="D420" s="1" t="s">
        <v>57</v>
      </c>
      <c r="E420">
        <v>325</v>
      </c>
      <c r="F420" s="1" t="s">
        <v>80</v>
      </c>
      <c r="G420" s="1" t="s">
        <v>14</v>
      </c>
      <c r="H420" s="1" t="s">
        <v>81</v>
      </c>
      <c r="I420" s="1" t="s">
        <v>16</v>
      </c>
    </row>
    <row r="421" spans="1:9" x14ac:dyDescent="0.25">
      <c r="A421" s="1" t="s">
        <v>9</v>
      </c>
      <c r="B421" s="1" t="s">
        <v>10</v>
      </c>
      <c r="C421" s="1" t="s">
        <v>79</v>
      </c>
      <c r="D421" s="1" t="s">
        <v>58</v>
      </c>
      <c r="E421">
        <v>325</v>
      </c>
      <c r="F421" s="1" t="s">
        <v>80</v>
      </c>
      <c r="G421" s="1" t="s">
        <v>14</v>
      </c>
      <c r="H421" s="1" t="s">
        <v>81</v>
      </c>
      <c r="I421" s="1" t="s">
        <v>16</v>
      </c>
    </row>
    <row r="422" spans="1:9" x14ac:dyDescent="0.25">
      <c r="A422" s="1" t="s">
        <v>9</v>
      </c>
      <c r="B422" s="1" t="s">
        <v>10</v>
      </c>
      <c r="C422" s="1" t="s">
        <v>79</v>
      </c>
      <c r="D422" s="1" t="s">
        <v>59</v>
      </c>
      <c r="E422">
        <v>325</v>
      </c>
      <c r="F422" s="1" t="s">
        <v>80</v>
      </c>
      <c r="G422" s="1" t="s">
        <v>14</v>
      </c>
      <c r="H422" s="1" t="s">
        <v>81</v>
      </c>
      <c r="I422" s="1" t="s">
        <v>16</v>
      </c>
    </row>
    <row r="423" spans="1:9" x14ac:dyDescent="0.25">
      <c r="A423" s="1" t="s">
        <v>9</v>
      </c>
      <c r="B423" s="1" t="s">
        <v>10</v>
      </c>
      <c r="C423" s="1" t="s">
        <v>79</v>
      </c>
      <c r="D423" s="1" t="s">
        <v>60</v>
      </c>
      <c r="E423">
        <v>325</v>
      </c>
      <c r="F423" s="1" t="s">
        <v>80</v>
      </c>
      <c r="G423" s="1" t="s">
        <v>14</v>
      </c>
      <c r="H423" s="1" t="s">
        <v>81</v>
      </c>
      <c r="I423" s="1" t="s">
        <v>16</v>
      </c>
    </row>
    <row r="424" spans="1:9" x14ac:dyDescent="0.25">
      <c r="A424" s="1" t="s">
        <v>9</v>
      </c>
      <c r="B424" s="1" t="s">
        <v>10</v>
      </c>
      <c r="C424" s="1" t="s">
        <v>79</v>
      </c>
      <c r="D424" s="1" t="s">
        <v>61</v>
      </c>
      <c r="E424">
        <v>325</v>
      </c>
      <c r="F424" s="1" t="s">
        <v>80</v>
      </c>
      <c r="G424" s="1" t="s">
        <v>14</v>
      </c>
      <c r="H424" s="1" t="s">
        <v>81</v>
      </c>
      <c r="I424" s="1" t="s">
        <v>16</v>
      </c>
    </row>
    <row r="425" spans="1:9" x14ac:dyDescent="0.25">
      <c r="A425" s="1" t="s">
        <v>9</v>
      </c>
      <c r="B425" s="1" t="s">
        <v>10</v>
      </c>
      <c r="C425" s="1" t="s">
        <v>79</v>
      </c>
      <c r="D425" s="1" t="s">
        <v>62</v>
      </c>
      <c r="E425">
        <v>325</v>
      </c>
      <c r="F425" s="1" t="s">
        <v>80</v>
      </c>
      <c r="G425" s="1" t="s">
        <v>14</v>
      </c>
      <c r="H425" s="1" t="s">
        <v>81</v>
      </c>
      <c r="I425" s="1" t="s">
        <v>16</v>
      </c>
    </row>
    <row r="426" spans="1:9" x14ac:dyDescent="0.25">
      <c r="A426" s="1" t="s">
        <v>9</v>
      </c>
      <c r="B426" s="1" t="s">
        <v>10</v>
      </c>
      <c r="C426" s="1" t="s">
        <v>79</v>
      </c>
      <c r="D426" s="1" t="s">
        <v>63</v>
      </c>
      <c r="E426">
        <v>325</v>
      </c>
      <c r="F426" s="1" t="s">
        <v>80</v>
      </c>
      <c r="G426" s="1" t="s">
        <v>14</v>
      </c>
      <c r="H426" s="1" t="s">
        <v>81</v>
      </c>
      <c r="I426" s="1" t="s">
        <v>16</v>
      </c>
    </row>
    <row r="427" spans="1:9" x14ac:dyDescent="0.25">
      <c r="A427" s="1" t="s">
        <v>9</v>
      </c>
      <c r="B427" s="1" t="s">
        <v>10</v>
      </c>
      <c r="C427" s="1" t="s">
        <v>79</v>
      </c>
      <c r="D427" s="1" t="s">
        <v>64</v>
      </c>
      <c r="E427">
        <v>325</v>
      </c>
      <c r="F427" s="1" t="s">
        <v>80</v>
      </c>
      <c r="G427" s="1" t="s">
        <v>14</v>
      </c>
      <c r="H427" s="1" t="s">
        <v>81</v>
      </c>
      <c r="I427" s="1" t="s">
        <v>16</v>
      </c>
    </row>
    <row r="428" spans="1:9" x14ac:dyDescent="0.25">
      <c r="A428" s="1" t="s">
        <v>9</v>
      </c>
      <c r="B428" s="1" t="s">
        <v>10</v>
      </c>
      <c r="C428" s="1" t="s">
        <v>79</v>
      </c>
      <c r="D428" s="1" t="s">
        <v>65</v>
      </c>
      <c r="E428">
        <v>325</v>
      </c>
      <c r="F428" s="1" t="s">
        <v>80</v>
      </c>
      <c r="G428" s="1" t="s">
        <v>14</v>
      </c>
      <c r="H428" s="1" t="s">
        <v>81</v>
      </c>
      <c r="I428" s="1" t="s">
        <v>16</v>
      </c>
    </row>
    <row r="429" spans="1:9" x14ac:dyDescent="0.25">
      <c r="A429" s="1" t="s">
        <v>9</v>
      </c>
      <c r="B429" s="1" t="s">
        <v>10</v>
      </c>
      <c r="C429" s="1" t="s">
        <v>79</v>
      </c>
      <c r="D429" s="1" t="s">
        <v>66</v>
      </c>
      <c r="E429">
        <v>325</v>
      </c>
      <c r="F429" s="1" t="s">
        <v>80</v>
      </c>
      <c r="G429" s="1" t="s">
        <v>14</v>
      </c>
      <c r="H429" s="1" t="s">
        <v>81</v>
      </c>
      <c r="I429" s="1" t="s">
        <v>16</v>
      </c>
    </row>
    <row r="430" spans="1:9" x14ac:dyDescent="0.25">
      <c r="A430" s="1" t="s">
        <v>9</v>
      </c>
      <c r="B430" s="1" t="s">
        <v>10</v>
      </c>
      <c r="C430" s="1" t="s">
        <v>79</v>
      </c>
      <c r="D430" s="1" t="s">
        <v>67</v>
      </c>
      <c r="E430">
        <v>325</v>
      </c>
      <c r="F430" s="1" t="s">
        <v>80</v>
      </c>
      <c r="G430" s="1" t="s">
        <v>14</v>
      </c>
      <c r="H430" s="1" t="s">
        <v>81</v>
      </c>
      <c r="I430" s="1" t="s">
        <v>16</v>
      </c>
    </row>
    <row r="431" spans="1:9" x14ac:dyDescent="0.25">
      <c r="A431" s="1" t="s">
        <v>9</v>
      </c>
      <c r="B431" s="1" t="s">
        <v>10</v>
      </c>
      <c r="C431" s="1" t="s">
        <v>79</v>
      </c>
      <c r="D431" s="1" t="s">
        <v>68</v>
      </c>
      <c r="E431">
        <v>325</v>
      </c>
      <c r="F431" s="1" t="s">
        <v>80</v>
      </c>
      <c r="G431" s="1" t="s">
        <v>14</v>
      </c>
      <c r="H431" s="1" t="s">
        <v>81</v>
      </c>
      <c r="I431" s="1" t="s">
        <v>16</v>
      </c>
    </row>
    <row r="432" spans="1:9" x14ac:dyDescent="0.25">
      <c r="A432" s="1" t="s">
        <v>9</v>
      </c>
      <c r="B432" s="1" t="s">
        <v>10</v>
      </c>
      <c r="C432" s="1" t="s">
        <v>79</v>
      </c>
      <c r="D432" s="1" t="s">
        <v>69</v>
      </c>
      <c r="E432">
        <v>325</v>
      </c>
      <c r="F432" s="1" t="s">
        <v>80</v>
      </c>
      <c r="G432" s="1" t="s">
        <v>14</v>
      </c>
      <c r="H432" s="1" t="s">
        <v>81</v>
      </c>
      <c r="I432" s="1" t="s">
        <v>16</v>
      </c>
    </row>
    <row r="433" spans="1:9" x14ac:dyDescent="0.25">
      <c r="A433" s="1" t="s">
        <v>9</v>
      </c>
      <c r="B433" s="1" t="s">
        <v>10</v>
      </c>
      <c r="C433" s="1" t="s">
        <v>79</v>
      </c>
      <c r="D433" s="1" t="s">
        <v>70</v>
      </c>
      <c r="E433">
        <v>650</v>
      </c>
      <c r="F433" s="1" t="s">
        <v>80</v>
      </c>
      <c r="G433" s="1" t="s">
        <v>14</v>
      </c>
      <c r="H433" s="1" t="s">
        <v>81</v>
      </c>
      <c r="I433" s="1" t="s">
        <v>16</v>
      </c>
    </row>
    <row r="434" spans="1:9" x14ac:dyDescent="0.25">
      <c r="A434" s="1" t="s">
        <v>9</v>
      </c>
      <c r="B434" s="1" t="s">
        <v>10</v>
      </c>
      <c r="C434" s="1" t="s">
        <v>82</v>
      </c>
      <c r="D434" s="1" t="s">
        <v>12</v>
      </c>
      <c r="E434">
        <v>1100</v>
      </c>
      <c r="F434" s="1" t="s">
        <v>83</v>
      </c>
      <c r="G434" s="1" t="s">
        <v>14</v>
      </c>
      <c r="H434" s="1" t="s">
        <v>15</v>
      </c>
      <c r="I434" s="1" t="s">
        <v>16</v>
      </c>
    </row>
    <row r="435" spans="1:9" x14ac:dyDescent="0.25">
      <c r="A435" s="1" t="s">
        <v>9</v>
      </c>
      <c r="B435" s="1" t="s">
        <v>10</v>
      </c>
      <c r="C435" s="1" t="s">
        <v>82</v>
      </c>
      <c r="D435" s="1" t="s">
        <v>17</v>
      </c>
      <c r="E435">
        <v>1100</v>
      </c>
      <c r="F435" s="1" t="s">
        <v>83</v>
      </c>
      <c r="G435" s="1" t="s">
        <v>14</v>
      </c>
      <c r="H435" s="1" t="s">
        <v>15</v>
      </c>
      <c r="I435" s="1" t="s">
        <v>16</v>
      </c>
    </row>
    <row r="436" spans="1:9" x14ac:dyDescent="0.25">
      <c r="A436" s="1" t="s">
        <v>9</v>
      </c>
      <c r="B436" s="1" t="s">
        <v>10</v>
      </c>
      <c r="C436" s="1" t="s">
        <v>82</v>
      </c>
      <c r="D436" s="1" t="s">
        <v>18</v>
      </c>
      <c r="E436">
        <v>1100</v>
      </c>
      <c r="F436" s="1" t="s">
        <v>83</v>
      </c>
      <c r="G436" s="1" t="s">
        <v>14</v>
      </c>
      <c r="H436" s="1" t="s">
        <v>15</v>
      </c>
      <c r="I436" s="1" t="s">
        <v>16</v>
      </c>
    </row>
    <row r="437" spans="1:9" x14ac:dyDescent="0.25">
      <c r="A437" s="1" t="s">
        <v>9</v>
      </c>
      <c r="B437" s="1" t="s">
        <v>10</v>
      </c>
      <c r="C437" s="1" t="s">
        <v>82</v>
      </c>
      <c r="D437" s="1" t="s">
        <v>19</v>
      </c>
      <c r="E437">
        <v>1100</v>
      </c>
      <c r="F437" s="1" t="s">
        <v>83</v>
      </c>
      <c r="G437" s="1" t="s">
        <v>14</v>
      </c>
      <c r="H437" s="1" t="s">
        <v>15</v>
      </c>
      <c r="I437" s="1" t="s">
        <v>16</v>
      </c>
    </row>
    <row r="438" spans="1:9" x14ac:dyDescent="0.25">
      <c r="A438" s="1" t="s">
        <v>9</v>
      </c>
      <c r="B438" s="1" t="s">
        <v>10</v>
      </c>
      <c r="C438" s="1" t="s">
        <v>82</v>
      </c>
      <c r="D438" s="1" t="s">
        <v>20</v>
      </c>
      <c r="E438">
        <v>2200</v>
      </c>
      <c r="F438" s="1" t="s">
        <v>83</v>
      </c>
      <c r="G438" s="1" t="s">
        <v>14</v>
      </c>
      <c r="H438" s="1" t="s">
        <v>15</v>
      </c>
      <c r="I438" s="1" t="s">
        <v>16</v>
      </c>
    </row>
    <row r="439" spans="1:9" x14ac:dyDescent="0.25">
      <c r="A439" s="1" t="s">
        <v>9</v>
      </c>
      <c r="B439" s="1" t="s">
        <v>10</v>
      </c>
      <c r="C439" s="1" t="s">
        <v>82</v>
      </c>
      <c r="D439" s="1" t="s">
        <v>21</v>
      </c>
      <c r="E439">
        <v>2200</v>
      </c>
      <c r="F439" s="1" t="s">
        <v>83</v>
      </c>
      <c r="G439" s="1" t="s">
        <v>14</v>
      </c>
      <c r="H439" s="1" t="s">
        <v>15</v>
      </c>
      <c r="I439" s="1" t="s">
        <v>16</v>
      </c>
    </row>
    <row r="440" spans="1:9" x14ac:dyDescent="0.25">
      <c r="A440" s="1" t="s">
        <v>9</v>
      </c>
      <c r="B440" s="1" t="s">
        <v>10</v>
      </c>
      <c r="C440" s="1" t="s">
        <v>82</v>
      </c>
      <c r="D440" s="1" t="s">
        <v>22</v>
      </c>
      <c r="E440">
        <v>2200</v>
      </c>
      <c r="F440" s="1" t="s">
        <v>83</v>
      </c>
      <c r="G440" s="1" t="s">
        <v>14</v>
      </c>
      <c r="H440" s="1" t="s">
        <v>15</v>
      </c>
      <c r="I440" s="1" t="s">
        <v>16</v>
      </c>
    </row>
    <row r="441" spans="1:9" x14ac:dyDescent="0.25">
      <c r="A441" s="1" t="s">
        <v>9</v>
      </c>
      <c r="B441" s="1" t="s">
        <v>10</v>
      </c>
      <c r="C441" s="1" t="s">
        <v>82</v>
      </c>
      <c r="D441" s="1" t="s">
        <v>23</v>
      </c>
      <c r="E441">
        <v>2200</v>
      </c>
      <c r="F441" s="1" t="s">
        <v>83</v>
      </c>
      <c r="G441" s="1" t="s">
        <v>14</v>
      </c>
      <c r="H441" s="1" t="s">
        <v>15</v>
      </c>
      <c r="I441" s="1" t="s">
        <v>16</v>
      </c>
    </row>
    <row r="442" spans="1:9" x14ac:dyDescent="0.25">
      <c r="A442" s="1" t="s">
        <v>9</v>
      </c>
      <c r="B442" s="1" t="s">
        <v>10</v>
      </c>
      <c r="C442" s="1" t="s">
        <v>82</v>
      </c>
      <c r="D442" s="1" t="s">
        <v>24</v>
      </c>
      <c r="E442">
        <v>1100</v>
      </c>
      <c r="F442" s="1" t="s">
        <v>83</v>
      </c>
      <c r="G442" s="1" t="s">
        <v>14</v>
      </c>
      <c r="H442" s="1" t="s">
        <v>15</v>
      </c>
      <c r="I442" s="1" t="s">
        <v>16</v>
      </c>
    </row>
    <row r="443" spans="1:9" x14ac:dyDescent="0.25">
      <c r="A443" s="1" t="s">
        <v>9</v>
      </c>
      <c r="B443" s="1" t="s">
        <v>10</v>
      </c>
      <c r="C443" s="1" t="s">
        <v>82</v>
      </c>
      <c r="D443" s="1" t="s">
        <v>25</v>
      </c>
      <c r="E443">
        <v>1100</v>
      </c>
      <c r="F443" s="1" t="s">
        <v>83</v>
      </c>
      <c r="G443" s="1" t="s">
        <v>14</v>
      </c>
      <c r="H443" s="1" t="s">
        <v>15</v>
      </c>
      <c r="I443" s="1" t="s">
        <v>16</v>
      </c>
    </row>
    <row r="444" spans="1:9" x14ac:dyDescent="0.25">
      <c r="A444" s="1" t="s">
        <v>9</v>
      </c>
      <c r="B444" s="1" t="s">
        <v>10</v>
      </c>
      <c r="C444" s="1" t="s">
        <v>82</v>
      </c>
      <c r="D444" s="1" t="s">
        <v>26</v>
      </c>
      <c r="E444">
        <v>1100</v>
      </c>
      <c r="F444" s="1" t="s">
        <v>83</v>
      </c>
      <c r="G444" s="1" t="s">
        <v>14</v>
      </c>
      <c r="H444" s="1" t="s">
        <v>15</v>
      </c>
      <c r="I444" s="1" t="s">
        <v>16</v>
      </c>
    </row>
    <row r="445" spans="1:9" x14ac:dyDescent="0.25">
      <c r="A445" s="1" t="s">
        <v>9</v>
      </c>
      <c r="B445" s="1" t="s">
        <v>10</v>
      </c>
      <c r="C445" s="1" t="s">
        <v>82</v>
      </c>
      <c r="D445" s="1" t="s">
        <v>27</v>
      </c>
      <c r="E445">
        <v>1100</v>
      </c>
      <c r="F445" s="1" t="s">
        <v>83</v>
      </c>
      <c r="G445" s="1" t="s">
        <v>14</v>
      </c>
      <c r="H445" s="1" t="s">
        <v>15</v>
      </c>
      <c r="I445" s="1" t="s">
        <v>16</v>
      </c>
    </row>
    <row r="446" spans="1:9" x14ac:dyDescent="0.25">
      <c r="A446" s="1" t="s">
        <v>9</v>
      </c>
      <c r="B446" s="1" t="s">
        <v>10</v>
      </c>
      <c r="C446" s="1" t="s">
        <v>82</v>
      </c>
      <c r="D446" s="1" t="s">
        <v>28</v>
      </c>
      <c r="E446">
        <v>2200</v>
      </c>
      <c r="F446" s="1" t="s">
        <v>83</v>
      </c>
      <c r="G446" s="1" t="s">
        <v>14</v>
      </c>
      <c r="H446" s="1" t="s">
        <v>15</v>
      </c>
      <c r="I446" s="1" t="s">
        <v>16</v>
      </c>
    </row>
    <row r="447" spans="1:9" x14ac:dyDescent="0.25">
      <c r="A447" s="1" t="s">
        <v>9</v>
      </c>
      <c r="B447" s="1" t="s">
        <v>10</v>
      </c>
      <c r="C447" s="1" t="s">
        <v>82</v>
      </c>
      <c r="D447" s="1" t="s">
        <v>29</v>
      </c>
      <c r="E447">
        <v>2200</v>
      </c>
      <c r="F447" s="1" t="s">
        <v>83</v>
      </c>
      <c r="G447" s="1" t="s">
        <v>14</v>
      </c>
      <c r="H447" s="1" t="s">
        <v>15</v>
      </c>
      <c r="I447" s="1" t="s">
        <v>16</v>
      </c>
    </row>
    <row r="448" spans="1:9" x14ac:dyDescent="0.25">
      <c r="A448" s="1" t="s">
        <v>9</v>
      </c>
      <c r="B448" s="1" t="s">
        <v>10</v>
      </c>
      <c r="C448" s="1" t="s">
        <v>82</v>
      </c>
      <c r="D448" s="1" t="s">
        <v>30</v>
      </c>
      <c r="E448">
        <v>2200</v>
      </c>
      <c r="F448" s="1" t="s">
        <v>83</v>
      </c>
      <c r="G448" s="1" t="s">
        <v>14</v>
      </c>
      <c r="H448" s="1" t="s">
        <v>15</v>
      </c>
      <c r="I448" s="1" t="s">
        <v>16</v>
      </c>
    </row>
    <row r="449" spans="1:9" x14ac:dyDescent="0.25">
      <c r="A449" s="1" t="s">
        <v>9</v>
      </c>
      <c r="B449" s="1" t="s">
        <v>10</v>
      </c>
      <c r="C449" s="1" t="s">
        <v>82</v>
      </c>
      <c r="D449" s="1" t="s">
        <v>31</v>
      </c>
      <c r="E449">
        <v>2200</v>
      </c>
      <c r="F449" s="1" t="s">
        <v>83</v>
      </c>
      <c r="G449" s="1" t="s">
        <v>14</v>
      </c>
      <c r="H449" s="1" t="s">
        <v>15</v>
      </c>
      <c r="I449" s="1" t="s">
        <v>16</v>
      </c>
    </row>
    <row r="450" spans="1:9" x14ac:dyDescent="0.25">
      <c r="A450" s="1" t="s">
        <v>9</v>
      </c>
      <c r="B450" s="1" t="s">
        <v>10</v>
      </c>
      <c r="C450" s="1" t="s">
        <v>82</v>
      </c>
      <c r="D450" s="1" t="s">
        <v>32</v>
      </c>
      <c r="E450">
        <v>1100</v>
      </c>
      <c r="F450" s="1" t="s">
        <v>83</v>
      </c>
      <c r="G450" s="1" t="s">
        <v>14</v>
      </c>
      <c r="H450" s="1" t="s">
        <v>15</v>
      </c>
      <c r="I450" s="1" t="s">
        <v>16</v>
      </c>
    </row>
    <row r="451" spans="1:9" x14ac:dyDescent="0.25">
      <c r="A451" s="1" t="s">
        <v>9</v>
      </c>
      <c r="B451" s="1" t="s">
        <v>10</v>
      </c>
      <c r="C451" s="1" t="s">
        <v>82</v>
      </c>
      <c r="D451" s="1" t="s">
        <v>33</v>
      </c>
      <c r="E451">
        <v>1100</v>
      </c>
      <c r="F451" s="1" t="s">
        <v>83</v>
      </c>
      <c r="G451" s="1" t="s">
        <v>14</v>
      </c>
      <c r="H451" s="1" t="s">
        <v>15</v>
      </c>
      <c r="I451" s="1" t="s">
        <v>16</v>
      </c>
    </row>
    <row r="452" spans="1:9" x14ac:dyDescent="0.25">
      <c r="A452" s="1" t="s">
        <v>9</v>
      </c>
      <c r="B452" s="1" t="s">
        <v>10</v>
      </c>
      <c r="C452" s="1" t="s">
        <v>82</v>
      </c>
      <c r="D452" s="1" t="s">
        <v>34</v>
      </c>
      <c r="E452">
        <v>2200</v>
      </c>
      <c r="F452" s="1" t="s">
        <v>83</v>
      </c>
      <c r="G452" s="1" t="s">
        <v>14</v>
      </c>
      <c r="H452" s="1" t="s">
        <v>15</v>
      </c>
      <c r="I452" s="1" t="s">
        <v>16</v>
      </c>
    </row>
    <row r="453" spans="1:9" x14ac:dyDescent="0.25">
      <c r="A453" s="1" t="s">
        <v>9</v>
      </c>
      <c r="B453" s="1" t="s">
        <v>10</v>
      </c>
      <c r="C453" s="1" t="s">
        <v>82</v>
      </c>
      <c r="D453" s="1" t="s">
        <v>35</v>
      </c>
      <c r="E453">
        <v>1100</v>
      </c>
      <c r="F453" s="1" t="s">
        <v>83</v>
      </c>
      <c r="G453" s="1" t="s">
        <v>14</v>
      </c>
      <c r="H453" s="1" t="s">
        <v>15</v>
      </c>
      <c r="I453" s="1" t="s">
        <v>16</v>
      </c>
    </row>
    <row r="454" spans="1:9" x14ac:dyDescent="0.25">
      <c r="A454" s="1" t="s">
        <v>9</v>
      </c>
      <c r="B454" s="1" t="s">
        <v>10</v>
      </c>
      <c r="C454" s="1" t="s">
        <v>82</v>
      </c>
      <c r="D454" s="1" t="s">
        <v>36</v>
      </c>
      <c r="E454">
        <v>1100</v>
      </c>
      <c r="F454" s="1" t="s">
        <v>83</v>
      </c>
      <c r="G454" s="1" t="s">
        <v>14</v>
      </c>
      <c r="H454" s="1" t="s">
        <v>15</v>
      </c>
      <c r="I454" s="1" t="s">
        <v>16</v>
      </c>
    </row>
    <row r="455" spans="1:9" x14ac:dyDescent="0.25">
      <c r="A455" s="1" t="s">
        <v>9</v>
      </c>
      <c r="B455" s="1" t="s">
        <v>10</v>
      </c>
      <c r="C455" s="1" t="s">
        <v>82</v>
      </c>
      <c r="D455" s="1" t="s">
        <v>37</v>
      </c>
      <c r="E455">
        <v>1100</v>
      </c>
      <c r="F455" s="1" t="s">
        <v>83</v>
      </c>
      <c r="G455" s="1" t="s">
        <v>14</v>
      </c>
      <c r="H455" s="1" t="s">
        <v>15</v>
      </c>
      <c r="I455" s="1" t="s">
        <v>16</v>
      </c>
    </row>
    <row r="456" spans="1:9" x14ac:dyDescent="0.25">
      <c r="A456" s="1" t="s">
        <v>9</v>
      </c>
      <c r="B456" s="1" t="s">
        <v>10</v>
      </c>
      <c r="C456" s="1" t="s">
        <v>82</v>
      </c>
      <c r="D456" s="1" t="s">
        <v>38</v>
      </c>
      <c r="E456">
        <v>1100</v>
      </c>
      <c r="F456" s="1" t="s">
        <v>83</v>
      </c>
      <c r="G456" s="1" t="s">
        <v>14</v>
      </c>
      <c r="H456" s="1" t="s">
        <v>15</v>
      </c>
      <c r="I456" s="1" t="s">
        <v>16</v>
      </c>
    </row>
    <row r="457" spans="1:9" x14ac:dyDescent="0.25">
      <c r="A457" s="1" t="s">
        <v>9</v>
      </c>
      <c r="B457" s="1" t="s">
        <v>10</v>
      </c>
      <c r="C457" s="1" t="s">
        <v>82</v>
      </c>
      <c r="D457" s="1" t="s">
        <v>39</v>
      </c>
      <c r="E457">
        <v>1100</v>
      </c>
      <c r="F457" s="1" t="s">
        <v>83</v>
      </c>
      <c r="G457" s="1" t="s">
        <v>14</v>
      </c>
      <c r="H457" s="1" t="s">
        <v>15</v>
      </c>
      <c r="I457" s="1" t="s">
        <v>16</v>
      </c>
    </row>
    <row r="458" spans="1:9" x14ac:dyDescent="0.25">
      <c r="A458" s="1" t="s">
        <v>9</v>
      </c>
      <c r="B458" s="1" t="s">
        <v>10</v>
      </c>
      <c r="C458" s="1" t="s">
        <v>82</v>
      </c>
      <c r="D458" s="1" t="s">
        <v>40</v>
      </c>
      <c r="E458">
        <v>550</v>
      </c>
      <c r="F458" s="1" t="s">
        <v>83</v>
      </c>
      <c r="G458" s="1" t="s">
        <v>14</v>
      </c>
      <c r="H458" s="1" t="s">
        <v>15</v>
      </c>
      <c r="I458" s="1" t="s">
        <v>16</v>
      </c>
    </row>
    <row r="459" spans="1:9" x14ac:dyDescent="0.25">
      <c r="A459" s="1" t="s">
        <v>9</v>
      </c>
      <c r="B459" s="1" t="s">
        <v>10</v>
      </c>
      <c r="C459" s="1" t="s">
        <v>82</v>
      </c>
      <c r="D459" s="1" t="s">
        <v>41</v>
      </c>
      <c r="E459">
        <v>1100</v>
      </c>
      <c r="F459" s="1" t="s">
        <v>83</v>
      </c>
      <c r="G459" s="1" t="s">
        <v>14</v>
      </c>
      <c r="H459" s="1" t="s">
        <v>15</v>
      </c>
      <c r="I459" s="1" t="s">
        <v>16</v>
      </c>
    </row>
    <row r="460" spans="1:9" x14ac:dyDescent="0.25">
      <c r="A460" s="1" t="s">
        <v>9</v>
      </c>
      <c r="B460" s="1" t="s">
        <v>10</v>
      </c>
      <c r="C460" s="1" t="s">
        <v>82</v>
      </c>
      <c r="D460" s="1" t="s">
        <v>42</v>
      </c>
      <c r="E460">
        <v>1100</v>
      </c>
      <c r="F460" s="1" t="s">
        <v>83</v>
      </c>
      <c r="G460" s="1" t="s">
        <v>14</v>
      </c>
      <c r="H460" s="1" t="s">
        <v>15</v>
      </c>
      <c r="I460" s="1" t="s">
        <v>16</v>
      </c>
    </row>
    <row r="461" spans="1:9" x14ac:dyDescent="0.25">
      <c r="A461" s="1" t="s">
        <v>9</v>
      </c>
      <c r="B461" s="1" t="s">
        <v>10</v>
      </c>
      <c r="C461" s="1" t="s">
        <v>82</v>
      </c>
      <c r="D461" s="1" t="s">
        <v>43</v>
      </c>
      <c r="E461">
        <v>1100</v>
      </c>
      <c r="F461" s="1" t="s">
        <v>84</v>
      </c>
      <c r="G461" s="1" t="s">
        <v>14</v>
      </c>
      <c r="H461" s="1" t="s">
        <v>15</v>
      </c>
      <c r="I461" s="1" t="s">
        <v>16</v>
      </c>
    </row>
    <row r="462" spans="1:9" x14ac:dyDescent="0.25">
      <c r="A462" s="1" t="s">
        <v>9</v>
      </c>
      <c r="B462" s="1" t="s">
        <v>10</v>
      </c>
      <c r="C462" s="1" t="s">
        <v>82</v>
      </c>
      <c r="D462" s="1" t="s">
        <v>45</v>
      </c>
      <c r="E462">
        <v>1100</v>
      </c>
      <c r="F462" s="1" t="s">
        <v>84</v>
      </c>
      <c r="G462" s="1" t="s">
        <v>14</v>
      </c>
      <c r="H462" s="1" t="s">
        <v>15</v>
      </c>
      <c r="I462" s="1" t="s">
        <v>16</v>
      </c>
    </row>
    <row r="463" spans="1:9" x14ac:dyDescent="0.25">
      <c r="A463" s="1" t="s">
        <v>9</v>
      </c>
      <c r="B463" s="1" t="s">
        <v>10</v>
      </c>
      <c r="C463" s="1" t="s">
        <v>82</v>
      </c>
      <c r="D463" s="1" t="s">
        <v>46</v>
      </c>
      <c r="E463">
        <v>1100</v>
      </c>
      <c r="F463" s="1" t="s">
        <v>84</v>
      </c>
      <c r="G463" s="1" t="s">
        <v>14</v>
      </c>
      <c r="H463" s="1" t="s">
        <v>15</v>
      </c>
      <c r="I463" s="1" t="s">
        <v>16</v>
      </c>
    </row>
    <row r="464" spans="1:9" x14ac:dyDescent="0.25">
      <c r="A464" s="1" t="s">
        <v>9</v>
      </c>
      <c r="B464" s="1" t="s">
        <v>10</v>
      </c>
      <c r="C464" s="1" t="s">
        <v>82</v>
      </c>
      <c r="D464" s="1" t="s">
        <v>47</v>
      </c>
      <c r="E464">
        <v>1100</v>
      </c>
      <c r="F464" s="1" t="s">
        <v>84</v>
      </c>
      <c r="G464" s="1" t="s">
        <v>14</v>
      </c>
      <c r="H464" s="1" t="s">
        <v>15</v>
      </c>
      <c r="I464" s="1" t="s">
        <v>16</v>
      </c>
    </row>
    <row r="465" spans="1:9" x14ac:dyDescent="0.25">
      <c r="A465" s="1" t="s">
        <v>9</v>
      </c>
      <c r="B465" s="1" t="s">
        <v>10</v>
      </c>
      <c r="C465" s="1" t="s">
        <v>82</v>
      </c>
      <c r="D465" s="1" t="s">
        <v>48</v>
      </c>
      <c r="E465">
        <v>2200</v>
      </c>
      <c r="F465" s="1" t="s">
        <v>84</v>
      </c>
      <c r="G465" s="1" t="s">
        <v>14</v>
      </c>
      <c r="H465" s="1" t="s">
        <v>15</v>
      </c>
      <c r="I465" s="1" t="s">
        <v>16</v>
      </c>
    </row>
    <row r="466" spans="1:9" x14ac:dyDescent="0.25">
      <c r="A466" s="1" t="s">
        <v>9</v>
      </c>
      <c r="B466" s="1" t="s">
        <v>10</v>
      </c>
      <c r="C466" s="1" t="s">
        <v>82</v>
      </c>
      <c r="D466" s="1" t="s">
        <v>49</v>
      </c>
      <c r="E466">
        <v>2200</v>
      </c>
      <c r="F466" s="1" t="s">
        <v>84</v>
      </c>
      <c r="G466" s="1" t="s">
        <v>14</v>
      </c>
      <c r="H466" s="1" t="s">
        <v>15</v>
      </c>
      <c r="I466" s="1" t="s">
        <v>16</v>
      </c>
    </row>
    <row r="467" spans="1:9" x14ac:dyDescent="0.25">
      <c r="A467" s="1" t="s">
        <v>9</v>
      </c>
      <c r="B467" s="1" t="s">
        <v>10</v>
      </c>
      <c r="C467" s="1" t="s">
        <v>82</v>
      </c>
      <c r="D467" s="1" t="s">
        <v>50</v>
      </c>
      <c r="E467">
        <v>2200</v>
      </c>
      <c r="F467" s="1" t="s">
        <v>84</v>
      </c>
      <c r="G467" s="1" t="s">
        <v>14</v>
      </c>
      <c r="H467" s="1" t="s">
        <v>15</v>
      </c>
      <c r="I467" s="1" t="s">
        <v>16</v>
      </c>
    </row>
    <row r="468" spans="1:9" x14ac:dyDescent="0.25">
      <c r="A468" s="1" t="s">
        <v>9</v>
      </c>
      <c r="B468" s="1" t="s">
        <v>10</v>
      </c>
      <c r="C468" s="1" t="s">
        <v>82</v>
      </c>
      <c r="D468" s="1" t="s">
        <v>51</v>
      </c>
      <c r="E468">
        <v>2200</v>
      </c>
      <c r="F468" s="1" t="s">
        <v>84</v>
      </c>
      <c r="G468" s="1" t="s">
        <v>14</v>
      </c>
      <c r="H468" s="1" t="s">
        <v>15</v>
      </c>
      <c r="I468" s="1" t="s">
        <v>16</v>
      </c>
    </row>
    <row r="469" spans="1:9" x14ac:dyDescent="0.25">
      <c r="A469" s="1" t="s">
        <v>9</v>
      </c>
      <c r="B469" s="1" t="s">
        <v>10</v>
      </c>
      <c r="C469" s="1" t="s">
        <v>82</v>
      </c>
      <c r="D469" s="1" t="s">
        <v>52</v>
      </c>
      <c r="E469">
        <v>1100</v>
      </c>
      <c r="F469" s="1" t="s">
        <v>84</v>
      </c>
      <c r="G469" s="1" t="s">
        <v>14</v>
      </c>
      <c r="H469" s="1" t="s">
        <v>15</v>
      </c>
      <c r="I469" s="1" t="s">
        <v>16</v>
      </c>
    </row>
    <row r="470" spans="1:9" x14ac:dyDescent="0.25">
      <c r="A470" s="1" t="s">
        <v>9</v>
      </c>
      <c r="B470" s="1" t="s">
        <v>10</v>
      </c>
      <c r="C470" s="1" t="s">
        <v>82</v>
      </c>
      <c r="D470" s="1" t="s">
        <v>53</v>
      </c>
      <c r="E470">
        <v>1100</v>
      </c>
      <c r="F470" s="1" t="s">
        <v>84</v>
      </c>
      <c r="G470" s="1" t="s">
        <v>14</v>
      </c>
      <c r="H470" s="1" t="s">
        <v>15</v>
      </c>
      <c r="I470" s="1" t="s">
        <v>16</v>
      </c>
    </row>
    <row r="471" spans="1:9" x14ac:dyDescent="0.25">
      <c r="A471" s="1" t="s">
        <v>9</v>
      </c>
      <c r="B471" s="1" t="s">
        <v>10</v>
      </c>
      <c r="C471" s="1" t="s">
        <v>82</v>
      </c>
      <c r="D471" s="1" t="s">
        <v>54</v>
      </c>
      <c r="E471">
        <v>1100</v>
      </c>
      <c r="F471" s="1" t="s">
        <v>84</v>
      </c>
      <c r="G471" s="1" t="s">
        <v>14</v>
      </c>
      <c r="H471" s="1" t="s">
        <v>15</v>
      </c>
      <c r="I471" s="1" t="s">
        <v>16</v>
      </c>
    </row>
    <row r="472" spans="1:9" x14ac:dyDescent="0.25">
      <c r="A472" s="1" t="s">
        <v>9</v>
      </c>
      <c r="B472" s="1" t="s">
        <v>10</v>
      </c>
      <c r="C472" s="1" t="s">
        <v>82</v>
      </c>
      <c r="D472" s="1" t="s">
        <v>55</v>
      </c>
      <c r="E472">
        <v>1100</v>
      </c>
      <c r="F472" s="1" t="s">
        <v>84</v>
      </c>
      <c r="G472" s="1" t="s">
        <v>14</v>
      </c>
      <c r="H472" s="1" t="s">
        <v>15</v>
      </c>
      <c r="I472" s="1" t="s">
        <v>16</v>
      </c>
    </row>
    <row r="473" spans="1:9" x14ac:dyDescent="0.25">
      <c r="A473" s="1" t="s">
        <v>9</v>
      </c>
      <c r="B473" s="1" t="s">
        <v>10</v>
      </c>
      <c r="C473" s="1" t="s">
        <v>82</v>
      </c>
      <c r="D473" s="1" t="s">
        <v>56</v>
      </c>
      <c r="E473">
        <v>2200</v>
      </c>
      <c r="F473" s="1" t="s">
        <v>84</v>
      </c>
      <c r="G473" s="1" t="s">
        <v>14</v>
      </c>
      <c r="H473" s="1" t="s">
        <v>15</v>
      </c>
      <c r="I473" s="1" t="s">
        <v>16</v>
      </c>
    </row>
    <row r="474" spans="1:9" x14ac:dyDescent="0.25">
      <c r="A474" s="1" t="s">
        <v>9</v>
      </c>
      <c r="B474" s="1" t="s">
        <v>10</v>
      </c>
      <c r="C474" s="1" t="s">
        <v>82</v>
      </c>
      <c r="D474" s="1" t="s">
        <v>57</v>
      </c>
      <c r="E474">
        <v>2200</v>
      </c>
      <c r="F474" s="1" t="s">
        <v>84</v>
      </c>
      <c r="G474" s="1" t="s">
        <v>14</v>
      </c>
      <c r="H474" s="1" t="s">
        <v>15</v>
      </c>
      <c r="I474" s="1" t="s">
        <v>16</v>
      </c>
    </row>
    <row r="475" spans="1:9" x14ac:dyDescent="0.25">
      <c r="A475" s="1" t="s">
        <v>9</v>
      </c>
      <c r="B475" s="1" t="s">
        <v>10</v>
      </c>
      <c r="C475" s="1" t="s">
        <v>82</v>
      </c>
      <c r="D475" s="1" t="s">
        <v>58</v>
      </c>
      <c r="E475">
        <v>2200</v>
      </c>
      <c r="F475" s="1" t="s">
        <v>84</v>
      </c>
      <c r="G475" s="1" t="s">
        <v>14</v>
      </c>
      <c r="H475" s="1" t="s">
        <v>15</v>
      </c>
      <c r="I475" s="1" t="s">
        <v>16</v>
      </c>
    </row>
    <row r="476" spans="1:9" x14ac:dyDescent="0.25">
      <c r="A476" s="1" t="s">
        <v>9</v>
      </c>
      <c r="B476" s="1" t="s">
        <v>10</v>
      </c>
      <c r="C476" s="1" t="s">
        <v>82</v>
      </c>
      <c r="D476" s="1" t="s">
        <v>59</v>
      </c>
      <c r="E476">
        <v>2200</v>
      </c>
      <c r="F476" s="1" t="s">
        <v>84</v>
      </c>
      <c r="G476" s="1" t="s">
        <v>14</v>
      </c>
      <c r="H476" s="1" t="s">
        <v>15</v>
      </c>
      <c r="I476" s="1" t="s">
        <v>16</v>
      </c>
    </row>
    <row r="477" spans="1:9" x14ac:dyDescent="0.25">
      <c r="A477" s="1" t="s">
        <v>9</v>
      </c>
      <c r="B477" s="1" t="s">
        <v>10</v>
      </c>
      <c r="C477" s="1" t="s">
        <v>82</v>
      </c>
      <c r="D477" s="1" t="s">
        <v>60</v>
      </c>
      <c r="E477">
        <v>1100</v>
      </c>
      <c r="F477" s="1" t="s">
        <v>84</v>
      </c>
      <c r="G477" s="1" t="s">
        <v>14</v>
      </c>
      <c r="H477" s="1" t="s">
        <v>15</v>
      </c>
      <c r="I477" s="1" t="s">
        <v>16</v>
      </c>
    </row>
    <row r="478" spans="1:9" x14ac:dyDescent="0.25">
      <c r="A478" s="1" t="s">
        <v>9</v>
      </c>
      <c r="B478" s="1" t="s">
        <v>10</v>
      </c>
      <c r="C478" s="1" t="s">
        <v>82</v>
      </c>
      <c r="D478" s="1" t="s">
        <v>61</v>
      </c>
      <c r="E478">
        <v>1100</v>
      </c>
      <c r="F478" s="1" t="s">
        <v>84</v>
      </c>
      <c r="G478" s="1" t="s">
        <v>14</v>
      </c>
      <c r="H478" s="1" t="s">
        <v>15</v>
      </c>
      <c r="I478" s="1" t="s">
        <v>16</v>
      </c>
    </row>
    <row r="479" spans="1:9" x14ac:dyDescent="0.25">
      <c r="A479" s="1" t="s">
        <v>9</v>
      </c>
      <c r="B479" s="1" t="s">
        <v>10</v>
      </c>
      <c r="C479" s="1" t="s">
        <v>82</v>
      </c>
      <c r="D479" s="1" t="s">
        <v>62</v>
      </c>
      <c r="E479">
        <v>2200</v>
      </c>
      <c r="F479" s="1" t="s">
        <v>84</v>
      </c>
      <c r="G479" s="1" t="s">
        <v>14</v>
      </c>
      <c r="H479" s="1" t="s">
        <v>15</v>
      </c>
      <c r="I479" s="1" t="s">
        <v>16</v>
      </c>
    </row>
    <row r="480" spans="1:9" x14ac:dyDescent="0.25">
      <c r="A480" s="1" t="s">
        <v>9</v>
      </c>
      <c r="B480" s="1" t="s">
        <v>10</v>
      </c>
      <c r="C480" s="1" t="s">
        <v>82</v>
      </c>
      <c r="D480" s="1" t="s">
        <v>63</v>
      </c>
      <c r="E480">
        <v>1100</v>
      </c>
      <c r="F480" s="1" t="s">
        <v>84</v>
      </c>
      <c r="G480" s="1" t="s">
        <v>14</v>
      </c>
      <c r="H480" s="1" t="s">
        <v>15</v>
      </c>
      <c r="I480" s="1" t="s">
        <v>16</v>
      </c>
    </row>
    <row r="481" spans="1:9" x14ac:dyDescent="0.25">
      <c r="A481" s="1" t="s">
        <v>9</v>
      </c>
      <c r="B481" s="1" t="s">
        <v>10</v>
      </c>
      <c r="C481" s="1" t="s">
        <v>82</v>
      </c>
      <c r="D481" s="1" t="s">
        <v>64</v>
      </c>
      <c r="E481">
        <v>1100</v>
      </c>
      <c r="F481" s="1" t="s">
        <v>84</v>
      </c>
      <c r="G481" s="1" t="s">
        <v>14</v>
      </c>
      <c r="H481" s="1" t="s">
        <v>15</v>
      </c>
      <c r="I481" s="1" t="s">
        <v>16</v>
      </c>
    </row>
    <row r="482" spans="1:9" x14ac:dyDescent="0.25">
      <c r="A482" s="1" t="s">
        <v>9</v>
      </c>
      <c r="B482" s="1" t="s">
        <v>10</v>
      </c>
      <c r="C482" s="1" t="s">
        <v>82</v>
      </c>
      <c r="D482" s="1" t="s">
        <v>65</v>
      </c>
      <c r="E482">
        <v>1100</v>
      </c>
      <c r="F482" s="1" t="s">
        <v>84</v>
      </c>
      <c r="G482" s="1" t="s">
        <v>14</v>
      </c>
      <c r="H482" s="1" t="s">
        <v>15</v>
      </c>
      <c r="I482" s="1" t="s">
        <v>16</v>
      </c>
    </row>
    <row r="483" spans="1:9" x14ac:dyDescent="0.25">
      <c r="A483" s="1" t="s">
        <v>9</v>
      </c>
      <c r="B483" s="1" t="s">
        <v>10</v>
      </c>
      <c r="C483" s="1" t="s">
        <v>82</v>
      </c>
      <c r="D483" s="1" t="s">
        <v>66</v>
      </c>
      <c r="E483">
        <v>1100</v>
      </c>
      <c r="F483" s="1" t="s">
        <v>84</v>
      </c>
      <c r="G483" s="1" t="s">
        <v>14</v>
      </c>
      <c r="H483" s="1" t="s">
        <v>15</v>
      </c>
      <c r="I483" s="1" t="s">
        <v>16</v>
      </c>
    </row>
    <row r="484" spans="1:9" x14ac:dyDescent="0.25">
      <c r="A484" s="1" t="s">
        <v>9</v>
      </c>
      <c r="B484" s="1" t="s">
        <v>10</v>
      </c>
      <c r="C484" s="1" t="s">
        <v>82</v>
      </c>
      <c r="D484" s="1" t="s">
        <v>67</v>
      </c>
      <c r="E484">
        <v>1100</v>
      </c>
      <c r="F484" s="1" t="s">
        <v>84</v>
      </c>
      <c r="G484" s="1" t="s">
        <v>14</v>
      </c>
      <c r="H484" s="1" t="s">
        <v>15</v>
      </c>
      <c r="I484" s="1" t="s">
        <v>16</v>
      </c>
    </row>
    <row r="485" spans="1:9" x14ac:dyDescent="0.25">
      <c r="A485" s="1" t="s">
        <v>9</v>
      </c>
      <c r="B485" s="1" t="s">
        <v>10</v>
      </c>
      <c r="C485" s="1" t="s">
        <v>82</v>
      </c>
      <c r="D485" s="1" t="s">
        <v>68</v>
      </c>
      <c r="E485">
        <v>550</v>
      </c>
      <c r="F485" s="1" t="s">
        <v>84</v>
      </c>
      <c r="G485" s="1" t="s">
        <v>14</v>
      </c>
      <c r="H485" s="1" t="s">
        <v>15</v>
      </c>
      <c r="I485" s="1" t="s">
        <v>16</v>
      </c>
    </row>
    <row r="486" spans="1:9" x14ac:dyDescent="0.25">
      <c r="A486" s="1" t="s">
        <v>9</v>
      </c>
      <c r="B486" s="1" t="s">
        <v>10</v>
      </c>
      <c r="C486" s="1" t="s">
        <v>82</v>
      </c>
      <c r="D486" s="1" t="s">
        <v>69</v>
      </c>
      <c r="E486">
        <v>1100</v>
      </c>
      <c r="F486" s="1" t="s">
        <v>84</v>
      </c>
      <c r="G486" s="1" t="s">
        <v>14</v>
      </c>
      <c r="H486" s="1" t="s">
        <v>15</v>
      </c>
      <c r="I486" s="1" t="s">
        <v>16</v>
      </c>
    </row>
    <row r="487" spans="1:9" x14ac:dyDescent="0.25">
      <c r="A487" s="1" t="s">
        <v>9</v>
      </c>
      <c r="B487" s="1" t="s">
        <v>10</v>
      </c>
      <c r="C487" s="1" t="s">
        <v>82</v>
      </c>
      <c r="D487" s="1" t="s">
        <v>70</v>
      </c>
      <c r="E487">
        <v>1100</v>
      </c>
      <c r="F487" s="1" t="s">
        <v>84</v>
      </c>
      <c r="G487" s="1" t="s">
        <v>14</v>
      </c>
      <c r="H487" s="1" t="s">
        <v>15</v>
      </c>
      <c r="I487" s="1" t="s">
        <v>16</v>
      </c>
    </row>
    <row r="488" spans="1:9" x14ac:dyDescent="0.25">
      <c r="A488" s="1" t="s">
        <v>9</v>
      </c>
      <c r="B488" s="1" t="s">
        <v>10</v>
      </c>
      <c r="C488" s="1" t="s">
        <v>85</v>
      </c>
      <c r="D488" s="1" t="s">
        <v>12</v>
      </c>
      <c r="E488">
        <v>225</v>
      </c>
      <c r="F488" s="1" t="s">
        <v>32</v>
      </c>
      <c r="G488" s="1" t="s">
        <v>14</v>
      </c>
      <c r="H488" s="1" t="s">
        <v>75</v>
      </c>
      <c r="I488" s="1" t="s">
        <v>16</v>
      </c>
    </row>
    <row r="489" spans="1:9" x14ac:dyDescent="0.25">
      <c r="A489" s="1" t="s">
        <v>9</v>
      </c>
      <c r="B489" s="1" t="s">
        <v>10</v>
      </c>
      <c r="C489" s="1" t="s">
        <v>85</v>
      </c>
      <c r="D489" s="1" t="s">
        <v>17</v>
      </c>
      <c r="E489">
        <v>875</v>
      </c>
      <c r="F489" s="1" t="s">
        <v>32</v>
      </c>
      <c r="G489" s="1" t="s">
        <v>14</v>
      </c>
      <c r="H489" s="1" t="s">
        <v>75</v>
      </c>
      <c r="I489" s="1" t="s">
        <v>16</v>
      </c>
    </row>
    <row r="490" spans="1:9" x14ac:dyDescent="0.25">
      <c r="A490" s="1" t="s">
        <v>9</v>
      </c>
      <c r="B490" s="1" t="s">
        <v>10</v>
      </c>
      <c r="C490" s="1" t="s">
        <v>85</v>
      </c>
      <c r="D490" s="1" t="s">
        <v>18</v>
      </c>
      <c r="E490">
        <v>225</v>
      </c>
      <c r="F490" s="1" t="s">
        <v>32</v>
      </c>
      <c r="G490" s="1" t="s">
        <v>14</v>
      </c>
      <c r="H490" s="1" t="s">
        <v>75</v>
      </c>
      <c r="I490" s="1" t="s">
        <v>16</v>
      </c>
    </row>
    <row r="491" spans="1:9" x14ac:dyDescent="0.25">
      <c r="A491" s="1" t="s">
        <v>9</v>
      </c>
      <c r="B491" s="1" t="s">
        <v>10</v>
      </c>
      <c r="C491" s="1" t="s">
        <v>85</v>
      </c>
      <c r="D491" s="1" t="s">
        <v>19</v>
      </c>
      <c r="E491">
        <v>225</v>
      </c>
      <c r="F491" s="1" t="s">
        <v>32</v>
      </c>
      <c r="G491" s="1" t="s">
        <v>14</v>
      </c>
      <c r="H491" s="1" t="s">
        <v>75</v>
      </c>
      <c r="I491" s="1" t="s">
        <v>16</v>
      </c>
    </row>
    <row r="492" spans="1:9" x14ac:dyDescent="0.25">
      <c r="A492" s="1" t="s">
        <v>9</v>
      </c>
      <c r="B492" s="1" t="s">
        <v>10</v>
      </c>
      <c r="C492" s="1" t="s">
        <v>85</v>
      </c>
      <c r="D492" s="1" t="s">
        <v>20</v>
      </c>
      <c r="E492">
        <v>875</v>
      </c>
      <c r="F492" s="1" t="s">
        <v>32</v>
      </c>
      <c r="G492" s="1" t="s">
        <v>14</v>
      </c>
      <c r="H492" s="1" t="s">
        <v>75</v>
      </c>
      <c r="I492" s="1" t="s">
        <v>16</v>
      </c>
    </row>
    <row r="493" spans="1:9" x14ac:dyDescent="0.25">
      <c r="A493" s="1" t="s">
        <v>9</v>
      </c>
      <c r="B493" s="1" t="s">
        <v>10</v>
      </c>
      <c r="C493" s="1" t="s">
        <v>85</v>
      </c>
      <c r="D493" s="1" t="s">
        <v>21</v>
      </c>
      <c r="E493">
        <v>450</v>
      </c>
      <c r="F493" s="1" t="s">
        <v>32</v>
      </c>
      <c r="G493" s="1" t="s">
        <v>14</v>
      </c>
      <c r="H493" s="1" t="s">
        <v>75</v>
      </c>
      <c r="I493" s="1" t="s">
        <v>16</v>
      </c>
    </row>
    <row r="494" spans="1:9" x14ac:dyDescent="0.25">
      <c r="A494" s="1" t="s">
        <v>9</v>
      </c>
      <c r="B494" s="1" t="s">
        <v>10</v>
      </c>
      <c r="C494" s="1" t="s">
        <v>85</v>
      </c>
      <c r="D494" s="1" t="s">
        <v>22</v>
      </c>
      <c r="E494">
        <v>450</v>
      </c>
      <c r="F494" s="1" t="s">
        <v>32</v>
      </c>
      <c r="G494" s="1" t="s">
        <v>14</v>
      </c>
      <c r="H494" s="1" t="s">
        <v>75</v>
      </c>
      <c r="I494" s="1" t="s">
        <v>16</v>
      </c>
    </row>
    <row r="495" spans="1:9" x14ac:dyDescent="0.25">
      <c r="A495" s="1" t="s">
        <v>9</v>
      </c>
      <c r="B495" s="1" t="s">
        <v>10</v>
      </c>
      <c r="C495" s="1" t="s">
        <v>85</v>
      </c>
      <c r="D495" s="1" t="s">
        <v>23</v>
      </c>
      <c r="E495">
        <v>875</v>
      </c>
      <c r="F495" s="1" t="s">
        <v>32</v>
      </c>
      <c r="G495" s="1" t="s">
        <v>14</v>
      </c>
      <c r="H495" s="1" t="s">
        <v>75</v>
      </c>
      <c r="I495" s="1" t="s">
        <v>16</v>
      </c>
    </row>
    <row r="496" spans="1:9" x14ac:dyDescent="0.25">
      <c r="A496" s="1" t="s">
        <v>9</v>
      </c>
      <c r="B496" s="1" t="s">
        <v>10</v>
      </c>
      <c r="C496" s="1" t="s">
        <v>85</v>
      </c>
      <c r="D496" s="1" t="s">
        <v>24</v>
      </c>
      <c r="E496">
        <v>450</v>
      </c>
      <c r="F496" s="1" t="s">
        <v>32</v>
      </c>
      <c r="G496" s="1" t="s">
        <v>14</v>
      </c>
      <c r="H496" s="1" t="s">
        <v>75</v>
      </c>
      <c r="I496" s="1" t="s">
        <v>16</v>
      </c>
    </row>
    <row r="497" spans="1:9" x14ac:dyDescent="0.25">
      <c r="A497" s="1" t="s">
        <v>9</v>
      </c>
      <c r="B497" s="1" t="s">
        <v>10</v>
      </c>
      <c r="C497" s="1" t="s">
        <v>85</v>
      </c>
      <c r="D497" s="1" t="s">
        <v>25</v>
      </c>
      <c r="E497">
        <v>875</v>
      </c>
      <c r="F497" s="1" t="s">
        <v>32</v>
      </c>
      <c r="G497" s="1" t="s">
        <v>14</v>
      </c>
      <c r="H497" s="1" t="s">
        <v>75</v>
      </c>
      <c r="I497" s="1" t="s">
        <v>16</v>
      </c>
    </row>
    <row r="498" spans="1:9" x14ac:dyDescent="0.25">
      <c r="A498" s="1" t="s">
        <v>9</v>
      </c>
      <c r="B498" s="1" t="s">
        <v>10</v>
      </c>
      <c r="C498" s="1" t="s">
        <v>85</v>
      </c>
      <c r="D498" s="1" t="s">
        <v>26</v>
      </c>
      <c r="E498">
        <v>225</v>
      </c>
      <c r="F498" s="1" t="s">
        <v>32</v>
      </c>
      <c r="G498" s="1" t="s">
        <v>14</v>
      </c>
      <c r="H498" s="1" t="s">
        <v>75</v>
      </c>
      <c r="I498" s="1" t="s">
        <v>16</v>
      </c>
    </row>
    <row r="499" spans="1:9" x14ac:dyDescent="0.25">
      <c r="A499" s="1" t="s">
        <v>9</v>
      </c>
      <c r="B499" s="1" t="s">
        <v>10</v>
      </c>
      <c r="C499" s="1" t="s">
        <v>85</v>
      </c>
      <c r="D499" s="1" t="s">
        <v>27</v>
      </c>
      <c r="E499">
        <v>875</v>
      </c>
      <c r="F499" s="1" t="s">
        <v>32</v>
      </c>
      <c r="G499" s="1" t="s">
        <v>14</v>
      </c>
      <c r="H499" s="1" t="s">
        <v>75</v>
      </c>
      <c r="I499" s="1" t="s">
        <v>16</v>
      </c>
    </row>
    <row r="500" spans="1:9" x14ac:dyDescent="0.25">
      <c r="A500" s="1" t="s">
        <v>9</v>
      </c>
      <c r="B500" s="1" t="s">
        <v>10</v>
      </c>
      <c r="C500" s="1" t="s">
        <v>85</v>
      </c>
      <c r="D500" s="1" t="s">
        <v>28</v>
      </c>
      <c r="E500">
        <v>225</v>
      </c>
      <c r="F500" s="1" t="s">
        <v>32</v>
      </c>
      <c r="G500" s="1" t="s">
        <v>14</v>
      </c>
      <c r="H500" s="1" t="s">
        <v>75</v>
      </c>
      <c r="I500" s="1" t="s">
        <v>16</v>
      </c>
    </row>
    <row r="501" spans="1:9" x14ac:dyDescent="0.25">
      <c r="A501" s="1" t="s">
        <v>9</v>
      </c>
      <c r="B501" s="1" t="s">
        <v>10</v>
      </c>
      <c r="C501" s="1" t="s">
        <v>85</v>
      </c>
      <c r="D501" s="1" t="s">
        <v>29</v>
      </c>
      <c r="E501">
        <v>225</v>
      </c>
      <c r="F501" s="1" t="s">
        <v>32</v>
      </c>
      <c r="G501" s="1" t="s">
        <v>14</v>
      </c>
      <c r="H501" s="1" t="s">
        <v>75</v>
      </c>
      <c r="I501" s="1" t="s">
        <v>16</v>
      </c>
    </row>
    <row r="502" spans="1:9" x14ac:dyDescent="0.25">
      <c r="A502" s="1" t="s">
        <v>9</v>
      </c>
      <c r="B502" s="1" t="s">
        <v>10</v>
      </c>
      <c r="C502" s="1" t="s">
        <v>85</v>
      </c>
      <c r="D502" s="1" t="s">
        <v>30</v>
      </c>
      <c r="E502">
        <v>225</v>
      </c>
      <c r="F502" s="1" t="s">
        <v>32</v>
      </c>
      <c r="G502" s="1" t="s">
        <v>14</v>
      </c>
      <c r="H502" s="1" t="s">
        <v>75</v>
      </c>
      <c r="I502" s="1" t="s">
        <v>16</v>
      </c>
    </row>
    <row r="503" spans="1:9" x14ac:dyDescent="0.25">
      <c r="A503" s="1" t="s">
        <v>9</v>
      </c>
      <c r="B503" s="1" t="s">
        <v>10</v>
      </c>
      <c r="C503" s="1" t="s">
        <v>85</v>
      </c>
      <c r="D503" s="1" t="s">
        <v>31</v>
      </c>
      <c r="E503">
        <v>225</v>
      </c>
      <c r="F503" s="1" t="s">
        <v>32</v>
      </c>
      <c r="G503" s="1" t="s">
        <v>14</v>
      </c>
      <c r="H503" s="1" t="s">
        <v>75</v>
      </c>
      <c r="I503" s="1" t="s">
        <v>16</v>
      </c>
    </row>
    <row r="504" spans="1:9" x14ac:dyDescent="0.25">
      <c r="A504" s="1" t="s">
        <v>9</v>
      </c>
      <c r="B504" s="1" t="s">
        <v>10</v>
      </c>
      <c r="C504" s="1" t="s">
        <v>85</v>
      </c>
      <c r="D504" s="1" t="s">
        <v>32</v>
      </c>
      <c r="E504">
        <v>450</v>
      </c>
      <c r="F504" s="1" t="s">
        <v>32</v>
      </c>
      <c r="G504" s="1" t="s">
        <v>14</v>
      </c>
      <c r="H504" s="1" t="s">
        <v>75</v>
      </c>
      <c r="I504" s="1" t="s">
        <v>16</v>
      </c>
    </row>
    <row r="505" spans="1:9" x14ac:dyDescent="0.25">
      <c r="A505" s="1" t="s">
        <v>9</v>
      </c>
      <c r="B505" s="1" t="s">
        <v>10</v>
      </c>
      <c r="C505" s="1" t="s">
        <v>85</v>
      </c>
      <c r="D505" s="1" t="s">
        <v>33</v>
      </c>
      <c r="E505">
        <v>225</v>
      </c>
      <c r="F505" s="1" t="s">
        <v>32</v>
      </c>
      <c r="G505" s="1" t="s">
        <v>14</v>
      </c>
      <c r="H505" s="1" t="s">
        <v>75</v>
      </c>
      <c r="I505" s="1" t="s">
        <v>16</v>
      </c>
    </row>
    <row r="506" spans="1:9" x14ac:dyDescent="0.25">
      <c r="A506" s="1" t="s">
        <v>9</v>
      </c>
      <c r="B506" s="1" t="s">
        <v>10</v>
      </c>
      <c r="C506" s="1" t="s">
        <v>85</v>
      </c>
      <c r="D506" s="1" t="s">
        <v>34</v>
      </c>
      <c r="E506">
        <v>450</v>
      </c>
      <c r="F506" s="1" t="s">
        <v>32</v>
      </c>
      <c r="G506" s="1" t="s">
        <v>14</v>
      </c>
      <c r="H506" s="1" t="s">
        <v>75</v>
      </c>
      <c r="I506" s="1" t="s">
        <v>16</v>
      </c>
    </row>
    <row r="507" spans="1:9" x14ac:dyDescent="0.25">
      <c r="A507" s="1" t="s">
        <v>9</v>
      </c>
      <c r="B507" s="1" t="s">
        <v>10</v>
      </c>
      <c r="C507" s="1" t="s">
        <v>85</v>
      </c>
      <c r="D507" s="1" t="s">
        <v>35</v>
      </c>
      <c r="E507">
        <v>875</v>
      </c>
      <c r="F507" s="1" t="s">
        <v>32</v>
      </c>
      <c r="G507" s="1" t="s">
        <v>14</v>
      </c>
      <c r="H507" s="1" t="s">
        <v>75</v>
      </c>
      <c r="I507" s="1" t="s">
        <v>16</v>
      </c>
    </row>
    <row r="508" spans="1:9" x14ac:dyDescent="0.25">
      <c r="A508" s="1" t="s">
        <v>9</v>
      </c>
      <c r="B508" s="1" t="s">
        <v>10</v>
      </c>
      <c r="C508" s="1" t="s">
        <v>85</v>
      </c>
      <c r="D508" s="1" t="s">
        <v>36</v>
      </c>
      <c r="E508">
        <v>875</v>
      </c>
      <c r="F508" s="1" t="s">
        <v>32</v>
      </c>
      <c r="G508" s="1" t="s">
        <v>14</v>
      </c>
      <c r="H508" s="1" t="s">
        <v>75</v>
      </c>
      <c r="I508" s="1" t="s">
        <v>16</v>
      </c>
    </row>
    <row r="509" spans="1:9" x14ac:dyDescent="0.25">
      <c r="A509" s="1" t="s">
        <v>9</v>
      </c>
      <c r="B509" s="1" t="s">
        <v>10</v>
      </c>
      <c r="C509" s="1" t="s">
        <v>85</v>
      </c>
      <c r="D509" s="1" t="s">
        <v>37</v>
      </c>
      <c r="E509">
        <v>875</v>
      </c>
      <c r="F509" s="1" t="s">
        <v>32</v>
      </c>
      <c r="G509" s="1" t="s">
        <v>14</v>
      </c>
      <c r="H509" s="1" t="s">
        <v>75</v>
      </c>
      <c r="I509" s="1" t="s">
        <v>16</v>
      </c>
    </row>
    <row r="510" spans="1:9" x14ac:dyDescent="0.25">
      <c r="A510" s="1" t="s">
        <v>9</v>
      </c>
      <c r="B510" s="1" t="s">
        <v>10</v>
      </c>
      <c r="C510" s="1" t="s">
        <v>85</v>
      </c>
      <c r="D510" s="1" t="s">
        <v>38</v>
      </c>
      <c r="E510">
        <v>225</v>
      </c>
      <c r="F510" s="1" t="s">
        <v>32</v>
      </c>
      <c r="G510" s="1" t="s">
        <v>14</v>
      </c>
      <c r="H510" s="1" t="s">
        <v>75</v>
      </c>
      <c r="I510" s="1" t="s">
        <v>16</v>
      </c>
    </row>
    <row r="511" spans="1:9" x14ac:dyDescent="0.25">
      <c r="A511" s="1" t="s">
        <v>9</v>
      </c>
      <c r="B511" s="1" t="s">
        <v>10</v>
      </c>
      <c r="C511" s="1" t="s">
        <v>85</v>
      </c>
      <c r="D511" s="1" t="s">
        <v>39</v>
      </c>
      <c r="E511">
        <v>875</v>
      </c>
      <c r="F511" s="1" t="s">
        <v>32</v>
      </c>
      <c r="G511" s="1" t="s">
        <v>14</v>
      </c>
      <c r="H511" s="1" t="s">
        <v>75</v>
      </c>
      <c r="I511" s="1" t="s">
        <v>16</v>
      </c>
    </row>
    <row r="512" spans="1:9" x14ac:dyDescent="0.25">
      <c r="A512" s="1" t="s">
        <v>9</v>
      </c>
      <c r="B512" s="1" t="s">
        <v>10</v>
      </c>
      <c r="C512" s="1" t="s">
        <v>85</v>
      </c>
      <c r="D512" s="1" t="s">
        <v>40</v>
      </c>
      <c r="E512">
        <v>450</v>
      </c>
      <c r="F512" s="1" t="s">
        <v>32</v>
      </c>
      <c r="G512" s="1" t="s">
        <v>14</v>
      </c>
      <c r="H512" s="1" t="s">
        <v>75</v>
      </c>
      <c r="I512" s="1" t="s">
        <v>16</v>
      </c>
    </row>
    <row r="513" spans="1:9" x14ac:dyDescent="0.25">
      <c r="A513" s="1" t="s">
        <v>9</v>
      </c>
      <c r="B513" s="1" t="s">
        <v>10</v>
      </c>
      <c r="C513" s="1" t="s">
        <v>85</v>
      </c>
      <c r="D513" s="1" t="s">
        <v>41</v>
      </c>
      <c r="E513">
        <v>450</v>
      </c>
      <c r="F513" s="1" t="s">
        <v>32</v>
      </c>
      <c r="G513" s="1" t="s">
        <v>14</v>
      </c>
      <c r="H513" s="1" t="s">
        <v>75</v>
      </c>
      <c r="I513" s="1" t="s">
        <v>16</v>
      </c>
    </row>
    <row r="514" spans="1:9" x14ac:dyDescent="0.25">
      <c r="A514" s="1" t="s">
        <v>9</v>
      </c>
      <c r="B514" s="1" t="s">
        <v>10</v>
      </c>
      <c r="C514" s="1" t="s">
        <v>85</v>
      </c>
      <c r="D514" s="1" t="s">
        <v>42</v>
      </c>
      <c r="E514">
        <v>450</v>
      </c>
      <c r="F514" s="1" t="s">
        <v>32</v>
      </c>
      <c r="G514" s="1" t="s">
        <v>14</v>
      </c>
      <c r="H514" s="1" t="s">
        <v>75</v>
      </c>
      <c r="I514" s="1" t="s">
        <v>16</v>
      </c>
    </row>
    <row r="515" spans="1:9" x14ac:dyDescent="0.25">
      <c r="A515" s="1" t="s">
        <v>9</v>
      </c>
      <c r="B515" s="1" t="s">
        <v>10</v>
      </c>
      <c r="C515" s="1" t="s">
        <v>85</v>
      </c>
      <c r="D515" s="1" t="s">
        <v>43</v>
      </c>
      <c r="E515">
        <v>225</v>
      </c>
      <c r="F515" s="1" t="s">
        <v>32</v>
      </c>
      <c r="G515" s="1" t="s">
        <v>14</v>
      </c>
      <c r="H515" s="1" t="s">
        <v>75</v>
      </c>
      <c r="I515" s="1" t="s">
        <v>16</v>
      </c>
    </row>
    <row r="516" spans="1:9" x14ac:dyDescent="0.25">
      <c r="A516" s="1" t="s">
        <v>9</v>
      </c>
      <c r="B516" s="1" t="s">
        <v>10</v>
      </c>
      <c r="C516" s="1" t="s">
        <v>85</v>
      </c>
      <c r="D516" s="1" t="s">
        <v>45</v>
      </c>
      <c r="E516">
        <v>875</v>
      </c>
      <c r="F516" s="1" t="s">
        <v>32</v>
      </c>
      <c r="G516" s="1" t="s">
        <v>14</v>
      </c>
      <c r="H516" s="1" t="s">
        <v>75</v>
      </c>
      <c r="I516" s="1" t="s">
        <v>16</v>
      </c>
    </row>
    <row r="517" spans="1:9" x14ac:dyDescent="0.25">
      <c r="A517" s="1" t="s">
        <v>9</v>
      </c>
      <c r="B517" s="1" t="s">
        <v>10</v>
      </c>
      <c r="C517" s="1" t="s">
        <v>85</v>
      </c>
      <c r="D517" s="1" t="s">
        <v>46</v>
      </c>
      <c r="E517">
        <v>225</v>
      </c>
      <c r="F517" s="1" t="s">
        <v>32</v>
      </c>
      <c r="G517" s="1" t="s">
        <v>14</v>
      </c>
      <c r="H517" s="1" t="s">
        <v>75</v>
      </c>
      <c r="I517" s="1" t="s">
        <v>16</v>
      </c>
    </row>
    <row r="518" spans="1:9" x14ac:dyDescent="0.25">
      <c r="A518" s="1" t="s">
        <v>9</v>
      </c>
      <c r="B518" s="1" t="s">
        <v>10</v>
      </c>
      <c r="C518" s="1" t="s">
        <v>85</v>
      </c>
      <c r="D518" s="1" t="s">
        <v>47</v>
      </c>
      <c r="E518">
        <v>225</v>
      </c>
      <c r="F518" s="1" t="s">
        <v>32</v>
      </c>
      <c r="G518" s="1" t="s">
        <v>14</v>
      </c>
      <c r="H518" s="1" t="s">
        <v>75</v>
      </c>
      <c r="I518" s="1" t="s">
        <v>16</v>
      </c>
    </row>
    <row r="519" spans="1:9" x14ac:dyDescent="0.25">
      <c r="A519" s="1" t="s">
        <v>9</v>
      </c>
      <c r="B519" s="1" t="s">
        <v>10</v>
      </c>
      <c r="C519" s="1" t="s">
        <v>85</v>
      </c>
      <c r="D519" s="1" t="s">
        <v>48</v>
      </c>
      <c r="E519">
        <v>875</v>
      </c>
      <c r="F519" s="1" t="s">
        <v>32</v>
      </c>
      <c r="G519" s="1" t="s">
        <v>14</v>
      </c>
      <c r="H519" s="1" t="s">
        <v>75</v>
      </c>
      <c r="I519" s="1" t="s">
        <v>16</v>
      </c>
    </row>
    <row r="520" spans="1:9" x14ac:dyDescent="0.25">
      <c r="A520" s="1" t="s">
        <v>9</v>
      </c>
      <c r="B520" s="1" t="s">
        <v>10</v>
      </c>
      <c r="C520" s="1" t="s">
        <v>85</v>
      </c>
      <c r="D520" s="1" t="s">
        <v>49</v>
      </c>
      <c r="E520">
        <v>450</v>
      </c>
      <c r="F520" s="1" t="s">
        <v>32</v>
      </c>
      <c r="G520" s="1" t="s">
        <v>14</v>
      </c>
      <c r="H520" s="1" t="s">
        <v>75</v>
      </c>
      <c r="I520" s="1" t="s">
        <v>16</v>
      </c>
    </row>
    <row r="521" spans="1:9" x14ac:dyDescent="0.25">
      <c r="A521" s="1" t="s">
        <v>9</v>
      </c>
      <c r="B521" s="1" t="s">
        <v>10</v>
      </c>
      <c r="C521" s="1" t="s">
        <v>85</v>
      </c>
      <c r="D521" s="1" t="s">
        <v>50</v>
      </c>
      <c r="E521">
        <v>450</v>
      </c>
      <c r="F521" s="1" t="s">
        <v>32</v>
      </c>
      <c r="G521" s="1" t="s">
        <v>14</v>
      </c>
      <c r="H521" s="1" t="s">
        <v>75</v>
      </c>
      <c r="I521" s="1" t="s">
        <v>16</v>
      </c>
    </row>
    <row r="522" spans="1:9" x14ac:dyDescent="0.25">
      <c r="A522" s="1" t="s">
        <v>9</v>
      </c>
      <c r="B522" s="1" t="s">
        <v>10</v>
      </c>
      <c r="C522" s="1" t="s">
        <v>85</v>
      </c>
      <c r="D522" s="1" t="s">
        <v>51</v>
      </c>
      <c r="E522">
        <v>875</v>
      </c>
      <c r="F522" s="1" t="s">
        <v>32</v>
      </c>
      <c r="G522" s="1" t="s">
        <v>14</v>
      </c>
      <c r="H522" s="1" t="s">
        <v>75</v>
      </c>
      <c r="I522" s="1" t="s">
        <v>16</v>
      </c>
    </row>
    <row r="523" spans="1:9" x14ac:dyDescent="0.25">
      <c r="A523" s="1" t="s">
        <v>9</v>
      </c>
      <c r="B523" s="1" t="s">
        <v>10</v>
      </c>
      <c r="C523" s="1" t="s">
        <v>85</v>
      </c>
      <c r="D523" s="1" t="s">
        <v>52</v>
      </c>
      <c r="E523">
        <v>450</v>
      </c>
      <c r="F523" s="1" t="s">
        <v>32</v>
      </c>
      <c r="G523" s="1" t="s">
        <v>14</v>
      </c>
      <c r="H523" s="1" t="s">
        <v>75</v>
      </c>
      <c r="I523" s="1" t="s">
        <v>16</v>
      </c>
    </row>
    <row r="524" spans="1:9" x14ac:dyDescent="0.25">
      <c r="A524" s="1" t="s">
        <v>9</v>
      </c>
      <c r="B524" s="1" t="s">
        <v>10</v>
      </c>
      <c r="C524" s="1" t="s">
        <v>85</v>
      </c>
      <c r="D524" s="1" t="s">
        <v>53</v>
      </c>
      <c r="E524">
        <v>875</v>
      </c>
      <c r="F524" s="1" t="s">
        <v>32</v>
      </c>
      <c r="G524" s="1" t="s">
        <v>14</v>
      </c>
      <c r="H524" s="1" t="s">
        <v>75</v>
      </c>
      <c r="I524" s="1" t="s">
        <v>16</v>
      </c>
    </row>
    <row r="525" spans="1:9" x14ac:dyDescent="0.25">
      <c r="A525" s="1" t="s">
        <v>9</v>
      </c>
      <c r="B525" s="1" t="s">
        <v>10</v>
      </c>
      <c r="C525" s="1" t="s">
        <v>85</v>
      </c>
      <c r="D525" s="1" t="s">
        <v>54</v>
      </c>
      <c r="E525">
        <v>225</v>
      </c>
      <c r="F525" s="1" t="s">
        <v>32</v>
      </c>
      <c r="G525" s="1" t="s">
        <v>14</v>
      </c>
      <c r="H525" s="1" t="s">
        <v>75</v>
      </c>
      <c r="I525" s="1" t="s">
        <v>16</v>
      </c>
    </row>
    <row r="526" spans="1:9" x14ac:dyDescent="0.25">
      <c r="A526" s="1" t="s">
        <v>9</v>
      </c>
      <c r="B526" s="1" t="s">
        <v>10</v>
      </c>
      <c r="C526" s="1" t="s">
        <v>85</v>
      </c>
      <c r="D526" s="1" t="s">
        <v>55</v>
      </c>
      <c r="E526">
        <v>875</v>
      </c>
      <c r="F526" s="1" t="s">
        <v>32</v>
      </c>
      <c r="G526" s="1" t="s">
        <v>14</v>
      </c>
      <c r="H526" s="1" t="s">
        <v>75</v>
      </c>
      <c r="I526" s="1" t="s">
        <v>16</v>
      </c>
    </row>
    <row r="527" spans="1:9" x14ac:dyDescent="0.25">
      <c r="A527" s="1" t="s">
        <v>9</v>
      </c>
      <c r="B527" s="1" t="s">
        <v>10</v>
      </c>
      <c r="C527" s="1" t="s">
        <v>85</v>
      </c>
      <c r="D527" s="1" t="s">
        <v>56</v>
      </c>
      <c r="E527">
        <v>225</v>
      </c>
      <c r="F527" s="1" t="s">
        <v>32</v>
      </c>
      <c r="G527" s="1" t="s">
        <v>14</v>
      </c>
      <c r="H527" s="1" t="s">
        <v>75</v>
      </c>
      <c r="I527" s="1" t="s">
        <v>16</v>
      </c>
    </row>
    <row r="528" spans="1:9" x14ac:dyDescent="0.25">
      <c r="A528" s="1" t="s">
        <v>9</v>
      </c>
      <c r="B528" s="1" t="s">
        <v>10</v>
      </c>
      <c r="C528" s="1" t="s">
        <v>85</v>
      </c>
      <c r="D528" s="1" t="s">
        <v>57</v>
      </c>
      <c r="E528">
        <v>225</v>
      </c>
      <c r="F528" s="1" t="s">
        <v>32</v>
      </c>
      <c r="G528" s="1" t="s">
        <v>14</v>
      </c>
      <c r="H528" s="1" t="s">
        <v>75</v>
      </c>
      <c r="I528" s="1" t="s">
        <v>16</v>
      </c>
    </row>
    <row r="529" spans="1:9" x14ac:dyDescent="0.25">
      <c r="A529" s="1" t="s">
        <v>9</v>
      </c>
      <c r="B529" s="1" t="s">
        <v>10</v>
      </c>
      <c r="C529" s="1" t="s">
        <v>85</v>
      </c>
      <c r="D529" s="1" t="s">
        <v>58</v>
      </c>
      <c r="E529">
        <v>225</v>
      </c>
      <c r="F529" s="1" t="s">
        <v>32</v>
      </c>
      <c r="G529" s="1" t="s">
        <v>14</v>
      </c>
      <c r="H529" s="1" t="s">
        <v>75</v>
      </c>
      <c r="I529" s="1" t="s">
        <v>16</v>
      </c>
    </row>
    <row r="530" spans="1:9" x14ac:dyDescent="0.25">
      <c r="A530" s="1" t="s">
        <v>9</v>
      </c>
      <c r="B530" s="1" t="s">
        <v>10</v>
      </c>
      <c r="C530" s="1" t="s">
        <v>85</v>
      </c>
      <c r="D530" s="1" t="s">
        <v>59</v>
      </c>
      <c r="E530">
        <v>225</v>
      </c>
      <c r="F530" s="1" t="s">
        <v>32</v>
      </c>
      <c r="G530" s="1" t="s">
        <v>14</v>
      </c>
      <c r="H530" s="1" t="s">
        <v>75</v>
      </c>
      <c r="I530" s="1" t="s">
        <v>16</v>
      </c>
    </row>
    <row r="531" spans="1:9" x14ac:dyDescent="0.25">
      <c r="A531" s="1" t="s">
        <v>9</v>
      </c>
      <c r="B531" s="1" t="s">
        <v>10</v>
      </c>
      <c r="C531" s="1" t="s">
        <v>85</v>
      </c>
      <c r="D531" s="1" t="s">
        <v>60</v>
      </c>
      <c r="E531">
        <v>450</v>
      </c>
      <c r="F531" s="1" t="s">
        <v>32</v>
      </c>
      <c r="G531" s="1" t="s">
        <v>14</v>
      </c>
      <c r="H531" s="1" t="s">
        <v>75</v>
      </c>
      <c r="I531" s="1" t="s">
        <v>16</v>
      </c>
    </row>
    <row r="532" spans="1:9" x14ac:dyDescent="0.25">
      <c r="A532" s="1" t="s">
        <v>9</v>
      </c>
      <c r="B532" s="1" t="s">
        <v>10</v>
      </c>
      <c r="C532" s="1" t="s">
        <v>85</v>
      </c>
      <c r="D532" s="1" t="s">
        <v>61</v>
      </c>
      <c r="E532">
        <v>225</v>
      </c>
      <c r="F532" s="1" t="s">
        <v>32</v>
      </c>
      <c r="G532" s="1" t="s">
        <v>14</v>
      </c>
      <c r="H532" s="1" t="s">
        <v>75</v>
      </c>
      <c r="I532" s="1" t="s">
        <v>16</v>
      </c>
    </row>
    <row r="533" spans="1:9" x14ac:dyDescent="0.25">
      <c r="A533" s="1" t="s">
        <v>9</v>
      </c>
      <c r="B533" s="1" t="s">
        <v>10</v>
      </c>
      <c r="C533" s="1" t="s">
        <v>85</v>
      </c>
      <c r="D533" s="1" t="s">
        <v>62</v>
      </c>
      <c r="E533">
        <v>450</v>
      </c>
      <c r="F533" s="1" t="s">
        <v>32</v>
      </c>
      <c r="G533" s="1" t="s">
        <v>14</v>
      </c>
      <c r="H533" s="1" t="s">
        <v>75</v>
      </c>
      <c r="I533" s="1" t="s">
        <v>16</v>
      </c>
    </row>
    <row r="534" spans="1:9" x14ac:dyDescent="0.25">
      <c r="A534" s="1" t="s">
        <v>9</v>
      </c>
      <c r="B534" s="1" t="s">
        <v>10</v>
      </c>
      <c r="C534" s="1" t="s">
        <v>85</v>
      </c>
      <c r="D534" s="1" t="s">
        <v>63</v>
      </c>
      <c r="E534">
        <v>875</v>
      </c>
      <c r="F534" s="1" t="s">
        <v>32</v>
      </c>
      <c r="G534" s="1" t="s">
        <v>14</v>
      </c>
      <c r="H534" s="1" t="s">
        <v>75</v>
      </c>
      <c r="I534" s="1" t="s">
        <v>16</v>
      </c>
    </row>
    <row r="535" spans="1:9" x14ac:dyDescent="0.25">
      <c r="A535" s="1" t="s">
        <v>9</v>
      </c>
      <c r="B535" s="1" t="s">
        <v>10</v>
      </c>
      <c r="C535" s="1" t="s">
        <v>85</v>
      </c>
      <c r="D535" s="1" t="s">
        <v>64</v>
      </c>
      <c r="E535">
        <v>875</v>
      </c>
      <c r="F535" s="1" t="s">
        <v>32</v>
      </c>
      <c r="G535" s="1" t="s">
        <v>14</v>
      </c>
      <c r="H535" s="1" t="s">
        <v>75</v>
      </c>
      <c r="I535" s="1" t="s">
        <v>16</v>
      </c>
    </row>
    <row r="536" spans="1:9" x14ac:dyDescent="0.25">
      <c r="A536" s="1" t="s">
        <v>9</v>
      </c>
      <c r="B536" s="1" t="s">
        <v>10</v>
      </c>
      <c r="C536" s="1" t="s">
        <v>85</v>
      </c>
      <c r="D536" s="1" t="s">
        <v>65</v>
      </c>
      <c r="E536">
        <v>875</v>
      </c>
      <c r="F536" s="1" t="s">
        <v>32</v>
      </c>
      <c r="G536" s="1" t="s">
        <v>14</v>
      </c>
      <c r="H536" s="1" t="s">
        <v>75</v>
      </c>
      <c r="I536" s="1" t="s">
        <v>16</v>
      </c>
    </row>
    <row r="537" spans="1:9" x14ac:dyDescent="0.25">
      <c r="A537" s="1" t="s">
        <v>9</v>
      </c>
      <c r="B537" s="1" t="s">
        <v>10</v>
      </c>
      <c r="C537" s="1" t="s">
        <v>85</v>
      </c>
      <c r="D537" s="1" t="s">
        <v>66</v>
      </c>
      <c r="E537">
        <v>225</v>
      </c>
      <c r="F537" s="1" t="s">
        <v>32</v>
      </c>
      <c r="G537" s="1" t="s">
        <v>14</v>
      </c>
      <c r="H537" s="1" t="s">
        <v>75</v>
      </c>
      <c r="I537" s="1" t="s">
        <v>16</v>
      </c>
    </row>
    <row r="538" spans="1:9" x14ac:dyDescent="0.25">
      <c r="A538" s="1" t="s">
        <v>9</v>
      </c>
      <c r="B538" s="1" t="s">
        <v>10</v>
      </c>
      <c r="C538" s="1" t="s">
        <v>85</v>
      </c>
      <c r="D538" s="1" t="s">
        <v>67</v>
      </c>
      <c r="E538">
        <v>875</v>
      </c>
      <c r="F538" s="1" t="s">
        <v>32</v>
      </c>
      <c r="G538" s="1" t="s">
        <v>14</v>
      </c>
      <c r="H538" s="1" t="s">
        <v>75</v>
      </c>
      <c r="I538" s="1" t="s">
        <v>16</v>
      </c>
    </row>
    <row r="539" spans="1:9" x14ac:dyDescent="0.25">
      <c r="A539" s="1" t="s">
        <v>9</v>
      </c>
      <c r="B539" s="1" t="s">
        <v>10</v>
      </c>
      <c r="C539" s="1" t="s">
        <v>85</v>
      </c>
      <c r="D539" s="1" t="s">
        <v>68</v>
      </c>
      <c r="E539">
        <v>450</v>
      </c>
      <c r="F539" s="1" t="s">
        <v>32</v>
      </c>
      <c r="G539" s="1" t="s">
        <v>14</v>
      </c>
      <c r="H539" s="1" t="s">
        <v>75</v>
      </c>
      <c r="I539" s="1" t="s">
        <v>16</v>
      </c>
    </row>
    <row r="540" spans="1:9" x14ac:dyDescent="0.25">
      <c r="A540" s="1" t="s">
        <v>9</v>
      </c>
      <c r="B540" s="1" t="s">
        <v>10</v>
      </c>
      <c r="C540" s="1" t="s">
        <v>85</v>
      </c>
      <c r="D540" s="1" t="s">
        <v>69</v>
      </c>
      <c r="E540">
        <v>450</v>
      </c>
      <c r="F540" s="1" t="s">
        <v>32</v>
      </c>
      <c r="G540" s="1" t="s">
        <v>14</v>
      </c>
      <c r="H540" s="1" t="s">
        <v>75</v>
      </c>
      <c r="I540" s="1" t="s">
        <v>16</v>
      </c>
    </row>
    <row r="541" spans="1:9" x14ac:dyDescent="0.25">
      <c r="A541" s="1" t="s">
        <v>9</v>
      </c>
      <c r="B541" s="1" t="s">
        <v>10</v>
      </c>
      <c r="C541" s="1" t="s">
        <v>85</v>
      </c>
      <c r="D541" s="1" t="s">
        <v>70</v>
      </c>
      <c r="E541">
        <v>450</v>
      </c>
      <c r="F541" s="1" t="s">
        <v>32</v>
      </c>
      <c r="G541" s="1" t="s">
        <v>14</v>
      </c>
      <c r="H541" s="1" t="s">
        <v>75</v>
      </c>
      <c r="I541" s="1" t="s">
        <v>16</v>
      </c>
    </row>
    <row r="542" spans="1:9" x14ac:dyDescent="0.25">
      <c r="A542" s="1" t="s">
        <v>9</v>
      </c>
      <c r="B542" s="1" t="s">
        <v>10</v>
      </c>
      <c r="C542" s="1" t="s">
        <v>86</v>
      </c>
      <c r="D542" s="1" t="s">
        <v>12</v>
      </c>
      <c r="E542">
        <v>225</v>
      </c>
      <c r="F542" s="1" t="s">
        <v>21</v>
      </c>
      <c r="G542" s="1" t="s">
        <v>14</v>
      </c>
      <c r="H542" s="1" t="s">
        <v>15</v>
      </c>
      <c r="I542" s="1" t="s">
        <v>16</v>
      </c>
    </row>
    <row r="543" spans="1:9" x14ac:dyDescent="0.25">
      <c r="A543" s="1" t="s">
        <v>9</v>
      </c>
      <c r="B543" s="1" t="s">
        <v>10</v>
      </c>
      <c r="C543" s="1" t="s">
        <v>86</v>
      </c>
      <c r="D543" s="1" t="s">
        <v>17</v>
      </c>
      <c r="E543">
        <v>450</v>
      </c>
      <c r="F543" s="1" t="s">
        <v>21</v>
      </c>
      <c r="G543" s="1" t="s">
        <v>14</v>
      </c>
      <c r="H543" s="1" t="s">
        <v>15</v>
      </c>
      <c r="I543" s="1" t="s">
        <v>16</v>
      </c>
    </row>
    <row r="544" spans="1:9" x14ac:dyDescent="0.25">
      <c r="A544" s="1" t="s">
        <v>9</v>
      </c>
      <c r="B544" s="1" t="s">
        <v>10</v>
      </c>
      <c r="C544" s="1" t="s">
        <v>86</v>
      </c>
      <c r="D544" s="1" t="s">
        <v>18</v>
      </c>
      <c r="E544">
        <v>225</v>
      </c>
      <c r="F544" s="1" t="s">
        <v>21</v>
      </c>
      <c r="G544" s="1" t="s">
        <v>14</v>
      </c>
      <c r="H544" s="1" t="s">
        <v>15</v>
      </c>
      <c r="I544" s="1" t="s">
        <v>16</v>
      </c>
    </row>
    <row r="545" spans="1:9" x14ac:dyDescent="0.25">
      <c r="A545" s="1" t="s">
        <v>9</v>
      </c>
      <c r="B545" s="1" t="s">
        <v>10</v>
      </c>
      <c r="C545" s="1" t="s">
        <v>86</v>
      </c>
      <c r="D545" s="1" t="s">
        <v>19</v>
      </c>
      <c r="E545">
        <v>225</v>
      </c>
      <c r="F545" s="1" t="s">
        <v>21</v>
      </c>
      <c r="G545" s="1" t="s">
        <v>14</v>
      </c>
      <c r="H545" s="1" t="s">
        <v>15</v>
      </c>
      <c r="I545" s="1" t="s">
        <v>16</v>
      </c>
    </row>
    <row r="546" spans="1:9" x14ac:dyDescent="0.25">
      <c r="A546" s="1" t="s">
        <v>9</v>
      </c>
      <c r="B546" s="1" t="s">
        <v>10</v>
      </c>
      <c r="C546" s="1" t="s">
        <v>86</v>
      </c>
      <c r="D546" s="1" t="s">
        <v>20</v>
      </c>
      <c r="E546">
        <v>450</v>
      </c>
      <c r="F546" s="1" t="s">
        <v>21</v>
      </c>
      <c r="G546" s="1" t="s">
        <v>14</v>
      </c>
      <c r="H546" s="1" t="s">
        <v>15</v>
      </c>
      <c r="I546" s="1" t="s">
        <v>16</v>
      </c>
    </row>
    <row r="547" spans="1:9" x14ac:dyDescent="0.25">
      <c r="A547" s="1" t="s">
        <v>9</v>
      </c>
      <c r="B547" s="1" t="s">
        <v>10</v>
      </c>
      <c r="C547" s="1" t="s">
        <v>86</v>
      </c>
      <c r="D547" s="1" t="s">
        <v>21</v>
      </c>
      <c r="E547">
        <v>225</v>
      </c>
      <c r="F547" s="1" t="s">
        <v>21</v>
      </c>
      <c r="G547" s="1" t="s">
        <v>14</v>
      </c>
      <c r="H547" s="1" t="s">
        <v>15</v>
      </c>
      <c r="I547" s="1" t="s">
        <v>16</v>
      </c>
    </row>
    <row r="548" spans="1:9" x14ac:dyDescent="0.25">
      <c r="A548" s="1" t="s">
        <v>9</v>
      </c>
      <c r="B548" s="1" t="s">
        <v>10</v>
      </c>
      <c r="C548" s="1" t="s">
        <v>86</v>
      </c>
      <c r="D548" s="1" t="s">
        <v>22</v>
      </c>
      <c r="E548">
        <v>450</v>
      </c>
      <c r="F548" s="1" t="s">
        <v>21</v>
      </c>
      <c r="G548" s="1" t="s">
        <v>14</v>
      </c>
      <c r="H548" s="1" t="s">
        <v>15</v>
      </c>
      <c r="I548" s="1" t="s">
        <v>16</v>
      </c>
    </row>
    <row r="549" spans="1:9" x14ac:dyDescent="0.25">
      <c r="A549" s="1" t="s">
        <v>9</v>
      </c>
      <c r="B549" s="1" t="s">
        <v>10</v>
      </c>
      <c r="C549" s="1" t="s">
        <v>86</v>
      </c>
      <c r="D549" s="1" t="s">
        <v>23</v>
      </c>
      <c r="E549">
        <v>225</v>
      </c>
      <c r="F549" s="1" t="s">
        <v>21</v>
      </c>
      <c r="G549" s="1" t="s">
        <v>14</v>
      </c>
      <c r="H549" s="1" t="s">
        <v>15</v>
      </c>
      <c r="I549" s="1" t="s">
        <v>16</v>
      </c>
    </row>
    <row r="550" spans="1:9" x14ac:dyDescent="0.25">
      <c r="A550" s="1" t="s">
        <v>9</v>
      </c>
      <c r="B550" s="1" t="s">
        <v>10</v>
      </c>
      <c r="C550" s="1" t="s">
        <v>86</v>
      </c>
      <c r="D550" s="1" t="s">
        <v>24</v>
      </c>
      <c r="E550">
        <v>450</v>
      </c>
      <c r="F550" s="1" t="s">
        <v>21</v>
      </c>
      <c r="G550" s="1" t="s">
        <v>14</v>
      </c>
      <c r="H550" s="1" t="s">
        <v>15</v>
      </c>
      <c r="I550" s="1" t="s">
        <v>16</v>
      </c>
    </row>
    <row r="551" spans="1:9" x14ac:dyDescent="0.25">
      <c r="A551" s="1" t="s">
        <v>9</v>
      </c>
      <c r="B551" s="1" t="s">
        <v>10</v>
      </c>
      <c r="C551" s="1" t="s">
        <v>86</v>
      </c>
      <c r="D551" s="1" t="s">
        <v>25</v>
      </c>
      <c r="E551">
        <v>450</v>
      </c>
      <c r="F551" s="1" t="s">
        <v>21</v>
      </c>
      <c r="G551" s="1" t="s">
        <v>14</v>
      </c>
      <c r="H551" s="1" t="s">
        <v>15</v>
      </c>
      <c r="I551" s="1" t="s">
        <v>16</v>
      </c>
    </row>
    <row r="552" spans="1:9" x14ac:dyDescent="0.25">
      <c r="A552" s="1" t="s">
        <v>9</v>
      </c>
      <c r="B552" s="1" t="s">
        <v>10</v>
      </c>
      <c r="C552" s="1" t="s">
        <v>86</v>
      </c>
      <c r="D552" s="1" t="s">
        <v>26</v>
      </c>
      <c r="E552">
        <v>225</v>
      </c>
      <c r="F552" s="1" t="s">
        <v>21</v>
      </c>
      <c r="G552" s="1" t="s">
        <v>14</v>
      </c>
      <c r="H552" s="1" t="s">
        <v>15</v>
      </c>
      <c r="I552" s="1" t="s">
        <v>16</v>
      </c>
    </row>
    <row r="553" spans="1:9" x14ac:dyDescent="0.25">
      <c r="A553" s="1" t="s">
        <v>9</v>
      </c>
      <c r="B553" s="1" t="s">
        <v>10</v>
      </c>
      <c r="C553" s="1" t="s">
        <v>86</v>
      </c>
      <c r="D553" s="1" t="s">
        <v>27</v>
      </c>
      <c r="E553">
        <v>225</v>
      </c>
      <c r="F553" s="1" t="s">
        <v>21</v>
      </c>
      <c r="G553" s="1" t="s">
        <v>14</v>
      </c>
      <c r="H553" s="1" t="s">
        <v>15</v>
      </c>
      <c r="I553" s="1" t="s">
        <v>16</v>
      </c>
    </row>
    <row r="554" spans="1:9" x14ac:dyDescent="0.25">
      <c r="A554" s="1" t="s">
        <v>9</v>
      </c>
      <c r="B554" s="1" t="s">
        <v>10</v>
      </c>
      <c r="C554" s="1" t="s">
        <v>86</v>
      </c>
      <c r="D554" s="1" t="s">
        <v>28</v>
      </c>
      <c r="E554">
        <v>450</v>
      </c>
      <c r="F554" s="1" t="s">
        <v>21</v>
      </c>
      <c r="G554" s="1" t="s">
        <v>14</v>
      </c>
      <c r="H554" s="1" t="s">
        <v>15</v>
      </c>
      <c r="I554" s="1" t="s">
        <v>16</v>
      </c>
    </row>
    <row r="555" spans="1:9" x14ac:dyDescent="0.25">
      <c r="A555" s="1" t="s">
        <v>9</v>
      </c>
      <c r="B555" s="1" t="s">
        <v>10</v>
      </c>
      <c r="C555" s="1" t="s">
        <v>86</v>
      </c>
      <c r="D555" s="1" t="s">
        <v>29</v>
      </c>
      <c r="E555">
        <v>225</v>
      </c>
      <c r="F555" s="1" t="s">
        <v>21</v>
      </c>
      <c r="G555" s="1" t="s">
        <v>14</v>
      </c>
      <c r="H555" s="1" t="s">
        <v>15</v>
      </c>
      <c r="I555" s="1" t="s">
        <v>16</v>
      </c>
    </row>
    <row r="556" spans="1:9" x14ac:dyDescent="0.25">
      <c r="A556" s="1" t="s">
        <v>9</v>
      </c>
      <c r="B556" s="1" t="s">
        <v>10</v>
      </c>
      <c r="C556" s="1" t="s">
        <v>86</v>
      </c>
      <c r="D556" s="1" t="s">
        <v>30</v>
      </c>
      <c r="E556">
        <v>875</v>
      </c>
      <c r="F556" s="1" t="s">
        <v>21</v>
      </c>
      <c r="G556" s="1" t="s">
        <v>14</v>
      </c>
      <c r="H556" s="1" t="s">
        <v>15</v>
      </c>
      <c r="I556" s="1" t="s">
        <v>16</v>
      </c>
    </row>
    <row r="557" spans="1:9" x14ac:dyDescent="0.25">
      <c r="A557" s="1" t="s">
        <v>9</v>
      </c>
      <c r="B557" s="1" t="s">
        <v>10</v>
      </c>
      <c r="C557" s="1" t="s">
        <v>86</v>
      </c>
      <c r="D557" s="1" t="s">
        <v>31</v>
      </c>
      <c r="E557">
        <v>225</v>
      </c>
      <c r="F557" s="1" t="s">
        <v>21</v>
      </c>
      <c r="G557" s="1" t="s">
        <v>14</v>
      </c>
      <c r="H557" s="1" t="s">
        <v>15</v>
      </c>
      <c r="I557" s="1" t="s">
        <v>16</v>
      </c>
    </row>
    <row r="558" spans="1:9" x14ac:dyDescent="0.25">
      <c r="A558" s="1" t="s">
        <v>9</v>
      </c>
      <c r="B558" s="1" t="s">
        <v>10</v>
      </c>
      <c r="C558" s="1" t="s">
        <v>86</v>
      </c>
      <c r="D558" s="1" t="s">
        <v>32</v>
      </c>
      <c r="E558">
        <v>450</v>
      </c>
      <c r="F558" s="1" t="s">
        <v>21</v>
      </c>
      <c r="G558" s="1" t="s">
        <v>14</v>
      </c>
      <c r="H558" s="1" t="s">
        <v>15</v>
      </c>
      <c r="I558" s="1" t="s">
        <v>16</v>
      </c>
    </row>
    <row r="559" spans="1:9" x14ac:dyDescent="0.25">
      <c r="A559" s="1" t="s">
        <v>9</v>
      </c>
      <c r="B559" s="1" t="s">
        <v>10</v>
      </c>
      <c r="C559" s="1" t="s">
        <v>86</v>
      </c>
      <c r="D559" s="1" t="s">
        <v>33</v>
      </c>
      <c r="E559">
        <v>225</v>
      </c>
      <c r="F559" s="1" t="s">
        <v>21</v>
      </c>
      <c r="G559" s="1" t="s">
        <v>14</v>
      </c>
      <c r="H559" s="1" t="s">
        <v>15</v>
      </c>
      <c r="I559" s="1" t="s">
        <v>16</v>
      </c>
    </row>
    <row r="560" spans="1:9" x14ac:dyDescent="0.25">
      <c r="A560" s="1" t="s">
        <v>9</v>
      </c>
      <c r="B560" s="1" t="s">
        <v>10</v>
      </c>
      <c r="C560" s="1" t="s">
        <v>86</v>
      </c>
      <c r="D560" s="1" t="s">
        <v>34</v>
      </c>
      <c r="E560">
        <v>450</v>
      </c>
      <c r="F560" s="1" t="s">
        <v>21</v>
      </c>
      <c r="G560" s="1" t="s">
        <v>14</v>
      </c>
      <c r="H560" s="1" t="s">
        <v>15</v>
      </c>
      <c r="I560" s="1" t="s">
        <v>16</v>
      </c>
    </row>
    <row r="561" spans="1:9" x14ac:dyDescent="0.25">
      <c r="A561" s="1" t="s">
        <v>9</v>
      </c>
      <c r="B561" s="1" t="s">
        <v>10</v>
      </c>
      <c r="C561" s="1" t="s">
        <v>86</v>
      </c>
      <c r="D561" s="1" t="s">
        <v>35</v>
      </c>
      <c r="E561">
        <v>225</v>
      </c>
      <c r="F561" s="1" t="s">
        <v>21</v>
      </c>
      <c r="G561" s="1" t="s">
        <v>14</v>
      </c>
      <c r="H561" s="1" t="s">
        <v>15</v>
      </c>
      <c r="I561" s="1" t="s">
        <v>16</v>
      </c>
    </row>
    <row r="562" spans="1:9" x14ac:dyDescent="0.25">
      <c r="A562" s="1" t="s">
        <v>9</v>
      </c>
      <c r="B562" s="1" t="s">
        <v>10</v>
      </c>
      <c r="C562" s="1" t="s">
        <v>86</v>
      </c>
      <c r="D562" s="1" t="s">
        <v>36</v>
      </c>
      <c r="E562">
        <v>450</v>
      </c>
      <c r="F562" s="1" t="s">
        <v>21</v>
      </c>
      <c r="G562" s="1" t="s">
        <v>14</v>
      </c>
      <c r="H562" s="1" t="s">
        <v>15</v>
      </c>
      <c r="I562" s="1" t="s">
        <v>16</v>
      </c>
    </row>
    <row r="563" spans="1:9" x14ac:dyDescent="0.25">
      <c r="A563" s="1" t="s">
        <v>9</v>
      </c>
      <c r="B563" s="1" t="s">
        <v>10</v>
      </c>
      <c r="C563" s="1" t="s">
        <v>86</v>
      </c>
      <c r="D563" s="1" t="s">
        <v>37</v>
      </c>
      <c r="E563">
        <v>225</v>
      </c>
      <c r="F563" s="1" t="s">
        <v>21</v>
      </c>
      <c r="G563" s="1" t="s">
        <v>14</v>
      </c>
      <c r="H563" s="1" t="s">
        <v>15</v>
      </c>
      <c r="I563" s="1" t="s">
        <v>16</v>
      </c>
    </row>
    <row r="564" spans="1:9" x14ac:dyDescent="0.25">
      <c r="A564" s="1" t="s">
        <v>9</v>
      </c>
      <c r="B564" s="1" t="s">
        <v>10</v>
      </c>
      <c r="C564" s="1" t="s">
        <v>86</v>
      </c>
      <c r="D564" s="1" t="s">
        <v>38</v>
      </c>
      <c r="E564">
        <v>225</v>
      </c>
      <c r="F564" s="1" t="s">
        <v>21</v>
      </c>
      <c r="G564" s="1" t="s">
        <v>14</v>
      </c>
      <c r="H564" s="1" t="s">
        <v>15</v>
      </c>
      <c r="I564" s="1" t="s">
        <v>16</v>
      </c>
    </row>
    <row r="565" spans="1:9" x14ac:dyDescent="0.25">
      <c r="A565" s="1" t="s">
        <v>9</v>
      </c>
      <c r="B565" s="1" t="s">
        <v>10</v>
      </c>
      <c r="C565" s="1" t="s">
        <v>86</v>
      </c>
      <c r="D565" s="1" t="s">
        <v>39</v>
      </c>
      <c r="E565">
        <v>450</v>
      </c>
      <c r="F565" s="1" t="s">
        <v>21</v>
      </c>
      <c r="G565" s="1" t="s">
        <v>14</v>
      </c>
      <c r="H565" s="1" t="s">
        <v>15</v>
      </c>
      <c r="I565" s="1" t="s">
        <v>16</v>
      </c>
    </row>
    <row r="566" spans="1:9" x14ac:dyDescent="0.25">
      <c r="A566" s="1" t="s">
        <v>9</v>
      </c>
      <c r="B566" s="1" t="s">
        <v>10</v>
      </c>
      <c r="C566" s="1" t="s">
        <v>86</v>
      </c>
      <c r="D566" s="1" t="s">
        <v>40</v>
      </c>
      <c r="E566">
        <v>450</v>
      </c>
      <c r="F566" s="1" t="s">
        <v>21</v>
      </c>
      <c r="G566" s="1" t="s">
        <v>14</v>
      </c>
      <c r="H566" s="1" t="s">
        <v>15</v>
      </c>
      <c r="I566" s="1" t="s">
        <v>16</v>
      </c>
    </row>
    <row r="567" spans="1:9" x14ac:dyDescent="0.25">
      <c r="A567" s="1" t="s">
        <v>9</v>
      </c>
      <c r="B567" s="1" t="s">
        <v>10</v>
      </c>
      <c r="C567" s="1" t="s">
        <v>86</v>
      </c>
      <c r="D567" s="1" t="s">
        <v>41</v>
      </c>
      <c r="E567">
        <v>450</v>
      </c>
      <c r="F567" s="1" t="s">
        <v>21</v>
      </c>
      <c r="G567" s="1" t="s">
        <v>14</v>
      </c>
      <c r="H567" s="1" t="s">
        <v>15</v>
      </c>
      <c r="I567" s="1" t="s">
        <v>16</v>
      </c>
    </row>
    <row r="568" spans="1:9" x14ac:dyDescent="0.25">
      <c r="A568" s="1" t="s">
        <v>9</v>
      </c>
      <c r="B568" s="1" t="s">
        <v>10</v>
      </c>
      <c r="C568" s="1" t="s">
        <v>86</v>
      </c>
      <c r="D568" s="1" t="s">
        <v>42</v>
      </c>
      <c r="E568">
        <v>450</v>
      </c>
      <c r="F568" s="1" t="s">
        <v>21</v>
      </c>
      <c r="G568" s="1" t="s">
        <v>14</v>
      </c>
      <c r="H568" s="1" t="s">
        <v>15</v>
      </c>
      <c r="I568" s="1" t="s">
        <v>16</v>
      </c>
    </row>
    <row r="569" spans="1:9" x14ac:dyDescent="0.25">
      <c r="A569" s="1" t="s">
        <v>9</v>
      </c>
      <c r="B569" s="1" t="s">
        <v>10</v>
      </c>
      <c r="C569" s="1" t="s">
        <v>86</v>
      </c>
      <c r="D569" s="1" t="s">
        <v>43</v>
      </c>
      <c r="E569">
        <v>225</v>
      </c>
      <c r="F569" s="1" t="s">
        <v>21</v>
      </c>
      <c r="G569" s="1" t="s">
        <v>14</v>
      </c>
      <c r="H569" s="1" t="s">
        <v>15</v>
      </c>
      <c r="I569" s="1" t="s">
        <v>16</v>
      </c>
    </row>
    <row r="570" spans="1:9" x14ac:dyDescent="0.25">
      <c r="A570" s="1" t="s">
        <v>9</v>
      </c>
      <c r="B570" s="1" t="s">
        <v>10</v>
      </c>
      <c r="C570" s="1" t="s">
        <v>86</v>
      </c>
      <c r="D570" s="1" t="s">
        <v>45</v>
      </c>
      <c r="E570">
        <v>450</v>
      </c>
      <c r="F570" s="1" t="s">
        <v>21</v>
      </c>
      <c r="G570" s="1" t="s">
        <v>14</v>
      </c>
      <c r="H570" s="1" t="s">
        <v>15</v>
      </c>
      <c r="I570" s="1" t="s">
        <v>16</v>
      </c>
    </row>
    <row r="571" spans="1:9" x14ac:dyDescent="0.25">
      <c r="A571" s="1" t="s">
        <v>9</v>
      </c>
      <c r="B571" s="1" t="s">
        <v>10</v>
      </c>
      <c r="C571" s="1" t="s">
        <v>86</v>
      </c>
      <c r="D571" s="1" t="s">
        <v>46</v>
      </c>
      <c r="E571">
        <v>225</v>
      </c>
      <c r="F571" s="1" t="s">
        <v>21</v>
      </c>
      <c r="G571" s="1" t="s">
        <v>14</v>
      </c>
      <c r="H571" s="1" t="s">
        <v>15</v>
      </c>
      <c r="I571" s="1" t="s">
        <v>16</v>
      </c>
    </row>
    <row r="572" spans="1:9" x14ac:dyDescent="0.25">
      <c r="A572" s="1" t="s">
        <v>9</v>
      </c>
      <c r="B572" s="1" t="s">
        <v>10</v>
      </c>
      <c r="C572" s="1" t="s">
        <v>86</v>
      </c>
      <c r="D572" s="1" t="s">
        <v>47</v>
      </c>
      <c r="E572">
        <v>225</v>
      </c>
      <c r="F572" s="1" t="s">
        <v>21</v>
      </c>
      <c r="G572" s="1" t="s">
        <v>14</v>
      </c>
      <c r="H572" s="1" t="s">
        <v>15</v>
      </c>
      <c r="I572" s="1" t="s">
        <v>16</v>
      </c>
    </row>
    <row r="573" spans="1:9" x14ac:dyDescent="0.25">
      <c r="A573" s="1" t="s">
        <v>9</v>
      </c>
      <c r="B573" s="1" t="s">
        <v>10</v>
      </c>
      <c r="C573" s="1" t="s">
        <v>86</v>
      </c>
      <c r="D573" s="1" t="s">
        <v>48</v>
      </c>
      <c r="E573">
        <v>450</v>
      </c>
      <c r="F573" s="1" t="s">
        <v>21</v>
      </c>
      <c r="G573" s="1" t="s">
        <v>14</v>
      </c>
      <c r="H573" s="1" t="s">
        <v>15</v>
      </c>
      <c r="I573" s="1" t="s">
        <v>16</v>
      </c>
    </row>
    <row r="574" spans="1:9" x14ac:dyDescent="0.25">
      <c r="A574" s="1" t="s">
        <v>9</v>
      </c>
      <c r="B574" s="1" t="s">
        <v>10</v>
      </c>
      <c r="C574" s="1" t="s">
        <v>86</v>
      </c>
      <c r="D574" s="1" t="s">
        <v>49</v>
      </c>
      <c r="E574">
        <v>225</v>
      </c>
      <c r="F574" s="1" t="s">
        <v>21</v>
      </c>
      <c r="G574" s="1" t="s">
        <v>14</v>
      </c>
      <c r="H574" s="1" t="s">
        <v>15</v>
      </c>
      <c r="I574" s="1" t="s">
        <v>16</v>
      </c>
    </row>
    <row r="575" spans="1:9" x14ac:dyDescent="0.25">
      <c r="A575" s="1" t="s">
        <v>9</v>
      </c>
      <c r="B575" s="1" t="s">
        <v>10</v>
      </c>
      <c r="C575" s="1" t="s">
        <v>86</v>
      </c>
      <c r="D575" s="1" t="s">
        <v>50</v>
      </c>
      <c r="E575">
        <v>450</v>
      </c>
      <c r="F575" s="1" t="s">
        <v>21</v>
      </c>
      <c r="G575" s="1" t="s">
        <v>14</v>
      </c>
      <c r="H575" s="1" t="s">
        <v>15</v>
      </c>
      <c r="I575" s="1" t="s">
        <v>16</v>
      </c>
    </row>
    <row r="576" spans="1:9" x14ac:dyDescent="0.25">
      <c r="A576" s="1" t="s">
        <v>9</v>
      </c>
      <c r="B576" s="1" t="s">
        <v>10</v>
      </c>
      <c r="C576" s="1" t="s">
        <v>86</v>
      </c>
      <c r="D576" s="1" t="s">
        <v>51</v>
      </c>
      <c r="E576">
        <v>225</v>
      </c>
      <c r="F576" s="1" t="s">
        <v>21</v>
      </c>
      <c r="G576" s="1" t="s">
        <v>14</v>
      </c>
      <c r="H576" s="1" t="s">
        <v>15</v>
      </c>
      <c r="I576" s="1" t="s">
        <v>16</v>
      </c>
    </row>
    <row r="577" spans="1:9" x14ac:dyDescent="0.25">
      <c r="A577" s="1" t="s">
        <v>9</v>
      </c>
      <c r="B577" s="1" t="s">
        <v>10</v>
      </c>
      <c r="C577" s="1" t="s">
        <v>86</v>
      </c>
      <c r="D577" s="1" t="s">
        <v>52</v>
      </c>
      <c r="E577">
        <v>450</v>
      </c>
      <c r="F577" s="1" t="s">
        <v>21</v>
      </c>
      <c r="G577" s="1" t="s">
        <v>14</v>
      </c>
      <c r="H577" s="1" t="s">
        <v>15</v>
      </c>
      <c r="I577" s="1" t="s">
        <v>16</v>
      </c>
    </row>
    <row r="578" spans="1:9" x14ac:dyDescent="0.25">
      <c r="A578" s="1" t="s">
        <v>9</v>
      </c>
      <c r="B578" s="1" t="s">
        <v>10</v>
      </c>
      <c r="C578" s="1" t="s">
        <v>86</v>
      </c>
      <c r="D578" s="1" t="s">
        <v>53</v>
      </c>
      <c r="E578">
        <v>450</v>
      </c>
      <c r="F578" s="1" t="s">
        <v>21</v>
      </c>
      <c r="G578" s="1" t="s">
        <v>14</v>
      </c>
      <c r="H578" s="1" t="s">
        <v>15</v>
      </c>
      <c r="I578" s="1" t="s">
        <v>16</v>
      </c>
    </row>
    <row r="579" spans="1:9" x14ac:dyDescent="0.25">
      <c r="A579" s="1" t="s">
        <v>9</v>
      </c>
      <c r="B579" s="1" t="s">
        <v>10</v>
      </c>
      <c r="C579" s="1" t="s">
        <v>86</v>
      </c>
      <c r="D579" s="1" t="s">
        <v>54</v>
      </c>
      <c r="E579">
        <v>225</v>
      </c>
      <c r="F579" s="1" t="s">
        <v>21</v>
      </c>
      <c r="G579" s="1" t="s">
        <v>14</v>
      </c>
      <c r="H579" s="1" t="s">
        <v>15</v>
      </c>
      <c r="I579" s="1" t="s">
        <v>16</v>
      </c>
    </row>
    <row r="580" spans="1:9" x14ac:dyDescent="0.25">
      <c r="A580" s="1" t="s">
        <v>9</v>
      </c>
      <c r="B580" s="1" t="s">
        <v>10</v>
      </c>
      <c r="C580" s="1" t="s">
        <v>86</v>
      </c>
      <c r="D580" s="1" t="s">
        <v>55</v>
      </c>
      <c r="E580">
        <v>225</v>
      </c>
      <c r="F580" s="1" t="s">
        <v>21</v>
      </c>
      <c r="G580" s="1" t="s">
        <v>14</v>
      </c>
      <c r="H580" s="1" t="s">
        <v>15</v>
      </c>
      <c r="I580" s="1" t="s">
        <v>16</v>
      </c>
    </row>
    <row r="581" spans="1:9" x14ac:dyDescent="0.25">
      <c r="A581" s="1" t="s">
        <v>9</v>
      </c>
      <c r="B581" s="1" t="s">
        <v>10</v>
      </c>
      <c r="C581" s="1" t="s">
        <v>86</v>
      </c>
      <c r="D581" s="1" t="s">
        <v>56</v>
      </c>
      <c r="E581">
        <v>450</v>
      </c>
      <c r="F581" s="1" t="s">
        <v>21</v>
      </c>
      <c r="G581" s="1" t="s">
        <v>14</v>
      </c>
      <c r="H581" s="1" t="s">
        <v>15</v>
      </c>
      <c r="I581" s="1" t="s">
        <v>16</v>
      </c>
    </row>
    <row r="582" spans="1:9" x14ac:dyDescent="0.25">
      <c r="A582" s="1" t="s">
        <v>9</v>
      </c>
      <c r="B582" s="1" t="s">
        <v>10</v>
      </c>
      <c r="C582" s="1" t="s">
        <v>86</v>
      </c>
      <c r="D582" s="1" t="s">
        <v>57</v>
      </c>
      <c r="E582">
        <v>225</v>
      </c>
      <c r="F582" s="1" t="s">
        <v>21</v>
      </c>
      <c r="G582" s="1" t="s">
        <v>14</v>
      </c>
      <c r="H582" s="1" t="s">
        <v>15</v>
      </c>
      <c r="I582" s="1" t="s">
        <v>16</v>
      </c>
    </row>
    <row r="583" spans="1:9" x14ac:dyDescent="0.25">
      <c r="A583" s="1" t="s">
        <v>9</v>
      </c>
      <c r="B583" s="1" t="s">
        <v>10</v>
      </c>
      <c r="C583" s="1" t="s">
        <v>86</v>
      </c>
      <c r="D583" s="1" t="s">
        <v>58</v>
      </c>
      <c r="E583">
        <v>875</v>
      </c>
      <c r="F583" s="1" t="s">
        <v>21</v>
      </c>
      <c r="G583" s="1" t="s">
        <v>14</v>
      </c>
      <c r="H583" s="1" t="s">
        <v>15</v>
      </c>
      <c r="I583" s="1" t="s">
        <v>16</v>
      </c>
    </row>
    <row r="584" spans="1:9" x14ac:dyDescent="0.25">
      <c r="A584" s="1" t="s">
        <v>9</v>
      </c>
      <c r="B584" s="1" t="s">
        <v>10</v>
      </c>
      <c r="C584" s="1" t="s">
        <v>86</v>
      </c>
      <c r="D584" s="1" t="s">
        <v>59</v>
      </c>
      <c r="E584">
        <v>225</v>
      </c>
      <c r="F584" s="1" t="s">
        <v>21</v>
      </c>
      <c r="G584" s="1" t="s">
        <v>14</v>
      </c>
      <c r="H584" s="1" t="s">
        <v>15</v>
      </c>
      <c r="I584" s="1" t="s">
        <v>16</v>
      </c>
    </row>
    <row r="585" spans="1:9" x14ac:dyDescent="0.25">
      <c r="A585" s="1" t="s">
        <v>9</v>
      </c>
      <c r="B585" s="1" t="s">
        <v>10</v>
      </c>
      <c r="C585" s="1" t="s">
        <v>86</v>
      </c>
      <c r="D585" s="1" t="s">
        <v>60</v>
      </c>
      <c r="E585">
        <v>450</v>
      </c>
      <c r="F585" s="1" t="s">
        <v>21</v>
      </c>
      <c r="G585" s="1" t="s">
        <v>14</v>
      </c>
      <c r="H585" s="1" t="s">
        <v>15</v>
      </c>
      <c r="I585" s="1" t="s">
        <v>16</v>
      </c>
    </row>
    <row r="586" spans="1:9" x14ac:dyDescent="0.25">
      <c r="A586" s="1" t="s">
        <v>9</v>
      </c>
      <c r="B586" s="1" t="s">
        <v>10</v>
      </c>
      <c r="C586" s="1" t="s">
        <v>86</v>
      </c>
      <c r="D586" s="1" t="s">
        <v>61</v>
      </c>
      <c r="E586">
        <v>225</v>
      </c>
      <c r="F586" s="1" t="s">
        <v>21</v>
      </c>
      <c r="G586" s="1" t="s">
        <v>14</v>
      </c>
      <c r="H586" s="1" t="s">
        <v>15</v>
      </c>
      <c r="I586" s="1" t="s">
        <v>16</v>
      </c>
    </row>
    <row r="587" spans="1:9" x14ac:dyDescent="0.25">
      <c r="A587" s="1" t="s">
        <v>9</v>
      </c>
      <c r="B587" s="1" t="s">
        <v>10</v>
      </c>
      <c r="C587" s="1" t="s">
        <v>86</v>
      </c>
      <c r="D587" s="1" t="s">
        <v>62</v>
      </c>
      <c r="E587">
        <v>450</v>
      </c>
      <c r="F587" s="1" t="s">
        <v>21</v>
      </c>
      <c r="G587" s="1" t="s">
        <v>14</v>
      </c>
      <c r="H587" s="1" t="s">
        <v>15</v>
      </c>
      <c r="I587" s="1" t="s">
        <v>16</v>
      </c>
    </row>
    <row r="588" spans="1:9" x14ac:dyDescent="0.25">
      <c r="A588" s="1" t="s">
        <v>9</v>
      </c>
      <c r="B588" s="1" t="s">
        <v>10</v>
      </c>
      <c r="C588" s="1" t="s">
        <v>86</v>
      </c>
      <c r="D588" s="1" t="s">
        <v>63</v>
      </c>
      <c r="E588">
        <v>225</v>
      </c>
      <c r="F588" s="1" t="s">
        <v>21</v>
      </c>
      <c r="G588" s="1" t="s">
        <v>14</v>
      </c>
      <c r="H588" s="1" t="s">
        <v>15</v>
      </c>
      <c r="I588" s="1" t="s">
        <v>16</v>
      </c>
    </row>
    <row r="589" spans="1:9" x14ac:dyDescent="0.25">
      <c r="A589" s="1" t="s">
        <v>9</v>
      </c>
      <c r="B589" s="1" t="s">
        <v>10</v>
      </c>
      <c r="C589" s="1" t="s">
        <v>86</v>
      </c>
      <c r="D589" s="1" t="s">
        <v>64</v>
      </c>
      <c r="E589">
        <v>450</v>
      </c>
      <c r="F589" s="1" t="s">
        <v>21</v>
      </c>
      <c r="G589" s="1" t="s">
        <v>14</v>
      </c>
      <c r="H589" s="1" t="s">
        <v>15</v>
      </c>
      <c r="I589" s="1" t="s">
        <v>16</v>
      </c>
    </row>
    <row r="590" spans="1:9" x14ac:dyDescent="0.25">
      <c r="A590" s="1" t="s">
        <v>9</v>
      </c>
      <c r="B590" s="1" t="s">
        <v>10</v>
      </c>
      <c r="C590" s="1" t="s">
        <v>86</v>
      </c>
      <c r="D590" s="1" t="s">
        <v>65</v>
      </c>
      <c r="E590">
        <v>225</v>
      </c>
      <c r="F590" s="1" t="s">
        <v>21</v>
      </c>
      <c r="G590" s="1" t="s">
        <v>14</v>
      </c>
      <c r="H590" s="1" t="s">
        <v>15</v>
      </c>
      <c r="I590" s="1" t="s">
        <v>16</v>
      </c>
    </row>
    <row r="591" spans="1:9" x14ac:dyDescent="0.25">
      <c r="A591" s="1" t="s">
        <v>9</v>
      </c>
      <c r="B591" s="1" t="s">
        <v>10</v>
      </c>
      <c r="C591" s="1" t="s">
        <v>86</v>
      </c>
      <c r="D591" s="1" t="s">
        <v>66</v>
      </c>
      <c r="E591">
        <v>225</v>
      </c>
      <c r="F591" s="1" t="s">
        <v>21</v>
      </c>
      <c r="G591" s="1" t="s">
        <v>14</v>
      </c>
      <c r="H591" s="1" t="s">
        <v>15</v>
      </c>
      <c r="I591" s="1" t="s">
        <v>16</v>
      </c>
    </row>
    <row r="592" spans="1:9" x14ac:dyDescent="0.25">
      <c r="A592" s="1" t="s">
        <v>9</v>
      </c>
      <c r="B592" s="1" t="s">
        <v>10</v>
      </c>
      <c r="C592" s="1" t="s">
        <v>86</v>
      </c>
      <c r="D592" s="1" t="s">
        <v>67</v>
      </c>
      <c r="E592">
        <v>450</v>
      </c>
      <c r="F592" s="1" t="s">
        <v>21</v>
      </c>
      <c r="G592" s="1" t="s">
        <v>14</v>
      </c>
      <c r="H592" s="1" t="s">
        <v>15</v>
      </c>
      <c r="I592" s="1" t="s">
        <v>16</v>
      </c>
    </row>
    <row r="593" spans="1:9" x14ac:dyDescent="0.25">
      <c r="A593" s="1" t="s">
        <v>9</v>
      </c>
      <c r="B593" s="1" t="s">
        <v>10</v>
      </c>
      <c r="C593" s="1" t="s">
        <v>86</v>
      </c>
      <c r="D593" s="1" t="s">
        <v>68</v>
      </c>
      <c r="E593">
        <v>450</v>
      </c>
      <c r="F593" s="1" t="s">
        <v>21</v>
      </c>
      <c r="G593" s="1" t="s">
        <v>14</v>
      </c>
      <c r="H593" s="1" t="s">
        <v>15</v>
      </c>
      <c r="I593" s="1" t="s">
        <v>16</v>
      </c>
    </row>
    <row r="594" spans="1:9" x14ac:dyDescent="0.25">
      <c r="A594" s="1" t="s">
        <v>9</v>
      </c>
      <c r="B594" s="1" t="s">
        <v>10</v>
      </c>
      <c r="C594" s="1" t="s">
        <v>86</v>
      </c>
      <c r="D594" s="1" t="s">
        <v>69</v>
      </c>
      <c r="E594">
        <v>450</v>
      </c>
      <c r="F594" s="1" t="s">
        <v>21</v>
      </c>
      <c r="G594" s="1" t="s">
        <v>14</v>
      </c>
      <c r="H594" s="1" t="s">
        <v>15</v>
      </c>
      <c r="I594" s="1" t="s">
        <v>16</v>
      </c>
    </row>
    <row r="595" spans="1:9" x14ac:dyDescent="0.25">
      <c r="A595" s="1" t="s">
        <v>9</v>
      </c>
      <c r="B595" s="1" t="s">
        <v>10</v>
      </c>
      <c r="C595" s="1" t="s">
        <v>86</v>
      </c>
      <c r="D595" s="1" t="s">
        <v>70</v>
      </c>
      <c r="E595">
        <v>450</v>
      </c>
      <c r="F595" s="1" t="s">
        <v>21</v>
      </c>
      <c r="G595" s="1" t="s">
        <v>14</v>
      </c>
      <c r="H595" s="1" t="s">
        <v>15</v>
      </c>
      <c r="I595" s="1" t="s">
        <v>16</v>
      </c>
    </row>
    <row r="596" spans="1:9" x14ac:dyDescent="0.25">
      <c r="A596" s="1" t="s">
        <v>9</v>
      </c>
      <c r="B596" s="1" t="s">
        <v>10</v>
      </c>
      <c r="C596" s="1" t="s">
        <v>87</v>
      </c>
      <c r="D596" s="1" t="s">
        <v>12</v>
      </c>
      <c r="E596">
        <v>1325</v>
      </c>
      <c r="F596" s="1" t="s">
        <v>18</v>
      </c>
      <c r="G596" s="1" t="s">
        <v>14</v>
      </c>
      <c r="H596" s="1" t="s">
        <v>15</v>
      </c>
      <c r="I596" s="1" t="s">
        <v>16</v>
      </c>
    </row>
    <row r="597" spans="1:9" x14ac:dyDescent="0.25">
      <c r="A597" s="1" t="s">
        <v>9</v>
      </c>
      <c r="B597" s="1" t="s">
        <v>10</v>
      </c>
      <c r="C597" s="1" t="s">
        <v>87</v>
      </c>
      <c r="D597" s="1" t="s">
        <v>17</v>
      </c>
      <c r="E597">
        <v>325</v>
      </c>
      <c r="F597" s="1" t="s">
        <v>18</v>
      </c>
      <c r="G597" s="1" t="s">
        <v>14</v>
      </c>
      <c r="H597" s="1" t="s">
        <v>15</v>
      </c>
      <c r="I597" s="1" t="s">
        <v>16</v>
      </c>
    </row>
    <row r="598" spans="1:9" x14ac:dyDescent="0.25">
      <c r="A598" s="1" t="s">
        <v>9</v>
      </c>
      <c r="B598" s="1" t="s">
        <v>10</v>
      </c>
      <c r="C598" s="1" t="s">
        <v>87</v>
      </c>
      <c r="D598" s="1" t="s">
        <v>18</v>
      </c>
      <c r="E598">
        <v>325</v>
      </c>
      <c r="F598" s="1" t="s">
        <v>18</v>
      </c>
      <c r="G598" s="1" t="s">
        <v>14</v>
      </c>
      <c r="H598" s="1" t="s">
        <v>15</v>
      </c>
      <c r="I598" s="1" t="s">
        <v>16</v>
      </c>
    </row>
    <row r="599" spans="1:9" x14ac:dyDescent="0.25">
      <c r="A599" s="1" t="s">
        <v>9</v>
      </c>
      <c r="B599" s="1" t="s">
        <v>10</v>
      </c>
      <c r="C599" s="1" t="s">
        <v>87</v>
      </c>
      <c r="D599" s="1" t="s">
        <v>19</v>
      </c>
      <c r="E599">
        <v>1325</v>
      </c>
      <c r="F599" s="1" t="s">
        <v>18</v>
      </c>
      <c r="G599" s="1" t="s">
        <v>14</v>
      </c>
      <c r="H599" s="1" t="s">
        <v>15</v>
      </c>
      <c r="I599" s="1" t="s">
        <v>16</v>
      </c>
    </row>
    <row r="600" spans="1:9" x14ac:dyDescent="0.25">
      <c r="A600" s="1" t="s">
        <v>9</v>
      </c>
      <c r="B600" s="1" t="s">
        <v>10</v>
      </c>
      <c r="C600" s="1" t="s">
        <v>87</v>
      </c>
      <c r="D600" s="1" t="s">
        <v>20</v>
      </c>
      <c r="E600">
        <v>325</v>
      </c>
      <c r="F600" s="1" t="s">
        <v>18</v>
      </c>
      <c r="G600" s="1" t="s">
        <v>14</v>
      </c>
      <c r="H600" s="1" t="s">
        <v>15</v>
      </c>
      <c r="I600" s="1" t="s">
        <v>16</v>
      </c>
    </row>
    <row r="601" spans="1:9" x14ac:dyDescent="0.25">
      <c r="A601" s="1" t="s">
        <v>9</v>
      </c>
      <c r="B601" s="1" t="s">
        <v>10</v>
      </c>
      <c r="C601" s="1" t="s">
        <v>87</v>
      </c>
      <c r="D601" s="1" t="s">
        <v>21</v>
      </c>
      <c r="E601">
        <v>650</v>
      </c>
      <c r="F601" s="1" t="s">
        <v>18</v>
      </c>
      <c r="G601" s="1" t="s">
        <v>14</v>
      </c>
      <c r="H601" s="1" t="s">
        <v>15</v>
      </c>
      <c r="I601" s="1" t="s">
        <v>16</v>
      </c>
    </row>
    <row r="602" spans="1:9" x14ac:dyDescent="0.25">
      <c r="A602" s="1" t="s">
        <v>9</v>
      </c>
      <c r="B602" s="1" t="s">
        <v>10</v>
      </c>
      <c r="C602" s="1" t="s">
        <v>87</v>
      </c>
      <c r="D602" s="1" t="s">
        <v>22</v>
      </c>
      <c r="E602">
        <v>325</v>
      </c>
      <c r="F602" s="1" t="s">
        <v>18</v>
      </c>
      <c r="G602" s="1" t="s">
        <v>14</v>
      </c>
      <c r="H602" s="1" t="s">
        <v>15</v>
      </c>
      <c r="I602" s="1" t="s">
        <v>16</v>
      </c>
    </row>
    <row r="603" spans="1:9" x14ac:dyDescent="0.25">
      <c r="A603" s="1" t="s">
        <v>9</v>
      </c>
      <c r="B603" s="1" t="s">
        <v>10</v>
      </c>
      <c r="C603" s="1" t="s">
        <v>87</v>
      </c>
      <c r="D603" s="1" t="s">
        <v>23</v>
      </c>
      <c r="E603">
        <v>325</v>
      </c>
      <c r="F603" s="1" t="s">
        <v>18</v>
      </c>
      <c r="G603" s="1" t="s">
        <v>14</v>
      </c>
      <c r="H603" s="1" t="s">
        <v>15</v>
      </c>
      <c r="I603" s="1" t="s">
        <v>16</v>
      </c>
    </row>
    <row r="604" spans="1:9" x14ac:dyDescent="0.25">
      <c r="A604" s="1" t="s">
        <v>9</v>
      </c>
      <c r="B604" s="1" t="s">
        <v>10</v>
      </c>
      <c r="C604" s="1" t="s">
        <v>87</v>
      </c>
      <c r="D604" s="1" t="s">
        <v>24</v>
      </c>
      <c r="E604">
        <v>650</v>
      </c>
      <c r="F604" s="1" t="s">
        <v>18</v>
      </c>
      <c r="G604" s="1" t="s">
        <v>14</v>
      </c>
      <c r="H604" s="1" t="s">
        <v>15</v>
      </c>
      <c r="I604" s="1" t="s">
        <v>16</v>
      </c>
    </row>
    <row r="605" spans="1:9" x14ac:dyDescent="0.25">
      <c r="A605" s="1" t="s">
        <v>9</v>
      </c>
      <c r="B605" s="1" t="s">
        <v>10</v>
      </c>
      <c r="C605" s="1" t="s">
        <v>87</v>
      </c>
      <c r="D605" s="1" t="s">
        <v>25</v>
      </c>
      <c r="E605">
        <v>325</v>
      </c>
      <c r="F605" s="1" t="s">
        <v>18</v>
      </c>
      <c r="G605" s="1" t="s">
        <v>14</v>
      </c>
      <c r="H605" s="1" t="s">
        <v>15</v>
      </c>
      <c r="I605" s="1" t="s">
        <v>16</v>
      </c>
    </row>
    <row r="606" spans="1:9" x14ac:dyDescent="0.25">
      <c r="A606" s="1" t="s">
        <v>9</v>
      </c>
      <c r="B606" s="1" t="s">
        <v>10</v>
      </c>
      <c r="C606" s="1" t="s">
        <v>87</v>
      </c>
      <c r="D606" s="1" t="s">
        <v>26</v>
      </c>
      <c r="E606">
        <v>325</v>
      </c>
      <c r="F606" s="1" t="s">
        <v>18</v>
      </c>
      <c r="G606" s="1" t="s">
        <v>14</v>
      </c>
      <c r="H606" s="1" t="s">
        <v>15</v>
      </c>
      <c r="I606" s="1" t="s">
        <v>16</v>
      </c>
    </row>
    <row r="607" spans="1:9" x14ac:dyDescent="0.25">
      <c r="A607" s="1" t="s">
        <v>9</v>
      </c>
      <c r="B607" s="1" t="s">
        <v>10</v>
      </c>
      <c r="C607" s="1" t="s">
        <v>87</v>
      </c>
      <c r="D607" s="1" t="s">
        <v>27</v>
      </c>
      <c r="E607">
        <v>325</v>
      </c>
      <c r="F607" s="1" t="s">
        <v>18</v>
      </c>
      <c r="G607" s="1" t="s">
        <v>14</v>
      </c>
      <c r="H607" s="1" t="s">
        <v>15</v>
      </c>
      <c r="I607" s="1" t="s">
        <v>16</v>
      </c>
    </row>
    <row r="608" spans="1:9" x14ac:dyDescent="0.25">
      <c r="A608" s="1" t="s">
        <v>9</v>
      </c>
      <c r="B608" s="1" t="s">
        <v>10</v>
      </c>
      <c r="C608" s="1" t="s">
        <v>87</v>
      </c>
      <c r="D608" s="1" t="s">
        <v>28</v>
      </c>
      <c r="E608">
        <v>650</v>
      </c>
      <c r="F608" s="1" t="s">
        <v>18</v>
      </c>
      <c r="G608" s="1" t="s">
        <v>14</v>
      </c>
      <c r="H608" s="1" t="s">
        <v>15</v>
      </c>
      <c r="I608" s="1" t="s">
        <v>16</v>
      </c>
    </row>
    <row r="609" spans="1:9" x14ac:dyDescent="0.25">
      <c r="A609" s="1" t="s">
        <v>9</v>
      </c>
      <c r="B609" s="1" t="s">
        <v>10</v>
      </c>
      <c r="C609" s="1" t="s">
        <v>87</v>
      </c>
      <c r="D609" s="1" t="s">
        <v>29</v>
      </c>
      <c r="E609">
        <v>1325</v>
      </c>
      <c r="F609" s="1" t="s">
        <v>18</v>
      </c>
      <c r="G609" s="1" t="s">
        <v>14</v>
      </c>
      <c r="H609" s="1" t="s">
        <v>15</v>
      </c>
      <c r="I609" s="1" t="s">
        <v>16</v>
      </c>
    </row>
    <row r="610" spans="1:9" x14ac:dyDescent="0.25">
      <c r="A610" s="1" t="s">
        <v>9</v>
      </c>
      <c r="B610" s="1" t="s">
        <v>10</v>
      </c>
      <c r="C610" s="1" t="s">
        <v>87</v>
      </c>
      <c r="D610" s="1" t="s">
        <v>30</v>
      </c>
      <c r="E610">
        <v>650</v>
      </c>
      <c r="F610" s="1" t="s">
        <v>18</v>
      </c>
      <c r="G610" s="1" t="s">
        <v>14</v>
      </c>
      <c r="H610" s="1" t="s">
        <v>15</v>
      </c>
      <c r="I610" s="1" t="s">
        <v>16</v>
      </c>
    </row>
    <row r="611" spans="1:9" x14ac:dyDescent="0.25">
      <c r="A611" s="1" t="s">
        <v>9</v>
      </c>
      <c r="B611" s="1" t="s">
        <v>10</v>
      </c>
      <c r="C611" s="1" t="s">
        <v>87</v>
      </c>
      <c r="D611" s="1" t="s">
        <v>31</v>
      </c>
      <c r="E611">
        <v>650</v>
      </c>
      <c r="F611" s="1" t="s">
        <v>18</v>
      </c>
      <c r="G611" s="1" t="s">
        <v>14</v>
      </c>
      <c r="H611" s="1" t="s">
        <v>15</v>
      </c>
      <c r="I611" s="1" t="s">
        <v>16</v>
      </c>
    </row>
    <row r="612" spans="1:9" x14ac:dyDescent="0.25">
      <c r="A612" s="1" t="s">
        <v>9</v>
      </c>
      <c r="B612" s="1" t="s">
        <v>10</v>
      </c>
      <c r="C612" s="1" t="s">
        <v>87</v>
      </c>
      <c r="D612" s="1" t="s">
        <v>32</v>
      </c>
      <c r="E612">
        <v>325</v>
      </c>
      <c r="F612" s="1" t="s">
        <v>18</v>
      </c>
      <c r="G612" s="1" t="s">
        <v>14</v>
      </c>
      <c r="H612" s="1" t="s">
        <v>15</v>
      </c>
      <c r="I612" s="1" t="s">
        <v>16</v>
      </c>
    </row>
    <row r="613" spans="1:9" x14ac:dyDescent="0.25">
      <c r="A613" s="1" t="s">
        <v>9</v>
      </c>
      <c r="B613" s="1" t="s">
        <v>10</v>
      </c>
      <c r="C613" s="1" t="s">
        <v>87</v>
      </c>
      <c r="D613" s="1" t="s">
        <v>33</v>
      </c>
      <c r="E613">
        <v>650</v>
      </c>
      <c r="F613" s="1" t="s">
        <v>18</v>
      </c>
      <c r="G613" s="1" t="s">
        <v>14</v>
      </c>
      <c r="H613" s="1" t="s">
        <v>15</v>
      </c>
      <c r="I613" s="1" t="s">
        <v>16</v>
      </c>
    </row>
    <row r="614" spans="1:9" x14ac:dyDescent="0.25">
      <c r="A614" s="1" t="s">
        <v>9</v>
      </c>
      <c r="B614" s="1" t="s">
        <v>10</v>
      </c>
      <c r="C614" s="1" t="s">
        <v>87</v>
      </c>
      <c r="D614" s="1" t="s">
        <v>34</v>
      </c>
      <c r="E614">
        <v>325</v>
      </c>
      <c r="F614" s="1" t="s">
        <v>18</v>
      </c>
      <c r="G614" s="1" t="s">
        <v>14</v>
      </c>
      <c r="H614" s="1" t="s">
        <v>15</v>
      </c>
      <c r="I614" s="1" t="s">
        <v>16</v>
      </c>
    </row>
    <row r="615" spans="1:9" x14ac:dyDescent="0.25">
      <c r="A615" s="1" t="s">
        <v>9</v>
      </c>
      <c r="B615" s="1" t="s">
        <v>10</v>
      </c>
      <c r="C615" s="1" t="s">
        <v>87</v>
      </c>
      <c r="D615" s="1" t="s">
        <v>35</v>
      </c>
      <c r="E615">
        <v>650</v>
      </c>
      <c r="F615" s="1" t="s">
        <v>18</v>
      </c>
      <c r="G615" s="1" t="s">
        <v>14</v>
      </c>
      <c r="H615" s="1" t="s">
        <v>15</v>
      </c>
      <c r="I615" s="1" t="s">
        <v>16</v>
      </c>
    </row>
    <row r="616" spans="1:9" x14ac:dyDescent="0.25">
      <c r="A616" s="1" t="s">
        <v>9</v>
      </c>
      <c r="B616" s="1" t="s">
        <v>10</v>
      </c>
      <c r="C616" s="1" t="s">
        <v>87</v>
      </c>
      <c r="D616" s="1" t="s">
        <v>36</v>
      </c>
      <c r="E616">
        <v>1325</v>
      </c>
      <c r="F616" s="1" t="s">
        <v>18</v>
      </c>
      <c r="G616" s="1" t="s">
        <v>14</v>
      </c>
      <c r="H616" s="1" t="s">
        <v>15</v>
      </c>
      <c r="I616" s="1" t="s">
        <v>16</v>
      </c>
    </row>
    <row r="617" spans="1:9" x14ac:dyDescent="0.25">
      <c r="A617" s="1" t="s">
        <v>9</v>
      </c>
      <c r="B617" s="1" t="s">
        <v>10</v>
      </c>
      <c r="C617" s="1" t="s">
        <v>87</v>
      </c>
      <c r="D617" s="1" t="s">
        <v>37</v>
      </c>
      <c r="E617">
        <v>325</v>
      </c>
      <c r="F617" s="1" t="s">
        <v>18</v>
      </c>
      <c r="G617" s="1" t="s">
        <v>14</v>
      </c>
      <c r="H617" s="1" t="s">
        <v>15</v>
      </c>
      <c r="I617" s="1" t="s">
        <v>16</v>
      </c>
    </row>
    <row r="618" spans="1:9" x14ac:dyDescent="0.25">
      <c r="A618" s="1" t="s">
        <v>9</v>
      </c>
      <c r="B618" s="1" t="s">
        <v>10</v>
      </c>
      <c r="C618" s="1" t="s">
        <v>87</v>
      </c>
      <c r="D618" s="1" t="s">
        <v>38</v>
      </c>
      <c r="E618">
        <v>325</v>
      </c>
      <c r="F618" s="1" t="s">
        <v>18</v>
      </c>
      <c r="G618" s="1" t="s">
        <v>14</v>
      </c>
      <c r="H618" s="1" t="s">
        <v>15</v>
      </c>
      <c r="I618" s="1" t="s">
        <v>16</v>
      </c>
    </row>
    <row r="619" spans="1:9" x14ac:dyDescent="0.25">
      <c r="A619" s="1" t="s">
        <v>9</v>
      </c>
      <c r="B619" s="1" t="s">
        <v>10</v>
      </c>
      <c r="C619" s="1" t="s">
        <v>87</v>
      </c>
      <c r="D619" s="1" t="s">
        <v>39</v>
      </c>
      <c r="E619">
        <v>650</v>
      </c>
      <c r="F619" s="1" t="s">
        <v>18</v>
      </c>
      <c r="G619" s="1" t="s">
        <v>14</v>
      </c>
      <c r="H619" s="1" t="s">
        <v>15</v>
      </c>
      <c r="I619" s="1" t="s">
        <v>16</v>
      </c>
    </row>
    <row r="620" spans="1:9" x14ac:dyDescent="0.25">
      <c r="A620" s="1" t="s">
        <v>9</v>
      </c>
      <c r="B620" s="1" t="s">
        <v>10</v>
      </c>
      <c r="C620" s="1" t="s">
        <v>87</v>
      </c>
      <c r="D620" s="1" t="s">
        <v>40</v>
      </c>
      <c r="E620">
        <v>325</v>
      </c>
      <c r="F620" s="1" t="s">
        <v>18</v>
      </c>
      <c r="G620" s="1" t="s">
        <v>14</v>
      </c>
      <c r="H620" s="1" t="s">
        <v>15</v>
      </c>
      <c r="I620" s="1" t="s">
        <v>16</v>
      </c>
    </row>
    <row r="621" spans="1:9" x14ac:dyDescent="0.25">
      <c r="A621" s="1" t="s">
        <v>9</v>
      </c>
      <c r="B621" s="1" t="s">
        <v>10</v>
      </c>
      <c r="C621" s="1" t="s">
        <v>87</v>
      </c>
      <c r="D621" s="1" t="s">
        <v>41</v>
      </c>
      <c r="E621">
        <v>325</v>
      </c>
      <c r="F621" s="1" t="s">
        <v>18</v>
      </c>
      <c r="G621" s="1" t="s">
        <v>14</v>
      </c>
      <c r="H621" s="1" t="s">
        <v>15</v>
      </c>
      <c r="I621" s="1" t="s">
        <v>16</v>
      </c>
    </row>
    <row r="622" spans="1:9" x14ac:dyDescent="0.25">
      <c r="A622" s="1" t="s">
        <v>9</v>
      </c>
      <c r="B622" s="1" t="s">
        <v>10</v>
      </c>
      <c r="C622" s="1" t="s">
        <v>87</v>
      </c>
      <c r="D622" s="1" t="s">
        <v>42</v>
      </c>
      <c r="E622">
        <v>650</v>
      </c>
      <c r="F622" s="1" t="s">
        <v>18</v>
      </c>
      <c r="G622" s="1" t="s">
        <v>14</v>
      </c>
      <c r="H622" s="1" t="s">
        <v>15</v>
      </c>
      <c r="I622" s="1" t="s">
        <v>16</v>
      </c>
    </row>
    <row r="623" spans="1:9" x14ac:dyDescent="0.25">
      <c r="A623" s="1" t="s">
        <v>9</v>
      </c>
      <c r="B623" s="1" t="s">
        <v>10</v>
      </c>
      <c r="C623" s="1" t="s">
        <v>87</v>
      </c>
      <c r="D623" s="1" t="s">
        <v>43</v>
      </c>
      <c r="E623">
        <v>1325</v>
      </c>
      <c r="F623" s="1" t="s">
        <v>18</v>
      </c>
      <c r="G623" s="1" t="s">
        <v>14</v>
      </c>
      <c r="H623" s="1" t="s">
        <v>15</v>
      </c>
      <c r="I623" s="1" t="s">
        <v>16</v>
      </c>
    </row>
    <row r="624" spans="1:9" x14ac:dyDescent="0.25">
      <c r="A624" s="1" t="s">
        <v>9</v>
      </c>
      <c r="B624" s="1" t="s">
        <v>10</v>
      </c>
      <c r="C624" s="1" t="s">
        <v>87</v>
      </c>
      <c r="D624" s="1" t="s">
        <v>45</v>
      </c>
      <c r="E624">
        <v>325</v>
      </c>
      <c r="F624" s="1" t="s">
        <v>18</v>
      </c>
      <c r="G624" s="1" t="s">
        <v>14</v>
      </c>
      <c r="H624" s="1" t="s">
        <v>15</v>
      </c>
      <c r="I624" s="1" t="s">
        <v>16</v>
      </c>
    </row>
    <row r="625" spans="1:9" x14ac:dyDescent="0.25">
      <c r="A625" s="1" t="s">
        <v>9</v>
      </c>
      <c r="B625" s="1" t="s">
        <v>10</v>
      </c>
      <c r="C625" s="1" t="s">
        <v>87</v>
      </c>
      <c r="D625" s="1" t="s">
        <v>46</v>
      </c>
      <c r="E625">
        <v>325</v>
      </c>
      <c r="F625" s="1" t="s">
        <v>18</v>
      </c>
      <c r="G625" s="1" t="s">
        <v>14</v>
      </c>
      <c r="H625" s="1" t="s">
        <v>15</v>
      </c>
      <c r="I625" s="1" t="s">
        <v>16</v>
      </c>
    </row>
    <row r="626" spans="1:9" x14ac:dyDescent="0.25">
      <c r="A626" s="1" t="s">
        <v>9</v>
      </c>
      <c r="B626" s="1" t="s">
        <v>10</v>
      </c>
      <c r="C626" s="1" t="s">
        <v>87</v>
      </c>
      <c r="D626" s="1" t="s">
        <v>47</v>
      </c>
      <c r="E626">
        <v>1325</v>
      </c>
      <c r="F626" s="1" t="s">
        <v>18</v>
      </c>
      <c r="G626" s="1" t="s">
        <v>14</v>
      </c>
      <c r="H626" s="1" t="s">
        <v>15</v>
      </c>
      <c r="I626" s="1" t="s">
        <v>16</v>
      </c>
    </row>
    <row r="627" spans="1:9" x14ac:dyDescent="0.25">
      <c r="A627" s="1" t="s">
        <v>9</v>
      </c>
      <c r="B627" s="1" t="s">
        <v>10</v>
      </c>
      <c r="C627" s="1" t="s">
        <v>87</v>
      </c>
      <c r="D627" s="1" t="s">
        <v>48</v>
      </c>
      <c r="E627">
        <v>325</v>
      </c>
      <c r="F627" s="1" t="s">
        <v>18</v>
      </c>
      <c r="G627" s="1" t="s">
        <v>14</v>
      </c>
      <c r="H627" s="1" t="s">
        <v>15</v>
      </c>
      <c r="I627" s="1" t="s">
        <v>16</v>
      </c>
    </row>
    <row r="628" spans="1:9" x14ac:dyDescent="0.25">
      <c r="A628" s="1" t="s">
        <v>9</v>
      </c>
      <c r="B628" s="1" t="s">
        <v>10</v>
      </c>
      <c r="C628" s="1" t="s">
        <v>87</v>
      </c>
      <c r="D628" s="1" t="s">
        <v>49</v>
      </c>
      <c r="E628">
        <v>650</v>
      </c>
      <c r="F628" s="1" t="s">
        <v>18</v>
      </c>
      <c r="G628" s="1" t="s">
        <v>14</v>
      </c>
      <c r="H628" s="1" t="s">
        <v>15</v>
      </c>
      <c r="I628" s="1" t="s">
        <v>16</v>
      </c>
    </row>
    <row r="629" spans="1:9" x14ac:dyDescent="0.25">
      <c r="A629" s="1" t="s">
        <v>9</v>
      </c>
      <c r="B629" s="1" t="s">
        <v>10</v>
      </c>
      <c r="C629" s="1" t="s">
        <v>87</v>
      </c>
      <c r="D629" s="1" t="s">
        <v>50</v>
      </c>
      <c r="E629">
        <v>325</v>
      </c>
      <c r="F629" s="1" t="s">
        <v>18</v>
      </c>
      <c r="G629" s="1" t="s">
        <v>14</v>
      </c>
      <c r="H629" s="1" t="s">
        <v>15</v>
      </c>
      <c r="I629" s="1" t="s">
        <v>16</v>
      </c>
    </row>
    <row r="630" spans="1:9" x14ac:dyDescent="0.25">
      <c r="A630" s="1" t="s">
        <v>9</v>
      </c>
      <c r="B630" s="1" t="s">
        <v>10</v>
      </c>
      <c r="C630" s="1" t="s">
        <v>87</v>
      </c>
      <c r="D630" s="1" t="s">
        <v>51</v>
      </c>
      <c r="E630">
        <v>325</v>
      </c>
      <c r="F630" s="1" t="s">
        <v>18</v>
      </c>
      <c r="G630" s="1" t="s">
        <v>14</v>
      </c>
      <c r="H630" s="1" t="s">
        <v>15</v>
      </c>
      <c r="I630" s="1" t="s">
        <v>16</v>
      </c>
    </row>
    <row r="631" spans="1:9" x14ac:dyDescent="0.25">
      <c r="A631" s="1" t="s">
        <v>9</v>
      </c>
      <c r="B631" s="1" t="s">
        <v>10</v>
      </c>
      <c r="C631" s="1" t="s">
        <v>87</v>
      </c>
      <c r="D631" s="1" t="s">
        <v>52</v>
      </c>
      <c r="E631">
        <v>650</v>
      </c>
      <c r="F631" s="1" t="s">
        <v>18</v>
      </c>
      <c r="G631" s="1" t="s">
        <v>14</v>
      </c>
      <c r="H631" s="1" t="s">
        <v>15</v>
      </c>
      <c r="I631" s="1" t="s">
        <v>16</v>
      </c>
    </row>
    <row r="632" spans="1:9" x14ac:dyDescent="0.25">
      <c r="A632" s="1" t="s">
        <v>9</v>
      </c>
      <c r="B632" s="1" t="s">
        <v>10</v>
      </c>
      <c r="C632" s="1" t="s">
        <v>87</v>
      </c>
      <c r="D632" s="1" t="s">
        <v>53</v>
      </c>
      <c r="E632">
        <v>325</v>
      </c>
      <c r="F632" s="1" t="s">
        <v>18</v>
      </c>
      <c r="G632" s="1" t="s">
        <v>14</v>
      </c>
      <c r="H632" s="1" t="s">
        <v>15</v>
      </c>
      <c r="I632" s="1" t="s">
        <v>16</v>
      </c>
    </row>
    <row r="633" spans="1:9" x14ac:dyDescent="0.25">
      <c r="A633" s="1" t="s">
        <v>9</v>
      </c>
      <c r="B633" s="1" t="s">
        <v>10</v>
      </c>
      <c r="C633" s="1" t="s">
        <v>87</v>
      </c>
      <c r="D633" s="1" t="s">
        <v>54</v>
      </c>
      <c r="E633">
        <v>325</v>
      </c>
      <c r="F633" s="1" t="s">
        <v>18</v>
      </c>
      <c r="G633" s="1" t="s">
        <v>14</v>
      </c>
      <c r="H633" s="1" t="s">
        <v>15</v>
      </c>
      <c r="I633" s="1" t="s">
        <v>16</v>
      </c>
    </row>
    <row r="634" spans="1:9" x14ac:dyDescent="0.25">
      <c r="A634" s="1" t="s">
        <v>9</v>
      </c>
      <c r="B634" s="1" t="s">
        <v>10</v>
      </c>
      <c r="C634" s="1" t="s">
        <v>87</v>
      </c>
      <c r="D634" s="1" t="s">
        <v>55</v>
      </c>
      <c r="E634">
        <v>325</v>
      </c>
      <c r="F634" s="1" t="s">
        <v>18</v>
      </c>
      <c r="G634" s="1" t="s">
        <v>14</v>
      </c>
      <c r="H634" s="1" t="s">
        <v>15</v>
      </c>
      <c r="I634" s="1" t="s">
        <v>16</v>
      </c>
    </row>
    <row r="635" spans="1:9" x14ac:dyDescent="0.25">
      <c r="A635" s="1" t="s">
        <v>9</v>
      </c>
      <c r="B635" s="1" t="s">
        <v>10</v>
      </c>
      <c r="C635" s="1" t="s">
        <v>87</v>
      </c>
      <c r="D635" s="1" t="s">
        <v>56</v>
      </c>
      <c r="E635">
        <v>650</v>
      </c>
      <c r="F635" s="1" t="s">
        <v>18</v>
      </c>
      <c r="G635" s="1" t="s">
        <v>14</v>
      </c>
      <c r="H635" s="1" t="s">
        <v>15</v>
      </c>
      <c r="I635" s="1" t="s">
        <v>16</v>
      </c>
    </row>
    <row r="636" spans="1:9" x14ac:dyDescent="0.25">
      <c r="A636" s="1" t="s">
        <v>9</v>
      </c>
      <c r="B636" s="1" t="s">
        <v>10</v>
      </c>
      <c r="C636" s="1" t="s">
        <v>87</v>
      </c>
      <c r="D636" s="1" t="s">
        <v>57</v>
      </c>
      <c r="E636">
        <v>1325</v>
      </c>
      <c r="F636" s="1" t="s">
        <v>18</v>
      </c>
      <c r="G636" s="1" t="s">
        <v>14</v>
      </c>
      <c r="H636" s="1" t="s">
        <v>15</v>
      </c>
      <c r="I636" s="1" t="s">
        <v>16</v>
      </c>
    </row>
    <row r="637" spans="1:9" x14ac:dyDescent="0.25">
      <c r="A637" s="1" t="s">
        <v>9</v>
      </c>
      <c r="B637" s="1" t="s">
        <v>10</v>
      </c>
      <c r="C637" s="1" t="s">
        <v>87</v>
      </c>
      <c r="D637" s="1" t="s">
        <v>58</v>
      </c>
      <c r="E637">
        <v>650</v>
      </c>
      <c r="F637" s="1" t="s">
        <v>18</v>
      </c>
      <c r="G637" s="1" t="s">
        <v>14</v>
      </c>
      <c r="H637" s="1" t="s">
        <v>15</v>
      </c>
      <c r="I637" s="1" t="s">
        <v>16</v>
      </c>
    </row>
    <row r="638" spans="1:9" x14ac:dyDescent="0.25">
      <c r="A638" s="1" t="s">
        <v>9</v>
      </c>
      <c r="B638" s="1" t="s">
        <v>10</v>
      </c>
      <c r="C638" s="1" t="s">
        <v>87</v>
      </c>
      <c r="D638" s="1" t="s">
        <v>59</v>
      </c>
      <c r="E638">
        <v>650</v>
      </c>
      <c r="F638" s="1" t="s">
        <v>18</v>
      </c>
      <c r="G638" s="1" t="s">
        <v>14</v>
      </c>
      <c r="H638" s="1" t="s">
        <v>15</v>
      </c>
      <c r="I638" s="1" t="s">
        <v>16</v>
      </c>
    </row>
    <row r="639" spans="1:9" x14ac:dyDescent="0.25">
      <c r="A639" s="1" t="s">
        <v>9</v>
      </c>
      <c r="B639" s="1" t="s">
        <v>10</v>
      </c>
      <c r="C639" s="1" t="s">
        <v>87</v>
      </c>
      <c r="D639" s="1" t="s">
        <v>60</v>
      </c>
      <c r="E639">
        <v>325</v>
      </c>
      <c r="F639" s="1" t="s">
        <v>18</v>
      </c>
      <c r="G639" s="1" t="s">
        <v>14</v>
      </c>
      <c r="H639" s="1" t="s">
        <v>15</v>
      </c>
      <c r="I639" s="1" t="s">
        <v>16</v>
      </c>
    </row>
    <row r="640" spans="1:9" x14ac:dyDescent="0.25">
      <c r="A640" s="1" t="s">
        <v>9</v>
      </c>
      <c r="B640" s="1" t="s">
        <v>10</v>
      </c>
      <c r="C640" s="1" t="s">
        <v>87</v>
      </c>
      <c r="D640" s="1" t="s">
        <v>61</v>
      </c>
      <c r="E640">
        <v>650</v>
      </c>
      <c r="F640" s="1" t="s">
        <v>18</v>
      </c>
      <c r="G640" s="1" t="s">
        <v>14</v>
      </c>
      <c r="H640" s="1" t="s">
        <v>15</v>
      </c>
      <c r="I640" s="1" t="s">
        <v>16</v>
      </c>
    </row>
    <row r="641" spans="1:9" x14ac:dyDescent="0.25">
      <c r="A641" s="1" t="s">
        <v>9</v>
      </c>
      <c r="B641" s="1" t="s">
        <v>10</v>
      </c>
      <c r="C641" s="1" t="s">
        <v>87</v>
      </c>
      <c r="D641" s="1" t="s">
        <v>62</v>
      </c>
      <c r="E641">
        <v>325</v>
      </c>
      <c r="F641" s="1" t="s">
        <v>18</v>
      </c>
      <c r="G641" s="1" t="s">
        <v>14</v>
      </c>
      <c r="H641" s="1" t="s">
        <v>15</v>
      </c>
      <c r="I641" s="1" t="s">
        <v>16</v>
      </c>
    </row>
    <row r="642" spans="1:9" x14ac:dyDescent="0.25">
      <c r="A642" s="1" t="s">
        <v>9</v>
      </c>
      <c r="B642" s="1" t="s">
        <v>10</v>
      </c>
      <c r="C642" s="1" t="s">
        <v>87</v>
      </c>
      <c r="D642" s="1" t="s">
        <v>63</v>
      </c>
      <c r="E642">
        <v>650</v>
      </c>
      <c r="F642" s="1" t="s">
        <v>18</v>
      </c>
      <c r="G642" s="1" t="s">
        <v>14</v>
      </c>
      <c r="H642" s="1" t="s">
        <v>15</v>
      </c>
      <c r="I642" s="1" t="s">
        <v>16</v>
      </c>
    </row>
    <row r="643" spans="1:9" x14ac:dyDescent="0.25">
      <c r="A643" s="1" t="s">
        <v>88</v>
      </c>
      <c r="B643" s="1" t="s">
        <v>10</v>
      </c>
      <c r="C643" s="1" t="s">
        <v>87</v>
      </c>
      <c r="D643" s="1" t="s">
        <v>64</v>
      </c>
      <c r="E643">
        <v>1325</v>
      </c>
      <c r="F643" s="1" t="s">
        <v>18</v>
      </c>
      <c r="G643" s="1" t="s">
        <v>14</v>
      </c>
      <c r="H643" s="1" t="s">
        <v>15</v>
      </c>
      <c r="I643" s="1" t="s">
        <v>16</v>
      </c>
    </row>
    <row r="644" spans="1:9" x14ac:dyDescent="0.25">
      <c r="A644" s="1" t="s">
        <v>89</v>
      </c>
      <c r="B644" s="1" t="s">
        <v>10</v>
      </c>
      <c r="C644" s="1" t="s">
        <v>87</v>
      </c>
      <c r="D644" s="1" t="s">
        <v>65</v>
      </c>
      <c r="E644">
        <v>325</v>
      </c>
      <c r="F644" s="1" t="s">
        <v>18</v>
      </c>
      <c r="G644" s="1" t="s">
        <v>14</v>
      </c>
      <c r="H644" s="1" t="s">
        <v>15</v>
      </c>
      <c r="I644" s="1" t="s">
        <v>16</v>
      </c>
    </row>
    <row r="645" spans="1:9" x14ac:dyDescent="0.25">
      <c r="A645" s="1" t="s">
        <v>90</v>
      </c>
      <c r="B645" s="1" t="s">
        <v>10</v>
      </c>
      <c r="C645" s="1" t="s">
        <v>87</v>
      </c>
      <c r="D645" s="1" t="s">
        <v>66</v>
      </c>
      <c r="E645">
        <v>325</v>
      </c>
      <c r="F645" s="1" t="s">
        <v>18</v>
      </c>
      <c r="G645" s="1" t="s">
        <v>14</v>
      </c>
      <c r="H645" s="1" t="s">
        <v>15</v>
      </c>
      <c r="I645" s="1" t="s">
        <v>16</v>
      </c>
    </row>
    <row r="646" spans="1:9" x14ac:dyDescent="0.25">
      <c r="A646" s="1" t="s">
        <v>91</v>
      </c>
      <c r="B646" s="1" t="s">
        <v>10</v>
      </c>
      <c r="C646" s="1" t="s">
        <v>87</v>
      </c>
      <c r="D646" s="1" t="s">
        <v>67</v>
      </c>
      <c r="E646">
        <v>650</v>
      </c>
      <c r="F646" s="1" t="s">
        <v>18</v>
      </c>
      <c r="G646" s="1" t="s">
        <v>14</v>
      </c>
      <c r="H646" s="1" t="s">
        <v>15</v>
      </c>
      <c r="I646" s="1" t="s">
        <v>16</v>
      </c>
    </row>
    <row r="647" spans="1:9" x14ac:dyDescent="0.25">
      <c r="A647" s="1" t="s">
        <v>92</v>
      </c>
      <c r="B647" s="1" t="s">
        <v>10</v>
      </c>
      <c r="C647" s="1" t="s">
        <v>87</v>
      </c>
      <c r="D647" s="1" t="s">
        <v>68</v>
      </c>
      <c r="E647">
        <v>325</v>
      </c>
      <c r="F647" s="1" t="s">
        <v>18</v>
      </c>
      <c r="G647" s="1" t="s">
        <v>14</v>
      </c>
      <c r="H647" s="1" t="s">
        <v>15</v>
      </c>
      <c r="I647" s="1" t="s">
        <v>16</v>
      </c>
    </row>
    <row r="648" spans="1:9" x14ac:dyDescent="0.25">
      <c r="A648" s="1" t="s">
        <v>93</v>
      </c>
      <c r="B648" s="1" t="s">
        <v>10</v>
      </c>
      <c r="C648" s="1" t="s">
        <v>87</v>
      </c>
      <c r="D648" s="1" t="s">
        <v>69</v>
      </c>
      <c r="E648">
        <v>325</v>
      </c>
      <c r="F648" s="1" t="s">
        <v>18</v>
      </c>
      <c r="G648" s="1" t="s">
        <v>14</v>
      </c>
      <c r="H648" s="1" t="s">
        <v>15</v>
      </c>
      <c r="I648" s="1" t="s">
        <v>16</v>
      </c>
    </row>
    <row r="649" spans="1:9" x14ac:dyDescent="0.25">
      <c r="A649" s="1" t="s">
        <v>94</v>
      </c>
      <c r="B649" s="1" t="s">
        <v>10</v>
      </c>
      <c r="C649" s="1" t="s">
        <v>87</v>
      </c>
      <c r="D649" s="1" t="s">
        <v>70</v>
      </c>
      <c r="E649">
        <v>650</v>
      </c>
      <c r="F649" s="1" t="s">
        <v>18</v>
      </c>
      <c r="G649" s="1" t="s">
        <v>14</v>
      </c>
      <c r="H649" s="1" t="s">
        <v>15</v>
      </c>
      <c r="I649" s="1" t="s">
        <v>16</v>
      </c>
    </row>
    <row r="650" spans="1:9" x14ac:dyDescent="0.25">
      <c r="A650" s="1" t="s">
        <v>95</v>
      </c>
      <c r="B650" s="1" t="s">
        <v>10</v>
      </c>
      <c r="C650" s="1" t="s">
        <v>96</v>
      </c>
      <c r="D650" s="1" t="s">
        <v>12</v>
      </c>
      <c r="E650">
        <v>325</v>
      </c>
      <c r="F650" s="1" t="s">
        <v>97</v>
      </c>
      <c r="G650" s="1" t="s">
        <v>14</v>
      </c>
      <c r="H650" s="1" t="s">
        <v>75</v>
      </c>
      <c r="I650" s="1" t="s">
        <v>16</v>
      </c>
    </row>
    <row r="651" spans="1:9" x14ac:dyDescent="0.25">
      <c r="A651" s="1" t="s">
        <v>98</v>
      </c>
      <c r="B651" s="1" t="s">
        <v>10</v>
      </c>
      <c r="C651" s="1" t="s">
        <v>96</v>
      </c>
      <c r="D651" s="1" t="s">
        <v>17</v>
      </c>
      <c r="E651">
        <v>325</v>
      </c>
      <c r="F651" s="1" t="s">
        <v>97</v>
      </c>
      <c r="G651" s="1" t="s">
        <v>14</v>
      </c>
      <c r="H651" s="1" t="s">
        <v>75</v>
      </c>
      <c r="I651" s="1" t="s">
        <v>16</v>
      </c>
    </row>
    <row r="652" spans="1:9" x14ac:dyDescent="0.25">
      <c r="A652" s="1" t="s">
        <v>99</v>
      </c>
      <c r="B652" s="1" t="s">
        <v>10</v>
      </c>
      <c r="C652" s="1" t="s">
        <v>96</v>
      </c>
      <c r="D652" s="1" t="s">
        <v>18</v>
      </c>
      <c r="E652">
        <v>325</v>
      </c>
      <c r="F652" s="1" t="s">
        <v>97</v>
      </c>
      <c r="G652" s="1" t="s">
        <v>14</v>
      </c>
      <c r="H652" s="1" t="s">
        <v>75</v>
      </c>
      <c r="I652" s="1" t="s">
        <v>16</v>
      </c>
    </row>
    <row r="653" spans="1:9" x14ac:dyDescent="0.25">
      <c r="A653" s="1" t="s">
        <v>100</v>
      </c>
      <c r="B653" s="1" t="s">
        <v>10</v>
      </c>
      <c r="C653" s="1" t="s">
        <v>96</v>
      </c>
      <c r="D653" s="1" t="s">
        <v>19</v>
      </c>
      <c r="E653">
        <v>650</v>
      </c>
      <c r="F653" s="1" t="s">
        <v>97</v>
      </c>
      <c r="G653" s="1" t="s">
        <v>14</v>
      </c>
      <c r="H653" s="1" t="s">
        <v>75</v>
      </c>
      <c r="I653" s="1" t="s">
        <v>16</v>
      </c>
    </row>
    <row r="654" spans="1:9" x14ac:dyDescent="0.25">
      <c r="A654" s="1" t="s">
        <v>101</v>
      </c>
      <c r="B654" s="1" t="s">
        <v>10</v>
      </c>
      <c r="C654" s="1" t="s">
        <v>96</v>
      </c>
      <c r="D654" s="1" t="s">
        <v>20</v>
      </c>
      <c r="E654">
        <v>325</v>
      </c>
      <c r="F654" s="1" t="s">
        <v>97</v>
      </c>
      <c r="G654" s="1" t="s">
        <v>14</v>
      </c>
      <c r="H654" s="1" t="s">
        <v>75</v>
      </c>
      <c r="I654" s="1" t="s">
        <v>16</v>
      </c>
    </row>
    <row r="655" spans="1:9" x14ac:dyDescent="0.25">
      <c r="A655" s="1" t="s">
        <v>102</v>
      </c>
      <c r="B655" s="1" t="s">
        <v>10</v>
      </c>
      <c r="C655" s="1" t="s">
        <v>96</v>
      </c>
      <c r="D655" s="1" t="s">
        <v>21</v>
      </c>
      <c r="E655">
        <v>650</v>
      </c>
      <c r="F655" s="1" t="s">
        <v>97</v>
      </c>
      <c r="G655" s="1" t="s">
        <v>14</v>
      </c>
      <c r="H655" s="1" t="s">
        <v>75</v>
      </c>
      <c r="I655" s="1" t="s">
        <v>16</v>
      </c>
    </row>
    <row r="656" spans="1:9" x14ac:dyDescent="0.25">
      <c r="A656" s="1" t="s">
        <v>103</v>
      </c>
      <c r="B656" s="1" t="s">
        <v>10</v>
      </c>
      <c r="C656" s="1" t="s">
        <v>96</v>
      </c>
      <c r="D656" s="1" t="s">
        <v>22</v>
      </c>
      <c r="E656">
        <v>650</v>
      </c>
      <c r="F656" s="1" t="s">
        <v>97</v>
      </c>
      <c r="G656" s="1" t="s">
        <v>14</v>
      </c>
      <c r="H656" s="1" t="s">
        <v>75</v>
      </c>
      <c r="I656" s="1" t="s">
        <v>16</v>
      </c>
    </row>
    <row r="657" spans="1:9" x14ac:dyDescent="0.25">
      <c r="A657" s="1" t="s">
        <v>104</v>
      </c>
      <c r="B657" s="1" t="s">
        <v>10</v>
      </c>
      <c r="C657" s="1" t="s">
        <v>96</v>
      </c>
      <c r="D657" s="1" t="s">
        <v>23</v>
      </c>
      <c r="E657">
        <v>650</v>
      </c>
      <c r="F657" s="1" t="s">
        <v>97</v>
      </c>
      <c r="G657" s="1" t="s">
        <v>14</v>
      </c>
      <c r="H657" s="1" t="s">
        <v>75</v>
      </c>
      <c r="I657" s="1" t="s">
        <v>16</v>
      </c>
    </row>
    <row r="658" spans="1:9" x14ac:dyDescent="0.25">
      <c r="A658" s="1" t="s">
        <v>105</v>
      </c>
      <c r="B658" s="1" t="s">
        <v>10</v>
      </c>
      <c r="C658" s="1" t="s">
        <v>96</v>
      </c>
      <c r="D658" s="1" t="s">
        <v>24</v>
      </c>
      <c r="E658">
        <v>650</v>
      </c>
      <c r="F658" s="1" t="s">
        <v>97</v>
      </c>
      <c r="G658" s="1" t="s">
        <v>14</v>
      </c>
      <c r="H658" s="1" t="s">
        <v>75</v>
      </c>
      <c r="I658" s="1" t="s">
        <v>16</v>
      </c>
    </row>
    <row r="659" spans="1:9" x14ac:dyDescent="0.25">
      <c r="A659" s="1" t="s">
        <v>106</v>
      </c>
      <c r="B659" s="1" t="s">
        <v>10</v>
      </c>
      <c r="C659" s="1" t="s">
        <v>96</v>
      </c>
      <c r="D659" s="1" t="s">
        <v>25</v>
      </c>
      <c r="E659">
        <v>175</v>
      </c>
      <c r="F659" s="1" t="s">
        <v>97</v>
      </c>
      <c r="G659" s="1" t="s">
        <v>14</v>
      </c>
      <c r="H659" s="1" t="s">
        <v>75</v>
      </c>
      <c r="I659" s="1" t="s">
        <v>16</v>
      </c>
    </row>
    <row r="660" spans="1:9" x14ac:dyDescent="0.25">
      <c r="A660" s="1" t="s">
        <v>107</v>
      </c>
      <c r="B660" s="1" t="s">
        <v>10</v>
      </c>
      <c r="C660" s="1" t="s">
        <v>96</v>
      </c>
      <c r="D660" s="1" t="s">
        <v>26</v>
      </c>
      <c r="E660">
        <v>325</v>
      </c>
      <c r="F660" s="1" t="s">
        <v>97</v>
      </c>
      <c r="G660" s="1" t="s">
        <v>14</v>
      </c>
      <c r="H660" s="1" t="s">
        <v>75</v>
      </c>
      <c r="I660" s="1" t="s">
        <v>16</v>
      </c>
    </row>
    <row r="661" spans="1:9" x14ac:dyDescent="0.25">
      <c r="A661" s="1" t="s">
        <v>108</v>
      </c>
      <c r="B661" s="1" t="s">
        <v>10</v>
      </c>
      <c r="C661" s="1" t="s">
        <v>96</v>
      </c>
      <c r="D661" s="1" t="s">
        <v>27</v>
      </c>
      <c r="E661">
        <v>175</v>
      </c>
      <c r="F661" s="1" t="s">
        <v>97</v>
      </c>
      <c r="G661" s="1" t="s">
        <v>14</v>
      </c>
      <c r="H661" s="1" t="s">
        <v>75</v>
      </c>
      <c r="I661" s="1" t="s">
        <v>16</v>
      </c>
    </row>
    <row r="662" spans="1:9" x14ac:dyDescent="0.25">
      <c r="A662" s="1" t="s">
        <v>109</v>
      </c>
      <c r="B662" s="1" t="s">
        <v>10</v>
      </c>
      <c r="C662" s="1" t="s">
        <v>96</v>
      </c>
      <c r="D662" s="1" t="s">
        <v>28</v>
      </c>
      <c r="E662">
        <v>325</v>
      </c>
      <c r="F662" s="1" t="s">
        <v>97</v>
      </c>
      <c r="G662" s="1" t="s">
        <v>14</v>
      </c>
      <c r="H662" s="1" t="s">
        <v>75</v>
      </c>
      <c r="I662" s="1" t="s">
        <v>16</v>
      </c>
    </row>
    <row r="663" spans="1:9" x14ac:dyDescent="0.25">
      <c r="A663" s="1" t="s">
        <v>110</v>
      </c>
      <c r="B663" s="1" t="s">
        <v>10</v>
      </c>
      <c r="C663" s="1" t="s">
        <v>96</v>
      </c>
      <c r="D663" s="1" t="s">
        <v>29</v>
      </c>
      <c r="E663">
        <v>650</v>
      </c>
      <c r="F663" s="1" t="s">
        <v>97</v>
      </c>
      <c r="G663" s="1" t="s">
        <v>14</v>
      </c>
      <c r="H663" s="1" t="s">
        <v>75</v>
      </c>
      <c r="I663" s="1" t="s">
        <v>16</v>
      </c>
    </row>
    <row r="664" spans="1:9" x14ac:dyDescent="0.25">
      <c r="A664" s="1" t="s">
        <v>111</v>
      </c>
      <c r="B664" s="1" t="s">
        <v>10</v>
      </c>
      <c r="C664" s="1" t="s">
        <v>96</v>
      </c>
      <c r="D664" s="1" t="s">
        <v>30</v>
      </c>
      <c r="E664">
        <v>325</v>
      </c>
      <c r="F664" s="1" t="s">
        <v>97</v>
      </c>
      <c r="G664" s="1" t="s">
        <v>14</v>
      </c>
      <c r="H664" s="1" t="s">
        <v>75</v>
      </c>
      <c r="I664" s="1" t="s">
        <v>16</v>
      </c>
    </row>
    <row r="665" spans="1:9" x14ac:dyDescent="0.25">
      <c r="A665" s="1" t="s">
        <v>112</v>
      </c>
      <c r="B665" s="1" t="s">
        <v>10</v>
      </c>
      <c r="C665" s="1" t="s">
        <v>96</v>
      </c>
      <c r="D665" s="1" t="s">
        <v>31</v>
      </c>
      <c r="E665">
        <v>650</v>
      </c>
      <c r="F665" s="1" t="s">
        <v>97</v>
      </c>
      <c r="G665" s="1" t="s">
        <v>14</v>
      </c>
      <c r="H665" s="1" t="s">
        <v>75</v>
      </c>
      <c r="I665" s="1" t="s">
        <v>16</v>
      </c>
    </row>
    <row r="666" spans="1:9" x14ac:dyDescent="0.25">
      <c r="A666" s="1" t="s">
        <v>113</v>
      </c>
      <c r="B666" s="1" t="s">
        <v>10</v>
      </c>
      <c r="C666" s="1" t="s">
        <v>96</v>
      </c>
      <c r="D666" s="1" t="s">
        <v>32</v>
      </c>
      <c r="E666">
        <v>650</v>
      </c>
      <c r="F666" s="1" t="s">
        <v>97</v>
      </c>
      <c r="G666" s="1" t="s">
        <v>14</v>
      </c>
      <c r="H666" s="1" t="s">
        <v>75</v>
      </c>
      <c r="I666" s="1" t="s">
        <v>16</v>
      </c>
    </row>
    <row r="667" spans="1:9" x14ac:dyDescent="0.25">
      <c r="A667" s="1" t="s">
        <v>114</v>
      </c>
      <c r="B667" s="1" t="s">
        <v>10</v>
      </c>
      <c r="C667" s="1" t="s">
        <v>96</v>
      </c>
      <c r="D667" s="1" t="s">
        <v>33</v>
      </c>
      <c r="E667">
        <v>325</v>
      </c>
      <c r="F667" s="1" t="s">
        <v>97</v>
      </c>
      <c r="G667" s="1" t="s">
        <v>14</v>
      </c>
      <c r="H667" s="1" t="s">
        <v>75</v>
      </c>
      <c r="I667" s="1" t="s">
        <v>16</v>
      </c>
    </row>
    <row r="668" spans="1:9" x14ac:dyDescent="0.25">
      <c r="A668" s="1" t="s">
        <v>115</v>
      </c>
      <c r="B668" s="1" t="s">
        <v>10</v>
      </c>
      <c r="C668" s="1" t="s">
        <v>96</v>
      </c>
      <c r="D668" s="1" t="s">
        <v>34</v>
      </c>
      <c r="E668">
        <v>650</v>
      </c>
      <c r="F668" s="1" t="s">
        <v>97</v>
      </c>
      <c r="G668" s="1" t="s">
        <v>14</v>
      </c>
      <c r="H668" s="1" t="s">
        <v>75</v>
      </c>
      <c r="I668" s="1" t="s">
        <v>16</v>
      </c>
    </row>
    <row r="669" spans="1:9" x14ac:dyDescent="0.25">
      <c r="A669" s="1" t="s">
        <v>116</v>
      </c>
      <c r="B669" s="1" t="s">
        <v>10</v>
      </c>
      <c r="C669" s="1" t="s">
        <v>96</v>
      </c>
      <c r="D669" s="1" t="s">
        <v>35</v>
      </c>
      <c r="E669">
        <v>650</v>
      </c>
      <c r="F669" s="1" t="s">
        <v>97</v>
      </c>
      <c r="G669" s="1" t="s">
        <v>14</v>
      </c>
      <c r="H669" s="1" t="s">
        <v>75</v>
      </c>
      <c r="I669" s="1" t="s">
        <v>16</v>
      </c>
    </row>
    <row r="670" spans="1:9" x14ac:dyDescent="0.25">
      <c r="A670" s="1" t="s">
        <v>117</v>
      </c>
      <c r="B670" s="1" t="s">
        <v>10</v>
      </c>
      <c r="C670" s="1" t="s">
        <v>96</v>
      </c>
      <c r="D670" s="1" t="s">
        <v>36</v>
      </c>
      <c r="E670">
        <v>325</v>
      </c>
      <c r="F670" s="1" t="s">
        <v>97</v>
      </c>
      <c r="G670" s="1" t="s">
        <v>14</v>
      </c>
      <c r="H670" s="1" t="s">
        <v>75</v>
      </c>
      <c r="I670" s="1" t="s">
        <v>16</v>
      </c>
    </row>
    <row r="671" spans="1:9" x14ac:dyDescent="0.25">
      <c r="A671" s="1" t="s">
        <v>118</v>
      </c>
      <c r="B671" s="1" t="s">
        <v>10</v>
      </c>
      <c r="C671" s="1" t="s">
        <v>96</v>
      </c>
      <c r="D671" s="1" t="s">
        <v>37</v>
      </c>
      <c r="E671">
        <v>650</v>
      </c>
      <c r="F671" s="1" t="s">
        <v>97</v>
      </c>
      <c r="G671" s="1" t="s">
        <v>14</v>
      </c>
      <c r="H671" s="1" t="s">
        <v>75</v>
      </c>
      <c r="I671" s="1" t="s">
        <v>16</v>
      </c>
    </row>
    <row r="672" spans="1:9" x14ac:dyDescent="0.25">
      <c r="A672" s="1" t="s">
        <v>119</v>
      </c>
      <c r="B672" s="1" t="s">
        <v>10</v>
      </c>
      <c r="C672" s="1" t="s">
        <v>96</v>
      </c>
      <c r="D672" s="1" t="s">
        <v>38</v>
      </c>
      <c r="E672">
        <v>175</v>
      </c>
      <c r="F672" s="1" t="s">
        <v>97</v>
      </c>
      <c r="G672" s="1" t="s">
        <v>14</v>
      </c>
      <c r="H672" s="1" t="s">
        <v>75</v>
      </c>
      <c r="I672" s="1" t="s">
        <v>16</v>
      </c>
    </row>
    <row r="673" spans="1:9" x14ac:dyDescent="0.25">
      <c r="A673" s="1" t="s">
        <v>120</v>
      </c>
      <c r="B673" s="1" t="s">
        <v>10</v>
      </c>
      <c r="C673" s="1" t="s">
        <v>96</v>
      </c>
      <c r="D673" s="1" t="s">
        <v>39</v>
      </c>
      <c r="E673">
        <v>325</v>
      </c>
      <c r="F673" s="1" t="s">
        <v>97</v>
      </c>
      <c r="G673" s="1" t="s">
        <v>14</v>
      </c>
      <c r="H673" s="1" t="s">
        <v>75</v>
      </c>
      <c r="I673" s="1" t="s">
        <v>16</v>
      </c>
    </row>
    <row r="674" spans="1:9" x14ac:dyDescent="0.25">
      <c r="A674" s="1" t="s">
        <v>121</v>
      </c>
      <c r="B674" s="1" t="s">
        <v>10</v>
      </c>
      <c r="C674" s="1" t="s">
        <v>96</v>
      </c>
      <c r="D674" s="1" t="s">
        <v>40</v>
      </c>
      <c r="E674">
        <v>650</v>
      </c>
      <c r="F674" s="1" t="s">
        <v>97</v>
      </c>
      <c r="G674" s="1" t="s">
        <v>14</v>
      </c>
      <c r="H674" s="1" t="s">
        <v>75</v>
      </c>
      <c r="I674" s="1" t="s">
        <v>16</v>
      </c>
    </row>
    <row r="675" spans="1:9" x14ac:dyDescent="0.25">
      <c r="A675" s="1" t="s">
        <v>122</v>
      </c>
      <c r="B675" s="1" t="s">
        <v>10</v>
      </c>
      <c r="C675" s="1" t="s">
        <v>96</v>
      </c>
      <c r="D675" s="1" t="s">
        <v>41</v>
      </c>
      <c r="E675">
        <v>650</v>
      </c>
      <c r="F675" s="1" t="s">
        <v>97</v>
      </c>
      <c r="G675" s="1" t="s">
        <v>14</v>
      </c>
      <c r="H675" s="1" t="s">
        <v>75</v>
      </c>
      <c r="I675" s="1" t="s">
        <v>16</v>
      </c>
    </row>
    <row r="676" spans="1:9" x14ac:dyDescent="0.25">
      <c r="A676" s="1" t="s">
        <v>123</v>
      </c>
      <c r="B676" s="1" t="s">
        <v>10</v>
      </c>
      <c r="C676" s="1" t="s">
        <v>96</v>
      </c>
      <c r="D676" s="1" t="s">
        <v>42</v>
      </c>
      <c r="E676">
        <v>325</v>
      </c>
      <c r="F676" s="1" t="s">
        <v>97</v>
      </c>
      <c r="G676" s="1" t="s">
        <v>14</v>
      </c>
      <c r="H676" s="1" t="s">
        <v>75</v>
      </c>
      <c r="I676" s="1" t="s">
        <v>16</v>
      </c>
    </row>
    <row r="677" spans="1:9" x14ac:dyDescent="0.25">
      <c r="A677" s="1" t="s">
        <v>124</v>
      </c>
      <c r="B677" s="1" t="s">
        <v>10</v>
      </c>
      <c r="C677" s="1" t="s">
        <v>96</v>
      </c>
      <c r="D677" s="1" t="s">
        <v>43</v>
      </c>
      <c r="E677">
        <v>325</v>
      </c>
      <c r="F677" s="1" t="s">
        <v>97</v>
      </c>
      <c r="G677" s="1" t="s">
        <v>14</v>
      </c>
      <c r="H677" s="1" t="s">
        <v>75</v>
      </c>
      <c r="I677" s="1" t="s">
        <v>16</v>
      </c>
    </row>
    <row r="678" spans="1:9" x14ac:dyDescent="0.25">
      <c r="A678" s="1" t="s">
        <v>125</v>
      </c>
      <c r="B678" s="1" t="s">
        <v>10</v>
      </c>
      <c r="C678" s="1" t="s">
        <v>96</v>
      </c>
      <c r="D678" s="1" t="s">
        <v>45</v>
      </c>
      <c r="E678">
        <v>325</v>
      </c>
      <c r="F678" s="1" t="s">
        <v>97</v>
      </c>
      <c r="G678" s="1" t="s">
        <v>14</v>
      </c>
      <c r="H678" s="1" t="s">
        <v>75</v>
      </c>
      <c r="I678" s="1" t="s">
        <v>16</v>
      </c>
    </row>
    <row r="679" spans="1:9" x14ac:dyDescent="0.25">
      <c r="A679" s="1" t="s">
        <v>126</v>
      </c>
      <c r="B679" s="1" t="s">
        <v>10</v>
      </c>
      <c r="C679" s="1" t="s">
        <v>96</v>
      </c>
      <c r="D679" s="1" t="s">
        <v>46</v>
      </c>
      <c r="E679">
        <v>325</v>
      </c>
      <c r="F679" s="1" t="s">
        <v>97</v>
      </c>
      <c r="G679" s="1" t="s">
        <v>14</v>
      </c>
      <c r="H679" s="1" t="s">
        <v>75</v>
      </c>
      <c r="I679" s="1" t="s">
        <v>16</v>
      </c>
    </row>
    <row r="680" spans="1:9" x14ac:dyDescent="0.25">
      <c r="A680" s="1" t="s">
        <v>127</v>
      </c>
      <c r="B680" s="1" t="s">
        <v>10</v>
      </c>
      <c r="C680" s="1" t="s">
        <v>96</v>
      </c>
      <c r="D680" s="1" t="s">
        <v>47</v>
      </c>
      <c r="E680">
        <v>650</v>
      </c>
      <c r="F680" s="1" t="s">
        <v>97</v>
      </c>
      <c r="G680" s="1" t="s">
        <v>14</v>
      </c>
      <c r="H680" s="1" t="s">
        <v>75</v>
      </c>
      <c r="I680" s="1" t="s">
        <v>16</v>
      </c>
    </row>
    <row r="681" spans="1:9" x14ac:dyDescent="0.25">
      <c r="A681" s="1" t="s">
        <v>128</v>
      </c>
      <c r="B681" s="1" t="s">
        <v>10</v>
      </c>
      <c r="C681" s="1" t="s">
        <v>96</v>
      </c>
      <c r="D681" s="1" t="s">
        <v>48</v>
      </c>
      <c r="E681">
        <v>325</v>
      </c>
      <c r="F681" s="1" t="s">
        <v>97</v>
      </c>
      <c r="G681" s="1" t="s">
        <v>14</v>
      </c>
      <c r="H681" s="1" t="s">
        <v>75</v>
      </c>
      <c r="I681" s="1" t="s">
        <v>16</v>
      </c>
    </row>
    <row r="682" spans="1:9" x14ac:dyDescent="0.25">
      <c r="A682" s="1" t="s">
        <v>129</v>
      </c>
      <c r="B682" s="1" t="s">
        <v>10</v>
      </c>
      <c r="C682" s="1" t="s">
        <v>96</v>
      </c>
      <c r="D682" s="1" t="s">
        <v>49</v>
      </c>
      <c r="E682">
        <v>650</v>
      </c>
      <c r="F682" s="1" t="s">
        <v>97</v>
      </c>
      <c r="G682" s="1" t="s">
        <v>14</v>
      </c>
      <c r="H682" s="1" t="s">
        <v>75</v>
      </c>
      <c r="I682" s="1" t="s">
        <v>16</v>
      </c>
    </row>
    <row r="683" spans="1:9" x14ac:dyDescent="0.25">
      <c r="A683" s="1" t="s">
        <v>130</v>
      </c>
      <c r="B683" s="1" t="s">
        <v>10</v>
      </c>
      <c r="C683" s="1" t="s">
        <v>96</v>
      </c>
      <c r="D683" s="1" t="s">
        <v>50</v>
      </c>
      <c r="E683">
        <v>650</v>
      </c>
      <c r="F683" s="1" t="s">
        <v>97</v>
      </c>
      <c r="G683" s="1" t="s">
        <v>14</v>
      </c>
      <c r="H683" s="1" t="s">
        <v>75</v>
      </c>
      <c r="I683" s="1" t="s">
        <v>16</v>
      </c>
    </row>
    <row r="684" spans="1:9" x14ac:dyDescent="0.25">
      <c r="A684" s="1" t="s">
        <v>131</v>
      </c>
      <c r="B684" s="1" t="s">
        <v>10</v>
      </c>
      <c r="C684" s="1" t="s">
        <v>96</v>
      </c>
      <c r="D684" s="1" t="s">
        <v>51</v>
      </c>
      <c r="E684">
        <v>650</v>
      </c>
      <c r="F684" s="1" t="s">
        <v>97</v>
      </c>
      <c r="G684" s="1" t="s">
        <v>14</v>
      </c>
      <c r="H684" s="1" t="s">
        <v>75</v>
      </c>
      <c r="I684" s="1" t="s">
        <v>16</v>
      </c>
    </row>
    <row r="685" spans="1:9" x14ac:dyDescent="0.25">
      <c r="A685" s="1" t="s">
        <v>132</v>
      </c>
      <c r="B685" s="1" t="s">
        <v>10</v>
      </c>
      <c r="C685" s="1" t="s">
        <v>96</v>
      </c>
      <c r="D685" s="1" t="s">
        <v>52</v>
      </c>
      <c r="E685">
        <v>650</v>
      </c>
      <c r="F685" s="1" t="s">
        <v>97</v>
      </c>
      <c r="G685" s="1" t="s">
        <v>14</v>
      </c>
      <c r="H685" s="1" t="s">
        <v>75</v>
      </c>
      <c r="I685" s="1" t="s">
        <v>16</v>
      </c>
    </row>
    <row r="686" spans="1:9" x14ac:dyDescent="0.25">
      <c r="A686" s="1" t="s">
        <v>133</v>
      </c>
      <c r="B686" s="1" t="s">
        <v>10</v>
      </c>
      <c r="C686" s="1" t="s">
        <v>96</v>
      </c>
      <c r="D686" s="1" t="s">
        <v>53</v>
      </c>
      <c r="E686">
        <v>175</v>
      </c>
      <c r="F686" s="1" t="s">
        <v>97</v>
      </c>
      <c r="G686" s="1" t="s">
        <v>14</v>
      </c>
      <c r="H686" s="1" t="s">
        <v>75</v>
      </c>
      <c r="I686" s="1" t="s">
        <v>16</v>
      </c>
    </row>
    <row r="687" spans="1:9" x14ac:dyDescent="0.25">
      <c r="A687" s="1" t="s">
        <v>134</v>
      </c>
      <c r="B687" s="1" t="s">
        <v>10</v>
      </c>
      <c r="C687" s="1" t="s">
        <v>96</v>
      </c>
      <c r="D687" s="1" t="s">
        <v>54</v>
      </c>
      <c r="E687">
        <v>325</v>
      </c>
      <c r="F687" s="1" t="s">
        <v>97</v>
      </c>
      <c r="G687" s="1" t="s">
        <v>14</v>
      </c>
      <c r="H687" s="1" t="s">
        <v>75</v>
      </c>
      <c r="I687" s="1" t="s">
        <v>16</v>
      </c>
    </row>
    <row r="688" spans="1:9" x14ac:dyDescent="0.25">
      <c r="A688" s="1" t="s">
        <v>135</v>
      </c>
      <c r="B688" s="1" t="s">
        <v>10</v>
      </c>
      <c r="C688" s="1" t="s">
        <v>96</v>
      </c>
      <c r="D688" s="1" t="s">
        <v>55</v>
      </c>
      <c r="E688">
        <v>175</v>
      </c>
      <c r="F688" s="1" t="s">
        <v>97</v>
      </c>
      <c r="G688" s="1" t="s">
        <v>14</v>
      </c>
      <c r="H688" s="1" t="s">
        <v>75</v>
      </c>
      <c r="I688" s="1" t="s">
        <v>16</v>
      </c>
    </row>
    <row r="689" spans="1:9" x14ac:dyDescent="0.25">
      <c r="A689" s="1" t="s">
        <v>136</v>
      </c>
      <c r="B689" s="1" t="s">
        <v>10</v>
      </c>
      <c r="C689" s="1" t="s">
        <v>96</v>
      </c>
      <c r="D689" s="1" t="s">
        <v>56</v>
      </c>
      <c r="E689">
        <v>325</v>
      </c>
      <c r="F689" s="1" t="s">
        <v>97</v>
      </c>
      <c r="G689" s="1" t="s">
        <v>14</v>
      </c>
      <c r="H689" s="1" t="s">
        <v>75</v>
      </c>
      <c r="I689" s="1" t="s">
        <v>16</v>
      </c>
    </row>
    <row r="690" spans="1:9" x14ac:dyDescent="0.25">
      <c r="A690" s="1" t="s">
        <v>137</v>
      </c>
      <c r="B690" s="1" t="s">
        <v>10</v>
      </c>
      <c r="C690" s="1" t="s">
        <v>96</v>
      </c>
      <c r="D690" s="1" t="s">
        <v>57</v>
      </c>
      <c r="E690">
        <v>650</v>
      </c>
      <c r="F690" s="1" t="s">
        <v>97</v>
      </c>
      <c r="G690" s="1" t="s">
        <v>14</v>
      </c>
      <c r="H690" s="1" t="s">
        <v>75</v>
      </c>
      <c r="I690" s="1" t="s">
        <v>16</v>
      </c>
    </row>
    <row r="691" spans="1:9" x14ac:dyDescent="0.25">
      <c r="A691" s="1" t="s">
        <v>138</v>
      </c>
      <c r="B691" s="1" t="s">
        <v>10</v>
      </c>
      <c r="C691" s="1" t="s">
        <v>96</v>
      </c>
      <c r="D691" s="1" t="s">
        <v>58</v>
      </c>
      <c r="E691">
        <v>325</v>
      </c>
      <c r="F691" s="1" t="s">
        <v>97</v>
      </c>
      <c r="G691" s="1" t="s">
        <v>14</v>
      </c>
      <c r="H691" s="1" t="s">
        <v>75</v>
      </c>
      <c r="I691" s="1" t="s">
        <v>16</v>
      </c>
    </row>
    <row r="692" spans="1:9" x14ac:dyDescent="0.25">
      <c r="A692" s="1" t="s">
        <v>139</v>
      </c>
      <c r="B692" s="1" t="s">
        <v>10</v>
      </c>
      <c r="C692" s="1" t="s">
        <v>96</v>
      </c>
      <c r="D692" s="1" t="s">
        <v>59</v>
      </c>
      <c r="E692">
        <v>650</v>
      </c>
      <c r="F692" s="1" t="s">
        <v>97</v>
      </c>
      <c r="G692" s="1" t="s">
        <v>14</v>
      </c>
      <c r="H692" s="1" t="s">
        <v>75</v>
      </c>
      <c r="I692" s="1" t="s">
        <v>16</v>
      </c>
    </row>
    <row r="693" spans="1:9" x14ac:dyDescent="0.25">
      <c r="A693" s="1" t="s">
        <v>140</v>
      </c>
      <c r="B693" s="1" t="s">
        <v>10</v>
      </c>
      <c r="C693" s="1" t="s">
        <v>96</v>
      </c>
      <c r="D693" s="1" t="s">
        <v>60</v>
      </c>
      <c r="E693">
        <v>650</v>
      </c>
      <c r="F693" s="1" t="s">
        <v>97</v>
      </c>
      <c r="G693" s="1" t="s">
        <v>14</v>
      </c>
      <c r="H693" s="1" t="s">
        <v>75</v>
      </c>
      <c r="I693" s="1" t="s">
        <v>16</v>
      </c>
    </row>
    <row r="694" spans="1:9" x14ac:dyDescent="0.25">
      <c r="A694" s="1" t="s">
        <v>141</v>
      </c>
      <c r="B694" s="1" t="s">
        <v>10</v>
      </c>
      <c r="C694" s="1" t="s">
        <v>96</v>
      </c>
      <c r="D694" s="1" t="s">
        <v>61</v>
      </c>
      <c r="E694">
        <v>325</v>
      </c>
      <c r="F694" s="1" t="s">
        <v>97</v>
      </c>
      <c r="G694" s="1" t="s">
        <v>14</v>
      </c>
      <c r="H694" s="1" t="s">
        <v>75</v>
      </c>
      <c r="I694" s="1" t="s">
        <v>16</v>
      </c>
    </row>
    <row r="695" spans="1:9" x14ac:dyDescent="0.25">
      <c r="A695" s="1" t="s">
        <v>142</v>
      </c>
      <c r="B695" s="1" t="s">
        <v>10</v>
      </c>
      <c r="C695" s="1" t="s">
        <v>96</v>
      </c>
      <c r="D695" s="1" t="s">
        <v>62</v>
      </c>
      <c r="E695">
        <v>650</v>
      </c>
      <c r="F695" s="1" t="s">
        <v>97</v>
      </c>
      <c r="G695" s="1" t="s">
        <v>14</v>
      </c>
      <c r="H695" s="1" t="s">
        <v>75</v>
      </c>
      <c r="I695" s="1" t="s">
        <v>16</v>
      </c>
    </row>
    <row r="696" spans="1:9" x14ac:dyDescent="0.25">
      <c r="A696" s="1" t="s">
        <v>143</v>
      </c>
      <c r="B696" s="1" t="s">
        <v>10</v>
      </c>
      <c r="C696" s="1" t="s">
        <v>96</v>
      </c>
      <c r="D696" s="1" t="s">
        <v>63</v>
      </c>
      <c r="E696">
        <v>650</v>
      </c>
      <c r="F696" s="1" t="s">
        <v>97</v>
      </c>
      <c r="G696" s="1" t="s">
        <v>14</v>
      </c>
      <c r="H696" s="1" t="s">
        <v>75</v>
      </c>
      <c r="I696" s="1" t="s">
        <v>16</v>
      </c>
    </row>
    <row r="697" spans="1:9" x14ac:dyDescent="0.25">
      <c r="A697" s="1" t="s">
        <v>144</v>
      </c>
      <c r="B697" s="1" t="s">
        <v>10</v>
      </c>
      <c r="C697" s="1" t="s">
        <v>96</v>
      </c>
      <c r="D697" s="1" t="s">
        <v>64</v>
      </c>
      <c r="E697">
        <v>325</v>
      </c>
      <c r="F697" s="1" t="s">
        <v>97</v>
      </c>
      <c r="G697" s="1" t="s">
        <v>14</v>
      </c>
      <c r="H697" s="1" t="s">
        <v>75</v>
      </c>
      <c r="I697" s="1" t="s">
        <v>16</v>
      </c>
    </row>
    <row r="698" spans="1:9" x14ac:dyDescent="0.25">
      <c r="A698" s="1" t="s">
        <v>145</v>
      </c>
      <c r="B698" s="1" t="s">
        <v>10</v>
      </c>
      <c r="C698" s="1" t="s">
        <v>96</v>
      </c>
      <c r="D698" s="1" t="s">
        <v>65</v>
      </c>
      <c r="E698">
        <v>650</v>
      </c>
      <c r="F698" s="1" t="s">
        <v>97</v>
      </c>
      <c r="G698" s="1" t="s">
        <v>14</v>
      </c>
      <c r="H698" s="1" t="s">
        <v>75</v>
      </c>
      <c r="I698" s="1" t="s">
        <v>16</v>
      </c>
    </row>
    <row r="699" spans="1:9" x14ac:dyDescent="0.25">
      <c r="A699" s="1" t="s">
        <v>146</v>
      </c>
      <c r="B699" s="1" t="s">
        <v>10</v>
      </c>
      <c r="C699" s="1" t="s">
        <v>96</v>
      </c>
      <c r="D699" s="1" t="s">
        <v>66</v>
      </c>
      <c r="E699">
        <v>175</v>
      </c>
      <c r="F699" s="1" t="s">
        <v>97</v>
      </c>
      <c r="G699" s="1" t="s">
        <v>14</v>
      </c>
      <c r="H699" s="1" t="s">
        <v>75</v>
      </c>
      <c r="I699" s="1" t="s">
        <v>16</v>
      </c>
    </row>
    <row r="700" spans="1:9" x14ac:dyDescent="0.25">
      <c r="A700" s="1" t="s">
        <v>147</v>
      </c>
      <c r="B700" s="1" t="s">
        <v>10</v>
      </c>
      <c r="C700" s="1" t="s">
        <v>96</v>
      </c>
      <c r="D700" s="1" t="s">
        <v>67</v>
      </c>
      <c r="E700">
        <v>325</v>
      </c>
      <c r="F700" s="1" t="s">
        <v>97</v>
      </c>
      <c r="G700" s="1" t="s">
        <v>14</v>
      </c>
      <c r="H700" s="1" t="s">
        <v>75</v>
      </c>
      <c r="I700" s="1" t="s">
        <v>16</v>
      </c>
    </row>
    <row r="701" spans="1:9" x14ac:dyDescent="0.25">
      <c r="A701" s="1" t="s">
        <v>148</v>
      </c>
      <c r="B701" s="1" t="s">
        <v>10</v>
      </c>
      <c r="C701" s="1" t="s">
        <v>96</v>
      </c>
      <c r="D701" s="1" t="s">
        <v>68</v>
      </c>
      <c r="E701">
        <v>650</v>
      </c>
      <c r="F701" s="1" t="s">
        <v>97</v>
      </c>
      <c r="G701" s="1" t="s">
        <v>14</v>
      </c>
      <c r="H701" s="1" t="s">
        <v>75</v>
      </c>
      <c r="I701" s="1" t="s">
        <v>16</v>
      </c>
    </row>
    <row r="702" spans="1:9" x14ac:dyDescent="0.25">
      <c r="A702" s="1" t="s">
        <v>149</v>
      </c>
      <c r="B702" s="1" t="s">
        <v>10</v>
      </c>
      <c r="C702" s="1" t="s">
        <v>96</v>
      </c>
      <c r="D702" s="1" t="s">
        <v>69</v>
      </c>
      <c r="E702">
        <v>650</v>
      </c>
      <c r="F702" s="1" t="s">
        <v>97</v>
      </c>
      <c r="G702" s="1" t="s">
        <v>14</v>
      </c>
      <c r="H702" s="1" t="s">
        <v>75</v>
      </c>
      <c r="I702" s="1" t="s">
        <v>16</v>
      </c>
    </row>
    <row r="703" spans="1:9" x14ac:dyDescent="0.25">
      <c r="A703" s="1" t="s">
        <v>150</v>
      </c>
      <c r="B703" s="1" t="s">
        <v>10</v>
      </c>
      <c r="C703" s="1" t="s">
        <v>96</v>
      </c>
      <c r="D703" s="1" t="s">
        <v>70</v>
      </c>
      <c r="E703">
        <v>325</v>
      </c>
      <c r="F703" s="1" t="s">
        <v>97</v>
      </c>
      <c r="G703" s="1" t="s">
        <v>14</v>
      </c>
      <c r="H703" s="1" t="s">
        <v>75</v>
      </c>
      <c r="I703" s="1" t="s">
        <v>16</v>
      </c>
    </row>
    <row r="704" spans="1:9" x14ac:dyDescent="0.25">
      <c r="A704" s="1" t="s">
        <v>151</v>
      </c>
      <c r="B704" s="1" t="s">
        <v>10</v>
      </c>
      <c r="C704" s="1" t="s">
        <v>152</v>
      </c>
      <c r="D704" s="1" t="s">
        <v>12</v>
      </c>
      <c r="E704">
        <v>200</v>
      </c>
      <c r="F704" s="1" t="s">
        <v>24</v>
      </c>
      <c r="G704" s="1" t="s">
        <v>14</v>
      </c>
      <c r="H704" s="1" t="s">
        <v>15</v>
      </c>
      <c r="I704" s="1" t="s">
        <v>16</v>
      </c>
    </row>
    <row r="705" spans="1:9" x14ac:dyDescent="0.25">
      <c r="A705" s="1" t="s">
        <v>153</v>
      </c>
      <c r="B705" s="1" t="s">
        <v>10</v>
      </c>
      <c r="C705" s="1" t="s">
        <v>152</v>
      </c>
      <c r="D705" s="1" t="s">
        <v>17</v>
      </c>
      <c r="E705">
        <v>200</v>
      </c>
      <c r="F705" s="1" t="s">
        <v>24</v>
      </c>
      <c r="G705" s="1" t="s">
        <v>14</v>
      </c>
      <c r="H705" s="1" t="s">
        <v>15</v>
      </c>
      <c r="I705" s="1" t="s">
        <v>16</v>
      </c>
    </row>
    <row r="706" spans="1:9" x14ac:dyDescent="0.25">
      <c r="A706" s="1" t="s">
        <v>154</v>
      </c>
      <c r="B706" s="1" t="s">
        <v>10</v>
      </c>
      <c r="C706" s="1" t="s">
        <v>152</v>
      </c>
      <c r="D706" s="1" t="s">
        <v>18</v>
      </c>
      <c r="E706">
        <v>200</v>
      </c>
      <c r="F706" s="1" t="s">
        <v>24</v>
      </c>
      <c r="G706" s="1" t="s">
        <v>14</v>
      </c>
      <c r="H706" s="1" t="s">
        <v>15</v>
      </c>
      <c r="I706" s="1" t="s">
        <v>16</v>
      </c>
    </row>
    <row r="707" spans="1:9" x14ac:dyDescent="0.25">
      <c r="A707" s="1" t="s">
        <v>155</v>
      </c>
      <c r="B707" s="1" t="s">
        <v>10</v>
      </c>
      <c r="C707" s="1" t="s">
        <v>152</v>
      </c>
      <c r="D707" s="1" t="s">
        <v>19</v>
      </c>
      <c r="E707">
        <v>200</v>
      </c>
      <c r="F707" s="1" t="s">
        <v>24</v>
      </c>
      <c r="G707" s="1" t="s">
        <v>14</v>
      </c>
      <c r="H707" s="1" t="s">
        <v>15</v>
      </c>
      <c r="I707" s="1" t="s">
        <v>16</v>
      </c>
    </row>
    <row r="708" spans="1:9" x14ac:dyDescent="0.25">
      <c r="A708" s="1" t="s">
        <v>156</v>
      </c>
      <c r="B708" s="1" t="s">
        <v>10</v>
      </c>
      <c r="C708" s="1" t="s">
        <v>152</v>
      </c>
      <c r="D708" s="1" t="s">
        <v>20</v>
      </c>
      <c r="E708">
        <v>375</v>
      </c>
      <c r="F708" s="1" t="s">
        <v>24</v>
      </c>
      <c r="G708" s="1" t="s">
        <v>14</v>
      </c>
      <c r="H708" s="1" t="s">
        <v>15</v>
      </c>
      <c r="I708" s="1" t="s">
        <v>16</v>
      </c>
    </row>
    <row r="709" spans="1:9" x14ac:dyDescent="0.25">
      <c r="A709" s="1" t="s">
        <v>157</v>
      </c>
      <c r="B709" s="1" t="s">
        <v>10</v>
      </c>
      <c r="C709" s="1" t="s">
        <v>152</v>
      </c>
      <c r="D709" s="1" t="s">
        <v>21</v>
      </c>
      <c r="E709">
        <v>200</v>
      </c>
      <c r="F709" s="1" t="s">
        <v>24</v>
      </c>
      <c r="G709" s="1" t="s">
        <v>14</v>
      </c>
      <c r="H709" s="1" t="s">
        <v>15</v>
      </c>
      <c r="I709" s="1" t="s">
        <v>16</v>
      </c>
    </row>
    <row r="710" spans="1:9" x14ac:dyDescent="0.25">
      <c r="A710" s="1" t="s">
        <v>158</v>
      </c>
      <c r="B710" s="1" t="s">
        <v>10</v>
      </c>
      <c r="C710" s="1" t="s">
        <v>152</v>
      </c>
      <c r="D710" s="1" t="s">
        <v>22</v>
      </c>
      <c r="E710">
        <v>200</v>
      </c>
      <c r="F710" s="1" t="s">
        <v>24</v>
      </c>
      <c r="G710" s="1" t="s">
        <v>14</v>
      </c>
      <c r="H710" s="1" t="s">
        <v>15</v>
      </c>
      <c r="I710" s="1" t="s">
        <v>16</v>
      </c>
    </row>
    <row r="711" spans="1:9" x14ac:dyDescent="0.25">
      <c r="A711" s="1" t="s">
        <v>159</v>
      </c>
      <c r="B711" s="1" t="s">
        <v>10</v>
      </c>
      <c r="C711" s="1" t="s">
        <v>152</v>
      </c>
      <c r="D711" s="1" t="s">
        <v>23</v>
      </c>
      <c r="E711">
        <v>200</v>
      </c>
      <c r="F711" s="1" t="s">
        <v>24</v>
      </c>
      <c r="G711" s="1" t="s">
        <v>14</v>
      </c>
      <c r="H711" s="1" t="s">
        <v>15</v>
      </c>
      <c r="I711" s="1" t="s">
        <v>16</v>
      </c>
    </row>
    <row r="712" spans="1:9" x14ac:dyDescent="0.25">
      <c r="A712" s="1" t="s">
        <v>160</v>
      </c>
      <c r="B712" s="1" t="s">
        <v>10</v>
      </c>
      <c r="C712" s="1" t="s">
        <v>152</v>
      </c>
      <c r="D712" s="1" t="s">
        <v>24</v>
      </c>
      <c r="E712">
        <v>200</v>
      </c>
      <c r="F712" s="1" t="s">
        <v>24</v>
      </c>
      <c r="G712" s="1" t="s">
        <v>14</v>
      </c>
      <c r="H712" s="1" t="s">
        <v>15</v>
      </c>
      <c r="I712" s="1" t="s">
        <v>16</v>
      </c>
    </row>
    <row r="713" spans="1:9" x14ac:dyDescent="0.25">
      <c r="A713" s="1" t="s">
        <v>161</v>
      </c>
      <c r="B713" s="1" t="s">
        <v>10</v>
      </c>
      <c r="C713" s="1" t="s">
        <v>152</v>
      </c>
      <c r="D713" s="1" t="s">
        <v>25</v>
      </c>
      <c r="E713">
        <v>200</v>
      </c>
      <c r="F713" s="1" t="s">
        <v>24</v>
      </c>
      <c r="G713" s="1" t="s">
        <v>14</v>
      </c>
      <c r="H713" s="1" t="s">
        <v>15</v>
      </c>
      <c r="I713" s="1" t="s">
        <v>16</v>
      </c>
    </row>
    <row r="714" spans="1:9" x14ac:dyDescent="0.25">
      <c r="A714" s="1" t="s">
        <v>162</v>
      </c>
      <c r="B714" s="1" t="s">
        <v>10</v>
      </c>
      <c r="C714" s="1" t="s">
        <v>152</v>
      </c>
      <c r="D714" s="1" t="s">
        <v>26</v>
      </c>
      <c r="E714">
        <v>200</v>
      </c>
      <c r="F714" s="1" t="s">
        <v>24</v>
      </c>
      <c r="G714" s="1" t="s">
        <v>14</v>
      </c>
      <c r="H714" s="1" t="s">
        <v>15</v>
      </c>
      <c r="I714" s="1" t="s">
        <v>16</v>
      </c>
    </row>
    <row r="715" spans="1:9" x14ac:dyDescent="0.25">
      <c r="A715" s="1" t="s">
        <v>163</v>
      </c>
      <c r="B715" s="1" t="s">
        <v>10</v>
      </c>
      <c r="C715" s="1" t="s">
        <v>152</v>
      </c>
      <c r="D715" s="1" t="s">
        <v>27</v>
      </c>
      <c r="E715">
        <v>200</v>
      </c>
      <c r="F715" s="1" t="s">
        <v>24</v>
      </c>
      <c r="G715" s="1" t="s">
        <v>14</v>
      </c>
      <c r="H715" s="1" t="s">
        <v>15</v>
      </c>
      <c r="I715" s="1" t="s">
        <v>16</v>
      </c>
    </row>
    <row r="716" spans="1:9" x14ac:dyDescent="0.25">
      <c r="A716" s="1" t="s">
        <v>164</v>
      </c>
      <c r="B716" s="1" t="s">
        <v>10</v>
      </c>
      <c r="C716" s="1" t="s">
        <v>152</v>
      </c>
      <c r="D716" s="1" t="s">
        <v>28</v>
      </c>
      <c r="E716">
        <v>375</v>
      </c>
      <c r="F716" s="1" t="s">
        <v>24</v>
      </c>
      <c r="G716" s="1" t="s">
        <v>14</v>
      </c>
      <c r="H716" s="1" t="s">
        <v>15</v>
      </c>
      <c r="I716" s="1" t="s">
        <v>16</v>
      </c>
    </row>
    <row r="717" spans="1:9" x14ac:dyDescent="0.25">
      <c r="A717" s="1" t="s">
        <v>165</v>
      </c>
      <c r="B717" s="1" t="s">
        <v>10</v>
      </c>
      <c r="C717" s="1" t="s">
        <v>152</v>
      </c>
      <c r="D717" s="1" t="s">
        <v>29</v>
      </c>
      <c r="E717">
        <v>200</v>
      </c>
      <c r="F717" s="1" t="s">
        <v>24</v>
      </c>
      <c r="G717" s="1" t="s">
        <v>14</v>
      </c>
      <c r="H717" s="1" t="s">
        <v>15</v>
      </c>
      <c r="I717" s="1" t="s">
        <v>16</v>
      </c>
    </row>
    <row r="718" spans="1:9" x14ac:dyDescent="0.25">
      <c r="A718" s="1" t="s">
        <v>166</v>
      </c>
      <c r="B718" s="1" t="s">
        <v>10</v>
      </c>
      <c r="C718" s="1" t="s">
        <v>152</v>
      </c>
      <c r="D718" s="1" t="s">
        <v>30</v>
      </c>
      <c r="E718">
        <v>200</v>
      </c>
      <c r="F718" s="1" t="s">
        <v>24</v>
      </c>
      <c r="G718" s="1" t="s">
        <v>14</v>
      </c>
      <c r="H718" s="1" t="s">
        <v>15</v>
      </c>
      <c r="I718" s="1" t="s">
        <v>16</v>
      </c>
    </row>
    <row r="719" spans="1:9" x14ac:dyDescent="0.25">
      <c r="A719" s="1" t="s">
        <v>167</v>
      </c>
      <c r="B719" s="1" t="s">
        <v>10</v>
      </c>
      <c r="C719" s="1" t="s">
        <v>152</v>
      </c>
      <c r="D719" s="1" t="s">
        <v>31</v>
      </c>
      <c r="E719">
        <v>200</v>
      </c>
      <c r="F719" s="1" t="s">
        <v>24</v>
      </c>
      <c r="G719" s="1" t="s">
        <v>14</v>
      </c>
      <c r="H719" s="1" t="s">
        <v>15</v>
      </c>
      <c r="I719" s="1" t="s">
        <v>16</v>
      </c>
    </row>
    <row r="720" spans="1:9" x14ac:dyDescent="0.25">
      <c r="A720" s="1" t="s">
        <v>168</v>
      </c>
      <c r="B720" s="1" t="s">
        <v>10</v>
      </c>
      <c r="C720" s="1" t="s">
        <v>152</v>
      </c>
      <c r="D720" s="1" t="s">
        <v>32</v>
      </c>
      <c r="E720">
        <v>200</v>
      </c>
      <c r="F720" s="1" t="s">
        <v>24</v>
      </c>
      <c r="G720" s="1" t="s">
        <v>14</v>
      </c>
      <c r="H720" s="1" t="s">
        <v>15</v>
      </c>
      <c r="I720" s="1" t="s">
        <v>16</v>
      </c>
    </row>
    <row r="721" spans="1:9" x14ac:dyDescent="0.25">
      <c r="A721" s="1" t="s">
        <v>169</v>
      </c>
      <c r="B721" s="1" t="s">
        <v>10</v>
      </c>
      <c r="C721" s="1" t="s">
        <v>152</v>
      </c>
      <c r="D721" s="1" t="s">
        <v>33</v>
      </c>
      <c r="E721">
        <v>200</v>
      </c>
      <c r="F721" s="1" t="s">
        <v>24</v>
      </c>
      <c r="G721" s="1" t="s">
        <v>14</v>
      </c>
      <c r="H721" s="1" t="s">
        <v>15</v>
      </c>
      <c r="I721" s="1" t="s">
        <v>16</v>
      </c>
    </row>
    <row r="722" spans="1:9" x14ac:dyDescent="0.25">
      <c r="A722" s="1" t="s">
        <v>170</v>
      </c>
      <c r="B722" s="1" t="s">
        <v>10</v>
      </c>
      <c r="C722" s="1" t="s">
        <v>152</v>
      </c>
      <c r="D722" s="1" t="s">
        <v>34</v>
      </c>
      <c r="E722">
        <v>375</v>
      </c>
      <c r="F722" s="1" t="s">
        <v>24</v>
      </c>
      <c r="G722" s="1" t="s">
        <v>14</v>
      </c>
      <c r="H722" s="1" t="s">
        <v>15</v>
      </c>
      <c r="I722" s="1" t="s">
        <v>16</v>
      </c>
    </row>
    <row r="723" spans="1:9" x14ac:dyDescent="0.25">
      <c r="A723" s="1" t="s">
        <v>171</v>
      </c>
      <c r="B723" s="1" t="s">
        <v>10</v>
      </c>
      <c r="C723" s="1" t="s">
        <v>152</v>
      </c>
      <c r="D723" s="1" t="s">
        <v>35</v>
      </c>
      <c r="E723">
        <v>200</v>
      </c>
      <c r="F723" s="1" t="s">
        <v>24</v>
      </c>
      <c r="G723" s="1" t="s">
        <v>14</v>
      </c>
      <c r="H723" s="1" t="s">
        <v>15</v>
      </c>
      <c r="I723" s="1" t="s">
        <v>16</v>
      </c>
    </row>
    <row r="724" spans="1:9" x14ac:dyDescent="0.25">
      <c r="A724" s="1" t="s">
        <v>172</v>
      </c>
      <c r="B724" s="1" t="s">
        <v>10</v>
      </c>
      <c r="C724" s="1" t="s">
        <v>152</v>
      </c>
      <c r="D724" s="1" t="s">
        <v>36</v>
      </c>
      <c r="E724">
        <v>200</v>
      </c>
      <c r="F724" s="1" t="s">
        <v>24</v>
      </c>
      <c r="G724" s="1" t="s">
        <v>14</v>
      </c>
      <c r="H724" s="1" t="s">
        <v>15</v>
      </c>
      <c r="I724" s="1" t="s">
        <v>16</v>
      </c>
    </row>
    <row r="725" spans="1:9" x14ac:dyDescent="0.25">
      <c r="A725" s="1" t="s">
        <v>173</v>
      </c>
      <c r="B725" s="1" t="s">
        <v>10</v>
      </c>
      <c r="C725" s="1" t="s">
        <v>152</v>
      </c>
      <c r="D725" s="1" t="s">
        <v>37</v>
      </c>
      <c r="E725">
        <v>375</v>
      </c>
      <c r="F725" s="1" t="s">
        <v>24</v>
      </c>
      <c r="G725" s="1" t="s">
        <v>14</v>
      </c>
      <c r="H725" s="1" t="s">
        <v>15</v>
      </c>
      <c r="I725" s="1" t="s">
        <v>16</v>
      </c>
    </row>
    <row r="726" spans="1:9" x14ac:dyDescent="0.25">
      <c r="A726" s="1" t="s">
        <v>174</v>
      </c>
      <c r="B726" s="1" t="s">
        <v>10</v>
      </c>
      <c r="C726" s="1" t="s">
        <v>152</v>
      </c>
      <c r="D726" s="1" t="s">
        <v>38</v>
      </c>
      <c r="E726">
        <v>375</v>
      </c>
      <c r="F726" s="1" t="s">
        <v>24</v>
      </c>
      <c r="G726" s="1" t="s">
        <v>14</v>
      </c>
      <c r="H726" s="1" t="s">
        <v>15</v>
      </c>
      <c r="I726" s="1" t="s">
        <v>16</v>
      </c>
    </row>
    <row r="727" spans="1:9" x14ac:dyDescent="0.25">
      <c r="A727" s="1" t="s">
        <v>175</v>
      </c>
      <c r="B727" s="1" t="s">
        <v>10</v>
      </c>
      <c r="C727" s="1" t="s">
        <v>152</v>
      </c>
      <c r="D727" s="1" t="s">
        <v>39</v>
      </c>
      <c r="E727">
        <v>375</v>
      </c>
      <c r="F727" s="1" t="s">
        <v>24</v>
      </c>
      <c r="G727" s="1" t="s">
        <v>14</v>
      </c>
      <c r="H727" s="1" t="s">
        <v>15</v>
      </c>
      <c r="I727" s="1" t="s">
        <v>16</v>
      </c>
    </row>
    <row r="728" spans="1:9" x14ac:dyDescent="0.25">
      <c r="A728" s="1" t="s">
        <v>176</v>
      </c>
      <c r="B728" s="1" t="s">
        <v>10</v>
      </c>
      <c r="C728" s="1" t="s">
        <v>152</v>
      </c>
      <c r="D728" s="1" t="s">
        <v>40</v>
      </c>
      <c r="E728">
        <v>200</v>
      </c>
      <c r="F728" s="1" t="s">
        <v>24</v>
      </c>
      <c r="G728" s="1" t="s">
        <v>14</v>
      </c>
      <c r="H728" s="1" t="s">
        <v>15</v>
      </c>
      <c r="I728" s="1" t="s">
        <v>16</v>
      </c>
    </row>
    <row r="729" spans="1:9" x14ac:dyDescent="0.25">
      <c r="A729" s="1" t="s">
        <v>177</v>
      </c>
      <c r="B729" s="1" t="s">
        <v>10</v>
      </c>
      <c r="C729" s="1" t="s">
        <v>152</v>
      </c>
      <c r="D729" s="1" t="s">
        <v>41</v>
      </c>
      <c r="E729">
        <v>200</v>
      </c>
      <c r="F729" s="1" t="s">
        <v>24</v>
      </c>
      <c r="G729" s="1" t="s">
        <v>14</v>
      </c>
      <c r="H729" s="1" t="s">
        <v>15</v>
      </c>
      <c r="I729" s="1" t="s">
        <v>16</v>
      </c>
    </row>
    <row r="730" spans="1:9" x14ac:dyDescent="0.25">
      <c r="A730" s="1" t="s">
        <v>178</v>
      </c>
      <c r="B730" s="1" t="s">
        <v>10</v>
      </c>
      <c r="C730" s="1" t="s">
        <v>152</v>
      </c>
      <c r="D730" s="1" t="s">
        <v>42</v>
      </c>
      <c r="E730">
        <v>375</v>
      </c>
      <c r="F730" s="1" t="s">
        <v>24</v>
      </c>
      <c r="G730" s="1" t="s">
        <v>14</v>
      </c>
      <c r="H730" s="1" t="s">
        <v>15</v>
      </c>
      <c r="I730" s="1" t="s">
        <v>16</v>
      </c>
    </row>
    <row r="731" spans="1:9" x14ac:dyDescent="0.25">
      <c r="A731" s="1" t="s">
        <v>179</v>
      </c>
      <c r="B731" s="1" t="s">
        <v>10</v>
      </c>
      <c r="C731" s="1" t="s">
        <v>152</v>
      </c>
      <c r="D731" s="1" t="s">
        <v>43</v>
      </c>
      <c r="E731">
        <v>200</v>
      </c>
      <c r="F731" s="1" t="s">
        <v>24</v>
      </c>
      <c r="G731" s="1" t="s">
        <v>14</v>
      </c>
      <c r="H731" s="1" t="s">
        <v>15</v>
      </c>
      <c r="I731" s="1" t="s">
        <v>16</v>
      </c>
    </row>
    <row r="732" spans="1:9" x14ac:dyDescent="0.25">
      <c r="A732" s="1" t="s">
        <v>180</v>
      </c>
      <c r="B732" s="1" t="s">
        <v>10</v>
      </c>
      <c r="C732" s="1" t="s">
        <v>152</v>
      </c>
      <c r="D732" s="1" t="s">
        <v>45</v>
      </c>
      <c r="E732">
        <v>200</v>
      </c>
      <c r="F732" s="1" t="s">
        <v>24</v>
      </c>
      <c r="G732" s="1" t="s">
        <v>14</v>
      </c>
      <c r="H732" s="1" t="s">
        <v>15</v>
      </c>
      <c r="I732" s="1" t="s">
        <v>16</v>
      </c>
    </row>
    <row r="733" spans="1:9" x14ac:dyDescent="0.25">
      <c r="A733" s="1" t="s">
        <v>181</v>
      </c>
      <c r="B733" s="1" t="s">
        <v>10</v>
      </c>
      <c r="C733" s="1" t="s">
        <v>152</v>
      </c>
      <c r="D733" s="1" t="s">
        <v>46</v>
      </c>
      <c r="E733">
        <v>200</v>
      </c>
      <c r="F733" s="1" t="s">
        <v>24</v>
      </c>
      <c r="G733" s="1" t="s">
        <v>14</v>
      </c>
      <c r="H733" s="1" t="s">
        <v>15</v>
      </c>
      <c r="I733" s="1" t="s">
        <v>16</v>
      </c>
    </row>
    <row r="734" spans="1:9" x14ac:dyDescent="0.25">
      <c r="A734" s="1" t="s">
        <v>182</v>
      </c>
      <c r="B734" s="1" t="s">
        <v>10</v>
      </c>
      <c r="C734" s="1" t="s">
        <v>152</v>
      </c>
      <c r="D734" s="1" t="s">
        <v>47</v>
      </c>
      <c r="E734">
        <v>200</v>
      </c>
      <c r="F734" s="1" t="s">
        <v>24</v>
      </c>
      <c r="G734" s="1" t="s">
        <v>14</v>
      </c>
      <c r="H734" s="1" t="s">
        <v>15</v>
      </c>
      <c r="I734" s="1" t="s">
        <v>16</v>
      </c>
    </row>
    <row r="735" spans="1:9" x14ac:dyDescent="0.25">
      <c r="A735" s="1" t="s">
        <v>183</v>
      </c>
      <c r="B735" s="1" t="s">
        <v>10</v>
      </c>
      <c r="C735" s="1" t="s">
        <v>152</v>
      </c>
      <c r="D735" s="1" t="s">
        <v>48</v>
      </c>
      <c r="E735">
        <v>375</v>
      </c>
      <c r="F735" s="1" t="s">
        <v>24</v>
      </c>
      <c r="G735" s="1" t="s">
        <v>14</v>
      </c>
      <c r="H735" s="1" t="s">
        <v>15</v>
      </c>
      <c r="I735" s="1" t="s">
        <v>16</v>
      </c>
    </row>
    <row r="736" spans="1:9" x14ac:dyDescent="0.25">
      <c r="A736" s="1" t="s">
        <v>184</v>
      </c>
      <c r="B736" s="1" t="s">
        <v>10</v>
      </c>
      <c r="C736" s="1" t="s">
        <v>152</v>
      </c>
      <c r="D736" s="1" t="s">
        <v>49</v>
      </c>
      <c r="E736">
        <v>200</v>
      </c>
      <c r="F736" s="1" t="s">
        <v>24</v>
      </c>
      <c r="G736" s="1" t="s">
        <v>14</v>
      </c>
      <c r="H736" s="1" t="s">
        <v>15</v>
      </c>
      <c r="I736" s="1" t="s">
        <v>16</v>
      </c>
    </row>
    <row r="737" spans="1:9" x14ac:dyDescent="0.25">
      <c r="A737" s="1" t="s">
        <v>185</v>
      </c>
      <c r="B737" s="1" t="s">
        <v>10</v>
      </c>
      <c r="C737" s="1" t="s">
        <v>152</v>
      </c>
      <c r="D737" s="1" t="s">
        <v>50</v>
      </c>
      <c r="E737">
        <v>200</v>
      </c>
      <c r="F737" s="1" t="s">
        <v>24</v>
      </c>
      <c r="G737" s="1" t="s">
        <v>14</v>
      </c>
      <c r="H737" s="1" t="s">
        <v>15</v>
      </c>
      <c r="I737" s="1" t="s">
        <v>16</v>
      </c>
    </row>
    <row r="738" spans="1:9" x14ac:dyDescent="0.25">
      <c r="A738" s="1" t="s">
        <v>186</v>
      </c>
      <c r="B738" s="1" t="s">
        <v>10</v>
      </c>
      <c r="C738" s="1" t="s">
        <v>152</v>
      </c>
      <c r="D738" s="1" t="s">
        <v>51</v>
      </c>
      <c r="E738">
        <v>200</v>
      </c>
      <c r="F738" s="1" t="s">
        <v>24</v>
      </c>
      <c r="G738" s="1" t="s">
        <v>14</v>
      </c>
      <c r="H738" s="1" t="s">
        <v>15</v>
      </c>
      <c r="I738" s="1" t="s">
        <v>16</v>
      </c>
    </row>
    <row r="739" spans="1:9" x14ac:dyDescent="0.25">
      <c r="A739" s="1" t="s">
        <v>187</v>
      </c>
      <c r="B739" s="1" t="s">
        <v>10</v>
      </c>
      <c r="C739" s="1" t="s">
        <v>152</v>
      </c>
      <c r="D739" s="1" t="s">
        <v>52</v>
      </c>
      <c r="E739">
        <v>200</v>
      </c>
      <c r="F739" s="1" t="s">
        <v>24</v>
      </c>
      <c r="G739" s="1" t="s">
        <v>14</v>
      </c>
      <c r="H739" s="1" t="s">
        <v>15</v>
      </c>
      <c r="I739" s="1" t="s">
        <v>16</v>
      </c>
    </row>
    <row r="740" spans="1:9" x14ac:dyDescent="0.25">
      <c r="A740" s="1" t="s">
        <v>188</v>
      </c>
      <c r="B740" s="1" t="s">
        <v>10</v>
      </c>
      <c r="C740" s="1" t="s">
        <v>152</v>
      </c>
      <c r="D740" s="1" t="s">
        <v>53</v>
      </c>
      <c r="E740">
        <v>200</v>
      </c>
      <c r="F740" s="1" t="s">
        <v>24</v>
      </c>
      <c r="G740" s="1" t="s">
        <v>14</v>
      </c>
      <c r="H740" s="1" t="s">
        <v>15</v>
      </c>
      <c r="I740" s="1" t="s">
        <v>16</v>
      </c>
    </row>
    <row r="741" spans="1:9" x14ac:dyDescent="0.25">
      <c r="A741" s="1" t="s">
        <v>189</v>
      </c>
      <c r="B741" s="1" t="s">
        <v>10</v>
      </c>
      <c r="C741" s="1" t="s">
        <v>152</v>
      </c>
      <c r="D741" s="1" t="s">
        <v>54</v>
      </c>
      <c r="E741">
        <v>200</v>
      </c>
      <c r="F741" s="1" t="s">
        <v>24</v>
      </c>
      <c r="G741" s="1" t="s">
        <v>14</v>
      </c>
      <c r="H741" s="1" t="s">
        <v>15</v>
      </c>
      <c r="I741" s="1" t="s">
        <v>16</v>
      </c>
    </row>
    <row r="742" spans="1:9" x14ac:dyDescent="0.25">
      <c r="A742" s="1" t="s">
        <v>190</v>
      </c>
      <c r="B742" s="1" t="s">
        <v>10</v>
      </c>
      <c r="C742" s="1" t="s">
        <v>152</v>
      </c>
      <c r="D742" s="1" t="s">
        <v>55</v>
      </c>
      <c r="E742">
        <v>200</v>
      </c>
      <c r="F742" s="1" t="s">
        <v>24</v>
      </c>
      <c r="G742" s="1" t="s">
        <v>14</v>
      </c>
      <c r="H742" s="1" t="s">
        <v>15</v>
      </c>
      <c r="I742" s="1" t="s">
        <v>16</v>
      </c>
    </row>
    <row r="743" spans="1:9" x14ac:dyDescent="0.25">
      <c r="A743" s="1" t="s">
        <v>191</v>
      </c>
      <c r="B743" s="1" t="s">
        <v>10</v>
      </c>
      <c r="C743" s="1" t="s">
        <v>152</v>
      </c>
      <c r="D743" s="1" t="s">
        <v>56</v>
      </c>
      <c r="E743">
        <v>375</v>
      </c>
      <c r="F743" s="1" t="s">
        <v>24</v>
      </c>
      <c r="G743" s="1" t="s">
        <v>14</v>
      </c>
      <c r="H743" s="1" t="s">
        <v>15</v>
      </c>
      <c r="I743" s="1" t="s">
        <v>16</v>
      </c>
    </row>
    <row r="744" spans="1:9" x14ac:dyDescent="0.25">
      <c r="A744" s="1" t="s">
        <v>192</v>
      </c>
      <c r="B744" s="1" t="s">
        <v>10</v>
      </c>
      <c r="C744" s="1" t="s">
        <v>152</v>
      </c>
      <c r="D744" s="1" t="s">
        <v>57</v>
      </c>
      <c r="E744">
        <v>200</v>
      </c>
      <c r="F744" s="1" t="s">
        <v>24</v>
      </c>
      <c r="G744" s="1" t="s">
        <v>14</v>
      </c>
      <c r="H744" s="1" t="s">
        <v>15</v>
      </c>
      <c r="I744" s="1" t="s">
        <v>16</v>
      </c>
    </row>
    <row r="745" spans="1:9" x14ac:dyDescent="0.25">
      <c r="A745" s="1" t="s">
        <v>193</v>
      </c>
      <c r="B745" s="1" t="s">
        <v>10</v>
      </c>
      <c r="C745" s="1" t="s">
        <v>152</v>
      </c>
      <c r="D745" s="1" t="s">
        <v>58</v>
      </c>
      <c r="E745">
        <v>200</v>
      </c>
      <c r="F745" s="1" t="s">
        <v>24</v>
      </c>
      <c r="G745" s="1" t="s">
        <v>14</v>
      </c>
      <c r="H745" s="1" t="s">
        <v>15</v>
      </c>
      <c r="I745" s="1" t="s">
        <v>16</v>
      </c>
    </row>
    <row r="746" spans="1:9" x14ac:dyDescent="0.25">
      <c r="A746" s="1" t="s">
        <v>194</v>
      </c>
      <c r="B746" s="1" t="s">
        <v>10</v>
      </c>
      <c r="C746" s="1" t="s">
        <v>152</v>
      </c>
      <c r="D746" s="1" t="s">
        <v>59</v>
      </c>
      <c r="E746">
        <v>200</v>
      </c>
      <c r="F746" s="1" t="s">
        <v>24</v>
      </c>
      <c r="G746" s="1" t="s">
        <v>14</v>
      </c>
      <c r="H746" s="1" t="s">
        <v>15</v>
      </c>
      <c r="I746" s="1" t="s">
        <v>16</v>
      </c>
    </row>
    <row r="747" spans="1:9" x14ac:dyDescent="0.25">
      <c r="A747" s="1" t="s">
        <v>195</v>
      </c>
      <c r="B747" s="1" t="s">
        <v>10</v>
      </c>
      <c r="C747" s="1" t="s">
        <v>152</v>
      </c>
      <c r="D747" s="1" t="s">
        <v>60</v>
      </c>
      <c r="E747">
        <v>200</v>
      </c>
      <c r="F747" s="1" t="s">
        <v>24</v>
      </c>
      <c r="G747" s="1" t="s">
        <v>14</v>
      </c>
      <c r="H747" s="1" t="s">
        <v>15</v>
      </c>
      <c r="I747" s="1" t="s">
        <v>16</v>
      </c>
    </row>
    <row r="748" spans="1:9" x14ac:dyDescent="0.25">
      <c r="A748" s="1" t="s">
        <v>196</v>
      </c>
      <c r="B748" s="1" t="s">
        <v>10</v>
      </c>
      <c r="C748" s="1" t="s">
        <v>152</v>
      </c>
      <c r="D748" s="1" t="s">
        <v>61</v>
      </c>
      <c r="E748">
        <v>200</v>
      </c>
      <c r="F748" s="1" t="s">
        <v>24</v>
      </c>
      <c r="G748" s="1" t="s">
        <v>14</v>
      </c>
      <c r="H748" s="1" t="s">
        <v>15</v>
      </c>
      <c r="I748" s="1" t="s">
        <v>16</v>
      </c>
    </row>
    <row r="749" spans="1:9" x14ac:dyDescent="0.25">
      <c r="A749" s="1" t="s">
        <v>197</v>
      </c>
      <c r="B749" s="1" t="s">
        <v>10</v>
      </c>
      <c r="C749" s="1" t="s">
        <v>152</v>
      </c>
      <c r="D749" s="1" t="s">
        <v>62</v>
      </c>
      <c r="E749">
        <v>375</v>
      </c>
      <c r="F749" s="1" t="s">
        <v>24</v>
      </c>
      <c r="G749" s="1" t="s">
        <v>14</v>
      </c>
      <c r="H749" s="1" t="s">
        <v>15</v>
      </c>
      <c r="I749" s="1" t="s">
        <v>16</v>
      </c>
    </row>
    <row r="750" spans="1:9" x14ac:dyDescent="0.25">
      <c r="A750" s="1" t="s">
        <v>198</v>
      </c>
      <c r="B750" s="1" t="s">
        <v>10</v>
      </c>
      <c r="C750" s="1" t="s">
        <v>152</v>
      </c>
      <c r="D750" s="1" t="s">
        <v>63</v>
      </c>
      <c r="E750">
        <v>200</v>
      </c>
      <c r="F750" s="1" t="s">
        <v>24</v>
      </c>
      <c r="G750" s="1" t="s">
        <v>14</v>
      </c>
      <c r="H750" s="1" t="s">
        <v>15</v>
      </c>
      <c r="I750" s="1" t="s">
        <v>16</v>
      </c>
    </row>
    <row r="751" spans="1:9" x14ac:dyDescent="0.25">
      <c r="A751" s="1" t="s">
        <v>199</v>
      </c>
      <c r="B751" s="1" t="s">
        <v>10</v>
      </c>
      <c r="C751" s="1" t="s">
        <v>152</v>
      </c>
      <c r="D751" s="1" t="s">
        <v>64</v>
      </c>
      <c r="E751">
        <v>200</v>
      </c>
      <c r="F751" s="1" t="s">
        <v>24</v>
      </c>
      <c r="G751" s="1" t="s">
        <v>14</v>
      </c>
      <c r="H751" s="1" t="s">
        <v>15</v>
      </c>
      <c r="I751" s="1" t="s">
        <v>16</v>
      </c>
    </row>
    <row r="752" spans="1:9" x14ac:dyDescent="0.25">
      <c r="A752" s="1" t="s">
        <v>200</v>
      </c>
      <c r="B752" s="1" t="s">
        <v>10</v>
      </c>
      <c r="C752" s="1" t="s">
        <v>152</v>
      </c>
      <c r="D752" s="1" t="s">
        <v>65</v>
      </c>
      <c r="E752">
        <v>375</v>
      </c>
      <c r="F752" s="1" t="s">
        <v>24</v>
      </c>
      <c r="G752" s="1" t="s">
        <v>14</v>
      </c>
      <c r="H752" s="1" t="s">
        <v>15</v>
      </c>
      <c r="I752" s="1" t="s">
        <v>16</v>
      </c>
    </row>
    <row r="753" spans="1:9" x14ac:dyDescent="0.25">
      <c r="A753" s="1" t="s">
        <v>201</v>
      </c>
      <c r="B753" s="1" t="s">
        <v>10</v>
      </c>
      <c r="C753" s="1" t="s">
        <v>152</v>
      </c>
      <c r="D753" s="1" t="s">
        <v>66</v>
      </c>
      <c r="E753">
        <v>375</v>
      </c>
      <c r="F753" s="1" t="s">
        <v>24</v>
      </c>
      <c r="G753" s="1" t="s">
        <v>14</v>
      </c>
      <c r="H753" s="1" t="s">
        <v>15</v>
      </c>
      <c r="I753" s="1" t="s">
        <v>16</v>
      </c>
    </row>
    <row r="754" spans="1:9" x14ac:dyDescent="0.25">
      <c r="A754" s="1" t="s">
        <v>202</v>
      </c>
      <c r="B754" s="1" t="s">
        <v>10</v>
      </c>
      <c r="C754" s="1" t="s">
        <v>152</v>
      </c>
      <c r="D754" s="1" t="s">
        <v>67</v>
      </c>
      <c r="E754">
        <v>375</v>
      </c>
      <c r="F754" s="1" t="s">
        <v>24</v>
      </c>
      <c r="G754" s="1" t="s">
        <v>14</v>
      </c>
      <c r="H754" s="1" t="s">
        <v>15</v>
      </c>
      <c r="I754" s="1" t="s">
        <v>16</v>
      </c>
    </row>
    <row r="755" spans="1:9" x14ac:dyDescent="0.25">
      <c r="A755" s="1" t="s">
        <v>203</v>
      </c>
      <c r="B755" s="1" t="s">
        <v>10</v>
      </c>
      <c r="C755" s="1" t="s">
        <v>152</v>
      </c>
      <c r="D755" s="1" t="s">
        <v>68</v>
      </c>
      <c r="E755">
        <v>200</v>
      </c>
      <c r="F755" s="1" t="s">
        <v>24</v>
      </c>
      <c r="G755" s="1" t="s">
        <v>14</v>
      </c>
      <c r="H755" s="1" t="s">
        <v>15</v>
      </c>
      <c r="I755" s="1" t="s">
        <v>16</v>
      </c>
    </row>
    <row r="756" spans="1:9" x14ac:dyDescent="0.25">
      <c r="A756" s="1" t="s">
        <v>204</v>
      </c>
      <c r="B756" s="1" t="s">
        <v>10</v>
      </c>
      <c r="C756" s="1" t="s">
        <v>152</v>
      </c>
      <c r="D756" s="1" t="s">
        <v>69</v>
      </c>
      <c r="E756">
        <v>200</v>
      </c>
      <c r="F756" s="1" t="s">
        <v>24</v>
      </c>
      <c r="G756" s="1" t="s">
        <v>14</v>
      </c>
      <c r="H756" s="1" t="s">
        <v>15</v>
      </c>
      <c r="I756" s="1" t="s">
        <v>16</v>
      </c>
    </row>
    <row r="757" spans="1:9" x14ac:dyDescent="0.25">
      <c r="A757" s="1" t="s">
        <v>205</v>
      </c>
      <c r="B757" s="1" t="s">
        <v>10</v>
      </c>
      <c r="C757" s="1" t="s">
        <v>152</v>
      </c>
      <c r="D757" s="1" t="s">
        <v>70</v>
      </c>
      <c r="E757">
        <v>375</v>
      </c>
      <c r="F757" s="1" t="s">
        <v>24</v>
      </c>
      <c r="G757" s="1" t="s">
        <v>14</v>
      </c>
      <c r="H757" s="1" t="s">
        <v>15</v>
      </c>
      <c r="I757" s="1" t="s">
        <v>16</v>
      </c>
    </row>
    <row r="758" spans="1:9" x14ac:dyDescent="0.25">
      <c r="A758" s="1" t="s">
        <v>206</v>
      </c>
      <c r="B758" s="1" t="s">
        <v>10</v>
      </c>
      <c r="C758" s="1" t="s">
        <v>207</v>
      </c>
      <c r="D758" s="1" t="s">
        <v>12</v>
      </c>
      <c r="E758">
        <v>650</v>
      </c>
      <c r="F758" s="1" t="s">
        <v>19</v>
      </c>
      <c r="G758" s="1" t="s">
        <v>14</v>
      </c>
      <c r="H758" s="1" t="s">
        <v>208</v>
      </c>
      <c r="I758" s="1" t="s">
        <v>16</v>
      </c>
    </row>
    <row r="759" spans="1:9" x14ac:dyDescent="0.25">
      <c r="A759" s="1" t="s">
        <v>209</v>
      </c>
      <c r="B759" s="1" t="s">
        <v>10</v>
      </c>
      <c r="C759" s="1" t="s">
        <v>207</v>
      </c>
      <c r="D759" s="1" t="s">
        <v>17</v>
      </c>
      <c r="E759">
        <v>650</v>
      </c>
      <c r="F759" s="1" t="s">
        <v>19</v>
      </c>
      <c r="G759" s="1" t="s">
        <v>14</v>
      </c>
      <c r="H759" s="1" t="s">
        <v>208</v>
      </c>
      <c r="I759" s="1" t="s">
        <v>16</v>
      </c>
    </row>
    <row r="760" spans="1:9" x14ac:dyDescent="0.25">
      <c r="A760" s="1" t="s">
        <v>210</v>
      </c>
      <c r="B760" s="1" t="s">
        <v>10</v>
      </c>
      <c r="C760" s="1" t="s">
        <v>207</v>
      </c>
      <c r="D760" s="1" t="s">
        <v>18</v>
      </c>
      <c r="E760">
        <v>175</v>
      </c>
      <c r="F760" s="1" t="s">
        <v>19</v>
      </c>
      <c r="G760" s="1" t="s">
        <v>14</v>
      </c>
      <c r="H760" s="1" t="s">
        <v>208</v>
      </c>
      <c r="I760" s="1" t="s">
        <v>16</v>
      </c>
    </row>
    <row r="761" spans="1:9" x14ac:dyDescent="0.25">
      <c r="A761" s="1" t="s">
        <v>211</v>
      </c>
      <c r="B761" s="1" t="s">
        <v>10</v>
      </c>
      <c r="C761" s="1" t="s">
        <v>207</v>
      </c>
      <c r="D761" s="1" t="s">
        <v>19</v>
      </c>
      <c r="E761">
        <v>650</v>
      </c>
      <c r="F761" s="1" t="s">
        <v>19</v>
      </c>
      <c r="G761" s="1" t="s">
        <v>14</v>
      </c>
      <c r="H761" s="1" t="s">
        <v>208</v>
      </c>
      <c r="I761" s="1" t="s">
        <v>16</v>
      </c>
    </row>
    <row r="762" spans="1:9" x14ac:dyDescent="0.25">
      <c r="A762" s="1" t="s">
        <v>212</v>
      </c>
      <c r="B762" s="1" t="s">
        <v>10</v>
      </c>
      <c r="C762" s="1" t="s">
        <v>207</v>
      </c>
      <c r="D762" s="1" t="s">
        <v>20</v>
      </c>
      <c r="E762">
        <v>175</v>
      </c>
      <c r="F762" s="1" t="s">
        <v>19</v>
      </c>
      <c r="G762" s="1" t="s">
        <v>14</v>
      </c>
      <c r="H762" s="1" t="s">
        <v>208</v>
      </c>
      <c r="I762" s="1" t="s">
        <v>16</v>
      </c>
    </row>
    <row r="763" spans="1:9" x14ac:dyDescent="0.25">
      <c r="A763" s="1" t="s">
        <v>213</v>
      </c>
      <c r="B763" s="1" t="s">
        <v>10</v>
      </c>
      <c r="C763" s="1" t="s">
        <v>207</v>
      </c>
      <c r="D763" s="1" t="s">
        <v>21</v>
      </c>
      <c r="E763">
        <v>325</v>
      </c>
      <c r="F763" s="1" t="s">
        <v>19</v>
      </c>
      <c r="G763" s="1" t="s">
        <v>14</v>
      </c>
      <c r="H763" s="1" t="s">
        <v>208</v>
      </c>
      <c r="I763" s="1" t="s">
        <v>16</v>
      </c>
    </row>
    <row r="764" spans="1:9" x14ac:dyDescent="0.25">
      <c r="A764" s="1" t="s">
        <v>214</v>
      </c>
      <c r="B764" s="1" t="s">
        <v>10</v>
      </c>
      <c r="C764" s="1" t="s">
        <v>207</v>
      </c>
      <c r="D764" s="1" t="s">
        <v>22</v>
      </c>
      <c r="E764">
        <v>175</v>
      </c>
      <c r="F764" s="1" t="s">
        <v>19</v>
      </c>
      <c r="G764" s="1" t="s">
        <v>14</v>
      </c>
      <c r="H764" s="1" t="s">
        <v>208</v>
      </c>
      <c r="I764" s="1" t="s">
        <v>16</v>
      </c>
    </row>
    <row r="765" spans="1:9" x14ac:dyDescent="0.25">
      <c r="A765" s="1" t="s">
        <v>215</v>
      </c>
      <c r="B765" s="1" t="s">
        <v>10</v>
      </c>
      <c r="C765" s="1" t="s">
        <v>207</v>
      </c>
      <c r="D765" s="1" t="s">
        <v>23</v>
      </c>
      <c r="E765">
        <v>325</v>
      </c>
      <c r="F765" s="1" t="s">
        <v>19</v>
      </c>
      <c r="G765" s="1" t="s">
        <v>14</v>
      </c>
      <c r="H765" s="1" t="s">
        <v>208</v>
      </c>
      <c r="I765" s="1" t="s">
        <v>16</v>
      </c>
    </row>
    <row r="766" spans="1:9" x14ac:dyDescent="0.25">
      <c r="A766" s="1" t="s">
        <v>216</v>
      </c>
      <c r="B766" s="1" t="s">
        <v>10</v>
      </c>
      <c r="C766" s="1" t="s">
        <v>207</v>
      </c>
      <c r="D766" s="1" t="s">
        <v>24</v>
      </c>
      <c r="E766">
        <v>175</v>
      </c>
      <c r="F766" s="1" t="s">
        <v>19</v>
      </c>
      <c r="G766" s="1" t="s">
        <v>14</v>
      </c>
      <c r="H766" s="1" t="s">
        <v>208</v>
      </c>
      <c r="I766" s="1" t="s">
        <v>16</v>
      </c>
    </row>
    <row r="767" spans="1:9" x14ac:dyDescent="0.25">
      <c r="A767" s="1" t="s">
        <v>217</v>
      </c>
      <c r="B767" s="1" t="s">
        <v>10</v>
      </c>
      <c r="C767" s="1" t="s">
        <v>207</v>
      </c>
      <c r="D767" s="1" t="s">
        <v>25</v>
      </c>
      <c r="E767">
        <v>175</v>
      </c>
      <c r="F767" s="1" t="s">
        <v>19</v>
      </c>
      <c r="G767" s="1" t="s">
        <v>14</v>
      </c>
      <c r="H767" s="1" t="s">
        <v>208</v>
      </c>
      <c r="I767" s="1" t="s">
        <v>16</v>
      </c>
    </row>
    <row r="768" spans="1:9" x14ac:dyDescent="0.25">
      <c r="A768" s="1" t="s">
        <v>218</v>
      </c>
      <c r="B768" s="1" t="s">
        <v>10</v>
      </c>
      <c r="C768" s="1" t="s">
        <v>207</v>
      </c>
      <c r="D768" s="1" t="s">
        <v>26</v>
      </c>
      <c r="E768">
        <v>325</v>
      </c>
      <c r="F768" s="1" t="s">
        <v>19</v>
      </c>
      <c r="G768" s="1" t="s">
        <v>14</v>
      </c>
      <c r="H768" s="1" t="s">
        <v>208</v>
      </c>
      <c r="I768" s="1" t="s">
        <v>16</v>
      </c>
    </row>
    <row r="769" spans="1:9" x14ac:dyDescent="0.25">
      <c r="A769" s="1" t="s">
        <v>219</v>
      </c>
      <c r="B769" s="1" t="s">
        <v>10</v>
      </c>
      <c r="C769" s="1" t="s">
        <v>207</v>
      </c>
      <c r="D769" s="1" t="s">
        <v>27</v>
      </c>
      <c r="E769">
        <v>650</v>
      </c>
      <c r="F769" s="1" t="s">
        <v>19</v>
      </c>
      <c r="G769" s="1" t="s">
        <v>14</v>
      </c>
      <c r="H769" s="1" t="s">
        <v>208</v>
      </c>
      <c r="I769" s="1" t="s">
        <v>16</v>
      </c>
    </row>
    <row r="770" spans="1:9" x14ac:dyDescent="0.25">
      <c r="A770" s="1" t="s">
        <v>220</v>
      </c>
      <c r="B770" s="1" t="s">
        <v>10</v>
      </c>
      <c r="C770" s="1" t="s">
        <v>207</v>
      </c>
      <c r="D770" s="1" t="s">
        <v>28</v>
      </c>
      <c r="E770">
        <v>325</v>
      </c>
      <c r="F770" s="1" t="s">
        <v>19</v>
      </c>
      <c r="G770" s="1" t="s">
        <v>14</v>
      </c>
      <c r="H770" s="1" t="s">
        <v>208</v>
      </c>
      <c r="I770" s="1" t="s">
        <v>16</v>
      </c>
    </row>
    <row r="771" spans="1:9" x14ac:dyDescent="0.25">
      <c r="A771" s="1" t="s">
        <v>221</v>
      </c>
      <c r="B771" s="1" t="s">
        <v>10</v>
      </c>
      <c r="C771" s="1" t="s">
        <v>207</v>
      </c>
      <c r="D771" s="1" t="s">
        <v>29</v>
      </c>
      <c r="E771">
        <v>175</v>
      </c>
      <c r="F771" s="1" t="s">
        <v>19</v>
      </c>
      <c r="G771" s="1" t="s">
        <v>14</v>
      </c>
      <c r="H771" s="1" t="s">
        <v>208</v>
      </c>
      <c r="I771" s="1" t="s">
        <v>16</v>
      </c>
    </row>
    <row r="772" spans="1:9" x14ac:dyDescent="0.25">
      <c r="A772" s="1" t="s">
        <v>222</v>
      </c>
      <c r="B772" s="1" t="s">
        <v>10</v>
      </c>
      <c r="C772" s="1" t="s">
        <v>207</v>
      </c>
      <c r="D772" s="1" t="s">
        <v>30</v>
      </c>
      <c r="E772">
        <v>175</v>
      </c>
      <c r="F772" s="1" t="s">
        <v>19</v>
      </c>
      <c r="G772" s="1" t="s">
        <v>14</v>
      </c>
      <c r="H772" s="1" t="s">
        <v>208</v>
      </c>
      <c r="I772" s="1" t="s">
        <v>16</v>
      </c>
    </row>
    <row r="773" spans="1:9" x14ac:dyDescent="0.25">
      <c r="A773" s="1" t="s">
        <v>223</v>
      </c>
      <c r="B773" s="1" t="s">
        <v>10</v>
      </c>
      <c r="C773" s="1" t="s">
        <v>207</v>
      </c>
      <c r="D773" s="1" t="s">
        <v>31</v>
      </c>
      <c r="E773">
        <v>175</v>
      </c>
      <c r="F773" s="1" t="s">
        <v>19</v>
      </c>
      <c r="G773" s="1" t="s">
        <v>14</v>
      </c>
      <c r="H773" s="1" t="s">
        <v>208</v>
      </c>
      <c r="I773" s="1" t="s">
        <v>16</v>
      </c>
    </row>
    <row r="774" spans="1:9" x14ac:dyDescent="0.25">
      <c r="A774" s="1" t="s">
        <v>224</v>
      </c>
      <c r="B774" s="1" t="s">
        <v>10</v>
      </c>
      <c r="C774" s="1" t="s">
        <v>207</v>
      </c>
      <c r="D774" s="1" t="s">
        <v>32</v>
      </c>
      <c r="E774">
        <v>175</v>
      </c>
      <c r="F774" s="1" t="s">
        <v>19</v>
      </c>
      <c r="G774" s="1" t="s">
        <v>14</v>
      </c>
      <c r="H774" s="1" t="s">
        <v>208</v>
      </c>
      <c r="I774" s="1" t="s">
        <v>16</v>
      </c>
    </row>
    <row r="775" spans="1:9" x14ac:dyDescent="0.25">
      <c r="A775" s="1" t="s">
        <v>225</v>
      </c>
      <c r="B775" s="1" t="s">
        <v>10</v>
      </c>
      <c r="C775" s="1" t="s">
        <v>207</v>
      </c>
      <c r="D775" s="1" t="s">
        <v>33</v>
      </c>
      <c r="E775">
        <v>175</v>
      </c>
      <c r="F775" s="1" t="s">
        <v>19</v>
      </c>
      <c r="G775" s="1" t="s">
        <v>14</v>
      </c>
      <c r="H775" s="1" t="s">
        <v>208</v>
      </c>
      <c r="I775" s="1" t="s">
        <v>16</v>
      </c>
    </row>
    <row r="776" spans="1:9" x14ac:dyDescent="0.25">
      <c r="A776" s="1" t="s">
        <v>226</v>
      </c>
      <c r="B776" s="1" t="s">
        <v>10</v>
      </c>
      <c r="C776" s="1" t="s">
        <v>207</v>
      </c>
      <c r="D776" s="1" t="s">
        <v>34</v>
      </c>
      <c r="E776">
        <v>175</v>
      </c>
      <c r="F776" s="1" t="s">
        <v>19</v>
      </c>
      <c r="G776" s="1" t="s">
        <v>14</v>
      </c>
      <c r="H776" s="1" t="s">
        <v>208</v>
      </c>
      <c r="I776" s="1" t="s">
        <v>16</v>
      </c>
    </row>
    <row r="777" spans="1:9" x14ac:dyDescent="0.25">
      <c r="A777" s="1" t="s">
        <v>227</v>
      </c>
      <c r="B777" s="1" t="s">
        <v>10</v>
      </c>
      <c r="C777" s="1" t="s">
        <v>207</v>
      </c>
      <c r="D777" s="1" t="s">
        <v>35</v>
      </c>
      <c r="E777">
        <v>650</v>
      </c>
      <c r="F777" s="1" t="s">
        <v>19</v>
      </c>
      <c r="G777" s="1" t="s">
        <v>14</v>
      </c>
      <c r="H777" s="1" t="s">
        <v>208</v>
      </c>
      <c r="I777" s="1" t="s">
        <v>16</v>
      </c>
    </row>
    <row r="778" spans="1:9" x14ac:dyDescent="0.25">
      <c r="A778" s="1" t="s">
        <v>228</v>
      </c>
      <c r="B778" s="1" t="s">
        <v>10</v>
      </c>
      <c r="C778" s="1" t="s">
        <v>207</v>
      </c>
      <c r="D778" s="1" t="s">
        <v>36</v>
      </c>
      <c r="E778">
        <v>175</v>
      </c>
      <c r="F778" s="1" t="s">
        <v>19</v>
      </c>
      <c r="G778" s="1" t="s">
        <v>14</v>
      </c>
      <c r="H778" s="1" t="s">
        <v>208</v>
      </c>
      <c r="I778" s="1" t="s">
        <v>16</v>
      </c>
    </row>
    <row r="779" spans="1:9" x14ac:dyDescent="0.25">
      <c r="A779" s="1" t="s">
        <v>229</v>
      </c>
      <c r="B779" s="1" t="s">
        <v>10</v>
      </c>
      <c r="C779" s="1" t="s">
        <v>207</v>
      </c>
      <c r="D779" s="1" t="s">
        <v>37</v>
      </c>
      <c r="E779">
        <v>175</v>
      </c>
      <c r="F779" s="1" t="s">
        <v>19</v>
      </c>
      <c r="G779" s="1" t="s">
        <v>14</v>
      </c>
      <c r="H779" s="1" t="s">
        <v>208</v>
      </c>
      <c r="I779" s="1" t="s">
        <v>16</v>
      </c>
    </row>
    <row r="780" spans="1:9" x14ac:dyDescent="0.25">
      <c r="A780" s="1" t="s">
        <v>230</v>
      </c>
      <c r="B780" s="1" t="s">
        <v>10</v>
      </c>
      <c r="C780" s="1" t="s">
        <v>207</v>
      </c>
      <c r="D780" s="1" t="s">
        <v>38</v>
      </c>
      <c r="E780">
        <v>325</v>
      </c>
      <c r="F780" s="1" t="s">
        <v>19</v>
      </c>
      <c r="G780" s="1" t="s">
        <v>14</v>
      </c>
      <c r="H780" s="1" t="s">
        <v>208</v>
      </c>
      <c r="I780" s="1" t="s">
        <v>16</v>
      </c>
    </row>
    <row r="781" spans="1:9" x14ac:dyDescent="0.25">
      <c r="A781" s="1" t="s">
        <v>231</v>
      </c>
      <c r="B781" s="1" t="s">
        <v>10</v>
      </c>
      <c r="C781" s="1" t="s">
        <v>207</v>
      </c>
      <c r="D781" s="1" t="s">
        <v>39</v>
      </c>
      <c r="E781">
        <v>325</v>
      </c>
      <c r="F781" s="1" t="s">
        <v>19</v>
      </c>
      <c r="G781" s="1" t="s">
        <v>14</v>
      </c>
      <c r="H781" s="1" t="s">
        <v>208</v>
      </c>
      <c r="I781" s="1" t="s">
        <v>16</v>
      </c>
    </row>
    <row r="782" spans="1:9" x14ac:dyDescent="0.25">
      <c r="A782" s="1" t="s">
        <v>232</v>
      </c>
      <c r="B782" s="1" t="s">
        <v>10</v>
      </c>
      <c r="C782" s="1" t="s">
        <v>207</v>
      </c>
      <c r="D782" s="1" t="s">
        <v>40</v>
      </c>
      <c r="E782">
        <v>325</v>
      </c>
      <c r="F782" s="1" t="s">
        <v>19</v>
      </c>
      <c r="G782" s="1" t="s">
        <v>14</v>
      </c>
      <c r="H782" s="1" t="s">
        <v>208</v>
      </c>
      <c r="I782" s="1" t="s">
        <v>16</v>
      </c>
    </row>
    <row r="783" spans="1:9" x14ac:dyDescent="0.25">
      <c r="A783" s="1" t="s">
        <v>233</v>
      </c>
      <c r="B783" s="1" t="s">
        <v>10</v>
      </c>
      <c r="C783" s="1" t="s">
        <v>207</v>
      </c>
      <c r="D783" s="1" t="s">
        <v>41</v>
      </c>
      <c r="E783">
        <v>175</v>
      </c>
      <c r="F783" s="1" t="s">
        <v>19</v>
      </c>
      <c r="G783" s="1" t="s">
        <v>14</v>
      </c>
      <c r="H783" s="1" t="s">
        <v>208</v>
      </c>
      <c r="I783" s="1" t="s">
        <v>16</v>
      </c>
    </row>
    <row r="784" spans="1:9" x14ac:dyDescent="0.25">
      <c r="A784" s="1" t="s">
        <v>234</v>
      </c>
      <c r="B784" s="1" t="s">
        <v>10</v>
      </c>
      <c r="C784" s="1" t="s">
        <v>207</v>
      </c>
      <c r="D784" s="1" t="s">
        <v>42</v>
      </c>
      <c r="E784">
        <v>325</v>
      </c>
      <c r="F784" s="1" t="s">
        <v>19</v>
      </c>
      <c r="G784" s="1" t="s">
        <v>14</v>
      </c>
      <c r="H784" s="1" t="s">
        <v>208</v>
      </c>
      <c r="I784" s="1" t="s">
        <v>16</v>
      </c>
    </row>
    <row r="785" spans="1:9" x14ac:dyDescent="0.25">
      <c r="A785" s="1" t="s">
        <v>235</v>
      </c>
      <c r="B785" s="1" t="s">
        <v>10</v>
      </c>
      <c r="C785" s="1" t="s">
        <v>207</v>
      </c>
      <c r="D785" s="1" t="s">
        <v>43</v>
      </c>
      <c r="E785">
        <v>650</v>
      </c>
      <c r="F785" s="1" t="s">
        <v>19</v>
      </c>
      <c r="G785" s="1" t="s">
        <v>14</v>
      </c>
      <c r="H785" s="1" t="s">
        <v>208</v>
      </c>
      <c r="I785" s="1" t="s">
        <v>16</v>
      </c>
    </row>
    <row r="786" spans="1:9" x14ac:dyDescent="0.25">
      <c r="A786" s="1" t="s">
        <v>236</v>
      </c>
      <c r="B786" s="1" t="s">
        <v>10</v>
      </c>
      <c r="C786" s="1" t="s">
        <v>207</v>
      </c>
      <c r="D786" s="1" t="s">
        <v>45</v>
      </c>
      <c r="E786">
        <v>650</v>
      </c>
      <c r="F786" s="1" t="s">
        <v>19</v>
      </c>
      <c r="G786" s="1" t="s">
        <v>14</v>
      </c>
      <c r="H786" s="1" t="s">
        <v>208</v>
      </c>
      <c r="I786" s="1" t="s">
        <v>16</v>
      </c>
    </row>
    <row r="787" spans="1:9" x14ac:dyDescent="0.25">
      <c r="A787" s="1" t="s">
        <v>237</v>
      </c>
      <c r="B787" s="1" t="s">
        <v>10</v>
      </c>
      <c r="C787" s="1" t="s">
        <v>207</v>
      </c>
      <c r="D787" s="1" t="s">
        <v>46</v>
      </c>
      <c r="E787">
        <v>175</v>
      </c>
      <c r="F787" s="1" t="s">
        <v>19</v>
      </c>
      <c r="G787" s="1" t="s">
        <v>14</v>
      </c>
      <c r="H787" s="1" t="s">
        <v>208</v>
      </c>
      <c r="I787" s="1" t="s">
        <v>16</v>
      </c>
    </row>
    <row r="788" spans="1:9" x14ac:dyDescent="0.25">
      <c r="A788" s="1" t="s">
        <v>238</v>
      </c>
      <c r="B788" s="1" t="s">
        <v>10</v>
      </c>
      <c r="C788" s="1" t="s">
        <v>207</v>
      </c>
      <c r="D788" s="1" t="s">
        <v>47</v>
      </c>
      <c r="E788">
        <v>650</v>
      </c>
      <c r="F788" s="1" t="s">
        <v>19</v>
      </c>
      <c r="G788" s="1" t="s">
        <v>14</v>
      </c>
      <c r="H788" s="1" t="s">
        <v>208</v>
      </c>
      <c r="I788" s="1" t="s">
        <v>16</v>
      </c>
    </row>
    <row r="789" spans="1:9" x14ac:dyDescent="0.25">
      <c r="A789" s="1" t="s">
        <v>9</v>
      </c>
      <c r="B789" s="1" t="s">
        <v>10</v>
      </c>
      <c r="C789" s="1" t="s">
        <v>207</v>
      </c>
      <c r="D789" s="1" t="s">
        <v>48</v>
      </c>
      <c r="E789">
        <v>175</v>
      </c>
      <c r="F789" s="1" t="s">
        <v>19</v>
      </c>
      <c r="G789" s="1" t="s">
        <v>14</v>
      </c>
      <c r="H789" s="1" t="s">
        <v>208</v>
      </c>
      <c r="I789" s="1" t="s">
        <v>16</v>
      </c>
    </row>
    <row r="790" spans="1:9" x14ac:dyDescent="0.25">
      <c r="A790" s="1" t="s">
        <v>9</v>
      </c>
      <c r="B790" s="1" t="s">
        <v>10</v>
      </c>
      <c r="C790" s="1" t="s">
        <v>207</v>
      </c>
      <c r="D790" s="1" t="s">
        <v>49</v>
      </c>
      <c r="E790">
        <v>325</v>
      </c>
      <c r="F790" s="1" t="s">
        <v>19</v>
      </c>
      <c r="G790" s="1" t="s">
        <v>14</v>
      </c>
      <c r="H790" s="1" t="s">
        <v>208</v>
      </c>
      <c r="I790" s="1" t="s">
        <v>16</v>
      </c>
    </row>
    <row r="791" spans="1:9" x14ac:dyDescent="0.25">
      <c r="A791" s="1" t="s">
        <v>9</v>
      </c>
      <c r="B791" s="1" t="s">
        <v>10</v>
      </c>
      <c r="C791" s="1" t="s">
        <v>207</v>
      </c>
      <c r="D791" s="1" t="s">
        <v>50</v>
      </c>
      <c r="E791">
        <v>175</v>
      </c>
      <c r="F791" s="1" t="s">
        <v>19</v>
      </c>
      <c r="G791" s="1" t="s">
        <v>14</v>
      </c>
      <c r="H791" s="1" t="s">
        <v>208</v>
      </c>
      <c r="I791" s="1" t="s">
        <v>16</v>
      </c>
    </row>
    <row r="792" spans="1:9" x14ac:dyDescent="0.25">
      <c r="A792" s="1" t="s">
        <v>9</v>
      </c>
      <c r="B792" s="1" t="s">
        <v>10</v>
      </c>
      <c r="C792" s="1" t="s">
        <v>207</v>
      </c>
      <c r="D792" s="1" t="s">
        <v>51</v>
      </c>
      <c r="E792">
        <v>325</v>
      </c>
      <c r="F792" s="1" t="s">
        <v>19</v>
      </c>
      <c r="G792" s="1" t="s">
        <v>14</v>
      </c>
      <c r="H792" s="1" t="s">
        <v>208</v>
      </c>
      <c r="I792" s="1" t="s">
        <v>16</v>
      </c>
    </row>
    <row r="793" spans="1:9" x14ac:dyDescent="0.25">
      <c r="A793" s="1" t="s">
        <v>9</v>
      </c>
      <c r="B793" s="1" t="s">
        <v>10</v>
      </c>
      <c r="C793" s="1" t="s">
        <v>207</v>
      </c>
      <c r="D793" s="1" t="s">
        <v>52</v>
      </c>
      <c r="E793">
        <v>175</v>
      </c>
      <c r="F793" s="1" t="s">
        <v>19</v>
      </c>
      <c r="G793" s="1" t="s">
        <v>14</v>
      </c>
      <c r="H793" s="1" t="s">
        <v>208</v>
      </c>
      <c r="I793" s="1" t="s">
        <v>16</v>
      </c>
    </row>
    <row r="794" spans="1:9" x14ac:dyDescent="0.25">
      <c r="A794" s="1" t="s">
        <v>9</v>
      </c>
      <c r="B794" s="1" t="s">
        <v>10</v>
      </c>
      <c r="C794" s="1" t="s">
        <v>207</v>
      </c>
      <c r="D794" s="1" t="s">
        <v>53</v>
      </c>
      <c r="E794">
        <v>175</v>
      </c>
      <c r="F794" s="1" t="s">
        <v>19</v>
      </c>
      <c r="G794" s="1" t="s">
        <v>14</v>
      </c>
      <c r="H794" s="1" t="s">
        <v>208</v>
      </c>
      <c r="I794" s="1" t="s">
        <v>16</v>
      </c>
    </row>
    <row r="795" spans="1:9" x14ac:dyDescent="0.25">
      <c r="A795" s="1" t="s">
        <v>9</v>
      </c>
      <c r="B795" s="1" t="s">
        <v>10</v>
      </c>
      <c r="C795" s="1" t="s">
        <v>207</v>
      </c>
      <c r="D795" s="1" t="s">
        <v>54</v>
      </c>
      <c r="E795">
        <v>325</v>
      </c>
      <c r="F795" s="1" t="s">
        <v>19</v>
      </c>
      <c r="G795" s="1" t="s">
        <v>14</v>
      </c>
      <c r="H795" s="1" t="s">
        <v>208</v>
      </c>
      <c r="I795" s="1" t="s">
        <v>16</v>
      </c>
    </row>
    <row r="796" spans="1:9" x14ac:dyDescent="0.25">
      <c r="A796" s="1" t="s">
        <v>9</v>
      </c>
      <c r="B796" s="1" t="s">
        <v>10</v>
      </c>
      <c r="C796" s="1" t="s">
        <v>207</v>
      </c>
      <c r="D796" s="1" t="s">
        <v>55</v>
      </c>
      <c r="E796">
        <v>650</v>
      </c>
      <c r="F796" s="1" t="s">
        <v>19</v>
      </c>
      <c r="G796" s="1" t="s">
        <v>14</v>
      </c>
      <c r="H796" s="1" t="s">
        <v>208</v>
      </c>
      <c r="I796" s="1" t="s">
        <v>16</v>
      </c>
    </row>
    <row r="797" spans="1:9" x14ac:dyDescent="0.25">
      <c r="A797" s="1" t="s">
        <v>9</v>
      </c>
      <c r="B797" s="1" t="s">
        <v>10</v>
      </c>
      <c r="C797" s="1" t="s">
        <v>207</v>
      </c>
      <c r="D797" s="1" t="s">
        <v>56</v>
      </c>
      <c r="E797">
        <v>325</v>
      </c>
      <c r="F797" s="1" t="s">
        <v>19</v>
      </c>
      <c r="G797" s="1" t="s">
        <v>14</v>
      </c>
      <c r="H797" s="1" t="s">
        <v>208</v>
      </c>
      <c r="I797" s="1" t="s">
        <v>16</v>
      </c>
    </row>
    <row r="798" spans="1:9" x14ac:dyDescent="0.25">
      <c r="A798" s="1" t="s">
        <v>9</v>
      </c>
      <c r="B798" s="1" t="s">
        <v>10</v>
      </c>
      <c r="C798" s="1" t="s">
        <v>207</v>
      </c>
      <c r="D798" s="1" t="s">
        <v>57</v>
      </c>
      <c r="E798">
        <v>175</v>
      </c>
      <c r="F798" s="1" t="s">
        <v>19</v>
      </c>
      <c r="G798" s="1" t="s">
        <v>14</v>
      </c>
      <c r="H798" s="1" t="s">
        <v>208</v>
      </c>
      <c r="I798" s="1" t="s">
        <v>16</v>
      </c>
    </row>
    <row r="799" spans="1:9" x14ac:dyDescent="0.25">
      <c r="A799" s="1" t="s">
        <v>9</v>
      </c>
      <c r="B799" s="1" t="s">
        <v>10</v>
      </c>
      <c r="C799" s="1" t="s">
        <v>207</v>
      </c>
      <c r="D799" s="1" t="s">
        <v>58</v>
      </c>
      <c r="E799">
        <v>175</v>
      </c>
      <c r="F799" s="1" t="s">
        <v>19</v>
      </c>
      <c r="G799" s="1" t="s">
        <v>14</v>
      </c>
      <c r="H799" s="1" t="s">
        <v>208</v>
      </c>
      <c r="I799" s="1" t="s">
        <v>16</v>
      </c>
    </row>
    <row r="800" spans="1:9" x14ac:dyDescent="0.25">
      <c r="A800" s="1" t="s">
        <v>9</v>
      </c>
      <c r="B800" s="1" t="s">
        <v>10</v>
      </c>
      <c r="C800" s="1" t="s">
        <v>207</v>
      </c>
      <c r="D800" s="1" t="s">
        <v>59</v>
      </c>
      <c r="E800">
        <v>175</v>
      </c>
      <c r="F800" s="1" t="s">
        <v>19</v>
      </c>
      <c r="G800" s="1" t="s">
        <v>14</v>
      </c>
      <c r="H800" s="1" t="s">
        <v>208</v>
      </c>
      <c r="I800" s="1" t="s">
        <v>16</v>
      </c>
    </row>
    <row r="801" spans="1:9" x14ac:dyDescent="0.25">
      <c r="A801" s="1" t="s">
        <v>9</v>
      </c>
      <c r="B801" s="1" t="s">
        <v>10</v>
      </c>
      <c r="C801" s="1" t="s">
        <v>207</v>
      </c>
      <c r="D801" s="1" t="s">
        <v>60</v>
      </c>
      <c r="E801">
        <v>175</v>
      </c>
      <c r="F801" s="1" t="s">
        <v>19</v>
      </c>
      <c r="G801" s="1" t="s">
        <v>14</v>
      </c>
      <c r="H801" s="1" t="s">
        <v>208</v>
      </c>
      <c r="I801" s="1" t="s">
        <v>16</v>
      </c>
    </row>
    <row r="802" spans="1:9" x14ac:dyDescent="0.25">
      <c r="A802" s="1" t="s">
        <v>9</v>
      </c>
      <c r="B802" s="1" t="s">
        <v>10</v>
      </c>
      <c r="C802" s="1" t="s">
        <v>207</v>
      </c>
      <c r="D802" s="1" t="s">
        <v>61</v>
      </c>
      <c r="E802">
        <v>175</v>
      </c>
      <c r="F802" s="1" t="s">
        <v>19</v>
      </c>
      <c r="G802" s="1" t="s">
        <v>14</v>
      </c>
      <c r="H802" s="1" t="s">
        <v>208</v>
      </c>
      <c r="I802" s="1" t="s">
        <v>16</v>
      </c>
    </row>
    <row r="803" spans="1:9" x14ac:dyDescent="0.25">
      <c r="A803" s="1" t="s">
        <v>9</v>
      </c>
      <c r="B803" s="1" t="s">
        <v>10</v>
      </c>
      <c r="C803" s="1" t="s">
        <v>207</v>
      </c>
      <c r="D803" s="1" t="s">
        <v>62</v>
      </c>
      <c r="E803">
        <v>175</v>
      </c>
      <c r="F803" s="1" t="s">
        <v>19</v>
      </c>
      <c r="G803" s="1" t="s">
        <v>14</v>
      </c>
      <c r="H803" s="1" t="s">
        <v>208</v>
      </c>
      <c r="I803" s="1" t="s">
        <v>16</v>
      </c>
    </row>
    <row r="804" spans="1:9" x14ac:dyDescent="0.25">
      <c r="A804" s="1" t="s">
        <v>9</v>
      </c>
      <c r="B804" s="1" t="s">
        <v>10</v>
      </c>
      <c r="C804" s="1" t="s">
        <v>207</v>
      </c>
      <c r="D804" s="1" t="s">
        <v>63</v>
      </c>
      <c r="E804">
        <v>650</v>
      </c>
      <c r="F804" s="1" t="s">
        <v>19</v>
      </c>
      <c r="G804" s="1" t="s">
        <v>14</v>
      </c>
      <c r="H804" s="1" t="s">
        <v>208</v>
      </c>
      <c r="I804" s="1" t="s">
        <v>16</v>
      </c>
    </row>
    <row r="805" spans="1:9" x14ac:dyDescent="0.25">
      <c r="A805" s="1" t="s">
        <v>9</v>
      </c>
      <c r="B805" s="1" t="s">
        <v>10</v>
      </c>
      <c r="C805" s="1" t="s">
        <v>207</v>
      </c>
      <c r="D805" s="1" t="s">
        <v>64</v>
      </c>
      <c r="E805">
        <v>175</v>
      </c>
      <c r="F805" s="1" t="s">
        <v>19</v>
      </c>
      <c r="G805" s="1" t="s">
        <v>14</v>
      </c>
      <c r="H805" s="1" t="s">
        <v>208</v>
      </c>
      <c r="I805" s="1" t="s">
        <v>16</v>
      </c>
    </row>
    <row r="806" spans="1:9" x14ac:dyDescent="0.25">
      <c r="A806" s="1" t="s">
        <v>9</v>
      </c>
      <c r="B806" s="1" t="s">
        <v>10</v>
      </c>
      <c r="C806" s="1" t="s">
        <v>207</v>
      </c>
      <c r="D806" s="1" t="s">
        <v>65</v>
      </c>
      <c r="E806">
        <v>175</v>
      </c>
      <c r="F806" s="1" t="s">
        <v>19</v>
      </c>
      <c r="G806" s="1" t="s">
        <v>14</v>
      </c>
      <c r="H806" s="1" t="s">
        <v>208</v>
      </c>
      <c r="I806" s="1" t="s">
        <v>16</v>
      </c>
    </row>
    <row r="807" spans="1:9" x14ac:dyDescent="0.25">
      <c r="A807" s="1" t="s">
        <v>9</v>
      </c>
      <c r="B807" s="1" t="s">
        <v>10</v>
      </c>
      <c r="C807" s="1" t="s">
        <v>207</v>
      </c>
      <c r="D807" s="1" t="s">
        <v>66</v>
      </c>
      <c r="E807">
        <v>325</v>
      </c>
      <c r="F807" s="1" t="s">
        <v>19</v>
      </c>
      <c r="G807" s="1" t="s">
        <v>14</v>
      </c>
      <c r="H807" s="1" t="s">
        <v>208</v>
      </c>
      <c r="I807" s="1" t="s">
        <v>16</v>
      </c>
    </row>
    <row r="808" spans="1:9" x14ac:dyDescent="0.25">
      <c r="A808" s="1" t="s">
        <v>9</v>
      </c>
      <c r="B808" s="1" t="s">
        <v>10</v>
      </c>
      <c r="C808" s="1" t="s">
        <v>207</v>
      </c>
      <c r="D808" s="1" t="s">
        <v>67</v>
      </c>
      <c r="E808">
        <v>325</v>
      </c>
      <c r="F808" s="1" t="s">
        <v>19</v>
      </c>
      <c r="G808" s="1" t="s">
        <v>14</v>
      </c>
      <c r="H808" s="1" t="s">
        <v>208</v>
      </c>
      <c r="I808" s="1" t="s">
        <v>16</v>
      </c>
    </row>
    <row r="809" spans="1:9" x14ac:dyDescent="0.25">
      <c r="A809" s="1" t="s">
        <v>9</v>
      </c>
      <c r="B809" s="1" t="s">
        <v>10</v>
      </c>
      <c r="C809" s="1" t="s">
        <v>207</v>
      </c>
      <c r="D809" s="1" t="s">
        <v>68</v>
      </c>
      <c r="E809">
        <v>325</v>
      </c>
      <c r="F809" s="1" t="s">
        <v>19</v>
      </c>
      <c r="G809" s="1" t="s">
        <v>14</v>
      </c>
      <c r="H809" s="1" t="s">
        <v>208</v>
      </c>
      <c r="I809" s="1" t="s">
        <v>16</v>
      </c>
    </row>
    <row r="810" spans="1:9" x14ac:dyDescent="0.25">
      <c r="A810" s="1" t="s">
        <v>9</v>
      </c>
      <c r="B810" s="1" t="s">
        <v>10</v>
      </c>
      <c r="C810" s="1" t="s">
        <v>207</v>
      </c>
      <c r="D810" s="1" t="s">
        <v>69</v>
      </c>
      <c r="E810">
        <v>175</v>
      </c>
      <c r="F810" s="1" t="s">
        <v>19</v>
      </c>
      <c r="G810" s="1" t="s">
        <v>14</v>
      </c>
      <c r="H810" s="1" t="s">
        <v>208</v>
      </c>
      <c r="I810" s="1" t="s">
        <v>16</v>
      </c>
    </row>
    <row r="811" spans="1:9" x14ac:dyDescent="0.25">
      <c r="A811" s="1" t="s">
        <v>9</v>
      </c>
      <c r="B811" s="1" t="s">
        <v>10</v>
      </c>
      <c r="C811" s="1" t="s">
        <v>207</v>
      </c>
      <c r="D811" s="1" t="s">
        <v>70</v>
      </c>
      <c r="E811">
        <v>325</v>
      </c>
      <c r="F811" s="1" t="s">
        <v>19</v>
      </c>
      <c r="G811" s="1" t="s">
        <v>14</v>
      </c>
      <c r="H811" s="1" t="s">
        <v>208</v>
      </c>
      <c r="I811" s="1" t="s">
        <v>16</v>
      </c>
    </row>
    <row r="812" spans="1:9" x14ac:dyDescent="0.25">
      <c r="A812" s="1" t="s">
        <v>9</v>
      </c>
      <c r="B812" s="1" t="s">
        <v>10</v>
      </c>
      <c r="C812" s="1" t="s">
        <v>239</v>
      </c>
      <c r="D812" s="1" t="s">
        <v>12</v>
      </c>
      <c r="E812">
        <v>650</v>
      </c>
      <c r="F812" s="1" t="s">
        <v>20</v>
      </c>
      <c r="G812" s="1" t="s">
        <v>14</v>
      </c>
      <c r="H812" s="1" t="s">
        <v>208</v>
      </c>
      <c r="I812" s="1" t="s">
        <v>16</v>
      </c>
    </row>
    <row r="813" spans="1:9" x14ac:dyDescent="0.25">
      <c r="A813" s="1" t="s">
        <v>9</v>
      </c>
      <c r="B813" s="1" t="s">
        <v>10</v>
      </c>
      <c r="C813" s="1" t="s">
        <v>239</v>
      </c>
      <c r="D813" s="1" t="s">
        <v>17</v>
      </c>
      <c r="E813">
        <v>650</v>
      </c>
      <c r="F813" s="1" t="s">
        <v>20</v>
      </c>
      <c r="G813" s="1" t="s">
        <v>14</v>
      </c>
      <c r="H813" s="1" t="s">
        <v>208</v>
      </c>
      <c r="I813" s="1" t="s">
        <v>16</v>
      </c>
    </row>
    <row r="814" spans="1:9" x14ac:dyDescent="0.25">
      <c r="A814" s="1" t="s">
        <v>9</v>
      </c>
      <c r="B814" s="1" t="s">
        <v>10</v>
      </c>
      <c r="C814" s="1" t="s">
        <v>239</v>
      </c>
      <c r="D814" s="1" t="s">
        <v>18</v>
      </c>
      <c r="E814">
        <v>650</v>
      </c>
      <c r="F814" s="1" t="s">
        <v>20</v>
      </c>
      <c r="G814" s="1" t="s">
        <v>14</v>
      </c>
      <c r="H814" s="1" t="s">
        <v>208</v>
      </c>
      <c r="I814" s="1" t="s">
        <v>16</v>
      </c>
    </row>
    <row r="815" spans="1:9" x14ac:dyDescent="0.25">
      <c r="A815" s="1" t="s">
        <v>9</v>
      </c>
      <c r="B815" s="1" t="s">
        <v>10</v>
      </c>
      <c r="C815" s="1" t="s">
        <v>239</v>
      </c>
      <c r="D815" s="1" t="s">
        <v>19</v>
      </c>
      <c r="E815">
        <v>175</v>
      </c>
      <c r="F815" s="1" t="s">
        <v>20</v>
      </c>
      <c r="G815" s="1" t="s">
        <v>14</v>
      </c>
      <c r="H815" s="1" t="s">
        <v>208</v>
      </c>
      <c r="I815" s="1" t="s">
        <v>16</v>
      </c>
    </row>
    <row r="816" spans="1:9" x14ac:dyDescent="0.25">
      <c r="A816" s="1" t="s">
        <v>9</v>
      </c>
      <c r="B816" s="1" t="s">
        <v>10</v>
      </c>
      <c r="C816" s="1" t="s">
        <v>239</v>
      </c>
      <c r="D816" s="1" t="s">
        <v>20</v>
      </c>
      <c r="E816">
        <v>650</v>
      </c>
      <c r="F816" s="1" t="s">
        <v>20</v>
      </c>
      <c r="G816" s="1" t="s">
        <v>14</v>
      </c>
      <c r="H816" s="1" t="s">
        <v>208</v>
      </c>
      <c r="I816" s="1" t="s">
        <v>16</v>
      </c>
    </row>
    <row r="817" spans="1:9" x14ac:dyDescent="0.25">
      <c r="A817" s="1" t="s">
        <v>9</v>
      </c>
      <c r="B817" s="1" t="s">
        <v>10</v>
      </c>
      <c r="C817" s="1" t="s">
        <v>239</v>
      </c>
      <c r="D817" s="1" t="s">
        <v>21</v>
      </c>
      <c r="E817">
        <v>325</v>
      </c>
      <c r="F817" s="1" t="s">
        <v>20</v>
      </c>
      <c r="G817" s="1" t="s">
        <v>14</v>
      </c>
      <c r="H817" s="1" t="s">
        <v>208</v>
      </c>
      <c r="I817" s="1" t="s">
        <v>16</v>
      </c>
    </row>
    <row r="818" spans="1:9" x14ac:dyDescent="0.25">
      <c r="A818" s="1" t="s">
        <v>9</v>
      </c>
      <c r="B818" s="1" t="s">
        <v>10</v>
      </c>
      <c r="C818" s="1" t="s">
        <v>239</v>
      </c>
      <c r="D818" s="1" t="s">
        <v>22</v>
      </c>
      <c r="E818">
        <v>325</v>
      </c>
      <c r="F818" s="1" t="s">
        <v>20</v>
      </c>
      <c r="G818" s="1" t="s">
        <v>14</v>
      </c>
      <c r="H818" s="1" t="s">
        <v>208</v>
      </c>
      <c r="I818" s="1" t="s">
        <v>16</v>
      </c>
    </row>
    <row r="819" spans="1:9" x14ac:dyDescent="0.25">
      <c r="A819" s="1" t="s">
        <v>9</v>
      </c>
      <c r="B819" s="1" t="s">
        <v>10</v>
      </c>
      <c r="C819" s="1" t="s">
        <v>239</v>
      </c>
      <c r="D819" s="1" t="s">
        <v>23</v>
      </c>
      <c r="E819">
        <v>650</v>
      </c>
      <c r="F819" s="1" t="s">
        <v>20</v>
      </c>
      <c r="G819" s="1" t="s">
        <v>14</v>
      </c>
      <c r="H819" s="1" t="s">
        <v>208</v>
      </c>
      <c r="I819" s="1" t="s">
        <v>16</v>
      </c>
    </row>
    <row r="820" spans="1:9" x14ac:dyDescent="0.25">
      <c r="A820" s="1" t="s">
        <v>9</v>
      </c>
      <c r="B820" s="1" t="s">
        <v>10</v>
      </c>
      <c r="C820" s="1" t="s">
        <v>239</v>
      </c>
      <c r="D820" s="1" t="s">
        <v>24</v>
      </c>
      <c r="E820">
        <v>325</v>
      </c>
      <c r="F820" s="1" t="s">
        <v>20</v>
      </c>
      <c r="G820" s="1" t="s">
        <v>14</v>
      </c>
      <c r="H820" s="1" t="s">
        <v>208</v>
      </c>
      <c r="I820" s="1" t="s">
        <v>16</v>
      </c>
    </row>
    <row r="821" spans="1:9" x14ac:dyDescent="0.25">
      <c r="A821" s="1" t="s">
        <v>9</v>
      </c>
      <c r="B821" s="1" t="s">
        <v>10</v>
      </c>
      <c r="C821" s="1" t="s">
        <v>239</v>
      </c>
      <c r="D821" s="1" t="s">
        <v>25</v>
      </c>
      <c r="E821">
        <v>325</v>
      </c>
      <c r="F821" s="1" t="s">
        <v>20</v>
      </c>
      <c r="G821" s="1" t="s">
        <v>14</v>
      </c>
      <c r="H821" s="1" t="s">
        <v>208</v>
      </c>
      <c r="I821" s="1" t="s">
        <v>16</v>
      </c>
    </row>
    <row r="822" spans="1:9" x14ac:dyDescent="0.25">
      <c r="A822" s="1" t="s">
        <v>9</v>
      </c>
      <c r="B822" s="1" t="s">
        <v>10</v>
      </c>
      <c r="C822" s="1" t="s">
        <v>239</v>
      </c>
      <c r="D822" s="1" t="s">
        <v>26</v>
      </c>
      <c r="E822">
        <v>650</v>
      </c>
      <c r="F822" s="1" t="s">
        <v>20</v>
      </c>
      <c r="G822" s="1" t="s">
        <v>14</v>
      </c>
      <c r="H822" s="1" t="s">
        <v>208</v>
      </c>
      <c r="I822" s="1" t="s">
        <v>16</v>
      </c>
    </row>
    <row r="823" spans="1:9" x14ac:dyDescent="0.25">
      <c r="A823" s="1" t="s">
        <v>9</v>
      </c>
      <c r="B823" s="1" t="s">
        <v>10</v>
      </c>
      <c r="C823" s="1" t="s">
        <v>239</v>
      </c>
      <c r="D823" s="1" t="s">
        <v>27</v>
      </c>
      <c r="E823">
        <v>650</v>
      </c>
      <c r="F823" s="1" t="s">
        <v>20</v>
      </c>
      <c r="G823" s="1" t="s">
        <v>14</v>
      </c>
      <c r="H823" s="1" t="s">
        <v>208</v>
      </c>
      <c r="I823" s="1" t="s">
        <v>16</v>
      </c>
    </row>
    <row r="824" spans="1:9" x14ac:dyDescent="0.25">
      <c r="A824" s="1" t="s">
        <v>9</v>
      </c>
      <c r="B824" s="1" t="s">
        <v>10</v>
      </c>
      <c r="C824" s="1" t="s">
        <v>239</v>
      </c>
      <c r="D824" s="1" t="s">
        <v>28</v>
      </c>
      <c r="E824">
        <v>650</v>
      </c>
      <c r="F824" s="1" t="s">
        <v>20</v>
      </c>
      <c r="G824" s="1" t="s">
        <v>14</v>
      </c>
      <c r="H824" s="1" t="s">
        <v>208</v>
      </c>
      <c r="I824" s="1" t="s">
        <v>16</v>
      </c>
    </row>
    <row r="825" spans="1:9" x14ac:dyDescent="0.25">
      <c r="A825" s="1" t="s">
        <v>9</v>
      </c>
      <c r="B825" s="1" t="s">
        <v>10</v>
      </c>
      <c r="C825" s="1" t="s">
        <v>239</v>
      </c>
      <c r="D825" s="1" t="s">
        <v>29</v>
      </c>
      <c r="E825">
        <v>650</v>
      </c>
      <c r="F825" s="1" t="s">
        <v>20</v>
      </c>
      <c r="G825" s="1" t="s">
        <v>14</v>
      </c>
      <c r="H825" s="1" t="s">
        <v>208</v>
      </c>
      <c r="I825" s="1" t="s">
        <v>16</v>
      </c>
    </row>
    <row r="826" spans="1:9" x14ac:dyDescent="0.25">
      <c r="A826" s="1" t="s">
        <v>9</v>
      </c>
      <c r="B826" s="1" t="s">
        <v>10</v>
      </c>
      <c r="C826" s="1" t="s">
        <v>239</v>
      </c>
      <c r="D826" s="1" t="s">
        <v>30</v>
      </c>
      <c r="E826">
        <v>325</v>
      </c>
      <c r="F826" s="1" t="s">
        <v>20</v>
      </c>
      <c r="G826" s="1" t="s">
        <v>14</v>
      </c>
      <c r="H826" s="1" t="s">
        <v>208</v>
      </c>
      <c r="I826" s="1" t="s">
        <v>16</v>
      </c>
    </row>
    <row r="827" spans="1:9" x14ac:dyDescent="0.25">
      <c r="A827" s="1" t="s">
        <v>9</v>
      </c>
      <c r="B827" s="1" t="s">
        <v>10</v>
      </c>
      <c r="C827" s="1" t="s">
        <v>239</v>
      </c>
      <c r="D827" s="1" t="s">
        <v>31</v>
      </c>
      <c r="E827">
        <v>175</v>
      </c>
      <c r="F827" s="1" t="s">
        <v>20</v>
      </c>
      <c r="G827" s="1" t="s">
        <v>14</v>
      </c>
      <c r="H827" s="1" t="s">
        <v>208</v>
      </c>
      <c r="I827" s="1" t="s">
        <v>16</v>
      </c>
    </row>
    <row r="828" spans="1:9" x14ac:dyDescent="0.25">
      <c r="A828" s="1" t="s">
        <v>9</v>
      </c>
      <c r="B828" s="1" t="s">
        <v>10</v>
      </c>
      <c r="C828" s="1" t="s">
        <v>239</v>
      </c>
      <c r="D828" s="1" t="s">
        <v>32</v>
      </c>
      <c r="E828">
        <v>175</v>
      </c>
      <c r="F828" s="1" t="s">
        <v>20</v>
      </c>
      <c r="G828" s="1" t="s">
        <v>14</v>
      </c>
      <c r="H828" s="1" t="s">
        <v>208</v>
      </c>
      <c r="I828" s="1" t="s">
        <v>16</v>
      </c>
    </row>
    <row r="829" spans="1:9" x14ac:dyDescent="0.25">
      <c r="A829" s="1" t="s">
        <v>9</v>
      </c>
      <c r="B829" s="1" t="s">
        <v>10</v>
      </c>
      <c r="C829" s="1" t="s">
        <v>239</v>
      </c>
      <c r="D829" s="1" t="s">
        <v>33</v>
      </c>
      <c r="E829">
        <v>650</v>
      </c>
      <c r="F829" s="1" t="s">
        <v>20</v>
      </c>
      <c r="G829" s="1" t="s">
        <v>14</v>
      </c>
      <c r="H829" s="1" t="s">
        <v>208</v>
      </c>
      <c r="I829" s="1" t="s">
        <v>16</v>
      </c>
    </row>
    <row r="830" spans="1:9" x14ac:dyDescent="0.25">
      <c r="A830" s="1" t="s">
        <v>9</v>
      </c>
      <c r="B830" s="1" t="s">
        <v>10</v>
      </c>
      <c r="C830" s="1" t="s">
        <v>239</v>
      </c>
      <c r="D830" s="1" t="s">
        <v>34</v>
      </c>
      <c r="E830">
        <v>325</v>
      </c>
      <c r="F830" s="1" t="s">
        <v>20</v>
      </c>
      <c r="G830" s="1" t="s">
        <v>14</v>
      </c>
      <c r="H830" s="1" t="s">
        <v>208</v>
      </c>
      <c r="I830" s="1" t="s">
        <v>16</v>
      </c>
    </row>
    <row r="831" spans="1:9" x14ac:dyDescent="0.25">
      <c r="A831" s="1" t="s">
        <v>9</v>
      </c>
      <c r="B831" s="1" t="s">
        <v>10</v>
      </c>
      <c r="C831" s="1" t="s">
        <v>239</v>
      </c>
      <c r="D831" s="1" t="s">
        <v>35</v>
      </c>
      <c r="E831">
        <v>175</v>
      </c>
      <c r="F831" s="1" t="s">
        <v>20</v>
      </c>
      <c r="G831" s="1" t="s">
        <v>14</v>
      </c>
      <c r="H831" s="1" t="s">
        <v>208</v>
      </c>
      <c r="I831" s="1" t="s">
        <v>16</v>
      </c>
    </row>
    <row r="832" spans="1:9" x14ac:dyDescent="0.25">
      <c r="A832" s="1" t="s">
        <v>9</v>
      </c>
      <c r="B832" s="1" t="s">
        <v>10</v>
      </c>
      <c r="C832" s="1" t="s">
        <v>239</v>
      </c>
      <c r="D832" s="1" t="s">
        <v>36</v>
      </c>
      <c r="E832">
        <v>175</v>
      </c>
      <c r="F832" s="1" t="s">
        <v>20</v>
      </c>
      <c r="G832" s="1" t="s">
        <v>14</v>
      </c>
      <c r="H832" s="1" t="s">
        <v>208</v>
      </c>
      <c r="I832" s="1" t="s">
        <v>16</v>
      </c>
    </row>
    <row r="833" spans="1:9" x14ac:dyDescent="0.25">
      <c r="A833" s="1" t="s">
        <v>9</v>
      </c>
      <c r="B833" s="1" t="s">
        <v>10</v>
      </c>
      <c r="C833" s="1" t="s">
        <v>239</v>
      </c>
      <c r="D833" s="1" t="s">
        <v>37</v>
      </c>
      <c r="E833">
        <v>325</v>
      </c>
      <c r="F833" s="1" t="s">
        <v>20</v>
      </c>
      <c r="G833" s="1" t="s">
        <v>14</v>
      </c>
      <c r="H833" s="1" t="s">
        <v>208</v>
      </c>
      <c r="I833" s="1" t="s">
        <v>16</v>
      </c>
    </row>
    <row r="834" spans="1:9" x14ac:dyDescent="0.25">
      <c r="A834" s="1" t="s">
        <v>9</v>
      </c>
      <c r="B834" s="1" t="s">
        <v>10</v>
      </c>
      <c r="C834" s="1" t="s">
        <v>239</v>
      </c>
      <c r="D834" s="1" t="s">
        <v>38</v>
      </c>
      <c r="E834">
        <v>650</v>
      </c>
      <c r="F834" s="1" t="s">
        <v>20</v>
      </c>
      <c r="G834" s="1" t="s">
        <v>14</v>
      </c>
      <c r="H834" s="1" t="s">
        <v>208</v>
      </c>
      <c r="I834" s="1" t="s">
        <v>16</v>
      </c>
    </row>
    <row r="835" spans="1:9" x14ac:dyDescent="0.25">
      <c r="A835" s="1" t="s">
        <v>9</v>
      </c>
      <c r="B835" s="1" t="s">
        <v>10</v>
      </c>
      <c r="C835" s="1" t="s">
        <v>239</v>
      </c>
      <c r="D835" s="1" t="s">
        <v>39</v>
      </c>
      <c r="E835">
        <v>175</v>
      </c>
      <c r="F835" s="1" t="s">
        <v>20</v>
      </c>
      <c r="G835" s="1" t="s">
        <v>14</v>
      </c>
      <c r="H835" s="1" t="s">
        <v>208</v>
      </c>
      <c r="I835" s="1" t="s">
        <v>16</v>
      </c>
    </row>
    <row r="836" spans="1:9" x14ac:dyDescent="0.25">
      <c r="A836" s="1" t="s">
        <v>9</v>
      </c>
      <c r="B836" s="1" t="s">
        <v>10</v>
      </c>
      <c r="C836" s="1" t="s">
        <v>239</v>
      </c>
      <c r="D836" s="1" t="s">
        <v>40</v>
      </c>
      <c r="E836">
        <v>325</v>
      </c>
      <c r="F836" s="1" t="s">
        <v>20</v>
      </c>
      <c r="G836" s="1" t="s">
        <v>14</v>
      </c>
      <c r="H836" s="1" t="s">
        <v>208</v>
      </c>
      <c r="I836" s="1" t="s">
        <v>16</v>
      </c>
    </row>
    <row r="837" spans="1:9" x14ac:dyDescent="0.25">
      <c r="A837" s="1" t="s">
        <v>9</v>
      </c>
      <c r="B837" s="1" t="s">
        <v>10</v>
      </c>
      <c r="C837" s="1" t="s">
        <v>239</v>
      </c>
      <c r="D837" s="1" t="s">
        <v>41</v>
      </c>
      <c r="E837">
        <v>650</v>
      </c>
      <c r="F837" s="1" t="s">
        <v>20</v>
      </c>
      <c r="G837" s="1" t="s">
        <v>14</v>
      </c>
      <c r="H837" s="1" t="s">
        <v>208</v>
      </c>
      <c r="I837" s="1" t="s">
        <v>16</v>
      </c>
    </row>
    <row r="838" spans="1:9" x14ac:dyDescent="0.25">
      <c r="A838" s="1" t="s">
        <v>9</v>
      </c>
      <c r="B838" s="1" t="s">
        <v>10</v>
      </c>
      <c r="C838" s="1" t="s">
        <v>239</v>
      </c>
      <c r="D838" s="1" t="s">
        <v>42</v>
      </c>
      <c r="E838">
        <v>325</v>
      </c>
      <c r="F838" s="1" t="s">
        <v>20</v>
      </c>
      <c r="G838" s="1" t="s">
        <v>14</v>
      </c>
      <c r="H838" s="1" t="s">
        <v>208</v>
      </c>
      <c r="I838" s="1" t="s">
        <v>16</v>
      </c>
    </row>
    <row r="839" spans="1:9" x14ac:dyDescent="0.25">
      <c r="A839" s="1" t="s">
        <v>9</v>
      </c>
      <c r="B839" s="1" t="s">
        <v>10</v>
      </c>
      <c r="C839" s="1" t="s">
        <v>239</v>
      </c>
      <c r="D839" s="1" t="s">
        <v>43</v>
      </c>
      <c r="E839">
        <v>650</v>
      </c>
      <c r="F839" s="1" t="s">
        <v>20</v>
      </c>
      <c r="G839" s="1" t="s">
        <v>14</v>
      </c>
      <c r="H839" s="1" t="s">
        <v>208</v>
      </c>
      <c r="I839" s="1" t="s">
        <v>16</v>
      </c>
    </row>
    <row r="840" spans="1:9" x14ac:dyDescent="0.25">
      <c r="A840" s="1" t="s">
        <v>9</v>
      </c>
      <c r="B840" s="1" t="s">
        <v>10</v>
      </c>
      <c r="C840" s="1" t="s">
        <v>239</v>
      </c>
      <c r="D840" s="1" t="s">
        <v>45</v>
      </c>
      <c r="E840">
        <v>650</v>
      </c>
      <c r="F840" s="1" t="s">
        <v>20</v>
      </c>
      <c r="G840" s="1" t="s">
        <v>14</v>
      </c>
      <c r="H840" s="1" t="s">
        <v>208</v>
      </c>
      <c r="I840" s="1" t="s">
        <v>16</v>
      </c>
    </row>
    <row r="841" spans="1:9" x14ac:dyDescent="0.25">
      <c r="A841" s="1" t="s">
        <v>9</v>
      </c>
      <c r="B841" s="1" t="s">
        <v>10</v>
      </c>
      <c r="C841" s="1" t="s">
        <v>239</v>
      </c>
      <c r="D841" s="1" t="s">
        <v>46</v>
      </c>
      <c r="E841">
        <v>650</v>
      </c>
      <c r="F841" s="1" t="s">
        <v>20</v>
      </c>
      <c r="G841" s="1" t="s">
        <v>14</v>
      </c>
      <c r="H841" s="1" t="s">
        <v>208</v>
      </c>
      <c r="I841" s="1" t="s">
        <v>16</v>
      </c>
    </row>
    <row r="842" spans="1:9" x14ac:dyDescent="0.25">
      <c r="A842" s="1" t="s">
        <v>9</v>
      </c>
      <c r="B842" s="1" t="s">
        <v>10</v>
      </c>
      <c r="C842" s="1" t="s">
        <v>239</v>
      </c>
      <c r="D842" s="1" t="s">
        <v>47</v>
      </c>
      <c r="E842">
        <v>175</v>
      </c>
      <c r="F842" s="1" t="s">
        <v>20</v>
      </c>
      <c r="G842" s="1" t="s">
        <v>14</v>
      </c>
      <c r="H842" s="1" t="s">
        <v>208</v>
      </c>
      <c r="I842" s="1" t="s">
        <v>16</v>
      </c>
    </row>
    <row r="843" spans="1:9" x14ac:dyDescent="0.25">
      <c r="A843" s="1" t="s">
        <v>9</v>
      </c>
      <c r="B843" s="1" t="s">
        <v>10</v>
      </c>
      <c r="C843" s="1" t="s">
        <v>239</v>
      </c>
      <c r="D843" s="1" t="s">
        <v>48</v>
      </c>
      <c r="E843">
        <v>650</v>
      </c>
      <c r="F843" s="1" t="s">
        <v>20</v>
      </c>
      <c r="G843" s="1" t="s">
        <v>14</v>
      </c>
      <c r="H843" s="1" t="s">
        <v>208</v>
      </c>
      <c r="I843" s="1" t="s">
        <v>16</v>
      </c>
    </row>
    <row r="844" spans="1:9" x14ac:dyDescent="0.25">
      <c r="A844" s="1" t="s">
        <v>9</v>
      </c>
      <c r="B844" s="1" t="s">
        <v>10</v>
      </c>
      <c r="C844" s="1" t="s">
        <v>239</v>
      </c>
      <c r="D844" s="1" t="s">
        <v>49</v>
      </c>
      <c r="E844">
        <v>325</v>
      </c>
      <c r="F844" s="1" t="s">
        <v>20</v>
      </c>
      <c r="G844" s="1" t="s">
        <v>14</v>
      </c>
      <c r="H844" s="1" t="s">
        <v>208</v>
      </c>
      <c r="I844" s="1" t="s">
        <v>16</v>
      </c>
    </row>
    <row r="845" spans="1:9" x14ac:dyDescent="0.25">
      <c r="A845" s="1" t="s">
        <v>9</v>
      </c>
      <c r="B845" s="1" t="s">
        <v>10</v>
      </c>
      <c r="C845" s="1" t="s">
        <v>239</v>
      </c>
      <c r="D845" s="1" t="s">
        <v>50</v>
      </c>
      <c r="E845">
        <v>325</v>
      </c>
      <c r="F845" s="1" t="s">
        <v>20</v>
      </c>
      <c r="G845" s="1" t="s">
        <v>14</v>
      </c>
      <c r="H845" s="1" t="s">
        <v>208</v>
      </c>
      <c r="I845" s="1" t="s">
        <v>16</v>
      </c>
    </row>
    <row r="846" spans="1:9" x14ac:dyDescent="0.25">
      <c r="A846" s="1" t="s">
        <v>9</v>
      </c>
      <c r="B846" s="1" t="s">
        <v>10</v>
      </c>
      <c r="C846" s="1" t="s">
        <v>239</v>
      </c>
      <c r="D846" s="1" t="s">
        <v>51</v>
      </c>
      <c r="E846">
        <v>650</v>
      </c>
      <c r="F846" s="1" t="s">
        <v>20</v>
      </c>
      <c r="G846" s="1" t="s">
        <v>14</v>
      </c>
      <c r="H846" s="1" t="s">
        <v>208</v>
      </c>
      <c r="I846" s="1" t="s">
        <v>16</v>
      </c>
    </row>
    <row r="847" spans="1:9" x14ac:dyDescent="0.25">
      <c r="A847" s="1" t="s">
        <v>9</v>
      </c>
      <c r="B847" s="1" t="s">
        <v>10</v>
      </c>
      <c r="C847" s="1" t="s">
        <v>239</v>
      </c>
      <c r="D847" s="1" t="s">
        <v>52</v>
      </c>
      <c r="E847">
        <v>325</v>
      </c>
      <c r="F847" s="1" t="s">
        <v>20</v>
      </c>
      <c r="G847" s="1" t="s">
        <v>14</v>
      </c>
      <c r="H847" s="1" t="s">
        <v>208</v>
      </c>
      <c r="I847" s="1" t="s">
        <v>16</v>
      </c>
    </row>
    <row r="848" spans="1:9" x14ac:dyDescent="0.25">
      <c r="A848" s="1" t="s">
        <v>9</v>
      </c>
      <c r="B848" s="1" t="s">
        <v>10</v>
      </c>
      <c r="C848" s="1" t="s">
        <v>239</v>
      </c>
      <c r="D848" s="1" t="s">
        <v>53</v>
      </c>
      <c r="E848">
        <v>325</v>
      </c>
      <c r="F848" s="1" t="s">
        <v>20</v>
      </c>
      <c r="G848" s="1" t="s">
        <v>14</v>
      </c>
      <c r="H848" s="1" t="s">
        <v>208</v>
      </c>
      <c r="I848" s="1" t="s">
        <v>16</v>
      </c>
    </row>
    <row r="849" spans="1:9" x14ac:dyDescent="0.25">
      <c r="A849" s="1" t="s">
        <v>9</v>
      </c>
      <c r="B849" s="1" t="s">
        <v>10</v>
      </c>
      <c r="C849" s="1" t="s">
        <v>239</v>
      </c>
      <c r="D849" s="1" t="s">
        <v>54</v>
      </c>
      <c r="E849">
        <v>650</v>
      </c>
      <c r="F849" s="1" t="s">
        <v>20</v>
      </c>
      <c r="G849" s="1" t="s">
        <v>14</v>
      </c>
      <c r="H849" s="1" t="s">
        <v>208</v>
      </c>
      <c r="I849" s="1" t="s">
        <v>16</v>
      </c>
    </row>
    <row r="850" spans="1:9" x14ac:dyDescent="0.25">
      <c r="A850" s="1" t="s">
        <v>9</v>
      </c>
      <c r="B850" s="1" t="s">
        <v>10</v>
      </c>
      <c r="C850" s="1" t="s">
        <v>239</v>
      </c>
      <c r="D850" s="1" t="s">
        <v>55</v>
      </c>
      <c r="E850">
        <v>650</v>
      </c>
      <c r="F850" s="1" t="s">
        <v>20</v>
      </c>
      <c r="G850" s="1" t="s">
        <v>14</v>
      </c>
      <c r="H850" s="1" t="s">
        <v>208</v>
      </c>
      <c r="I850" s="1" t="s">
        <v>16</v>
      </c>
    </row>
    <row r="851" spans="1:9" x14ac:dyDescent="0.25">
      <c r="A851" s="1" t="s">
        <v>9</v>
      </c>
      <c r="B851" s="1" t="s">
        <v>10</v>
      </c>
      <c r="C851" s="1" t="s">
        <v>239</v>
      </c>
      <c r="D851" s="1" t="s">
        <v>56</v>
      </c>
      <c r="E851">
        <v>650</v>
      </c>
      <c r="F851" s="1" t="s">
        <v>20</v>
      </c>
      <c r="G851" s="1" t="s">
        <v>14</v>
      </c>
      <c r="H851" s="1" t="s">
        <v>208</v>
      </c>
      <c r="I851" s="1" t="s">
        <v>16</v>
      </c>
    </row>
    <row r="852" spans="1:9" x14ac:dyDescent="0.25">
      <c r="A852" s="1" t="s">
        <v>9</v>
      </c>
      <c r="B852" s="1" t="s">
        <v>10</v>
      </c>
      <c r="C852" s="1" t="s">
        <v>239</v>
      </c>
      <c r="D852" s="1" t="s">
        <v>57</v>
      </c>
      <c r="E852">
        <v>650</v>
      </c>
      <c r="F852" s="1" t="s">
        <v>20</v>
      </c>
      <c r="G852" s="1" t="s">
        <v>14</v>
      </c>
      <c r="H852" s="1" t="s">
        <v>208</v>
      </c>
      <c r="I852" s="1" t="s">
        <v>16</v>
      </c>
    </row>
    <row r="853" spans="1:9" x14ac:dyDescent="0.25">
      <c r="A853" s="1" t="s">
        <v>9</v>
      </c>
      <c r="B853" s="1" t="s">
        <v>10</v>
      </c>
      <c r="C853" s="1" t="s">
        <v>239</v>
      </c>
      <c r="D853" s="1" t="s">
        <v>58</v>
      </c>
      <c r="E853">
        <v>325</v>
      </c>
      <c r="F853" s="1" t="s">
        <v>20</v>
      </c>
      <c r="G853" s="1" t="s">
        <v>14</v>
      </c>
      <c r="H853" s="1" t="s">
        <v>208</v>
      </c>
      <c r="I853" s="1" t="s">
        <v>16</v>
      </c>
    </row>
    <row r="854" spans="1:9" x14ac:dyDescent="0.25">
      <c r="A854" s="1" t="s">
        <v>9</v>
      </c>
      <c r="B854" s="1" t="s">
        <v>10</v>
      </c>
      <c r="C854" s="1" t="s">
        <v>239</v>
      </c>
      <c r="D854" s="1" t="s">
        <v>59</v>
      </c>
      <c r="E854">
        <v>175</v>
      </c>
      <c r="F854" s="1" t="s">
        <v>20</v>
      </c>
      <c r="G854" s="1" t="s">
        <v>14</v>
      </c>
      <c r="H854" s="1" t="s">
        <v>208</v>
      </c>
      <c r="I854" s="1" t="s">
        <v>16</v>
      </c>
    </row>
    <row r="855" spans="1:9" x14ac:dyDescent="0.25">
      <c r="A855" s="1" t="s">
        <v>9</v>
      </c>
      <c r="B855" s="1" t="s">
        <v>10</v>
      </c>
      <c r="C855" s="1" t="s">
        <v>239</v>
      </c>
      <c r="D855" s="1" t="s">
        <v>60</v>
      </c>
      <c r="E855">
        <v>175</v>
      </c>
      <c r="F855" s="1" t="s">
        <v>20</v>
      </c>
      <c r="G855" s="1" t="s">
        <v>14</v>
      </c>
      <c r="H855" s="1" t="s">
        <v>208</v>
      </c>
      <c r="I855" s="1" t="s">
        <v>16</v>
      </c>
    </row>
    <row r="856" spans="1:9" x14ac:dyDescent="0.25">
      <c r="A856" s="1" t="s">
        <v>9</v>
      </c>
      <c r="B856" s="1" t="s">
        <v>10</v>
      </c>
      <c r="C856" s="1" t="s">
        <v>239</v>
      </c>
      <c r="D856" s="1" t="s">
        <v>61</v>
      </c>
      <c r="E856">
        <v>650</v>
      </c>
      <c r="F856" s="1" t="s">
        <v>20</v>
      </c>
      <c r="G856" s="1" t="s">
        <v>14</v>
      </c>
      <c r="H856" s="1" t="s">
        <v>208</v>
      </c>
      <c r="I856" s="1" t="s">
        <v>16</v>
      </c>
    </row>
    <row r="857" spans="1:9" x14ac:dyDescent="0.25">
      <c r="A857" s="1" t="s">
        <v>9</v>
      </c>
      <c r="B857" s="1" t="s">
        <v>10</v>
      </c>
      <c r="C857" s="1" t="s">
        <v>239</v>
      </c>
      <c r="D857" s="1" t="s">
        <v>62</v>
      </c>
      <c r="E857">
        <v>325</v>
      </c>
      <c r="F857" s="1" t="s">
        <v>20</v>
      </c>
      <c r="G857" s="1" t="s">
        <v>14</v>
      </c>
      <c r="H857" s="1" t="s">
        <v>208</v>
      </c>
      <c r="I857" s="1" t="s">
        <v>16</v>
      </c>
    </row>
    <row r="858" spans="1:9" x14ac:dyDescent="0.25">
      <c r="A858" s="1" t="s">
        <v>9</v>
      </c>
      <c r="B858" s="1" t="s">
        <v>10</v>
      </c>
      <c r="C858" s="1" t="s">
        <v>239</v>
      </c>
      <c r="D858" s="1" t="s">
        <v>63</v>
      </c>
      <c r="E858">
        <v>175</v>
      </c>
      <c r="F858" s="1" t="s">
        <v>20</v>
      </c>
      <c r="G858" s="1" t="s">
        <v>14</v>
      </c>
      <c r="H858" s="1" t="s">
        <v>208</v>
      </c>
      <c r="I858" s="1" t="s">
        <v>16</v>
      </c>
    </row>
    <row r="859" spans="1:9" x14ac:dyDescent="0.25">
      <c r="A859" s="1" t="s">
        <v>9</v>
      </c>
      <c r="B859" s="1" t="s">
        <v>10</v>
      </c>
      <c r="C859" s="1" t="s">
        <v>239</v>
      </c>
      <c r="D859" s="1" t="s">
        <v>64</v>
      </c>
      <c r="E859">
        <v>175</v>
      </c>
      <c r="F859" s="1" t="s">
        <v>20</v>
      </c>
      <c r="G859" s="1" t="s">
        <v>14</v>
      </c>
      <c r="H859" s="1" t="s">
        <v>208</v>
      </c>
      <c r="I859" s="1" t="s">
        <v>16</v>
      </c>
    </row>
    <row r="860" spans="1:9" x14ac:dyDescent="0.25">
      <c r="A860" s="1" t="s">
        <v>9</v>
      </c>
      <c r="B860" s="1" t="s">
        <v>10</v>
      </c>
      <c r="C860" s="1" t="s">
        <v>239</v>
      </c>
      <c r="D860" s="1" t="s">
        <v>65</v>
      </c>
      <c r="E860">
        <v>325</v>
      </c>
      <c r="F860" s="1" t="s">
        <v>20</v>
      </c>
      <c r="G860" s="1" t="s">
        <v>14</v>
      </c>
      <c r="H860" s="1" t="s">
        <v>208</v>
      </c>
      <c r="I860" s="1" t="s">
        <v>16</v>
      </c>
    </row>
    <row r="861" spans="1:9" x14ac:dyDescent="0.25">
      <c r="A861" s="1" t="s">
        <v>9</v>
      </c>
      <c r="B861" s="1" t="s">
        <v>10</v>
      </c>
      <c r="C861" s="1" t="s">
        <v>239</v>
      </c>
      <c r="D861" s="1" t="s">
        <v>66</v>
      </c>
      <c r="E861">
        <v>650</v>
      </c>
      <c r="F861" s="1" t="s">
        <v>20</v>
      </c>
      <c r="G861" s="1" t="s">
        <v>14</v>
      </c>
      <c r="H861" s="1" t="s">
        <v>208</v>
      </c>
      <c r="I861" s="1" t="s">
        <v>16</v>
      </c>
    </row>
    <row r="862" spans="1:9" x14ac:dyDescent="0.25">
      <c r="A862" s="1" t="s">
        <v>9</v>
      </c>
      <c r="B862" s="1" t="s">
        <v>10</v>
      </c>
      <c r="C862" s="1" t="s">
        <v>239</v>
      </c>
      <c r="D862" s="1" t="s">
        <v>67</v>
      </c>
      <c r="E862">
        <v>175</v>
      </c>
      <c r="F862" s="1" t="s">
        <v>20</v>
      </c>
      <c r="G862" s="1" t="s">
        <v>14</v>
      </c>
      <c r="H862" s="1" t="s">
        <v>208</v>
      </c>
      <c r="I862" s="1" t="s">
        <v>16</v>
      </c>
    </row>
    <row r="863" spans="1:9" x14ac:dyDescent="0.25">
      <c r="A863" s="1" t="s">
        <v>9</v>
      </c>
      <c r="B863" s="1" t="s">
        <v>10</v>
      </c>
      <c r="C863" s="1" t="s">
        <v>239</v>
      </c>
      <c r="D863" s="1" t="s">
        <v>68</v>
      </c>
      <c r="E863">
        <v>325</v>
      </c>
      <c r="F863" s="1" t="s">
        <v>20</v>
      </c>
      <c r="G863" s="1" t="s">
        <v>14</v>
      </c>
      <c r="H863" s="1" t="s">
        <v>208</v>
      </c>
      <c r="I863" s="1" t="s">
        <v>16</v>
      </c>
    </row>
    <row r="864" spans="1:9" x14ac:dyDescent="0.25">
      <c r="A864" s="1" t="s">
        <v>9</v>
      </c>
      <c r="B864" s="1" t="s">
        <v>10</v>
      </c>
      <c r="C864" s="1" t="s">
        <v>239</v>
      </c>
      <c r="D864" s="1" t="s">
        <v>69</v>
      </c>
      <c r="E864">
        <v>650</v>
      </c>
      <c r="F864" s="1" t="s">
        <v>20</v>
      </c>
      <c r="G864" s="1" t="s">
        <v>14</v>
      </c>
      <c r="H864" s="1" t="s">
        <v>208</v>
      </c>
      <c r="I864" s="1" t="s">
        <v>16</v>
      </c>
    </row>
    <row r="865" spans="1:9" x14ac:dyDescent="0.25">
      <c r="A865" s="1" t="s">
        <v>9</v>
      </c>
      <c r="B865" s="1" t="s">
        <v>10</v>
      </c>
      <c r="C865" s="1" t="s">
        <v>239</v>
      </c>
      <c r="D865" s="1" t="s">
        <v>70</v>
      </c>
      <c r="E865">
        <v>325</v>
      </c>
      <c r="F865" s="1" t="s">
        <v>20</v>
      </c>
      <c r="G865" s="1" t="s">
        <v>14</v>
      </c>
      <c r="H865" s="1" t="s">
        <v>208</v>
      </c>
      <c r="I865" s="1" t="s">
        <v>16</v>
      </c>
    </row>
    <row r="866" spans="1:9" x14ac:dyDescent="0.25">
      <c r="A866" s="1" t="s">
        <v>9</v>
      </c>
      <c r="B866" s="1" t="s">
        <v>10</v>
      </c>
      <c r="C866" s="1" t="s">
        <v>240</v>
      </c>
      <c r="D866" s="1" t="s">
        <v>12</v>
      </c>
      <c r="E866">
        <v>325</v>
      </c>
      <c r="F866" s="1" t="s">
        <v>36</v>
      </c>
      <c r="G866" s="1" t="s">
        <v>14</v>
      </c>
      <c r="H866" s="1" t="s">
        <v>73</v>
      </c>
      <c r="I866" s="1" t="s">
        <v>16</v>
      </c>
    </row>
    <row r="867" spans="1:9" x14ac:dyDescent="0.25">
      <c r="A867" s="1" t="s">
        <v>9</v>
      </c>
      <c r="B867" s="1" t="s">
        <v>10</v>
      </c>
      <c r="C867" s="1" t="s">
        <v>240</v>
      </c>
      <c r="D867" s="1" t="s">
        <v>17</v>
      </c>
      <c r="E867">
        <v>650</v>
      </c>
      <c r="F867" s="1" t="s">
        <v>36</v>
      </c>
      <c r="G867" s="1" t="s">
        <v>14</v>
      </c>
      <c r="H867" s="1" t="s">
        <v>73</v>
      </c>
      <c r="I867" s="1" t="s">
        <v>16</v>
      </c>
    </row>
    <row r="868" spans="1:9" x14ac:dyDescent="0.25">
      <c r="A868" s="1" t="s">
        <v>9</v>
      </c>
      <c r="B868" s="1" t="s">
        <v>10</v>
      </c>
      <c r="C868" s="1" t="s">
        <v>240</v>
      </c>
      <c r="D868" s="1" t="s">
        <v>18</v>
      </c>
      <c r="E868">
        <v>325</v>
      </c>
      <c r="F868" s="1" t="s">
        <v>36</v>
      </c>
      <c r="G868" s="1" t="s">
        <v>14</v>
      </c>
      <c r="H868" s="1" t="s">
        <v>73</v>
      </c>
      <c r="I868" s="1" t="s">
        <v>16</v>
      </c>
    </row>
    <row r="869" spans="1:9" x14ac:dyDescent="0.25">
      <c r="A869" s="1" t="s">
        <v>9</v>
      </c>
      <c r="B869" s="1" t="s">
        <v>10</v>
      </c>
      <c r="C869" s="1" t="s">
        <v>240</v>
      </c>
      <c r="D869" s="1" t="s">
        <v>19</v>
      </c>
      <c r="E869">
        <v>325</v>
      </c>
      <c r="F869" s="1" t="s">
        <v>36</v>
      </c>
      <c r="G869" s="1" t="s">
        <v>14</v>
      </c>
      <c r="H869" s="1" t="s">
        <v>73</v>
      </c>
      <c r="I869" s="1" t="s">
        <v>16</v>
      </c>
    </row>
    <row r="870" spans="1:9" x14ac:dyDescent="0.25">
      <c r="A870" s="1" t="s">
        <v>9</v>
      </c>
      <c r="B870" s="1" t="s">
        <v>10</v>
      </c>
      <c r="C870" s="1" t="s">
        <v>240</v>
      </c>
      <c r="D870" s="1" t="s">
        <v>20</v>
      </c>
      <c r="E870">
        <v>325</v>
      </c>
      <c r="F870" s="1" t="s">
        <v>36</v>
      </c>
      <c r="G870" s="1" t="s">
        <v>14</v>
      </c>
      <c r="H870" s="1" t="s">
        <v>73</v>
      </c>
      <c r="I870" s="1" t="s">
        <v>16</v>
      </c>
    </row>
    <row r="871" spans="1:9" x14ac:dyDescent="0.25">
      <c r="A871" s="1" t="s">
        <v>9</v>
      </c>
      <c r="B871" s="1" t="s">
        <v>10</v>
      </c>
      <c r="C871" s="1" t="s">
        <v>240</v>
      </c>
      <c r="D871" s="1" t="s">
        <v>21</v>
      </c>
      <c r="E871">
        <v>650</v>
      </c>
      <c r="F871" s="1" t="s">
        <v>36</v>
      </c>
      <c r="G871" s="1" t="s">
        <v>14</v>
      </c>
      <c r="H871" s="1" t="s">
        <v>73</v>
      </c>
      <c r="I871" s="1" t="s">
        <v>16</v>
      </c>
    </row>
    <row r="872" spans="1:9" x14ac:dyDescent="0.25">
      <c r="A872" s="1" t="s">
        <v>9</v>
      </c>
      <c r="B872" s="1" t="s">
        <v>10</v>
      </c>
      <c r="C872" s="1" t="s">
        <v>240</v>
      </c>
      <c r="D872" s="1" t="s">
        <v>22</v>
      </c>
      <c r="E872">
        <v>325</v>
      </c>
      <c r="F872" s="1" t="s">
        <v>36</v>
      </c>
      <c r="G872" s="1" t="s">
        <v>14</v>
      </c>
      <c r="H872" s="1" t="s">
        <v>73</v>
      </c>
      <c r="I872" s="1" t="s">
        <v>16</v>
      </c>
    </row>
    <row r="873" spans="1:9" x14ac:dyDescent="0.25">
      <c r="A873" s="1" t="s">
        <v>9</v>
      </c>
      <c r="B873" s="1" t="s">
        <v>10</v>
      </c>
      <c r="C873" s="1" t="s">
        <v>240</v>
      </c>
      <c r="D873" s="1" t="s">
        <v>23</v>
      </c>
      <c r="E873">
        <v>325</v>
      </c>
      <c r="F873" s="1" t="s">
        <v>36</v>
      </c>
      <c r="G873" s="1" t="s">
        <v>14</v>
      </c>
      <c r="H873" s="1" t="s">
        <v>73</v>
      </c>
      <c r="I873" s="1" t="s">
        <v>16</v>
      </c>
    </row>
    <row r="874" spans="1:9" x14ac:dyDescent="0.25">
      <c r="A874" s="1" t="s">
        <v>9</v>
      </c>
      <c r="B874" s="1" t="s">
        <v>10</v>
      </c>
      <c r="C874" s="1" t="s">
        <v>240</v>
      </c>
      <c r="D874" s="1" t="s">
        <v>24</v>
      </c>
      <c r="E874">
        <v>325</v>
      </c>
      <c r="F874" s="1" t="s">
        <v>36</v>
      </c>
      <c r="G874" s="1" t="s">
        <v>14</v>
      </c>
      <c r="H874" s="1" t="s">
        <v>73</v>
      </c>
      <c r="I874" s="1" t="s">
        <v>16</v>
      </c>
    </row>
    <row r="875" spans="1:9" x14ac:dyDescent="0.25">
      <c r="A875" s="1" t="s">
        <v>9</v>
      </c>
      <c r="B875" s="1" t="s">
        <v>10</v>
      </c>
      <c r="C875" s="1" t="s">
        <v>240</v>
      </c>
      <c r="D875" s="1" t="s">
        <v>25</v>
      </c>
      <c r="E875">
        <v>325</v>
      </c>
      <c r="F875" s="1" t="s">
        <v>36</v>
      </c>
      <c r="G875" s="1" t="s">
        <v>14</v>
      </c>
      <c r="H875" s="1" t="s">
        <v>73</v>
      </c>
      <c r="I875" s="1" t="s">
        <v>16</v>
      </c>
    </row>
    <row r="876" spans="1:9" x14ac:dyDescent="0.25">
      <c r="A876" s="1" t="s">
        <v>9</v>
      </c>
      <c r="B876" s="1" t="s">
        <v>10</v>
      </c>
      <c r="C876" s="1" t="s">
        <v>240</v>
      </c>
      <c r="D876" s="1" t="s">
        <v>26</v>
      </c>
      <c r="E876">
        <v>325</v>
      </c>
      <c r="F876" s="1" t="s">
        <v>36</v>
      </c>
      <c r="G876" s="1" t="s">
        <v>14</v>
      </c>
      <c r="H876" s="1" t="s">
        <v>73</v>
      </c>
      <c r="I876" s="1" t="s">
        <v>16</v>
      </c>
    </row>
    <row r="877" spans="1:9" x14ac:dyDescent="0.25">
      <c r="A877" s="1" t="s">
        <v>9</v>
      </c>
      <c r="B877" s="1" t="s">
        <v>10</v>
      </c>
      <c r="C877" s="1" t="s">
        <v>240</v>
      </c>
      <c r="D877" s="1" t="s">
        <v>27</v>
      </c>
      <c r="E877">
        <v>325</v>
      </c>
      <c r="F877" s="1" t="s">
        <v>36</v>
      </c>
      <c r="G877" s="1" t="s">
        <v>14</v>
      </c>
      <c r="H877" s="1" t="s">
        <v>73</v>
      </c>
      <c r="I877" s="1" t="s">
        <v>16</v>
      </c>
    </row>
    <row r="878" spans="1:9" x14ac:dyDescent="0.25">
      <c r="A878" s="1" t="s">
        <v>9</v>
      </c>
      <c r="B878" s="1" t="s">
        <v>10</v>
      </c>
      <c r="C878" s="1" t="s">
        <v>240</v>
      </c>
      <c r="D878" s="1" t="s">
        <v>28</v>
      </c>
      <c r="E878">
        <v>325</v>
      </c>
      <c r="F878" s="1" t="s">
        <v>36</v>
      </c>
      <c r="G878" s="1" t="s">
        <v>14</v>
      </c>
      <c r="H878" s="1" t="s">
        <v>73</v>
      </c>
      <c r="I878" s="1" t="s">
        <v>16</v>
      </c>
    </row>
    <row r="879" spans="1:9" x14ac:dyDescent="0.25">
      <c r="A879" s="1" t="s">
        <v>9</v>
      </c>
      <c r="B879" s="1" t="s">
        <v>10</v>
      </c>
      <c r="C879" s="1" t="s">
        <v>240</v>
      </c>
      <c r="D879" s="1" t="s">
        <v>29</v>
      </c>
      <c r="E879">
        <v>650</v>
      </c>
      <c r="F879" s="1" t="s">
        <v>36</v>
      </c>
      <c r="G879" s="1" t="s">
        <v>14</v>
      </c>
      <c r="H879" s="1" t="s">
        <v>73</v>
      </c>
      <c r="I879" s="1" t="s">
        <v>16</v>
      </c>
    </row>
    <row r="880" spans="1:9" x14ac:dyDescent="0.25">
      <c r="A880" s="1" t="s">
        <v>9</v>
      </c>
      <c r="B880" s="1" t="s">
        <v>10</v>
      </c>
      <c r="C880" s="1" t="s">
        <v>240</v>
      </c>
      <c r="D880" s="1" t="s">
        <v>30</v>
      </c>
      <c r="E880">
        <v>325</v>
      </c>
      <c r="F880" s="1" t="s">
        <v>36</v>
      </c>
      <c r="G880" s="1" t="s">
        <v>14</v>
      </c>
      <c r="H880" s="1" t="s">
        <v>73</v>
      </c>
      <c r="I880" s="1" t="s">
        <v>16</v>
      </c>
    </row>
    <row r="881" spans="1:9" x14ac:dyDescent="0.25">
      <c r="A881" s="1" t="s">
        <v>9</v>
      </c>
      <c r="B881" s="1" t="s">
        <v>10</v>
      </c>
      <c r="C881" s="1" t="s">
        <v>240</v>
      </c>
      <c r="D881" s="1" t="s">
        <v>31</v>
      </c>
      <c r="E881">
        <v>650</v>
      </c>
      <c r="F881" s="1" t="s">
        <v>36</v>
      </c>
      <c r="G881" s="1" t="s">
        <v>14</v>
      </c>
      <c r="H881" s="1" t="s">
        <v>73</v>
      </c>
      <c r="I881" s="1" t="s">
        <v>16</v>
      </c>
    </row>
    <row r="882" spans="1:9" x14ac:dyDescent="0.25">
      <c r="A882" s="1" t="s">
        <v>9</v>
      </c>
      <c r="B882" s="1" t="s">
        <v>10</v>
      </c>
      <c r="C882" s="1" t="s">
        <v>240</v>
      </c>
      <c r="D882" s="1" t="s">
        <v>32</v>
      </c>
      <c r="E882">
        <v>325</v>
      </c>
      <c r="F882" s="1" t="s">
        <v>36</v>
      </c>
      <c r="G882" s="1" t="s">
        <v>14</v>
      </c>
      <c r="H882" s="1" t="s">
        <v>73</v>
      </c>
      <c r="I882" s="1" t="s">
        <v>16</v>
      </c>
    </row>
    <row r="883" spans="1:9" x14ac:dyDescent="0.25">
      <c r="A883" s="1" t="s">
        <v>9</v>
      </c>
      <c r="B883" s="1" t="s">
        <v>10</v>
      </c>
      <c r="C883" s="1" t="s">
        <v>240</v>
      </c>
      <c r="D883" s="1" t="s">
        <v>33</v>
      </c>
      <c r="E883">
        <v>325</v>
      </c>
      <c r="F883" s="1" t="s">
        <v>36</v>
      </c>
      <c r="G883" s="1" t="s">
        <v>14</v>
      </c>
      <c r="H883" s="1" t="s">
        <v>73</v>
      </c>
      <c r="I883" s="1" t="s">
        <v>16</v>
      </c>
    </row>
    <row r="884" spans="1:9" x14ac:dyDescent="0.25">
      <c r="A884" s="1" t="s">
        <v>9</v>
      </c>
      <c r="B884" s="1" t="s">
        <v>10</v>
      </c>
      <c r="C884" s="1" t="s">
        <v>240</v>
      </c>
      <c r="D884" s="1" t="s">
        <v>34</v>
      </c>
      <c r="E884">
        <v>650</v>
      </c>
      <c r="F884" s="1" t="s">
        <v>36</v>
      </c>
      <c r="G884" s="1" t="s">
        <v>14</v>
      </c>
      <c r="H884" s="1" t="s">
        <v>73</v>
      </c>
      <c r="I884" s="1" t="s">
        <v>16</v>
      </c>
    </row>
    <row r="885" spans="1:9" x14ac:dyDescent="0.25">
      <c r="A885" s="1" t="s">
        <v>9</v>
      </c>
      <c r="B885" s="1" t="s">
        <v>10</v>
      </c>
      <c r="C885" s="1" t="s">
        <v>240</v>
      </c>
      <c r="D885" s="1" t="s">
        <v>35</v>
      </c>
      <c r="E885">
        <v>325</v>
      </c>
      <c r="F885" s="1" t="s">
        <v>36</v>
      </c>
      <c r="G885" s="1" t="s">
        <v>14</v>
      </c>
      <c r="H885" s="1" t="s">
        <v>73</v>
      </c>
      <c r="I885" s="1" t="s">
        <v>16</v>
      </c>
    </row>
    <row r="886" spans="1:9" x14ac:dyDescent="0.25">
      <c r="A886" s="1" t="s">
        <v>9</v>
      </c>
      <c r="B886" s="1" t="s">
        <v>10</v>
      </c>
      <c r="C886" s="1" t="s">
        <v>240</v>
      </c>
      <c r="D886" s="1" t="s">
        <v>36</v>
      </c>
      <c r="E886">
        <v>325</v>
      </c>
      <c r="F886" s="1" t="s">
        <v>36</v>
      </c>
      <c r="G886" s="1" t="s">
        <v>14</v>
      </c>
      <c r="H886" s="1" t="s">
        <v>73</v>
      </c>
      <c r="I886" s="1" t="s">
        <v>16</v>
      </c>
    </row>
    <row r="887" spans="1:9" x14ac:dyDescent="0.25">
      <c r="A887" s="1" t="s">
        <v>9</v>
      </c>
      <c r="B887" s="1" t="s">
        <v>10</v>
      </c>
      <c r="C887" s="1" t="s">
        <v>240</v>
      </c>
      <c r="D887" s="1" t="s">
        <v>37</v>
      </c>
      <c r="E887">
        <v>650</v>
      </c>
      <c r="F887" s="1" t="s">
        <v>36</v>
      </c>
      <c r="G887" s="1" t="s">
        <v>14</v>
      </c>
      <c r="H887" s="1" t="s">
        <v>73</v>
      </c>
      <c r="I887" s="1" t="s">
        <v>16</v>
      </c>
    </row>
    <row r="888" spans="1:9" x14ac:dyDescent="0.25">
      <c r="A888" s="1" t="s">
        <v>9</v>
      </c>
      <c r="B888" s="1" t="s">
        <v>10</v>
      </c>
      <c r="C888" s="1" t="s">
        <v>240</v>
      </c>
      <c r="D888" s="1" t="s">
        <v>38</v>
      </c>
      <c r="E888">
        <v>650</v>
      </c>
      <c r="F888" s="1" t="s">
        <v>36</v>
      </c>
      <c r="G888" s="1" t="s">
        <v>14</v>
      </c>
      <c r="H888" s="1" t="s">
        <v>73</v>
      </c>
      <c r="I888" s="1" t="s">
        <v>16</v>
      </c>
    </row>
    <row r="889" spans="1:9" x14ac:dyDescent="0.25">
      <c r="A889" s="1" t="s">
        <v>9</v>
      </c>
      <c r="B889" s="1" t="s">
        <v>10</v>
      </c>
      <c r="C889" s="1" t="s">
        <v>240</v>
      </c>
      <c r="D889" s="1" t="s">
        <v>39</v>
      </c>
      <c r="E889">
        <v>650</v>
      </c>
      <c r="F889" s="1" t="s">
        <v>36</v>
      </c>
      <c r="G889" s="1" t="s">
        <v>14</v>
      </c>
      <c r="H889" s="1" t="s">
        <v>73</v>
      </c>
      <c r="I889" s="1" t="s">
        <v>16</v>
      </c>
    </row>
    <row r="890" spans="1:9" x14ac:dyDescent="0.25">
      <c r="A890" s="1" t="s">
        <v>9</v>
      </c>
      <c r="B890" s="1" t="s">
        <v>10</v>
      </c>
      <c r="C890" s="1" t="s">
        <v>240</v>
      </c>
      <c r="D890" s="1" t="s">
        <v>40</v>
      </c>
      <c r="E890">
        <v>325</v>
      </c>
      <c r="F890" s="1" t="s">
        <v>36</v>
      </c>
      <c r="G890" s="1" t="s">
        <v>14</v>
      </c>
      <c r="H890" s="1" t="s">
        <v>73</v>
      </c>
      <c r="I890" s="1" t="s">
        <v>16</v>
      </c>
    </row>
    <row r="891" spans="1:9" x14ac:dyDescent="0.25">
      <c r="A891" s="1" t="s">
        <v>9</v>
      </c>
      <c r="B891" s="1" t="s">
        <v>10</v>
      </c>
      <c r="C891" s="1" t="s">
        <v>240</v>
      </c>
      <c r="D891" s="1" t="s">
        <v>41</v>
      </c>
      <c r="E891">
        <v>325</v>
      </c>
      <c r="F891" s="1" t="s">
        <v>36</v>
      </c>
      <c r="G891" s="1" t="s">
        <v>14</v>
      </c>
      <c r="H891" s="1" t="s">
        <v>73</v>
      </c>
      <c r="I891" s="1" t="s">
        <v>16</v>
      </c>
    </row>
    <row r="892" spans="1:9" x14ac:dyDescent="0.25">
      <c r="A892" s="1" t="s">
        <v>9</v>
      </c>
      <c r="B892" s="1" t="s">
        <v>10</v>
      </c>
      <c r="C892" s="1" t="s">
        <v>240</v>
      </c>
      <c r="D892" s="1" t="s">
        <v>42</v>
      </c>
      <c r="E892">
        <v>325</v>
      </c>
      <c r="F892" s="1" t="s">
        <v>36</v>
      </c>
      <c r="G892" s="1" t="s">
        <v>14</v>
      </c>
      <c r="H892" s="1" t="s">
        <v>73</v>
      </c>
      <c r="I892" s="1" t="s">
        <v>16</v>
      </c>
    </row>
    <row r="893" spans="1:9" x14ac:dyDescent="0.25">
      <c r="A893" s="1" t="s">
        <v>9</v>
      </c>
      <c r="B893" s="1" t="s">
        <v>10</v>
      </c>
      <c r="C893" s="1" t="s">
        <v>240</v>
      </c>
      <c r="D893" s="1" t="s">
        <v>43</v>
      </c>
      <c r="E893">
        <v>325</v>
      </c>
      <c r="F893" s="1" t="s">
        <v>36</v>
      </c>
      <c r="G893" s="1" t="s">
        <v>14</v>
      </c>
      <c r="H893" s="1" t="s">
        <v>73</v>
      </c>
      <c r="I893" s="1" t="s">
        <v>16</v>
      </c>
    </row>
    <row r="894" spans="1:9" x14ac:dyDescent="0.25">
      <c r="A894" s="1" t="s">
        <v>9</v>
      </c>
      <c r="B894" s="1" t="s">
        <v>10</v>
      </c>
      <c r="C894" s="1" t="s">
        <v>240</v>
      </c>
      <c r="D894" s="1" t="s">
        <v>45</v>
      </c>
      <c r="E894">
        <v>650</v>
      </c>
      <c r="F894" s="1" t="s">
        <v>36</v>
      </c>
      <c r="G894" s="1" t="s">
        <v>14</v>
      </c>
      <c r="H894" s="1" t="s">
        <v>73</v>
      </c>
      <c r="I894" s="1" t="s">
        <v>16</v>
      </c>
    </row>
    <row r="895" spans="1:9" x14ac:dyDescent="0.25">
      <c r="A895" s="1" t="s">
        <v>9</v>
      </c>
      <c r="B895" s="1" t="s">
        <v>10</v>
      </c>
      <c r="C895" s="1" t="s">
        <v>240</v>
      </c>
      <c r="D895" s="1" t="s">
        <v>46</v>
      </c>
      <c r="E895">
        <v>325</v>
      </c>
      <c r="F895" s="1" t="s">
        <v>36</v>
      </c>
      <c r="G895" s="1" t="s">
        <v>14</v>
      </c>
      <c r="H895" s="1" t="s">
        <v>73</v>
      </c>
      <c r="I895" s="1" t="s">
        <v>16</v>
      </c>
    </row>
    <row r="896" spans="1:9" x14ac:dyDescent="0.25">
      <c r="A896" s="1" t="s">
        <v>9</v>
      </c>
      <c r="B896" s="1" t="s">
        <v>10</v>
      </c>
      <c r="C896" s="1" t="s">
        <v>240</v>
      </c>
      <c r="D896" s="1" t="s">
        <v>47</v>
      </c>
      <c r="E896">
        <v>325</v>
      </c>
      <c r="F896" s="1" t="s">
        <v>36</v>
      </c>
      <c r="G896" s="1" t="s">
        <v>14</v>
      </c>
      <c r="H896" s="1" t="s">
        <v>73</v>
      </c>
      <c r="I896" s="1" t="s">
        <v>16</v>
      </c>
    </row>
    <row r="897" spans="1:9" x14ac:dyDescent="0.25">
      <c r="A897" s="1" t="s">
        <v>9</v>
      </c>
      <c r="B897" s="1" t="s">
        <v>10</v>
      </c>
      <c r="C897" s="1" t="s">
        <v>240</v>
      </c>
      <c r="D897" s="1" t="s">
        <v>48</v>
      </c>
      <c r="E897">
        <v>325</v>
      </c>
      <c r="F897" s="1" t="s">
        <v>36</v>
      </c>
      <c r="G897" s="1" t="s">
        <v>14</v>
      </c>
      <c r="H897" s="1" t="s">
        <v>73</v>
      </c>
      <c r="I897" s="1" t="s">
        <v>16</v>
      </c>
    </row>
    <row r="898" spans="1:9" x14ac:dyDescent="0.25">
      <c r="A898" s="1" t="s">
        <v>9</v>
      </c>
      <c r="B898" s="1" t="s">
        <v>10</v>
      </c>
      <c r="C898" s="1" t="s">
        <v>240</v>
      </c>
      <c r="D898" s="1" t="s">
        <v>49</v>
      </c>
      <c r="E898">
        <v>650</v>
      </c>
      <c r="F898" s="1" t="s">
        <v>36</v>
      </c>
      <c r="G898" s="1" t="s">
        <v>14</v>
      </c>
      <c r="H898" s="1" t="s">
        <v>73</v>
      </c>
      <c r="I898" s="1" t="s">
        <v>16</v>
      </c>
    </row>
    <row r="899" spans="1:9" x14ac:dyDescent="0.25">
      <c r="A899" s="1" t="s">
        <v>9</v>
      </c>
      <c r="B899" s="1" t="s">
        <v>10</v>
      </c>
      <c r="C899" s="1" t="s">
        <v>240</v>
      </c>
      <c r="D899" s="1" t="s">
        <v>50</v>
      </c>
      <c r="E899">
        <v>325</v>
      </c>
      <c r="F899" s="1" t="s">
        <v>36</v>
      </c>
      <c r="G899" s="1" t="s">
        <v>14</v>
      </c>
      <c r="H899" s="1" t="s">
        <v>73</v>
      </c>
      <c r="I899" s="1" t="s">
        <v>16</v>
      </c>
    </row>
    <row r="900" spans="1:9" x14ac:dyDescent="0.25">
      <c r="A900" s="1" t="s">
        <v>9</v>
      </c>
      <c r="B900" s="1" t="s">
        <v>10</v>
      </c>
      <c r="C900" s="1" t="s">
        <v>240</v>
      </c>
      <c r="D900" s="1" t="s">
        <v>51</v>
      </c>
      <c r="E900">
        <v>325</v>
      </c>
      <c r="F900" s="1" t="s">
        <v>36</v>
      </c>
      <c r="G900" s="1" t="s">
        <v>14</v>
      </c>
      <c r="H900" s="1" t="s">
        <v>73</v>
      </c>
      <c r="I900" s="1" t="s">
        <v>16</v>
      </c>
    </row>
    <row r="901" spans="1:9" x14ac:dyDescent="0.25">
      <c r="A901" s="1" t="s">
        <v>9</v>
      </c>
      <c r="B901" s="1" t="s">
        <v>10</v>
      </c>
      <c r="C901" s="1" t="s">
        <v>240</v>
      </c>
      <c r="D901" s="1" t="s">
        <v>52</v>
      </c>
      <c r="E901">
        <v>325</v>
      </c>
      <c r="F901" s="1" t="s">
        <v>36</v>
      </c>
      <c r="G901" s="1" t="s">
        <v>14</v>
      </c>
      <c r="H901" s="1" t="s">
        <v>73</v>
      </c>
      <c r="I901" s="1" t="s">
        <v>16</v>
      </c>
    </row>
    <row r="902" spans="1:9" x14ac:dyDescent="0.25">
      <c r="A902" s="1" t="s">
        <v>9</v>
      </c>
      <c r="B902" s="1" t="s">
        <v>10</v>
      </c>
      <c r="C902" s="1" t="s">
        <v>240</v>
      </c>
      <c r="D902" s="1" t="s">
        <v>53</v>
      </c>
      <c r="E902">
        <v>325</v>
      </c>
      <c r="F902" s="1" t="s">
        <v>36</v>
      </c>
      <c r="G902" s="1" t="s">
        <v>14</v>
      </c>
      <c r="H902" s="1" t="s">
        <v>73</v>
      </c>
      <c r="I902" s="1" t="s">
        <v>16</v>
      </c>
    </row>
    <row r="903" spans="1:9" x14ac:dyDescent="0.25">
      <c r="A903" s="1" t="s">
        <v>9</v>
      </c>
      <c r="B903" s="1" t="s">
        <v>10</v>
      </c>
      <c r="C903" s="1" t="s">
        <v>240</v>
      </c>
      <c r="D903" s="1" t="s">
        <v>54</v>
      </c>
      <c r="E903">
        <v>325</v>
      </c>
      <c r="F903" s="1" t="s">
        <v>36</v>
      </c>
      <c r="G903" s="1" t="s">
        <v>14</v>
      </c>
      <c r="H903" s="1" t="s">
        <v>73</v>
      </c>
      <c r="I903" s="1" t="s">
        <v>16</v>
      </c>
    </row>
    <row r="904" spans="1:9" x14ac:dyDescent="0.25">
      <c r="A904" s="1" t="s">
        <v>9</v>
      </c>
      <c r="B904" s="1" t="s">
        <v>10</v>
      </c>
      <c r="C904" s="1" t="s">
        <v>240</v>
      </c>
      <c r="D904" s="1" t="s">
        <v>55</v>
      </c>
      <c r="E904">
        <v>325</v>
      </c>
      <c r="F904" s="1" t="s">
        <v>36</v>
      </c>
      <c r="G904" s="1" t="s">
        <v>14</v>
      </c>
      <c r="H904" s="1" t="s">
        <v>73</v>
      </c>
      <c r="I904" s="1" t="s">
        <v>16</v>
      </c>
    </row>
    <row r="905" spans="1:9" x14ac:dyDescent="0.25">
      <c r="A905" s="1" t="s">
        <v>9</v>
      </c>
      <c r="B905" s="1" t="s">
        <v>10</v>
      </c>
      <c r="C905" s="1" t="s">
        <v>240</v>
      </c>
      <c r="D905" s="1" t="s">
        <v>56</v>
      </c>
      <c r="E905">
        <v>325</v>
      </c>
      <c r="F905" s="1" t="s">
        <v>36</v>
      </c>
      <c r="G905" s="1" t="s">
        <v>14</v>
      </c>
      <c r="H905" s="1" t="s">
        <v>73</v>
      </c>
      <c r="I905" s="1" t="s">
        <v>16</v>
      </c>
    </row>
    <row r="906" spans="1:9" x14ac:dyDescent="0.25">
      <c r="A906" s="1" t="s">
        <v>9</v>
      </c>
      <c r="B906" s="1" t="s">
        <v>10</v>
      </c>
      <c r="C906" s="1" t="s">
        <v>240</v>
      </c>
      <c r="D906" s="1" t="s">
        <v>57</v>
      </c>
      <c r="E906">
        <v>650</v>
      </c>
      <c r="F906" s="1" t="s">
        <v>36</v>
      </c>
      <c r="G906" s="1" t="s">
        <v>14</v>
      </c>
      <c r="H906" s="1" t="s">
        <v>73</v>
      </c>
      <c r="I906" s="1" t="s">
        <v>16</v>
      </c>
    </row>
    <row r="907" spans="1:9" x14ac:dyDescent="0.25">
      <c r="A907" s="1" t="s">
        <v>9</v>
      </c>
      <c r="B907" s="1" t="s">
        <v>10</v>
      </c>
      <c r="C907" s="1" t="s">
        <v>240</v>
      </c>
      <c r="D907" s="1" t="s">
        <v>58</v>
      </c>
      <c r="E907">
        <v>325</v>
      </c>
      <c r="F907" s="1" t="s">
        <v>36</v>
      </c>
      <c r="G907" s="1" t="s">
        <v>14</v>
      </c>
      <c r="H907" s="1" t="s">
        <v>73</v>
      </c>
      <c r="I907" s="1" t="s">
        <v>16</v>
      </c>
    </row>
    <row r="908" spans="1:9" x14ac:dyDescent="0.25">
      <c r="A908" s="1" t="s">
        <v>9</v>
      </c>
      <c r="B908" s="1" t="s">
        <v>10</v>
      </c>
      <c r="C908" s="1" t="s">
        <v>240</v>
      </c>
      <c r="D908" s="1" t="s">
        <v>59</v>
      </c>
      <c r="E908">
        <v>650</v>
      </c>
      <c r="F908" s="1" t="s">
        <v>36</v>
      </c>
      <c r="G908" s="1" t="s">
        <v>14</v>
      </c>
      <c r="H908" s="1" t="s">
        <v>73</v>
      </c>
      <c r="I908" s="1" t="s">
        <v>16</v>
      </c>
    </row>
    <row r="909" spans="1:9" x14ac:dyDescent="0.25">
      <c r="A909" s="1" t="s">
        <v>9</v>
      </c>
      <c r="B909" s="1" t="s">
        <v>10</v>
      </c>
      <c r="C909" s="1" t="s">
        <v>240</v>
      </c>
      <c r="D909" s="1" t="s">
        <v>60</v>
      </c>
      <c r="E909">
        <v>325</v>
      </c>
      <c r="F909" s="1" t="s">
        <v>36</v>
      </c>
      <c r="G909" s="1" t="s">
        <v>14</v>
      </c>
      <c r="H909" s="1" t="s">
        <v>73</v>
      </c>
      <c r="I909" s="1" t="s">
        <v>16</v>
      </c>
    </row>
    <row r="910" spans="1:9" x14ac:dyDescent="0.25">
      <c r="A910" s="1" t="s">
        <v>9</v>
      </c>
      <c r="B910" s="1" t="s">
        <v>10</v>
      </c>
      <c r="C910" s="1" t="s">
        <v>240</v>
      </c>
      <c r="D910" s="1" t="s">
        <v>61</v>
      </c>
      <c r="E910">
        <v>325</v>
      </c>
      <c r="F910" s="1" t="s">
        <v>36</v>
      </c>
      <c r="G910" s="1" t="s">
        <v>14</v>
      </c>
      <c r="H910" s="1" t="s">
        <v>73</v>
      </c>
      <c r="I910" s="1" t="s">
        <v>16</v>
      </c>
    </row>
    <row r="911" spans="1:9" x14ac:dyDescent="0.25">
      <c r="A911" s="1" t="s">
        <v>9</v>
      </c>
      <c r="B911" s="1" t="s">
        <v>10</v>
      </c>
      <c r="C911" s="1" t="s">
        <v>240</v>
      </c>
      <c r="D911" s="1" t="s">
        <v>62</v>
      </c>
      <c r="E911">
        <v>650</v>
      </c>
      <c r="F911" s="1" t="s">
        <v>36</v>
      </c>
      <c r="G911" s="1" t="s">
        <v>14</v>
      </c>
      <c r="H911" s="1" t="s">
        <v>73</v>
      </c>
      <c r="I911" s="1" t="s">
        <v>16</v>
      </c>
    </row>
    <row r="912" spans="1:9" x14ac:dyDescent="0.25">
      <c r="A912" s="1" t="s">
        <v>9</v>
      </c>
      <c r="B912" s="1" t="s">
        <v>10</v>
      </c>
      <c r="C912" s="1" t="s">
        <v>240</v>
      </c>
      <c r="D912" s="1" t="s">
        <v>63</v>
      </c>
      <c r="E912">
        <v>325</v>
      </c>
      <c r="F912" s="1" t="s">
        <v>36</v>
      </c>
      <c r="G912" s="1" t="s">
        <v>14</v>
      </c>
      <c r="H912" s="1" t="s">
        <v>73</v>
      </c>
      <c r="I912" s="1" t="s">
        <v>16</v>
      </c>
    </row>
    <row r="913" spans="1:9" x14ac:dyDescent="0.25">
      <c r="A913" s="1" t="s">
        <v>9</v>
      </c>
      <c r="B913" s="1" t="s">
        <v>10</v>
      </c>
      <c r="C913" s="1" t="s">
        <v>240</v>
      </c>
      <c r="D913" s="1" t="s">
        <v>64</v>
      </c>
      <c r="E913">
        <v>325</v>
      </c>
      <c r="F913" s="1" t="s">
        <v>36</v>
      </c>
      <c r="G913" s="1" t="s">
        <v>14</v>
      </c>
      <c r="H913" s="1" t="s">
        <v>73</v>
      </c>
      <c r="I913" s="1" t="s">
        <v>16</v>
      </c>
    </row>
    <row r="914" spans="1:9" x14ac:dyDescent="0.25">
      <c r="A914" s="1" t="s">
        <v>9</v>
      </c>
      <c r="B914" s="1" t="s">
        <v>10</v>
      </c>
      <c r="C914" s="1" t="s">
        <v>240</v>
      </c>
      <c r="D914" s="1" t="s">
        <v>65</v>
      </c>
      <c r="E914">
        <v>650</v>
      </c>
      <c r="F914" s="1" t="s">
        <v>36</v>
      </c>
      <c r="G914" s="1" t="s">
        <v>14</v>
      </c>
      <c r="H914" s="1" t="s">
        <v>73</v>
      </c>
      <c r="I914" s="1" t="s">
        <v>16</v>
      </c>
    </row>
    <row r="915" spans="1:9" x14ac:dyDescent="0.25">
      <c r="A915" s="1" t="s">
        <v>9</v>
      </c>
      <c r="B915" s="1" t="s">
        <v>10</v>
      </c>
      <c r="C915" s="1" t="s">
        <v>240</v>
      </c>
      <c r="D915" s="1" t="s">
        <v>66</v>
      </c>
      <c r="E915">
        <v>650</v>
      </c>
      <c r="F915" s="1" t="s">
        <v>36</v>
      </c>
      <c r="G915" s="1" t="s">
        <v>14</v>
      </c>
      <c r="H915" s="1" t="s">
        <v>73</v>
      </c>
      <c r="I915" s="1" t="s">
        <v>16</v>
      </c>
    </row>
    <row r="916" spans="1:9" x14ac:dyDescent="0.25">
      <c r="A916" s="1" t="s">
        <v>9</v>
      </c>
      <c r="B916" s="1" t="s">
        <v>10</v>
      </c>
      <c r="C916" s="1" t="s">
        <v>240</v>
      </c>
      <c r="D916" s="1" t="s">
        <v>67</v>
      </c>
      <c r="E916">
        <v>650</v>
      </c>
      <c r="F916" s="1" t="s">
        <v>36</v>
      </c>
      <c r="G916" s="1" t="s">
        <v>14</v>
      </c>
      <c r="H916" s="1" t="s">
        <v>73</v>
      </c>
      <c r="I916" s="1" t="s">
        <v>16</v>
      </c>
    </row>
    <row r="917" spans="1:9" x14ac:dyDescent="0.25">
      <c r="A917" s="1" t="s">
        <v>9</v>
      </c>
      <c r="B917" s="1" t="s">
        <v>10</v>
      </c>
      <c r="C917" s="1" t="s">
        <v>240</v>
      </c>
      <c r="D917" s="1" t="s">
        <v>68</v>
      </c>
      <c r="E917">
        <v>325</v>
      </c>
      <c r="F917" s="1" t="s">
        <v>36</v>
      </c>
      <c r="G917" s="1" t="s">
        <v>14</v>
      </c>
      <c r="H917" s="1" t="s">
        <v>73</v>
      </c>
      <c r="I917" s="1" t="s">
        <v>16</v>
      </c>
    </row>
    <row r="918" spans="1:9" x14ac:dyDescent="0.25">
      <c r="A918" s="1" t="s">
        <v>9</v>
      </c>
      <c r="B918" s="1" t="s">
        <v>10</v>
      </c>
      <c r="C918" s="1" t="s">
        <v>240</v>
      </c>
      <c r="D918" s="1" t="s">
        <v>69</v>
      </c>
      <c r="E918">
        <v>325</v>
      </c>
      <c r="F918" s="1" t="s">
        <v>36</v>
      </c>
      <c r="G918" s="1" t="s">
        <v>14</v>
      </c>
      <c r="H918" s="1" t="s">
        <v>73</v>
      </c>
      <c r="I918" s="1" t="s">
        <v>16</v>
      </c>
    </row>
    <row r="919" spans="1:9" x14ac:dyDescent="0.25">
      <c r="A919" s="1" t="s">
        <v>9</v>
      </c>
      <c r="B919" s="1" t="s">
        <v>10</v>
      </c>
      <c r="C919" s="1" t="s">
        <v>240</v>
      </c>
      <c r="D919" s="1" t="s">
        <v>70</v>
      </c>
      <c r="E919">
        <v>325</v>
      </c>
      <c r="F919" s="1" t="s">
        <v>36</v>
      </c>
      <c r="G919" s="1" t="s">
        <v>14</v>
      </c>
      <c r="H919" s="1" t="s">
        <v>73</v>
      </c>
      <c r="I919" s="1" t="s">
        <v>16</v>
      </c>
    </row>
    <row r="920" spans="1:9" x14ac:dyDescent="0.25">
      <c r="A920" s="1" t="s">
        <v>9</v>
      </c>
      <c r="B920" s="1" t="s">
        <v>10</v>
      </c>
      <c r="C920" s="1" t="s">
        <v>241</v>
      </c>
      <c r="D920" s="1" t="s">
        <v>12</v>
      </c>
      <c r="E920">
        <v>325</v>
      </c>
      <c r="F920" s="1" t="s">
        <v>17</v>
      </c>
      <c r="G920" s="1" t="s">
        <v>14</v>
      </c>
      <c r="H920" s="1" t="s">
        <v>73</v>
      </c>
      <c r="I920" s="1" t="s">
        <v>16</v>
      </c>
    </row>
    <row r="921" spans="1:9" x14ac:dyDescent="0.25">
      <c r="A921" s="1" t="s">
        <v>9</v>
      </c>
      <c r="B921" s="1" t="s">
        <v>10</v>
      </c>
      <c r="C921" s="1" t="s">
        <v>241</v>
      </c>
      <c r="D921" s="1" t="s">
        <v>17</v>
      </c>
      <c r="E921">
        <v>175</v>
      </c>
      <c r="F921" s="1" t="s">
        <v>17</v>
      </c>
      <c r="G921" s="1" t="s">
        <v>14</v>
      </c>
      <c r="H921" s="1" t="s">
        <v>73</v>
      </c>
      <c r="I921" s="1" t="s">
        <v>16</v>
      </c>
    </row>
    <row r="922" spans="1:9" x14ac:dyDescent="0.25">
      <c r="A922" s="1" t="s">
        <v>9</v>
      </c>
      <c r="B922" s="1" t="s">
        <v>10</v>
      </c>
      <c r="C922" s="1" t="s">
        <v>241</v>
      </c>
      <c r="D922" s="1" t="s">
        <v>18</v>
      </c>
      <c r="E922">
        <v>325</v>
      </c>
      <c r="F922" s="1" t="s">
        <v>17</v>
      </c>
      <c r="G922" s="1" t="s">
        <v>14</v>
      </c>
      <c r="H922" s="1" t="s">
        <v>73</v>
      </c>
      <c r="I922" s="1" t="s">
        <v>16</v>
      </c>
    </row>
    <row r="923" spans="1:9" x14ac:dyDescent="0.25">
      <c r="A923" s="1" t="s">
        <v>9</v>
      </c>
      <c r="B923" s="1" t="s">
        <v>10</v>
      </c>
      <c r="C923" s="1" t="s">
        <v>241</v>
      </c>
      <c r="D923" s="1" t="s">
        <v>19</v>
      </c>
      <c r="E923">
        <v>675</v>
      </c>
      <c r="F923" s="1" t="s">
        <v>17</v>
      </c>
      <c r="G923" s="1" t="s">
        <v>14</v>
      </c>
      <c r="H923" s="1" t="s">
        <v>73</v>
      </c>
      <c r="I923" s="1" t="s">
        <v>16</v>
      </c>
    </row>
    <row r="924" spans="1:9" x14ac:dyDescent="0.25">
      <c r="A924" s="1" t="s">
        <v>9</v>
      </c>
      <c r="B924" s="1" t="s">
        <v>10</v>
      </c>
      <c r="C924" s="1" t="s">
        <v>241</v>
      </c>
      <c r="D924" s="1" t="s">
        <v>20</v>
      </c>
      <c r="E924">
        <v>675</v>
      </c>
      <c r="F924" s="1" t="s">
        <v>17</v>
      </c>
      <c r="G924" s="1" t="s">
        <v>14</v>
      </c>
      <c r="H924" s="1" t="s">
        <v>73</v>
      </c>
      <c r="I924" s="1" t="s">
        <v>16</v>
      </c>
    </row>
    <row r="925" spans="1:9" x14ac:dyDescent="0.25">
      <c r="A925" s="1" t="s">
        <v>9</v>
      </c>
      <c r="B925" s="1" t="s">
        <v>10</v>
      </c>
      <c r="C925" s="1" t="s">
        <v>241</v>
      </c>
      <c r="D925" s="1" t="s">
        <v>21</v>
      </c>
      <c r="E925">
        <v>325</v>
      </c>
      <c r="F925" s="1" t="s">
        <v>17</v>
      </c>
      <c r="G925" s="1" t="s">
        <v>14</v>
      </c>
      <c r="H925" s="1" t="s">
        <v>73</v>
      </c>
      <c r="I925" s="1" t="s">
        <v>16</v>
      </c>
    </row>
    <row r="926" spans="1:9" x14ac:dyDescent="0.25">
      <c r="A926" s="1" t="s">
        <v>9</v>
      </c>
      <c r="B926" s="1" t="s">
        <v>10</v>
      </c>
      <c r="C926" s="1" t="s">
        <v>241</v>
      </c>
      <c r="D926" s="1" t="s">
        <v>22</v>
      </c>
      <c r="E926">
        <v>675</v>
      </c>
      <c r="F926" s="1" t="s">
        <v>17</v>
      </c>
      <c r="G926" s="1" t="s">
        <v>14</v>
      </c>
      <c r="H926" s="1" t="s">
        <v>73</v>
      </c>
      <c r="I926" s="1" t="s">
        <v>16</v>
      </c>
    </row>
    <row r="927" spans="1:9" x14ac:dyDescent="0.25">
      <c r="A927" s="1" t="s">
        <v>9</v>
      </c>
      <c r="B927" s="1" t="s">
        <v>10</v>
      </c>
      <c r="C927" s="1" t="s">
        <v>241</v>
      </c>
      <c r="D927" s="1" t="s">
        <v>23</v>
      </c>
      <c r="E927">
        <v>675</v>
      </c>
      <c r="F927" s="1" t="s">
        <v>17</v>
      </c>
      <c r="G927" s="1" t="s">
        <v>14</v>
      </c>
      <c r="H927" s="1" t="s">
        <v>73</v>
      </c>
      <c r="I927" s="1" t="s">
        <v>16</v>
      </c>
    </row>
    <row r="928" spans="1:9" x14ac:dyDescent="0.25">
      <c r="A928" s="1" t="s">
        <v>9</v>
      </c>
      <c r="B928" s="1" t="s">
        <v>10</v>
      </c>
      <c r="C928" s="1" t="s">
        <v>241</v>
      </c>
      <c r="D928" s="1" t="s">
        <v>24</v>
      </c>
      <c r="E928">
        <v>675</v>
      </c>
      <c r="F928" s="1" t="s">
        <v>17</v>
      </c>
      <c r="G928" s="1" t="s">
        <v>14</v>
      </c>
      <c r="H928" s="1" t="s">
        <v>73</v>
      </c>
      <c r="I928" s="1" t="s">
        <v>16</v>
      </c>
    </row>
    <row r="929" spans="1:9" x14ac:dyDescent="0.25">
      <c r="A929" s="1" t="s">
        <v>9</v>
      </c>
      <c r="B929" s="1" t="s">
        <v>10</v>
      </c>
      <c r="C929" s="1" t="s">
        <v>241</v>
      </c>
      <c r="D929" s="1" t="s">
        <v>25</v>
      </c>
      <c r="E929">
        <v>175</v>
      </c>
      <c r="F929" s="1" t="s">
        <v>17</v>
      </c>
      <c r="G929" s="1" t="s">
        <v>14</v>
      </c>
      <c r="H929" s="1" t="s">
        <v>73</v>
      </c>
      <c r="I929" s="1" t="s">
        <v>16</v>
      </c>
    </row>
    <row r="930" spans="1:9" x14ac:dyDescent="0.25">
      <c r="A930" s="1" t="s">
        <v>9</v>
      </c>
      <c r="B930" s="1" t="s">
        <v>10</v>
      </c>
      <c r="C930" s="1" t="s">
        <v>241</v>
      </c>
      <c r="D930" s="1" t="s">
        <v>26</v>
      </c>
      <c r="E930">
        <v>175</v>
      </c>
      <c r="F930" s="1" t="s">
        <v>17</v>
      </c>
      <c r="G930" s="1" t="s">
        <v>14</v>
      </c>
      <c r="H930" s="1" t="s">
        <v>73</v>
      </c>
      <c r="I930" s="1" t="s">
        <v>16</v>
      </c>
    </row>
    <row r="931" spans="1:9" x14ac:dyDescent="0.25">
      <c r="A931" s="1" t="s">
        <v>9</v>
      </c>
      <c r="B931" s="1" t="s">
        <v>10</v>
      </c>
      <c r="C931" s="1" t="s">
        <v>241</v>
      </c>
      <c r="D931" s="1" t="s">
        <v>27</v>
      </c>
      <c r="E931">
        <v>175</v>
      </c>
      <c r="F931" s="1" t="s">
        <v>17</v>
      </c>
      <c r="G931" s="1" t="s">
        <v>14</v>
      </c>
      <c r="H931" s="1" t="s">
        <v>73</v>
      </c>
      <c r="I931" s="1" t="s">
        <v>16</v>
      </c>
    </row>
    <row r="932" spans="1:9" x14ac:dyDescent="0.25">
      <c r="A932" s="1" t="s">
        <v>9</v>
      </c>
      <c r="B932" s="1" t="s">
        <v>10</v>
      </c>
      <c r="C932" s="1" t="s">
        <v>241</v>
      </c>
      <c r="D932" s="1" t="s">
        <v>28</v>
      </c>
      <c r="E932">
        <v>325</v>
      </c>
      <c r="F932" s="1" t="s">
        <v>17</v>
      </c>
      <c r="G932" s="1" t="s">
        <v>14</v>
      </c>
      <c r="H932" s="1" t="s">
        <v>73</v>
      </c>
      <c r="I932" s="1" t="s">
        <v>16</v>
      </c>
    </row>
    <row r="933" spans="1:9" x14ac:dyDescent="0.25">
      <c r="A933" s="1" t="s">
        <v>9</v>
      </c>
      <c r="B933" s="1" t="s">
        <v>10</v>
      </c>
      <c r="C933" s="1" t="s">
        <v>241</v>
      </c>
      <c r="D933" s="1" t="s">
        <v>29</v>
      </c>
      <c r="E933">
        <v>325</v>
      </c>
      <c r="F933" s="1" t="s">
        <v>17</v>
      </c>
      <c r="G933" s="1" t="s">
        <v>14</v>
      </c>
      <c r="H933" s="1" t="s">
        <v>73</v>
      </c>
      <c r="I933" s="1" t="s">
        <v>16</v>
      </c>
    </row>
    <row r="934" spans="1:9" x14ac:dyDescent="0.25">
      <c r="A934" s="1" t="s">
        <v>9</v>
      </c>
      <c r="B934" s="1" t="s">
        <v>10</v>
      </c>
      <c r="C934" s="1" t="s">
        <v>241</v>
      </c>
      <c r="D934" s="1" t="s">
        <v>30</v>
      </c>
      <c r="E934">
        <v>175</v>
      </c>
      <c r="F934" s="1" t="s">
        <v>17</v>
      </c>
      <c r="G934" s="1" t="s">
        <v>14</v>
      </c>
      <c r="H934" s="1" t="s">
        <v>73</v>
      </c>
      <c r="I934" s="1" t="s">
        <v>16</v>
      </c>
    </row>
    <row r="935" spans="1:9" x14ac:dyDescent="0.25">
      <c r="A935" s="1" t="s">
        <v>9</v>
      </c>
      <c r="B935" s="1" t="s">
        <v>10</v>
      </c>
      <c r="C935" s="1" t="s">
        <v>241</v>
      </c>
      <c r="D935" s="1" t="s">
        <v>31</v>
      </c>
      <c r="E935">
        <v>325</v>
      </c>
      <c r="F935" s="1" t="s">
        <v>17</v>
      </c>
      <c r="G935" s="1" t="s">
        <v>14</v>
      </c>
      <c r="H935" s="1" t="s">
        <v>73</v>
      </c>
      <c r="I935" s="1" t="s">
        <v>16</v>
      </c>
    </row>
    <row r="936" spans="1:9" x14ac:dyDescent="0.25">
      <c r="A936" s="1" t="s">
        <v>9</v>
      </c>
      <c r="B936" s="1" t="s">
        <v>10</v>
      </c>
      <c r="C936" s="1" t="s">
        <v>241</v>
      </c>
      <c r="D936" s="1" t="s">
        <v>32</v>
      </c>
      <c r="E936">
        <v>675</v>
      </c>
      <c r="F936" s="1" t="s">
        <v>17</v>
      </c>
      <c r="G936" s="1" t="s">
        <v>14</v>
      </c>
      <c r="H936" s="1" t="s">
        <v>73</v>
      </c>
      <c r="I936" s="1" t="s">
        <v>16</v>
      </c>
    </row>
    <row r="937" spans="1:9" x14ac:dyDescent="0.25">
      <c r="A937" s="1" t="s">
        <v>9</v>
      </c>
      <c r="B937" s="1" t="s">
        <v>10</v>
      </c>
      <c r="C937" s="1" t="s">
        <v>241</v>
      </c>
      <c r="D937" s="1" t="s">
        <v>33</v>
      </c>
      <c r="E937">
        <v>175</v>
      </c>
      <c r="F937" s="1" t="s">
        <v>17</v>
      </c>
      <c r="G937" s="1" t="s">
        <v>14</v>
      </c>
      <c r="H937" s="1" t="s">
        <v>73</v>
      </c>
      <c r="I937" s="1" t="s">
        <v>16</v>
      </c>
    </row>
    <row r="938" spans="1:9" x14ac:dyDescent="0.25">
      <c r="A938" s="1" t="s">
        <v>9</v>
      </c>
      <c r="B938" s="1" t="s">
        <v>10</v>
      </c>
      <c r="C938" s="1" t="s">
        <v>241</v>
      </c>
      <c r="D938" s="1" t="s">
        <v>34</v>
      </c>
      <c r="E938">
        <v>675</v>
      </c>
      <c r="F938" s="1" t="s">
        <v>17</v>
      </c>
      <c r="G938" s="1" t="s">
        <v>14</v>
      </c>
      <c r="H938" s="1" t="s">
        <v>73</v>
      </c>
      <c r="I938" s="1" t="s">
        <v>16</v>
      </c>
    </row>
    <row r="939" spans="1:9" x14ac:dyDescent="0.25">
      <c r="A939" s="1" t="s">
        <v>9</v>
      </c>
      <c r="B939" s="1" t="s">
        <v>10</v>
      </c>
      <c r="C939" s="1" t="s">
        <v>241</v>
      </c>
      <c r="D939" s="1" t="s">
        <v>35</v>
      </c>
      <c r="E939">
        <v>175</v>
      </c>
      <c r="F939" s="1" t="s">
        <v>17</v>
      </c>
      <c r="G939" s="1" t="s">
        <v>14</v>
      </c>
      <c r="H939" s="1" t="s">
        <v>73</v>
      </c>
      <c r="I939" s="1" t="s">
        <v>16</v>
      </c>
    </row>
    <row r="940" spans="1:9" x14ac:dyDescent="0.25">
      <c r="A940" s="1" t="s">
        <v>9</v>
      </c>
      <c r="B940" s="1" t="s">
        <v>10</v>
      </c>
      <c r="C940" s="1" t="s">
        <v>241</v>
      </c>
      <c r="D940" s="1" t="s">
        <v>36</v>
      </c>
      <c r="E940">
        <v>175</v>
      </c>
      <c r="F940" s="1" t="s">
        <v>17</v>
      </c>
      <c r="G940" s="1" t="s">
        <v>14</v>
      </c>
      <c r="H940" s="1" t="s">
        <v>73</v>
      </c>
      <c r="I940" s="1" t="s">
        <v>16</v>
      </c>
    </row>
    <row r="941" spans="1:9" x14ac:dyDescent="0.25">
      <c r="A941" s="1" t="s">
        <v>9</v>
      </c>
      <c r="B941" s="1" t="s">
        <v>10</v>
      </c>
      <c r="C941" s="1" t="s">
        <v>241</v>
      </c>
      <c r="D941" s="1" t="s">
        <v>37</v>
      </c>
      <c r="E941">
        <v>675</v>
      </c>
      <c r="F941" s="1" t="s">
        <v>17</v>
      </c>
      <c r="G941" s="1" t="s">
        <v>14</v>
      </c>
      <c r="H941" s="1" t="s">
        <v>73</v>
      </c>
      <c r="I941" s="1" t="s">
        <v>16</v>
      </c>
    </row>
    <row r="942" spans="1:9" x14ac:dyDescent="0.25">
      <c r="A942" s="1" t="s">
        <v>9</v>
      </c>
      <c r="B942" s="1" t="s">
        <v>10</v>
      </c>
      <c r="C942" s="1" t="s">
        <v>241</v>
      </c>
      <c r="D942" s="1" t="s">
        <v>38</v>
      </c>
      <c r="E942">
        <v>675</v>
      </c>
      <c r="F942" s="1" t="s">
        <v>17</v>
      </c>
      <c r="G942" s="1" t="s">
        <v>14</v>
      </c>
      <c r="H942" s="1" t="s">
        <v>73</v>
      </c>
      <c r="I942" s="1" t="s">
        <v>16</v>
      </c>
    </row>
    <row r="943" spans="1:9" x14ac:dyDescent="0.25">
      <c r="A943" s="1" t="s">
        <v>9</v>
      </c>
      <c r="B943" s="1" t="s">
        <v>10</v>
      </c>
      <c r="C943" s="1" t="s">
        <v>241</v>
      </c>
      <c r="D943" s="1" t="s">
        <v>39</v>
      </c>
      <c r="E943">
        <v>175</v>
      </c>
      <c r="F943" s="1" t="s">
        <v>17</v>
      </c>
      <c r="G943" s="1" t="s">
        <v>14</v>
      </c>
      <c r="H943" s="1" t="s">
        <v>73</v>
      </c>
      <c r="I943" s="1" t="s">
        <v>16</v>
      </c>
    </row>
    <row r="944" spans="1:9" x14ac:dyDescent="0.25">
      <c r="A944" s="1" t="s">
        <v>9</v>
      </c>
      <c r="B944" s="1" t="s">
        <v>10</v>
      </c>
      <c r="C944" s="1" t="s">
        <v>241</v>
      </c>
      <c r="D944" s="1" t="s">
        <v>40</v>
      </c>
      <c r="E944">
        <v>675</v>
      </c>
      <c r="F944" s="1" t="s">
        <v>17</v>
      </c>
      <c r="G944" s="1" t="s">
        <v>14</v>
      </c>
      <c r="H944" s="1" t="s">
        <v>73</v>
      </c>
      <c r="I944" s="1" t="s">
        <v>16</v>
      </c>
    </row>
    <row r="945" spans="1:9" x14ac:dyDescent="0.25">
      <c r="A945" s="1" t="s">
        <v>9</v>
      </c>
      <c r="B945" s="1" t="s">
        <v>10</v>
      </c>
      <c r="C945" s="1" t="s">
        <v>241</v>
      </c>
      <c r="D945" s="1" t="s">
        <v>41</v>
      </c>
      <c r="E945">
        <v>175</v>
      </c>
      <c r="F945" s="1" t="s">
        <v>17</v>
      </c>
      <c r="G945" s="1" t="s">
        <v>14</v>
      </c>
      <c r="H945" s="1" t="s">
        <v>73</v>
      </c>
      <c r="I945" s="1" t="s">
        <v>16</v>
      </c>
    </row>
    <row r="946" spans="1:9" x14ac:dyDescent="0.25">
      <c r="A946" s="1" t="s">
        <v>9</v>
      </c>
      <c r="B946" s="1" t="s">
        <v>10</v>
      </c>
      <c r="C946" s="1" t="s">
        <v>241</v>
      </c>
      <c r="D946" s="1" t="s">
        <v>42</v>
      </c>
      <c r="E946">
        <v>325</v>
      </c>
      <c r="F946" s="1" t="s">
        <v>17</v>
      </c>
      <c r="G946" s="1" t="s">
        <v>14</v>
      </c>
      <c r="H946" s="1" t="s">
        <v>73</v>
      </c>
      <c r="I946" s="1" t="s">
        <v>16</v>
      </c>
    </row>
    <row r="947" spans="1:9" x14ac:dyDescent="0.25">
      <c r="A947" s="1" t="s">
        <v>9</v>
      </c>
      <c r="B947" s="1" t="s">
        <v>10</v>
      </c>
      <c r="C947" s="1" t="s">
        <v>241</v>
      </c>
      <c r="D947" s="1" t="s">
        <v>43</v>
      </c>
      <c r="E947">
        <v>325</v>
      </c>
      <c r="F947" s="1" t="s">
        <v>17</v>
      </c>
      <c r="G947" s="1" t="s">
        <v>14</v>
      </c>
      <c r="H947" s="1" t="s">
        <v>73</v>
      </c>
      <c r="I947" s="1" t="s">
        <v>16</v>
      </c>
    </row>
    <row r="948" spans="1:9" x14ac:dyDescent="0.25">
      <c r="A948" s="1" t="s">
        <v>9</v>
      </c>
      <c r="B948" s="1" t="s">
        <v>10</v>
      </c>
      <c r="C948" s="1" t="s">
        <v>241</v>
      </c>
      <c r="D948" s="1" t="s">
        <v>45</v>
      </c>
      <c r="E948">
        <v>175</v>
      </c>
      <c r="F948" s="1" t="s">
        <v>17</v>
      </c>
      <c r="G948" s="1" t="s">
        <v>14</v>
      </c>
      <c r="H948" s="1" t="s">
        <v>73</v>
      </c>
      <c r="I948" s="1" t="s">
        <v>16</v>
      </c>
    </row>
    <row r="949" spans="1:9" x14ac:dyDescent="0.25">
      <c r="A949" s="1" t="s">
        <v>9</v>
      </c>
      <c r="B949" s="1" t="s">
        <v>10</v>
      </c>
      <c r="C949" s="1" t="s">
        <v>241</v>
      </c>
      <c r="D949" s="1" t="s">
        <v>46</v>
      </c>
      <c r="E949">
        <v>325</v>
      </c>
      <c r="F949" s="1" t="s">
        <v>17</v>
      </c>
      <c r="G949" s="1" t="s">
        <v>14</v>
      </c>
      <c r="H949" s="1" t="s">
        <v>73</v>
      </c>
      <c r="I949" s="1" t="s">
        <v>16</v>
      </c>
    </row>
    <row r="950" spans="1:9" x14ac:dyDescent="0.25">
      <c r="A950" s="1" t="s">
        <v>9</v>
      </c>
      <c r="B950" s="1" t="s">
        <v>10</v>
      </c>
      <c r="C950" s="1" t="s">
        <v>241</v>
      </c>
      <c r="D950" s="1" t="s">
        <v>47</v>
      </c>
      <c r="E950">
        <v>675</v>
      </c>
      <c r="F950" s="1" t="s">
        <v>17</v>
      </c>
      <c r="G950" s="1" t="s">
        <v>14</v>
      </c>
      <c r="H950" s="1" t="s">
        <v>73</v>
      </c>
      <c r="I950" s="1" t="s">
        <v>16</v>
      </c>
    </row>
    <row r="951" spans="1:9" x14ac:dyDescent="0.25">
      <c r="A951" s="1" t="s">
        <v>9</v>
      </c>
      <c r="B951" s="1" t="s">
        <v>10</v>
      </c>
      <c r="C951" s="1" t="s">
        <v>241</v>
      </c>
      <c r="D951" s="1" t="s">
        <v>48</v>
      </c>
      <c r="E951">
        <v>675</v>
      </c>
      <c r="F951" s="1" t="s">
        <v>17</v>
      </c>
      <c r="G951" s="1" t="s">
        <v>14</v>
      </c>
      <c r="H951" s="1" t="s">
        <v>73</v>
      </c>
      <c r="I951" s="1" t="s">
        <v>16</v>
      </c>
    </row>
    <row r="952" spans="1:9" x14ac:dyDescent="0.25">
      <c r="A952" s="1" t="s">
        <v>9</v>
      </c>
      <c r="B952" s="1" t="s">
        <v>10</v>
      </c>
      <c r="C952" s="1" t="s">
        <v>241</v>
      </c>
      <c r="D952" s="1" t="s">
        <v>49</v>
      </c>
      <c r="E952">
        <v>325</v>
      </c>
      <c r="F952" s="1" t="s">
        <v>17</v>
      </c>
      <c r="G952" s="1" t="s">
        <v>14</v>
      </c>
      <c r="H952" s="1" t="s">
        <v>73</v>
      </c>
      <c r="I952" s="1" t="s">
        <v>16</v>
      </c>
    </row>
    <row r="953" spans="1:9" x14ac:dyDescent="0.25">
      <c r="A953" s="1" t="s">
        <v>9</v>
      </c>
      <c r="B953" s="1" t="s">
        <v>10</v>
      </c>
      <c r="C953" s="1" t="s">
        <v>241</v>
      </c>
      <c r="D953" s="1" t="s">
        <v>50</v>
      </c>
      <c r="E953">
        <v>675</v>
      </c>
      <c r="F953" s="1" t="s">
        <v>17</v>
      </c>
      <c r="G953" s="1" t="s">
        <v>14</v>
      </c>
      <c r="H953" s="1" t="s">
        <v>73</v>
      </c>
      <c r="I953" s="1" t="s">
        <v>16</v>
      </c>
    </row>
    <row r="954" spans="1:9" x14ac:dyDescent="0.25">
      <c r="A954" s="1" t="s">
        <v>9</v>
      </c>
      <c r="B954" s="1" t="s">
        <v>10</v>
      </c>
      <c r="C954" s="1" t="s">
        <v>241</v>
      </c>
      <c r="D954" s="1" t="s">
        <v>51</v>
      </c>
      <c r="E954">
        <v>675</v>
      </c>
      <c r="F954" s="1" t="s">
        <v>17</v>
      </c>
      <c r="G954" s="1" t="s">
        <v>14</v>
      </c>
      <c r="H954" s="1" t="s">
        <v>73</v>
      </c>
      <c r="I954" s="1" t="s">
        <v>16</v>
      </c>
    </row>
    <row r="955" spans="1:9" x14ac:dyDescent="0.25">
      <c r="A955" s="1" t="s">
        <v>9</v>
      </c>
      <c r="B955" s="1" t="s">
        <v>10</v>
      </c>
      <c r="C955" s="1" t="s">
        <v>241</v>
      </c>
      <c r="D955" s="1" t="s">
        <v>52</v>
      </c>
      <c r="E955">
        <v>675</v>
      </c>
      <c r="F955" s="1" t="s">
        <v>17</v>
      </c>
      <c r="G955" s="1" t="s">
        <v>14</v>
      </c>
      <c r="H955" s="1" t="s">
        <v>73</v>
      </c>
      <c r="I955" s="1" t="s">
        <v>16</v>
      </c>
    </row>
    <row r="956" spans="1:9" x14ac:dyDescent="0.25">
      <c r="A956" s="1" t="s">
        <v>9</v>
      </c>
      <c r="B956" s="1" t="s">
        <v>10</v>
      </c>
      <c r="C956" s="1" t="s">
        <v>241</v>
      </c>
      <c r="D956" s="1" t="s">
        <v>53</v>
      </c>
      <c r="E956">
        <v>175</v>
      </c>
      <c r="F956" s="1" t="s">
        <v>17</v>
      </c>
      <c r="G956" s="1" t="s">
        <v>14</v>
      </c>
      <c r="H956" s="1" t="s">
        <v>73</v>
      </c>
      <c r="I956" s="1" t="s">
        <v>16</v>
      </c>
    </row>
    <row r="957" spans="1:9" x14ac:dyDescent="0.25">
      <c r="A957" s="1" t="s">
        <v>9</v>
      </c>
      <c r="B957" s="1" t="s">
        <v>10</v>
      </c>
      <c r="C957" s="1" t="s">
        <v>241</v>
      </c>
      <c r="D957" s="1" t="s">
        <v>54</v>
      </c>
      <c r="E957">
        <v>175</v>
      </c>
      <c r="F957" s="1" t="s">
        <v>17</v>
      </c>
      <c r="G957" s="1" t="s">
        <v>14</v>
      </c>
      <c r="H957" s="1" t="s">
        <v>73</v>
      </c>
      <c r="I957" s="1" t="s">
        <v>16</v>
      </c>
    </row>
    <row r="958" spans="1:9" x14ac:dyDescent="0.25">
      <c r="A958" s="1" t="s">
        <v>9</v>
      </c>
      <c r="B958" s="1" t="s">
        <v>10</v>
      </c>
      <c r="C958" s="1" t="s">
        <v>241</v>
      </c>
      <c r="D958" s="1" t="s">
        <v>55</v>
      </c>
      <c r="E958">
        <v>175</v>
      </c>
      <c r="F958" s="1" t="s">
        <v>17</v>
      </c>
      <c r="G958" s="1" t="s">
        <v>14</v>
      </c>
      <c r="H958" s="1" t="s">
        <v>73</v>
      </c>
      <c r="I958" s="1" t="s">
        <v>16</v>
      </c>
    </row>
    <row r="959" spans="1:9" x14ac:dyDescent="0.25">
      <c r="A959" s="1" t="s">
        <v>9</v>
      </c>
      <c r="B959" s="1" t="s">
        <v>10</v>
      </c>
      <c r="C959" s="1" t="s">
        <v>241</v>
      </c>
      <c r="D959" s="1" t="s">
        <v>56</v>
      </c>
      <c r="E959">
        <v>325</v>
      </c>
      <c r="F959" s="1" t="s">
        <v>17</v>
      </c>
      <c r="G959" s="1" t="s">
        <v>14</v>
      </c>
      <c r="H959" s="1" t="s">
        <v>73</v>
      </c>
      <c r="I959" s="1" t="s">
        <v>16</v>
      </c>
    </row>
    <row r="960" spans="1:9" x14ac:dyDescent="0.25">
      <c r="A960" s="1" t="s">
        <v>9</v>
      </c>
      <c r="B960" s="1" t="s">
        <v>10</v>
      </c>
      <c r="C960" s="1" t="s">
        <v>241</v>
      </c>
      <c r="D960" s="1" t="s">
        <v>57</v>
      </c>
      <c r="E960">
        <v>325</v>
      </c>
      <c r="F960" s="1" t="s">
        <v>17</v>
      </c>
      <c r="G960" s="1" t="s">
        <v>14</v>
      </c>
      <c r="H960" s="1" t="s">
        <v>73</v>
      </c>
      <c r="I960" s="1" t="s">
        <v>16</v>
      </c>
    </row>
    <row r="961" spans="1:9" x14ac:dyDescent="0.25">
      <c r="A961" s="1" t="s">
        <v>9</v>
      </c>
      <c r="B961" s="1" t="s">
        <v>10</v>
      </c>
      <c r="C961" s="1" t="s">
        <v>241</v>
      </c>
      <c r="D961" s="1" t="s">
        <v>58</v>
      </c>
      <c r="E961">
        <v>175</v>
      </c>
      <c r="F961" s="1" t="s">
        <v>17</v>
      </c>
      <c r="G961" s="1" t="s">
        <v>14</v>
      </c>
      <c r="H961" s="1" t="s">
        <v>73</v>
      </c>
      <c r="I961" s="1" t="s">
        <v>16</v>
      </c>
    </row>
    <row r="962" spans="1:9" x14ac:dyDescent="0.25">
      <c r="A962" s="1" t="s">
        <v>9</v>
      </c>
      <c r="B962" s="1" t="s">
        <v>10</v>
      </c>
      <c r="C962" s="1" t="s">
        <v>241</v>
      </c>
      <c r="D962" s="1" t="s">
        <v>59</v>
      </c>
      <c r="E962">
        <v>325</v>
      </c>
      <c r="F962" s="1" t="s">
        <v>17</v>
      </c>
      <c r="G962" s="1" t="s">
        <v>14</v>
      </c>
      <c r="H962" s="1" t="s">
        <v>73</v>
      </c>
      <c r="I962" s="1" t="s">
        <v>16</v>
      </c>
    </row>
    <row r="963" spans="1:9" x14ac:dyDescent="0.25">
      <c r="A963" s="1" t="s">
        <v>9</v>
      </c>
      <c r="B963" s="1" t="s">
        <v>10</v>
      </c>
      <c r="C963" s="1" t="s">
        <v>241</v>
      </c>
      <c r="D963" s="1" t="s">
        <v>60</v>
      </c>
      <c r="E963">
        <v>675</v>
      </c>
      <c r="F963" s="1" t="s">
        <v>17</v>
      </c>
      <c r="G963" s="1" t="s">
        <v>14</v>
      </c>
      <c r="H963" s="1" t="s">
        <v>73</v>
      </c>
      <c r="I963" s="1" t="s">
        <v>16</v>
      </c>
    </row>
    <row r="964" spans="1:9" x14ac:dyDescent="0.25">
      <c r="A964" s="1" t="s">
        <v>9</v>
      </c>
      <c r="B964" s="1" t="s">
        <v>10</v>
      </c>
      <c r="C964" s="1" t="s">
        <v>241</v>
      </c>
      <c r="D964" s="1" t="s">
        <v>61</v>
      </c>
      <c r="E964">
        <v>175</v>
      </c>
      <c r="F964" s="1" t="s">
        <v>17</v>
      </c>
      <c r="G964" s="1" t="s">
        <v>14</v>
      </c>
      <c r="H964" s="1" t="s">
        <v>73</v>
      </c>
      <c r="I964" s="1" t="s">
        <v>16</v>
      </c>
    </row>
    <row r="965" spans="1:9" x14ac:dyDescent="0.25">
      <c r="A965" s="1" t="s">
        <v>9</v>
      </c>
      <c r="B965" s="1" t="s">
        <v>10</v>
      </c>
      <c r="C965" s="1" t="s">
        <v>241</v>
      </c>
      <c r="D965" s="1" t="s">
        <v>62</v>
      </c>
      <c r="E965">
        <v>675</v>
      </c>
      <c r="F965" s="1" t="s">
        <v>17</v>
      </c>
      <c r="G965" s="1" t="s">
        <v>14</v>
      </c>
      <c r="H965" s="1" t="s">
        <v>73</v>
      </c>
      <c r="I965" s="1" t="s">
        <v>16</v>
      </c>
    </row>
    <row r="966" spans="1:9" x14ac:dyDescent="0.25">
      <c r="A966" s="1" t="s">
        <v>9</v>
      </c>
      <c r="B966" s="1" t="s">
        <v>10</v>
      </c>
      <c r="C966" s="1" t="s">
        <v>241</v>
      </c>
      <c r="D966" s="1" t="s">
        <v>63</v>
      </c>
      <c r="E966">
        <v>175</v>
      </c>
      <c r="F966" s="1" t="s">
        <v>17</v>
      </c>
      <c r="G966" s="1" t="s">
        <v>14</v>
      </c>
      <c r="H966" s="1" t="s">
        <v>73</v>
      </c>
      <c r="I966" s="1" t="s">
        <v>16</v>
      </c>
    </row>
    <row r="967" spans="1:9" x14ac:dyDescent="0.25">
      <c r="A967" s="1" t="s">
        <v>9</v>
      </c>
      <c r="B967" s="1" t="s">
        <v>10</v>
      </c>
      <c r="C967" s="1" t="s">
        <v>241</v>
      </c>
      <c r="D967" s="1" t="s">
        <v>64</v>
      </c>
      <c r="E967">
        <v>175</v>
      </c>
      <c r="F967" s="1" t="s">
        <v>17</v>
      </c>
      <c r="G967" s="1" t="s">
        <v>14</v>
      </c>
      <c r="H967" s="1" t="s">
        <v>73</v>
      </c>
      <c r="I967" s="1" t="s">
        <v>16</v>
      </c>
    </row>
    <row r="968" spans="1:9" x14ac:dyDescent="0.25">
      <c r="A968" s="1" t="s">
        <v>9</v>
      </c>
      <c r="B968" s="1" t="s">
        <v>10</v>
      </c>
      <c r="C968" s="1" t="s">
        <v>241</v>
      </c>
      <c r="D968" s="1" t="s">
        <v>65</v>
      </c>
      <c r="E968">
        <v>675</v>
      </c>
      <c r="F968" s="1" t="s">
        <v>17</v>
      </c>
      <c r="G968" s="1" t="s">
        <v>14</v>
      </c>
      <c r="H968" s="1" t="s">
        <v>73</v>
      </c>
      <c r="I968" s="1" t="s">
        <v>16</v>
      </c>
    </row>
    <row r="969" spans="1:9" x14ac:dyDescent="0.25">
      <c r="A969" s="1" t="s">
        <v>9</v>
      </c>
      <c r="B969" s="1" t="s">
        <v>10</v>
      </c>
      <c r="C969" s="1" t="s">
        <v>241</v>
      </c>
      <c r="D969" s="1" t="s">
        <v>66</v>
      </c>
      <c r="E969">
        <v>675</v>
      </c>
      <c r="F969" s="1" t="s">
        <v>17</v>
      </c>
      <c r="G969" s="1" t="s">
        <v>14</v>
      </c>
      <c r="H969" s="1" t="s">
        <v>73</v>
      </c>
      <c r="I969" s="1" t="s">
        <v>16</v>
      </c>
    </row>
    <row r="970" spans="1:9" x14ac:dyDescent="0.25">
      <c r="A970" s="1" t="s">
        <v>9</v>
      </c>
      <c r="B970" s="1" t="s">
        <v>10</v>
      </c>
      <c r="C970" s="1" t="s">
        <v>241</v>
      </c>
      <c r="D970" s="1" t="s">
        <v>67</v>
      </c>
      <c r="E970">
        <v>175</v>
      </c>
      <c r="F970" s="1" t="s">
        <v>17</v>
      </c>
      <c r="G970" s="1" t="s">
        <v>14</v>
      </c>
      <c r="H970" s="1" t="s">
        <v>73</v>
      </c>
      <c r="I970" s="1" t="s">
        <v>16</v>
      </c>
    </row>
    <row r="971" spans="1:9" x14ac:dyDescent="0.25">
      <c r="A971" s="1" t="s">
        <v>9</v>
      </c>
      <c r="B971" s="1" t="s">
        <v>10</v>
      </c>
      <c r="C971" s="1" t="s">
        <v>241</v>
      </c>
      <c r="D971" s="1" t="s">
        <v>68</v>
      </c>
      <c r="E971">
        <v>675</v>
      </c>
      <c r="F971" s="1" t="s">
        <v>17</v>
      </c>
      <c r="G971" s="1" t="s">
        <v>14</v>
      </c>
      <c r="H971" s="1" t="s">
        <v>73</v>
      </c>
      <c r="I971" s="1" t="s">
        <v>16</v>
      </c>
    </row>
    <row r="972" spans="1:9" x14ac:dyDescent="0.25">
      <c r="A972" s="1" t="s">
        <v>9</v>
      </c>
      <c r="B972" s="1" t="s">
        <v>10</v>
      </c>
      <c r="C972" s="1" t="s">
        <v>241</v>
      </c>
      <c r="D972" s="1" t="s">
        <v>69</v>
      </c>
      <c r="E972">
        <v>175</v>
      </c>
      <c r="F972" s="1" t="s">
        <v>17</v>
      </c>
      <c r="G972" s="1" t="s">
        <v>14</v>
      </c>
      <c r="H972" s="1" t="s">
        <v>73</v>
      </c>
      <c r="I972" s="1" t="s">
        <v>16</v>
      </c>
    </row>
    <row r="973" spans="1:9" x14ac:dyDescent="0.25">
      <c r="A973" s="1" t="s">
        <v>9</v>
      </c>
      <c r="B973" s="1" t="s">
        <v>10</v>
      </c>
      <c r="C973" s="1" t="s">
        <v>241</v>
      </c>
      <c r="D973" s="1" t="s">
        <v>70</v>
      </c>
      <c r="E973">
        <v>325</v>
      </c>
      <c r="F973" s="1" t="s">
        <v>17</v>
      </c>
      <c r="G973" s="1" t="s">
        <v>14</v>
      </c>
      <c r="H973" s="1" t="s">
        <v>73</v>
      </c>
      <c r="I973" s="1" t="s">
        <v>16</v>
      </c>
    </row>
    <row r="974" spans="1:9" x14ac:dyDescent="0.25">
      <c r="A974" s="1" t="s">
        <v>9</v>
      </c>
      <c r="B974" s="1" t="s">
        <v>10</v>
      </c>
      <c r="C974" s="1" t="s">
        <v>242</v>
      </c>
      <c r="D974" s="1" t="s">
        <v>12</v>
      </c>
      <c r="E974">
        <v>675</v>
      </c>
      <c r="F974" s="1" t="s">
        <v>243</v>
      </c>
      <c r="G974" s="1" t="s">
        <v>14</v>
      </c>
      <c r="H974" s="1" t="s">
        <v>81</v>
      </c>
      <c r="I974" s="1" t="s">
        <v>16</v>
      </c>
    </row>
    <row r="975" spans="1:9" x14ac:dyDescent="0.25">
      <c r="A975" s="1" t="s">
        <v>9</v>
      </c>
      <c r="B975" s="1" t="s">
        <v>10</v>
      </c>
      <c r="C975" s="1" t="s">
        <v>242</v>
      </c>
      <c r="D975" s="1" t="s">
        <v>17</v>
      </c>
      <c r="E975">
        <v>675</v>
      </c>
      <c r="F975" s="1" t="s">
        <v>243</v>
      </c>
      <c r="G975" s="1" t="s">
        <v>14</v>
      </c>
      <c r="H975" s="1" t="s">
        <v>81</v>
      </c>
      <c r="I975" s="1" t="s">
        <v>16</v>
      </c>
    </row>
    <row r="976" spans="1:9" x14ac:dyDescent="0.25">
      <c r="A976" s="1" t="s">
        <v>9</v>
      </c>
      <c r="B976" s="1" t="s">
        <v>10</v>
      </c>
      <c r="C976" s="1" t="s">
        <v>242</v>
      </c>
      <c r="D976" s="1" t="s">
        <v>18</v>
      </c>
      <c r="E976">
        <v>675</v>
      </c>
      <c r="F976" s="1" t="s">
        <v>243</v>
      </c>
      <c r="G976" s="1" t="s">
        <v>14</v>
      </c>
      <c r="H976" s="1" t="s">
        <v>81</v>
      </c>
      <c r="I976" s="1" t="s">
        <v>16</v>
      </c>
    </row>
    <row r="977" spans="1:9" x14ac:dyDescent="0.25">
      <c r="A977" s="1" t="s">
        <v>9</v>
      </c>
      <c r="B977" s="1" t="s">
        <v>10</v>
      </c>
      <c r="C977" s="1" t="s">
        <v>242</v>
      </c>
      <c r="D977" s="1" t="s">
        <v>19</v>
      </c>
      <c r="E977">
        <v>675</v>
      </c>
      <c r="F977" s="1" t="s">
        <v>243</v>
      </c>
      <c r="G977" s="1" t="s">
        <v>14</v>
      </c>
      <c r="H977" s="1" t="s">
        <v>81</v>
      </c>
      <c r="I977" s="1" t="s">
        <v>16</v>
      </c>
    </row>
    <row r="978" spans="1:9" x14ac:dyDescent="0.25">
      <c r="A978" s="1" t="s">
        <v>9</v>
      </c>
      <c r="B978" s="1" t="s">
        <v>10</v>
      </c>
      <c r="C978" s="1" t="s">
        <v>242</v>
      </c>
      <c r="D978" s="1" t="s">
        <v>20</v>
      </c>
      <c r="E978">
        <v>675</v>
      </c>
      <c r="F978" s="1" t="s">
        <v>243</v>
      </c>
      <c r="G978" s="1" t="s">
        <v>14</v>
      </c>
      <c r="H978" s="1" t="s">
        <v>81</v>
      </c>
      <c r="I978" s="1" t="s">
        <v>16</v>
      </c>
    </row>
    <row r="979" spans="1:9" x14ac:dyDescent="0.25">
      <c r="A979" s="1" t="s">
        <v>9</v>
      </c>
      <c r="B979" s="1" t="s">
        <v>10</v>
      </c>
      <c r="C979" s="1" t="s">
        <v>242</v>
      </c>
      <c r="D979" s="1" t="s">
        <v>21</v>
      </c>
      <c r="E979">
        <v>675</v>
      </c>
      <c r="F979" s="1" t="s">
        <v>243</v>
      </c>
      <c r="G979" s="1" t="s">
        <v>14</v>
      </c>
      <c r="H979" s="1" t="s">
        <v>81</v>
      </c>
      <c r="I979" s="1" t="s">
        <v>16</v>
      </c>
    </row>
    <row r="980" spans="1:9" x14ac:dyDescent="0.25">
      <c r="A980" s="1" t="s">
        <v>9</v>
      </c>
      <c r="B980" s="1" t="s">
        <v>10</v>
      </c>
      <c r="C980" s="1" t="s">
        <v>242</v>
      </c>
      <c r="D980" s="1" t="s">
        <v>22</v>
      </c>
      <c r="E980">
        <v>675</v>
      </c>
      <c r="F980" s="1" t="s">
        <v>243</v>
      </c>
      <c r="G980" s="1" t="s">
        <v>14</v>
      </c>
      <c r="H980" s="1" t="s">
        <v>81</v>
      </c>
      <c r="I980" s="1" t="s">
        <v>16</v>
      </c>
    </row>
    <row r="981" spans="1:9" x14ac:dyDescent="0.25">
      <c r="A981" s="1" t="s">
        <v>9</v>
      </c>
      <c r="B981" s="1" t="s">
        <v>10</v>
      </c>
      <c r="C981" s="1" t="s">
        <v>242</v>
      </c>
      <c r="D981" s="1" t="s">
        <v>23</v>
      </c>
      <c r="E981">
        <v>325</v>
      </c>
      <c r="F981" s="1" t="s">
        <v>243</v>
      </c>
      <c r="G981" s="1" t="s">
        <v>14</v>
      </c>
      <c r="H981" s="1" t="s">
        <v>81</v>
      </c>
      <c r="I981" s="1" t="s">
        <v>16</v>
      </c>
    </row>
    <row r="982" spans="1:9" x14ac:dyDescent="0.25">
      <c r="A982" s="1" t="s">
        <v>9</v>
      </c>
      <c r="B982" s="1" t="s">
        <v>10</v>
      </c>
      <c r="C982" s="1" t="s">
        <v>242</v>
      </c>
      <c r="D982" s="1" t="s">
        <v>24</v>
      </c>
      <c r="E982">
        <v>675</v>
      </c>
      <c r="F982" s="1" t="s">
        <v>243</v>
      </c>
      <c r="G982" s="1" t="s">
        <v>14</v>
      </c>
      <c r="H982" s="1" t="s">
        <v>81</v>
      </c>
      <c r="I982" s="1" t="s">
        <v>16</v>
      </c>
    </row>
    <row r="983" spans="1:9" x14ac:dyDescent="0.25">
      <c r="A983" s="1" t="s">
        <v>9</v>
      </c>
      <c r="B983" s="1" t="s">
        <v>10</v>
      </c>
      <c r="C983" s="1" t="s">
        <v>242</v>
      </c>
      <c r="D983" s="1" t="s">
        <v>25</v>
      </c>
      <c r="E983">
        <v>675</v>
      </c>
      <c r="F983" s="1" t="s">
        <v>243</v>
      </c>
      <c r="G983" s="1" t="s">
        <v>14</v>
      </c>
      <c r="H983" s="1" t="s">
        <v>81</v>
      </c>
      <c r="I983" s="1" t="s">
        <v>16</v>
      </c>
    </row>
    <row r="984" spans="1:9" x14ac:dyDescent="0.25">
      <c r="A984" s="1" t="s">
        <v>9</v>
      </c>
      <c r="B984" s="1" t="s">
        <v>10</v>
      </c>
      <c r="C984" s="1" t="s">
        <v>242</v>
      </c>
      <c r="D984" s="1" t="s">
        <v>26</v>
      </c>
      <c r="E984">
        <v>675</v>
      </c>
      <c r="F984" s="1" t="s">
        <v>243</v>
      </c>
      <c r="G984" s="1" t="s">
        <v>14</v>
      </c>
      <c r="H984" s="1" t="s">
        <v>81</v>
      </c>
      <c r="I984" s="1" t="s">
        <v>16</v>
      </c>
    </row>
    <row r="985" spans="1:9" x14ac:dyDescent="0.25">
      <c r="A985" s="1" t="s">
        <v>9</v>
      </c>
      <c r="B985" s="1" t="s">
        <v>10</v>
      </c>
      <c r="C985" s="1" t="s">
        <v>242</v>
      </c>
      <c r="D985" s="1" t="s">
        <v>27</v>
      </c>
      <c r="E985">
        <v>675</v>
      </c>
      <c r="F985" s="1" t="s">
        <v>243</v>
      </c>
      <c r="G985" s="1" t="s">
        <v>14</v>
      </c>
      <c r="H985" s="1" t="s">
        <v>81</v>
      </c>
      <c r="I985" s="1" t="s">
        <v>16</v>
      </c>
    </row>
    <row r="986" spans="1:9" x14ac:dyDescent="0.25">
      <c r="A986" s="1" t="s">
        <v>9</v>
      </c>
      <c r="B986" s="1" t="s">
        <v>10</v>
      </c>
      <c r="C986" s="1" t="s">
        <v>242</v>
      </c>
      <c r="D986" s="1" t="s">
        <v>28</v>
      </c>
      <c r="E986">
        <v>675</v>
      </c>
      <c r="F986" s="1" t="s">
        <v>243</v>
      </c>
      <c r="G986" s="1" t="s">
        <v>14</v>
      </c>
      <c r="H986" s="1" t="s">
        <v>81</v>
      </c>
      <c r="I986" s="1" t="s">
        <v>16</v>
      </c>
    </row>
    <row r="987" spans="1:9" x14ac:dyDescent="0.25">
      <c r="A987" s="1" t="s">
        <v>9</v>
      </c>
      <c r="B987" s="1" t="s">
        <v>10</v>
      </c>
      <c r="C987" s="1" t="s">
        <v>242</v>
      </c>
      <c r="D987" s="1" t="s">
        <v>29</v>
      </c>
      <c r="E987">
        <v>675</v>
      </c>
      <c r="F987" s="1" t="s">
        <v>243</v>
      </c>
      <c r="G987" s="1" t="s">
        <v>14</v>
      </c>
      <c r="H987" s="1" t="s">
        <v>81</v>
      </c>
      <c r="I987" s="1" t="s">
        <v>16</v>
      </c>
    </row>
    <row r="988" spans="1:9" x14ac:dyDescent="0.25">
      <c r="A988" s="1" t="s">
        <v>9</v>
      </c>
      <c r="B988" s="1" t="s">
        <v>10</v>
      </c>
      <c r="C988" s="1" t="s">
        <v>242</v>
      </c>
      <c r="D988" s="1" t="s">
        <v>30</v>
      </c>
      <c r="E988">
        <v>675</v>
      </c>
      <c r="F988" s="1" t="s">
        <v>243</v>
      </c>
      <c r="G988" s="1" t="s">
        <v>14</v>
      </c>
      <c r="H988" s="1" t="s">
        <v>81</v>
      </c>
      <c r="I988" s="1" t="s">
        <v>16</v>
      </c>
    </row>
    <row r="989" spans="1:9" x14ac:dyDescent="0.25">
      <c r="A989" s="1" t="s">
        <v>9</v>
      </c>
      <c r="B989" s="1" t="s">
        <v>10</v>
      </c>
      <c r="C989" s="1" t="s">
        <v>242</v>
      </c>
      <c r="D989" s="1" t="s">
        <v>31</v>
      </c>
      <c r="E989">
        <v>675</v>
      </c>
      <c r="F989" s="1" t="s">
        <v>243</v>
      </c>
      <c r="G989" s="1" t="s">
        <v>14</v>
      </c>
      <c r="H989" s="1" t="s">
        <v>81</v>
      </c>
      <c r="I989" s="1" t="s">
        <v>16</v>
      </c>
    </row>
    <row r="990" spans="1:9" x14ac:dyDescent="0.25">
      <c r="A990" s="1" t="s">
        <v>9</v>
      </c>
      <c r="B990" s="1" t="s">
        <v>10</v>
      </c>
      <c r="C990" s="1" t="s">
        <v>242</v>
      </c>
      <c r="D990" s="1" t="s">
        <v>32</v>
      </c>
      <c r="E990">
        <v>675</v>
      </c>
      <c r="F990" s="1" t="s">
        <v>243</v>
      </c>
      <c r="G990" s="1" t="s">
        <v>14</v>
      </c>
      <c r="H990" s="1" t="s">
        <v>81</v>
      </c>
      <c r="I990" s="1" t="s">
        <v>16</v>
      </c>
    </row>
    <row r="991" spans="1:9" x14ac:dyDescent="0.25">
      <c r="A991" s="1" t="s">
        <v>9</v>
      </c>
      <c r="B991" s="1" t="s">
        <v>10</v>
      </c>
      <c r="C991" s="1" t="s">
        <v>242</v>
      </c>
      <c r="D991" s="1" t="s">
        <v>33</v>
      </c>
      <c r="E991">
        <v>675</v>
      </c>
      <c r="F991" s="1" t="s">
        <v>243</v>
      </c>
      <c r="G991" s="1" t="s">
        <v>14</v>
      </c>
      <c r="H991" s="1" t="s">
        <v>81</v>
      </c>
      <c r="I991" s="1" t="s">
        <v>16</v>
      </c>
    </row>
    <row r="992" spans="1:9" x14ac:dyDescent="0.25">
      <c r="A992" s="1" t="s">
        <v>9</v>
      </c>
      <c r="B992" s="1" t="s">
        <v>10</v>
      </c>
      <c r="C992" s="1" t="s">
        <v>242</v>
      </c>
      <c r="D992" s="1" t="s">
        <v>34</v>
      </c>
      <c r="E992">
        <v>675</v>
      </c>
      <c r="F992" s="1" t="s">
        <v>243</v>
      </c>
      <c r="G992" s="1" t="s">
        <v>14</v>
      </c>
      <c r="H992" s="1" t="s">
        <v>81</v>
      </c>
      <c r="I992" s="1" t="s">
        <v>16</v>
      </c>
    </row>
    <row r="993" spans="1:9" x14ac:dyDescent="0.25">
      <c r="A993" s="1" t="s">
        <v>9</v>
      </c>
      <c r="B993" s="1" t="s">
        <v>10</v>
      </c>
      <c r="C993" s="1" t="s">
        <v>242</v>
      </c>
      <c r="D993" s="1" t="s">
        <v>35</v>
      </c>
      <c r="E993">
        <v>675</v>
      </c>
      <c r="F993" s="1" t="s">
        <v>243</v>
      </c>
      <c r="G993" s="1" t="s">
        <v>14</v>
      </c>
      <c r="H993" s="1" t="s">
        <v>81</v>
      </c>
      <c r="I993" s="1" t="s">
        <v>16</v>
      </c>
    </row>
    <row r="994" spans="1:9" x14ac:dyDescent="0.25">
      <c r="A994" s="1" t="s">
        <v>9</v>
      </c>
      <c r="B994" s="1" t="s">
        <v>10</v>
      </c>
      <c r="C994" s="1" t="s">
        <v>242</v>
      </c>
      <c r="D994" s="1" t="s">
        <v>36</v>
      </c>
      <c r="E994">
        <v>675</v>
      </c>
      <c r="F994" s="1" t="s">
        <v>243</v>
      </c>
      <c r="G994" s="1" t="s">
        <v>14</v>
      </c>
      <c r="H994" s="1" t="s">
        <v>81</v>
      </c>
      <c r="I994" s="1" t="s">
        <v>16</v>
      </c>
    </row>
    <row r="995" spans="1:9" x14ac:dyDescent="0.25">
      <c r="A995" s="1" t="s">
        <v>9</v>
      </c>
      <c r="B995" s="1" t="s">
        <v>10</v>
      </c>
      <c r="C995" s="1" t="s">
        <v>242</v>
      </c>
      <c r="D995" s="1" t="s">
        <v>37</v>
      </c>
      <c r="E995">
        <v>675</v>
      </c>
      <c r="F995" s="1" t="s">
        <v>243</v>
      </c>
      <c r="G995" s="1" t="s">
        <v>14</v>
      </c>
      <c r="H995" s="1" t="s">
        <v>81</v>
      </c>
      <c r="I995" s="1" t="s">
        <v>16</v>
      </c>
    </row>
    <row r="996" spans="1:9" x14ac:dyDescent="0.25">
      <c r="A996" s="1" t="s">
        <v>9</v>
      </c>
      <c r="B996" s="1" t="s">
        <v>10</v>
      </c>
      <c r="C996" s="1" t="s">
        <v>242</v>
      </c>
      <c r="D996" s="1" t="s">
        <v>38</v>
      </c>
      <c r="E996">
        <v>675</v>
      </c>
      <c r="F996" s="1" t="s">
        <v>243</v>
      </c>
      <c r="G996" s="1" t="s">
        <v>14</v>
      </c>
      <c r="H996" s="1" t="s">
        <v>81</v>
      </c>
      <c r="I996" s="1" t="s">
        <v>16</v>
      </c>
    </row>
    <row r="997" spans="1:9" x14ac:dyDescent="0.25">
      <c r="A997" s="1" t="s">
        <v>9</v>
      </c>
      <c r="B997" s="1" t="s">
        <v>10</v>
      </c>
      <c r="C997" s="1" t="s">
        <v>242</v>
      </c>
      <c r="D997" s="1" t="s">
        <v>39</v>
      </c>
      <c r="E997">
        <v>675</v>
      </c>
      <c r="F997" s="1" t="s">
        <v>243</v>
      </c>
      <c r="G997" s="1" t="s">
        <v>14</v>
      </c>
      <c r="H997" s="1" t="s">
        <v>81</v>
      </c>
      <c r="I997" s="1" t="s">
        <v>16</v>
      </c>
    </row>
    <row r="998" spans="1:9" x14ac:dyDescent="0.25">
      <c r="A998" s="1" t="s">
        <v>9</v>
      </c>
      <c r="B998" s="1" t="s">
        <v>10</v>
      </c>
      <c r="C998" s="1" t="s">
        <v>242</v>
      </c>
      <c r="D998" s="1" t="s">
        <v>40</v>
      </c>
      <c r="E998">
        <v>675</v>
      </c>
      <c r="F998" s="1" t="s">
        <v>243</v>
      </c>
      <c r="G998" s="1" t="s">
        <v>14</v>
      </c>
      <c r="H998" s="1" t="s">
        <v>81</v>
      </c>
      <c r="I998" s="1" t="s">
        <v>16</v>
      </c>
    </row>
    <row r="999" spans="1:9" x14ac:dyDescent="0.25">
      <c r="A999" s="1" t="s">
        <v>9</v>
      </c>
      <c r="B999" s="1" t="s">
        <v>10</v>
      </c>
      <c r="C999" s="1" t="s">
        <v>242</v>
      </c>
      <c r="D999" s="1" t="s">
        <v>41</v>
      </c>
      <c r="E999">
        <v>325</v>
      </c>
      <c r="F999" s="1" t="s">
        <v>243</v>
      </c>
      <c r="G999" s="1" t="s">
        <v>14</v>
      </c>
      <c r="H999" s="1" t="s">
        <v>81</v>
      </c>
      <c r="I999" s="1" t="s">
        <v>16</v>
      </c>
    </row>
    <row r="1000" spans="1:9" x14ac:dyDescent="0.25">
      <c r="A1000" s="1" t="s">
        <v>9</v>
      </c>
      <c r="B1000" s="1" t="s">
        <v>10</v>
      </c>
      <c r="C1000" s="1" t="s">
        <v>242</v>
      </c>
      <c r="D1000" s="1" t="s">
        <v>42</v>
      </c>
      <c r="E1000">
        <v>325</v>
      </c>
      <c r="F1000" s="1" t="s">
        <v>243</v>
      </c>
      <c r="G1000" s="1" t="s">
        <v>14</v>
      </c>
      <c r="H1000" s="1" t="s">
        <v>81</v>
      </c>
      <c r="I1000" s="1" t="s">
        <v>16</v>
      </c>
    </row>
    <row r="1001" spans="1:9" x14ac:dyDescent="0.25">
      <c r="A1001" s="1" t="s">
        <v>9</v>
      </c>
      <c r="B1001" s="1" t="s">
        <v>10</v>
      </c>
      <c r="C1001" s="1" t="s">
        <v>242</v>
      </c>
      <c r="D1001" s="1" t="s">
        <v>43</v>
      </c>
      <c r="E1001">
        <v>675</v>
      </c>
      <c r="F1001" s="1" t="s">
        <v>243</v>
      </c>
      <c r="G1001" s="1" t="s">
        <v>14</v>
      </c>
      <c r="H1001" s="1" t="s">
        <v>81</v>
      </c>
      <c r="I1001" s="1" t="s">
        <v>16</v>
      </c>
    </row>
    <row r="1002" spans="1:9" x14ac:dyDescent="0.25">
      <c r="A1002" s="1" t="s">
        <v>9</v>
      </c>
      <c r="B1002" s="1" t="s">
        <v>10</v>
      </c>
      <c r="C1002" s="1" t="s">
        <v>242</v>
      </c>
      <c r="D1002" s="1" t="s">
        <v>45</v>
      </c>
      <c r="E1002">
        <v>675</v>
      </c>
      <c r="F1002" s="1" t="s">
        <v>243</v>
      </c>
      <c r="G1002" s="1" t="s">
        <v>14</v>
      </c>
      <c r="H1002" s="1" t="s">
        <v>81</v>
      </c>
      <c r="I1002" s="1" t="s">
        <v>16</v>
      </c>
    </row>
    <row r="1003" spans="1:9" x14ac:dyDescent="0.25">
      <c r="A1003" s="1" t="s">
        <v>9</v>
      </c>
      <c r="B1003" s="1" t="s">
        <v>10</v>
      </c>
      <c r="C1003" s="1" t="s">
        <v>242</v>
      </c>
      <c r="D1003" s="1" t="s">
        <v>46</v>
      </c>
      <c r="E1003">
        <v>675</v>
      </c>
      <c r="F1003" s="1" t="s">
        <v>243</v>
      </c>
      <c r="G1003" s="1" t="s">
        <v>14</v>
      </c>
      <c r="H1003" s="1" t="s">
        <v>81</v>
      </c>
      <c r="I1003" s="1" t="s">
        <v>16</v>
      </c>
    </row>
    <row r="1004" spans="1:9" x14ac:dyDescent="0.25">
      <c r="A1004" s="1" t="s">
        <v>9</v>
      </c>
      <c r="B1004" s="1" t="s">
        <v>10</v>
      </c>
      <c r="C1004" s="1" t="s">
        <v>242</v>
      </c>
      <c r="D1004" s="1" t="s">
        <v>47</v>
      </c>
      <c r="E1004">
        <v>675</v>
      </c>
      <c r="F1004" s="1" t="s">
        <v>243</v>
      </c>
      <c r="G1004" s="1" t="s">
        <v>14</v>
      </c>
      <c r="H1004" s="1" t="s">
        <v>81</v>
      </c>
      <c r="I1004" s="1" t="s">
        <v>16</v>
      </c>
    </row>
    <row r="1005" spans="1:9" x14ac:dyDescent="0.25">
      <c r="A1005" s="1" t="s">
        <v>9</v>
      </c>
      <c r="B1005" s="1" t="s">
        <v>10</v>
      </c>
      <c r="C1005" s="1" t="s">
        <v>242</v>
      </c>
      <c r="D1005" s="1" t="s">
        <v>48</v>
      </c>
      <c r="E1005">
        <v>675</v>
      </c>
      <c r="F1005" s="1" t="s">
        <v>243</v>
      </c>
      <c r="G1005" s="1" t="s">
        <v>14</v>
      </c>
      <c r="H1005" s="1" t="s">
        <v>81</v>
      </c>
      <c r="I1005" s="1" t="s">
        <v>16</v>
      </c>
    </row>
    <row r="1006" spans="1:9" x14ac:dyDescent="0.25">
      <c r="A1006" s="1" t="s">
        <v>9</v>
      </c>
      <c r="B1006" s="1" t="s">
        <v>10</v>
      </c>
      <c r="C1006" s="1" t="s">
        <v>242</v>
      </c>
      <c r="D1006" s="1" t="s">
        <v>49</v>
      </c>
      <c r="E1006">
        <v>675</v>
      </c>
      <c r="F1006" s="1" t="s">
        <v>243</v>
      </c>
      <c r="G1006" s="1" t="s">
        <v>14</v>
      </c>
      <c r="H1006" s="1" t="s">
        <v>81</v>
      </c>
      <c r="I1006" s="1" t="s">
        <v>16</v>
      </c>
    </row>
    <row r="1007" spans="1:9" x14ac:dyDescent="0.25">
      <c r="A1007" s="1" t="s">
        <v>9</v>
      </c>
      <c r="B1007" s="1" t="s">
        <v>10</v>
      </c>
      <c r="C1007" s="1" t="s">
        <v>242</v>
      </c>
      <c r="D1007" s="1" t="s">
        <v>50</v>
      </c>
      <c r="E1007">
        <v>675</v>
      </c>
      <c r="F1007" s="1" t="s">
        <v>243</v>
      </c>
      <c r="G1007" s="1" t="s">
        <v>14</v>
      </c>
      <c r="H1007" s="1" t="s">
        <v>81</v>
      </c>
      <c r="I1007" s="1" t="s">
        <v>16</v>
      </c>
    </row>
    <row r="1008" spans="1:9" x14ac:dyDescent="0.25">
      <c r="A1008" s="1" t="s">
        <v>9</v>
      </c>
      <c r="B1008" s="1" t="s">
        <v>10</v>
      </c>
      <c r="C1008" s="1" t="s">
        <v>242</v>
      </c>
      <c r="D1008" s="1" t="s">
        <v>51</v>
      </c>
      <c r="E1008">
        <v>325</v>
      </c>
      <c r="F1008" s="1" t="s">
        <v>243</v>
      </c>
      <c r="G1008" s="1" t="s">
        <v>14</v>
      </c>
      <c r="H1008" s="1" t="s">
        <v>81</v>
      </c>
      <c r="I1008" s="1" t="s">
        <v>16</v>
      </c>
    </row>
    <row r="1009" spans="1:9" x14ac:dyDescent="0.25">
      <c r="A1009" s="1" t="s">
        <v>9</v>
      </c>
      <c r="B1009" s="1" t="s">
        <v>10</v>
      </c>
      <c r="C1009" s="1" t="s">
        <v>242</v>
      </c>
      <c r="D1009" s="1" t="s">
        <v>52</v>
      </c>
      <c r="E1009">
        <v>675</v>
      </c>
      <c r="F1009" s="1" t="s">
        <v>243</v>
      </c>
      <c r="G1009" s="1" t="s">
        <v>14</v>
      </c>
      <c r="H1009" s="1" t="s">
        <v>81</v>
      </c>
      <c r="I1009" s="1" t="s">
        <v>16</v>
      </c>
    </row>
    <row r="1010" spans="1:9" x14ac:dyDescent="0.25">
      <c r="A1010" s="1" t="s">
        <v>9</v>
      </c>
      <c r="B1010" s="1" t="s">
        <v>10</v>
      </c>
      <c r="C1010" s="1" t="s">
        <v>242</v>
      </c>
      <c r="D1010" s="1" t="s">
        <v>53</v>
      </c>
      <c r="E1010">
        <v>675</v>
      </c>
      <c r="F1010" s="1" t="s">
        <v>243</v>
      </c>
      <c r="G1010" s="1" t="s">
        <v>14</v>
      </c>
      <c r="H1010" s="1" t="s">
        <v>81</v>
      </c>
      <c r="I1010" s="1" t="s">
        <v>16</v>
      </c>
    </row>
    <row r="1011" spans="1:9" x14ac:dyDescent="0.25">
      <c r="A1011" s="1" t="s">
        <v>9</v>
      </c>
      <c r="B1011" s="1" t="s">
        <v>10</v>
      </c>
      <c r="C1011" s="1" t="s">
        <v>242</v>
      </c>
      <c r="D1011" s="1" t="s">
        <v>54</v>
      </c>
      <c r="E1011">
        <v>675</v>
      </c>
      <c r="F1011" s="1" t="s">
        <v>243</v>
      </c>
      <c r="G1011" s="1" t="s">
        <v>14</v>
      </c>
      <c r="H1011" s="1" t="s">
        <v>81</v>
      </c>
      <c r="I1011" s="1" t="s">
        <v>16</v>
      </c>
    </row>
    <row r="1012" spans="1:9" x14ac:dyDescent="0.25">
      <c r="A1012" s="1" t="s">
        <v>9</v>
      </c>
      <c r="B1012" s="1" t="s">
        <v>10</v>
      </c>
      <c r="C1012" s="1" t="s">
        <v>242</v>
      </c>
      <c r="D1012" s="1" t="s">
        <v>55</v>
      </c>
      <c r="E1012">
        <v>675</v>
      </c>
      <c r="F1012" s="1" t="s">
        <v>243</v>
      </c>
      <c r="G1012" s="1" t="s">
        <v>14</v>
      </c>
      <c r="H1012" s="1" t="s">
        <v>81</v>
      </c>
      <c r="I1012" s="1" t="s">
        <v>16</v>
      </c>
    </row>
    <row r="1013" spans="1:9" x14ac:dyDescent="0.25">
      <c r="A1013" s="1" t="s">
        <v>9</v>
      </c>
      <c r="B1013" s="1" t="s">
        <v>10</v>
      </c>
      <c r="C1013" s="1" t="s">
        <v>242</v>
      </c>
      <c r="D1013" s="1" t="s">
        <v>56</v>
      </c>
      <c r="E1013">
        <v>675</v>
      </c>
      <c r="F1013" s="1" t="s">
        <v>243</v>
      </c>
      <c r="G1013" s="1" t="s">
        <v>14</v>
      </c>
      <c r="H1013" s="1" t="s">
        <v>81</v>
      </c>
      <c r="I1013" s="1" t="s">
        <v>16</v>
      </c>
    </row>
    <row r="1014" spans="1:9" x14ac:dyDescent="0.25">
      <c r="A1014" s="1" t="s">
        <v>9</v>
      </c>
      <c r="B1014" s="1" t="s">
        <v>10</v>
      </c>
      <c r="C1014" s="1" t="s">
        <v>242</v>
      </c>
      <c r="D1014" s="1" t="s">
        <v>57</v>
      </c>
      <c r="E1014">
        <v>675</v>
      </c>
      <c r="F1014" s="1" t="s">
        <v>243</v>
      </c>
      <c r="G1014" s="1" t="s">
        <v>14</v>
      </c>
      <c r="H1014" s="1" t="s">
        <v>81</v>
      </c>
      <c r="I1014" s="1" t="s">
        <v>16</v>
      </c>
    </row>
    <row r="1015" spans="1:9" x14ac:dyDescent="0.25">
      <c r="A1015" s="1" t="s">
        <v>9</v>
      </c>
      <c r="B1015" s="1" t="s">
        <v>10</v>
      </c>
      <c r="C1015" s="1" t="s">
        <v>242</v>
      </c>
      <c r="D1015" s="1" t="s">
        <v>58</v>
      </c>
      <c r="E1015">
        <v>675</v>
      </c>
      <c r="F1015" s="1" t="s">
        <v>243</v>
      </c>
      <c r="G1015" s="1" t="s">
        <v>14</v>
      </c>
      <c r="H1015" s="1" t="s">
        <v>81</v>
      </c>
      <c r="I1015" s="1" t="s">
        <v>16</v>
      </c>
    </row>
    <row r="1016" spans="1:9" x14ac:dyDescent="0.25">
      <c r="A1016" s="1" t="s">
        <v>9</v>
      </c>
      <c r="B1016" s="1" t="s">
        <v>10</v>
      </c>
      <c r="C1016" s="1" t="s">
        <v>242</v>
      </c>
      <c r="D1016" s="1" t="s">
        <v>59</v>
      </c>
      <c r="E1016">
        <v>675</v>
      </c>
      <c r="F1016" s="1" t="s">
        <v>243</v>
      </c>
      <c r="G1016" s="1" t="s">
        <v>14</v>
      </c>
      <c r="H1016" s="1" t="s">
        <v>81</v>
      </c>
      <c r="I1016" s="1" t="s">
        <v>16</v>
      </c>
    </row>
    <row r="1017" spans="1:9" x14ac:dyDescent="0.25">
      <c r="A1017" s="1" t="s">
        <v>9</v>
      </c>
      <c r="B1017" s="1" t="s">
        <v>10</v>
      </c>
      <c r="C1017" s="1" t="s">
        <v>242</v>
      </c>
      <c r="D1017" s="1" t="s">
        <v>60</v>
      </c>
      <c r="E1017">
        <v>675</v>
      </c>
      <c r="F1017" s="1" t="s">
        <v>243</v>
      </c>
      <c r="G1017" s="1" t="s">
        <v>14</v>
      </c>
      <c r="H1017" s="1" t="s">
        <v>81</v>
      </c>
      <c r="I1017" s="1" t="s">
        <v>16</v>
      </c>
    </row>
    <row r="1018" spans="1:9" x14ac:dyDescent="0.25">
      <c r="A1018" s="1" t="s">
        <v>9</v>
      </c>
      <c r="B1018" s="1" t="s">
        <v>10</v>
      </c>
      <c r="C1018" s="1" t="s">
        <v>242</v>
      </c>
      <c r="D1018" s="1" t="s">
        <v>61</v>
      </c>
      <c r="E1018">
        <v>675</v>
      </c>
      <c r="F1018" s="1" t="s">
        <v>243</v>
      </c>
      <c r="G1018" s="1" t="s">
        <v>14</v>
      </c>
      <c r="H1018" s="1" t="s">
        <v>81</v>
      </c>
      <c r="I1018" s="1" t="s">
        <v>16</v>
      </c>
    </row>
    <row r="1019" spans="1:9" x14ac:dyDescent="0.25">
      <c r="A1019" s="1" t="s">
        <v>9</v>
      </c>
      <c r="B1019" s="1" t="s">
        <v>10</v>
      </c>
      <c r="C1019" s="1" t="s">
        <v>242</v>
      </c>
      <c r="D1019" s="1" t="s">
        <v>62</v>
      </c>
      <c r="E1019">
        <v>675</v>
      </c>
      <c r="F1019" s="1" t="s">
        <v>243</v>
      </c>
      <c r="G1019" s="1" t="s">
        <v>14</v>
      </c>
      <c r="H1019" s="1" t="s">
        <v>81</v>
      </c>
      <c r="I1019" s="1" t="s">
        <v>16</v>
      </c>
    </row>
    <row r="1020" spans="1:9" x14ac:dyDescent="0.25">
      <c r="A1020" s="1" t="s">
        <v>9</v>
      </c>
      <c r="B1020" s="1" t="s">
        <v>10</v>
      </c>
      <c r="C1020" s="1" t="s">
        <v>242</v>
      </c>
      <c r="D1020" s="1" t="s">
        <v>63</v>
      </c>
      <c r="E1020">
        <v>675</v>
      </c>
      <c r="F1020" s="1" t="s">
        <v>243</v>
      </c>
      <c r="G1020" s="1" t="s">
        <v>14</v>
      </c>
      <c r="H1020" s="1" t="s">
        <v>81</v>
      </c>
      <c r="I1020" s="1" t="s">
        <v>16</v>
      </c>
    </row>
    <row r="1021" spans="1:9" x14ac:dyDescent="0.25">
      <c r="A1021" s="1" t="s">
        <v>9</v>
      </c>
      <c r="B1021" s="1" t="s">
        <v>10</v>
      </c>
      <c r="C1021" s="1" t="s">
        <v>242</v>
      </c>
      <c r="D1021" s="1" t="s">
        <v>64</v>
      </c>
      <c r="E1021">
        <v>675</v>
      </c>
      <c r="F1021" s="1" t="s">
        <v>243</v>
      </c>
      <c r="G1021" s="1" t="s">
        <v>14</v>
      </c>
      <c r="H1021" s="1" t="s">
        <v>81</v>
      </c>
      <c r="I1021" s="1" t="s">
        <v>16</v>
      </c>
    </row>
    <row r="1022" spans="1:9" x14ac:dyDescent="0.25">
      <c r="A1022" s="1" t="s">
        <v>9</v>
      </c>
      <c r="B1022" s="1" t="s">
        <v>10</v>
      </c>
      <c r="C1022" s="1" t="s">
        <v>242</v>
      </c>
      <c r="D1022" s="1" t="s">
        <v>65</v>
      </c>
      <c r="E1022">
        <v>675</v>
      </c>
      <c r="F1022" s="1" t="s">
        <v>243</v>
      </c>
      <c r="G1022" s="1" t="s">
        <v>14</v>
      </c>
      <c r="H1022" s="1" t="s">
        <v>81</v>
      </c>
      <c r="I1022" s="1" t="s">
        <v>16</v>
      </c>
    </row>
    <row r="1023" spans="1:9" x14ac:dyDescent="0.25">
      <c r="A1023" s="1" t="s">
        <v>9</v>
      </c>
      <c r="B1023" s="1" t="s">
        <v>10</v>
      </c>
      <c r="C1023" s="1" t="s">
        <v>242</v>
      </c>
      <c r="D1023" s="1" t="s">
        <v>66</v>
      </c>
      <c r="E1023">
        <v>675</v>
      </c>
      <c r="F1023" s="1" t="s">
        <v>243</v>
      </c>
      <c r="G1023" s="1" t="s">
        <v>14</v>
      </c>
      <c r="H1023" s="1" t="s">
        <v>81</v>
      </c>
      <c r="I1023" s="1" t="s">
        <v>16</v>
      </c>
    </row>
    <row r="1024" spans="1:9" x14ac:dyDescent="0.25">
      <c r="A1024" s="1" t="s">
        <v>9</v>
      </c>
      <c r="B1024" s="1" t="s">
        <v>10</v>
      </c>
      <c r="C1024" s="1" t="s">
        <v>242</v>
      </c>
      <c r="D1024" s="1" t="s">
        <v>67</v>
      </c>
      <c r="E1024">
        <v>675</v>
      </c>
      <c r="F1024" s="1" t="s">
        <v>243</v>
      </c>
      <c r="G1024" s="1" t="s">
        <v>14</v>
      </c>
      <c r="H1024" s="1" t="s">
        <v>81</v>
      </c>
      <c r="I1024" s="1" t="s">
        <v>16</v>
      </c>
    </row>
    <row r="1025" spans="1:9" x14ac:dyDescent="0.25">
      <c r="A1025" s="1" t="s">
        <v>9</v>
      </c>
      <c r="B1025" s="1" t="s">
        <v>10</v>
      </c>
      <c r="C1025" s="1" t="s">
        <v>242</v>
      </c>
      <c r="D1025" s="1" t="s">
        <v>68</v>
      </c>
      <c r="E1025">
        <v>675</v>
      </c>
      <c r="F1025" s="1" t="s">
        <v>243</v>
      </c>
      <c r="G1025" s="1" t="s">
        <v>14</v>
      </c>
      <c r="H1025" s="1" t="s">
        <v>81</v>
      </c>
      <c r="I1025" s="1" t="s">
        <v>16</v>
      </c>
    </row>
    <row r="1026" spans="1:9" x14ac:dyDescent="0.25">
      <c r="A1026" s="1" t="s">
        <v>9</v>
      </c>
      <c r="B1026" s="1" t="s">
        <v>10</v>
      </c>
      <c r="C1026" s="1" t="s">
        <v>242</v>
      </c>
      <c r="D1026" s="1" t="s">
        <v>69</v>
      </c>
      <c r="E1026">
        <v>325</v>
      </c>
      <c r="F1026" s="1" t="s">
        <v>243</v>
      </c>
      <c r="G1026" s="1" t="s">
        <v>14</v>
      </c>
      <c r="H1026" s="1" t="s">
        <v>81</v>
      </c>
      <c r="I1026" s="1" t="s">
        <v>16</v>
      </c>
    </row>
    <row r="1027" spans="1:9" x14ac:dyDescent="0.25">
      <c r="A1027" s="1" t="s">
        <v>9</v>
      </c>
      <c r="B1027" s="1" t="s">
        <v>10</v>
      </c>
      <c r="C1027" s="1" t="s">
        <v>242</v>
      </c>
      <c r="D1027" s="1" t="s">
        <v>70</v>
      </c>
      <c r="E1027">
        <v>325</v>
      </c>
      <c r="F1027" s="1" t="s">
        <v>243</v>
      </c>
      <c r="G1027" s="1" t="s">
        <v>14</v>
      </c>
      <c r="H1027" s="1" t="s">
        <v>81</v>
      </c>
      <c r="I1027" s="1" t="s">
        <v>16</v>
      </c>
    </row>
    <row r="1028" spans="1:9" x14ac:dyDescent="0.25">
      <c r="A1028" s="1" t="s">
        <v>9</v>
      </c>
      <c r="B1028" s="1" t="s">
        <v>10</v>
      </c>
      <c r="C1028" s="1" t="s">
        <v>244</v>
      </c>
      <c r="D1028" s="1" t="s">
        <v>12</v>
      </c>
      <c r="E1028">
        <v>175</v>
      </c>
      <c r="F1028" s="1" t="s">
        <v>35</v>
      </c>
      <c r="G1028" s="1" t="s">
        <v>14</v>
      </c>
      <c r="H1028" s="1" t="s">
        <v>73</v>
      </c>
      <c r="I1028" s="1" t="s">
        <v>16</v>
      </c>
    </row>
    <row r="1029" spans="1:9" x14ac:dyDescent="0.25">
      <c r="A1029" s="1" t="s">
        <v>9</v>
      </c>
      <c r="B1029" s="1" t="s">
        <v>10</v>
      </c>
      <c r="C1029" s="1" t="s">
        <v>244</v>
      </c>
      <c r="D1029" s="1" t="s">
        <v>17</v>
      </c>
      <c r="E1029">
        <v>175</v>
      </c>
      <c r="F1029" s="1" t="s">
        <v>35</v>
      </c>
      <c r="G1029" s="1" t="s">
        <v>14</v>
      </c>
      <c r="H1029" s="1" t="s">
        <v>73</v>
      </c>
      <c r="I1029" s="1" t="s">
        <v>16</v>
      </c>
    </row>
    <row r="1030" spans="1:9" x14ac:dyDescent="0.25">
      <c r="A1030" s="1" t="s">
        <v>9</v>
      </c>
      <c r="B1030" s="1" t="s">
        <v>10</v>
      </c>
      <c r="C1030" s="1" t="s">
        <v>244</v>
      </c>
      <c r="D1030" s="1" t="s">
        <v>18</v>
      </c>
      <c r="E1030">
        <v>175</v>
      </c>
      <c r="F1030" s="1" t="s">
        <v>35</v>
      </c>
      <c r="G1030" s="1" t="s">
        <v>14</v>
      </c>
      <c r="H1030" s="1" t="s">
        <v>73</v>
      </c>
      <c r="I1030" s="1" t="s">
        <v>16</v>
      </c>
    </row>
    <row r="1031" spans="1:9" x14ac:dyDescent="0.25">
      <c r="A1031" s="1" t="s">
        <v>9</v>
      </c>
      <c r="B1031" s="1" t="s">
        <v>10</v>
      </c>
      <c r="C1031" s="1" t="s">
        <v>244</v>
      </c>
      <c r="D1031" s="1" t="s">
        <v>19</v>
      </c>
      <c r="E1031">
        <v>675</v>
      </c>
      <c r="F1031" s="1" t="s">
        <v>35</v>
      </c>
      <c r="G1031" s="1" t="s">
        <v>14</v>
      </c>
      <c r="H1031" s="1" t="s">
        <v>73</v>
      </c>
      <c r="I1031" s="1" t="s">
        <v>16</v>
      </c>
    </row>
    <row r="1032" spans="1:9" x14ac:dyDescent="0.25">
      <c r="A1032" s="1" t="s">
        <v>9</v>
      </c>
      <c r="B1032" s="1" t="s">
        <v>10</v>
      </c>
      <c r="C1032" s="1" t="s">
        <v>244</v>
      </c>
      <c r="D1032" s="1" t="s">
        <v>20</v>
      </c>
      <c r="E1032">
        <v>325</v>
      </c>
      <c r="F1032" s="1" t="s">
        <v>35</v>
      </c>
      <c r="G1032" s="1" t="s">
        <v>14</v>
      </c>
      <c r="H1032" s="1" t="s">
        <v>73</v>
      </c>
      <c r="I1032" s="1" t="s">
        <v>16</v>
      </c>
    </row>
    <row r="1033" spans="1:9" x14ac:dyDescent="0.25">
      <c r="A1033" s="1" t="s">
        <v>9</v>
      </c>
      <c r="B1033" s="1" t="s">
        <v>10</v>
      </c>
      <c r="C1033" s="1" t="s">
        <v>244</v>
      </c>
      <c r="D1033" s="1" t="s">
        <v>21</v>
      </c>
      <c r="E1033">
        <v>325</v>
      </c>
      <c r="F1033" s="1" t="s">
        <v>35</v>
      </c>
      <c r="G1033" s="1" t="s">
        <v>14</v>
      </c>
      <c r="H1033" s="1" t="s">
        <v>73</v>
      </c>
      <c r="I1033" s="1" t="s">
        <v>16</v>
      </c>
    </row>
    <row r="1034" spans="1:9" x14ac:dyDescent="0.25">
      <c r="A1034" s="1" t="s">
        <v>9</v>
      </c>
      <c r="B1034" s="1" t="s">
        <v>10</v>
      </c>
      <c r="C1034" s="1" t="s">
        <v>244</v>
      </c>
      <c r="D1034" s="1" t="s">
        <v>22</v>
      </c>
      <c r="E1034">
        <v>175</v>
      </c>
      <c r="F1034" s="1" t="s">
        <v>35</v>
      </c>
      <c r="G1034" s="1" t="s">
        <v>14</v>
      </c>
      <c r="H1034" s="1" t="s">
        <v>73</v>
      </c>
      <c r="I1034" s="1" t="s">
        <v>16</v>
      </c>
    </row>
    <row r="1035" spans="1:9" x14ac:dyDescent="0.25">
      <c r="A1035" s="1" t="s">
        <v>9</v>
      </c>
      <c r="B1035" s="1" t="s">
        <v>10</v>
      </c>
      <c r="C1035" s="1" t="s">
        <v>244</v>
      </c>
      <c r="D1035" s="1" t="s">
        <v>23</v>
      </c>
      <c r="E1035">
        <v>175</v>
      </c>
      <c r="F1035" s="1" t="s">
        <v>35</v>
      </c>
      <c r="G1035" s="1" t="s">
        <v>14</v>
      </c>
      <c r="H1035" s="1" t="s">
        <v>73</v>
      </c>
      <c r="I1035" s="1" t="s">
        <v>16</v>
      </c>
    </row>
    <row r="1036" spans="1:9" x14ac:dyDescent="0.25">
      <c r="A1036" s="1" t="s">
        <v>9</v>
      </c>
      <c r="B1036" s="1" t="s">
        <v>10</v>
      </c>
      <c r="C1036" s="1" t="s">
        <v>244</v>
      </c>
      <c r="D1036" s="1" t="s">
        <v>24</v>
      </c>
      <c r="E1036">
        <v>675</v>
      </c>
      <c r="F1036" s="1" t="s">
        <v>35</v>
      </c>
      <c r="G1036" s="1" t="s">
        <v>14</v>
      </c>
      <c r="H1036" s="1" t="s">
        <v>73</v>
      </c>
      <c r="I1036" s="1" t="s">
        <v>16</v>
      </c>
    </row>
    <row r="1037" spans="1:9" x14ac:dyDescent="0.25">
      <c r="A1037" s="1" t="s">
        <v>9</v>
      </c>
      <c r="B1037" s="1" t="s">
        <v>10</v>
      </c>
      <c r="C1037" s="1" t="s">
        <v>244</v>
      </c>
      <c r="D1037" s="1" t="s">
        <v>25</v>
      </c>
      <c r="E1037">
        <v>675</v>
      </c>
      <c r="F1037" s="1" t="s">
        <v>35</v>
      </c>
      <c r="G1037" s="1" t="s">
        <v>14</v>
      </c>
      <c r="H1037" s="1" t="s">
        <v>73</v>
      </c>
      <c r="I1037" s="1" t="s">
        <v>16</v>
      </c>
    </row>
    <row r="1038" spans="1:9" x14ac:dyDescent="0.25">
      <c r="A1038" s="1" t="s">
        <v>9</v>
      </c>
      <c r="B1038" s="1" t="s">
        <v>10</v>
      </c>
      <c r="C1038" s="1" t="s">
        <v>244</v>
      </c>
      <c r="D1038" s="1" t="s">
        <v>26</v>
      </c>
      <c r="E1038">
        <v>175</v>
      </c>
      <c r="F1038" s="1" t="s">
        <v>35</v>
      </c>
      <c r="G1038" s="1" t="s">
        <v>14</v>
      </c>
      <c r="H1038" s="1" t="s">
        <v>73</v>
      </c>
      <c r="I1038" s="1" t="s">
        <v>16</v>
      </c>
    </row>
    <row r="1039" spans="1:9" x14ac:dyDescent="0.25">
      <c r="A1039" s="1" t="s">
        <v>9</v>
      </c>
      <c r="B1039" s="1" t="s">
        <v>10</v>
      </c>
      <c r="C1039" s="1" t="s">
        <v>244</v>
      </c>
      <c r="D1039" s="1" t="s">
        <v>27</v>
      </c>
      <c r="E1039">
        <v>325</v>
      </c>
      <c r="F1039" s="1" t="s">
        <v>35</v>
      </c>
      <c r="G1039" s="1" t="s">
        <v>14</v>
      </c>
      <c r="H1039" s="1" t="s">
        <v>73</v>
      </c>
      <c r="I1039" s="1" t="s">
        <v>16</v>
      </c>
    </row>
    <row r="1040" spans="1:9" x14ac:dyDescent="0.25">
      <c r="A1040" s="1" t="s">
        <v>9</v>
      </c>
      <c r="B1040" s="1" t="s">
        <v>10</v>
      </c>
      <c r="C1040" s="1" t="s">
        <v>244</v>
      </c>
      <c r="D1040" s="1" t="s">
        <v>28</v>
      </c>
      <c r="E1040">
        <v>175</v>
      </c>
      <c r="F1040" s="1" t="s">
        <v>35</v>
      </c>
      <c r="G1040" s="1" t="s">
        <v>14</v>
      </c>
      <c r="H1040" s="1" t="s">
        <v>73</v>
      </c>
      <c r="I1040" s="1" t="s">
        <v>16</v>
      </c>
    </row>
    <row r="1041" spans="1:9" x14ac:dyDescent="0.25">
      <c r="A1041" s="1" t="s">
        <v>9</v>
      </c>
      <c r="B1041" s="1" t="s">
        <v>10</v>
      </c>
      <c r="C1041" s="1" t="s">
        <v>244</v>
      </c>
      <c r="D1041" s="1" t="s">
        <v>29</v>
      </c>
      <c r="E1041">
        <v>175</v>
      </c>
      <c r="F1041" s="1" t="s">
        <v>35</v>
      </c>
      <c r="G1041" s="1" t="s">
        <v>14</v>
      </c>
      <c r="H1041" s="1" t="s">
        <v>73</v>
      </c>
      <c r="I1041" s="1" t="s">
        <v>16</v>
      </c>
    </row>
    <row r="1042" spans="1:9" x14ac:dyDescent="0.25">
      <c r="A1042" s="1" t="s">
        <v>9</v>
      </c>
      <c r="B1042" s="1" t="s">
        <v>10</v>
      </c>
      <c r="C1042" s="1" t="s">
        <v>244</v>
      </c>
      <c r="D1042" s="1" t="s">
        <v>30</v>
      </c>
      <c r="E1042">
        <v>175</v>
      </c>
      <c r="F1042" s="1" t="s">
        <v>35</v>
      </c>
      <c r="G1042" s="1" t="s">
        <v>14</v>
      </c>
      <c r="H1042" s="1" t="s">
        <v>73</v>
      </c>
      <c r="I1042" s="1" t="s">
        <v>16</v>
      </c>
    </row>
    <row r="1043" spans="1:9" x14ac:dyDescent="0.25">
      <c r="A1043" s="1" t="s">
        <v>9</v>
      </c>
      <c r="B1043" s="1" t="s">
        <v>10</v>
      </c>
      <c r="C1043" s="1" t="s">
        <v>244</v>
      </c>
      <c r="D1043" s="1" t="s">
        <v>31</v>
      </c>
      <c r="E1043">
        <v>175</v>
      </c>
      <c r="F1043" s="1" t="s">
        <v>35</v>
      </c>
      <c r="G1043" s="1" t="s">
        <v>14</v>
      </c>
      <c r="H1043" s="1" t="s">
        <v>73</v>
      </c>
      <c r="I1043" s="1" t="s">
        <v>16</v>
      </c>
    </row>
    <row r="1044" spans="1:9" x14ac:dyDescent="0.25">
      <c r="A1044" s="1" t="s">
        <v>9</v>
      </c>
      <c r="B1044" s="1" t="s">
        <v>10</v>
      </c>
      <c r="C1044" s="1" t="s">
        <v>244</v>
      </c>
      <c r="D1044" s="1" t="s">
        <v>32</v>
      </c>
      <c r="E1044">
        <v>175</v>
      </c>
      <c r="F1044" s="1" t="s">
        <v>35</v>
      </c>
      <c r="G1044" s="1" t="s">
        <v>14</v>
      </c>
      <c r="H1044" s="1" t="s">
        <v>73</v>
      </c>
      <c r="I1044" s="1" t="s">
        <v>16</v>
      </c>
    </row>
    <row r="1045" spans="1:9" x14ac:dyDescent="0.25">
      <c r="A1045" s="1" t="s">
        <v>9</v>
      </c>
      <c r="B1045" s="1" t="s">
        <v>10</v>
      </c>
      <c r="C1045" s="1" t="s">
        <v>244</v>
      </c>
      <c r="D1045" s="1" t="s">
        <v>33</v>
      </c>
      <c r="E1045">
        <v>325</v>
      </c>
      <c r="F1045" s="1" t="s">
        <v>35</v>
      </c>
      <c r="G1045" s="1" t="s">
        <v>14</v>
      </c>
      <c r="H1045" s="1" t="s">
        <v>73</v>
      </c>
      <c r="I1045" s="1" t="s">
        <v>16</v>
      </c>
    </row>
    <row r="1046" spans="1:9" x14ac:dyDescent="0.25">
      <c r="A1046" s="1" t="s">
        <v>9</v>
      </c>
      <c r="B1046" s="1" t="s">
        <v>10</v>
      </c>
      <c r="C1046" s="1" t="s">
        <v>244</v>
      </c>
      <c r="D1046" s="1" t="s">
        <v>34</v>
      </c>
      <c r="E1046">
        <v>175</v>
      </c>
      <c r="F1046" s="1" t="s">
        <v>35</v>
      </c>
      <c r="G1046" s="1" t="s">
        <v>14</v>
      </c>
      <c r="H1046" s="1" t="s">
        <v>73</v>
      </c>
      <c r="I1046" s="1" t="s">
        <v>16</v>
      </c>
    </row>
    <row r="1047" spans="1:9" x14ac:dyDescent="0.25">
      <c r="A1047" s="1" t="s">
        <v>9</v>
      </c>
      <c r="B1047" s="1" t="s">
        <v>10</v>
      </c>
      <c r="C1047" s="1" t="s">
        <v>244</v>
      </c>
      <c r="D1047" s="1" t="s">
        <v>35</v>
      </c>
      <c r="E1047">
        <v>325</v>
      </c>
      <c r="F1047" s="1" t="s">
        <v>35</v>
      </c>
      <c r="G1047" s="1" t="s">
        <v>14</v>
      </c>
      <c r="H1047" s="1" t="s">
        <v>73</v>
      </c>
      <c r="I1047" s="1" t="s">
        <v>16</v>
      </c>
    </row>
    <row r="1048" spans="1:9" x14ac:dyDescent="0.25">
      <c r="A1048" s="1" t="s">
        <v>9</v>
      </c>
      <c r="B1048" s="1" t="s">
        <v>10</v>
      </c>
      <c r="C1048" s="1" t="s">
        <v>244</v>
      </c>
      <c r="D1048" s="1" t="s">
        <v>36</v>
      </c>
      <c r="E1048">
        <v>325</v>
      </c>
      <c r="F1048" s="1" t="s">
        <v>35</v>
      </c>
      <c r="G1048" s="1" t="s">
        <v>14</v>
      </c>
      <c r="H1048" s="1" t="s">
        <v>73</v>
      </c>
      <c r="I1048" s="1" t="s">
        <v>16</v>
      </c>
    </row>
    <row r="1049" spans="1:9" x14ac:dyDescent="0.25">
      <c r="A1049" s="1" t="s">
        <v>9</v>
      </c>
      <c r="B1049" s="1" t="s">
        <v>10</v>
      </c>
      <c r="C1049" s="1" t="s">
        <v>244</v>
      </c>
      <c r="D1049" s="1" t="s">
        <v>37</v>
      </c>
      <c r="E1049">
        <v>175</v>
      </c>
      <c r="F1049" s="1" t="s">
        <v>35</v>
      </c>
      <c r="G1049" s="1" t="s">
        <v>14</v>
      </c>
      <c r="H1049" s="1" t="s">
        <v>73</v>
      </c>
      <c r="I1049" s="1" t="s">
        <v>16</v>
      </c>
    </row>
    <row r="1050" spans="1:9" x14ac:dyDescent="0.25">
      <c r="A1050" s="1" t="s">
        <v>9</v>
      </c>
      <c r="B1050" s="1" t="s">
        <v>10</v>
      </c>
      <c r="C1050" s="1" t="s">
        <v>244</v>
      </c>
      <c r="D1050" s="1" t="s">
        <v>38</v>
      </c>
      <c r="E1050">
        <v>175</v>
      </c>
      <c r="F1050" s="1" t="s">
        <v>35</v>
      </c>
      <c r="G1050" s="1" t="s">
        <v>14</v>
      </c>
      <c r="H1050" s="1" t="s">
        <v>73</v>
      </c>
      <c r="I1050" s="1" t="s">
        <v>16</v>
      </c>
    </row>
    <row r="1051" spans="1:9" x14ac:dyDescent="0.25">
      <c r="A1051" s="1" t="s">
        <v>9</v>
      </c>
      <c r="B1051" s="1" t="s">
        <v>10</v>
      </c>
      <c r="C1051" s="1" t="s">
        <v>244</v>
      </c>
      <c r="D1051" s="1" t="s">
        <v>39</v>
      </c>
      <c r="E1051">
        <v>175</v>
      </c>
      <c r="F1051" s="1" t="s">
        <v>35</v>
      </c>
      <c r="G1051" s="1" t="s">
        <v>14</v>
      </c>
      <c r="H1051" s="1" t="s">
        <v>73</v>
      </c>
      <c r="I1051" s="1" t="s">
        <v>16</v>
      </c>
    </row>
    <row r="1052" spans="1:9" x14ac:dyDescent="0.25">
      <c r="A1052" s="1" t="s">
        <v>9</v>
      </c>
      <c r="B1052" s="1" t="s">
        <v>10</v>
      </c>
      <c r="C1052" s="1" t="s">
        <v>244</v>
      </c>
      <c r="D1052" s="1" t="s">
        <v>40</v>
      </c>
      <c r="E1052">
        <v>175</v>
      </c>
      <c r="F1052" s="1" t="s">
        <v>35</v>
      </c>
      <c r="G1052" s="1" t="s">
        <v>14</v>
      </c>
      <c r="H1052" s="1" t="s">
        <v>73</v>
      </c>
      <c r="I1052" s="1" t="s">
        <v>16</v>
      </c>
    </row>
    <row r="1053" spans="1:9" x14ac:dyDescent="0.25">
      <c r="A1053" s="1" t="s">
        <v>9</v>
      </c>
      <c r="B1053" s="1" t="s">
        <v>10</v>
      </c>
      <c r="C1053" s="1" t="s">
        <v>244</v>
      </c>
      <c r="D1053" s="1" t="s">
        <v>41</v>
      </c>
      <c r="E1053">
        <v>325</v>
      </c>
      <c r="F1053" s="1" t="s">
        <v>35</v>
      </c>
      <c r="G1053" s="1" t="s">
        <v>14</v>
      </c>
      <c r="H1053" s="1" t="s">
        <v>73</v>
      </c>
      <c r="I1053" s="1" t="s">
        <v>16</v>
      </c>
    </row>
    <row r="1054" spans="1:9" x14ac:dyDescent="0.25">
      <c r="A1054" s="1" t="s">
        <v>9</v>
      </c>
      <c r="B1054" s="1" t="s">
        <v>10</v>
      </c>
      <c r="C1054" s="1" t="s">
        <v>244</v>
      </c>
      <c r="D1054" s="1" t="s">
        <v>42</v>
      </c>
      <c r="E1054">
        <v>325</v>
      </c>
      <c r="F1054" s="1" t="s">
        <v>35</v>
      </c>
      <c r="G1054" s="1" t="s">
        <v>14</v>
      </c>
      <c r="H1054" s="1" t="s">
        <v>73</v>
      </c>
      <c r="I1054" s="1" t="s">
        <v>16</v>
      </c>
    </row>
    <row r="1055" spans="1:9" x14ac:dyDescent="0.25">
      <c r="A1055" s="1" t="s">
        <v>9</v>
      </c>
      <c r="B1055" s="1" t="s">
        <v>10</v>
      </c>
      <c r="C1055" s="1" t="s">
        <v>244</v>
      </c>
      <c r="D1055" s="1" t="s">
        <v>43</v>
      </c>
      <c r="E1055">
        <v>175</v>
      </c>
      <c r="F1055" s="1" t="s">
        <v>35</v>
      </c>
      <c r="G1055" s="1" t="s">
        <v>14</v>
      </c>
      <c r="H1055" s="1" t="s">
        <v>73</v>
      </c>
      <c r="I1055" s="1" t="s">
        <v>16</v>
      </c>
    </row>
    <row r="1056" spans="1:9" x14ac:dyDescent="0.25">
      <c r="A1056" s="1" t="s">
        <v>9</v>
      </c>
      <c r="B1056" s="1" t="s">
        <v>10</v>
      </c>
      <c r="C1056" s="1" t="s">
        <v>244</v>
      </c>
      <c r="D1056" s="1" t="s">
        <v>45</v>
      </c>
      <c r="E1056">
        <v>175</v>
      </c>
      <c r="F1056" s="1" t="s">
        <v>35</v>
      </c>
      <c r="G1056" s="1" t="s">
        <v>14</v>
      </c>
      <c r="H1056" s="1" t="s">
        <v>73</v>
      </c>
      <c r="I1056" s="1" t="s">
        <v>16</v>
      </c>
    </row>
    <row r="1057" spans="1:9" x14ac:dyDescent="0.25">
      <c r="A1057" s="1" t="s">
        <v>9</v>
      </c>
      <c r="B1057" s="1" t="s">
        <v>10</v>
      </c>
      <c r="C1057" s="1" t="s">
        <v>244</v>
      </c>
      <c r="D1057" s="1" t="s">
        <v>46</v>
      </c>
      <c r="E1057">
        <v>175</v>
      </c>
      <c r="F1057" s="1" t="s">
        <v>35</v>
      </c>
      <c r="G1057" s="1" t="s">
        <v>14</v>
      </c>
      <c r="H1057" s="1" t="s">
        <v>73</v>
      </c>
      <c r="I1057" s="1" t="s">
        <v>16</v>
      </c>
    </row>
    <row r="1058" spans="1:9" x14ac:dyDescent="0.25">
      <c r="A1058" s="1" t="s">
        <v>9</v>
      </c>
      <c r="B1058" s="1" t="s">
        <v>10</v>
      </c>
      <c r="C1058" s="1" t="s">
        <v>244</v>
      </c>
      <c r="D1058" s="1" t="s">
        <v>47</v>
      </c>
      <c r="E1058">
        <v>675</v>
      </c>
      <c r="F1058" s="1" t="s">
        <v>35</v>
      </c>
      <c r="G1058" s="1" t="s">
        <v>14</v>
      </c>
      <c r="H1058" s="1" t="s">
        <v>73</v>
      </c>
      <c r="I1058" s="1" t="s">
        <v>16</v>
      </c>
    </row>
    <row r="1059" spans="1:9" x14ac:dyDescent="0.25">
      <c r="A1059" s="1" t="s">
        <v>9</v>
      </c>
      <c r="B1059" s="1" t="s">
        <v>10</v>
      </c>
      <c r="C1059" s="1" t="s">
        <v>244</v>
      </c>
      <c r="D1059" s="1" t="s">
        <v>48</v>
      </c>
      <c r="E1059">
        <v>325</v>
      </c>
      <c r="F1059" s="1" t="s">
        <v>35</v>
      </c>
      <c r="G1059" s="1" t="s">
        <v>14</v>
      </c>
      <c r="H1059" s="1" t="s">
        <v>73</v>
      </c>
      <c r="I1059" s="1" t="s">
        <v>16</v>
      </c>
    </row>
    <row r="1060" spans="1:9" x14ac:dyDescent="0.25">
      <c r="A1060" s="1" t="s">
        <v>9</v>
      </c>
      <c r="B1060" s="1" t="s">
        <v>10</v>
      </c>
      <c r="C1060" s="1" t="s">
        <v>244</v>
      </c>
      <c r="D1060" s="1" t="s">
        <v>49</v>
      </c>
      <c r="E1060">
        <v>325</v>
      </c>
      <c r="F1060" s="1" t="s">
        <v>35</v>
      </c>
      <c r="G1060" s="1" t="s">
        <v>14</v>
      </c>
      <c r="H1060" s="1" t="s">
        <v>73</v>
      </c>
      <c r="I1060" s="1" t="s">
        <v>16</v>
      </c>
    </row>
    <row r="1061" spans="1:9" x14ac:dyDescent="0.25">
      <c r="A1061" s="1" t="s">
        <v>9</v>
      </c>
      <c r="B1061" s="1" t="s">
        <v>10</v>
      </c>
      <c r="C1061" s="1" t="s">
        <v>244</v>
      </c>
      <c r="D1061" s="1" t="s">
        <v>50</v>
      </c>
      <c r="E1061">
        <v>175</v>
      </c>
      <c r="F1061" s="1" t="s">
        <v>35</v>
      </c>
      <c r="G1061" s="1" t="s">
        <v>14</v>
      </c>
      <c r="H1061" s="1" t="s">
        <v>73</v>
      </c>
      <c r="I1061" s="1" t="s">
        <v>16</v>
      </c>
    </row>
    <row r="1062" spans="1:9" x14ac:dyDescent="0.25">
      <c r="A1062" s="1" t="s">
        <v>9</v>
      </c>
      <c r="B1062" s="1" t="s">
        <v>10</v>
      </c>
      <c r="C1062" s="1" t="s">
        <v>244</v>
      </c>
      <c r="D1062" s="1" t="s">
        <v>51</v>
      </c>
      <c r="E1062">
        <v>175</v>
      </c>
      <c r="F1062" s="1" t="s">
        <v>35</v>
      </c>
      <c r="G1062" s="1" t="s">
        <v>14</v>
      </c>
      <c r="H1062" s="1" t="s">
        <v>73</v>
      </c>
      <c r="I1062" s="1" t="s">
        <v>16</v>
      </c>
    </row>
    <row r="1063" spans="1:9" x14ac:dyDescent="0.25">
      <c r="A1063" s="1" t="s">
        <v>9</v>
      </c>
      <c r="B1063" s="1" t="s">
        <v>10</v>
      </c>
      <c r="C1063" s="1" t="s">
        <v>244</v>
      </c>
      <c r="D1063" s="1" t="s">
        <v>52</v>
      </c>
      <c r="E1063">
        <v>675</v>
      </c>
      <c r="F1063" s="1" t="s">
        <v>35</v>
      </c>
      <c r="G1063" s="1" t="s">
        <v>14</v>
      </c>
      <c r="H1063" s="1" t="s">
        <v>73</v>
      </c>
      <c r="I1063" s="1" t="s">
        <v>16</v>
      </c>
    </row>
    <row r="1064" spans="1:9" x14ac:dyDescent="0.25">
      <c r="A1064" s="1" t="s">
        <v>9</v>
      </c>
      <c r="B1064" s="1" t="s">
        <v>10</v>
      </c>
      <c r="C1064" s="1" t="s">
        <v>244</v>
      </c>
      <c r="D1064" s="1" t="s">
        <v>53</v>
      </c>
      <c r="E1064">
        <v>675</v>
      </c>
      <c r="F1064" s="1" t="s">
        <v>35</v>
      </c>
      <c r="G1064" s="1" t="s">
        <v>14</v>
      </c>
      <c r="H1064" s="1" t="s">
        <v>73</v>
      </c>
      <c r="I1064" s="1" t="s">
        <v>16</v>
      </c>
    </row>
    <row r="1065" spans="1:9" x14ac:dyDescent="0.25">
      <c r="A1065" s="1" t="s">
        <v>9</v>
      </c>
      <c r="B1065" s="1" t="s">
        <v>10</v>
      </c>
      <c r="C1065" s="1" t="s">
        <v>244</v>
      </c>
      <c r="D1065" s="1" t="s">
        <v>54</v>
      </c>
      <c r="E1065">
        <v>175</v>
      </c>
      <c r="F1065" s="1" t="s">
        <v>35</v>
      </c>
      <c r="G1065" s="1" t="s">
        <v>14</v>
      </c>
      <c r="H1065" s="1" t="s">
        <v>73</v>
      </c>
      <c r="I1065" s="1" t="s">
        <v>16</v>
      </c>
    </row>
    <row r="1066" spans="1:9" x14ac:dyDescent="0.25">
      <c r="A1066" s="1" t="s">
        <v>9</v>
      </c>
      <c r="B1066" s="1" t="s">
        <v>10</v>
      </c>
      <c r="C1066" s="1" t="s">
        <v>244</v>
      </c>
      <c r="D1066" s="1" t="s">
        <v>55</v>
      </c>
      <c r="E1066">
        <v>325</v>
      </c>
      <c r="F1066" s="1" t="s">
        <v>35</v>
      </c>
      <c r="G1066" s="1" t="s">
        <v>14</v>
      </c>
      <c r="H1066" s="1" t="s">
        <v>73</v>
      </c>
      <c r="I1066" s="1" t="s">
        <v>16</v>
      </c>
    </row>
    <row r="1067" spans="1:9" x14ac:dyDescent="0.25">
      <c r="A1067" s="1" t="s">
        <v>9</v>
      </c>
      <c r="B1067" s="1" t="s">
        <v>10</v>
      </c>
      <c r="C1067" s="1" t="s">
        <v>244</v>
      </c>
      <c r="D1067" s="1" t="s">
        <v>56</v>
      </c>
      <c r="E1067">
        <v>175</v>
      </c>
      <c r="F1067" s="1" t="s">
        <v>35</v>
      </c>
      <c r="G1067" s="1" t="s">
        <v>14</v>
      </c>
      <c r="H1067" s="1" t="s">
        <v>73</v>
      </c>
      <c r="I1067" s="1" t="s">
        <v>16</v>
      </c>
    </row>
    <row r="1068" spans="1:9" x14ac:dyDescent="0.25">
      <c r="A1068" s="1" t="s">
        <v>9</v>
      </c>
      <c r="B1068" s="1" t="s">
        <v>10</v>
      </c>
      <c r="C1068" s="1" t="s">
        <v>244</v>
      </c>
      <c r="D1068" s="1" t="s">
        <v>57</v>
      </c>
      <c r="E1068">
        <v>175</v>
      </c>
      <c r="F1068" s="1" t="s">
        <v>35</v>
      </c>
      <c r="G1068" s="1" t="s">
        <v>14</v>
      </c>
      <c r="H1068" s="1" t="s">
        <v>73</v>
      </c>
      <c r="I1068" s="1" t="s">
        <v>16</v>
      </c>
    </row>
    <row r="1069" spans="1:9" x14ac:dyDescent="0.25">
      <c r="A1069" s="1" t="s">
        <v>9</v>
      </c>
      <c r="B1069" s="1" t="s">
        <v>10</v>
      </c>
      <c r="C1069" s="1" t="s">
        <v>244</v>
      </c>
      <c r="D1069" s="1" t="s">
        <v>58</v>
      </c>
      <c r="E1069">
        <v>175</v>
      </c>
      <c r="F1069" s="1" t="s">
        <v>35</v>
      </c>
      <c r="G1069" s="1" t="s">
        <v>14</v>
      </c>
      <c r="H1069" s="1" t="s">
        <v>73</v>
      </c>
      <c r="I1069" s="1" t="s">
        <v>16</v>
      </c>
    </row>
    <row r="1070" spans="1:9" x14ac:dyDescent="0.25">
      <c r="A1070" s="1" t="s">
        <v>9</v>
      </c>
      <c r="B1070" s="1" t="s">
        <v>10</v>
      </c>
      <c r="C1070" s="1" t="s">
        <v>244</v>
      </c>
      <c r="D1070" s="1" t="s">
        <v>59</v>
      </c>
      <c r="E1070">
        <v>175</v>
      </c>
      <c r="F1070" s="1" t="s">
        <v>35</v>
      </c>
      <c r="G1070" s="1" t="s">
        <v>14</v>
      </c>
      <c r="H1070" s="1" t="s">
        <v>73</v>
      </c>
      <c r="I1070" s="1" t="s">
        <v>16</v>
      </c>
    </row>
    <row r="1071" spans="1:9" x14ac:dyDescent="0.25">
      <c r="A1071" s="1" t="s">
        <v>9</v>
      </c>
      <c r="B1071" s="1" t="s">
        <v>10</v>
      </c>
      <c r="C1071" s="1" t="s">
        <v>244</v>
      </c>
      <c r="D1071" s="1" t="s">
        <v>60</v>
      </c>
      <c r="E1071">
        <v>175</v>
      </c>
      <c r="F1071" s="1" t="s">
        <v>35</v>
      </c>
      <c r="G1071" s="1" t="s">
        <v>14</v>
      </c>
      <c r="H1071" s="1" t="s">
        <v>73</v>
      </c>
      <c r="I1071" s="1" t="s">
        <v>16</v>
      </c>
    </row>
    <row r="1072" spans="1:9" x14ac:dyDescent="0.25">
      <c r="A1072" s="1" t="s">
        <v>9</v>
      </c>
      <c r="B1072" s="1" t="s">
        <v>10</v>
      </c>
      <c r="C1072" s="1" t="s">
        <v>244</v>
      </c>
      <c r="D1072" s="1" t="s">
        <v>61</v>
      </c>
      <c r="E1072">
        <v>325</v>
      </c>
      <c r="F1072" s="1" t="s">
        <v>35</v>
      </c>
      <c r="G1072" s="1" t="s">
        <v>14</v>
      </c>
      <c r="H1072" s="1" t="s">
        <v>73</v>
      </c>
      <c r="I1072" s="1" t="s">
        <v>16</v>
      </c>
    </row>
    <row r="1073" spans="1:9" x14ac:dyDescent="0.25">
      <c r="A1073" s="1" t="s">
        <v>9</v>
      </c>
      <c r="B1073" s="1" t="s">
        <v>10</v>
      </c>
      <c r="C1073" s="1" t="s">
        <v>244</v>
      </c>
      <c r="D1073" s="1" t="s">
        <v>62</v>
      </c>
      <c r="E1073">
        <v>175</v>
      </c>
      <c r="F1073" s="1" t="s">
        <v>35</v>
      </c>
      <c r="G1073" s="1" t="s">
        <v>14</v>
      </c>
      <c r="H1073" s="1" t="s">
        <v>73</v>
      </c>
      <c r="I1073" s="1" t="s">
        <v>16</v>
      </c>
    </row>
    <row r="1074" spans="1:9" x14ac:dyDescent="0.25">
      <c r="A1074" s="1" t="s">
        <v>9</v>
      </c>
      <c r="B1074" s="1" t="s">
        <v>10</v>
      </c>
      <c r="C1074" s="1" t="s">
        <v>244</v>
      </c>
      <c r="D1074" s="1" t="s">
        <v>63</v>
      </c>
      <c r="E1074">
        <v>325</v>
      </c>
      <c r="F1074" s="1" t="s">
        <v>35</v>
      </c>
      <c r="G1074" s="1" t="s">
        <v>14</v>
      </c>
      <c r="H1074" s="1" t="s">
        <v>73</v>
      </c>
      <c r="I1074" s="1" t="s">
        <v>16</v>
      </c>
    </row>
    <row r="1075" spans="1:9" x14ac:dyDescent="0.25">
      <c r="A1075" s="1" t="s">
        <v>9</v>
      </c>
      <c r="B1075" s="1" t="s">
        <v>10</v>
      </c>
      <c r="C1075" s="1" t="s">
        <v>244</v>
      </c>
      <c r="D1075" s="1" t="s">
        <v>64</v>
      </c>
      <c r="E1075">
        <v>325</v>
      </c>
      <c r="F1075" s="1" t="s">
        <v>35</v>
      </c>
      <c r="G1075" s="1" t="s">
        <v>14</v>
      </c>
      <c r="H1075" s="1" t="s">
        <v>73</v>
      </c>
      <c r="I1075" s="1" t="s">
        <v>16</v>
      </c>
    </row>
    <row r="1076" spans="1:9" x14ac:dyDescent="0.25">
      <c r="A1076" s="1" t="s">
        <v>9</v>
      </c>
      <c r="B1076" s="1" t="s">
        <v>10</v>
      </c>
      <c r="C1076" s="1" t="s">
        <v>244</v>
      </c>
      <c r="D1076" s="1" t="s">
        <v>65</v>
      </c>
      <c r="E1076">
        <v>175</v>
      </c>
      <c r="F1076" s="1" t="s">
        <v>35</v>
      </c>
      <c r="G1076" s="1" t="s">
        <v>14</v>
      </c>
      <c r="H1076" s="1" t="s">
        <v>73</v>
      </c>
      <c r="I1076" s="1" t="s">
        <v>16</v>
      </c>
    </row>
    <row r="1077" spans="1:9" x14ac:dyDescent="0.25">
      <c r="A1077" s="1" t="s">
        <v>9</v>
      </c>
      <c r="B1077" s="1" t="s">
        <v>10</v>
      </c>
      <c r="C1077" s="1" t="s">
        <v>244</v>
      </c>
      <c r="D1077" s="1" t="s">
        <v>66</v>
      </c>
      <c r="E1077">
        <v>175</v>
      </c>
      <c r="F1077" s="1" t="s">
        <v>35</v>
      </c>
      <c r="G1077" s="1" t="s">
        <v>14</v>
      </c>
      <c r="H1077" s="1" t="s">
        <v>73</v>
      </c>
      <c r="I1077" s="1" t="s">
        <v>16</v>
      </c>
    </row>
    <row r="1078" spans="1:9" x14ac:dyDescent="0.25">
      <c r="A1078" s="1" t="s">
        <v>9</v>
      </c>
      <c r="B1078" s="1" t="s">
        <v>10</v>
      </c>
      <c r="C1078" s="1" t="s">
        <v>244</v>
      </c>
      <c r="D1078" s="1" t="s">
        <v>67</v>
      </c>
      <c r="E1078">
        <v>175</v>
      </c>
      <c r="F1078" s="1" t="s">
        <v>35</v>
      </c>
      <c r="G1078" s="1" t="s">
        <v>14</v>
      </c>
      <c r="H1078" s="1" t="s">
        <v>73</v>
      </c>
      <c r="I1078" s="1" t="s">
        <v>16</v>
      </c>
    </row>
    <row r="1079" spans="1:9" x14ac:dyDescent="0.25">
      <c r="A1079" s="1" t="s">
        <v>9</v>
      </c>
      <c r="B1079" s="1" t="s">
        <v>10</v>
      </c>
      <c r="C1079" s="1" t="s">
        <v>244</v>
      </c>
      <c r="D1079" s="1" t="s">
        <v>68</v>
      </c>
      <c r="E1079">
        <v>175</v>
      </c>
      <c r="F1079" s="1" t="s">
        <v>35</v>
      </c>
      <c r="G1079" s="1" t="s">
        <v>14</v>
      </c>
      <c r="H1079" s="1" t="s">
        <v>73</v>
      </c>
      <c r="I1079" s="1" t="s">
        <v>16</v>
      </c>
    </row>
    <row r="1080" spans="1:9" x14ac:dyDescent="0.25">
      <c r="A1080" s="1" t="s">
        <v>9</v>
      </c>
      <c r="B1080" s="1" t="s">
        <v>10</v>
      </c>
      <c r="C1080" s="1" t="s">
        <v>244</v>
      </c>
      <c r="D1080" s="1" t="s">
        <v>69</v>
      </c>
      <c r="E1080">
        <v>325</v>
      </c>
      <c r="F1080" s="1" t="s">
        <v>35</v>
      </c>
      <c r="G1080" s="1" t="s">
        <v>14</v>
      </c>
      <c r="H1080" s="1" t="s">
        <v>73</v>
      </c>
      <c r="I1080" s="1" t="s">
        <v>16</v>
      </c>
    </row>
    <row r="1081" spans="1:9" x14ac:dyDescent="0.25">
      <c r="A1081" s="1" t="s">
        <v>9</v>
      </c>
      <c r="B1081" s="1" t="s">
        <v>10</v>
      </c>
      <c r="C1081" s="1" t="s">
        <v>244</v>
      </c>
      <c r="D1081" s="1" t="s">
        <v>70</v>
      </c>
      <c r="E1081">
        <v>325</v>
      </c>
      <c r="F1081" s="1" t="s">
        <v>35</v>
      </c>
      <c r="G1081" s="1" t="s">
        <v>14</v>
      </c>
      <c r="H1081" s="1" t="s">
        <v>73</v>
      </c>
      <c r="I1081" s="1" t="s">
        <v>16</v>
      </c>
    </row>
    <row r="1082" spans="1:9" x14ac:dyDescent="0.25">
      <c r="A1082" s="1" t="s">
        <v>9</v>
      </c>
      <c r="B1082" s="1" t="s">
        <v>10</v>
      </c>
      <c r="C1082" s="1" t="s">
        <v>245</v>
      </c>
      <c r="D1082" s="1" t="s">
        <v>12</v>
      </c>
      <c r="E1082">
        <v>325</v>
      </c>
      <c r="F1082" s="1" t="s">
        <v>39</v>
      </c>
      <c r="G1082" s="1" t="s">
        <v>14</v>
      </c>
      <c r="H1082" s="1" t="s">
        <v>73</v>
      </c>
      <c r="I1082" s="1" t="s">
        <v>16</v>
      </c>
    </row>
    <row r="1083" spans="1:9" x14ac:dyDescent="0.25">
      <c r="A1083" s="1" t="s">
        <v>9</v>
      </c>
      <c r="B1083" s="1" t="s">
        <v>10</v>
      </c>
      <c r="C1083" s="1" t="s">
        <v>245</v>
      </c>
      <c r="D1083" s="1" t="s">
        <v>17</v>
      </c>
      <c r="E1083">
        <v>325</v>
      </c>
      <c r="F1083" s="1" t="s">
        <v>39</v>
      </c>
      <c r="G1083" s="1" t="s">
        <v>14</v>
      </c>
      <c r="H1083" s="1" t="s">
        <v>73</v>
      </c>
      <c r="I1083" s="1" t="s">
        <v>16</v>
      </c>
    </row>
    <row r="1084" spans="1:9" x14ac:dyDescent="0.25">
      <c r="A1084" s="1" t="s">
        <v>9</v>
      </c>
      <c r="B1084" s="1" t="s">
        <v>10</v>
      </c>
      <c r="C1084" s="1" t="s">
        <v>245</v>
      </c>
      <c r="D1084" s="1" t="s">
        <v>18</v>
      </c>
      <c r="E1084">
        <v>325</v>
      </c>
      <c r="F1084" s="1" t="s">
        <v>39</v>
      </c>
      <c r="G1084" s="1" t="s">
        <v>14</v>
      </c>
      <c r="H1084" s="1" t="s">
        <v>73</v>
      </c>
      <c r="I1084" s="1" t="s">
        <v>16</v>
      </c>
    </row>
    <row r="1085" spans="1:9" x14ac:dyDescent="0.25">
      <c r="A1085" s="1" t="s">
        <v>9</v>
      </c>
      <c r="B1085" s="1" t="s">
        <v>10</v>
      </c>
      <c r="C1085" s="1" t="s">
        <v>245</v>
      </c>
      <c r="D1085" s="1" t="s">
        <v>19</v>
      </c>
      <c r="E1085">
        <v>325</v>
      </c>
      <c r="F1085" s="1" t="s">
        <v>39</v>
      </c>
      <c r="G1085" s="1" t="s">
        <v>14</v>
      </c>
      <c r="H1085" s="1" t="s">
        <v>73</v>
      </c>
      <c r="I1085" s="1" t="s">
        <v>16</v>
      </c>
    </row>
    <row r="1086" spans="1:9" x14ac:dyDescent="0.25">
      <c r="A1086" s="1" t="s">
        <v>9</v>
      </c>
      <c r="B1086" s="1" t="s">
        <v>10</v>
      </c>
      <c r="C1086" s="1" t="s">
        <v>245</v>
      </c>
      <c r="D1086" s="1" t="s">
        <v>20</v>
      </c>
      <c r="E1086">
        <v>175</v>
      </c>
      <c r="F1086" s="1" t="s">
        <v>39</v>
      </c>
      <c r="G1086" s="1" t="s">
        <v>14</v>
      </c>
      <c r="H1086" s="1" t="s">
        <v>73</v>
      </c>
      <c r="I1086" s="1" t="s">
        <v>16</v>
      </c>
    </row>
    <row r="1087" spans="1:9" x14ac:dyDescent="0.25">
      <c r="A1087" s="1" t="s">
        <v>9</v>
      </c>
      <c r="B1087" s="1" t="s">
        <v>10</v>
      </c>
      <c r="C1087" s="1" t="s">
        <v>245</v>
      </c>
      <c r="D1087" s="1" t="s">
        <v>21</v>
      </c>
      <c r="E1087">
        <v>325</v>
      </c>
      <c r="F1087" s="1" t="s">
        <v>39</v>
      </c>
      <c r="G1087" s="1" t="s">
        <v>14</v>
      </c>
      <c r="H1087" s="1" t="s">
        <v>73</v>
      </c>
      <c r="I1087" s="1" t="s">
        <v>16</v>
      </c>
    </row>
    <row r="1088" spans="1:9" x14ac:dyDescent="0.25">
      <c r="A1088" s="1" t="s">
        <v>9</v>
      </c>
      <c r="B1088" s="1" t="s">
        <v>10</v>
      </c>
      <c r="C1088" s="1" t="s">
        <v>245</v>
      </c>
      <c r="D1088" s="1" t="s">
        <v>22</v>
      </c>
      <c r="E1088">
        <v>675</v>
      </c>
      <c r="F1088" s="1" t="s">
        <v>39</v>
      </c>
      <c r="G1088" s="1" t="s">
        <v>14</v>
      </c>
      <c r="H1088" s="1" t="s">
        <v>73</v>
      </c>
      <c r="I1088" s="1" t="s">
        <v>16</v>
      </c>
    </row>
    <row r="1089" spans="1:9" x14ac:dyDescent="0.25">
      <c r="A1089" s="1" t="s">
        <v>9</v>
      </c>
      <c r="B1089" s="1" t="s">
        <v>10</v>
      </c>
      <c r="C1089" s="1" t="s">
        <v>245</v>
      </c>
      <c r="D1089" s="1" t="s">
        <v>23</v>
      </c>
      <c r="E1089">
        <v>325</v>
      </c>
      <c r="F1089" s="1" t="s">
        <v>39</v>
      </c>
      <c r="G1089" s="1" t="s">
        <v>14</v>
      </c>
      <c r="H1089" s="1" t="s">
        <v>73</v>
      </c>
      <c r="I1089" s="1" t="s">
        <v>16</v>
      </c>
    </row>
    <row r="1090" spans="1:9" x14ac:dyDescent="0.25">
      <c r="A1090" s="1" t="s">
        <v>9</v>
      </c>
      <c r="B1090" s="1" t="s">
        <v>10</v>
      </c>
      <c r="C1090" s="1" t="s">
        <v>245</v>
      </c>
      <c r="D1090" s="1" t="s">
        <v>24</v>
      </c>
      <c r="E1090">
        <v>675</v>
      </c>
      <c r="F1090" s="1" t="s">
        <v>39</v>
      </c>
      <c r="G1090" s="1" t="s">
        <v>14</v>
      </c>
      <c r="H1090" s="1" t="s">
        <v>73</v>
      </c>
      <c r="I1090" s="1" t="s">
        <v>16</v>
      </c>
    </row>
    <row r="1091" spans="1:9" x14ac:dyDescent="0.25">
      <c r="A1091" s="1" t="s">
        <v>9</v>
      </c>
      <c r="B1091" s="1" t="s">
        <v>10</v>
      </c>
      <c r="C1091" s="1" t="s">
        <v>245</v>
      </c>
      <c r="D1091" s="1" t="s">
        <v>25</v>
      </c>
      <c r="E1091">
        <v>675</v>
      </c>
      <c r="F1091" s="1" t="s">
        <v>39</v>
      </c>
      <c r="G1091" s="1" t="s">
        <v>14</v>
      </c>
      <c r="H1091" s="1" t="s">
        <v>73</v>
      </c>
      <c r="I1091" s="1" t="s">
        <v>16</v>
      </c>
    </row>
    <row r="1092" spans="1:9" x14ac:dyDescent="0.25">
      <c r="A1092" s="1" t="s">
        <v>9</v>
      </c>
      <c r="B1092" s="1" t="s">
        <v>10</v>
      </c>
      <c r="C1092" s="1" t="s">
        <v>245</v>
      </c>
      <c r="D1092" s="1" t="s">
        <v>26</v>
      </c>
      <c r="E1092">
        <v>675</v>
      </c>
      <c r="F1092" s="1" t="s">
        <v>39</v>
      </c>
      <c r="G1092" s="1" t="s">
        <v>14</v>
      </c>
      <c r="H1092" s="1" t="s">
        <v>73</v>
      </c>
      <c r="I1092" s="1" t="s">
        <v>16</v>
      </c>
    </row>
    <row r="1093" spans="1:9" x14ac:dyDescent="0.25">
      <c r="A1093" s="1" t="s">
        <v>9</v>
      </c>
      <c r="B1093" s="1" t="s">
        <v>10</v>
      </c>
      <c r="C1093" s="1" t="s">
        <v>245</v>
      </c>
      <c r="D1093" s="1" t="s">
        <v>27</v>
      </c>
      <c r="E1093">
        <v>325</v>
      </c>
      <c r="F1093" s="1" t="s">
        <v>39</v>
      </c>
      <c r="G1093" s="1" t="s">
        <v>14</v>
      </c>
      <c r="H1093" s="1" t="s">
        <v>73</v>
      </c>
      <c r="I1093" s="1" t="s">
        <v>16</v>
      </c>
    </row>
    <row r="1094" spans="1:9" x14ac:dyDescent="0.25">
      <c r="A1094" s="1" t="s">
        <v>9</v>
      </c>
      <c r="B1094" s="1" t="s">
        <v>10</v>
      </c>
      <c r="C1094" s="1" t="s">
        <v>245</v>
      </c>
      <c r="D1094" s="1" t="s">
        <v>28</v>
      </c>
      <c r="E1094">
        <v>325</v>
      </c>
      <c r="F1094" s="1" t="s">
        <v>39</v>
      </c>
      <c r="G1094" s="1" t="s">
        <v>14</v>
      </c>
      <c r="H1094" s="1" t="s">
        <v>73</v>
      </c>
      <c r="I1094" s="1" t="s">
        <v>16</v>
      </c>
    </row>
    <row r="1095" spans="1:9" x14ac:dyDescent="0.25">
      <c r="A1095" s="1" t="s">
        <v>9</v>
      </c>
      <c r="B1095" s="1" t="s">
        <v>10</v>
      </c>
      <c r="C1095" s="1" t="s">
        <v>245</v>
      </c>
      <c r="D1095" s="1" t="s">
        <v>29</v>
      </c>
      <c r="E1095">
        <v>325</v>
      </c>
      <c r="F1095" s="1" t="s">
        <v>39</v>
      </c>
      <c r="G1095" s="1" t="s">
        <v>14</v>
      </c>
      <c r="H1095" s="1" t="s">
        <v>73</v>
      </c>
      <c r="I1095" s="1" t="s">
        <v>16</v>
      </c>
    </row>
    <row r="1096" spans="1:9" x14ac:dyDescent="0.25">
      <c r="A1096" s="1" t="s">
        <v>9</v>
      </c>
      <c r="B1096" s="1" t="s">
        <v>10</v>
      </c>
      <c r="C1096" s="1" t="s">
        <v>245</v>
      </c>
      <c r="D1096" s="1" t="s">
        <v>30</v>
      </c>
      <c r="E1096">
        <v>175</v>
      </c>
      <c r="F1096" s="1" t="s">
        <v>39</v>
      </c>
      <c r="G1096" s="1" t="s">
        <v>14</v>
      </c>
      <c r="H1096" s="1" t="s">
        <v>73</v>
      </c>
      <c r="I1096" s="1" t="s">
        <v>16</v>
      </c>
    </row>
    <row r="1097" spans="1:9" x14ac:dyDescent="0.25">
      <c r="A1097" s="1" t="s">
        <v>9</v>
      </c>
      <c r="B1097" s="1" t="s">
        <v>10</v>
      </c>
      <c r="C1097" s="1" t="s">
        <v>245</v>
      </c>
      <c r="D1097" s="1" t="s">
        <v>31</v>
      </c>
      <c r="E1097">
        <v>325</v>
      </c>
      <c r="F1097" s="1" t="s">
        <v>39</v>
      </c>
      <c r="G1097" s="1" t="s">
        <v>14</v>
      </c>
      <c r="H1097" s="1" t="s">
        <v>73</v>
      </c>
      <c r="I1097" s="1" t="s">
        <v>16</v>
      </c>
    </row>
    <row r="1098" spans="1:9" x14ac:dyDescent="0.25">
      <c r="A1098" s="1" t="s">
        <v>9</v>
      </c>
      <c r="B1098" s="1" t="s">
        <v>10</v>
      </c>
      <c r="C1098" s="1" t="s">
        <v>245</v>
      </c>
      <c r="D1098" s="1" t="s">
        <v>32</v>
      </c>
      <c r="E1098">
        <v>325</v>
      </c>
      <c r="F1098" s="1" t="s">
        <v>39</v>
      </c>
      <c r="G1098" s="1" t="s">
        <v>14</v>
      </c>
      <c r="H1098" s="1" t="s">
        <v>73</v>
      </c>
      <c r="I1098" s="1" t="s">
        <v>16</v>
      </c>
    </row>
    <row r="1099" spans="1:9" x14ac:dyDescent="0.25">
      <c r="A1099" s="1" t="s">
        <v>9</v>
      </c>
      <c r="B1099" s="1" t="s">
        <v>10</v>
      </c>
      <c r="C1099" s="1" t="s">
        <v>245</v>
      </c>
      <c r="D1099" s="1" t="s">
        <v>33</v>
      </c>
      <c r="E1099">
        <v>675</v>
      </c>
      <c r="F1099" s="1" t="s">
        <v>39</v>
      </c>
      <c r="G1099" s="1" t="s">
        <v>14</v>
      </c>
      <c r="H1099" s="1" t="s">
        <v>73</v>
      </c>
      <c r="I1099" s="1" t="s">
        <v>16</v>
      </c>
    </row>
    <row r="1100" spans="1:9" x14ac:dyDescent="0.25">
      <c r="A1100" s="1" t="s">
        <v>9</v>
      </c>
      <c r="B1100" s="1" t="s">
        <v>10</v>
      </c>
      <c r="C1100" s="1" t="s">
        <v>245</v>
      </c>
      <c r="D1100" s="1" t="s">
        <v>34</v>
      </c>
      <c r="E1100">
        <v>175</v>
      </c>
      <c r="F1100" s="1" t="s">
        <v>39</v>
      </c>
      <c r="G1100" s="1" t="s">
        <v>14</v>
      </c>
      <c r="H1100" s="1" t="s">
        <v>73</v>
      </c>
      <c r="I1100" s="1" t="s">
        <v>16</v>
      </c>
    </row>
    <row r="1101" spans="1:9" x14ac:dyDescent="0.25">
      <c r="A1101" s="1" t="s">
        <v>9</v>
      </c>
      <c r="B1101" s="1" t="s">
        <v>10</v>
      </c>
      <c r="C1101" s="1" t="s">
        <v>245</v>
      </c>
      <c r="D1101" s="1" t="s">
        <v>35</v>
      </c>
      <c r="E1101">
        <v>175</v>
      </c>
      <c r="F1101" s="1" t="s">
        <v>39</v>
      </c>
      <c r="G1101" s="1" t="s">
        <v>14</v>
      </c>
      <c r="H1101" s="1" t="s">
        <v>73</v>
      </c>
      <c r="I1101" s="1" t="s">
        <v>16</v>
      </c>
    </row>
    <row r="1102" spans="1:9" x14ac:dyDescent="0.25">
      <c r="A1102" s="1" t="s">
        <v>9</v>
      </c>
      <c r="B1102" s="1" t="s">
        <v>10</v>
      </c>
      <c r="C1102" s="1" t="s">
        <v>245</v>
      </c>
      <c r="D1102" s="1" t="s">
        <v>36</v>
      </c>
      <c r="E1102">
        <v>325</v>
      </c>
      <c r="F1102" s="1" t="s">
        <v>39</v>
      </c>
      <c r="G1102" s="1" t="s">
        <v>14</v>
      </c>
      <c r="H1102" s="1" t="s">
        <v>73</v>
      </c>
      <c r="I1102" s="1" t="s">
        <v>16</v>
      </c>
    </row>
    <row r="1103" spans="1:9" x14ac:dyDescent="0.25">
      <c r="A1103" s="1" t="s">
        <v>9</v>
      </c>
      <c r="B1103" s="1" t="s">
        <v>10</v>
      </c>
      <c r="C1103" s="1" t="s">
        <v>245</v>
      </c>
      <c r="D1103" s="1" t="s">
        <v>37</v>
      </c>
      <c r="E1103">
        <v>675</v>
      </c>
      <c r="F1103" s="1" t="s">
        <v>39</v>
      </c>
      <c r="G1103" s="1" t="s">
        <v>14</v>
      </c>
      <c r="H1103" s="1" t="s">
        <v>73</v>
      </c>
      <c r="I1103" s="1" t="s">
        <v>16</v>
      </c>
    </row>
    <row r="1104" spans="1:9" x14ac:dyDescent="0.25">
      <c r="A1104" s="1" t="s">
        <v>9</v>
      </c>
      <c r="B1104" s="1" t="s">
        <v>10</v>
      </c>
      <c r="C1104" s="1" t="s">
        <v>245</v>
      </c>
      <c r="D1104" s="1" t="s">
        <v>38</v>
      </c>
      <c r="E1104">
        <v>325</v>
      </c>
      <c r="F1104" s="1" t="s">
        <v>39</v>
      </c>
      <c r="G1104" s="1" t="s">
        <v>14</v>
      </c>
      <c r="H1104" s="1" t="s">
        <v>73</v>
      </c>
      <c r="I1104" s="1" t="s">
        <v>16</v>
      </c>
    </row>
    <row r="1105" spans="1:9" x14ac:dyDescent="0.25">
      <c r="A1105" s="1" t="s">
        <v>9</v>
      </c>
      <c r="B1105" s="1" t="s">
        <v>10</v>
      </c>
      <c r="C1105" s="1" t="s">
        <v>245</v>
      </c>
      <c r="D1105" s="1" t="s">
        <v>39</v>
      </c>
      <c r="E1105">
        <v>325</v>
      </c>
      <c r="F1105" s="1" t="s">
        <v>39</v>
      </c>
      <c r="G1105" s="1" t="s">
        <v>14</v>
      </c>
      <c r="H1105" s="1" t="s">
        <v>73</v>
      </c>
      <c r="I1105" s="1" t="s">
        <v>16</v>
      </c>
    </row>
    <row r="1106" spans="1:9" x14ac:dyDescent="0.25">
      <c r="A1106" s="1" t="s">
        <v>9</v>
      </c>
      <c r="B1106" s="1" t="s">
        <v>10</v>
      </c>
      <c r="C1106" s="1" t="s">
        <v>245</v>
      </c>
      <c r="D1106" s="1" t="s">
        <v>40</v>
      </c>
      <c r="E1106">
        <v>675</v>
      </c>
      <c r="F1106" s="1" t="s">
        <v>39</v>
      </c>
      <c r="G1106" s="1" t="s">
        <v>14</v>
      </c>
      <c r="H1106" s="1" t="s">
        <v>73</v>
      </c>
      <c r="I1106" s="1" t="s">
        <v>16</v>
      </c>
    </row>
    <row r="1107" spans="1:9" x14ac:dyDescent="0.25">
      <c r="A1107" s="1" t="s">
        <v>9</v>
      </c>
      <c r="B1107" s="1" t="s">
        <v>10</v>
      </c>
      <c r="C1107" s="1" t="s">
        <v>245</v>
      </c>
      <c r="D1107" s="1" t="s">
        <v>41</v>
      </c>
      <c r="E1107">
        <v>675</v>
      </c>
      <c r="F1107" s="1" t="s">
        <v>39</v>
      </c>
      <c r="G1107" s="1" t="s">
        <v>14</v>
      </c>
      <c r="H1107" s="1" t="s">
        <v>73</v>
      </c>
      <c r="I1107" s="1" t="s">
        <v>16</v>
      </c>
    </row>
    <row r="1108" spans="1:9" x14ac:dyDescent="0.25">
      <c r="A1108" s="1" t="s">
        <v>9</v>
      </c>
      <c r="B1108" s="1" t="s">
        <v>10</v>
      </c>
      <c r="C1108" s="1" t="s">
        <v>245</v>
      </c>
      <c r="D1108" s="1" t="s">
        <v>42</v>
      </c>
      <c r="E1108">
        <v>325</v>
      </c>
      <c r="F1108" s="1" t="s">
        <v>39</v>
      </c>
      <c r="G1108" s="1" t="s">
        <v>14</v>
      </c>
      <c r="H1108" s="1" t="s">
        <v>73</v>
      </c>
      <c r="I1108" s="1" t="s">
        <v>16</v>
      </c>
    </row>
    <row r="1109" spans="1:9" x14ac:dyDescent="0.25">
      <c r="A1109" s="1" t="s">
        <v>9</v>
      </c>
      <c r="B1109" s="1" t="s">
        <v>10</v>
      </c>
      <c r="C1109" s="1" t="s">
        <v>245</v>
      </c>
      <c r="D1109" s="1" t="s">
        <v>43</v>
      </c>
      <c r="E1109">
        <v>325</v>
      </c>
      <c r="F1109" s="1" t="s">
        <v>39</v>
      </c>
      <c r="G1109" s="1" t="s">
        <v>14</v>
      </c>
      <c r="H1109" s="1" t="s">
        <v>73</v>
      </c>
      <c r="I1109" s="1" t="s">
        <v>16</v>
      </c>
    </row>
    <row r="1110" spans="1:9" x14ac:dyDescent="0.25">
      <c r="A1110" s="1" t="s">
        <v>9</v>
      </c>
      <c r="B1110" s="1" t="s">
        <v>10</v>
      </c>
      <c r="C1110" s="1" t="s">
        <v>245</v>
      </c>
      <c r="D1110" s="1" t="s">
        <v>45</v>
      </c>
      <c r="E1110">
        <v>325</v>
      </c>
      <c r="F1110" s="1" t="s">
        <v>39</v>
      </c>
      <c r="G1110" s="1" t="s">
        <v>14</v>
      </c>
      <c r="H1110" s="1" t="s">
        <v>73</v>
      </c>
      <c r="I1110" s="1" t="s">
        <v>16</v>
      </c>
    </row>
    <row r="1111" spans="1:9" x14ac:dyDescent="0.25">
      <c r="A1111" s="1" t="s">
        <v>9</v>
      </c>
      <c r="B1111" s="1" t="s">
        <v>10</v>
      </c>
      <c r="C1111" s="1" t="s">
        <v>245</v>
      </c>
      <c r="D1111" s="1" t="s">
        <v>46</v>
      </c>
      <c r="E1111">
        <v>325</v>
      </c>
      <c r="F1111" s="1" t="s">
        <v>39</v>
      </c>
      <c r="G1111" s="1" t="s">
        <v>14</v>
      </c>
      <c r="H1111" s="1" t="s">
        <v>73</v>
      </c>
      <c r="I1111" s="1" t="s">
        <v>16</v>
      </c>
    </row>
    <row r="1112" spans="1:9" x14ac:dyDescent="0.25">
      <c r="A1112" s="1" t="s">
        <v>9</v>
      </c>
      <c r="B1112" s="1" t="s">
        <v>10</v>
      </c>
      <c r="C1112" s="1" t="s">
        <v>245</v>
      </c>
      <c r="D1112" s="1" t="s">
        <v>47</v>
      </c>
      <c r="E1112">
        <v>325</v>
      </c>
      <c r="F1112" s="1" t="s">
        <v>39</v>
      </c>
      <c r="G1112" s="1" t="s">
        <v>14</v>
      </c>
      <c r="H1112" s="1" t="s">
        <v>73</v>
      </c>
      <c r="I1112" s="1" t="s">
        <v>16</v>
      </c>
    </row>
    <row r="1113" spans="1:9" x14ac:dyDescent="0.25">
      <c r="A1113" s="1" t="s">
        <v>9</v>
      </c>
      <c r="B1113" s="1" t="s">
        <v>10</v>
      </c>
      <c r="C1113" s="1" t="s">
        <v>245</v>
      </c>
      <c r="D1113" s="1" t="s">
        <v>48</v>
      </c>
      <c r="E1113">
        <v>175</v>
      </c>
      <c r="F1113" s="1" t="s">
        <v>39</v>
      </c>
      <c r="G1113" s="1" t="s">
        <v>14</v>
      </c>
      <c r="H1113" s="1" t="s">
        <v>73</v>
      </c>
      <c r="I1113" s="1" t="s">
        <v>16</v>
      </c>
    </row>
    <row r="1114" spans="1:9" x14ac:dyDescent="0.25">
      <c r="A1114" s="1" t="s">
        <v>9</v>
      </c>
      <c r="B1114" s="1" t="s">
        <v>10</v>
      </c>
      <c r="C1114" s="1" t="s">
        <v>245</v>
      </c>
      <c r="D1114" s="1" t="s">
        <v>49</v>
      </c>
      <c r="E1114">
        <v>325</v>
      </c>
      <c r="F1114" s="1" t="s">
        <v>39</v>
      </c>
      <c r="G1114" s="1" t="s">
        <v>14</v>
      </c>
      <c r="H1114" s="1" t="s">
        <v>73</v>
      </c>
      <c r="I1114" s="1" t="s">
        <v>16</v>
      </c>
    </row>
    <row r="1115" spans="1:9" x14ac:dyDescent="0.25">
      <c r="A1115" s="1" t="s">
        <v>9</v>
      </c>
      <c r="B1115" s="1" t="s">
        <v>10</v>
      </c>
      <c r="C1115" s="1" t="s">
        <v>245</v>
      </c>
      <c r="D1115" s="1" t="s">
        <v>50</v>
      </c>
      <c r="E1115">
        <v>675</v>
      </c>
      <c r="F1115" s="1" t="s">
        <v>39</v>
      </c>
      <c r="G1115" s="1" t="s">
        <v>14</v>
      </c>
      <c r="H1115" s="1" t="s">
        <v>73</v>
      </c>
      <c r="I1115" s="1" t="s">
        <v>16</v>
      </c>
    </row>
    <row r="1116" spans="1:9" x14ac:dyDescent="0.25">
      <c r="A1116" s="1" t="s">
        <v>9</v>
      </c>
      <c r="B1116" s="1" t="s">
        <v>10</v>
      </c>
      <c r="C1116" s="1" t="s">
        <v>245</v>
      </c>
      <c r="D1116" s="1" t="s">
        <v>51</v>
      </c>
      <c r="E1116">
        <v>325</v>
      </c>
      <c r="F1116" s="1" t="s">
        <v>39</v>
      </c>
      <c r="G1116" s="1" t="s">
        <v>14</v>
      </c>
      <c r="H1116" s="1" t="s">
        <v>73</v>
      </c>
      <c r="I1116" s="1" t="s">
        <v>16</v>
      </c>
    </row>
    <row r="1117" spans="1:9" x14ac:dyDescent="0.25">
      <c r="A1117" s="1" t="s">
        <v>9</v>
      </c>
      <c r="B1117" s="1" t="s">
        <v>10</v>
      </c>
      <c r="C1117" s="1" t="s">
        <v>245</v>
      </c>
      <c r="D1117" s="1" t="s">
        <v>52</v>
      </c>
      <c r="E1117">
        <v>675</v>
      </c>
      <c r="F1117" s="1" t="s">
        <v>39</v>
      </c>
      <c r="G1117" s="1" t="s">
        <v>14</v>
      </c>
      <c r="H1117" s="1" t="s">
        <v>73</v>
      </c>
      <c r="I1117" s="1" t="s">
        <v>16</v>
      </c>
    </row>
    <row r="1118" spans="1:9" x14ac:dyDescent="0.25">
      <c r="A1118" s="1" t="s">
        <v>9</v>
      </c>
      <c r="B1118" s="1" t="s">
        <v>10</v>
      </c>
      <c r="C1118" s="1" t="s">
        <v>245</v>
      </c>
      <c r="D1118" s="1" t="s">
        <v>53</v>
      </c>
      <c r="E1118">
        <v>675</v>
      </c>
      <c r="F1118" s="1" t="s">
        <v>39</v>
      </c>
      <c r="G1118" s="1" t="s">
        <v>14</v>
      </c>
      <c r="H1118" s="1" t="s">
        <v>73</v>
      </c>
      <c r="I1118" s="1" t="s">
        <v>16</v>
      </c>
    </row>
    <row r="1119" spans="1:9" x14ac:dyDescent="0.25">
      <c r="A1119" s="1" t="s">
        <v>9</v>
      </c>
      <c r="B1119" s="1" t="s">
        <v>10</v>
      </c>
      <c r="C1119" s="1" t="s">
        <v>245</v>
      </c>
      <c r="D1119" s="1" t="s">
        <v>54</v>
      </c>
      <c r="E1119">
        <v>675</v>
      </c>
      <c r="F1119" s="1" t="s">
        <v>39</v>
      </c>
      <c r="G1119" s="1" t="s">
        <v>14</v>
      </c>
      <c r="H1119" s="1" t="s">
        <v>73</v>
      </c>
      <c r="I1119" s="1" t="s">
        <v>16</v>
      </c>
    </row>
    <row r="1120" spans="1:9" x14ac:dyDescent="0.25">
      <c r="A1120" s="1" t="s">
        <v>9</v>
      </c>
      <c r="B1120" s="1" t="s">
        <v>10</v>
      </c>
      <c r="C1120" s="1" t="s">
        <v>245</v>
      </c>
      <c r="D1120" s="1" t="s">
        <v>55</v>
      </c>
      <c r="E1120">
        <v>325</v>
      </c>
      <c r="F1120" s="1" t="s">
        <v>39</v>
      </c>
      <c r="G1120" s="1" t="s">
        <v>14</v>
      </c>
      <c r="H1120" s="1" t="s">
        <v>73</v>
      </c>
      <c r="I1120" s="1" t="s">
        <v>16</v>
      </c>
    </row>
    <row r="1121" spans="1:9" x14ac:dyDescent="0.25">
      <c r="A1121" s="1" t="s">
        <v>9</v>
      </c>
      <c r="B1121" s="1" t="s">
        <v>10</v>
      </c>
      <c r="C1121" s="1" t="s">
        <v>245</v>
      </c>
      <c r="D1121" s="1" t="s">
        <v>56</v>
      </c>
      <c r="E1121">
        <v>325</v>
      </c>
      <c r="F1121" s="1" t="s">
        <v>39</v>
      </c>
      <c r="G1121" s="1" t="s">
        <v>14</v>
      </c>
      <c r="H1121" s="1" t="s">
        <v>73</v>
      </c>
      <c r="I1121" s="1" t="s">
        <v>16</v>
      </c>
    </row>
    <row r="1122" spans="1:9" x14ac:dyDescent="0.25">
      <c r="A1122" s="1" t="s">
        <v>9</v>
      </c>
      <c r="B1122" s="1" t="s">
        <v>10</v>
      </c>
      <c r="C1122" s="1" t="s">
        <v>245</v>
      </c>
      <c r="D1122" s="1" t="s">
        <v>57</v>
      </c>
      <c r="E1122">
        <v>325</v>
      </c>
      <c r="F1122" s="1" t="s">
        <v>39</v>
      </c>
      <c r="G1122" s="1" t="s">
        <v>14</v>
      </c>
      <c r="H1122" s="1" t="s">
        <v>73</v>
      </c>
      <c r="I1122" s="1" t="s">
        <v>16</v>
      </c>
    </row>
    <row r="1123" spans="1:9" x14ac:dyDescent="0.25">
      <c r="A1123" s="1" t="s">
        <v>9</v>
      </c>
      <c r="B1123" s="1" t="s">
        <v>10</v>
      </c>
      <c r="C1123" s="1" t="s">
        <v>245</v>
      </c>
      <c r="D1123" s="1" t="s">
        <v>58</v>
      </c>
      <c r="E1123">
        <v>175</v>
      </c>
      <c r="F1123" s="1" t="s">
        <v>39</v>
      </c>
      <c r="G1123" s="1" t="s">
        <v>14</v>
      </c>
      <c r="H1123" s="1" t="s">
        <v>73</v>
      </c>
      <c r="I1123" s="1" t="s">
        <v>16</v>
      </c>
    </row>
    <row r="1124" spans="1:9" x14ac:dyDescent="0.25">
      <c r="A1124" s="1" t="s">
        <v>9</v>
      </c>
      <c r="B1124" s="1" t="s">
        <v>10</v>
      </c>
      <c r="C1124" s="1" t="s">
        <v>245</v>
      </c>
      <c r="D1124" s="1" t="s">
        <v>59</v>
      </c>
      <c r="E1124">
        <v>325</v>
      </c>
      <c r="F1124" s="1" t="s">
        <v>39</v>
      </c>
      <c r="G1124" s="1" t="s">
        <v>14</v>
      </c>
      <c r="H1124" s="1" t="s">
        <v>73</v>
      </c>
      <c r="I1124" s="1" t="s">
        <v>16</v>
      </c>
    </row>
    <row r="1125" spans="1:9" x14ac:dyDescent="0.25">
      <c r="A1125" s="1" t="s">
        <v>9</v>
      </c>
      <c r="B1125" s="1" t="s">
        <v>10</v>
      </c>
      <c r="C1125" s="1" t="s">
        <v>245</v>
      </c>
      <c r="D1125" s="1" t="s">
        <v>60</v>
      </c>
      <c r="E1125">
        <v>325</v>
      </c>
      <c r="F1125" s="1" t="s">
        <v>39</v>
      </c>
      <c r="G1125" s="1" t="s">
        <v>14</v>
      </c>
      <c r="H1125" s="1" t="s">
        <v>73</v>
      </c>
      <c r="I1125" s="1" t="s">
        <v>16</v>
      </c>
    </row>
    <row r="1126" spans="1:9" x14ac:dyDescent="0.25">
      <c r="A1126" s="1" t="s">
        <v>9</v>
      </c>
      <c r="B1126" s="1" t="s">
        <v>10</v>
      </c>
      <c r="C1126" s="1" t="s">
        <v>245</v>
      </c>
      <c r="D1126" s="1" t="s">
        <v>61</v>
      </c>
      <c r="E1126">
        <v>675</v>
      </c>
      <c r="F1126" s="1" t="s">
        <v>39</v>
      </c>
      <c r="G1126" s="1" t="s">
        <v>14</v>
      </c>
      <c r="H1126" s="1" t="s">
        <v>73</v>
      </c>
      <c r="I1126" s="1" t="s">
        <v>16</v>
      </c>
    </row>
    <row r="1127" spans="1:9" x14ac:dyDescent="0.25">
      <c r="A1127" s="1" t="s">
        <v>9</v>
      </c>
      <c r="B1127" s="1" t="s">
        <v>10</v>
      </c>
      <c r="C1127" s="1" t="s">
        <v>245</v>
      </c>
      <c r="D1127" s="1" t="s">
        <v>62</v>
      </c>
      <c r="E1127">
        <v>175</v>
      </c>
      <c r="F1127" s="1" t="s">
        <v>39</v>
      </c>
      <c r="G1127" s="1" t="s">
        <v>14</v>
      </c>
      <c r="H1127" s="1" t="s">
        <v>73</v>
      </c>
      <c r="I1127" s="1" t="s">
        <v>16</v>
      </c>
    </row>
    <row r="1128" spans="1:9" x14ac:dyDescent="0.25">
      <c r="A1128" s="1" t="s">
        <v>9</v>
      </c>
      <c r="B1128" s="1" t="s">
        <v>10</v>
      </c>
      <c r="C1128" s="1" t="s">
        <v>245</v>
      </c>
      <c r="D1128" s="1" t="s">
        <v>63</v>
      </c>
      <c r="E1128">
        <v>175</v>
      </c>
      <c r="F1128" s="1" t="s">
        <v>39</v>
      </c>
      <c r="G1128" s="1" t="s">
        <v>14</v>
      </c>
      <c r="H1128" s="1" t="s">
        <v>73</v>
      </c>
      <c r="I1128" s="1" t="s">
        <v>16</v>
      </c>
    </row>
    <row r="1129" spans="1:9" x14ac:dyDescent="0.25">
      <c r="A1129" s="1" t="s">
        <v>9</v>
      </c>
      <c r="B1129" s="1" t="s">
        <v>10</v>
      </c>
      <c r="C1129" s="1" t="s">
        <v>245</v>
      </c>
      <c r="D1129" s="1" t="s">
        <v>64</v>
      </c>
      <c r="E1129">
        <v>325</v>
      </c>
      <c r="F1129" s="1" t="s">
        <v>39</v>
      </c>
      <c r="G1129" s="1" t="s">
        <v>14</v>
      </c>
      <c r="H1129" s="1" t="s">
        <v>73</v>
      </c>
      <c r="I1129" s="1" t="s">
        <v>16</v>
      </c>
    </row>
    <row r="1130" spans="1:9" x14ac:dyDescent="0.25">
      <c r="A1130" s="1" t="s">
        <v>9</v>
      </c>
      <c r="B1130" s="1" t="s">
        <v>10</v>
      </c>
      <c r="C1130" s="1" t="s">
        <v>245</v>
      </c>
      <c r="D1130" s="1" t="s">
        <v>65</v>
      </c>
      <c r="E1130">
        <v>675</v>
      </c>
      <c r="F1130" s="1" t="s">
        <v>39</v>
      </c>
      <c r="G1130" s="1" t="s">
        <v>14</v>
      </c>
      <c r="H1130" s="1" t="s">
        <v>73</v>
      </c>
      <c r="I1130" s="1" t="s">
        <v>16</v>
      </c>
    </row>
    <row r="1131" spans="1:9" x14ac:dyDescent="0.25">
      <c r="A1131" s="1" t="s">
        <v>9</v>
      </c>
      <c r="B1131" s="1" t="s">
        <v>10</v>
      </c>
      <c r="C1131" s="1" t="s">
        <v>245</v>
      </c>
      <c r="D1131" s="1" t="s">
        <v>66</v>
      </c>
      <c r="E1131">
        <v>325</v>
      </c>
      <c r="F1131" s="1" t="s">
        <v>39</v>
      </c>
      <c r="G1131" s="1" t="s">
        <v>14</v>
      </c>
      <c r="H1131" s="1" t="s">
        <v>73</v>
      </c>
      <c r="I1131" s="1" t="s">
        <v>16</v>
      </c>
    </row>
    <row r="1132" spans="1:9" x14ac:dyDescent="0.25">
      <c r="A1132" s="1" t="s">
        <v>9</v>
      </c>
      <c r="B1132" s="1" t="s">
        <v>10</v>
      </c>
      <c r="C1132" s="1" t="s">
        <v>245</v>
      </c>
      <c r="D1132" s="1" t="s">
        <v>67</v>
      </c>
      <c r="E1132">
        <v>325</v>
      </c>
      <c r="F1132" s="1" t="s">
        <v>39</v>
      </c>
      <c r="G1132" s="1" t="s">
        <v>14</v>
      </c>
      <c r="H1132" s="1" t="s">
        <v>73</v>
      </c>
      <c r="I1132" s="1" t="s">
        <v>16</v>
      </c>
    </row>
    <row r="1133" spans="1:9" x14ac:dyDescent="0.25">
      <c r="A1133" s="1" t="s">
        <v>9</v>
      </c>
      <c r="B1133" s="1" t="s">
        <v>10</v>
      </c>
      <c r="C1133" s="1" t="s">
        <v>245</v>
      </c>
      <c r="D1133" s="1" t="s">
        <v>68</v>
      </c>
      <c r="E1133">
        <v>675</v>
      </c>
      <c r="F1133" s="1" t="s">
        <v>39</v>
      </c>
      <c r="G1133" s="1" t="s">
        <v>14</v>
      </c>
      <c r="H1133" s="1" t="s">
        <v>73</v>
      </c>
      <c r="I1133" s="1" t="s">
        <v>16</v>
      </c>
    </row>
    <row r="1134" spans="1:9" x14ac:dyDescent="0.25">
      <c r="A1134" s="1" t="s">
        <v>9</v>
      </c>
      <c r="B1134" s="1" t="s">
        <v>10</v>
      </c>
      <c r="C1134" s="1" t="s">
        <v>245</v>
      </c>
      <c r="D1134" s="1" t="s">
        <v>69</v>
      </c>
      <c r="E1134">
        <v>675</v>
      </c>
      <c r="F1134" s="1" t="s">
        <v>39</v>
      </c>
      <c r="G1134" s="1" t="s">
        <v>14</v>
      </c>
      <c r="H1134" s="1" t="s">
        <v>73</v>
      </c>
      <c r="I1134" s="1" t="s">
        <v>16</v>
      </c>
    </row>
    <row r="1135" spans="1:9" x14ac:dyDescent="0.25">
      <c r="A1135" s="1" t="s">
        <v>9</v>
      </c>
      <c r="B1135" s="1" t="s">
        <v>10</v>
      </c>
      <c r="C1135" s="1" t="s">
        <v>245</v>
      </c>
      <c r="D1135" s="1" t="s">
        <v>70</v>
      </c>
      <c r="E1135">
        <v>325</v>
      </c>
      <c r="F1135" s="1" t="s">
        <v>39</v>
      </c>
      <c r="G1135" s="1" t="s">
        <v>14</v>
      </c>
      <c r="H1135" s="1" t="s">
        <v>73</v>
      </c>
      <c r="I1135" s="1" t="s">
        <v>16</v>
      </c>
    </row>
    <row r="1136" spans="1:9" x14ac:dyDescent="0.25">
      <c r="A1136" s="1" t="s">
        <v>9</v>
      </c>
      <c r="B1136" s="1" t="s">
        <v>10</v>
      </c>
      <c r="C1136" s="1" t="s">
        <v>246</v>
      </c>
      <c r="D1136" s="1" t="s">
        <v>12</v>
      </c>
      <c r="E1136">
        <v>1475</v>
      </c>
      <c r="F1136" s="1" t="s">
        <v>34</v>
      </c>
      <c r="G1136" s="1" t="s">
        <v>14</v>
      </c>
      <c r="H1136" s="1" t="s">
        <v>73</v>
      </c>
      <c r="I1136" s="1" t="s">
        <v>16</v>
      </c>
    </row>
    <row r="1137" spans="1:9" x14ac:dyDescent="0.25">
      <c r="A1137" s="1" t="s">
        <v>9</v>
      </c>
      <c r="B1137" s="1" t="s">
        <v>10</v>
      </c>
      <c r="C1137" s="1" t="s">
        <v>246</v>
      </c>
      <c r="D1137" s="1" t="s">
        <v>17</v>
      </c>
      <c r="E1137">
        <v>375</v>
      </c>
      <c r="F1137" s="1" t="s">
        <v>34</v>
      </c>
      <c r="G1137" s="1" t="s">
        <v>14</v>
      </c>
      <c r="H1137" s="1" t="s">
        <v>73</v>
      </c>
      <c r="I1137" s="1" t="s">
        <v>16</v>
      </c>
    </row>
    <row r="1138" spans="1:9" x14ac:dyDescent="0.25">
      <c r="A1138" s="1" t="s">
        <v>9</v>
      </c>
      <c r="B1138" s="1" t="s">
        <v>10</v>
      </c>
      <c r="C1138" s="1" t="s">
        <v>246</v>
      </c>
      <c r="D1138" s="1" t="s">
        <v>18</v>
      </c>
      <c r="E1138">
        <v>375</v>
      </c>
      <c r="F1138" s="1" t="s">
        <v>34</v>
      </c>
      <c r="G1138" s="1" t="s">
        <v>14</v>
      </c>
      <c r="H1138" s="1" t="s">
        <v>73</v>
      </c>
      <c r="I1138" s="1" t="s">
        <v>16</v>
      </c>
    </row>
    <row r="1139" spans="1:9" x14ac:dyDescent="0.25">
      <c r="A1139" s="1" t="s">
        <v>9</v>
      </c>
      <c r="B1139" s="1" t="s">
        <v>10</v>
      </c>
      <c r="C1139" s="1" t="s">
        <v>246</v>
      </c>
      <c r="D1139" s="1" t="s">
        <v>19</v>
      </c>
      <c r="E1139">
        <v>725</v>
      </c>
      <c r="F1139" s="1" t="s">
        <v>34</v>
      </c>
      <c r="G1139" s="1" t="s">
        <v>14</v>
      </c>
      <c r="H1139" s="1" t="s">
        <v>73</v>
      </c>
      <c r="I1139" s="1" t="s">
        <v>16</v>
      </c>
    </row>
    <row r="1140" spans="1:9" x14ac:dyDescent="0.25">
      <c r="A1140" s="1" t="s">
        <v>9</v>
      </c>
      <c r="B1140" s="1" t="s">
        <v>10</v>
      </c>
      <c r="C1140" s="1" t="s">
        <v>246</v>
      </c>
      <c r="D1140" s="1" t="s">
        <v>20</v>
      </c>
      <c r="E1140">
        <v>375</v>
      </c>
      <c r="F1140" s="1" t="s">
        <v>34</v>
      </c>
      <c r="G1140" s="1" t="s">
        <v>14</v>
      </c>
      <c r="H1140" s="1" t="s">
        <v>73</v>
      </c>
      <c r="I1140" s="1" t="s">
        <v>16</v>
      </c>
    </row>
    <row r="1141" spans="1:9" x14ac:dyDescent="0.25">
      <c r="A1141" s="1" t="s">
        <v>9</v>
      </c>
      <c r="B1141" s="1" t="s">
        <v>10</v>
      </c>
      <c r="C1141" s="1" t="s">
        <v>246</v>
      </c>
      <c r="D1141" s="1" t="s">
        <v>21</v>
      </c>
      <c r="E1141">
        <v>725</v>
      </c>
      <c r="F1141" s="1" t="s">
        <v>34</v>
      </c>
      <c r="G1141" s="1" t="s">
        <v>14</v>
      </c>
      <c r="H1141" s="1" t="s">
        <v>73</v>
      </c>
      <c r="I1141" s="1" t="s">
        <v>16</v>
      </c>
    </row>
    <row r="1142" spans="1:9" x14ac:dyDescent="0.25">
      <c r="A1142" s="1" t="s">
        <v>9</v>
      </c>
      <c r="B1142" s="1" t="s">
        <v>10</v>
      </c>
      <c r="C1142" s="1" t="s">
        <v>246</v>
      </c>
      <c r="D1142" s="1" t="s">
        <v>22</v>
      </c>
      <c r="E1142">
        <v>375</v>
      </c>
      <c r="F1142" s="1" t="s">
        <v>34</v>
      </c>
      <c r="G1142" s="1" t="s">
        <v>14</v>
      </c>
      <c r="H1142" s="1" t="s">
        <v>73</v>
      </c>
      <c r="I1142" s="1" t="s">
        <v>16</v>
      </c>
    </row>
    <row r="1143" spans="1:9" x14ac:dyDescent="0.25">
      <c r="A1143" s="1" t="s">
        <v>9</v>
      </c>
      <c r="B1143" s="1" t="s">
        <v>10</v>
      </c>
      <c r="C1143" s="1" t="s">
        <v>246</v>
      </c>
      <c r="D1143" s="1" t="s">
        <v>23</v>
      </c>
      <c r="E1143">
        <v>725</v>
      </c>
      <c r="F1143" s="1" t="s">
        <v>34</v>
      </c>
      <c r="G1143" s="1" t="s">
        <v>14</v>
      </c>
      <c r="H1143" s="1" t="s">
        <v>73</v>
      </c>
      <c r="I1143" s="1" t="s">
        <v>16</v>
      </c>
    </row>
    <row r="1144" spans="1:9" x14ac:dyDescent="0.25">
      <c r="A1144" s="1" t="s">
        <v>9</v>
      </c>
      <c r="B1144" s="1" t="s">
        <v>10</v>
      </c>
      <c r="C1144" s="1" t="s">
        <v>246</v>
      </c>
      <c r="D1144" s="1" t="s">
        <v>24</v>
      </c>
      <c r="E1144">
        <v>375</v>
      </c>
      <c r="F1144" s="1" t="s">
        <v>34</v>
      </c>
      <c r="G1144" s="1" t="s">
        <v>14</v>
      </c>
      <c r="H1144" s="1" t="s">
        <v>73</v>
      </c>
      <c r="I1144" s="1" t="s">
        <v>16</v>
      </c>
    </row>
    <row r="1145" spans="1:9" x14ac:dyDescent="0.25">
      <c r="A1145" s="1" t="s">
        <v>9</v>
      </c>
      <c r="B1145" s="1" t="s">
        <v>10</v>
      </c>
      <c r="C1145" s="1" t="s">
        <v>246</v>
      </c>
      <c r="D1145" s="1" t="s">
        <v>25</v>
      </c>
      <c r="E1145">
        <v>725</v>
      </c>
      <c r="F1145" s="1" t="s">
        <v>34</v>
      </c>
      <c r="G1145" s="1" t="s">
        <v>14</v>
      </c>
      <c r="H1145" s="1" t="s">
        <v>73</v>
      </c>
      <c r="I1145" s="1" t="s">
        <v>16</v>
      </c>
    </row>
    <row r="1146" spans="1:9" x14ac:dyDescent="0.25">
      <c r="A1146" s="1" t="s">
        <v>9</v>
      </c>
      <c r="B1146" s="1" t="s">
        <v>10</v>
      </c>
      <c r="C1146" s="1" t="s">
        <v>246</v>
      </c>
      <c r="D1146" s="1" t="s">
        <v>26</v>
      </c>
      <c r="E1146">
        <v>1475</v>
      </c>
      <c r="F1146" s="1" t="s">
        <v>34</v>
      </c>
      <c r="G1146" s="1" t="s">
        <v>14</v>
      </c>
      <c r="H1146" s="1" t="s">
        <v>73</v>
      </c>
      <c r="I1146" s="1" t="s">
        <v>16</v>
      </c>
    </row>
    <row r="1147" spans="1:9" x14ac:dyDescent="0.25">
      <c r="A1147" s="1" t="s">
        <v>9</v>
      </c>
      <c r="B1147" s="1" t="s">
        <v>10</v>
      </c>
      <c r="C1147" s="1" t="s">
        <v>246</v>
      </c>
      <c r="D1147" s="1" t="s">
        <v>27</v>
      </c>
      <c r="E1147">
        <v>1475</v>
      </c>
      <c r="F1147" s="1" t="s">
        <v>34</v>
      </c>
      <c r="G1147" s="1" t="s">
        <v>14</v>
      </c>
      <c r="H1147" s="1" t="s">
        <v>73</v>
      </c>
      <c r="I1147" s="1" t="s">
        <v>16</v>
      </c>
    </row>
    <row r="1148" spans="1:9" x14ac:dyDescent="0.25">
      <c r="A1148" s="1" t="s">
        <v>9</v>
      </c>
      <c r="B1148" s="1" t="s">
        <v>10</v>
      </c>
      <c r="C1148" s="1" t="s">
        <v>246</v>
      </c>
      <c r="D1148" s="1" t="s">
        <v>28</v>
      </c>
      <c r="E1148">
        <v>375</v>
      </c>
      <c r="F1148" s="1" t="s">
        <v>34</v>
      </c>
      <c r="G1148" s="1" t="s">
        <v>14</v>
      </c>
      <c r="H1148" s="1" t="s">
        <v>73</v>
      </c>
      <c r="I1148" s="1" t="s">
        <v>16</v>
      </c>
    </row>
    <row r="1149" spans="1:9" x14ac:dyDescent="0.25">
      <c r="A1149" s="1" t="s">
        <v>9</v>
      </c>
      <c r="B1149" s="1" t="s">
        <v>10</v>
      </c>
      <c r="C1149" s="1" t="s">
        <v>246</v>
      </c>
      <c r="D1149" s="1" t="s">
        <v>29</v>
      </c>
      <c r="E1149">
        <v>375</v>
      </c>
      <c r="F1149" s="1" t="s">
        <v>34</v>
      </c>
      <c r="G1149" s="1" t="s">
        <v>14</v>
      </c>
      <c r="H1149" s="1" t="s">
        <v>73</v>
      </c>
      <c r="I1149" s="1" t="s">
        <v>16</v>
      </c>
    </row>
    <row r="1150" spans="1:9" x14ac:dyDescent="0.25">
      <c r="A1150" s="1" t="s">
        <v>9</v>
      </c>
      <c r="B1150" s="1" t="s">
        <v>10</v>
      </c>
      <c r="C1150" s="1" t="s">
        <v>246</v>
      </c>
      <c r="D1150" s="1" t="s">
        <v>30</v>
      </c>
      <c r="E1150">
        <v>725</v>
      </c>
      <c r="F1150" s="1" t="s">
        <v>34</v>
      </c>
      <c r="G1150" s="1" t="s">
        <v>14</v>
      </c>
      <c r="H1150" s="1" t="s">
        <v>73</v>
      </c>
      <c r="I1150" s="1" t="s">
        <v>16</v>
      </c>
    </row>
    <row r="1151" spans="1:9" x14ac:dyDescent="0.25">
      <c r="A1151" s="1" t="s">
        <v>9</v>
      </c>
      <c r="B1151" s="1" t="s">
        <v>10</v>
      </c>
      <c r="C1151" s="1" t="s">
        <v>246</v>
      </c>
      <c r="D1151" s="1" t="s">
        <v>31</v>
      </c>
      <c r="E1151">
        <v>725</v>
      </c>
      <c r="F1151" s="1" t="s">
        <v>34</v>
      </c>
      <c r="G1151" s="1" t="s">
        <v>14</v>
      </c>
      <c r="H1151" s="1" t="s">
        <v>73</v>
      </c>
      <c r="I1151" s="1" t="s">
        <v>16</v>
      </c>
    </row>
    <row r="1152" spans="1:9" x14ac:dyDescent="0.25">
      <c r="A1152" s="1" t="s">
        <v>9</v>
      </c>
      <c r="B1152" s="1" t="s">
        <v>10</v>
      </c>
      <c r="C1152" s="1" t="s">
        <v>246</v>
      </c>
      <c r="D1152" s="1" t="s">
        <v>32</v>
      </c>
      <c r="E1152">
        <v>725</v>
      </c>
      <c r="F1152" s="1" t="s">
        <v>34</v>
      </c>
      <c r="G1152" s="1" t="s">
        <v>14</v>
      </c>
      <c r="H1152" s="1" t="s">
        <v>73</v>
      </c>
      <c r="I1152" s="1" t="s">
        <v>16</v>
      </c>
    </row>
    <row r="1153" spans="1:9" x14ac:dyDescent="0.25">
      <c r="A1153" s="1" t="s">
        <v>9</v>
      </c>
      <c r="B1153" s="1" t="s">
        <v>10</v>
      </c>
      <c r="C1153" s="1" t="s">
        <v>246</v>
      </c>
      <c r="D1153" s="1" t="s">
        <v>33</v>
      </c>
      <c r="E1153">
        <v>725</v>
      </c>
      <c r="F1153" s="1" t="s">
        <v>34</v>
      </c>
      <c r="G1153" s="1" t="s">
        <v>14</v>
      </c>
      <c r="H1153" s="1" t="s">
        <v>73</v>
      </c>
      <c r="I1153" s="1" t="s">
        <v>16</v>
      </c>
    </row>
    <row r="1154" spans="1:9" x14ac:dyDescent="0.25">
      <c r="A1154" s="1" t="s">
        <v>9</v>
      </c>
      <c r="B1154" s="1" t="s">
        <v>10</v>
      </c>
      <c r="C1154" s="1" t="s">
        <v>246</v>
      </c>
      <c r="D1154" s="1" t="s">
        <v>34</v>
      </c>
      <c r="E1154">
        <v>725</v>
      </c>
      <c r="F1154" s="1" t="s">
        <v>34</v>
      </c>
      <c r="G1154" s="1" t="s">
        <v>14</v>
      </c>
      <c r="H1154" s="1" t="s">
        <v>73</v>
      </c>
      <c r="I1154" s="1" t="s">
        <v>16</v>
      </c>
    </row>
    <row r="1155" spans="1:9" x14ac:dyDescent="0.25">
      <c r="A1155" s="1" t="s">
        <v>9</v>
      </c>
      <c r="B1155" s="1" t="s">
        <v>10</v>
      </c>
      <c r="C1155" s="1" t="s">
        <v>246</v>
      </c>
      <c r="D1155" s="1" t="s">
        <v>35</v>
      </c>
      <c r="E1155">
        <v>375</v>
      </c>
      <c r="F1155" s="1" t="s">
        <v>34</v>
      </c>
      <c r="G1155" s="1" t="s">
        <v>14</v>
      </c>
      <c r="H1155" s="1" t="s">
        <v>73</v>
      </c>
      <c r="I1155" s="1" t="s">
        <v>16</v>
      </c>
    </row>
    <row r="1156" spans="1:9" x14ac:dyDescent="0.25">
      <c r="A1156" s="1" t="s">
        <v>9</v>
      </c>
      <c r="B1156" s="1" t="s">
        <v>10</v>
      </c>
      <c r="C1156" s="1" t="s">
        <v>246</v>
      </c>
      <c r="D1156" s="1" t="s">
        <v>36</v>
      </c>
      <c r="E1156">
        <v>375</v>
      </c>
      <c r="F1156" s="1" t="s">
        <v>34</v>
      </c>
      <c r="G1156" s="1" t="s">
        <v>14</v>
      </c>
      <c r="H1156" s="1" t="s">
        <v>73</v>
      </c>
      <c r="I1156" s="1" t="s">
        <v>16</v>
      </c>
    </row>
    <row r="1157" spans="1:9" x14ac:dyDescent="0.25">
      <c r="A1157" s="1" t="s">
        <v>9</v>
      </c>
      <c r="B1157" s="1" t="s">
        <v>10</v>
      </c>
      <c r="C1157" s="1" t="s">
        <v>246</v>
      </c>
      <c r="D1157" s="1" t="s">
        <v>37</v>
      </c>
      <c r="E1157">
        <v>725</v>
      </c>
      <c r="F1157" s="1" t="s">
        <v>34</v>
      </c>
      <c r="G1157" s="1" t="s">
        <v>14</v>
      </c>
      <c r="H1157" s="1" t="s">
        <v>73</v>
      </c>
      <c r="I1157" s="1" t="s">
        <v>16</v>
      </c>
    </row>
    <row r="1158" spans="1:9" x14ac:dyDescent="0.25">
      <c r="A1158" s="1" t="s">
        <v>9</v>
      </c>
      <c r="B1158" s="1" t="s">
        <v>10</v>
      </c>
      <c r="C1158" s="1" t="s">
        <v>246</v>
      </c>
      <c r="D1158" s="1" t="s">
        <v>38</v>
      </c>
      <c r="E1158">
        <v>725</v>
      </c>
      <c r="F1158" s="1" t="s">
        <v>34</v>
      </c>
      <c r="G1158" s="1" t="s">
        <v>14</v>
      </c>
      <c r="H1158" s="1" t="s">
        <v>73</v>
      </c>
      <c r="I1158" s="1" t="s">
        <v>16</v>
      </c>
    </row>
    <row r="1159" spans="1:9" x14ac:dyDescent="0.25">
      <c r="A1159" s="1" t="s">
        <v>9</v>
      </c>
      <c r="B1159" s="1" t="s">
        <v>10</v>
      </c>
      <c r="C1159" s="1" t="s">
        <v>246</v>
      </c>
      <c r="D1159" s="1" t="s">
        <v>39</v>
      </c>
      <c r="E1159">
        <v>725</v>
      </c>
      <c r="F1159" s="1" t="s">
        <v>34</v>
      </c>
      <c r="G1159" s="1" t="s">
        <v>14</v>
      </c>
      <c r="H1159" s="1" t="s">
        <v>73</v>
      </c>
      <c r="I1159" s="1" t="s">
        <v>16</v>
      </c>
    </row>
    <row r="1160" spans="1:9" x14ac:dyDescent="0.25">
      <c r="A1160" s="1" t="s">
        <v>9</v>
      </c>
      <c r="B1160" s="1" t="s">
        <v>10</v>
      </c>
      <c r="C1160" s="1" t="s">
        <v>246</v>
      </c>
      <c r="D1160" s="1" t="s">
        <v>40</v>
      </c>
      <c r="E1160">
        <v>725</v>
      </c>
      <c r="F1160" s="1" t="s">
        <v>34</v>
      </c>
      <c r="G1160" s="1" t="s">
        <v>14</v>
      </c>
      <c r="H1160" s="1" t="s">
        <v>73</v>
      </c>
      <c r="I1160" s="1" t="s">
        <v>16</v>
      </c>
    </row>
    <row r="1161" spans="1:9" x14ac:dyDescent="0.25">
      <c r="A1161" s="1" t="s">
        <v>9</v>
      </c>
      <c r="B1161" s="1" t="s">
        <v>10</v>
      </c>
      <c r="C1161" s="1" t="s">
        <v>246</v>
      </c>
      <c r="D1161" s="1" t="s">
        <v>41</v>
      </c>
      <c r="E1161">
        <v>1475</v>
      </c>
      <c r="F1161" s="1" t="s">
        <v>34</v>
      </c>
      <c r="G1161" s="1" t="s">
        <v>14</v>
      </c>
      <c r="H1161" s="1" t="s">
        <v>73</v>
      </c>
      <c r="I1161" s="1" t="s">
        <v>16</v>
      </c>
    </row>
    <row r="1162" spans="1:9" x14ac:dyDescent="0.25">
      <c r="A1162" s="1" t="s">
        <v>9</v>
      </c>
      <c r="B1162" s="1" t="s">
        <v>10</v>
      </c>
      <c r="C1162" s="1" t="s">
        <v>246</v>
      </c>
      <c r="D1162" s="1" t="s">
        <v>42</v>
      </c>
      <c r="E1162">
        <v>725</v>
      </c>
      <c r="F1162" s="1" t="s">
        <v>34</v>
      </c>
      <c r="G1162" s="1" t="s">
        <v>14</v>
      </c>
      <c r="H1162" s="1" t="s">
        <v>73</v>
      </c>
      <c r="I1162" s="1" t="s">
        <v>16</v>
      </c>
    </row>
    <row r="1163" spans="1:9" x14ac:dyDescent="0.25">
      <c r="A1163" s="1" t="s">
        <v>9</v>
      </c>
      <c r="B1163" s="1" t="s">
        <v>10</v>
      </c>
      <c r="C1163" s="1" t="s">
        <v>246</v>
      </c>
      <c r="D1163" s="1" t="s">
        <v>43</v>
      </c>
      <c r="E1163">
        <v>1475</v>
      </c>
      <c r="F1163" s="1" t="s">
        <v>34</v>
      </c>
      <c r="G1163" s="1" t="s">
        <v>14</v>
      </c>
      <c r="H1163" s="1" t="s">
        <v>73</v>
      </c>
      <c r="I1163" s="1" t="s">
        <v>16</v>
      </c>
    </row>
    <row r="1164" spans="1:9" x14ac:dyDescent="0.25">
      <c r="A1164" s="1" t="s">
        <v>9</v>
      </c>
      <c r="B1164" s="1" t="s">
        <v>10</v>
      </c>
      <c r="C1164" s="1" t="s">
        <v>246</v>
      </c>
      <c r="D1164" s="1" t="s">
        <v>45</v>
      </c>
      <c r="E1164">
        <v>375</v>
      </c>
      <c r="F1164" s="1" t="s">
        <v>34</v>
      </c>
      <c r="G1164" s="1" t="s">
        <v>14</v>
      </c>
      <c r="H1164" s="1" t="s">
        <v>73</v>
      </c>
      <c r="I1164" s="1" t="s">
        <v>16</v>
      </c>
    </row>
    <row r="1165" spans="1:9" x14ac:dyDescent="0.25">
      <c r="A1165" s="1" t="s">
        <v>9</v>
      </c>
      <c r="B1165" s="1" t="s">
        <v>10</v>
      </c>
      <c r="C1165" s="1" t="s">
        <v>246</v>
      </c>
      <c r="D1165" s="1" t="s">
        <v>46</v>
      </c>
      <c r="E1165">
        <v>375</v>
      </c>
      <c r="F1165" s="1" t="s">
        <v>34</v>
      </c>
      <c r="G1165" s="1" t="s">
        <v>14</v>
      </c>
      <c r="H1165" s="1" t="s">
        <v>73</v>
      </c>
      <c r="I1165" s="1" t="s">
        <v>16</v>
      </c>
    </row>
    <row r="1166" spans="1:9" x14ac:dyDescent="0.25">
      <c r="A1166" s="1" t="s">
        <v>9</v>
      </c>
      <c r="B1166" s="1" t="s">
        <v>10</v>
      </c>
      <c r="C1166" s="1" t="s">
        <v>246</v>
      </c>
      <c r="D1166" s="1" t="s">
        <v>47</v>
      </c>
      <c r="E1166">
        <v>725</v>
      </c>
      <c r="F1166" s="1" t="s">
        <v>34</v>
      </c>
      <c r="G1166" s="1" t="s">
        <v>14</v>
      </c>
      <c r="H1166" s="1" t="s">
        <v>73</v>
      </c>
      <c r="I1166" s="1" t="s">
        <v>16</v>
      </c>
    </row>
    <row r="1167" spans="1:9" x14ac:dyDescent="0.25">
      <c r="A1167" s="1" t="s">
        <v>9</v>
      </c>
      <c r="B1167" s="1" t="s">
        <v>10</v>
      </c>
      <c r="C1167" s="1" t="s">
        <v>246</v>
      </c>
      <c r="D1167" s="1" t="s">
        <v>48</v>
      </c>
      <c r="E1167">
        <v>375</v>
      </c>
      <c r="F1167" s="1" t="s">
        <v>34</v>
      </c>
      <c r="G1167" s="1" t="s">
        <v>14</v>
      </c>
      <c r="H1167" s="1" t="s">
        <v>73</v>
      </c>
      <c r="I1167" s="1" t="s">
        <v>16</v>
      </c>
    </row>
    <row r="1168" spans="1:9" x14ac:dyDescent="0.25">
      <c r="A1168" s="1" t="s">
        <v>9</v>
      </c>
      <c r="B1168" s="1" t="s">
        <v>10</v>
      </c>
      <c r="C1168" s="1" t="s">
        <v>246</v>
      </c>
      <c r="D1168" s="1" t="s">
        <v>49</v>
      </c>
      <c r="E1168">
        <v>725</v>
      </c>
      <c r="F1168" s="1" t="s">
        <v>34</v>
      </c>
      <c r="G1168" s="1" t="s">
        <v>14</v>
      </c>
      <c r="H1168" s="1" t="s">
        <v>73</v>
      </c>
      <c r="I1168" s="1" t="s">
        <v>16</v>
      </c>
    </row>
    <row r="1169" spans="1:9" x14ac:dyDescent="0.25">
      <c r="A1169" s="1" t="s">
        <v>9</v>
      </c>
      <c r="B1169" s="1" t="s">
        <v>10</v>
      </c>
      <c r="C1169" s="1" t="s">
        <v>246</v>
      </c>
      <c r="D1169" s="1" t="s">
        <v>50</v>
      </c>
      <c r="E1169">
        <v>375</v>
      </c>
      <c r="F1169" s="1" t="s">
        <v>34</v>
      </c>
      <c r="G1169" s="1" t="s">
        <v>14</v>
      </c>
      <c r="H1169" s="1" t="s">
        <v>73</v>
      </c>
      <c r="I1169" s="1" t="s">
        <v>16</v>
      </c>
    </row>
    <row r="1170" spans="1:9" x14ac:dyDescent="0.25">
      <c r="A1170" s="1" t="s">
        <v>9</v>
      </c>
      <c r="B1170" s="1" t="s">
        <v>10</v>
      </c>
      <c r="C1170" s="1" t="s">
        <v>246</v>
      </c>
      <c r="D1170" s="1" t="s">
        <v>51</v>
      </c>
      <c r="E1170">
        <v>725</v>
      </c>
      <c r="F1170" s="1" t="s">
        <v>34</v>
      </c>
      <c r="G1170" s="1" t="s">
        <v>14</v>
      </c>
      <c r="H1170" s="1" t="s">
        <v>73</v>
      </c>
      <c r="I1170" s="1" t="s">
        <v>16</v>
      </c>
    </row>
    <row r="1171" spans="1:9" x14ac:dyDescent="0.25">
      <c r="A1171" s="1" t="s">
        <v>9</v>
      </c>
      <c r="B1171" s="1" t="s">
        <v>10</v>
      </c>
      <c r="C1171" s="1" t="s">
        <v>246</v>
      </c>
      <c r="D1171" s="1" t="s">
        <v>52</v>
      </c>
      <c r="E1171">
        <v>375</v>
      </c>
      <c r="F1171" s="1" t="s">
        <v>34</v>
      </c>
      <c r="G1171" s="1" t="s">
        <v>14</v>
      </c>
      <c r="H1171" s="1" t="s">
        <v>73</v>
      </c>
      <c r="I1171" s="1" t="s">
        <v>16</v>
      </c>
    </row>
    <row r="1172" spans="1:9" x14ac:dyDescent="0.25">
      <c r="A1172" s="1" t="s">
        <v>9</v>
      </c>
      <c r="B1172" s="1" t="s">
        <v>10</v>
      </c>
      <c r="C1172" s="1" t="s">
        <v>246</v>
      </c>
      <c r="D1172" s="1" t="s">
        <v>53</v>
      </c>
      <c r="E1172">
        <v>725</v>
      </c>
      <c r="F1172" s="1" t="s">
        <v>34</v>
      </c>
      <c r="G1172" s="1" t="s">
        <v>14</v>
      </c>
      <c r="H1172" s="1" t="s">
        <v>73</v>
      </c>
      <c r="I1172" s="1" t="s">
        <v>16</v>
      </c>
    </row>
    <row r="1173" spans="1:9" x14ac:dyDescent="0.25">
      <c r="A1173" s="1" t="s">
        <v>9</v>
      </c>
      <c r="B1173" s="1" t="s">
        <v>10</v>
      </c>
      <c r="C1173" s="1" t="s">
        <v>246</v>
      </c>
      <c r="D1173" s="1" t="s">
        <v>54</v>
      </c>
      <c r="E1173">
        <v>1475</v>
      </c>
      <c r="F1173" s="1" t="s">
        <v>34</v>
      </c>
      <c r="G1173" s="1" t="s">
        <v>14</v>
      </c>
      <c r="H1173" s="1" t="s">
        <v>73</v>
      </c>
      <c r="I1173" s="1" t="s">
        <v>16</v>
      </c>
    </row>
    <row r="1174" spans="1:9" x14ac:dyDescent="0.25">
      <c r="A1174" s="1" t="s">
        <v>9</v>
      </c>
      <c r="B1174" s="1" t="s">
        <v>10</v>
      </c>
      <c r="C1174" s="1" t="s">
        <v>246</v>
      </c>
      <c r="D1174" s="1" t="s">
        <v>55</v>
      </c>
      <c r="E1174">
        <v>1475</v>
      </c>
      <c r="F1174" s="1" t="s">
        <v>34</v>
      </c>
      <c r="G1174" s="1" t="s">
        <v>14</v>
      </c>
      <c r="H1174" s="1" t="s">
        <v>73</v>
      </c>
      <c r="I1174" s="1" t="s">
        <v>16</v>
      </c>
    </row>
    <row r="1175" spans="1:9" x14ac:dyDescent="0.25">
      <c r="A1175" s="1" t="s">
        <v>9</v>
      </c>
      <c r="B1175" s="1" t="s">
        <v>10</v>
      </c>
      <c r="C1175" s="1" t="s">
        <v>246</v>
      </c>
      <c r="D1175" s="1" t="s">
        <v>56</v>
      </c>
      <c r="E1175">
        <v>375</v>
      </c>
      <c r="F1175" s="1" t="s">
        <v>34</v>
      </c>
      <c r="G1175" s="1" t="s">
        <v>14</v>
      </c>
      <c r="H1175" s="1" t="s">
        <v>73</v>
      </c>
      <c r="I1175" s="1" t="s">
        <v>16</v>
      </c>
    </row>
    <row r="1176" spans="1:9" x14ac:dyDescent="0.25">
      <c r="A1176" s="1" t="s">
        <v>9</v>
      </c>
      <c r="B1176" s="1" t="s">
        <v>10</v>
      </c>
      <c r="C1176" s="1" t="s">
        <v>246</v>
      </c>
      <c r="D1176" s="1" t="s">
        <v>57</v>
      </c>
      <c r="E1176">
        <v>375</v>
      </c>
      <c r="F1176" s="1" t="s">
        <v>34</v>
      </c>
      <c r="G1176" s="1" t="s">
        <v>14</v>
      </c>
      <c r="H1176" s="1" t="s">
        <v>73</v>
      </c>
      <c r="I1176" s="1" t="s">
        <v>16</v>
      </c>
    </row>
    <row r="1177" spans="1:9" x14ac:dyDescent="0.25">
      <c r="A1177" s="1" t="s">
        <v>9</v>
      </c>
      <c r="B1177" s="1" t="s">
        <v>10</v>
      </c>
      <c r="C1177" s="1" t="s">
        <v>246</v>
      </c>
      <c r="D1177" s="1" t="s">
        <v>58</v>
      </c>
      <c r="E1177">
        <v>725</v>
      </c>
      <c r="F1177" s="1" t="s">
        <v>34</v>
      </c>
      <c r="G1177" s="1" t="s">
        <v>14</v>
      </c>
      <c r="H1177" s="1" t="s">
        <v>73</v>
      </c>
      <c r="I1177" s="1" t="s">
        <v>16</v>
      </c>
    </row>
    <row r="1178" spans="1:9" x14ac:dyDescent="0.25">
      <c r="A1178" s="1" t="s">
        <v>9</v>
      </c>
      <c r="B1178" s="1" t="s">
        <v>10</v>
      </c>
      <c r="C1178" s="1" t="s">
        <v>246</v>
      </c>
      <c r="D1178" s="1" t="s">
        <v>59</v>
      </c>
      <c r="E1178">
        <v>725</v>
      </c>
      <c r="F1178" s="1" t="s">
        <v>34</v>
      </c>
      <c r="G1178" s="1" t="s">
        <v>14</v>
      </c>
      <c r="H1178" s="1" t="s">
        <v>73</v>
      </c>
      <c r="I1178" s="1" t="s">
        <v>16</v>
      </c>
    </row>
    <row r="1179" spans="1:9" x14ac:dyDescent="0.25">
      <c r="A1179" s="1" t="s">
        <v>9</v>
      </c>
      <c r="B1179" s="1" t="s">
        <v>10</v>
      </c>
      <c r="C1179" s="1" t="s">
        <v>246</v>
      </c>
      <c r="D1179" s="1" t="s">
        <v>60</v>
      </c>
      <c r="E1179">
        <v>725</v>
      </c>
      <c r="F1179" s="1" t="s">
        <v>34</v>
      </c>
      <c r="G1179" s="1" t="s">
        <v>14</v>
      </c>
      <c r="H1179" s="1" t="s">
        <v>73</v>
      </c>
      <c r="I1179" s="1" t="s">
        <v>16</v>
      </c>
    </row>
    <row r="1180" spans="1:9" x14ac:dyDescent="0.25">
      <c r="A1180" s="1" t="s">
        <v>9</v>
      </c>
      <c r="B1180" s="1" t="s">
        <v>10</v>
      </c>
      <c r="C1180" s="1" t="s">
        <v>246</v>
      </c>
      <c r="D1180" s="1" t="s">
        <v>61</v>
      </c>
      <c r="E1180">
        <v>725</v>
      </c>
      <c r="F1180" s="1" t="s">
        <v>34</v>
      </c>
      <c r="G1180" s="1" t="s">
        <v>14</v>
      </c>
      <c r="H1180" s="1" t="s">
        <v>73</v>
      </c>
      <c r="I1180" s="1" t="s">
        <v>16</v>
      </c>
    </row>
    <row r="1181" spans="1:9" x14ac:dyDescent="0.25">
      <c r="A1181" s="1" t="s">
        <v>9</v>
      </c>
      <c r="B1181" s="1" t="s">
        <v>10</v>
      </c>
      <c r="C1181" s="1" t="s">
        <v>246</v>
      </c>
      <c r="D1181" s="1" t="s">
        <v>62</v>
      </c>
      <c r="E1181">
        <v>725</v>
      </c>
      <c r="F1181" s="1" t="s">
        <v>34</v>
      </c>
      <c r="G1181" s="1" t="s">
        <v>14</v>
      </c>
      <c r="H1181" s="1" t="s">
        <v>73</v>
      </c>
      <c r="I1181" s="1" t="s">
        <v>16</v>
      </c>
    </row>
    <row r="1182" spans="1:9" x14ac:dyDescent="0.25">
      <c r="A1182" s="1" t="s">
        <v>9</v>
      </c>
      <c r="B1182" s="1" t="s">
        <v>10</v>
      </c>
      <c r="C1182" s="1" t="s">
        <v>246</v>
      </c>
      <c r="D1182" s="1" t="s">
        <v>63</v>
      </c>
      <c r="E1182">
        <v>375</v>
      </c>
      <c r="F1182" s="1" t="s">
        <v>34</v>
      </c>
      <c r="G1182" s="1" t="s">
        <v>14</v>
      </c>
      <c r="H1182" s="1" t="s">
        <v>73</v>
      </c>
      <c r="I1182" s="1" t="s">
        <v>16</v>
      </c>
    </row>
    <row r="1183" spans="1:9" x14ac:dyDescent="0.25">
      <c r="A1183" s="1" t="s">
        <v>9</v>
      </c>
      <c r="B1183" s="1" t="s">
        <v>10</v>
      </c>
      <c r="C1183" s="1" t="s">
        <v>246</v>
      </c>
      <c r="D1183" s="1" t="s">
        <v>64</v>
      </c>
      <c r="E1183">
        <v>375</v>
      </c>
      <c r="F1183" s="1" t="s">
        <v>34</v>
      </c>
      <c r="G1183" s="1" t="s">
        <v>14</v>
      </c>
      <c r="H1183" s="1" t="s">
        <v>73</v>
      </c>
      <c r="I1183" s="1" t="s">
        <v>16</v>
      </c>
    </row>
    <row r="1184" spans="1:9" x14ac:dyDescent="0.25">
      <c r="A1184" s="1" t="s">
        <v>9</v>
      </c>
      <c r="B1184" s="1" t="s">
        <v>10</v>
      </c>
      <c r="C1184" s="1" t="s">
        <v>246</v>
      </c>
      <c r="D1184" s="1" t="s">
        <v>65</v>
      </c>
      <c r="E1184">
        <v>725</v>
      </c>
      <c r="F1184" s="1" t="s">
        <v>34</v>
      </c>
      <c r="G1184" s="1" t="s">
        <v>14</v>
      </c>
      <c r="H1184" s="1" t="s">
        <v>73</v>
      </c>
      <c r="I1184" s="1" t="s">
        <v>16</v>
      </c>
    </row>
    <row r="1185" spans="1:9" x14ac:dyDescent="0.25">
      <c r="A1185" s="1" t="s">
        <v>9</v>
      </c>
      <c r="B1185" s="1" t="s">
        <v>10</v>
      </c>
      <c r="C1185" s="1" t="s">
        <v>246</v>
      </c>
      <c r="D1185" s="1" t="s">
        <v>66</v>
      </c>
      <c r="E1185">
        <v>725</v>
      </c>
      <c r="F1185" s="1" t="s">
        <v>34</v>
      </c>
      <c r="G1185" s="1" t="s">
        <v>14</v>
      </c>
      <c r="H1185" s="1" t="s">
        <v>73</v>
      </c>
      <c r="I1185" s="1" t="s">
        <v>16</v>
      </c>
    </row>
    <row r="1186" spans="1:9" x14ac:dyDescent="0.25">
      <c r="A1186" s="1" t="s">
        <v>9</v>
      </c>
      <c r="B1186" s="1" t="s">
        <v>10</v>
      </c>
      <c r="C1186" s="1" t="s">
        <v>246</v>
      </c>
      <c r="D1186" s="1" t="s">
        <v>67</v>
      </c>
      <c r="E1186">
        <v>725</v>
      </c>
      <c r="F1186" s="1" t="s">
        <v>34</v>
      </c>
      <c r="G1186" s="1" t="s">
        <v>14</v>
      </c>
      <c r="H1186" s="1" t="s">
        <v>73</v>
      </c>
      <c r="I1186" s="1" t="s">
        <v>16</v>
      </c>
    </row>
    <row r="1187" spans="1:9" x14ac:dyDescent="0.25">
      <c r="A1187" s="1" t="s">
        <v>9</v>
      </c>
      <c r="B1187" s="1" t="s">
        <v>10</v>
      </c>
      <c r="C1187" s="1" t="s">
        <v>246</v>
      </c>
      <c r="D1187" s="1" t="s">
        <v>68</v>
      </c>
      <c r="E1187">
        <v>725</v>
      </c>
      <c r="F1187" s="1" t="s">
        <v>34</v>
      </c>
      <c r="G1187" s="1" t="s">
        <v>14</v>
      </c>
      <c r="H1187" s="1" t="s">
        <v>73</v>
      </c>
      <c r="I1187" s="1" t="s">
        <v>16</v>
      </c>
    </row>
    <row r="1188" spans="1:9" x14ac:dyDescent="0.25">
      <c r="A1188" s="1" t="s">
        <v>9</v>
      </c>
      <c r="B1188" s="1" t="s">
        <v>10</v>
      </c>
      <c r="C1188" s="1" t="s">
        <v>246</v>
      </c>
      <c r="D1188" s="1" t="s">
        <v>69</v>
      </c>
      <c r="E1188">
        <v>1475</v>
      </c>
      <c r="F1188" s="1" t="s">
        <v>34</v>
      </c>
      <c r="G1188" s="1" t="s">
        <v>14</v>
      </c>
      <c r="H1188" s="1" t="s">
        <v>73</v>
      </c>
      <c r="I1188" s="1" t="s">
        <v>16</v>
      </c>
    </row>
    <row r="1189" spans="1:9" x14ac:dyDescent="0.25">
      <c r="A1189" s="1" t="s">
        <v>9</v>
      </c>
      <c r="B1189" s="1" t="s">
        <v>10</v>
      </c>
      <c r="C1189" s="1" t="s">
        <v>246</v>
      </c>
      <c r="D1189" s="1" t="s">
        <v>70</v>
      </c>
      <c r="E1189">
        <v>725</v>
      </c>
      <c r="F1189" s="1" t="s">
        <v>34</v>
      </c>
      <c r="G1189" s="1" t="s">
        <v>14</v>
      </c>
      <c r="H1189" s="1" t="s">
        <v>73</v>
      </c>
      <c r="I1189" s="1" t="s">
        <v>16</v>
      </c>
    </row>
    <row r="1190" spans="1:9" x14ac:dyDescent="0.25">
      <c r="A1190" s="1" t="s">
        <v>9</v>
      </c>
      <c r="B1190" s="1" t="s">
        <v>10</v>
      </c>
      <c r="C1190" s="1" t="s">
        <v>247</v>
      </c>
      <c r="D1190" s="1" t="s">
        <v>12</v>
      </c>
      <c r="E1190">
        <v>400</v>
      </c>
      <c r="F1190" s="1" t="s">
        <v>37</v>
      </c>
      <c r="G1190" s="1" t="s">
        <v>14</v>
      </c>
      <c r="H1190" s="1" t="s">
        <v>15</v>
      </c>
      <c r="I1190" s="1" t="s">
        <v>16</v>
      </c>
    </row>
    <row r="1191" spans="1:9" x14ac:dyDescent="0.25">
      <c r="A1191" s="1" t="s">
        <v>9</v>
      </c>
      <c r="B1191" s="1" t="s">
        <v>10</v>
      </c>
      <c r="C1191" s="1" t="s">
        <v>247</v>
      </c>
      <c r="D1191" s="1" t="s">
        <v>17</v>
      </c>
      <c r="E1191">
        <v>400</v>
      </c>
      <c r="F1191" s="1" t="s">
        <v>37</v>
      </c>
      <c r="G1191" s="1" t="s">
        <v>14</v>
      </c>
      <c r="H1191" s="1" t="s">
        <v>15</v>
      </c>
      <c r="I1191" s="1" t="s">
        <v>16</v>
      </c>
    </row>
    <row r="1192" spans="1:9" x14ac:dyDescent="0.25">
      <c r="A1192" s="1" t="s">
        <v>9</v>
      </c>
      <c r="B1192" s="1" t="s">
        <v>10</v>
      </c>
      <c r="C1192" s="1" t="s">
        <v>247</v>
      </c>
      <c r="D1192" s="1" t="s">
        <v>18</v>
      </c>
      <c r="E1192">
        <v>400</v>
      </c>
      <c r="F1192" s="1" t="s">
        <v>37</v>
      </c>
      <c r="G1192" s="1" t="s">
        <v>14</v>
      </c>
      <c r="H1192" s="1" t="s">
        <v>15</v>
      </c>
      <c r="I1192" s="1" t="s">
        <v>16</v>
      </c>
    </row>
    <row r="1193" spans="1:9" x14ac:dyDescent="0.25">
      <c r="A1193" s="1" t="s">
        <v>9</v>
      </c>
      <c r="B1193" s="1" t="s">
        <v>10</v>
      </c>
      <c r="C1193" s="1" t="s">
        <v>247</v>
      </c>
      <c r="D1193" s="1" t="s">
        <v>19</v>
      </c>
      <c r="E1193">
        <v>400</v>
      </c>
      <c r="F1193" s="1" t="s">
        <v>37</v>
      </c>
      <c r="G1193" s="1" t="s">
        <v>14</v>
      </c>
      <c r="H1193" s="1" t="s">
        <v>15</v>
      </c>
      <c r="I1193" s="1" t="s">
        <v>16</v>
      </c>
    </row>
    <row r="1194" spans="1:9" x14ac:dyDescent="0.25">
      <c r="A1194" s="1" t="s">
        <v>9</v>
      </c>
      <c r="B1194" s="1" t="s">
        <v>10</v>
      </c>
      <c r="C1194" s="1" t="s">
        <v>247</v>
      </c>
      <c r="D1194" s="1" t="s">
        <v>20</v>
      </c>
      <c r="E1194">
        <v>400</v>
      </c>
      <c r="F1194" s="1" t="s">
        <v>37</v>
      </c>
      <c r="G1194" s="1" t="s">
        <v>14</v>
      </c>
      <c r="H1194" s="1" t="s">
        <v>15</v>
      </c>
      <c r="I1194" s="1" t="s">
        <v>16</v>
      </c>
    </row>
    <row r="1195" spans="1:9" x14ac:dyDescent="0.25">
      <c r="A1195" s="1" t="s">
        <v>9</v>
      </c>
      <c r="B1195" s="1" t="s">
        <v>10</v>
      </c>
      <c r="C1195" s="1" t="s">
        <v>247</v>
      </c>
      <c r="D1195" s="1" t="s">
        <v>21</v>
      </c>
      <c r="E1195">
        <v>400</v>
      </c>
      <c r="F1195" s="1" t="s">
        <v>37</v>
      </c>
      <c r="G1195" s="1" t="s">
        <v>14</v>
      </c>
      <c r="H1195" s="1" t="s">
        <v>15</v>
      </c>
      <c r="I1195" s="1" t="s">
        <v>16</v>
      </c>
    </row>
    <row r="1196" spans="1:9" x14ac:dyDescent="0.25">
      <c r="A1196" s="1" t="s">
        <v>9</v>
      </c>
      <c r="B1196" s="1" t="s">
        <v>10</v>
      </c>
      <c r="C1196" s="1" t="s">
        <v>247</v>
      </c>
      <c r="D1196" s="1" t="s">
        <v>22</v>
      </c>
      <c r="E1196">
        <v>400</v>
      </c>
      <c r="F1196" s="1" t="s">
        <v>37</v>
      </c>
      <c r="G1196" s="1" t="s">
        <v>14</v>
      </c>
      <c r="H1196" s="1" t="s">
        <v>15</v>
      </c>
      <c r="I1196" s="1" t="s">
        <v>16</v>
      </c>
    </row>
    <row r="1197" spans="1:9" x14ac:dyDescent="0.25">
      <c r="A1197" s="1" t="s">
        <v>9</v>
      </c>
      <c r="B1197" s="1" t="s">
        <v>10</v>
      </c>
      <c r="C1197" s="1" t="s">
        <v>247</v>
      </c>
      <c r="D1197" s="1" t="s">
        <v>23</v>
      </c>
      <c r="E1197">
        <v>400</v>
      </c>
      <c r="F1197" s="1" t="s">
        <v>37</v>
      </c>
      <c r="G1197" s="1" t="s">
        <v>14</v>
      </c>
      <c r="H1197" s="1" t="s">
        <v>15</v>
      </c>
      <c r="I1197" s="1" t="s">
        <v>16</v>
      </c>
    </row>
    <row r="1198" spans="1:9" x14ac:dyDescent="0.25">
      <c r="A1198" s="1" t="s">
        <v>9</v>
      </c>
      <c r="B1198" s="1" t="s">
        <v>10</v>
      </c>
      <c r="C1198" s="1" t="s">
        <v>247</v>
      </c>
      <c r="D1198" s="1" t="s">
        <v>24</v>
      </c>
      <c r="E1198">
        <v>400</v>
      </c>
      <c r="F1198" s="1" t="s">
        <v>37</v>
      </c>
      <c r="G1198" s="1" t="s">
        <v>14</v>
      </c>
      <c r="H1198" s="1" t="s">
        <v>15</v>
      </c>
      <c r="I1198" s="1" t="s">
        <v>16</v>
      </c>
    </row>
    <row r="1199" spans="1:9" x14ac:dyDescent="0.25">
      <c r="A1199" s="1" t="s">
        <v>9</v>
      </c>
      <c r="B1199" s="1" t="s">
        <v>10</v>
      </c>
      <c r="C1199" s="1" t="s">
        <v>247</v>
      </c>
      <c r="D1199" s="1" t="s">
        <v>25</v>
      </c>
      <c r="E1199">
        <v>400</v>
      </c>
      <c r="F1199" s="1" t="s">
        <v>37</v>
      </c>
      <c r="G1199" s="1" t="s">
        <v>14</v>
      </c>
      <c r="H1199" s="1" t="s">
        <v>15</v>
      </c>
      <c r="I1199" s="1" t="s">
        <v>16</v>
      </c>
    </row>
    <row r="1200" spans="1:9" x14ac:dyDescent="0.25">
      <c r="A1200" s="1" t="s">
        <v>9</v>
      </c>
      <c r="B1200" s="1" t="s">
        <v>10</v>
      </c>
      <c r="C1200" s="1" t="s">
        <v>247</v>
      </c>
      <c r="D1200" s="1" t="s">
        <v>26</v>
      </c>
      <c r="E1200">
        <v>400</v>
      </c>
      <c r="F1200" s="1" t="s">
        <v>37</v>
      </c>
      <c r="G1200" s="1" t="s">
        <v>14</v>
      </c>
      <c r="H1200" s="1" t="s">
        <v>15</v>
      </c>
      <c r="I1200" s="1" t="s">
        <v>16</v>
      </c>
    </row>
    <row r="1201" spans="1:9" x14ac:dyDescent="0.25">
      <c r="A1201" s="1" t="s">
        <v>9</v>
      </c>
      <c r="B1201" s="1" t="s">
        <v>10</v>
      </c>
      <c r="C1201" s="1" t="s">
        <v>247</v>
      </c>
      <c r="D1201" s="1" t="s">
        <v>27</v>
      </c>
      <c r="E1201">
        <v>400</v>
      </c>
      <c r="F1201" s="1" t="s">
        <v>37</v>
      </c>
      <c r="G1201" s="1" t="s">
        <v>14</v>
      </c>
      <c r="H1201" s="1" t="s">
        <v>15</v>
      </c>
      <c r="I1201" s="1" t="s">
        <v>16</v>
      </c>
    </row>
    <row r="1202" spans="1:9" x14ac:dyDescent="0.25">
      <c r="A1202" s="1" t="s">
        <v>9</v>
      </c>
      <c r="B1202" s="1" t="s">
        <v>10</v>
      </c>
      <c r="C1202" s="1" t="s">
        <v>247</v>
      </c>
      <c r="D1202" s="1" t="s">
        <v>28</v>
      </c>
      <c r="E1202">
        <v>400</v>
      </c>
      <c r="F1202" s="1" t="s">
        <v>37</v>
      </c>
      <c r="G1202" s="1" t="s">
        <v>14</v>
      </c>
      <c r="H1202" s="1" t="s">
        <v>15</v>
      </c>
      <c r="I1202" s="1" t="s">
        <v>16</v>
      </c>
    </row>
    <row r="1203" spans="1:9" x14ac:dyDescent="0.25">
      <c r="A1203" s="1" t="s">
        <v>9</v>
      </c>
      <c r="B1203" s="1" t="s">
        <v>10</v>
      </c>
      <c r="C1203" s="1" t="s">
        <v>247</v>
      </c>
      <c r="D1203" s="1" t="s">
        <v>29</v>
      </c>
      <c r="E1203">
        <v>400</v>
      </c>
      <c r="F1203" s="1" t="s">
        <v>37</v>
      </c>
      <c r="G1203" s="1" t="s">
        <v>14</v>
      </c>
      <c r="H1203" s="1" t="s">
        <v>15</v>
      </c>
      <c r="I1203" s="1" t="s">
        <v>16</v>
      </c>
    </row>
    <row r="1204" spans="1:9" x14ac:dyDescent="0.25">
      <c r="A1204" s="1" t="s">
        <v>9</v>
      </c>
      <c r="B1204" s="1" t="s">
        <v>10</v>
      </c>
      <c r="C1204" s="1" t="s">
        <v>247</v>
      </c>
      <c r="D1204" s="1" t="s">
        <v>30</v>
      </c>
      <c r="E1204">
        <v>400</v>
      </c>
      <c r="F1204" s="1" t="s">
        <v>37</v>
      </c>
      <c r="G1204" s="1" t="s">
        <v>14</v>
      </c>
      <c r="H1204" s="1" t="s">
        <v>15</v>
      </c>
      <c r="I1204" s="1" t="s">
        <v>16</v>
      </c>
    </row>
    <row r="1205" spans="1:9" x14ac:dyDescent="0.25">
      <c r="A1205" s="1" t="s">
        <v>9</v>
      </c>
      <c r="B1205" s="1" t="s">
        <v>10</v>
      </c>
      <c r="C1205" s="1" t="s">
        <v>247</v>
      </c>
      <c r="D1205" s="1" t="s">
        <v>31</v>
      </c>
      <c r="E1205">
        <v>400</v>
      </c>
      <c r="F1205" s="1" t="s">
        <v>37</v>
      </c>
      <c r="G1205" s="1" t="s">
        <v>14</v>
      </c>
      <c r="H1205" s="1" t="s">
        <v>15</v>
      </c>
      <c r="I1205" s="1" t="s">
        <v>16</v>
      </c>
    </row>
    <row r="1206" spans="1:9" x14ac:dyDescent="0.25">
      <c r="A1206" s="1" t="s">
        <v>9</v>
      </c>
      <c r="B1206" s="1" t="s">
        <v>10</v>
      </c>
      <c r="C1206" s="1" t="s">
        <v>247</v>
      </c>
      <c r="D1206" s="1" t="s">
        <v>32</v>
      </c>
      <c r="E1206">
        <v>400</v>
      </c>
      <c r="F1206" s="1" t="s">
        <v>37</v>
      </c>
      <c r="G1206" s="1" t="s">
        <v>14</v>
      </c>
      <c r="H1206" s="1" t="s">
        <v>15</v>
      </c>
      <c r="I1206" s="1" t="s">
        <v>16</v>
      </c>
    </row>
    <row r="1207" spans="1:9" x14ac:dyDescent="0.25">
      <c r="A1207" s="1" t="s">
        <v>9</v>
      </c>
      <c r="B1207" s="1" t="s">
        <v>10</v>
      </c>
      <c r="C1207" s="1" t="s">
        <v>247</v>
      </c>
      <c r="D1207" s="1" t="s">
        <v>33</v>
      </c>
      <c r="E1207">
        <v>400</v>
      </c>
      <c r="F1207" s="1" t="s">
        <v>37</v>
      </c>
      <c r="G1207" s="1" t="s">
        <v>14</v>
      </c>
      <c r="H1207" s="1" t="s">
        <v>15</v>
      </c>
      <c r="I1207" s="1" t="s">
        <v>16</v>
      </c>
    </row>
    <row r="1208" spans="1:9" x14ac:dyDescent="0.25">
      <c r="A1208" s="1" t="s">
        <v>9</v>
      </c>
      <c r="B1208" s="1" t="s">
        <v>10</v>
      </c>
      <c r="C1208" s="1" t="s">
        <v>247</v>
      </c>
      <c r="D1208" s="1" t="s">
        <v>34</v>
      </c>
      <c r="E1208">
        <v>400</v>
      </c>
      <c r="F1208" s="1" t="s">
        <v>37</v>
      </c>
      <c r="G1208" s="1" t="s">
        <v>14</v>
      </c>
      <c r="H1208" s="1" t="s">
        <v>15</v>
      </c>
      <c r="I1208" s="1" t="s">
        <v>16</v>
      </c>
    </row>
    <row r="1209" spans="1:9" x14ac:dyDescent="0.25">
      <c r="A1209" s="1" t="s">
        <v>9</v>
      </c>
      <c r="B1209" s="1" t="s">
        <v>10</v>
      </c>
      <c r="C1209" s="1" t="s">
        <v>247</v>
      </c>
      <c r="D1209" s="1" t="s">
        <v>35</v>
      </c>
      <c r="E1209">
        <v>400</v>
      </c>
      <c r="F1209" s="1" t="s">
        <v>37</v>
      </c>
      <c r="G1209" s="1" t="s">
        <v>14</v>
      </c>
      <c r="H1209" s="1" t="s">
        <v>15</v>
      </c>
      <c r="I1209" s="1" t="s">
        <v>16</v>
      </c>
    </row>
    <row r="1210" spans="1:9" x14ac:dyDescent="0.25">
      <c r="A1210" s="1" t="s">
        <v>9</v>
      </c>
      <c r="B1210" s="1" t="s">
        <v>10</v>
      </c>
      <c r="C1210" s="1" t="s">
        <v>247</v>
      </c>
      <c r="D1210" s="1" t="s">
        <v>36</v>
      </c>
      <c r="E1210">
        <v>400</v>
      </c>
      <c r="F1210" s="1" t="s">
        <v>37</v>
      </c>
      <c r="G1210" s="1" t="s">
        <v>14</v>
      </c>
      <c r="H1210" s="1" t="s">
        <v>15</v>
      </c>
      <c r="I1210" s="1" t="s">
        <v>16</v>
      </c>
    </row>
    <row r="1211" spans="1:9" x14ac:dyDescent="0.25">
      <c r="A1211" s="1" t="s">
        <v>9</v>
      </c>
      <c r="B1211" s="1" t="s">
        <v>10</v>
      </c>
      <c r="C1211" s="1" t="s">
        <v>247</v>
      </c>
      <c r="D1211" s="1" t="s">
        <v>37</v>
      </c>
      <c r="E1211">
        <v>400</v>
      </c>
      <c r="F1211" s="1" t="s">
        <v>37</v>
      </c>
      <c r="G1211" s="1" t="s">
        <v>14</v>
      </c>
      <c r="H1211" s="1" t="s">
        <v>15</v>
      </c>
      <c r="I1211" s="1" t="s">
        <v>16</v>
      </c>
    </row>
    <row r="1212" spans="1:9" x14ac:dyDescent="0.25">
      <c r="A1212" s="1" t="s">
        <v>9</v>
      </c>
      <c r="B1212" s="1" t="s">
        <v>10</v>
      </c>
      <c r="C1212" s="1" t="s">
        <v>247</v>
      </c>
      <c r="D1212" s="1" t="s">
        <v>38</v>
      </c>
      <c r="E1212">
        <v>400</v>
      </c>
      <c r="F1212" s="1" t="s">
        <v>37</v>
      </c>
      <c r="G1212" s="1" t="s">
        <v>14</v>
      </c>
      <c r="H1212" s="1" t="s">
        <v>15</v>
      </c>
      <c r="I1212" s="1" t="s">
        <v>16</v>
      </c>
    </row>
    <row r="1213" spans="1:9" x14ac:dyDescent="0.25">
      <c r="A1213" s="1" t="s">
        <v>9</v>
      </c>
      <c r="B1213" s="1" t="s">
        <v>10</v>
      </c>
      <c r="C1213" s="1" t="s">
        <v>247</v>
      </c>
      <c r="D1213" s="1" t="s">
        <v>39</v>
      </c>
      <c r="E1213">
        <v>400</v>
      </c>
      <c r="F1213" s="1" t="s">
        <v>37</v>
      </c>
      <c r="G1213" s="1" t="s">
        <v>14</v>
      </c>
      <c r="H1213" s="1" t="s">
        <v>15</v>
      </c>
      <c r="I1213" s="1" t="s">
        <v>16</v>
      </c>
    </row>
    <row r="1214" spans="1:9" x14ac:dyDescent="0.25">
      <c r="A1214" s="1" t="s">
        <v>9</v>
      </c>
      <c r="B1214" s="1" t="s">
        <v>10</v>
      </c>
      <c r="C1214" s="1" t="s">
        <v>247</v>
      </c>
      <c r="D1214" s="1" t="s">
        <v>40</v>
      </c>
      <c r="E1214">
        <v>400</v>
      </c>
      <c r="F1214" s="1" t="s">
        <v>37</v>
      </c>
      <c r="G1214" s="1" t="s">
        <v>14</v>
      </c>
      <c r="H1214" s="1" t="s">
        <v>15</v>
      </c>
      <c r="I1214" s="1" t="s">
        <v>16</v>
      </c>
    </row>
    <row r="1215" spans="1:9" x14ac:dyDescent="0.25">
      <c r="A1215" s="1" t="s">
        <v>9</v>
      </c>
      <c r="B1215" s="1" t="s">
        <v>10</v>
      </c>
      <c r="C1215" s="1" t="s">
        <v>247</v>
      </c>
      <c r="D1215" s="1" t="s">
        <v>41</v>
      </c>
      <c r="E1215">
        <v>400</v>
      </c>
      <c r="F1215" s="1" t="s">
        <v>37</v>
      </c>
      <c r="G1215" s="1" t="s">
        <v>14</v>
      </c>
      <c r="H1215" s="1" t="s">
        <v>15</v>
      </c>
      <c r="I1215" s="1" t="s">
        <v>16</v>
      </c>
    </row>
    <row r="1216" spans="1:9" x14ac:dyDescent="0.25">
      <c r="A1216" s="1" t="s">
        <v>9</v>
      </c>
      <c r="B1216" s="1" t="s">
        <v>10</v>
      </c>
      <c r="C1216" s="1" t="s">
        <v>247</v>
      </c>
      <c r="D1216" s="1" t="s">
        <v>42</v>
      </c>
      <c r="E1216">
        <v>400</v>
      </c>
      <c r="F1216" s="1" t="s">
        <v>37</v>
      </c>
      <c r="G1216" s="1" t="s">
        <v>14</v>
      </c>
      <c r="H1216" s="1" t="s">
        <v>15</v>
      </c>
      <c r="I1216" s="1" t="s">
        <v>16</v>
      </c>
    </row>
    <row r="1217" spans="1:9" x14ac:dyDescent="0.25">
      <c r="A1217" s="1" t="s">
        <v>9</v>
      </c>
      <c r="B1217" s="1" t="s">
        <v>10</v>
      </c>
      <c r="C1217" s="1" t="s">
        <v>247</v>
      </c>
      <c r="D1217" s="1" t="s">
        <v>43</v>
      </c>
      <c r="E1217">
        <v>400</v>
      </c>
      <c r="F1217" s="1" t="s">
        <v>37</v>
      </c>
      <c r="G1217" s="1" t="s">
        <v>14</v>
      </c>
      <c r="H1217" s="1" t="s">
        <v>15</v>
      </c>
      <c r="I1217" s="1" t="s">
        <v>16</v>
      </c>
    </row>
    <row r="1218" spans="1:9" x14ac:dyDescent="0.25">
      <c r="A1218" s="1" t="s">
        <v>9</v>
      </c>
      <c r="B1218" s="1" t="s">
        <v>10</v>
      </c>
      <c r="C1218" s="1" t="s">
        <v>247</v>
      </c>
      <c r="D1218" s="1" t="s">
        <v>45</v>
      </c>
      <c r="E1218">
        <v>400</v>
      </c>
      <c r="F1218" s="1" t="s">
        <v>37</v>
      </c>
      <c r="G1218" s="1" t="s">
        <v>14</v>
      </c>
      <c r="H1218" s="1" t="s">
        <v>15</v>
      </c>
      <c r="I1218" s="1" t="s">
        <v>16</v>
      </c>
    </row>
    <row r="1219" spans="1:9" x14ac:dyDescent="0.25">
      <c r="A1219" s="1" t="s">
        <v>9</v>
      </c>
      <c r="B1219" s="1" t="s">
        <v>10</v>
      </c>
      <c r="C1219" s="1" t="s">
        <v>247</v>
      </c>
      <c r="D1219" s="1" t="s">
        <v>46</v>
      </c>
      <c r="E1219">
        <v>400</v>
      </c>
      <c r="F1219" s="1" t="s">
        <v>37</v>
      </c>
      <c r="G1219" s="1" t="s">
        <v>14</v>
      </c>
      <c r="H1219" s="1" t="s">
        <v>15</v>
      </c>
      <c r="I1219" s="1" t="s">
        <v>16</v>
      </c>
    </row>
    <row r="1220" spans="1:9" x14ac:dyDescent="0.25">
      <c r="A1220" s="1" t="s">
        <v>9</v>
      </c>
      <c r="B1220" s="1" t="s">
        <v>10</v>
      </c>
      <c r="C1220" s="1" t="s">
        <v>247</v>
      </c>
      <c r="D1220" s="1" t="s">
        <v>47</v>
      </c>
      <c r="E1220">
        <v>400</v>
      </c>
      <c r="F1220" s="1" t="s">
        <v>37</v>
      </c>
      <c r="G1220" s="1" t="s">
        <v>14</v>
      </c>
      <c r="H1220" s="1" t="s">
        <v>15</v>
      </c>
      <c r="I1220" s="1" t="s">
        <v>16</v>
      </c>
    </row>
    <row r="1221" spans="1:9" x14ac:dyDescent="0.25">
      <c r="A1221" s="1" t="s">
        <v>9</v>
      </c>
      <c r="B1221" s="1" t="s">
        <v>10</v>
      </c>
      <c r="C1221" s="1" t="s">
        <v>247</v>
      </c>
      <c r="D1221" s="1" t="s">
        <v>48</v>
      </c>
      <c r="E1221">
        <v>400</v>
      </c>
      <c r="F1221" s="1" t="s">
        <v>37</v>
      </c>
      <c r="G1221" s="1" t="s">
        <v>14</v>
      </c>
      <c r="H1221" s="1" t="s">
        <v>15</v>
      </c>
      <c r="I1221" s="1" t="s">
        <v>16</v>
      </c>
    </row>
    <row r="1222" spans="1:9" x14ac:dyDescent="0.25">
      <c r="A1222" s="1" t="s">
        <v>9</v>
      </c>
      <c r="B1222" s="1" t="s">
        <v>10</v>
      </c>
      <c r="C1222" s="1" t="s">
        <v>247</v>
      </c>
      <c r="D1222" s="1" t="s">
        <v>49</v>
      </c>
      <c r="E1222">
        <v>400</v>
      </c>
      <c r="F1222" s="1" t="s">
        <v>37</v>
      </c>
      <c r="G1222" s="1" t="s">
        <v>14</v>
      </c>
      <c r="H1222" s="1" t="s">
        <v>15</v>
      </c>
      <c r="I1222" s="1" t="s">
        <v>16</v>
      </c>
    </row>
    <row r="1223" spans="1:9" x14ac:dyDescent="0.25">
      <c r="A1223" s="1" t="s">
        <v>9</v>
      </c>
      <c r="B1223" s="1" t="s">
        <v>10</v>
      </c>
      <c r="C1223" s="1" t="s">
        <v>247</v>
      </c>
      <c r="D1223" s="1" t="s">
        <v>50</v>
      </c>
      <c r="E1223">
        <v>400</v>
      </c>
      <c r="F1223" s="1" t="s">
        <v>37</v>
      </c>
      <c r="G1223" s="1" t="s">
        <v>14</v>
      </c>
      <c r="H1223" s="1" t="s">
        <v>15</v>
      </c>
      <c r="I1223" s="1" t="s">
        <v>16</v>
      </c>
    </row>
    <row r="1224" spans="1:9" x14ac:dyDescent="0.25">
      <c r="A1224" s="1" t="s">
        <v>9</v>
      </c>
      <c r="B1224" s="1" t="s">
        <v>10</v>
      </c>
      <c r="C1224" s="1" t="s">
        <v>247</v>
      </c>
      <c r="D1224" s="1" t="s">
        <v>51</v>
      </c>
      <c r="E1224">
        <v>400</v>
      </c>
      <c r="F1224" s="1" t="s">
        <v>37</v>
      </c>
      <c r="G1224" s="1" t="s">
        <v>14</v>
      </c>
      <c r="H1224" s="1" t="s">
        <v>15</v>
      </c>
      <c r="I1224" s="1" t="s">
        <v>16</v>
      </c>
    </row>
    <row r="1225" spans="1:9" x14ac:dyDescent="0.25">
      <c r="A1225" s="1" t="s">
        <v>9</v>
      </c>
      <c r="B1225" s="1" t="s">
        <v>10</v>
      </c>
      <c r="C1225" s="1" t="s">
        <v>247</v>
      </c>
      <c r="D1225" s="1" t="s">
        <v>52</v>
      </c>
      <c r="E1225">
        <v>400</v>
      </c>
      <c r="F1225" s="1" t="s">
        <v>37</v>
      </c>
      <c r="G1225" s="1" t="s">
        <v>14</v>
      </c>
      <c r="H1225" s="1" t="s">
        <v>15</v>
      </c>
      <c r="I1225" s="1" t="s">
        <v>16</v>
      </c>
    </row>
    <row r="1226" spans="1:9" x14ac:dyDescent="0.25">
      <c r="A1226" s="1" t="s">
        <v>9</v>
      </c>
      <c r="B1226" s="1" t="s">
        <v>10</v>
      </c>
      <c r="C1226" s="1" t="s">
        <v>247</v>
      </c>
      <c r="D1226" s="1" t="s">
        <v>53</v>
      </c>
      <c r="E1226">
        <v>400</v>
      </c>
      <c r="F1226" s="1" t="s">
        <v>37</v>
      </c>
      <c r="G1226" s="1" t="s">
        <v>14</v>
      </c>
      <c r="H1226" s="1" t="s">
        <v>15</v>
      </c>
      <c r="I1226" s="1" t="s">
        <v>16</v>
      </c>
    </row>
    <row r="1227" spans="1:9" x14ac:dyDescent="0.25">
      <c r="A1227" s="1" t="s">
        <v>9</v>
      </c>
      <c r="B1227" s="1" t="s">
        <v>10</v>
      </c>
      <c r="C1227" s="1" t="s">
        <v>247</v>
      </c>
      <c r="D1227" s="1" t="s">
        <v>54</v>
      </c>
      <c r="E1227">
        <v>400</v>
      </c>
      <c r="F1227" s="1" t="s">
        <v>37</v>
      </c>
      <c r="G1227" s="1" t="s">
        <v>14</v>
      </c>
      <c r="H1227" s="1" t="s">
        <v>15</v>
      </c>
      <c r="I1227" s="1" t="s">
        <v>16</v>
      </c>
    </row>
    <row r="1228" spans="1:9" x14ac:dyDescent="0.25">
      <c r="A1228" s="1" t="s">
        <v>9</v>
      </c>
      <c r="B1228" s="1" t="s">
        <v>10</v>
      </c>
      <c r="C1228" s="1" t="s">
        <v>247</v>
      </c>
      <c r="D1228" s="1" t="s">
        <v>55</v>
      </c>
      <c r="E1228">
        <v>400</v>
      </c>
      <c r="F1228" s="1" t="s">
        <v>37</v>
      </c>
      <c r="G1228" s="1" t="s">
        <v>14</v>
      </c>
      <c r="H1228" s="1" t="s">
        <v>15</v>
      </c>
      <c r="I1228" s="1" t="s">
        <v>16</v>
      </c>
    </row>
    <row r="1229" spans="1:9" x14ac:dyDescent="0.25">
      <c r="A1229" s="1" t="s">
        <v>9</v>
      </c>
      <c r="B1229" s="1" t="s">
        <v>10</v>
      </c>
      <c r="C1229" s="1" t="s">
        <v>247</v>
      </c>
      <c r="D1229" s="1" t="s">
        <v>56</v>
      </c>
      <c r="E1229">
        <v>400</v>
      </c>
      <c r="F1229" s="1" t="s">
        <v>37</v>
      </c>
      <c r="G1229" s="1" t="s">
        <v>14</v>
      </c>
      <c r="H1229" s="1" t="s">
        <v>15</v>
      </c>
      <c r="I1229" s="1" t="s">
        <v>16</v>
      </c>
    </row>
    <row r="1230" spans="1:9" x14ac:dyDescent="0.25">
      <c r="A1230" s="1" t="s">
        <v>9</v>
      </c>
      <c r="B1230" s="1" t="s">
        <v>10</v>
      </c>
      <c r="C1230" s="1" t="s">
        <v>247</v>
      </c>
      <c r="D1230" s="1" t="s">
        <v>57</v>
      </c>
      <c r="E1230">
        <v>400</v>
      </c>
      <c r="F1230" s="1" t="s">
        <v>37</v>
      </c>
      <c r="G1230" s="1" t="s">
        <v>14</v>
      </c>
      <c r="H1230" s="1" t="s">
        <v>15</v>
      </c>
      <c r="I1230" s="1" t="s">
        <v>16</v>
      </c>
    </row>
    <row r="1231" spans="1:9" x14ac:dyDescent="0.25">
      <c r="A1231" s="1" t="s">
        <v>9</v>
      </c>
      <c r="B1231" s="1" t="s">
        <v>10</v>
      </c>
      <c r="C1231" s="1" t="s">
        <v>247</v>
      </c>
      <c r="D1231" s="1" t="s">
        <v>58</v>
      </c>
      <c r="E1231">
        <v>400</v>
      </c>
      <c r="F1231" s="1" t="s">
        <v>37</v>
      </c>
      <c r="G1231" s="1" t="s">
        <v>14</v>
      </c>
      <c r="H1231" s="1" t="s">
        <v>15</v>
      </c>
      <c r="I1231" s="1" t="s">
        <v>16</v>
      </c>
    </row>
    <row r="1232" spans="1:9" x14ac:dyDescent="0.25">
      <c r="A1232" s="1" t="s">
        <v>9</v>
      </c>
      <c r="B1232" s="1" t="s">
        <v>10</v>
      </c>
      <c r="C1232" s="1" t="s">
        <v>247</v>
      </c>
      <c r="D1232" s="1" t="s">
        <v>59</v>
      </c>
      <c r="E1232">
        <v>400</v>
      </c>
      <c r="F1232" s="1" t="s">
        <v>37</v>
      </c>
      <c r="G1232" s="1" t="s">
        <v>14</v>
      </c>
      <c r="H1232" s="1" t="s">
        <v>15</v>
      </c>
      <c r="I1232" s="1" t="s">
        <v>16</v>
      </c>
    </row>
    <row r="1233" spans="1:9" x14ac:dyDescent="0.25">
      <c r="A1233" s="1" t="s">
        <v>9</v>
      </c>
      <c r="B1233" s="1" t="s">
        <v>10</v>
      </c>
      <c r="C1233" s="1" t="s">
        <v>247</v>
      </c>
      <c r="D1233" s="1" t="s">
        <v>60</v>
      </c>
      <c r="E1233">
        <v>400</v>
      </c>
      <c r="F1233" s="1" t="s">
        <v>37</v>
      </c>
      <c r="G1233" s="1" t="s">
        <v>14</v>
      </c>
      <c r="H1233" s="1" t="s">
        <v>15</v>
      </c>
      <c r="I1233" s="1" t="s">
        <v>16</v>
      </c>
    </row>
    <row r="1234" spans="1:9" x14ac:dyDescent="0.25">
      <c r="A1234" s="1" t="s">
        <v>9</v>
      </c>
      <c r="B1234" s="1" t="s">
        <v>10</v>
      </c>
      <c r="C1234" s="1" t="s">
        <v>247</v>
      </c>
      <c r="D1234" s="1" t="s">
        <v>61</v>
      </c>
      <c r="E1234">
        <v>400</v>
      </c>
      <c r="F1234" s="1" t="s">
        <v>37</v>
      </c>
      <c r="G1234" s="1" t="s">
        <v>14</v>
      </c>
      <c r="H1234" s="1" t="s">
        <v>15</v>
      </c>
      <c r="I1234" s="1" t="s">
        <v>16</v>
      </c>
    </row>
    <row r="1235" spans="1:9" x14ac:dyDescent="0.25">
      <c r="A1235" s="1" t="s">
        <v>9</v>
      </c>
      <c r="B1235" s="1" t="s">
        <v>10</v>
      </c>
      <c r="C1235" s="1" t="s">
        <v>247</v>
      </c>
      <c r="D1235" s="1" t="s">
        <v>62</v>
      </c>
      <c r="E1235">
        <v>400</v>
      </c>
      <c r="F1235" s="1" t="s">
        <v>37</v>
      </c>
      <c r="G1235" s="1" t="s">
        <v>14</v>
      </c>
      <c r="H1235" s="1" t="s">
        <v>15</v>
      </c>
      <c r="I1235" s="1" t="s">
        <v>16</v>
      </c>
    </row>
    <row r="1236" spans="1:9" x14ac:dyDescent="0.25">
      <c r="A1236" s="1" t="s">
        <v>9</v>
      </c>
      <c r="B1236" s="1" t="s">
        <v>10</v>
      </c>
      <c r="C1236" s="1" t="s">
        <v>247</v>
      </c>
      <c r="D1236" s="1" t="s">
        <v>63</v>
      </c>
      <c r="E1236">
        <v>400</v>
      </c>
      <c r="F1236" s="1" t="s">
        <v>37</v>
      </c>
      <c r="G1236" s="1" t="s">
        <v>14</v>
      </c>
      <c r="H1236" s="1" t="s">
        <v>15</v>
      </c>
      <c r="I1236" s="1" t="s">
        <v>16</v>
      </c>
    </row>
    <row r="1237" spans="1:9" x14ac:dyDescent="0.25">
      <c r="A1237" s="1" t="s">
        <v>9</v>
      </c>
      <c r="B1237" s="1" t="s">
        <v>10</v>
      </c>
      <c r="C1237" s="1" t="s">
        <v>247</v>
      </c>
      <c r="D1237" s="1" t="s">
        <v>64</v>
      </c>
      <c r="E1237">
        <v>400</v>
      </c>
      <c r="F1237" s="1" t="s">
        <v>37</v>
      </c>
      <c r="G1237" s="1" t="s">
        <v>14</v>
      </c>
      <c r="H1237" s="1" t="s">
        <v>15</v>
      </c>
      <c r="I1237" s="1" t="s">
        <v>16</v>
      </c>
    </row>
    <row r="1238" spans="1:9" x14ac:dyDescent="0.25">
      <c r="A1238" s="1" t="s">
        <v>9</v>
      </c>
      <c r="B1238" s="1" t="s">
        <v>10</v>
      </c>
      <c r="C1238" s="1" t="s">
        <v>247</v>
      </c>
      <c r="D1238" s="1" t="s">
        <v>65</v>
      </c>
      <c r="E1238">
        <v>400</v>
      </c>
      <c r="F1238" s="1" t="s">
        <v>37</v>
      </c>
      <c r="G1238" s="1" t="s">
        <v>14</v>
      </c>
      <c r="H1238" s="1" t="s">
        <v>15</v>
      </c>
      <c r="I1238" s="1" t="s">
        <v>16</v>
      </c>
    </row>
    <row r="1239" spans="1:9" x14ac:dyDescent="0.25">
      <c r="A1239" s="1" t="s">
        <v>9</v>
      </c>
      <c r="B1239" s="1" t="s">
        <v>10</v>
      </c>
      <c r="C1239" s="1" t="s">
        <v>247</v>
      </c>
      <c r="D1239" s="1" t="s">
        <v>66</v>
      </c>
      <c r="E1239">
        <v>400</v>
      </c>
      <c r="F1239" s="1" t="s">
        <v>37</v>
      </c>
      <c r="G1239" s="1" t="s">
        <v>14</v>
      </c>
      <c r="H1239" s="1" t="s">
        <v>15</v>
      </c>
      <c r="I1239" s="1" t="s">
        <v>16</v>
      </c>
    </row>
    <row r="1240" spans="1:9" x14ac:dyDescent="0.25">
      <c r="A1240" s="1" t="s">
        <v>9</v>
      </c>
      <c r="B1240" s="1" t="s">
        <v>10</v>
      </c>
      <c r="C1240" s="1" t="s">
        <v>247</v>
      </c>
      <c r="D1240" s="1" t="s">
        <v>67</v>
      </c>
      <c r="E1240">
        <v>400</v>
      </c>
      <c r="F1240" s="1" t="s">
        <v>37</v>
      </c>
      <c r="G1240" s="1" t="s">
        <v>14</v>
      </c>
      <c r="H1240" s="1" t="s">
        <v>15</v>
      </c>
      <c r="I1240" s="1" t="s">
        <v>16</v>
      </c>
    </row>
    <row r="1241" spans="1:9" x14ac:dyDescent="0.25">
      <c r="A1241" s="1" t="s">
        <v>9</v>
      </c>
      <c r="B1241" s="1" t="s">
        <v>10</v>
      </c>
      <c r="C1241" s="1" t="s">
        <v>247</v>
      </c>
      <c r="D1241" s="1" t="s">
        <v>68</v>
      </c>
      <c r="E1241">
        <v>400</v>
      </c>
      <c r="F1241" s="1" t="s">
        <v>37</v>
      </c>
      <c r="G1241" s="1" t="s">
        <v>14</v>
      </c>
      <c r="H1241" s="1" t="s">
        <v>15</v>
      </c>
      <c r="I1241" s="1" t="s">
        <v>16</v>
      </c>
    </row>
    <row r="1242" spans="1:9" x14ac:dyDescent="0.25">
      <c r="A1242" s="1" t="s">
        <v>9</v>
      </c>
      <c r="B1242" s="1" t="s">
        <v>10</v>
      </c>
      <c r="C1242" s="1" t="s">
        <v>247</v>
      </c>
      <c r="D1242" s="1" t="s">
        <v>69</v>
      </c>
      <c r="E1242">
        <v>400</v>
      </c>
      <c r="F1242" s="1" t="s">
        <v>37</v>
      </c>
      <c r="G1242" s="1" t="s">
        <v>14</v>
      </c>
      <c r="H1242" s="1" t="s">
        <v>15</v>
      </c>
      <c r="I1242" s="1" t="s">
        <v>16</v>
      </c>
    </row>
    <row r="1243" spans="1:9" x14ac:dyDescent="0.25">
      <c r="A1243" s="1" t="s">
        <v>9</v>
      </c>
      <c r="B1243" s="1" t="s">
        <v>10</v>
      </c>
      <c r="C1243" s="1" t="s">
        <v>247</v>
      </c>
      <c r="D1243" s="1" t="s">
        <v>70</v>
      </c>
      <c r="E1243">
        <v>400</v>
      </c>
      <c r="F1243" s="1" t="s">
        <v>37</v>
      </c>
      <c r="G1243" s="1" t="s">
        <v>14</v>
      </c>
      <c r="H1243" s="1" t="s">
        <v>15</v>
      </c>
      <c r="I1243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5"/>
  <sheetViews>
    <sheetView topLeftCell="F54" workbookViewId="0">
      <selection activeCell="A80" sqref="A80"/>
    </sheetView>
  </sheetViews>
  <sheetFormatPr baseColWidth="10" defaultColWidth="9.140625" defaultRowHeight="15" x14ac:dyDescent="0.25"/>
  <sheetData>
    <row r="1" spans="1:24" x14ac:dyDescent="0.25">
      <c r="A1" t="s">
        <v>248</v>
      </c>
      <c r="B1" t="s">
        <v>249</v>
      </c>
      <c r="C1" t="s">
        <v>250</v>
      </c>
      <c r="D1" s="4" t="s">
        <v>251</v>
      </c>
      <c r="E1" s="4" t="s">
        <v>74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82</v>
      </c>
      <c r="K1" s="4" t="s">
        <v>85</v>
      </c>
      <c r="L1" s="4" t="s">
        <v>86</v>
      </c>
      <c r="M1" s="4" t="s">
        <v>87</v>
      </c>
      <c r="N1" s="4" t="s">
        <v>96</v>
      </c>
      <c r="O1" s="4" t="s">
        <v>152</v>
      </c>
      <c r="P1" s="4" t="s">
        <v>207</v>
      </c>
      <c r="Q1" s="4" t="s">
        <v>239</v>
      </c>
      <c r="R1" s="4" t="s">
        <v>240</v>
      </c>
      <c r="S1" s="4" t="s">
        <v>241</v>
      </c>
      <c r="T1" s="4" t="s">
        <v>242</v>
      </c>
      <c r="U1" s="4" t="s">
        <v>244</v>
      </c>
      <c r="V1" s="4" t="s">
        <v>245</v>
      </c>
      <c r="W1" s="4" t="s">
        <v>246</v>
      </c>
      <c r="X1" s="4" t="s">
        <v>247</v>
      </c>
    </row>
    <row r="2" spans="1:24" x14ac:dyDescent="0.25">
      <c r="A2" s="4" t="s">
        <v>12</v>
      </c>
      <c r="B2" s="2">
        <v>475</v>
      </c>
      <c r="C2" s="2">
        <v>325</v>
      </c>
      <c r="D2" s="2">
        <v>650</v>
      </c>
      <c r="E2" s="2">
        <v>175</v>
      </c>
      <c r="F2" s="2">
        <v>175</v>
      </c>
      <c r="G2" s="2">
        <v>175</v>
      </c>
      <c r="H2" s="2">
        <v>325</v>
      </c>
      <c r="I2" s="2">
        <v>325</v>
      </c>
      <c r="J2" s="2">
        <v>1100</v>
      </c>
      <c r="K2" s="2">
        <v>225</v>
      </c>
      <c r="L2" s="2">
        <v>225</v>
      </c>
      <c r="M2" s="2">
        <v>1325</v>
      </c>
      <c r="N2" s="2">
        <v>325</v>
      </c>
      <c r="O2" s="2">
        <v>200</v>
      </c>
      <c r="P2" s="2">
        <v>650</v>
      </c>
      <c r="Q2" s="2">
        <v>650</v>
      </c>
      <c r="R2" s="2">
        <v>325</v>
      </c>
      <c r="S2" s="2">
        <v>325</v>
      </c>
      <c r="T2" s="2">
        <v>675</v>
      </c>
      <c r="U2" s="2">
        <v>175</v>
      </c>
      <c r="V2" s="2">
        <v>325</v>
      </c>
      <c r="W2" s="2">
        <v>1475</v>
      </c>
      <c r="X2" s="2">
        <v>400</v>
      </c>
    </row>
    <row r="3" spans="1:24" x14ac:dyDescent="0.25">
      <c r="A3" s="5" t="s">
        <v>17</v>
      </c>
      <c r="B3" s="3">
        <v>850</v>
      </c>
      <c r="C3" s="3">
        <v>650</v>
      </c>
      <c r="D3" s="3">
        <v>650</v>
      </c>
      <c r="E3" s="3">
        <v>325</v>
      </c>
      <c r="F3" s="3">
        <v>350</v>
      </c>
      <c r="G3" s="3">
        <v>175</v>
      </c>
      <c r="H3" s="3">
        <v>325</v>
      </c>
      <c r="I3" s="3">
        <v>325</v>
      </c>
      <c r="J3" s="3">
        <v>1100</v>
      </c>
      <c r="K3" s="3">
        <v>875</v>
      </c>
      <c r="L3" s="3">
        <v>450</v>
      </c>
      <c r="M3" s="3">
        <v>325</v>
      </c>
      <c r="N3" s="3">
        <v>325</v>
      </c>
      <c r="O3" s="3">
        <v>200</v>
      </c>
      <c r="P3" s="3">
        <v>650</v>
      </c>
      <c r="Q3" s="3">
        <v>650</v>
      </c>
      <c r="R3" s="3">
        <v>650</v>
      </c>
      <c r="S3" s="3">
        <v>175</v>
      </c>
      <c r="T3" s="3">
        <v>675</v>
      </c>
      <c r="U3" s="3">
        <v>175</v>
      </c>
      <c r="V3" s="3">
        <v>325</v>
      </c>
      <c r="W3" s="3">
        <v>375</v>
      </c>
      <c r="X3" s="3">
        <v>400</v>
      </c>
    </row>
    <row r="4" spans="1:24" x14ac:dyDescent="0.25">
      <c r="A4" s="4" t="s">
        <v>18</v>
      </c>
      <c r="B4" s="2">
        <v>2550</v>
      </c>
      <c r="C4" s="2">
        <v>175</v>
      </c>
      <c r="D4" s="2">
        <v>325</v>
      </c>
      <c r="E4" s="2">
        <v>650</v>
      </c>
      <c r="F4" s="2">
        <v>350</v>
      </c>
      <c r="G4" s="2">
        <v>175</v>
      </c>
      <c r="H4" s="2">
        <v>650</v>
      </c>
      <c r="I4" s="2">
        <v>325</v>
      </c>
      <c r="J4" s="2">
        <v>1100</v>
      </c>
      <c r="K4" s="2">
        <v>225</v>
      </c>
      <c r="L4" s="2">
        <v>225</v>
      </c>
      <c r="M4" s="2">
        <v>325</v>
      </c>
      <c r="N4" s="2">
        <v>325</v>
      </c>
      <c r="O4" s="2">
        <v>200</v>
      </c>
      <c r="P4" s="2">
        <v>175</v>
      </c>
      <c r="Q4" s="2">
        <v>650</v>
      </c>
      <c r="R4" s="2">
        <v>325</v>
      </c>
      <c r="S4" s="2">
        <v>325</v>
      </c>
      <c r="T4" s="2">
        <v>675</v>
      </c>
      <c r="U4" s="2">
        <v>175</v>
      </c>
      <c r="V4" s="2">
        <v>325</v>
      </c>
      <c r="W4" s="2">
        <v>375</v>
      </c>
      <c r="X4" s="2">
        <v>400</v>
      </c>
    </row>
    <row r="5" spans="1:24" x14ac:dyDescent="0.25">
      <c r="A5" s="5" t="s">
        <v>19</v>
      </c>
      <c r="B5" s="3">
        <v>200</v>
      </c>
      <c r="C5" s="3">
        <v>175</v>
      </c>
      <c r="D5" s="3">
        <v>650</v>
      </c>
      <c r="E5" s="3">
        <v>325</v>
      </c>
      <c r="F5" s="3">
        <v>175</v>
      </c>
      <c r="G5" s="3">
        <v>175</v>
      </c>
      <c r="H5" s="3">
        <v>650</v>
      </c>
      <c r="I5" s="3">
        <v>325</v>
      </c>
      <c r="J5" s="3">
        <v>1100</v>
      </c>
      <c r="K5" s="3">
        <v>225</v>
      </c>
      <c r="L5" s="3">
        <v>225</v>
      </c>
      <c r="M5" s="3">
        <v>1325</v>
      </c>
      <c r="N5" s="3">
        <v>650</v>
      </c>
      <c r="O5" s="3">
        <v>200</v>
      </c>
      <c r="P5" s="3">
        <v>650</v>
      </c>
      <c r="Q5" s="3">
        <v>175</v>
      </c>
      <c r="R5" s="3">
        <v>325</v>
      </c>
      <c r="S5" s="3">
        <v>675</v>
      </c>
      <c r="T5" s="3">
        <v>675</v>
      </c>
      <c r="U5" s="3">
        <v>675</v>
      </c>
      <c r="V5" s="3">
        <v>325</v>
      </c>
      <c r="W5" s="3">
        <v>725</v>
      </c>
      <c r="X5" s="3">
        <v>400</v>
      </c>
    </row>
    <row r="6" spans="1:24" x14ac:dyDescent="0.25">
      <c r="A6" s="4" t="s">
        <v>20</v>
      </c>
      <c r="B6" s="2">
        <v>700</v>
      </c>
      <c r="C6" s="2">
        <v>175</v>
      </c>
      <c r="D6" s="2">
        <v>325</v>
      </c>
      <c r="E6" s="2">
        <v>175</v>
      </c>
      <c r="F6" s="2">
        <v>175</v>
      </c>
      <c r="G6" s="2">
        <v>175</v>
      </c>
      <c r="H6" s="2">
        <v>650</v>
      </c>
      <c r="I6" s="2">
        <v>325</v>
      </c>
      <c r="J6" s="2">
        <v>2200</v>
      </c>
      <c r="K6" s="2">
        <v>875</v>
      </c>
      <c r="L6" s="2">
        <v>450</v>
      </c>
      <c r="M6" s="2">
        <v>325</v>
      </c>
      <c r="N6" s="2">
        <v>325</v>
      </c>
      <c r="O6" s="2">
        <v>375</v>
      </c>
      <c r="P6" s="2">
        <v>175</v>
      </c>
      <c r="Q6" s="2">
        <v>650</v>
      </c>
      <c r="R6" s="2">
        <v>325</v>
      </c>
      <c r="S6" s="2">
        <v>675</v>
      </c>
      <c r="T6" s="2">
        <v>675</v>
      </c>
      <c r="U6" s="2">
        <v>325</v>
      </c>
      <c r="V6" s="2">
        <v>175</v>
      </c>
      <c r="W6" s="2">
        <v>375</v>
      </c>
      <c r="X6" s="2">
        <v>400</v>
      </c>
    </row>
    <row r="7" spans="1:24" x14ac:dyDescent="0.25">
      <c r="A7" s="5" t="s">
        <v>21</v>
      </c>
      <c r="B7" s="3">
        <v>700</v>
      </c>
      <c r="C7" s="3">
        <v>325</v>
      </c>
      <c r="D7" s="3">
        <v>325</v>
      </c>
      <c r="E7" s="3">
        <v>175</v>
      </c>
      <c r="F7" s="3">
        <v>175</v>
      </c>
      <c r="G7" s="3">
        <v>175</v>
      </c>
      <c r="H7" s="3">
        <v>325</v>
      </c>
      <c r="I7" s="3">
        <v>325</v>
      </c>
      <c r="J7" s="3">
        <v>2200</v>
      </c>
      <c r="K7" s="3">
        <v>450</v>
      </c>
      <c r="L7" s="3">
        <v>225</v>
      </c>
      <c r="M7" s="3">
        <v>650</v>
      </c>
      <c r="N7" s="3">
        <v>650</v>
      </c>
      <c r="O7" s="3">
        <v>200</v>
      </c>
      <c r="P7" s="3">
        <v>325</v>
      </c>
      <c r="Q7" s="3">
        <v>325</v>
      </c>
      <c r="R7" s="3">
        <v>650</v>
      </c>
      <c r="S7" s="3">
        <v>325</v>
      </c>
      <c r="T7" s="3">
        <v>675</v>
      </c>
      <c r="U7" s="3">
        <v>325</v>
      </c>
      <c r="V7" s="3">
        <v>325</v>
      </c>
      <c r="W7" s="3">
        <v>725</v>
      </c>
      <c r="X7" s="3">
        <v>400</v>
      </c>
    </row>
    <row r="8" spans="1:24" x14ac:dyDescent="0.25">
      <c r="A8" s="4" t="s">
        <v>22</v>
      </c>
      <c r="B8" s="2">
        <v>325</v>
      </c>
      <c r="C8" s="2">
        <v>175</v>
      </c>
      <c r="D8" s="2">
        <v>325</v>
      </c>
      <c r="E8" s="2">
        <v>175</v>
      </c>
      <c r="F8" s="2">
        <v>700</v>
      </c>
      <c r="G8" s="2">
        <v>325</v>
      </c>
      <c r="H8" s="2">
        <v>650</v>
      </c>
      <c r="I8" s="2">
        <v>325</v>
      </c>
      <c r="J8" s="2">
        <v>2200</v>
      </c>
      <c r="K8" s="2">
        <v>450</v>
      </c>
      <c r="L8" s="2">
        <v>450</v>
      </c>
      <c r="M8" s="2">
        <v>325</v>
      </c>
      <c r="N8" s="2">
        <v>650</v>
      </c>
      <c r="O8" s="2">
        <v>200</v>
      </c>
      <c r="P8" s="2">
        <v>175</v>
      </c>
      <c r="Q8" s="2">
        <v>325</v>
      </c>
      <c r="R8" s="2">
        <v>325</v>
      </c>
      <c r="S8" s="2">
        <v>675</v>
      </c>
      <c r="T8" s="2">
        <v>675</v>
      </c>
      <c r="U8" s="2">
        <v>175</v>
      </c>
      <c r="V8" s="2">
        <v>675</v>
      </c>
      <c r="W8" s="2">
        <v>375</v>
      </c>
      <c r="X8" s="2">
        <v>400</v>
      </c>
    </row>
    <row r="9" spans="1:24" x14ac:dyDescent="0.25">
      <c r="A9" s="5" t="s">
        <v>23</v>
      </c>
      <c r="B9" s="3">
        <v>250</v>
      </c>
      <c r="C9" s="3">
        <v>325</v>
      </c>
      <c r="D9" s="3">
        <v>650</v>
      </c>
      <c r="E9" s="3">
        <v>325</v>
      </c>
      <c r="F9" s="3">
        <v>175</v>
      </c>
      <c r="G9" s="3">
        <v>175</v>
      </c>
      <c r="H9" s="3">
        <v>325</v>
      </c>
      <c r="I9" s="3">
        <v>325</v>
      </c>
      <c r="J9" s="3">
        <v>2200</v>
      </c>
      <c r="K9" s="3">
        <v>875</v>
      </c>
      <c r="L9" s="3">
        <v>225</v>
      </c>
      <c r="M9" s="3">
        <v>325</v>
      </c>
      <c r="N9" s="3">
        <v>650</v>
      </c>
      <c r="O9" s="3">
        <v>200</v>
      </c>
      <c r="P9" s="3">
        <v>325</v>
      </c>
      <c r="Q9" s="3">
        <v>650</v>
      </c>
      <c r="R9" s="3">
        <v>325</v>
      </c>
      <c r="S9" s="3">
        <v>675</v>
      </c>
      <c r="T9" s="3">
        <v>325</v>
      </c>
      <c r="U9" s="3">
        <v>175</v>
      </c>
      <c r="V9" s="3">
        <v>325</v>
      </c>
      <c r="W9" s="3">
        <v>725</v>
      </c>
      <c r="X9" s="3">
        <v>400</v>
      </c>
    </row>
    <row r="10" spans="1:24" x14ac:dyDescent="0.25">
      <c r="A10" s="4" t="s">
        <v>24</v>
      </c>
      <c r="B10" s="2">
        <v>250</v>
      </c>
      <c r="C10" s="2">
        <v>175</v>
      </c>
      <c r="D10" s="2">
        <v>325</v>
      </c>
      <c r="E10" s="2">
        <v>650</v>
      </c>
      <c r="F10" s="2">
        <v>700</v>
      </c>
      <c r="G10" s="2">
        <v>175</v>
      </c>
      <c r="H10" s="2">
        <v>650</v>
      </c>
      <c r="I10" s="2">
        <v>325</v>
      </c>
      <c r="J10" s="2">
        <v>1100</v>
      </c>
      <c r="K10" s="2">
        <v>450</v>
      </c>
      <c r="L10" s="2">
        <v>450</v>
      </c>
      <c r="M10" s="2">
        <v>650</v>
      </c>
      <c r="N10" s="2">
        <v>650</v>
      </c>
      <c r="O10" s="2">
        <v>200</v>
      </c>
      <c r="P10" s="2">
        <v>175</v>
      </c>
      <c r="Q10" s="2">
        <v>325</v>
      </c>
      <c r="R10" s="2">
        <v>325</v>
      </c>
      <c r="S10" s="2">
        <v>675</v>
      </c>
      <c r="T10" s="2">
        <v>675</v>
      </c>
      <c r="U10" s="2">
        <v>675</v>
      </c>
      <c r="V10" s="2">
        <v>675</v>
      </c>
      <c r="W10" s="2">
        <v>375</v>
      </c>
      <c r="X10" s="2">
        <v>400</v>
      </c>
    </row>
    <row r="11" spans="1:24" x14ac:dyDescent="0.25">
      <c r="A11" s="5" t="s">
        <v>25</v>
      </c>
      <c r="B11" s="3">
        <v>1100</v>
      </c>
      <c r="C11" s="3">
        <v>175</v>
      </c>
      <c r="D11" s="3">
        <v>650</v>
      </c>
      <c r="E11" s="3">
        <v>325</v>
      </c>
      <c r="F11" s="3">
        <v>700</v>
      </c>
      <c r="G11" s="3">
        <v>175</v>
      </c>
      <c r="H11" s="3">
        <v>325</v>
      </c>
      <c r="I11" s="3">
        <v>325</v>
      </c>
      <c r="J11" s="3">
        <v>1100</v>
      </c>
      <c r="K11" s="3">
        <v>875</v>
      </c>
      <c r="L11" s="3">
        <v>450</v>
      </c>
      <c r="M11" s="3">
        <v>325</v>
      </c>
      <c r="N11" s="3">
        <v>175</v>
      </c>
      <c r="O11" s="3">
        <v>200</v>
      </c>
      <c r="P11" s="3">
        <v>175</v>
      </c>
      <c r="Q11" s="3">
        <v>325</v>
      </c>
      <c r="R11" s="3">
        <v>325</v>
      </c>
      <c r="S11" s="3">
        <v>175</v>
      </c>
      <c r="T11" s="3">
        <v>675</v>
      </c>
      <c r="U11" s="3">
        <v>675</v>
      </c>
      <c r="V11" s="3">
        <v>675</v>
      </c>
      <c r="W11" s="3">
        <v>725</v>
      </c>
      <c r="X11" s="3">
        <v>400</v>
      </c>
    </row>
    <row r="12" spans="1:24" x14ac:dyDescent="0.25">
      <c r="A12" s="4" t="s">
        <v>26</v>
      </c>
      <c r="B12" s="2">
        <v>1275</v>
      </c>
      <c r="C12" s="2">
        <v>650</v>
      </c>
      <c r="D12" s="2">
        <v>325</v>
      </c>
      <c r="E12" s="2">
        <v>325</v>
      </c>
      <c r="F12" s="2">
        <v>350</v>
      </c>
      <c r="G12" s="2">
        <v>175</v>
      </c>
      <c r="H12" s="2">
        <v>325</v>
      </c>
      <c r="I12" s="2">
        <v>325</v>
      </c>
      <c r="J12" s="2">
        <v>1100</v>
      </c>
      <c r="K12" s="2">
        <v>225</v>
      </c>
      <c r="L12" s="2">
        <v>225</v>
      </c>
      <c r="M12" s="2">
        <v>325</v>
      </c>
      <c r="N12" s="2">
        <v>325</v>
      </c>
      <c r="O12" s="2">
        <v>200</v>
      </c>
      <c r="P12" s="2">
        <v>325</v>
      </c>
      <c r="Q12" s="2">
        <v>650</v>
      </c>
      <c r="R12" s="2">
        <v>325</v>
      </c>
      <c r="S12" s="2">
        <v>175</v>
      </c>
      <c r="T12" s="2">
        <v>675</v>
      </c>
      <c r="U12" s="2">
        <v>175</v>
      </c>
      <c r="V12" s="2">
        <v>675</v>
      </c>
      <c r="W12" s="2">
        <v>1475</v>
      </c>
      <c r="X12" s="2">
        <v>400</v>
      </c>
    </row>
    <row r="13" spans="1:24" x14ac:dyDescent="0.25">
      <c r="A13" s="5" t="s">
        <v>27</v>
      </c>
      <c r="B13" s="3">
        <v>125</v>
      </c>
      <c r="C13" s="3">
        <v>650</v>
      </c>
      <c r="D13" s="3">
        <v>650</v>
      </c>
      <c r="E13" s="3">
        <v>175</v>
      </c>
      <c r="F13" s="3">
        <v>700</v>
      </c>
      <c r="G13" s="3">
        <v>175</v>
      </c>
      <c r="H13" s="3">
        <v>325</v>
      </c>
      <c r="I13" s="3">
        <v>325</v>
      </c>
      <c r="J13" s="3">
        <v>1100</v>
      </c>
      <c r="K13" s="3">
        <v>875</v>
      </c>
      <c r="L13" s="3">
        <v>225</v>
      </c>
      <c r="M13" s="3">
        <v>325</v>
      </c>
      <c r="N13" s="3">
        <v>175</v>
      </c>
      <c r="O13" s="3">
        <v>200</v>
      </c>
      <c r="P13" s="3">
        <v>650</v>
      </c>
      <c r="Q13" s="3">
        <v>650</v>
      </c>
      <c r="R13" s="3">
        <v>325</v>
      </c>
      <c r="S13" s="3">
        <v>175</v>
      </c>
      <c r="T13" s="3">
        <v>675</v>
      </c>
      <c r="U13" s="3">
        <v>325</v>
      </c>
      <c r="V13" s="3">
        <v>325</v>
      </c>
      <c r="W13" s="3">
        <v>1475</v>
      </c>
      <c r="X13" s="3">
        <v>400</v>
      </c>
    </row>
    <row r="14" spans="1:24" x14ac:dyDescent="0.25">
      <c r="A14" s="4" t="s">
        <v>28</v>
      </c>
      <c r="B14" s="2">
        <v>350</v>
      </c>
      <c r="C14" s="2">
        <v>175</v>
      </c>
      <c r="D14" s="2">
        <v>650</v>
      </c>
      <c r="E14" s="2">
        <v>175</v>
      </c>
      <c r="F14" s="2">
        <v>700</v>
      </c>
      <c r="G14" s="2">
        <v>175</v>
      </c>
      <c r="H14" s="2">
        <v>650</v>
      </c>
      <c r="I14" s="2">
        <v>325</v>
      </c>
      <c r="J14" s="2">
        <v>2200</v>
      </c>
      <c r="K14" s="2">
        <v>225</v>
      </c>
      <c r="L14" s="2">
        <v>450</v>
      </c>
      <c r="M14" s="2">
        <v>650</v>
      </c>
      <c r="N14" s="2">
        <v>325</v>
      </c>
      <c r="O14" s="2">
        <v>375</v>
      </c>
      <c r="P14" s="2">
        <v>325</v>
      </c>
      <c r="Q14" s="2">
        <v>650</v>
      </c>
      <c r="R14" s="2">
        <v>325</v>
      </c>
      <c r="S14" s="2">
        <v>325</v>
      </c>
      <c r="T14" s="2">
        <v>675</v>
      </c>
      <c r="U14" s="2">
        <v>175</v>
      </c>
      <c r="V14" s="2">
        <v>325</v>
      </c>
      <c r="W14" s="2">
        <v>375</v>
      </c>
      <c r="X14" s="2">
        <v>400</v>
      </c>
    </row>
    <row r="15" spans="1:24" x14ac:dyDescent="0.25">
      <c r="A15" s="5" t="s">
        <v>29</v>
      </c>
      <c r="B15" s="3">
        <v>300</v>
      </c>
      <c r="C15" s="3">
        <v>175</v>
      </c>
      <c r="D15" s="3">
        <v>650</v>
      </c>
      <c r="E15" s="3">
        <v>175</v>
      </c>
      <c r="F15" s="3">
        <v>175</v>
      </c>
      <c r="G15" s="3">
        <v>325</v>
      </c>
      <c r="H15" s="3">
        <v>325</v>
      </c>
      <c r="I15" s="3">
        <v>325</v>
      </c>
      <c r="J15" s="3">
        <v>2200</v>
      </c>
      <c r="K15" s="3">
        <v>225</v>
      </c>
      <c r="L15" s="3">
        <v>225</v>
      </c>
      <c r="M15" s="3">
        <v>1325</v>
      </c>
      <c r="N15" s="3">
        <v>650</v>
      </c>
      <c r="O15" s="3">
        <v>200</v>
      </c>
      <c r="P15" s="3">
        <v>175</v>
      </c>
      <c r="Q15" s="3">
        <v>650</v>
      </c>
      <c r="R15" s="3">
        <v>650</v>
      </c>
      <c r="S15" s="3">
        <v>325</v>
      </c>
      <c r="T15" s="3">
        <v>675</v>
      </c>
      <c r="U15" s="3">
        <v>175</v>
      </c>
      <c r="V15" s="3">
        <v>325</v>
      </c>
      <c r="W15" s="3">
        <v>375</v>
      </c>
      <c r="X15" s="3">
        <v>400</v>
      </c>
    </row>
    <row r="16" spans="1:24" x14ac:dyDescent="0.25">
      <c r="A16" s="4" t="s">
        <v>30</v>
      </c>
      <c r="B16" s="2">
        <v>900</v>
      </c>
      <c r="C16" s="2">
        <v>175</v>
      </c>
      <c r="D16" s="2">
        <v>650</v>
      </c>
      <c r="E16" s="2">
        <v>175</v>
      </c>
      <c r="F16" s="2">
        <v>700</v>
      </c>
      <c r="G16" s="2">
        <v>175</v>
      </c>
      <c r="H16" s="2">
        <v>325</v>
      </c>
      <c r="I16" s="2">
        <v>325</v>
      </c>
      <c r="J16" s="2">
        <v>2200</v>
      </c>
      <c r="K16" s="2">
        <v>225</v>
      </c>
      <c r="L16" s="2">
        <v>875</v>
      </c>
      <c r="M16" s="2">
        <v>650</v>
      </c>
      <c r="N16" s="2">
        <v>325</v>
      </c>
      <c r="O16" s="2">
        <v>200</v>
      </c>
      <c r="P16" s="2">
        <v>175</v>
      </c>
      <c r="Q16" s="2">
        <v>325</v>
      </c>
      <c r="R16" s="2">
        <v>325</v>
      </c>
      <c r="S16" s="2">
        <v>175</v>
      </c>
      <c r="T16" s="2">
        <v>675</v>
      </c>
      <c r="U16" s="2">
        <v>175</v>
      </c>
      <c r="V16" s="2">
        <v>175</v>
      </c>
      <c r="W16" s="2">
        <v>725</v>
      </c>
      <c r="X16" s="2">
        <v>400</v>
      </c>
    </row>
    <row r="17" spans="1:24" x14ac:dyDescent="0.25">
      <c r="A17" s="5" t="s">
        <v>31</v>
      </c>
      <c r="B17" s="3">
        <v>575</v>
      </c>
      <c r="C17" s="3">
        <v>325</v>
      </c>
      <c r="D17" s="3">
        <v>650</v>
      </c>
      <c r="E17" s="3">
        <v>175</v>
      </c>
      <c r="F17" s="3">
        <v>700</v>
      </c>
      <c r="G17" s="3">
        <v>175</v>
      </c>
      <c r="H17" s="3">
        <v>325</v>
      </c>
      <c r="I17" s="3">
        <v>325</v>
      </c>
      <c r="J17" s="3">
        <v>2200</v>
      </c>
      <c r="K17" s="3">
        <v>225</v>
      </c>
      <c r="L17" s="3">
        <v>225</v>
      </c>
      <c r="M17" s="3">
        <v>650</v>
      </c>
      <c r="N17" s="3">
        <v>650</v>
      </c>
      <c r="O17" s="3">
        <v>200</v>
      </c>
      <c r="P17" s="3">
        <v>175</v>
      </c>
      <c r="Q17" s="3">
        <v>175</v>
      </c>
      <c r="R17" s="3">
        <v>650</v>
      </c>
      <c r="S17" s="3">
        <v>325</v>
      </c>
      <c r="T17" s="3">
        <v>675</v>
      </c>
      <c r="U17" s="3">
        <v>175</v>
      </c>
      <c r="V17" s="3">
        <v>325</v>
      </c>
      <c r="W17" s="3">
        <v>725</v>
      </c>
      <c r="X17" s="3">
        <v>400</v>
      </c>
    </row>
    <row r="18" spans="1:24" x14ac:dyDescent="0.25">
      <c r="A18" s="4" t="s">
        <v>32</v>
      </c>
      <c r="B18" s="2">
        <v>1900</v>
      </c>
      <c r="C18" s="2">
        <v>175</v>
      </c>
      <c r="D18" s="2">
        <v>650</v>
      </c>
      <c r="E18" s="2">
        <v>175</v>
      </c>
      <c r="F18" s="2">
        <v>350</v>
      </c>
      <c r="G18" s="2">
        <v>325</v>
      </c>
      <c r="H18" s="2">
        <v>325</v>
      </c>
      <c r="I18" s="2">
        <v>325</v>
      </c>
      <c r="J18" s="2">
        <v>1100</v>
      </c>
      <c r="K18" s="2">
        <v>450</v>
      </c>
      <c r="L18" s="2">
        <v>450</v>
      </c>
      <c r="M18" s="2">
        <v>325</v>
      </c>
      <c r="N18" s="2">
        <v>650</v>
      </c>
      <c r="O18" s="2">
        <v>200</v>
      </c>
      <c r="P18" s="2">
        <v>175</v>
      </c>
      <c r="Q18" s="2">
        <v>175</v>
      </c>
      <c r="R18" s="2">
        <v>325</v>
      </c>
      <c r="S18" s="2">
        <v>675</v>
      </c>
      <c r="T18" s="2">
        <v>675</v>
      </c>
      <c r="U18" s="2">
        <v>175</v>
      </c>
      <c r="V18" s="2">
        <v>325</v>
      </c>
      <c r="W18" s="2">
        <v>725</v>
      </c>
      <c r="X18" s="2">
        <v>400</v>
      </c>
    </row>
    <row r="19" spans="1:24" x14ac:dyDescent="0.25">
      <c r="A19" s="5" t="s">
        <v>33</v>
      </c>
      <c r="B19" s="3">
        <v>1350</v>
      </c>
      <c r="C19" s="3">
        <v>325</v>
      </c>
      <c r="D19" s="3">
        <v>325</v>
      </c>
      <c r="E19" s="3">
        <v>650</v>
      </c>
      <c r="F19" s="3">
        <v>350</v>
      </c>
      <c r="G19" s="3">
        <v>175</v>
      </c>
      <c r="H19" s="3">
        <v>650</v>
      </c>
      <c r="I19" s="3">
        <v>325</v>
      </c>
      <c r="J19" s="3">
        <v>1100</v>
      </c>
      <c r="K19" s="3">
        <v>225</v>
      </c>
      <c r="L19" s="3">
        <v>225</v>
      </c>
      <c r="M19" s="3">
        <v>650</v>
      </c>
      <c r="N19" s="3">
        <v>325</v>
      </c>
      <c r="O19" s="3">
        <v>200</v>
      </c>
      <c r="P19" s="3">
        <v>175</v>
      </c>
      <c r="Q19" s="3">
        <v>650</v>
      </c>
      <c r="R19" s="3">
        <v>325</v>
      </c>
      <c r="S19" s="3">
        <v>175</v>
      </c>
      <c r="T19" s="3">
        <v>675</v>
      </c>
      <c r="U19" s="3">
        <v>325</v>
      </c>
      <c r="V19" s="3">
        <v>675</v>
      </c>
      <c r="W19" s="3">
        <v>725</v>
      </c>
      <c r="X19" s="3">
        <v>400</v>
      </c>
    </row>
    <row r="20" spans="1:24" x14ac:dyDescent="0.25">
      <c r="A20" s="4" t="s">
        <v>34</v>
      </c>
      <c r="B20" s="2">
        <v>600</v>
      </c>
      <c r="C20" s="2">
        <v>325</v>
      </c>
      <c r="D20" s="2">
        <v>325</v>
      </c>
      <c r="E20" s="2">
        <v>175</v>
      </c>
      <c r="F20" s="2">
        <v>350</v>
      </c>
      <c r="G20" s="2">
        <v>175</v>
      </c>
      <c r="H20" s="2">
        <v>325</v>
      </c>
      <c r="I20" s="2">
        <v>325</v>
      </c>
      <c r="J20" s="2">
        <v>2200</v>
      </c>
      <c r="K20" s="2">
        <v>450</v>
      </c>
      <c r="L20" s="2">
        <v>450</v>
      </c>
      <c r="M20" s="2">
        <v>325</v>
      </c>
      <c r="N20" s="2">
        <v>650</v>
      </c>
      <c r="O20" s="2">
        <v>375</v>
      </c>
      <c r="P20" s="2">
        <v>175</v>
      </c>
      <c r="Q20" s="2">
        <v>325</v>
      </c>
      <c r="R20" s="2">
        <v>650</v>
      </c>
      <c r="S20" s="2">
        <v>675</v>
      </c>
      <c r="T20" s="2">
        <v>675</v>
      </c>
      <c r="U20" s="2">
        <v>175</v>
      </c>
      <c r="V20" s="2">
        <v>175</v>
      </c>
      <c r="W20" s="2">
        <v>725</v>
      </c>
      <c r="X20" s="2">
        <v>400</v>
      </c>
    </row>
    <row r="21" spans="1:24" x14ac:dyDescent="0.25">
      <c r="A21" s="5" t="s">
        <v>35</v>
      </c>
      <c r="B21" s="3">
        <v>1225</v>
      </c>
      <c r="C21" s="3">
        <v>325</v>
      </c>
      <c r="D21" s="3">
        <v>650</v>
      </c>
      <c r="E21" s="3">
        <v>325</v>
      </c>
      <c r="F21" s="3">
        <v>350</v>
      </c>
      <c r="G21" s="3">
        <v>175</v>
      </c>
      <c r="H21" s="3">
        <v>650</v>
      </c>
      <c r="I21" s="3">
        <v>325</v>
      </c>
      <c r="J21" s="3">
        <v>1100</v>
      </c>
      <c r="K21" s="3">
        <v>875</v>
      </c>
      <c r="L21" s="3">
        <v>225</v>
      </c>
      <c r="M21" s="3">
        <v>650</v>
      </c>
      <c r="N21" s="3">
        <v>650</v>
      </c>
      <c r="O21" s="3">
        <v>200</v>
      </c>
      <c r="P21" s="3">
        <v>650</v>
      </c>
      <c r="Q21" s="3">
        <v>175</v>
      </c>
      <c r="R21" s="3">
        <v>325</v>
      </c>
      <c r="S21" s="3">
        <v>175</v>
      </c>
      <c r="T21" s="3">
        <v>675</v>
      </c>
      <c r="U21" s="3">
        <v>325</v>
      </c>
      <c r="V21" s="3">
        <v>175</v>
      </c>
      <c r="W21" s="3">
        <v>375</v>
      </c>
      <c r="X21" s="3">
        <v>400</v>
      </c>
    </row>
    <row r="22" spans="1:24" x14ac:dyDescent="0.25">
      <c r="A22" s="4" t="s">
        <v>36</v>
      </c>
      <c r="B22" s="2">
        <v>500</v>
      </c>
      <c r="C22" s="2">
        <v>175</v>
      </c>
      <c r="D22" s="2">
        <v>650</v>
      </c>
      <c r="E22" s="2">
        <v>650</v>
      </c>
      <c r="F22" s="2">
        <v>700</v>
      </c>
      <c r="G22" s="2">
        <v>175</v>
      </c>
      <c r="H22" s="2">
        <v>650</v>
      </c>
      <c r="I22" s="2">
        <v>325</v>
      </c>
      <c r="J22" s="2">
        <v>1100</v>
      </c>
      <c r="K22" s="2">
        <v>875</v>
      </c>
      <c r="L22" s="2">
        <v>450</v>
      </c>
      <c r="M22" s="2">
        <v>1325</v>
      </c>
      <c r="N22" s="2">
        <v>325</v>
      </c>
      <c r="O22" s="2">
        <v>200</v>
      </c>
      <c r="P22" s="2">
        <v>175</v>
      </c>
      <c r="Q22" s="2">
        <v>175</v>
      </c>
      <c r="R22" s="2">
        <v>325</v>
      </c>
      <c r="S22" s="2">
        <v>175</v>
      </c>
      <c r="T22" s="2">
        <v>675</v>
      </c>
      <c r="U22" s="2">
        <v>325</v>
      </c>
      <c r="V22" s="2">
        <v>325</v>
      </c>
      <c r="W22" s="2">
        <v>375</v>
      </c>
      <c r="X22" s="2">
        <v>400</v>
      </c>
    </row>
    <row r="23" spans="1:24" x14ac:dyDescent="0.25">
      <c r="A23" s="5" t="s">
        <v>37</v>
      </c>
      <c r="B23" s="3">
        <v>150</v>
      </c>
      <c r="C23" s="3">
        <v>175</v>
      </c>
      <c r="D23" s="3">
        <v>650</v>
      </c>
      <c r="E23" s="3">
        <v>325</v>
      </c>
      <c r="F23" s="3">
        <v>700</v>
      </c>
      <c r="G23" s="3">
        <v>325</v>
      </c>
      <c r="H23" s="3">
        <v>325</v>
      </c>
      <c r="I23" s="3">
        <v>325</v>
      </c>
      <c r="J23" s="3">
        <v>1100</v>
      </c>
      <c r="K23" s="3">
        <v>875</v>
      </c>
      <c r="L23" s="3">
        <v>225</v>
      </c>
      <c r="M23" s="3">
        <v>325</v>
      </c>
      <c r="N23" s="3">
        <v>650</v>
      </c>
      <c r="O23" s="3">
        <v>375</v>
      </c>
      <c r="P23" s="3">
        <v>175</v>
      </c>
      <c r="Q23" s="3">
        <v>325</v>
      </c>
      <c r="R23" s="3">
        <v>650</v>
      </c>
      <c r="S23" s="3">
        <v>675</v>
      </c>
      <c r="T23" s="3">
        <v>675</v>
      </c>
      <c r="U23" s="3">
        <v>175</v>
      </c>
      <c r="V23" s="3">
        <v>675</v>
      </c>
      <c r="W23" s="3">
        <v>725</v>
      </c>
      <c r="X23" s="3">
        <v>400</v>
      </c>
    </row>
    <row r="24" spans="1:24" x14ac:dyDescent="0.25">
      <c r="A24" s="4" t="s">
        <v>38</v>
      </c>
      <c r="B24" s="2">
        <v>1150</v>
      </c>
      <c r="C24" s="2">
        <v>175</v>
      </c>
      <c r="D24" s="2">
        <v>650</v>
      </c>
      <c r="E24" s="2">
        <v>650</v>
      </c>
      <c r="F24" s="2">
        <v>175</v>
      </c>
      <c r="G24" s="2">
        <v>175</v>
      </c>
      <c r="H24" s="2">
        <v>650</v>
      </c>
      <c r="I24" s="2">
        <v>325</v>
      </c>
      <c r="J24" s="2">
        <v>1100</v>
      </c>
      <c r="K24" s="2">
        <v>225</v>
      </c>
      <c r="L24" s="2">
        <v>225</v>
      </c>
      <c r="M24" s="2">
        <v>325</v>
      </c>
      <c r="N24" s="2">
        <v>175</v>
      </c>
      <c r="O24" s="2">
        <v>375</v>
      </c>
      <c r="P24" s="2">
        <v>325</v>
      </c>
      <c r="Q24" s="2">
        <v>650</v>
      </c>
      <c r="R24" s="2">
        <v>650</v>
      </c>
      <c r="S24" s="2">
        <v>675</v>
      </c>
      <c r="T24" s="2">
        <v>675</v>
      </c>
      <c r="U24" s="2">
        <v>175</v>
      </c>
      <c r="V24" s="2">
        <v>325</v>
      </c>
      <c r="W24" s="2">
        <v>725</v>
      </c>
      <c r="X24" s="2">
        <v>400</v>
      </c>
    </row>
    <row r="25" spans="1:24" x14ac:dyDescent="0.25">
      <c r="A25" s="5" t="s">
        <v>39</v>
      </c>
      <c r="B25" s="3">
        <v>1100</v>
      </c>
      <c r="C25" s="3">
        <v>175</v>
      </c>
      <c r="D25" s="3">
        <v>650</v>
      </c>
      <c r="E25" s="3">
        <v>325</v>
      </c>
      <c r="F25" s="3">
        <v>175</v>
      </c>
      <c r="G25" s="3">
        <v>175</v>
      </c>
      <c r="H25" s="3">
        <v>650</v>
      </c>
      <c r="I25" s="3">
        <v>325</v>
      </c>
      <c r="J25" s="3">
        <v>1100</v>
      </c>
      <c r="K25" s="3">
        <v>875</v>
      </c>
      <c r="L25" s="3">
        <v>450</v>
      </c>
      <c r="M25" s="3">
        <v>650</v>
      </c>
      <c r="N25" s="3">
        <v>325</v>
      </c>
      <c r="O25" s="3">
        <v>375</v>
      </c>
      <c r="P25" s="3">
        <v>325</v>
      </c>
      <c r="Q25" s="3">
        <v>175</v>
      </c>
      <c r="R25" s="3">
        <v>650</v>
      </c>
      <c r="S25" s="3">
        <v>175</v>
      </c>
      <c r="T25" s="3">
        <v>675</v>
      </c>
      <c r="U25" s="3">
        <v>175</v>
      </c>
      <c r="V25" s="3">
        <v>325</v>
      </c>
      <c r="W25" s="3">
        <v>725</v>
      </c>
      <c r="X25" s="3">
        <v>400</v>
      </c>
    </row>
    <row r="26" spans="1:24" x14ac:dyDescent="0.25">
      <c r="A26" s="4" t="s">
        <v>40</v>
      </c>
      <c r="B26" s="2">
        <v>1625</v>
      </c>
      <c r="C26" s="2">
        <v>175</v>
      </c>
      <c r="D26" s="2">
        <v>650</v>
      </c>
      <c r="E26" s="2">
        <v>650</v>
      </c>
      <c r="F26" s="2">
        <v>175</v>
      </c>
      <c r="G26" s="2">
        <v>175</v>
      </c>
      <c r="H26" s="2">
        <v>325</v>
      </c>
      <c r="I26" s="2">
        <v>325</v>
      </c>
      <c r="J26" s="2">
        <v>550</v>
      </c>
      <c r="K26" s="2">
        <v>450</v>
      </c>
      <c r="L26" s="2">
        <v>450</v>
      </c>
      <c r="M26" s="2">
        <v>325</v>
      </c>
      <c r="N26" s="2">
        <v>650</v>
      </c>
      <c r="O26" s="2">
        <v>200</v>
      </c>
      <c r="P26" s="2">
        <v>325</v>
      </c>
      <c r="Q26" s="2">
        <v>325</v>
      </c>
      <c r="R26" s="2">
        <v>325</v>
      </c>
      <c r="S26" s="2">
        <v>675</v>
      </c>
      <c r="T26" s="2">
        <v>675</v>
      </c>
      <c r="U26" s="2">
        <v>175</v>
      </c>
      <c r="V26" s="2">
        <v>675</v>
      </c>
      <c r="W26" s="2">
        <v>725</v>
      </c>
      <c r="X26" s="2">
        <v>400</v>
      </c>
    </row>
    <row r="27" spans="1:24" x14ac:dyDescent="0.25">
      <c r="A27" s="5" t="s">
        <v>41</v>
      </c>
      <c r="B27" s="3">
        <v>1175</v>
      </c>
      <c r="C27" s="3">
        <v>175</v>
      </c>
      <c r="D27" s="3">
        <v>650</v>
      </c>
      <c r="E27" s="3">
        <v>325</v>
      </c>
      <c r="F27" s="3">
        <v>175</v>
      </c>
      <c r="G27" s="3">
        <v>175</v>
      </c>
      <c r="H27" s="3">
        <v>325</v>
      </c>
      <c r="I27" s="3">
        <v>325</v>
      </c>
      <c r="J27" s="3">
        <v>1100</v>
      </c>
      <c r="K27" s="3">
        <v>450</v>
      </c>
      <c r="L27" s="3">
        <v>450</v>
      </c>
      <c r="M27" s="3">
        <v>325</v>
      </c>
      <c r="N27" s="3">
        <v>650</v>
      </c>
      <c r="O27" s="3">
        <v>200</v>
      </c>
      <c r="P27" s="3">
        <v>175</v>
      </c>
      <c r="Q27" s="3">
        <v>650</v>
      </c>
      <c r="R27" s="3">
        <v>325</v>
      </c>
      <c r="S27" s="3">
        <v>175</v>
      </c>
      <c r="T27" s="3">
        <v>325</v>
      </c>
      <c r="U27" s="3">
        <v>325</v>
      </c>
      <c r="V27" s="3">
        <v>675</v>
      </c>
      <c r="W27" s="3">
        <v>1475</v>
      </c>
      <c r="X27" s="3">
        <v>400</v>
      </c>
    </row>
    <row r="28" spans="1:24" x14ac:dyDescent="0.25">
      <c r="A28" s="4" t="s">
        <v>42</v>
      </c>
      <c r="B28" s="2">
        <v>1225</v>
      </c>
      <c r="C28" s="2">
        <v>325</v>
      </c>
      <c r="D28" s="2">
        <v>650</v>
      </c>
      <c r="E28" s="2">
        <v>325</v>
      </c>
      <c r="F28" s="2">
        <v>350</v>
      </c>
      <c r="G28" s="2">
        <v>325</v>
      </c>
      <c r="H28" s="2">
        <v>325</v>
      </c>
      <c r="I28" s="2">
        <v>650</v>
      </c>
      <c r="J28" s="2">
        <v>1100</v>
      </c>
      <c r="K28" s="2">
        <v>450</v>
      </c>
      <c r="L28" s="2">
        <v>450</v>
      </c>
      <c r="M28" s="2">
        <v>650</v>
      </c>
      <c r="N28" s="2">
        <v>325</v>
      </c>
      <c r="O28" s="2">
        <v>375</v>
      </c>
      <c r="P28" s="2">
        <v>325</v>
      </c>
      <c r="Q28" s="2">
        <v>325</v>
      </c>
      <c r="R28" s="2">
        <v>325</v>
      </c>
      <c r="S28" s="2">
        <v>325</v>
      </c>
      <c r="T28" s="2">
        <v>325</v>
      </c>
      <c r="U28" s="2">
        <v>325</v>
      </c>
      <c r="V28" s="2">
        <v>325</v>
      </c>
      <c r="W28" s="2">
        <v>725</v>
      </c>
      <c r="X28" s="2">
        <v>400</v>
      </c>
    </row>
    <row r="29" spans="1:24" x14ac:dyDescent="0.25">
      <c r="A29" s="5" t="s">
        <v>43</v>
      </c>
      <c r="B29" s="3">
        <v>475</v>
      </c>
      <c r="C29" s="3">
        <v>325</v>
      </c>
      <c r="D29" s="3">
        <v>650</v>
      </c>
      <c r="E29" s="3">
        <v>175</v>
      </c>
      <c r="F29" s="3">
        <v>175</v>
      </c>
      <c r="G29" s="3">
        <v>175</v>
      </c>
      <c r="H29" s="3">
        <v>325</v>
      </c>
      <c r="I29" s="3">
        <v>325</v>
      </c>
      <c r="J29" s="3">
        <v>1100</v>
      </c>
      <c r="K29" s="3">
        <v>225</v>
      </c>
      <c r="L29" s="3">
        <v>225</v>
      </c>
      <c r="M29" s="3">
        <v>1325</v>
      </c>
      <c r="N29" s="3">
        <v>325</v>
      </c>
      <c r="O29" s="3">
        <v>200</v>
      </c>
      <c r="P29" s="3">
        <v>650</v>
      </c>
      <c r="Q29" s="3">
        <v>650</v>
      </c>
      <c r="R29" s="3">
        <v>325</v>
      </c>
      <c r="S29" s="3">
        <v>325</v>
      </c>
      <c r="T29" s="3">
        <v>675</v>
      </c>
      <c r="U29" s="3">
        <v>175</v>
      </c>
      <c r="V29" s="3">
        <v>325</v>
      </c>
      <c r="W29" s="3">
        <v>1475</v>
      </c>
      <c r="X29" s="3">
        <v>400</v>
      </c>
    </row>
    <row r="30" spans="1:24" x14ac:dyDescent="0.25">
      <c r="A30" s="4" t="s">
        <v>45</v>
      </c>
      <c r="B30" s="2">
        <v>850</v>
      </c>
      <c r="C30" s="2">
        <v>650</v>
      </c>
      <c r="D30" s="2">
        <v>650</v>
      </c>
      <c r="E30" s="2">
        <v>325</v>
      </c>
      <c r="F30" s="2">
        <v>350</v>
      </c>
      <c r="G30" s="2">
        <v>175</v>
      </c>
      <c r="H30" s="2">
        <v>325</v>
      </c>
      <c r="I30" s="2">
        <v>325</v>
      </c>
      <c r="J30" s="2">
        <v>1100</v>
      </c>
      <c r="K30" s="2">
        <v>875</v>
      </c>
      <c r="L30" s="2">
        <v>450</v>
      </c>
      <c r="M30" s="2">
        <v>325</v>
      </c>
      <c r="N30" s="2">
        <v>325</v>
      </c>
      <c r="O30" s="2">
        <v>200</v>
      </c>
      <c r="P30" s="2">
        <v>650</v>
      </c>
      <c r="Q30" s="2">
        <v>650</v>
      </c>
      <c r="R30" s="2">
        <v>650</v>
      </c>
      <c r="S30" s="2">
        <v>175</v>
      </c>
      <c r="T30" s="2">
        <v>675</v>
      </c>
      <c r="U30" s="2">
        <v>175</v>
      </c>
      <c r="V30" s="2">
        <v>325</v>
      </c>
      <c r="W30" s="2">
        <v>375</v>
      </c>
      <c r="X30" s="2">
        <v>400</v>
      </c>
    </row>
    <row r="31" spans="1:24" x14ac:dyDescent="0.25">
      <c r="A31" s="5" t="s">
        <v>46</v>
      </c>
      <c r="B31" s="3">
        <v>2550</v>
      </c>
      <c r="C31" s="3">
        <v>175</v>
      </c>
      <c r="D31" s="3">
        <v>325</v>
      </c>
      <c r="E31" s="3">
        <v>650</v>
      </c>
      <c r="F31" s="3">
        <v>350</v>
      </c>
      <c r="G31" s="3">
        <v>175</v>
      </c>
      <c r="H31" s="3">
        <v>650</v>
      </c>
      <c r="I31" s="3">
        <v>325</v>
      </c>
      <c r="J31" s="3">
        <v>1100</v>
      </c>
      <c r="K31" s="3">
        <v>225</v>
      </c>
      <c r="L31" s="3">
        <v>225</v>
      </c>
      <c r="M31" s="3">
        <v>325</v>
      </c>
      <c r="N31" s="3">
        <v>325</v>
      </c>
      <c r="O31" s="3">
        <v>200</v>
      </c>
      <c r="P31" s="3">
        <v>175</v>
      </c>
      <c r="Q31" s="3">
        <v>650</v>
      </c>
      <c r="R31" s="3">
        <v>325</v>
      </c>
      <c r="S31" s="3">
        <v>325</v>
      </c>
      <c r="T31" s="3">
        <v>675</v>
      </c>
      <c r="U31" s="3">
        <v>175</v>
      </c>
      <c r="V31" s="3">
        <v>325</v>
      </c>
      <c r="W31" s="3">
        <v>375</v>
      </c>
      <c r="X31" s="3">
        <v>400</v>
      </c>
    </row>
    <row r="32" spans="1:24" x14ac:dyDescent="0.25">
      <c r="A32" s="4" t="s">
        <v>47</v>
      </c>
      <c r="B32" s="2">
        <v>200</v>
      </c>
      <c r="C32" s="2">
        <v>175</v>
      </c>
      <c r="D32" s="2">
        <v>650</v>
      </c>
      <c r="E32" s="2">
        <v>325</v>
      </c>
      <c r="F32" s="2">
        <v>175</v>
      </c>
      <c r="G32" s="2">
        <v>175</v>
      </c>
      <c r="H32" s="2">
        <v>650</v>
      </c>
      <c r="I32" s="2">
        <v>325</v>
      </c>
      <c r="J32" s="2">
        <v>1100</v>
      </c>
      <c r="K32" s="2">
        <v>225</v>
      </c>
      <c r="L32" s="2">
        <v>225</v>
      </c>
      <c r="M32" s="2">
        <v>1325</v>
      </c>
      <c r="N32" s="2">
        <v>650</v>
      </c>
      <c r="O32" s="2">
        <v>200</v>
      </c>
      <c r="P32" s="2">
        <v>650</v>
      </c>
      <c r="Q32" s="2">
        <v>175</v>
      </c>
      <c r="R32" s="2">
        <v>325</v>
      </c>
      <c r="S32" s="2">
        <v>675</v>
      </c>
      <c r="T32" s="2">
        <v>675</v>
      </c>
      <c r="U32" s="2">
        <v>675</v>
      </c>
      <c r="V32" s="2">
        <v>325</v>
      </c>
      <c r="W32" s="2">
        <v>725</v>
      </c>
      <c r="X32" s="2">
        <v>400</v>
      </c>
    </row>
    <row r="33" spans="1:24" x14ac:dyDescent="0.25">
      <c r="A33" s="5" t="s">
        <v>48</v>
      </c>
      <c r="B33" s="3">
        <v>700</v>
      </c>
      <c r="C33" s="3">
        <v>175</v>
      </c>
      <c r="D33" s="3">
        <v>325</v>
      </c>
      <c r="E33" s="3">
        <v>175</v>
      </c>
      <c r="F33" s="3">
        <v>175</v>
      </c>
      <c r="G33" s="3">
        <v>175</v>
      </c>
      <c r="H33" s="3">
        <v>650</v>
      </c>
      <c r="I33" s="3">
        <v>325</v>
      </c>
      <c r="J33" s="3">
        <v>2200</v>
      </c>
      <c r="K33" s="3">
        <v>875</v>
      </c>
      <c r="L33" s="3">
        <v>450</v>
      </c>
      <c r="M33" s="3">
        <v>325</v>
      </c>
      <c r="N33" s="3">
        <v>325</v>
      </c>
      <c r="O33" s="3">
        <v>375</v>
      </c>
      <c r="P33" s="3">
        <v>175</v>
      </c>
      <c r="Q33" s="3">
        <v>650</v>
      </c>
      <c r="R33" s="3">
        <v>325</v>
      </c>
      <c r="S33" s="3">
        <v>675</v>
      </c>
      <c r="T33" s="3">
        <v>675</v>
      </c>
      <c r="U33" s="3">
        <v>325</v>
      </c>
      <c r="V33" s="3">
        <v>175</v>
      </c>
      <c r="W33" s="3">
        <v>375</v>
      </c>
      <c r="X33" s="3">
        <v>400</v>
      </c>
    </row>
    <row r="34" spans="1:24" x14ac:dyDescent="0.25">
      <c r="A34" s="4" t="s">
        <v>49</v>
      </c>
      <c r="B34" s="2">
        <v>700</v>
      </c>
      <c r="C34" s="2">
        <v>325</v>
      </c>
      <c r="D34" s="2">
        <v>325</v>
      </c>
      <c r="E34" s="2">
        <v>175</v>
      </c>
      <c r="F34" s="2">
        <v>175</v>
      </c>
      <c r="G34" s="2">
        <v>175</v>
      </c>
      <c r="H34" s="2">
        <v>325</v>
      </c>
      <c r="I34" s="2">
        <v>325</v>
      </c>
      <c r="J34" s="2">
        <v>2200</v>
      </c>
      <c r="K34" s="2">
        <v>450</v>
      </c>
      <c r="L34" s="2">
        <v>225</v>
      </c>
      <c r="M34" s="2">
        <v>650</v>
      </c>
      <c r="N34" s="2">
        <v>650</v>
      </c>
      <c r="O34" s="2">
        <v>200</v>
      </c>
      <c r="P34" s="2">
        <v>325</v>
      </c>
      <c r="Q34" s="2">
        <v>325</v>
      </c>
      <c r="R34" s="2">
        <v>650</v>
      </c>
      <c r="S34" s="2">
        <v>325</v>
      </c>
      <c r="T34" s="2">
        <v>675</v>
      </c>
      <c r="U34" s="2">
        <v>325</v>
      </c>
      <c r="V34" s="2">
        <v>325</v>
      </c>
      <c r="W34" s="2">
        <v>725</v>
      </c>
      <c r="X34" s="2">
        <v>400</v>
      </c>
    </row>
    <row r="35" spans="1:24" x14ac:dyDescent="0.25">
      <c r="A35" s="5" t="s">
        <v>50</v>
      </c>
      <c r="B35" s="3">
        <v>325</v>
      </c>
      <c r="C35" s="3">
        <v>175</v>
      </c>
      <c r="D35" s="3">
        <v>325</v>
      </c>
      <c r="E35" s="3">
        <v>175</v>
      </c>
      <c r="F35" s="3">
        <v>700</v>
      </c>
      <c r="G35" s="3">
        <v>325</v>
      </c>
      <c r="H35" s="3">
        <v>650</v>
      </c>
      <c r="I35" s="3">
        <v>325</v>
      </c>
      <c r="J35" s="3">
        <v>2200</v>
      </c>
      <c r="K35" s="3">
        <v>450</v>
      </c>
      <c r="L35" s="3">
        <v>450</v>
      </c>
      <c r="M35" s="3">
        <v>325</v>
      </c>
      <c r="N35" s="3">
        <v>650</v>
      </c>
      <c r="O35" s="3">
        <v>200</v>
      </c>
      <c r="P35" s="3">
        <v>175</v>
      </c>
      <c r="Q35" s="3">
        <v>325</v>
      </c>
      <c r="R35" s="3">
        <v>325</v>
      </c>
      <c r="S35" s="3">
        <v>675</v>
      </c>
      <c r="T35" s="3">
        <v>675</v>
      </c>
      <c r="U35" s="3">
        <v>175</v>
      </c>
      <c r="V35" s="3">
        <v>675</v>
      </c>
      <c r="W35" s="3">
        <v>375</v>
      </c>
      <c r="X35" s="3">
        <v>400</v>
      </c>
    </row>
    <row r="36" spans="1:24" x14ac:dyDescent="0.25">
      <c r="A36" s="4" t="s">
        <v>51</v>
      </c>
      <c r="B36" s="2">
        <v>250</v>
      </c>
      <c r="C36" s="2">
        <v>325</v>
      </c>
      <c r="D36" s="2">
        <v>650</v>
      </c>
      <c r="E36" s="2">
        <v>325</v>
      </c>
      <c r="F36" s="2">
        <v>175</v>
      </c>
      <c r="G36" s="2">
        <v>175</v>
      </c>
      <c r="H36" s="2">
        <v>325</v>
      </c>
      <c r="I36" s="2">
        <v>325</v>
      </c>
      <c r="J36" s="2">
        <v>2200</v>
      </c>
      <c r="K36" s="2">
        <v>875</v>
      </c>
      <c r="L36" s="2">
        <v>225</v>
      </c>
      <c r="M36" s="2">
        <v>325</v>
      </c>
      <c r="N36" s="2">
        <v>650</v>
      </c>
      <c r="O36" s="2">
        <v>200</v>
      </c>
      <c r="P36" s="2">
        <v>325</v>
      </c>
      <c r="Q36" s="2">
        <v>650</v>
      </c>
      <c r="R36" s="2">
        <v>325</v>
      </c>
      <c r="S36" s="2">
        <v>675</v>
      </c>
      <c r="T36" s="2">
        <v>325</v>
      </c>
      <c r="U36" s="2">
        <v>175</v>
      </c>
      <c r="V36" s="2">
        <v>325</v>
      </c>
      <c r="W36" s="2">
        <v>725</v>
      </c>
      <c r="X36" s="2">
        <v>400</v>
      </c>
    </row>
    <row r="37" spans="1:24" x14ac:dyDescent="0.25">
      <c r="A37" s="5" t="s">
        <v>52</v>
      </c>
      <c r="B37" s="3">
        <v>250</v>
      </c>
      <c r="C37" s="3">
        <v>175</v>
      </c>
      <c r="D37" s="3">
        <v>325</v>
      </c>
      <c r="E37" s="3">
        <v>650</v>
      </c>
      <c r="F37" s="3">
        <v>700</v>
      </c>
      <c r="G37" s="3">
        <v>175</v>
      </c>
      <c r="H37" s="3">
        <v>650</v>
      </c>
      <c r="I37" s="3">
        <v>325</v>
      </c>
      <c r="J37" s="3">
        <v>1100</v>
      </c>
      <c r="K37" s="3">
        <v>450</v>
      </c>
      <c r="L37" s="3">
        <v>450</v>
      </c>
      <c r="M37" s="3">
        <v>650</v>
      </c>
      <c r="N37" s="3">
        <v>650</v>
      </c>
      <c r="O37" s="3">
        <v>200</v>
      </c>
      <c r="P37" s="3">
        <v>175</v>
      </c>
      <c r="Q37" s="3">
        <v>325</v>
      </c>
      <c r="R37" s="3">
        <v>325</v>
      </c>
      <c r="S37" s="3">
        <v>675</v>
      </c>
      <c r="T37" s="3">
        <v>675</v>
      </c>
      <c r="U37" s="3">
        <v>675</v>
      </c>
      <c r="V37" s="3">
        <v>675</v>
      </c>
      <c r="W37" s="3">
        <v>375</v>
      </c>
      <c r="X37" s="3">
        <v>400</v>
      </c>
    </row>
    <row r="38" spans="1:24" x14ac:dyDescent="0.25">
      <c r="A38" s="4" t="s">
        <v>53</v>
      </c>
      <c r="B38" s="2">
        <v>1100</v>
      </c>
      <c r="C38" s="2">
        <v>175</v>
      </c>
      <c r="D38" s="2">
        <v>650</v>
      </c>
      <c r="E38" s="2">
        <v>325</v>
      </c>
      <c r="F38" s="2">
        <v>700</v>
      </c>
      <c r="G38" s="2">
        <v>175</v>
      </c>
      <c r="H38" s="2">
        <v>325</v>
      </c>
      <c r="I38" s="2">
        <v>325</v>
      </c>
      <c r="J38" s="2">
        <v>1100</v>
      </c>
      <c r="K38" s="2">
        <v>875</v>
      </c>
      <c r="L38" s="2">
        <v>450</v>
      </c>
      <c r="M38" s="2">
        <v>325</v>
      </c>
      <c r="N38" s="2">
        <v>175</v>
      </c>
      <c r="O38" s="2">
        <v>200</v>
      </c>
      <c r="P38" s="2">
        <v>175</v>
      </c>
      <c r="Q38" s="2">
        <v>325</v>
      </c>
      <c r="R38" s="2">
        <v>325</v>
      </c>
      <c r="S38" s="2">
        <v>175</v>
      </c>
      <c r="T38" s="2">
        <v>675</v>
      </c>
      <c r="U38" s="2">
        <v>675</v>
      </c>
      <c r="V38" s="2">
        <v>675</v>
      </c>
      <c r="W38" s="2">
        <v>725</v>
      </c>
      <c r="X38" s="2">
        <v>400</v>
      </c>
    </row>
    <row r="39" spans="1:24" x14ac:dyDescent="0.25">
      <c r="A39" s="5" t="s">
        <v>54</v>
      </c>
      <c r="B39" s="3">
        <v>1275</v>
      </c>
      <c r="C39" s="3">
        <v>650</v>
      </c>
      <c r="D39" s="3">
        <v>325</v>
      </c>
      <c r="E39" s="3">
        <v>325</v>
      </c>
      <c r="F39" s="3">
        <v>350</v>
      </c>
      <c r="G39" s="3">
        <v>175</v>
      </c>
      <c r="H39" s="3">
        <v>325</v>
      </c>
      <c r="I39" s="3">
        <v>325</v>
      </c>
      <c r="J39" s="3">
        <v>1100</v>
      </c>
      <c r="K39" s="3">
        <v>225</v>
      </c>
      <c r="L39" s="3">
        <v>225</v>
      </c>
      <c r="M39" s="3">
        <v>325</v>
      </c>
      <c r="N39" s="3">
        <v>325</v>
      </c>
      <c r="O39" s="3">
        <v>200</v>
      </c>
      <c r="P39" s="3">
        <v>325</v>
      </c>
      <c r="Q39" s="3">
        <v>650</v>
      </c>
      <c r="R39" s="3">
        <v>325</v>
      </c>
      <c r="S39" s="3">
        <v>175</v>
      </c>
      <c r="T39" s="3">
        <v>675</v>
      </c>
      <c r="U39" s="3">
        <v>175</v>
      </c>
      <c r="V39" s="3">
        <v>675</v>
      </c>
      <c r="W39" s="3">
        <v>1475</v>
      </c>
      <c r="X39" s="3">
        <v>400</v>
      </c>
    </row>
    <row r="40" spans="1:24" x14ac:dyDescent="0.25">
      <c r="A40" s="4" t="s">
        <v>55</v>
      </c>
      <c r="B40" s="2">
        <v>125</v>
      </c>
      <c r="C40" s="2">
        <v>650</v>
      </c>
      <c r="D40" s="2">
        <v>650</v>
      </c>
      <c r="E40" s="2">
        <v>175</v>
      </c>
      <c r="F40" s="2">
        <v>700</v>
      </c>
      <c r="G40" s="2">
        <v>175</v>
      </c>
      <c r="H40" s="2">
        <v>325</v>
      </c>
      <c r="I40" s="2">
        <v>325</v>
      </c>
      <c r="J40" s="2">
        <v>1100</v>
      </c>
      <c r="K40" s="2">
        <v>875</v>
      </c>
      <c r="L40" s="2">
        <v>225</v>
      </c>
      <c r="M40" s="2">
        <v>325</v>
      </c>
      <c r="N40" s="2">
        <v>175</v>
      </c>
      <c r="O40" s="2">
        <v>200</v>
      </c>
      <c r="P40" s="2">
        <v>650</v>
      </c>
      <c r="Q40" s="2">
        <v>650</v>
      </c>
      <c r="R40" s="2">
        <v>325</v>
      </c>
      <c r="S40" s="2">
        <v>175</v>
      </c>
      <c r="T40" s="2">
        <v>675</v>
      </c>
      <c r="U40" s="2">
        <v>325</v>
      </c>
      <c r="V40" s="2">
        <v>325</v>
      </c>
      <c r="W40" s="2">
        <v>1475</v>
      </c>
      <c r="X40" s="2">
        <v>400</v>
      </c>
    </row>
    <row r="41" spans="1:24" x14ac:dyDescent="0.25">
      <c r="A41" s="5" t="s">
        <v>56</v>
      </c>
      <c r="B41" s="3">
        <v>350</v>
      </c>
      <c r="C41" s="3">
        <v>175</v>
      </c>
      <c r="D41" s="3">
        <v>650</v>
      </c>
      <c r="E41" s="3">
        <v>175</v>
      </c>
      <c r="F41" s="3">
        <v>700</v>
      </c>
      <c r="G41" s="3">
        <v>175</v>
      </c>
      <c r="H41" s="3">
        <v>650</v>
      </c>
      <c r="I41" s="3">
        <v>325</v>
      </c>
      <c r="J41" s="3">
        <v>2200</v>
      </c>
      <c r="K41" s="3">
        <v>225</v>
      </c>
      <c r="L41" s="3">
        <v>450</v>
      </c>
      <c r="M41" s="3">
        <v>650</v>
      </c>
      <c r="N41" s="3">
        <v>325</v>
      </c>
      <c r="O41" s="3">
        <v>375</v>
      </c>
      <c r="P41" s="3">
        <v>325</v>
      </c>
      <c r="Q41" s="3">
        <v>650</v>
      </c>
      <c r="R41" s="3">
        <v>325</v>
      </c>
      <c r="S41" s="3">
        <v>325</v>
      </c>
      <c r="T41" s="3">
        <v>675</v>
      </c>
      <c r="U41" s="3">
        <v>175</v>
      </c>
      <c r="V41" s="3">
        <v>325</v>
      </c>
      <c r="W41" s="3">
        <v>375</v>
      </c>
      <c r="X41" s="3">
        <v>400</v>
      </c>
    </row>
    <row r="42" spans="1:24" x14ac:dyDescent="0.25">
      <c r="A42" s="4" t="s">
        <v>57</v>
      </c>
      <c r="B42" s="2">
        <v>300</v>
      </c>
      <c r="C42" s="2">
        <v>175</v>
      </c>
      <c r="D42" s="2">
        <v>650</v>
      </c>
      <c r="E42" s="2">
        <v>175</v>
      </c>
      <c r="F42" s="2">
        <v>175</v>
      </c>
      <c r="G42" s="2">
        <v>325</v>
      </c>
      <c r="H42" s="2">
        <v>325</v>
      </c>
      <c r="I42" s="2">
        <v>325</v>
      </c>
      <c r="J42" s="2">
        <v>2200</v>
      </c>
      <c r="K42" s="2">
        <v>225</v>
      </c>
      <c r="L42" s="2">
        <v>225</v>
      </c>
      <c r="M42" s="2">
        <v>1325</v>
      </c>
      <c r="N42" s="2">
        <v>650</v>
      </c>
      <c r="O42" s="2">
        <v>200</v>
      </c>
      <c r="P42" s="2">
        <v>175</v>
      </c>
      <c r="Q42" s="2">
        <v>650</v>
      </c>
      <c r="R42" s="2">
        <v>650</v>
      </c>
      <c r="S42" s="2">
        <v>325</v>
      </c>
      <c r="T42" s="2">
        <v>675</v>
      </c>
      <c r="U42" s="2">
        <v>175</v>
      </c>
      <c r="V42" s="2">
        <v>325</v>
      </c>
      <c r="W42" s="2">
        <v>375</v>
      </c>
      <c r="X42" s="2">
        <v>400</v>
      </c>
    </row>
    <row r="43" spans="1:24" x14ac:dyDescent="0.25">
      <c r="A43" s="5" t="s">
        <v>58</v>
      </c>
      <c r="B43" s="3">
        <v>900</v>
      </c>
      <c r="C43" s="3">
        <v>175</v>
      </c>
      <c r="D43" s="3">
        <v>650</v>
      </c>
      <c r="E43" s="3">
        <v>175</v>
      </c>
      <c r="F43" s="3">
        <v>700</v>
      </c>
      <c r="G43" s="3">
        <v>175</v>
      </c>
      <c r="H43" s="3">
        <v>325</v>
      </c>
      <c r="I43" s="3">
        <v>325</v>
      </c>
      <c r="J43" s="3">
        <v>2200</v>
      </c>
      <c r="K43" s="3">
        <v>225</v>
      </c>
      <c r="L43" s="3">
        <v>875</v>
      </c>
      <c r="M43" s="3">
        <v>650</v>
      </c>
      <c r="N43" s="3">
        <v>325</v>
      </c>
      <c r="O43" s="3">
        <v>200</v>
      </c>
      <c r="P43" s="3">
        <v>175</v>
      </c>
      <c r="Q43" s="3">
        <v>325</v>
      </c>
      <c r="R43" s="3">
        <v>325</v>
      </c>
      <c r="S43" s="3">
        <v>175</v>
      </c>
      <c r="T43" s="3">
        <v>675</v>
      </c>
      <c r="U43" s="3">
        <v>175</v>
      </c>
      <c r="V43" s="3">
        <v>175</v>
      </c>
      <c r="W43" s="3">
        <v>725</v>
      </c>
      <c r="X43" s="3">
        <v>400</v>
      </c>
    </row>
    <row r="44" spans="1:24" x14ac:dyDescent="0.25">
      <c r="A44" s="4" t="s">
        <v>59</v>
      </c>
      <c r="B44" s="2">
        <v>575</v>
      </c>
      <c r="C44" s="2">
        <v>325</v>
      </c>
      <c r="D44" s="2">
        <v>650</v>
      </c>
      <c r="E44" s="2">
        <v>175</v>
      </c>
      <c r="F44" s="2">
        <v>700</v>
      </c>
      <c r="G44" s="2">
        <v>175</v>
      </c>
      <c r="H44" s="2">
        <v>325</v>
      </c>
      <c r="I44" s="2">
        <v>325</v>
      </c>
      <c r="J44" s="2">
        <v>2200</v>
      </c>
      <c r="K44" s="2">
        <v>225</v>
      </c>
      <c r="L44" s="2">
        <v>225</v>
      </c>
      <c r="M44" s="2">
        <v>650</v>
      </c>
      <c r="N44" s="2">
        <v>650</v>
      </c>
      <c r="O44" s="2">
        <v>200</v>
      </c>
      <c r="P44" s="2">
        <v>175</v>
      </c>
      <c r="Q44" s="2">
        <v>175</v>
      </c>
      <c r="R44" s="2">
        <v>650</v>
      </c>
      <c r="S44" s="2">
        <v>325</v>
      </c>
      <c r="T44" s="2">
        <v>675</v>
      </c>
      <c r="U44" s="2">
        <v>175</v>
      </c>
      <c r="V44" s="2">
        <v>325</v>
      </c>
      <c r="W44" s="2">
        <v>725</v>
      </c>
      <c r="X44" s="2">
        <v>400</v>
      </c>
    </row>
    <row r="45" spans="1:24" x14ac:dyDescent="0.25">
      <c r="A45" s="5" t="s">
        <v>60</v>
      </c>
      <c r="B45" s="3">
        <v>1900</v>
      </c>
      <c r="C45" s="3">
        <v>175</v>
      </c>
      <c r="D45" s="3">
        <v>650</v>
      </c>
      <c r="E45" s="3">
        <v>175</v>
      </c>
      <c r="F45" s="3">
        <v>350</v>
      </c>
      <c r="G45" s="3">
        <v>325</v>
      </c>
      <c r="H45" s="3">
        <v>325</v>
      </c>
      <c r="I45" s="3">
        <v>325</v>
      </c>
      <c r="J45" s="3">
        <v>1100</v>
      </c>
      <c r="K45" s="3">
        <v>450</v>
      </c>
      <c r="L45" s="3">
        <v>450</v>
      </c>
      <c r="M45" s="3">
        <v>325</v>
      </c>
      <c r="N45" s="3">
        <v>650</v>
      </c>
      <c r="O45" s="3">
        <v>200</v>
      </c>
      <c r="P45" s="3">
        <v>175</v>
      </c>
      <c r="Q45" s="3">
        <v>175</v>
      </c>
      <c r="R45" s="3">
        <v>325</v>
      </c>
      <c r="S45" s="3">
        <v>675</v>
      </c>
      <c r="T45" s="3">
        <v>675</v>
      </c>
      <c r="U45" s="3">
        <v>175</v>
      </c>
      <c r="V45" s="3">
        <v>325</v>
      </c>
      <c r="W45" s="3">
        <v>725</v>
      </c>
      <c r="X45" s="3">
        <v>400</v>
      </c>
    </row>
    <row r="46" spans="1:24" x14ac:dyDescent="0.25">
      <c r="A46" s="4" t="s">
        <v>61</v>
      </c>
      <c r="B46" s="2">
        <v>1350</v>
      </c>
      <c r="C46" s="2">
        <v>325</v>
      </c>
      <c r="D46" s="2">
        <v>325</v>
      </c>
      <c r="E46" s="2">
        <v>650</v>
      </c>
      <c r="F46" s="2">
        <v>350</v>
      </c>
      <c r="G46" s="2">
        <v>175</v>
      </c>
      <c r="H46" s="2">
        <v>650</v>
      </c>
      <c r="I46" s="2">
        <v>325</v>
      </c>
      <c r="J46" s="2">
        <v>1100</v>
      </c>
      <c r="K46" s="2">
        <v>225</v>
      </c>
      <c r="L46" s="2">
        <v>225</v>
      </c>
      <c r="M46" s="2">
        <v>650</v>
      </c>
      <c r="N46" s="2">
        <v>325</v>
      </c>
      <c r="O46" s="2">
        <v>200</v>
      </c>
      <c r="P46" s="2">
        <v>175</v>
      </c>
      <c r="Q46" s="2">
        <v>650</v>
      </c>
      <c r="R46" s="2">
        <v>325</v>
      </c>
      <c r="S46" s="2">
        <v>175</v>
      </c>
      <c r="T46" s="2">
        <v>675</v>
      </c>
      <c r="U46" s="2">
        <v>325</v>
      </c>
      <c r="V46" s="2">
        <v>675</v>
      </c>
      <c r="W46" s="2">
        <v>725</v>
      </c>
      <c r="X46" s="2">
        <v>400</v>
      </c>
    </row>
    <row r="47" spans="1:24" x14ac:dyDescent="0.25">
      <c r="A47" s="5" t="s">
        <v>62</v>
      </c>
      <c r="B47" s="3">
        <v>600</v>
      </c>
      <c r="C47" s="3">
        <v>325</v>
      </c>
      <c r="D47" s="3">
        <v>325</v>
      </c>
      <c r="E47" s="3">
        <v>175</v>
      </c>
      <c r="F47" s="3">
        <v>350</v>
      </c>
      <c r="G47" s="3">
        <v>175</v>
      </c>
      <c r="H47" s="3">
        <v>325</v>
      </c>
      <c r="I47" s="3">
        <v>325</v>
      </c>
      <c r="J47" s="3">
        <v>2200</v>
      </c>
      <c r="K47" s="3">
        <v>450</v>
      </c>
      <c r="L47" s="3">
        <v>450</v>
      </c>
      <c r="M47" s="3">
        <v>325</v>
      </c>
      <c r="N47" s="3">
        <v>650</v>
      </c>
      <c r="O47" s="3">
        <v>375</v>
      </c>
      <c r="P47" s="3">
        <v>175</v>
      </c>
      <c r="Q47" s="3">
        <v>325</v>
      </c>
      <c r="R47" s="3">
        <v>650</v>
      </c>
      <c r="S47" s="3">
        <v>675</v>
      </c>
      <c r="T47" s="3">
        <v>675</v>
      </c>
      <c r="U47" s="3">
        <v>175</v>
      </c>
      <c r="V47" s="3">
        <v>175</v>
      </c>
      <c r="W47" s="3">
        <v>725</v>
      </c>
      <c r="X47" s="3">
        <v>400</v>
      </c>
    </row>
    <row r="48" spans="1:24" x14ac:dyDescent="0.25">
      <c r="A48" s="4" t="s">
        <v>63</v>
      </c>
      <c r="B48" s="2">
        <v>1225</v>
      </c>
      <c r="C48" s="2">
        <v>325</v>
      </c>
      <c r="D48" s="2">
        <v>650</v>
      </c>
      <c r="E48" s="2">
        <v>325</v>
      </c>
      <c r="F48" s="2">
        <v>350</v>
      </c>
      <c r="G48" s="2">
        <v>175</v>
      </c>
      <c r="H48" s="2">
        <v>650</v>
      </c>
      <c r="I48" s="2">
        <v>325</v>
      </c>
      <c r="J48" s="2">
        <v>1100</v>
      </c>
      <c r="K48" s="2">
        <v>875</v>
      </c>
      <c r="L48" s="2">
        <v>225</v>
      </c>
      <c r="M48" s="2">
        <v>650</v>
      </c>
      <c r="N48" s="2">
        <v>650</v>
      </c>
      <c r="O48" s="2">
        <v>200</v>
      </c>
      <c r="P48" s="2">
        <v>650</v>
      </c>
      <c r="Q48" s="2">
        <v>175</v>
      </c>
      <c r="R48" s="2">
        <v>325</v>
      </c>
      <c r="S48" s="2">
        <v>175</v>
      </c>
      <c r="T48" s="2">
        <v>675</v>
      </c>
      <c r="U48" s="2">
        <v>325</v>
      </c>
      <c r="V48" s="2">
        <v>175</v>
      </c>
      <c r="W48" s="2">
        <v>375</v>
      </c>
      <c r="X48" s="2">
        <v>400</v>
      </c>
    </row>
    <row r="49" spans="1:24" x14ac:dyDescent="0.25">
      <c r="A49" s="5" t="s">
        <v>64</v>
      </c>
      <c r="B49" s="3">
        <v>500</v>
      </c>
      <c r="C49" s="3">
        <v>175</v>
      </c>
      <c r="D49" s="3">
        <v>650</v>
      </c>
      <c r="E49" s="3">
        <v>650</v>
      </c>
      <c r="F49" s="3">
        <v>700</v>
      </c>
      <c r="G49" s="3">
        <v>175</v>
      </c>
      <c r="H49" s="3">
        <v>650</v>
      </c>
      <c r="I49" s="3">
        <v>325</v>
      </c>
      <c r="J49" s="3">
        <v>1100</v>
      </c>
      <c r="K49" s="3">
        <v>875</v>
      </c>
      <c r="L49" s="3">
        <v>450</v>
      </c>
      <c r="M49" s="3">
        <v>1325</v>
      </c>
      <c r="N49" s="3">
        <v>325</v>
      </c>
      <c r="O49" s="3">
        <v>200</v>
      </c>
      <c r="P49" s="3">
        <v>175</v>
      </c>
      <c r="Q49" s="3">
        <v>175</v>
      </c>
      <c r="R49" s="3">
        <v>325</v>
      </c>
      <c r="S49" s="3">
        <v>175</v>
      </c>
      <c r="T49" s="3">
        <v>675</v>
      </c>
      <c r="U49" s="3">
        <v>325</v>
      </c>
      <c r="V49" s="3">
        <v>325</v>
      </c>
      <c r="W49" s="3">
        <v>375</v>
      </c>
      <c r="X49" s="3">
        <v>400</v>
      </c>
    </row>
    <row r="50" spans="1:24" x14ac:dyDescent="0.25">
      <c r="A50" s="4" t="s">
        <v>65</v>
      </c>
      <c r="B50" s="2">
        <v>150</v>
      </c>
      <c r="C50" s="2">
        <v>175</v>
      </c>
      <c r="D50" s="2">
        <v>650</v>
      </c>
      <c r="E50" s="2">
        <v>325</v>
      </c>
      <c r="F50" s="2">
        <v>700</v>
      </c>
      <c r="G50" s="2">
        <v>325</v>
      </c>
      <c r="H50" s="2">
        <v>325</v>
      </c>
      <c r="I50" s="2">
        <v>325</v>
      </c>
      <c r="J50" s="2">
        <v>1100</v>
      </c>
      <c r="K50" s="2">
        <v>875</v>
      </c>
      <c r="L50" s="2">
        <v>225</v>
      </c>
      <c r="M50" s="2">
        <v>325</v>
      </c>
      <c r="N50" s="2">
        <v>650</v>
      </c>
      <c r="O50" s="2">
        <v>375</v>
      </c>
      <c r="P50" s="2">
        <v>175</v>
      </c>
      <c r="Q50" s="2">
        <v>325</v>
      </c>
      <c r="R50" s="2">
        <v>650</v>
      </c>
      <c r="S50" s="2">
        <v>675</v>
      </c>
      <c r="T50" s="2">
        <v>675</v>
      </c>
      <c r="U50" s="2">
        <v>175</v>
      </c>
      <c r="V50" s="2">
        <v>675</v>
      </c>
      <c r="W50" s="2">
        <v>725</v>
      </c>
      <c r="X50" s="2">
        <v>400</v>
      </c>
    </row>
    <row r="51" spans="1:24" x14ac:dyDescent="0.25">
      <c r="A51" s="5" t="s">
        <v>66</v>
      </c>
      <c r="B51" s="3">
        <v>1150</v>
      </c>
      <c r="C51" s="3">
        <v>175</v>
      </c>
      <c r="D51" s="3">
        <v>650</v>
      </c>
      <c r="E51" s="3">
        <v>650</v>
      </c>
      <c r="F51" s="3">
        <v>175</v>
      </c>
      <c r="G51" s="3">
        <v>175</v>
      </c>
      <c r="H51" s="3">
        <v>650</v>
      </c>
      <c r="I51" s="3">
        <v>325</v>
      </c>
      <c r="J51" s="3">
        <v>1100</v>
      </c>
      <c r="K51" s="3">
        <v>225</v>
      </c>
      <c r="L51" s="3">
        <v>225</v>
      </c>
      <c r="M51" s="3">
        <v>325</v>
      </c>
      <c r="N51" s="3">
        <v>175</v>
      </c>
      <c r="O51" s="3">
        <v>375</v>
      </c>
      <c r="P51" s="3">
        <v>325</v>
      </c>
      <c r="Q51" s="3">
        <v>650</v>
      </c>
      <c r="R51" s="3">
        <v>650</v>
      </c>
      <c r="S51" s="3">
        <v>675</v>
      </c>
      <c r="T51" s="3">
        <v>675</v>
      </c>
      <c r="U51" s="3">
        <v>175</v>
      </c>
      <c r="V51" s="3">
        <v>325</v>
      </c>
      <c r="W51" s="3">
        <v>725</v>
      </c>
      <c r="X51" s="3">
        <v>400</v>
      </c>
    </row>
    <row r="52" spans="1:24" x14ac:dyDescent="0.25">
      <c r="A52" s="4" t="s">
        <v>67</v>
      </c>
      <c r="B52" s="2">
        <v>1100</v>
      </c>
      <c r="C52" s="2">
        <v>175</v>
      </c>
      <c r="D52" s="2">
        <v>650</v>
      </c>
      <c r="E52" s="2">
        <v>325</v>
      </c>
      <c r="F52" s="2">
        <v>175</v>
      </c>
      <c r="G52" s="2">
        <v>175</v>
      </c>
      <c r="H52" s="2">
        <v>650</v>
      </c>
      <c r="I52" s="2">
        <v>325</v>
      </c>
      <c r="J52" s="2">
        <v>1100</v>
      </c>
      <c r="K52" s="2">
        <v>875</v>
      </c>
      <c r="L52" s="2">
        <v>450</v>
      </c>
      <c r="M52" s="2">
        <v>650</v>
      </c>
      <c r="N52" s="2">
        <v>325</v>
      </c>
      <c r="O52" s="2">
        <v>375</v>
      </c>
      <c r="P52" s="2">
        <v>325</v>
      </c>
      <c r="Q52" s="2">
        <v>175</v>
      </c>
      <c r="R52" s="2">
        <v>650</v>
      </c>
      <c r="S52" s="2">
        <v>175</v>
      </c>
      <c r="T52" s="2">
        <v>675</v>
      </c>
      <c r="U52" s="2">
        <v>175</v>
      </c>
      <c r="V52" s="2">
        <v>325</v>
      </c>
      <c r="W52" s="2">
        <v>725</v>
      </c>
      <c r="X52" s="2">
        <v>400</v>
      </c>
    </row>
    <row r="53" spans="1:24" x14ac:dyDescent="0.25">
      <c r="A53" s="5" t="s">
        <v>68</v>
      </c>
      <c r="B53" s="3">
        <v>1625</v>
      </c>
      <c r="C53" s="3">
        <v>175</v>
      </c>
      <c r="D53" s="3">
        <v>650</v>
      </c>
      <c r="E53" s="3">
        <v>650</v>
      </c>
      <c r="F53" s="3">
        <v>175</v>
      </c>
      <c r="G53" s="3">
        <v>175</v>
      </c>
      <c r="H53" s="3">
        <v>325</v>
      </c>
      <c r="I53" s="3">
        <v>325</v>
      </c>
      <c r="J53" s="3">
        <v>550</v>
      </c>
      <c r="K53" s="3">
        <v>450</v>
      </c>
      <c r="L53" s="3">
        <v>450</v>
      </c>
      <c r="M53" s="3">
        <v>325</v>
      </c>
      <c r="N53" s="3">
        <v>650</v>
      </c>
      <c r="O53" s="3">
        <v>200</v>
      </c>
      <c r="P53" s="3">
        <v>325</v>
      </c>
      <c r="Q53" s="3">
        <v>325</v>
      </c>
      <c r="R53" s="3">
        <v>325</v>
      </c>
      <c r="S53" s="3">
        <v>675</v>
      </c>
      <c r="T53" s="3">
        <v>675</v>
      </c>
      <c r="U53" s="3">
        <v>175</v>
      </c>
      <c r="V53" s="3">
        <v>675</v>
      </c>
      <c r="W53" s="3">
        <v>725</v>
      </c>
      <c r="X53" s="3">
        <v>400</v>
      </c>
    </row>
    <row r="54" spans="1:24" x14ac:dyDescent="0.25">
      <c r="A54" s="4" t="s">
        <v>69</v>
      </c>
      <c r="B54" s="2">
        <v>1175</v>
      </c>
      <c r="C54" s="2">
        <v>175</v>
      </c>
      <c r="D54" s="2">
        <v>650</v>
      </c>
      <c r="E54" s="2">
        <v>325</v>
      </c>
      <c r="F54" s="2">
        <v>175</v>
      </c>
      <c r="G54" s="2">
        <v>175</v>
      </c>
      <c r="H54" s="2">
        <v>325</v>
      </c>
      <c r="I54" s="2">
        <v>325</v>
      </c>
      <c r="J54" s="2">
        <v>1100</v>
      </c>
      <c r="K54" s="2">
        <v>450</v>
      </c>
      <c r="L54" s="2">
        <v>450</v>
      </c>
      <c r="M54" s="2">
        <v>325</v>
      </c>
      <c r="N54" s="2">
        <v>650</v>
      </c>
      <c r="O54" s="2">
        <v>200</v>
      </c>
      <c r="P54" s="2">
        <v>175</v>
      </c>
      <c r="Q54" s="2">
        <v>650</v>
      </c>
      <c r="R54" s="2">
        <v>325</v>
      </c>
      <c r="S54" s="2">
        <v>175</v>
      </c>
      <c r="T54" s="2">
        <v>325</v>
      </c>
      <c r="U54" s="2">
        <v>325</v>
      </c>
      <c r="V54" s="2">
        <v>675</v>
      </c>
      <c r="W54" s="2">
        <v>1475</v>
      </c>
      <c r="X54" s="2">
        <v>400</v>
      </c>
    </row>
    <row r="55" spans="1:24" x14ac:dyDescent="0.25">
      <c r="A55" s="5" t="s">
        <v>70</v>
      </c>
      <c r="B55" s="3">
        <v>1225</v>
      </c>
      <c r="C55" s="3">
        <v>325</v>
      </c>
      <c r="D55" s="3">
        <v>650</v>
      </c>
      <c r="E55" s="3">
        <v>325</v>
      </c>
      <c r="F55" s="3">
        <v>350</v>
      </c>
      <c r="G55" s="3">
        <v>325</v>
      </c>
      <c r="H55" s="3">
        <v>325</v>
      </c>
      <c r="I55" s="3">
        <v>650</v>
      </c>
      <c r="J55" s="3">
        <v>1100</v>
      </c>
      <c r="K55" s="3">
        <v>450</v>
      </c>
      <c r="L55" s="3">
        <v>450</v>
      </c>
      <c r="M55" s="3">
        <v>650</v>
      </c>
      <c r="N55" s="3">
        <v>325</v>
      </c>
      <c r="O55" s="3">
        <v>375</v>
      </c>
      <c r="P55" s="3">
        <v>325</v>
      </c>
      <c r="Q55" s="3">
        <v>325</v>
      </c>
      <c r="R55" s="3">
        <v>325</v>
      </c>
      <c r="S55" s="3">
        <v>325</v>
      </c>
      <c r="T55" s="3">
        <v>325</v>
      </c>
      <c r="U55" s="3">
        <v>325</v>
      </c>
      <c r="V55" s="3">
        <v>325</v>
      </c>
      <c r="W55" s="3">
        <v>725</v>
      </c>
      <c r="X55" s="3">
        <v>400</v>
      </c>
    </row>
    <row r="58" spans="1:24" x14ac:dyDescent="0.25">
      <c r="B58">
        <v>0</v>
      </c>
      <c r="C58" cm="1">
        <f t="array" ref="C58">_xlfn.IFS(C2=175, 0.5, C2=325, 1, C2=650, 2)</f>
        <v>1</v>
      </c>
      <c r="D58" cm="1">
        <f t="array" ref="D58">_xlfn.IFS(D2=325, 3, D2=650, 6, D2=1320, 12)</f>
        <v>6</v>
      </c>
      <c r="E58" cm="1">
        <f t="array" ref="E58">_xlfn.IFS(E2=175, 1, E2=325, 2, E2=650, 4)</f>
        <v>1</v>
      </c>
      <c r="F58" cm="1">
        <f t="array" ref="F58">_xlfn.IFS(F2=175, 1.25, F2=350, 2.5, F2=700, 5)</f>
        <v>1.25</v>
      </c>
      <c r="G58" cm="1">
        <f t="array" ref="G58">_xlfn.IFS(G2=175, 0.1, G2=325, 0.2, G2=650, 0.4)</f>
        <v>0.1</v>
      </c>
      <c r="H58" cm="1">
        <f t="array" ref="H58">_xlfn.IFS(H2=175, 0.5, H2=325, 1, H2=650, 2)</f>
        <v>1</v>
      </c>
      <c r="I58" cm="1">
        <f t="array" ref="I58">_xlfn.IFS(I2=325, 2, I2=650, 4, I2=1000, 6)</f>
        <v>2</v>
      </c>
      <c r="J58" cm="1">
        <f t="array" ref="J58">_xlfn.IFS(J2=550, 5, J2=1100, 10, J2=2200, 20)</f>
        <v>10</v>
      </c>
      <c r="K58" cm="1">
        <f t="array" ref="K58">_xlfn.IFS(K2=225, 2, K2=450, 4, K2=875, 8)</f>
        <v>2</v>
      </c>
      <c r="L58" cm="1">
        <f t="array" ref="L58">_xlfn.IFS(L2=225, 1, L2=450, 2, L2=875, 4)</f>
        <v>1</v>
      </c>
      <c r="M58" cm="1">
        <f t="array" ref="M58">_xlfn.IFS(M2=325, 3, M2=650, 6, M2=1325, 12)</f>
        <v>12</v>
      </c>
      <c r="N58" cm="1">
        <f t="array" ref="N58">_xlfn.IFS(N2=175, 1, N2=325, 2, N2=650, 4)</f>
        <v>2</v>
      </c>
      <c r="O58" cm="1">
        <f t="array" ref="O58">_xlfn.IFS(O2=200, 1.75, O2=375, 3.5, O2=775, 7)</f>
        <v>1.75</v>
      </c>
      <c r="P58" cm="1">
        <f t="array" ref="P58">_xlfn.IFS(P2=175, 0.1, P2=325, 0.2, P2=650, 0.4)</f>
        <v>0.4</v>
      </c>
      <c r="Q58" cm="1">
        <f t="array" ref="Q58">_xlfn.IFS(Q2=175, 0.1, Q2=325, 0.2, Q2=650, 0.4)</f>
        <v>0.4</v>
      </c>
      <c r="R58" cm="1">
        <f t="array" ref="R58">_xlfn.IFS(R2=250, 1.5, R2=325, 2, R2=650, 4)</f>
        <v>2</v>
      </c>
      <c r="S58" cm="1">
        <f t="array" ref="S58">_xlfn.IFS(S2=175, 0.05, S2=325, 0.1, S2=675, 0.2)</f>
        <v>0.1</v>
      </c>
      <c r="T58" cm="1">
        <f t="array" ref="T58">_xlfn.IFS(T2=175, 0.05, T2=325, 0.1, T2=675, 0.2)</f>
        <v>0.2</v>
      </c>
      <c r="U58" cm="1">
        <f t="array" ref="U58">_xlfn.IFS(U2=175, 0.05, U2=325, 0.1, U2=675, 0.2)</f>
        <v>0.05</v>
      </c>
      <c r="V58" cm="1">
        <f t="array" ref="V58">_xlfn.IFS(V2=175, 0.05, V2=325, 0.1, V2=675, 0.2)</f>
        <v>0.1</v>
      </c>
      <c r="W58" cm="1">
        <f t="array" ref="W58">_xlfn.IFS(W2=375, 3.33, W2=725, 6.7, W2=1475, 13.32)</f>
        <v>13.32</v>
      </c>
      <c r="X58" cm="1">
        <f t="array" ref="X58">_xlfn.IFS(X2=400, 0.1)</f>
        <v>0.1</v>
      </c>
    </row>
    <row r="59" spans="1:24" x14ac:dyDescent="0.25">
      <c r="B59">
        <v>1</v>
      </c>
      <c r="C59" cm="1">
        <f t="array" ref="C59">_xlfn.IFS(C3=175, 0.5, C3=325, 1, C3=650, 2)</f>
        <v>2</v>
      </c>
      <c r="D59" cm="1">
        <f t="array" ref="D59">_xlfn.IFS(D3=325, 3, D3=650, 6, D3=1320, 12)</f>
        <v>6</v>
      </c>
      <c r="E59" cm="1">
        <f t="array" ref="E59">_xlfn.IFS(E3=175, 1, E3=325, 2, E3=650, 4)</f>
        <v>2</v>
      </c>
      <c r="F59" cm="1">
        <f t="array" ref="F59">_xlfn.IFS(F3=175, 1.25, F3=350, 2.5, F3=700, 5)</f>
        <v>2.5</v>
      </c>
      <c r="G59" cm="1">
        <f t="array" ref="G59">_xlfn.IFS(G3=175, 0.1, G3=325, 0.2, G3=650, 0.4)</f>
        <v>0.1</v>
      </c>
      <c r="H59" cm="1">
        <f t="array" ref="H59">_xlfn.IFS(H3=175, 0.5, H3=325, 1, H3=650, 2)</f>
        <v>1</v>
      </c>
      <c r="I59" cm="1">
        <f t="array" ref="I59">_xlfn.IFS(I3=325, 2, I3=650, 4, I3=1000, 6)</f>
        <v>2</v>
      </c>
      <c r="J59" cm="1">
        <f t="array" ref="J59">_xlfn.IFS(J3=550, 5, J3=1100, 10, J3=2200, 20)</f>
        <v>10</v>
      </c>
      <c r="K59" cm="1">
        <f t="array" ref="K59">_xlfn.IFS(K3=225, 2, K3=450, 4, K3=875, 8)</f>
        <v>8</v>
      </c>
      <c r="L59" cm="1">
        <f t="array" ref="L59">_xlfn.IFS(L3=225, 1, L3=450, 2, L3=875, 4)</f>
        <v>2</v>
      </c>
      <c r="M59" cm="1">
        <f t="array" ref="M59">_xlfn.IFS(M3=325, 3, M3=650, 6, M3=1325, 12)</f>
        <v>3</v>
      </c>
      <c r="N59" cm="1">
        <f t="array" ref="N59">_xlfn.IFS(N3=175, 1, N3=325, 2, N3=650, 4)</f>
        <v>2</v>
      </c>
      <c r="O59" cm="1">
        <f t="array" ref="O59">_xlfn.IFS(O3=200, 1.75, O3=375, 3.5, O3=775, 7)</f>
        <v>1.75</v>
      </c>
      <c r="P59" cm="1">
        <f t="array" ref="P59">_xlfn.IFS(P3=175, 0.1, P3=325, 0.2, P3=650, 0.4)</f>
        <v>0.4</v>
      </c>
      <c r="Q59" cm="1">
        <f t="array" ref="Q59">_xlfn.IFS(Q3=175, 0.1, Q3=325, 0.2, Q3=650, 0.4)</f>
        <v>0.4</v>
      </c>
      <c r="R59" cm="1">
        <f t="array" ref="R59">_xlfn.IFS(R3=250, 1.5, R3=325, 2, R3=650, 4)</f>
        <v>4</v>
      </c>
      <c r="S59" cm="1">
        <f t="array" ref="S59">_xlfn.IFS(S3=175, 0.05, S3=325, 0.1, S3=675, 0.2)</f>
        <v>0.05</v>
      </c>
      <c r="T59" cm="1">
        <f t="array" ref="T59">_xlfn.IFS(T3=175, 0.05, T3=325, 0.1, T3=675, 0.2)</f>
        <v>0.2</v>
      </c>
      <c r="U59" cm="1">
        <f t="array" ref="U59">_xlfn.IFS(U3=175, 0.05, U3=325, 0.1, U3=675, 0.2)</f>
        <v>0.05</v>
      </c>
      <c r="V59" cm="1">
        <f t="array" ref="V59">_xlfn.IFS(V3=175, 0.05, V3=325, 0.1, V3=675, 0.2)</f>
        <v>0.1</v>
      </c>
      <c r="W59" cm="1">
        <f t="array" ref="W59">_xlfn.IFS(W3=375, 3.33, W3=725, 6.7, W3=1475, 13.32)</f>
        <v>3.33</v>
      </c>
      <c r="X59" cm="1">
        <f t="array" ref="X59">_xlfn.IFS(X3=400, 0.1)</f>
        <v>0.1</v>
      </c>
    </row>
    <row r="60" spans="1:24" x14ac:dyDescent="0.25">
      <c r="B60">
        <v>2</v>
      </c>
      <c r="C60" cm="1">
        <f t="array" ref="C60">_xlfn.IFS(C4=175, 0.5, C4=325, 1, C4=650, 2)</f>
        <v>0.5</v>
      </c>
      <c r="D60" cm="1">
        <f t="array" ref="D60">_xlfn.IFS(D4=325, 3, D4=650, 6, D4=1320, 12)</f>
        <v>3</v>
      </c>
      <c r="E60" cm="1">
        <f t="array" ref="E60">_xlfn.IFS(E4=175, 1, E4=325, 2, E4=650, 4)</f>
        <v>4</v>
      </c>
      <c r="F60" cm="1">
        <f t="array" ref="F60">_xlfn.IFS(F4=175, 1.25, F4=350, 2.5, F4=700, 5)</f>
        <v>2.5</v>
      </c>
      <c r="G60" cm="1">
        <f t="array" ref="G60">_xlfn.IFS(G4=175, 0.1, G4=325, 0.2, G4=650, 0.4)</f>
        <v>0.1</v>
      </c>
      <c r="H60" cm="1">
        <f t="array" ref="H60">_xlfn.IFS(H4=175, 0.5, H4=325, 1, H4=650, 2)</f>
        <v>2</v>
      </c>
      <c r="I60" cm="1">
        <f t="array" ref="I60">_xlfn.IFS(I4=325, 2, I4=650, 4, I4=1000, 6)</f>
        <v>2</v>
      </c>
      <c r="J60" cm="1">
        <f t="array" ref="J60">_xlfn.IFS(J4=550, 5, J4=1100, 10, J4=2200, 20)</f>
        <v>10</v>
      </c>
      <c r="K60" cm="1">
        <f t="array" ref="K60">_xlfn.IFS(K4=225, 2, K4=450, 4, K4=875, 8)</f>
        <v>2</v>
      </c>
      <c r="L60" cm="1">
        <f t="array" ref="L60">_xlfn.IFS(L4=225, 1, L4=450, 2, L4=875, 4)</f>
        <v>1</v>
      </c>
      <c r="M60" cm="1">
        <f t="array" ref="M60">_xlfn.IFS(M4=325, 3, M4=650, 6, M4=1325, 12)</f>
        <v>3</v>
      </c>
      <c r="N60" cm="1">
        <f t="array" ref="N60">_xlfn.IFS(N4=175, 1, N4=325, 2, N4=650, 4)</f>
        <v>2</v>
      </c>
      <c r="O60" cm="1">
        <f t="array" ref="O60">_xlfn.IFS(O4=200, 1.75, O4=375, 3.5, O4=775, 7)</f>
        <v>1.75</v>
      </c>
      <c r="P60" cm="1">
        <f t="array" ref="P60">_xlfn.IFS(P4=175, 0.1, P4=325, 0.2, P4=650, 0.4)</f>
        <v>0.1</v>
      </c>
      <c r="Q60" cm="1">
        <f t="array" ref="Q60">_xlfn.IFS(Q4=175, 0.1, Q4=325, 0.2, Q4=650, 0.4)</f>
        <v>0.4</v>
      </c>
      <c r="R60" cm="1">
        <f t="array" ref="R60">_xlfn.IFS(R4=250, 1.5, R4=325, 2, R4=650, 4)</f>
        <v>2</v>
      </c>
      <c r="S60" cm="1">
        <f t="array" ref="S60">_xlfn.IFS(S4=175, 0.05, S4=325, 0.1, S4=675, 0.2)</f>
        <v>0.1</v>
      </c>
      <c r="T60" cm="1">
        <f t="array" ref="T60">_xlfn.IFS(T4=175, 0.05, T4=325, 0.1, T4=675, 0.2)</f>
        <v>0.2</v>
      </c>
      <c r="U60" cm="1">
        <f t="array" ref="U60">_xlfn.IFS(U4=175, 0.05, U4=325, 0.1, U4=675, 0.2)</f>
        <v>0.05</v>
      </c>
      <c r="V60" cm="1">
        <f t="array" ref="V60">_xlfn.IFS(V4=175, 0.05, V4=325, 0.1, V4=675, 0.2)</f>
        <v>0.1</v>
      </c>
      <c r="W60" cm="1">
        <f t="array" ref="W60">_xlfn.IFS(W4=375, 3.33, W4=725, 6.7, W4=1475, 13.32)</f>
        <v>3.33</v>
      </c>
      <c r="X60" cm="1">
        <f t="array" ref="X60">_xlfn.IFS(X4=400, 0.1)</f>
        <v>0.1</v>
      </c>
    </row>
    <row r="61" spans="1:24" x14ac:dyDescent="0.25">
      <c r="B61">
        <v>3</v>
      </c>
      <c r="C61" cm="1">
        <f t="array" ref="C61">_xlfn.IFS(C5=175, 0.5, C5=325, 1, C5=650, 2)</f>
        <v>0.5</v>
      </c>
      <c r="D61" cm="1">
        <f t="array" ref="D61">_xlfn.IFS(D5=325, 3, D5=650, 6, D5=1320, 12)</f>
        <v>6</v>
      </c>
      <c r="E61" cm="1">
        <f t="array" ref="E61">_xlfn.IFS(E5=175, 1, E5=325, 2, E5=650, 4)</f>
        <v>2</v>
      </c>
      <c r="F61" cm="1">
        <f t="array" ref="F61">_xlfn.IFS(F5=175, 1.25, F5=350, 2.5, F5=700, 5)</f>
        <v>1.25</v>
      </c>
      <c r="G61" cm="1">
        <f t="array" ref="G61">_xlfn.IFS(G5=175, 0.1, G5=325, 0.2, G5=650, 0.4)</f>
        <v>0.1</v>
      </c>
      <c r="H61" cm="1">
        <f t="array" ref="H61">_xlfn.IFS(H5=175, 0.5, H5=325, 1, H5=650, 2)</f>
        <v>2</v>
      </c>
      <c r="I61" cm="1">
        <f t="array" ref="I61">_xlfn.IFS(I5=325, 2, I5=650, 4, I5=1000, 6)</f>
        <v>2</v>
      </c>
      <c r="J61" cm="1">
        <f t="array" ref="J61">_xlfn.IFS(J5=550, 5, J5=1100, 10, J5=2200, 20)</f>
        <v>10</v>
      </c>
      <c r="K61" cm="1">
        <f t="array" ref="K61">_xlfn.IFS(K5=225, 2, K5=450, 4, K5=875, 8)</f>
        <v>2</v>
      </c>
      <c r="L61" cm="1">
        <f t="array" ref="L61">_xlfn.IFS(L5=225, 1, L5=450, 2, L5=875, 4)</f>
        <v>1</v>
      </c>
      <c r="M61" cm="1">
        <f t="array" ref="M61">_xlfn.IFS(M5=325, 3, M5=650, 6, M5=1325, 12)</f>
        <v>12</v>
      </c>
      <c r="N61" cm="1">
        <f t="array" ref="N61">_xlfn.IFS(N5=175, 1, N5=325, 2, N5=650, 4)</f>
        <v>4</v>
      </c>
      <c r="O61" cm="1">
        <f t="array" ref="O61">_xlfn.IFS(O5=200, 1.75, O5=375, 3.5, O5=775, 7)</f>
        <v>1.75</v>
      </c>
      <c r="P61" cm="1">
        <f t="array" ref="P61">_xlfn.IFS(P5=175, 0.1, P5=325, 0.2, P5=650, 0.4)</f>
        <v>0.4</v>
      </c>
      <c r="Q61" cm="1">
        <f t="array" ref="Q61">_xlfn.IFS(Q5=175, 0.1, Q5=325, 0.2, Q5=650, 0.4)</f>
        <v>0.1</v>
      </c>
      <c r="R61" cm="1">
        <f t="array" ref="R61">_xlfn.IFS(R5=250, 1.5, R5=325, 2, R5=650, 4)</f>
        <v>2</v>
      </c>
      <c r="S61" cm="1">
        <f t="array" ref="S61">_xlfn.IFS(S5=175, 0.05, S5=325, 0.1, S5=675, 0.2)</f>
        <v>0.2</v>
      </c>
      <c r="T61" cm="1">
        <f t="array" ref="T61">_xlfn.IFS(T5=175, 0.05, T5=325, 0.1, T5=675, 0.2)</f>
        <v>0.2</v>
      </c>
      <c r="U61" cm="1">
        <f t="array" ref="U61">_xlfn.IFS(U5=175, 0.05, U5=325, 0.1, U5=675, 0.2)</f>
        <v>0.2</v>
      </c>
      <c r="V61" cm="1">
        <f t="array" ref="V61">_xlfn.IFS(V5=175, 0.05, V5=325, 0.1, V5=675, 0.2)</f>
        <v>0.1</v>
      </c>
      <c r="W61" cm="1">
        <f t="array" ref="W61">_xlfn.IFS(W5=375, 3.33, W5=725, 6.7, W5=1475, 13.32)</f>
        <v>6.7</v>
      </c>
      <c r="X61" cm="1">
        <f t="array" ref="X61">_xlfn.IFS(X5=400, 0.1)</f>
        <v>0.1</v>
      </c>
    </row>
    <row r="62" spans="1:24" x14ac:dyDescent="0.25">
      <c r="B62">
        <v>4</v>
      </c>
      <c r="C62" cm="1">
        <f t="array" ref="C62">_xlfn.IFS(C6=175, 0.5, C6=325, 1, C6=650, 2)</f>
        <v>0.5</v>
      </c>
      <c r="D62" cm="1">
        <f t="array" ref="D62">_xlfn.IFS(D6=325, 3, D6=650, 6, D6=1320, 12)</f>
        <v>3</v>
      </c>
      <c r="E62" cm="1">
        <f t="array" ref="E62">_xlfn.IFS(E6=175, 1, E6=325, 2, E6=650, 4)</f>
        <v>1</v>
      </c>
      <c r="F62" cm="1">
        <f t="array" ref="F62">_xlfn.IFS(F6=175, 1.25, F6=350, 2.5, F6=700, 5)</f>
        <v>1.25</v>
      </c>
      <c r="G62" cm="1">
        <f t="array" ref="G62">_xlfn.IFS(G6=175, 0.1, G6=325, 0.2, G6=650, 0.4)</f>
        <v>0.1</v>
      </c>
      <c r="H62" cm="1">
        <f t="array" ref="H62">_xlfn.IFS(H6=175, 0.5, H6=325, 1, H6=650, 2)</f>
        <v>2</v>
      </c>
      <c r="I62" cm="1">
        <f t="array" ref="I62">_xlfn.IFS(I6=325, 2, I6=650, 4, I6=1000, 6)</f>
        <v>2</v>
      </c>
      <c r="J62" cm="1">
        <f t="array" ref="J62">_xlfn.IFS(J6=550, 5, J6=1100, 10, J6=2200, 20)</f>
        <v>20</v>
      </c>
      <c r="K62" cm="1">
        <f t="array" ref="K62">_xlfn.IFS(K6=225, 2, K6=450, 4, K6=875, 8)</f>
        <v>8</v>
      </c>
      <c r="L62" cm="1">
        <f t="array" ref="L62">_xlfn.IFS(L6=225, 1, L6=450, 2, L6=875, 4)</f>
        <v>2</v>
      </c>
      <c r="M62" cm="1">
        <f t="array" ref="M62">_xlfn.IFS(M6=325, 3, M6=650, 6, M6=1325, 12)</f>
        <v>3</v>
      </c>
      <c r="N62" cm="1">
        <f t="array" ref="N62">_xlfn.IFS(N6=175, 1, N6=325, 2, N6=650, 4)</f>
        <v>2</v>
      </c>
      <c r="O62" cm="1">
        <f t="array" ref="O62">_xlfn.IFS(O6=200, 1.75, O6=375, 3.5, O6=775, 7)</f>
        <v>3.5</v>
      </c>
      <c r="P62" cm="1">
        <f t="array" ref="P62">_xlfn.IFS(P6=175, 0.1, P6=325, 0.2, P6=650, 0.4)</f>
        <v>0.1</v>
      </c>
      <c r="Q62" cm="1">
        <f t="array" ref="Q62">_xlfn.IFS(Q6=175, 0.1, Q6=325, 0.2, Q6=650, 0.4)</f>
        <v>0.4</v>
      </c>
      <c r="R62" cm="1">
        <f t="array" ref="R62">_xlfn.IFS(R6=250, 1.5, R6=325, 2, R6=650, 4)</f>
        <v>2</v>
      </c>
      <c r="S62" cm="1">
        <f t="array" ref="S62">_xlfn.IFS(S6=175, 0.05, S6=325, 0.1, S6=675, 0.2)</f>
        <v>0.2</v>
      </c>
      <c r="T62" cm="1">
        <f t="array" ref="T62">_xlfn.IFS(T6=175, 0.05, T6=325, 0.1, T6=675, 0.2)</f>
        <v>0.2</v>
      </c>
      <c r="U62" cm="1">
        <f t="array" ref="U62">_xlfn.IFS(U6=175, 0.05, U6=325, 0.1, U6=675, 0.2)</f>
        <v>0.1</v>
      </c>
      <c r="V62" cm="1">
        <f t="array" ref="V62">_xlfn.IFS(V6=175, 0.05, V6=325, 0.1, V6=675, 0.2)</f>
        <v>0.05</v>
      </c>
      <c r="W62" cm="1">
        <f t="array" ref="W62">_xlfn.IFS(W6=375, 3.33, W6=725, 6.7, W6=1475, 13.32)</f>
        <v>3.33</v>
      </c>
      <c r="X62" cm="1">
        <f t="array" ref="X62">_xlfn.IFS(X6=400, 0.1)</f>
        <v>0.1</v>
      </c>
    </row>
    <row r="63" spans="1:24" x14ac:dyDescent="0.25">
      <c r="B63">
        <v>5</v>
      </c>
      <c r="C63" cm="1">
        <f t="array" ref="C63">_xlfn.IFS(C7=175, 0.5, C7=325, 1, C7=650, 2)</f>
        <v>1</v>
      </c>
      <c r="D63" cm="1">
        <f t="array" ref="D63">_xlfn.IFS(D7=325, 3, D7=650, 6, D7=1320, 12)</f>
        <v>3</v>
      </c>
      <c r="E63" cm="1">
        <f t="array" ref="E63">_xlfn.IFS(E7=175, 1, E7=325, 2, E7=650, 4)</f>
        <v>1</v>
      </c>
      <c r="F63" cm="1">
        <f t="array" ref="F63">_xlfn.IFS(F7=175, 1.25, F7=350, 2.5, F7=700, 5)</f>
        <v>1.25</v>
      </c>
      <c r="G63" cm="1">
        <f t="array" ref="G63">_xlfn.IFS(G7=175, 0.1, G7=325, 0.2, G7=650, 0.4)</f>
        <v>0.1</v>
      </c>
      <c r="H63" cm="1">
        <f t="array" ref="H63">_xlfn.IFS(H7=175, 0.5, H7=325, 1, H7=650, 2)</f>
        <v>1</v>
      </c>
      <c r="I63" cm="1">
        <f t="array" ref="I63">_xlfn.IFS(I7=325, 2, I7=650, 4, I7=1000, 6)</f>
        <v>2</v>
      </c>
      <c r="J63" cm="1">
        <f t="array" ref="J63">_xlfn.IFS(J7=550, 5, J7=1100, 10, J7=2200, 20)</f>
        <v>20</v>
      </c>
      <c r="K63" cm="1">
        <f t="array" ref="K63">_xlfn.IFS(K7=225, 2, K7=450, 4, K7=875, 8)</f>
        <v>4</v>
      </c>
      <c r="L63" cm="1">
        <f t="array" ref="L63">_xlfn.IFS(L7=225, 1, L7=450, 2, L7=875, 4)</f>
        <v>1</v>
      </c>
      <c r="M63" cm="1">
        <f t="array" ref="M63">_xlfn.IFS(M7=325, 3, M7=650, 6, M7=1325, 12)</f>
        <v>6</v>
      </c>
      <c r="N63" cm="1">
        <f t="array" ref="N63">_xlfn.IFS(N7=175, 1, N7=325, 2, N7=650, 4)</f>
        <v>4</v>
      </c>
      <c r="O63" cm="1">
        <f t="array" ref="O63">_xlfn.IFS(O7=200, 1.75, O7=375, 3.5, O7=775, 7)</f>
        <v>1.75</v>
      </c>
      <c r="P63" cm="1">
        <f t="array" ref="P63">_xlfn.IFS(P7=175, 0.1, P7=325, 0.2, P7=650, 0.4)</f>
        <v>0.2</v>
      </c>
      <c r="Q63" cm="1">
        <f t="array" ref="Q63">_xlfn.IFS(Q7=175, 0.1, Q7=325, 0.2, Q7=650, 0.4)</f>
        <v>0.2</v>
      </c>
      <c r="R63" cm="1">
        <f t="array" ref="R63">_xlfn.IFS(R7=250, 1.5, R7=325, 2, R7=650, 4)</f>
        <v>4</v>
      </c>
      <c r="S63" cm="1">
        <f t="array" ref="S63">_xlfn.IFS(S7=175, 0.05, S7=325, 0.1, S7=675, 0.2)</f>
        <v>0.1</v>
      </c>
      <c r="T63" cm="1">
        <f t="array" ref="T63">_xlfn.IFS(T7=175, 0.05, T7=325, 0.1, T7=675, 0.2)</f>
        <v>0.2</v>
      </c>
      <c r="U63" cm="1">
        <f t="array" ref="U63">_xlfn.IFS(U7=175, 0.05, U7=325, 0.1, U7=675, 0.2)</f>
        <v>0.1</v>
      </c>
      <c r="V63" cm="1">
        <f t="array" ref="V63">_xlfn.IFS(V7=175, 0.05, V7=325, 0.1, V7=675, 0.2)</f>
        <v>0.1</v>
      </c>
      <c r="W63" cm="1">
        <f t="array" ref="W63">_xlfn.IFS(W7=375, 3.33, W7=725, 6.7, W7=1475, 13.32)</f>
        <v>6.7</v>
      </c>
      <c r="X63" cm="1">
        <f t="array" ref="X63">_xlfn.IFS(X7=400, 0.1)</f>
        <v>0.1</v>
      </c>
    </row>
    <row r="64" spans="1:24" x14ac:dyDescent="0.25">
      <c r="B64">
        <v>6</v>
      </c>
      <c r="C64" cm="1">
        <f t="array" ref="C64">_xlfn.IFS(C8=175, 0.5, C8=325, 1, C8=650, 2)</f>
        <v>0.5</v>
      </c>
      <c r="D64" cm="1">
        <f t="array" ref="D64">_xlfn.IFS(D8=325, 3, D8=650, 6, D8=1320, 12)</f>
        <v>3</v>
      </c>
      <c r="E64" cm="1">
        <f t="array" ref="E64">_xlfn.IFS(E8=175, 1, E8=325, 2, E8=650, 4)</f>
        <v>1</v>
      </c>
      <c r="F64" cm="1">
        <f t="array" ref="F64">_xlfn.IFS(F8=175, 1.25, F8=350, 2.5, F8=700, 5)</f>
        <v>5</v>
      </c>
      <c r="G64" cm="1">
        <f t="array" ref="G64">_xlfn.IFS(G8=175, 0.1, G8=325, 0.2, G8=650, 0.4)</f>
        <v>0.2</v>
      </c>
      <c r="H64" cm="1">
        <f t="array" ref="H64">_xlfn.IFS(H8=175, 0.5, H8=325, 1, H8=650, 2)</f>
        <v>2</v>
      </c>
      <c r="I64" cm="1">
        <f t="array" ref="I64">_xlfn.IFS(I8=325, 2, I8=650, 4, I8=1000, 6)</f>
        <v>2</v>
      </c>
      <c r="J64" cm="1">
        <f t="array" ref="J64">_xlfn.IFS(J8=550, 5, J8=1100, 10, J8=2200, 20)</f>
        <v>20</v>
      </c>
      <c r="K64" cm="1">
        <f t="array" ref="K64">_xlfn.IFS(K8=225, 2, K8=450, 4, K8=875, 8)</f>
        <v>4</v>
      </c>
      <c r="L64" cm="1">
        <f t="array" ref="L64">_xlfn.IFS(L8=225, 1, L8=450, 2, L8=875, 4)</f>
        <v>2</v>
      </c>
      <c r="M64" cm="1">
        <f t="array" ref="M64">_xlfn.IFS(M8=325, 3, M8=650, 6, M8=1325, 12)</f>
        <v>3</v>
      </c>
      <c r="N64" cm="1">
        <f t="array" ref="N64">_xlfn.IFS(N8=175, 1, N8=325, 2, N8=650, 4)</f>
        <v>4</v>
      </c>
      <c r="O64" cm="1">
        <f t="array" ref="O64">_xlfn.IFS(O8=200, 1.75, O8=375, 3.5, O8=775, 7)</f>
        <v>1.75</v>
      </c>
      <c r="P64" cm="1">
        <f t="array" ref="P64">_xlfn.IFS(P8=175, 0.1, P8=325, 0.2, P8=650, 0.4)</f>
        <v>0.1</v>
      </c>
      <c r="Q64" cm="1">
        <f t="array" ref="Q64">_xlfn.IFS(Q8=175, 0.1, Q8=325, 0.2, Q8=650, 0.4)</f>
        <v>0.2</v>
      </c>
      <c r="R64" cm="1">
        <f t="array" ref="R64">_xlfn.IFS(R8=250, 1.5, R8=325, 2, R8=650, 4)</f>
        <v>2</v>
      </c>
      <c r="S64" cm="1">
        <f t="array" ref="S64">_xlfn.IFS(S8=175, 0.05, S8=325, 0.1, S8=675, 0.2)</f>
        <v>0.2</v>
      </c>
      <c r="T64" cm="1">
        <f t="array" ref="T64">_xlfn.IFS(T8=175, 0.05, T8=325, 0.1, T8=675, 0.2)</f>
        <v>0.2</v>
      </c>
      <c r="U64" cm="1">
        <f t="array" ref="U64">_xlfn.IFS(U8=175, 0.05, U8=325, 0.1, U8=675, 0.2)</f>
        <v>0.05</v>
      </c>
      <c r="V64" cm="1">
        <f t="array" ref="V64">_xlfn.IFS(V8=175, 0.05, V8=325, 0.1, V8=675, 0.2)</f>
        <v>0.2</v>
      </c>
      <c r="W64" cm="1">
        <f t="array" ref="W64">_xlfn.IFS(W8=375, 3.33, W8=725, 6.7, W8=1475, 13.32)</f>
        <v>3.33</v>
      </c>
      <c r="X64" cm="1">
        <f t="array" ref="X64">_xlfn.IFS(X8=400, 0.1)</f>
        <v>0.1</v>
      </c>
    </row>
    <row r="65" spans="2:24" x14ac:dyDescent="0.25">
      <c r="B65">
        <v>7</v>
      </c>
      <c r="C65" cm="1">
        <f t="array" ref="C65">_xlfn.IFS(C9=175, 0.5, C9=325, 1, C9=650, 2)</f>
        <v>1</v>
      </c>
      <c r="D65" cm="1">
        <f t="array" ref="D65">_xlfn.IFS(D9=325, 3, D9=650, 6, D9=1320, 12)</f>
        <v>6</v>
      </c>
      <c r="E65" cm="1">
        <f t="array" ref="E65">_xlfn.IFS(E9=175, 1, E9=325, 2, E9=650, 4)</f>
        <v>2</v>
      </c>
      <c r="F65" cm="1">
        <f t="array" ref="F65">_xlfn.IFS(F9=175, 1.25, F9=350, 2.5, F9=700, 5)</f>
        <v>1.25</v>
      </c>
      <c r="G65" cm="1">
        <f t="array" ref="G65">_xlfn.IFS(G9=175, 0.1, G9=325, 0.2, G9=650, 0.4)</f>
        <v>0.1</v>
      </c>
      <c r="H65" cm="1">
        <f t="array" ref="H65">_xlfn.IFS(H9=175, 0.5, H9=325, 1, H9=650, 2)</f>
        <v>1</v>
      </c>
      <c r="I65" cm="1">
        <f t="array" ref="I65">_xlfn.IFS(I9=325, 2, I9=650, 4, I9=1000, 6)</f>
        <v>2</v>
      </c>
      <c r="J65" cm="1">
        <f t="array" ref="J65">_xlfn.IFS(J9=550, 5, J9=1100, 10, J9=2200, 20)</f>
        <v>20</v>
      </c>
      <c r="K65" cm="1">
        <f t="array" ref="K65">_xlfn.IFS(K9=225, 2, K9=450, 4, K9=875, 8)</f>
        <v>8</v>
      </c>
      <c r="L65" cm="1">
        <f t="array" ref="L65">_xlfn.IFS(L9=225, 1, L9=450, 2, L9=875, 4)</f>
        <v>1</v>
      </c>
      <c r="M65" cm="1">
        <f t="array" ref="M65">_xlfn.IFS(M9=325, 3, M9=650, 6, M9=1325, 12)</f>
        <v>3</v>
      </c>
      <c r="N65" cm="1">
        <f t="array" ref="N65">_xlfn.IFS(N9=175, 1, N9=325, 2, N9=650, 4)</f>
        <v>4</v>
      </c>
      <c r="O65" cm="1">
        <f t="array" ref="O65">_xlfn.IFS(O9=200, 1.75, O9=375, 3.5, O9=775, 7)</f>
        <v>1.75</v>
      </c>
      <c r="P65" cm="1">
        <f t="array" ref="P65">_xlfn.IFS(P9=175, 0.1, P9=325, 0.2, P9=650, 0.4)</f>
        <v>0.2</v>
      </c>
      <c r="Q65" cm="1">
        <f t="array" ref="Q65">_xlfn.IFS(Q9=175, 0.1, Q9=325, 0.2, Q9=650, 0.4)</f>
        <v>0.4</v>
      </c>
      <c r="R65" cm="1">
        <f t="array" ref="R65">_xlfn.IFS(R9=250, 1.5, R9=325, 2, R9=650, 4)</f>
        <v>2</v>
      </c>
      <c r="S65" cm="1">
        <f t="array" ref="S65">_xlfn.IFS(S9=175, 0.05, S9=325, 0.1, S9=675, 0.2)</f>
        <v>0.2</v>
      </c>
      <c r="T65" cm="1">
        <f t="array" ref="T65">_xlfn.IFS(T9=175, 0.05, T9=325, 0.1, T9=675, 0.2)</f>
        <v>0.1</v>
      </c>
      <c r="U65" cm="1">
        <f t="array" ref="U65">_xlfn.IFS(U9=175, 0.05, U9=325, 0.1, U9=675, 0.2)</f>
        <v>0.05</v>
      </c>
      <c r="V65" cm="1">
        <f t="array" ref="V65">_xlfn.IFS(V9=175, 0.05, V9=325, 0.1, V9=675, 0.2)</f>
        <v>0.1</v>
      </c>
      <c r="W65" cm="1">
        <f t="array" ref="W65">_xlfn.IFS(W9=375, 3.33, W9=725, 6.7, W9=1475, 13.32)</f>
        <v>6.7</v>
      </c>
      <c r="X65" cm="1">
        <f t="array" ref="X65">_xlfn.IFS(X9=400, 0.1)</f>
        <v>0.1</v>
      </c>
    </row>
    <row r="66" spans="2:24" x14ac:dyDescent="0.25">
      <c r="B66">
        <v>8</v>
      </c>
      <c r="C66" cm="1">
        <f t="array" ref="C66">_xlfn.IFS(C10=175, 0.5, C10=325, 1, C10=650, 2)</f>
        <v>0.5</v>
      </c>
      <c r="D66" cm="1">
        <f t="array" ref="D66">_xlfn.IFS(D10=325, 3, D10=650, 6, D10=1320, 12)</f>
        <v>3</v>
      </c>
      <c r="E66" cm="1">
        <f t="array" ref="E66">_xlfn.IFS(E10=175, 1, E10=325, 2, E10=650, 4)</f>
        <v>4</v>
      </c>
      <c r="F66" cm="1">
        <f t="array" ref="F66">_xlfn.IFS(F10=175, 1.25, F10=350, 2.5, F10=700, 5)</f>
        <v>5</v>
      </c>
      <c r="G66" cm="1">
        <f t="array" ref="G66">_xlfn.IFS(G10=175, 0.1, G10=325, 0.2, G10=650, 0.4)</f>
        <v>0.1</v>
      </c>
      <c r="H66" cm="1">
        <f t="array" ref="H66">_xlfn.IFS(H10=175, 0.5, H10=325, 1, H10=650, 2)</f>
        <v>2</v>
      </c>
      <c r="I66" cm="1">
        <f t="array" ref="I66">_xlfn.IFS(I10=325, 2, I10=650, 4, I10=1000, 6)</f>
        <v>2</v>
      </c>
      <c r="J66" cm="1">
        <f t="array" ref="J66">_xlfn.IFS(J10=550, 5, J10=1100, 10, J10=2200, 20)</f>
        <v>10</v>
      </c>
      <c r="K66" cm="1">
        <f t="array" ref="K66">_xlfn.IFS(K10=225, 2, K10=450, 4, K10=875, 8)</f>
        <v>4</v>
      </c>
      <c r="L66" cm="1">
        <f t="array" ref="L66">_xlfn.IFS(L10=225, 1, L10=450, 2, L10=875, 4)</f>
        <v>2</v>
      </c>
      <c r="M66" cm="1">
        <f t="array" ref="M66">_xlfn.IFS(M10=325, 3, M10=650, 6, M10=1325, 12)</f>
        <v>6</v>
      </c>
      <c r="N66" cm="1">
        <f t="array" ref="N66">_xlfn.IFS(N10=175, 1, N10=325, 2, N10=650, 4)</f>
        <v>4</v>
      </c>
      <c r="O66" cm="1">
        <f t="array" ref="O66">_xlfn.IFS(O10=200, 1.75, O10=375, 3.5, O10=775, 7)</f>
        <v>1.75</v>
      </c>
      <c r="P66" cm="1">
        <f t="array" ref="P66">_xlfn.IFS(P10=175, 0.1, P10=325, 0.2, P10=650, 0.4)</f>
        <v>0.1</v>
      </c>
      <c r="Q66" cm="1">
        <f t="array" ref="Q66">_xlfn.IFS(Q10=175, 0.1, Q10=325, 0.2, Q10=650, 0.4)</f>
        <v>0.2</v>
      </c>
      <c r="R66" cm="1">
        <f t="array" ref="R66">_xlfn.IFS(R10=250, 1.5, R10=325, 2, R10=650, 4)</f>
        <v>2</v>
      </c>
      <c r="S66" cm="1">
        <f t="array" ref="S66">_xlfn.IFS(S10=175, 0.05, S10=325, 0.1, S10=675, 0.2)</f>
        <v>0.2</v>
      </c>
      <c r="T66" cm="1">
        <f t="array" ref="T66">_xlfn.IFS(T10=175, 0.05, T10=325, 0.1, T10=675, 0.2)</f>
        <v>0.2</v>
      </c>
      <c r="U66" cm="1">
        <f t="array" ref="U66">_xlfn.IFS(U10=175, 0.05, U10=325, 0.1, U10=675, 0.2)</f>
        <v>0.2</v>
      </c>
      <c r="V66" cm="1">
        <f t="array" ref="V66">_xlfn.IFS(V10=175, 0.05, V10=325, 0.1, V10=675, 0.2)</f>
        <v>0.2</v>
      </c>
      <c r="W66" cm="1">
        <f t="array" ref="W66">_xlfn.IFS(W10=375, 3.33, W10=725, 6.7, W10=1475, 13.32)</f>
        <v>3.33</v>
      </c>
      <c r="X66" cm="1">
        <f t="array" ref="X66">_xlfn.IFS(X10=400, 0.1)</f>
        <v>0.1</v>
      </c>
    </row>
    <row r="67" spans="2:24" x14ac:dyDescent="0.25">
      <c r="B67">
        <v>9</v>
      </c>
      <c r="C67" cm="1">
        <f t="array" ref="C67">_xlfn.IFS(C11=175, 0.5, C11=325, 1, C11=650, 2)</f>
        <v>0.5</v>
      </c>
      <c r="D67" cm="1">
        <f t="array" ref="D67">_xlfn.IFS(D11=325, 3, D11=650, 6, D11=1320, 12)</f>
        <v>6</v>
      </c>
      <c r="E67" cm="1">
        <f t="array" ref="E67">_xlfn.IFS(E11=175, 1, E11=325, 2, E11=650, 4)</f>
        <v>2</v>
      </c>
      <c r="F67" cm="1">
        <f t="array" ref="F67">_xlfn.IFS(F11=175, 1.25, F11=350, 2.5, F11=700, 5)</f>
        <v>5</v>
      </c>
      <c r="G67" cm="1">
        <f t="array" ref="G67">_xlfn.IFS(G11=175, 0.1, G11=325, 0.2, G11=650, 0.4)</f>
        <v>0.1</v>
      </c>
      <c r="H67" cm="1">
        <f t="array" ref="H67">_xlfn.IFS(H11=175, 0.5, H11=325, 1, H11=650, 2)</f>
        <v>1</v>
      </c>
      <c r="I67" cm="1">
        <f t="array" ref="I67">_xlfn.IFS(I11=325, 2, I11=650, 4, I11=1000, 6)</f>
        <v>2</v>
      </c>
      <c r="J67" cm="1">
        <f t="array" ref="J67">_xlfn.IFS(J11=550, 5, J11=1100, 10, J11=2200, 20)</f>
        <v>10</v>
      </c>
      <c r="K67" cm="1">
        <f t="array" ref="K67">_xlfn.IFS(K11=225, 2, K11=450, 4, K11=875, 8)</f>
        <v>8</v>
      </c>
      <c r="L67" cm="1">
        <f t="array" ref="L67">_xlfn.IFS(L11=225, 1, L11=450, 2, L11=875, 4)</f>
        <v>2</v>
      </c>
      <c r="M67" cm="1">
        <f t="array" ref="M67">_xlfn.IFS(M11=325, 3, M11=650, 6, M11=1325, 12)</f>
        <v>3</v>
      </c>
      <c r="N67" cm="1">
        <f t="array" ref="N67">_xlfn.IFS(N11=175, 1, N11=325, 2, N11=650, 4)</f>
        <v>1</v>
      </c>
      <c r="O67" cm="1">
        <f t="array" ref="O67">_xlfn.IFS(O11=200, 1.75, O11=375, 3.5, O11=775, 7)</f>
        <v>1.75</v>
      </c>
      <c r="P67" cm="1">
        <f t="array" ref="P67">_xlfn.IFS(P11=175, 0.1, P11=325, 0.2, P11=650, 0.4)</f>
        <v>0.1</v>
      </c>
      <c r="Q67" cm="1">
        <f t="array" ref="Q67">_xlfn.IFS(Q11=175, 0.1, Q11=325, 0.2, Q11=650, 0.4)</f>
        <v>0.2</v>
      </c>
      <c r="R67" cm="1">
        <f t="array" ref="R67">_xlfn.IFS(R11=250, 1.5, R11=325, 2, R11=650, 4)</f>
        <v>2</v>
      </c>
      <c r="S67" cm="1">
        <f t="array" ref="S67">_xlfn.IFS(S11=175, 0.05, S11=325, 0.1, S11=675, 0.2)</f>
        <v>0.05</v>
      </c>
      <c r="T67" cm="1">
        <f t="array" ref="T67">_xlfn.IFS(T11=175, 0.05, T11=325, 0.1, T11=675, 0.2)</f>
        <v>0.2</v>
      </c>
      <c r="U67" cm="1">
        <f t="array" ref="U67">_xlfn.IFS(U11=175, 0.05, U11=325, 0.1, U11=675, 0.2)</f>
        <v>0.2</v>
      </c>
      <c r="V67" cm="1">
        <f t="array" ref="V67">_xlfn.IFS(V11=175, 0.05, V11=325, 0.1, V11=675, 0.2)</f>
        <v>0.2</v>
      </c>
      <c r="W67" cm="1">
        <f t="array" ref="W67">_xlfn.IFS(W11=375, 3.33, W11=725, 6.7, W11=1475, 13.32)</f>
        <v>6.7</v>
      </c>
      <c r="X67" cm="1">
        <f t="array" ref="X67">_xlfn.IFS(X11=400, 0.1)</f>
        <v>0.1</v>
      </c>
    </row>
    <row r="68" spans="2:24" x14ac:dyDescent="0.25">
      <c r="B68">
        <v>10</v>
      </c>
      <c r="C68" cm="1">
        <f t="array" ref="C68">_xlfn.IFS(C12=175, 0.5, C12=325, 1, C12=650, 2)</f>
        <v>2</v>
      </c>
      <c r="D68" cm="1">
        <f t="array" ref="D68">_xlfn.IFS(D12=325, 3, D12=650, 6, D12=1320, 12)</f>
        <v>3</v>
      </c>
      <c r="E68" cm="1">
        <f t="array" ref="E68">_xlfn.IFS(E12=175, 1, E12=325, 2, E12=650, 4)</f>
        <v>2</v>
      </c>
      <c r="F68" cm="1">
        <f t="array" ref="F68">_xlfn.IFS(F12=175, 1.25, F12=350, 2.5, F12=700, 5)</f>
        <v>2.5</v>
      </c>
      <c r="G68" cm="1">
        <f t="array" ref="G68">_xlfn.IFS(G12=175, 0.1, G12=325, 0.2, G12=650, 0.4)</f>
        <v>0.1</v>
      </c>
      <c r="H68" cm="1">
        <f t="array" ref="H68">_xlfn.IFS(H12=175, 0.5, H12=325, 1, H12=650, 2)</f>
        <v>1</v>
      </c>
      <c r="I68" cm="1">
        <f t="array" ref="I68">_xlfn.IFS(I12=325, 2, I12=650, 4, I12=1000, 6)</f>
        <v>2</v>
      </c>
      <c r="J68" cm="1">
        <f t="array" ref="J68">_xlfn.IFS(J12=550, 5, J12=1100, 10, J12=2200, 20)</f>
        <v>10</v>
      </c>
      <c r="K68" cm="1">
        <f t="array" ref="K68">_xlfn.IFS(K12=225, 2, K12=450, 4, K12=875, 8)</f>
        <v>2</v>
      </c>
      <c r="L68" cm="1">
        <f t="array" ref="L68">_xlfn.IFS(L12=225, 1, L12=450, 2, L12=875, 4)</f>
        <v>1</v>
      </c>
      <c r="M68" cm="1">
        <f t="array" ref="M68">_xlfn.IFS(M12=325, 3, M12=650, 6, M12=1325, 12)</f>
        <v>3</v>
      </c>
      <c r="N68" cm="1">
        <f t="array" ref="N68">_xlfn.IFS(N12=175, 1, N12=325, 2, N12=650, 4)</f>
        <v>2</v>
      </c>
      <c r="O68" cm="1">
        <f t="array" ref="O68">_xlfn.IFS(O12=200, 1.75, O12=375, 3.5, O12=775, 7)</f>
        <v>1.75</v>
      </c>
      <c r="P68" cm="1">
        <f t="array" ref="P68">_xlfn.IFS(P12=175, 0.1, P12=325, 0.2, P12=650, 0.4)</f>
        <v>0.2</v>
      </c>
      <c r="Q68" cm="1">
        <f t="array" ref="Q68">_xlfn.IFS(Q12=175, 0.1, Q12=325, 0.2, Q12=650, 0.4)</f>
        <v>0.4</v>
      </c>
      <c r="R68" cm="1">
        <f t="array" ref="R68">_xlfn.IFS(R12=250, 1.5, R12=325, 2, R12=650, 4)</f>
        <v>2</v>
      </c>
      <c r="S68" cm="1">
        <f t="array" ref="S68">_xlfn.IFS(S12=175, 0.05, S12=325, 0.1, S12=675, 0.2)</f>
        <v>0.05</v>
      </c>
      <c r="T68" cm="1">
        <f t="array" ref="T68">_xlfn.IFS(T12=175, 0.05, T12=325, 0.1, T12=675, 0.2)</f>
        <v>0.2</v>
      </c>
      <c r="U68" cm="1">
        <f t="array" ref="U68">_xlfn.IFS(U12=175, 0.05, U12=325, 0.1, U12=675, 0.2)</f>
        <v>0.05</v>
      </c>
      <c r="V68" cm="1">
        <f t="array" ref="V68">_xlfn.IFS(V12=175, 0.05, V12=325, 0.1, V12=675, 0.2)</f>
        <v>0.2</v>
      </c>
      <c r="W68" cm="1">
        <f t="array" ref="W68">_xlfn.IFS(W12=375, 3.33, W12=725, 6.7, W12=1475, 13.32)</f>
        <v>13.32</v>
      </c>
      <c r="X68" cm="1">
        <f t="array" ref="X68">_xlfn.IFS(X12=400, 0.1)</f>
        <v>0.1</v>
      </c>
    </row>
    <row r="69" spans="2:24" x14ac:dyDescent="0.25">
      <c r="B69">
        <v>11</v>
      </c>
      <c r="C69" cm="1">
        <f t="array" ref="C69">_xlfn.IFS(C13=175, 0.5, C13=325, 1, C13=650, 2)</f>
        <v>2</v>
      </c>
      <c r="D69" cm="1">
        <f t="array" ref="D69">_xlfn.IFS(D13=325, 3, D13=650, 6, D13=1320, 12)</f>
        <v>6</v>
      </c>
      <c r="E69" cm="1">
        <f t="array" ref="E69">_xlfn.IFS(E13=175, 1, E13=325, 2, E13=650, 4)</f>
        <v>1</v>
      </c>
      <c r="F69" cm="1">
        <f t="array" ref="F69">_xlfn.IFS(F13=175, 1.25, F13=350, 2.5, F13=700, 5)</f>
        <v>5</v>
      </c>
      <c r="G69" cm="1">
        <f t="array" ref="G69">_xlfn.IFS(G13=175, 0.1, G13=325, 0.2, G13=650, 0.4)</f>
        <v>0.1</v>
      </c>
      <c r="H69" cm="1">
        <f t="array" ref="H69">_xlfn.IFS(H13=175, 0.5, H13=325, 1, H13=650, 2)</f>
        <v>1</v>
      </c>
      <c r="I69" cm="1">
        <f t="array" ref="I69">_xlfn.IFS(I13=325, 2, I13=650, 4, I13=1000, 6)</f>
        <v>2</v>
      </c>
      <c r="J69" cm="1">
        <f t="array" ref="J69">_xlfn.IFS(J13=550, 5, J13=1100, 10, J13=2200, 20)</f>
        <v>10</v>
      </c>
      <c r="K69" cm="1">
        <f t="array" ref="K69">_xlfn.IFS(K13=225, 2, K13=450, 4, K13=875, 8)</f>
        <v>8</v>
      </c>
      <c r="L69" cm="1">
        <f t="array" ref="L69">_xlfn.IFS(L13=225, 1, L13=450, 2, L13=875, 4)</f>
        <v>1</v>
      </c>
      <c r="M69" cm="1">
        <f t="array" ref="M69">_xlfn.IFS(M13=325, 3, M13=650, 6, M13=1325, 12)</f>
        <v>3</v>
      </c>
      <c r="N69" cm="1">
        <f t="array" ref="N69">_xlfn.IFS(N13=175, 1, N13=325, 2, N13=650, 4)</f>
        <v>1</v>
      </c>
      <c r="O69" cm="1">
        <f t="array" ref="O69">_xlfn.IFS(O13=200, 1.75, O13=375, 3.5, O13=775, 7)</f>
        <v>1.75</v>
      </c>
      <c r="P69" cm="1">
        <f t="array" ref="P69">_xlfn.IFS(P13=175, 0.1, P13=325, 0.2, P13=650, 0.4)</f>
        <v>0.4</v>
      </c>
      <c r="Q69" cm="1">
        <f t="array" ref="Q69">_xlfn.IFS(Q13=175, 0.1, Q13=325, 0.2, Q13=650, 0.4)</f>
        <v>0.4</v>
      </c>
      <c r="R69" cm="1">
        <f t="array" ref="R69">_xlfn.IFS(R13=250, 1.5, R13=325, 2, R13=650, 4)</f>
        <v>2</v>
      </c>
      <c r="S69" cm="1">
        <f t="array" ref="S69">_xlfn.IFS(S13=175, 0.05, S13=325, 0.1, S13=675, 0.2)</f>
        <v>0.05</v>
      </c>
      <c r="T69" cm="1">
        <f t="array" ref="T69">_xlfn.IFS(T13=175, 0.05, T13=325, 0.1, T13=675, 0.2)</f>
        <v>0.2</v>
      </c>
      <c r="U69" cm="1">
        <f t="array" ref="U69">_xlfn.IFS(U13=175, 0.05, U13=325, 0.1, U13=675, 0.2)</f>
        <v>0.1</v>
      </c>
      <c r="V69" cm="1">
        <f t="array" ref="V69">_xlfn.IFS(V13=175, 0.05, V13=325, 0.1, V13=675, 0.2)</f>
        <v>0.1</v>
      </c>
      <c r="W69" cm="1">
        <f t="array" ref="W69">_xlfn.IFS(W13=375, 3.33, W13=725, 6.7, W13=1475, 13.32)</f>
        <v>13.32</v>
      </c>
      <c r="X69" cm="1">
        <f t="array" ref="X69">_xlfn.IFS(X13=400, 0.1)</f>
        <v>0.1</v>
      </c>
    </row>
    <row r="70" spans="2:24" x14ac:dyDescent="0.25">
      <c r="B70">
        <v>12</v>
      </c>
      <c r="C70" cm="1">
        <f t="array" ref="C70">_xlfn.IFS(C14=175, 0.5, C14=325, 1, C14=650, 2)</f>
        <v>0.5</v>
      </c>
      <c r="D70" cm="1">
        <f t="array" ref="D70">_xlfn.IFS(D14=325, 3, D14=650, 6, D14=1320, 12)</f>
        <v>6</v>
      </c>
      <c r="E70" cm="1">
        <f t="array" ref="E70">_xlfn.IFS(E14=175, 1, E14=325, 2, E14=650, 4)</f>
        <v>1</v>
      </c>
      <c r="F70" cm="1">
        <f t="array" ref="F70">_xlfn.IFS(F14=175, 1.25, F14=350, 2.5, F14=700, 5)</f>
        <v>5</v>
      </c>
      <c r="G70" cm="1">
        <f t="array" ref="G70">_xlfn.IFS(G14=175, 0.1, G14=325, 0.2, G14=650, 0.4)</f>
        <v>0.1</v>
      </c>
      <c r="H70" cm="1">
        <f t="array" ref="H70">_xlfn.IFS(H14=175, 0.5, H14=325, 1, H14=650, 2)</f>
        <v>2</v>
      </c>
      <c r="I70" cm="1">
        <f t="array" ref="I70">_xlfn.IFS(I14=325, 2, I14=650, 4, I14=1000, 6)</f>
        <v>2</v>
      </c>
      <c r="J70" cm="1">
        <f t="array" ref="J70">_xlfn.IFS(J14=550, 5, J14=1100, 10, J14=2200, 20)</f>
        <v>20</v>
      </c>
      <c r="K70" cm="1">
        <f t="array" ref="K70">_xlfn.IFS(K14=225, 2, K14=450, 4, K14=875, 8)</f>
        <v>2</v>
      </c>
      <c r="L70" cm="1">
        <f t="array" ref="L70">_xlfn.IFS(L14=225, 1, L14=450, 2, L14=875, 4)</f>
        <v>2</v>
      </c>
      <c r="M70" cm="1">
        <f t="array" ref="M70">_xlfn.IFS(M14=325, 3, M14=650, 6, M14=1325, 12)</f>
        <v>6</v>
      </c>
      <c r="N70" cm="1">
        <f t="array" ref="N70">_xlfn.IFS(N14=175, 1, N14=325, 2, N14=650, 4)</f>
        <v>2</v>
      </c>
      <c r="O70" cm="1">
        <f t="array" ref="O70">_xlfn.IFS(O14=200, 1.75, O14=375, 3.5, O14=775, 7)</f>
        <v>3.5</v>
      </c>
      <c r="P70" cm="1">
        <f t="array" ref="P70">_xlfn.IFS(P14=175, 0.1, P14=325, 0.2, P14=650, 0.4)</f>
        <v>0.2</v>
      </c>
      <c r="Q70" cm="1">
        <f t="array" ref="Q70">_xlfn.IFS(Q14=175, 0.1, Q14=325, 0.2, Q14=650, 0.4)</f>
        <v>0.4</v>
      </c>
      <c r="R70" cm="1">
        <f t="array" ref="R70">_xlfn.IFS(R14=250, 1.5, R14=325, 2, R14=650, 4)</f>
        <v>2</v>
      </c>
      <c r="S70" cm="1">
        <f t="array" ref="S70">_xlfn.IFS(S14=175, 0.05, S14=325, 0.1, S14=675, 0.2)</f>
        <v>0.1</v>
      </c>
      <c r="T70" cm="1">
        <f t="array" ref="T70">_xlfn.IFS(T14=175, 0.05, T14=325, 0.1, T14=675, 0.2)</f>
        <v>0.2</v>
      </c>
      <c r="U70" cm="1">
        <f t="array" ref="U70">_xlfn.IFS(U14=175, 0.05, U14=325, 0.1, U14=675, 0.2)</f>
        <v>0.05</v>
      </c>
      <c r="V70" cm="1">
        <f t="array" ref="V70">_xlfn.IFS(V14=175, 0.05, V14=325, 0.1, V14=675, 0.2)</f>
        <v>0.1</v>
      </c>
      <c r="W70" cm="1">
        <f t="array" ref="W70">_xlfn.IFS(W14=375, 3.33, W14=725, 6.7, W14=1475, 13.32)</f>
        <v>3.33</v>
      </c>
      <c r="X70" cm="1">
        <f t="array" ref="X70">_xlfn.IFS(X14=400, 0.1)</f>
        <v>0.1</v>
      </c>
    </row>
    <row r="71" spans="2:24" x14ac:dyDescent="0.25">
      <c r="B71">
        <v>13</v>
      </c>
      <c r="C71" cm="1">
        <f t="array" ref="C71">_xlfn.IFS(C15=175, 0.5, C15=325, 1, C15=650, 2)</f>
        <v>0.5</v>
      </c>
      <c r="D71" cm="1">
        <f t="array" ref="D71">_xlfn.IFS(D15=325, 3, D15=650, 6, D15=1320, 12)</f>
        <v>6</v>
      </c>
      <c r="E71" cm="1">
        <f t="array" ref="E71">_xlfn.IFS(E15=175, 1, E15=325, 2, E15=650, 4)</f>
        <v>1</v>
      </c>
      <c r="F71" cm="1">
        <f t="array" ref="F71">_xlfn.IFS(F15=175, 1.25, F15=350, 2.5, F15=700, 5)</f>
        <v>1.25</v>
      </c>
      <c r="G71" cm="1">
        <f t="array" ref="G71">_xlfn.IFS(G15=175, 0.1, G15=325, 0.2, G15=650, 0.4)</f>
        <v>0.2</v>
      </c>
      <c r="H71" cm="1">
        <f t="array" ref="H71">_xlfn.IFS(H15=175, 0.5, H15=325, 1, H15=650, 2)</f>
        <v>1</v>
      </c>
      <c r="I71" cm="1">
        <f t="array" ref="I71">_xlfn.IFS(I15=325, 2, I15=650, 4, I15=1000, 6)</f>
        <v>2</v>
      </c>
      <c r="J71" cm="1">
        <f t="array" ref="J71">_xlfn.IFS(J15=550, 5, J15=1100, 10, J15=2200, 20)</f>
        <v>20</v>
      </c>
      <c r="K71" cm="1">
        <f t="array" ref="K71">_xlfn.IFS(K15=225, 2, K15=450, 4, K15=875, 8)</f>
        <v>2</v>
      </c>
      <c r="L71" cm="1">
        <f t="array" ref="L71">_xlfn.IFS(L15=225, 1, L15=450, 2, L15=875, 4)</f>
        <v>1</v>
      </c>
      <c r="M71" cm="1">
        <f t="array" ref="M71">_xlfn.IFS(M15=325, 3, M15=650, 6, M15=1325, 12)</f>
        <v>12</v>
      </c>
      <c r="N71" cm="1">
        <f t="array" ref="N71">_xlfn.IFS(N15=175, 1, N15=325, 2, N15=650, 4)</f>
        <v>4</v>
      </c>
      <c r="O71" cm="1">
        <f t="array" ref="O71">_xlfn.IFS(O15=200, 1.75, O15=375, 3.5, O15=775, 7)</f>
        <v>1.75</v>
      </c>
      <c r="P71" cm="1">
        <f t="array" ref="P71">_xlfn.IFS(P15=175, 0.1, P15=325, 0.2, P15=650, 0.4)</f>
        <v>0.1</v>
      </c>
      <c r="Q71" cm="1">
        <f t="array" ref="Q71">_xlfn.IFS(Q15=175, 0.1, Q15=325, 0.2, Q15=650, 0.4)</f>
        <v>0.4</v>
      </c>
      <c r="R71" cm="1">
        <f t="array" ref="R71">_xlfn.IFS(R15=250, 1.5, R15=325, 2, R15=650, 4)</f>
        <v>4</v>
      </c>
      <c r="S71" cm="1">
        <f t="array" ref="S71">_xlfn.IFS(S15=175, 0.05, S15=325, 0.1, S15=675, 0.2)</f>
        <v>0.1</v>
      </c>
      <c r="T71" cm="1">
        <f t="array" ref="T71">_xlfn.IFS(T15=175, 0.05, T15=325, 0.1, T15=675, 0.2)</f>
        <v>0.2</v>
      </c>
      <c r="U71" cm="1">
        <f t="array" ref="U71">_xlfn.IFS(U15=175, 0.05, U15=325, 0.1, U15=675, 0.2)</f>
        <v>0.05</v>
      </c>
      <c r="V71" cm="1">
        <f t="array" ref="V71">_xlfn.IFS(V15=175, 0.05, V15=325, 0.1, V15=675, 0.2)</f>
        <v>0.1</v>
      </c>
      <c r="W71" cm="1">
        <f t="array" ref="W71">_xlfn.IFS(W15=375, 3.33, W15=725, 6.7, W15=1475, 13.32)</f>
        <v>3.33</v>
      </c>
      <c r="X71" cm="1">
        <f t="array" ref="X71">_xlfn.IFS(X15=400, 0.1)</f>
        <v>0.1</v>
      </c>
    </row>
    <row r="72" spans="2:24" x14ac:dyDescent="0.25">
      <c r="B72">
        <v>14</v>
      </c>
      <c r="C72" cm="1">
        <f t="array" ref="C72">_xlfn.IFS(C16=175, 0.5, C16=325, 1, C16=650, 2)</f>
        <v>0.5</v>
      </c>
      <c r="D72" cm="1">
        <f t="array" ref="D72">_xlfn.IFS(D16=325, 3, D16=650, 6, D16=1320, 12)</f>
        <v>6</v>
      </c>
      <c r="E72" cm="1">
        <f t="array" ref="E72">_xlfn.IFS(E16=175, 1, E16=325, 2, E16=650, 4)</f>
        <v>1</v>
      </c>
      <c r="F72" cm="1">
        <f t="array" ref="F72">_xlfn.IFS(F16=175, 1.25, F16=350, 2.5, F16=700, 5)</f>
        <v>5</v>
      </c>
      <c r="G72" cm="1">
        <f t="array" ref="G72">_xlfn.IFS(G16=175, 0.1, G16=325, 0.2, G16=650, 0.4)</f>
        <v>0.1</v>
      </c>
      <c r="H72" cm="1">
        <f t="array" ref="H72">_xlfn.IFS(H16=175, 0.5, H16=325, 1, H16=650, 2)</f>
        <v>1</v>
      </c>
      <c r="I72" cm="1">
        <f t="array" ref="I72">_xlfn.IFS(I16=325, 2, I16=650, 4, I16=1000, 6)</f>
        <v>2</v>
      </c>
      <c r="J72" cm="1">
        <f t="array" ref="J72">_xlfn.IFS(J16=550, 5, J16=1100, 10, J16=2200, 20)</f>
        <v>20</v>
      </c>
      <c r="K72" cm="1">
        <f t="array" ref="K72">_xlfn.IFS(K16=225, 2, K16=450, 4, K16=875, 8)</f>
        <v>2</v>
      </c>
      <c r="L72" cm="1">
        <f t="array" ref="L72">_xlfn.IFS(L16=225, 1, L16=450, 2, L16=875, 4)</f>
        <v>4</v>
      </c>
      <c r="M72" cm="1">
        <f t="array" ref="M72">_xlfn.IFS(M16=325, 3, M16=650, 6, M16=1325, 12)</f>
        <v>6</v>
      </c>
      <c r="N72" cm="1">
        <f t="array" ref="N72">_xlfn.IFS(N16=175, 1, N16=325, 2, N16=650, 4)</f>
        <v>2</v>
      </c>
      <c r="O72" cm="1">
        <f t="array" ref="O72">_xlfn.IFS(O16=200, 1.75, O16=375, 3.5, O16=775, 7)</f>
        <v>1.75</v>
      </c>
      <c r="P72" cm="1">
        <f t="array" ref="P72">_xlfn.IFS(P16=175, 0.1, P16=325, 0.2, P16=650, 0.4)</f>
        <v>0.1</v>
      </c>
      <c r="Q72" cm="1">
        <f t="array" ref="Q72">_xlfn.IFS(Q16=175, 0.1, Q16=325, 0.2, Q16=650, 0.4)</f>
        <v>0.2</v>
      </c>
      <c r="R72" cm="1">
        <f t="array" ref="R72">_xlfn.IFS(R16=250, 1.5, R16=325, 2, R16=650, 4)</f>
        <v>2</v>
      </c>
      <c r="S72" cm="1">
        <f t="array" ref="S72">_xlfn.IFS(S16=175, 0.05, S16=325, 0.1, S16=675, 0.2)</f>
        <v>0.05</v>
      </c>
      <c r="T72" cm="1">
        <f t="array" ref="T72">_xlfn.IFS(T16=175, 0.05, T16=325, 0.1, T16=675, 0.2)</f>
        <v>0.2</v>
      </c>
      <c r="U72" cm="1">
        <f t="array" ref="U72">_xlfn.IFS(U16=175, 0.05, U16=325, 0.1, U16=675, 0.2)</f>
        <v>0.05</v>
      </c>
      <c r="V72" cm="1">
        <f t="array" ref="V72">_xlfn.IFS(V16=175, 0.05, V16=325, 0.1, V16=675, 0.2)</f>
        <v>0.05</v>
      </c>
      <c r="W72" cm="1">
        <f t="array" ref="W72">_xlfn.IFS(W16=375, 3.33, W16=725, 6.7, W16=1475, 13.32)</f>
        <v>6.7</v>
      </c>
      <c r="X72" cm="1">
        <f t="array" ref="X72">_xlfn.IFS(X16=400, 0.1)</f>
        <v>0.1</v>
      </c>
    </row>
    <row r="73" spans="2:24" x14ac:dyDescent="0.25">
      <c r="B73">
        <v>15</v>
      </c>
      <c r="C73" cm="1">
        <f t="array" ref="C73">_xlfn.IFS(C17=175, 0.5, C17=325, 1, C17=650, 2)</f>
        <v>1</v>
      </c>
      <c r="D73" cm="1">
        <f t="array" ref="D73">_xlfn.IFS(D17=325, 3, D17=650, 6, D17=1320, 12)</f>
        <v>6</v>
      </c>
      <c r="E73" cm="1">
        <f t="array" ref="E73">_xlfn.IFS(E17=175, 1, E17=325, 2, E17=650, 4)</f>
        <v>1</v>
      </c>
      <c r="F73" cm="1">
        <f t="array" ref="F73">_xlfn.IFS(F17=175, 1.25, F17=350, 2.5, F17=700, 5)</f>
        <v>5</v>
      </c>
      <c r="G73" cm="1">
        <f t="array" ref="G73">_xlfn.IFS(G17=175, 0.1, G17=325, 0.2, G17=650, 0.4)</f>
        <v>0.1</v>
      </c>
      <c r="H73" cm="1">
        <f t="array" ref="H73">_xlfn.IFS(H17=175, 0.5, H17=325, 1, H17=650, 2)</f>
        <v>1</v>
      </c>
      <c r="I73" cm="1">
        <f t="array" ref="I73">_xlfn.IFS(I17=325, 2, I17=650, 4, I17=1000, 6)</f>
        <v>2</v>
      </c>
      <c r="J73" cm="1">
        <f t="array" ref="J73">_xlfn.IFS(J17=550, 5, J17=1100, 10, J17=2200, 20)</f>
        <v>20</v>
      </c>
      <c r="K73" cm="1">
        <f t="array" ref="K73">_xlfn.IFS(K17=225, 2, K17=450, 4, K17=875, 8)</f>
        <v>2</v>
      </c>
      <c r="L73" cm="1">
        <f t="array" ref="L73">_xlfn.IFS(L17=225, 1, L17=450, 2, L17=875, 4)</f>
        <v>1</v>
      </c>
      <c r="M73" cm="1">
        <f t="array" ref="M73">_xlfn.IFS(M17=325, 3, M17=650, 6, M17=1325, 12)</f>
        <v>6</v>
      </c>
      <c r="N73" cm="1">
        <f t="array" ref="N73">_xlfn.IFS(N17=175, 1, N17=325, 2, N17=650, 4)</f>
        <v>4</v>
      </c>
      <c r="O73" cm="1">
        <f t="array" ref="O73">_xlfn.IFS(O17=200, 1.75, O17=375, 3.5, O17=775, 7)</f>
        <v>1.75</v>
      </c>
      <c r="P73" cm="1">
        <f t="array" ref="P73">_xlfn.IFS(P17=175, 0.1, P17=325, 0.2, P17=650, 0.4)</f>
        <v>0.1</v>
      </c>
      <c r="Q73" cm="1">
        <f t="array" ref="Q73">_xlfn.IFS(Q17=175, 0.1, Q17=325, 0.2, Q17=650, 0.4)</f>
        <v>0.1</v>
      </c>
      <c r="R73" cm="1">
        <f t="array" ref="R73">_xlfn.IFS(R17=250, 1.5, R17=325, 2, R17=650, 4)</f>
        <v>4</v>
      </c>
      <c r="S73" cm="1">
        <f t="array" ref="S73">_xlfn.IFS(S17=175, 0.05, S17=325, 0.1, S17=675, 0.2)</f>
        <v>0.1</v>
      </c>
      <c r="T73" cm="1">
        <f t="array" ref="T73">_xlfn.IFS(T17=175, 0.05, T17=325, 0.1, T17=675, 0.2)</f>
        <v>0.2</v>
      </c>
      <c r="U73" cm="1">
        <f t="array" ref="U73">_xlfn.IFS(U17=175, 0.05, U17=325, 0.1, U17=675, 0.2)</f>
        <v>0.05</v>
      </c>
      <c r="V73" cm="1">
        <f t="array" ref="V73">_xlfn.IFS(V17=175, 0.05, V17=325, 0.1, V17=675, 0.2)</f>
        <v>0.1</v>
      </c>
      <c r="W73" cm="1">
        <f t="array" ref="W73">_xlfn.IFS(W17=375, 3.33, W17=725, 6.7, W17=1475, 13.32)</f>
        <v>6.7</v>
      </c>
      <c r="X73" cm="1">
        <f t="array" ref="X73">_xlfn.IFS(X17=400, 0.1)</f>
        <v>0.1</v>
      </c>
    </row>
    <row r="74" spans="2:24" x14ac:dyDescent="0.25">
      <c r="B74">
        <v>16</v>
      </c>
      <c r="C74" cm="1">
        <f t="array" ref="C74">_xlfn.IFS(C18=175, 0.5, C18=325, 1, C18=650, 2)</f>
        <v>0.5</v>
      </c>
      <c r="D74" cm="1">
        <f t="array" ref="D74">_xlfn.IFS(D18=325, 3, D18=650, 6, D18=1320, 12)</f>
        <v>6</v>
      </c>
      <c r="E74" cm="1">
        <f t="array" ref="E74">_xlfn.IFS(E18=175, 1, E18=325, 2, E18=650, 4)</f>
        <v>1</v>
      </c>
      <c r="F74" cm="1">
        <f t="array" ref="F74">_xlfn.IFS(F18=175, 1.25, F18=350, 2.5, F18=700, 5)</f>
        <v>2.5</v>
      </c>
      <c r="G74" cm="1">
        <f t="array" ref="G74">_xlfn.IFS(G18=175, 0.1, G18=325, 0.2, G18=650, 0.4)</f>
        <v>0.2</v>
      </c>
      <c r="H74" cm="1">
        <f t="array" ref="H74">_xlfn.IFS(H18=175, 0.5, H18=325, 1, H18=650, 2)</f>
        <v>1</v>
      </c>
      <c r="I74" cm="1">
        <f t="array" ref="I74">_xlfn.IFS(I18=325, 2, I18=650, 4, I18=1000, 6)</f>
        <v>2</v>
      </c>
      <c r="J74" cm="1">
        <f t="array" ref="J74">_xlfn.IFS(J18=550, 5, J18=1100, 10, J18=2200, 20)</f>
        <v>10</v>
      </c>
      <c r="K74" cm="1">
        <f t="array" ref="K74">_xlfn.IFS(K18=225, 2, K18=450, 4, K18=875, 8)</f>
        <v>4</v>
      </c>
      <c r="L74" cm="1">
        <f t="array" ref="L74">_xlfn.IFS(L18=225, 1, L18=450, 2, L18=875, 4)</f>
        <v>2</v>
      </c>
      <c r="M74" cm="1">
        <f t="array" ref="M74">_xlfn.IFS(M18=325, 3, M18=650, 6, M18=1325, 12)</f>
        <v>3</v>
      </c>
      <c r="N74" cm="1">
        <f t="array" ref="N74">_xlfn.IFS(N18=175, 1, N18=325, 2, N18=650, 4)</f>
        <v>4</v>
      </c>
      <c r="O74" cm="1">
        <f t="array" ref="O74">_xlfn.IFS(O18=200, 1.75, O18=375, 3.5, O18=775, 7)</f>
        <v>1.75</v>
      </c>
      <c r="P74" cm="1">
        <f t="array" ref="P74">_xlfn.IFS(P18=175, 0.1, P18=325, 0.2, P18=650, 0.4)</f>
        <v>0.1</v>
      </c>
      <c r="Q74" cm="1">
        <f t="array" ref="Q74">_xlfn.IFS(Q18=175, 0.1, Q18=325, 0.2, Q18=650, 0.4)</f>
        <v>0.1</v>
      </c>
      <c r="R74" cm="1">
        <f t="array" ref="R74">_xlfn.IFS(R18=250, 1.5, R18=325, 2, R18=650, 4)</f>
        <v>2</v>
      </c>
      <c r="S74" cm="1">
        <f t="array" ref="S74">_xlfn.IFS(S18=175, 0.05, S18=325, 0.1, S18=675, 0.2)</f>
        <v>0.2</v>
      </c>
      <c r="T74" cm="1">
        <f t="array" ref="T74">_xlfn.IFS(T18=175, 0.05, T18=325, 0.1, T18=675, 0.2)</f>
        <v>0.2</v>
      </c>
      <c r="U74" cm="1">
        <f t="array" ref="U74">_xlfn.IFS(U18=175, 0.05, U18=325, 0.1, U18=675, 0.2)</f>
        <v>0.05</v>
      </c>
      <c r="V74" cm="1">
        <f t="array" ref="V74">_xlfn.IFS(V18=175, 0.05, V18=325, 0.1, V18=675, 0.2)</f>
        <v>0.1</v>
      </c>
      <c r="W74" cm="1">
        <f t="array" ref="W74">_xlfn.IFS(W18=375, 3.33, W18=725, 6.7, W18=1475, 13.32)</f>
        <v>6.7</v>
      </c>
      <c r="X74" cm="1">
        <f t="array" ref="X74">_xlfn.IFS(X18=400, 0.1)</f>
        <v>0.1</v>
      </c>
    </row>
    <row r="75" spans="2:24" x14ac:dyDescent="0.25">
      <c r="B75">
        <v>17</v>
      </c>
      <c r="C75" cm="1">
        <f t="array" ref="C75">_xlfn.IFS(C19=175, 0.5, C19=325, 1, C19=650, 2)</f>
        <v>1</v>
      </c>
      <c r="D75" cm="1">
        <f t="array" ref="D75">_xlfn.IFS(D19=325, 3, D19=650, 6, D19=1320, 12)</f>
        <v>3</v>
      </c>
      <c r="E75" cm="1">
        <f t="array" ref="E75">_xlfn.IFS(E19=175, 1, E19=325, 2, E19=650, 4)</f>
        <v>4</v>
      </c>
      <c r="F75" cm="1">
        <f t="array" ref="F75">_xlfn.IFS(F19=175, 1.25, F19=350, 2.5, F19=700, 5)</f>
        <v>2.5</v>
      </c>
      <c r="G75" cm="1">
        <f t="array" ref="G75">_xlfn.IFS(G19=175, 0.1, G19=325, 0.2, G19=650, 0.4)</f>
        <v>0.1</v>
      </c>
      <c r="H75" cm="1">
        <f t="array" ref="H75">_xlfn.IFS(H19=175, 0.5, H19=325, 1, H19=650, 2)</f>
        <v>2</v>
      </c>
      <c r="I75" cm="1">
        <f t="array" ref="I75">_xlfn.IFS(I19=325, 2, I19=650, 4, I19=1000, 6)</f>
        <v>2</v>
      </c>
      <c r="J75" cm="1">
        <f t="array" ref="J75">_xlfn.IFS(J19=550, 5, J19=1100, 10, J19=2200, 20)</f>
        <v>10</v>
      </c>
      <c r="K75" cm="1">
        <f t="array" ref="K75">_xlfn.IFS(K19=225, 2, K19=450, 4, K19=875, 8)</f>
        <v>2</v>
      </c>
      <c r="L75" cm="1">
        <f t="array" ref="L75">_xlfn.IFS(L19=225, 1, L19=450, 2, L19=875, 4)</f>
        <v>1</v>
      </c>
      <c r="M75" cm="1">
        <f t="array" ref="M75">_xlfn.IFS(M19=325, 3, M19=650, 6, M19=1325, 12)</f>
        <v>6</v>
      </c>
      <c r="N75" cm="1">
        <f t="array" ref="N75">_xlfn.IFS(N19=175, 1, N19=325, 2, N19=650, 4)</f>
        <v>2</v>
      </c>
      <c r="O75" cm="1">
        <f t="array" ref="O75">_xlfn.IFS(O19=200, 1.75, O19=375, 3.5, O19=775, 7)</f>
        <v>1.75</v>
      </c>
      <c r="P75" cm="1">
        <f t="array" ref="P75">_xlfn.IFS(P19=175, 0.1, P19=325, 0.2, P19=650, 0.4)</f>
        <v>0.1</v>
      </c>
      <c r="Q75" cm="1">
        <f t="array" ref="Q75">_xlfn.IFS(Q19=175, 0.1, Q19=325, 0.2, Q19=650, 0.4)</f>
        <v>0.4</v>
      </c>
      <c r="R75" cm="1">
        <f t="array" ref="R75">_xlfn.IFS(R19=250, 1.5, R19=325, 2, R19=650, 4)</f>
        <v>2</v>
      </c>
      <c r="S75" cm="1">
        <f t="array" ref="S75">_xlfn.IFS(S19=175, 0.05, S19=325, 0.1, S19=675, 0.2)</f>
        <v>0.05</v>
      </c>
      <c r="T75" cm="1">
        <f t="array" ref="T75">_xlfn.IFS(T19=175, 0.05, T19=325, 0.1, T19=675, 0.2)</f>
        <v>0.2</v>
      </c>
      <c r="U75" cm="1">
        <f t="array" ref="U75">_xlfn.IFS(U19=175, 0.05, U19=325, 0.1, U19=675, 0.2)</f>
        <v>0.1</v>
      </c>
      <c r="V75" cm="1">
        <f t="array" ref="V75">_xlfn.IFS(V19=175, 0.05, V19=325, 0.1, V19=675, 0.2)</f>
        <v>0.2</v>
      </c>
      <c r="W75" cm="1">
        <f t="array" ref="W75">_xlfn.IFS(W19=375, 3.33, W19=725, 6.7, W19=1475, 13.32)</f>
        <v>6.7</v>
      </c>
      <c r="X75" cm="1">
        <f t="array" ref="X75">_xlfn.IFS(X19=400, 0.1)</f>
        <v>0.1</v>
      </c>
    </row>
    <row r="76" spans="2:24" x14ac:dyDescent="0.25">
      <c r="B76">
        <v>18</v>
      </c>
      <c r="C76" cm="1">
        <f t="array" ref="C76">_xlfn.IFS(C20=175, 0.5, C20=325, 1, C20=650, 2)</f>
        <v>1</v>
      </c>
      <c r="D76" cm="1">
        <f t="array" ref="D76">_xlfn.IFS(D20=325, 3, D20=650, 6, D20=1320, 12)</f>
        <v>3</v>
      </c>
      <c r="E76" cm="1">
        <f t="array" ref="E76">_xlfn.IFS(E20=175, 1, E20=325, 2, E20=650, 4)</f>
        <v>1</v>
      </c>
      <c r="F76" cm="1">
        <f t="array" ref="F76">_xlfn.IFS(F20=175, 1.25, F20=350, 2.5, F20=700, 5)</f>
        <v>2.5</v>
      </c>
      <c r="G76" cm="1">
        <f t="array" ref="G76">_xlfn.IFS(G20=175, 0.1, G20=325, 0.2, G20=650, 0.4)</f>
        <v>0.1</v>
      </c>
      <c r="H76" cm="1">
        <f t="array" ref="H76">_xlfn.IFS(H20=175, 0.5, H20=325, 1, H20=650, 2)</f>
        <v>1</v>
      </c>
      <c r="I76" cm="1">
        <f t="array" ref="I76">_xlfn.IFS(I20=325, 2, I20=650, 4, I20=1000, 6)</f>
        <v>2</v>
      </c>
      <c r="J76" cm="1">
        <f t="array" ref="J76">_xlfn.IFS(J20=550, 5, J20=1100, 10, J20=2200, 20)</f>
        <v>20</v>
      </c>
      <c r="K76" cm="1">
        <f t="array" ref="K76">_xlfn.IFS(K20=225, 2, K20=450, 4, K20=875, 8)</f>
        <v>4</v>
      </c>
      <c r="L76" cm="1">
        <f t="array" ref="L76">_xlfn.IFS(L20=225, 1, L20=450, 2, L20=875, 4)</f>
        <v>2</v>
      </c>
      <c r="M76" cm="1">
        <f t="array" ref="M76">_xlfn.IFS(M20=325, 3, M20=650, 6, M20=1325, 12)</f>
        <v>3</v>
      </c>
      <c r="N76" cm="1">
        <f t="array" ref="N76">_xlfn.IFS(N20=175, 1, N20=325, 2, N20=650, 4)</f>
        <v>4</v>
      </c>
      <c r="O76" cm="1">
        <f t="array" ref="O76">_xlfn.IFS(O20=200, 1.75, O20=375, 3.5, O20=775, 7)</f>
        <v>3.5</v>
      </c>
      <c r="P76" cm="1">
        <f t="array" ref="P76">_xlfn.IFS(P20=175, 0.1, P20=325, 0.2, P20=650, 0.4)</f>
        <v>0.1</v>
      </c>
      <c r="Q76" cm="1">
        <f t="array" ref="Q76">_xlfn.IFS(Q20=175, 0.1, Q20=325, 0.2, Q20=650, 0.4)</f>
        <v>0.2</v>
      </c>
      <c r="R76" cm="1">
        <f t="array" ref="R76">_xlfn.IFS(R20=250, 1.5, R20=325, 2, R20=650, 4)</f>
        <v>4</v>
      </c>
      <c r="S76" cm="1">
        <f t="array" ref="S76">_xlfn.IFS(S20=175, 0.05, S20=325, 0.1, S20=675, 0.2)</f>
        <v>0.2</v>
      </c>
      <c r="T76" cm="1">
        <f t="array" ref="T76">_xlfn.IFS(T20=175, 0.05, T20=325, 0.1, T20=675, 0.2)</f>
        <v>0.2</v>
      </c>
      <c r="U76" cm="1">
        <f t="array" ref="U76">_xlfn.IFS(U20=175, 0.05, U20=325, 0.1, U20=675, 0.2)</f>
        <v>0.05</v>
      </c>
      <c r="V76" cm="1">
        <f t="array" ref="V76">_xlfn.IFS(V20=175, 0.05, V20=325, 0.1, V20=675, 0.2)</f>
        <v>0.05</v>
      </c>
      <c r="W76" cm="1">
        <f t="array" ref="W76">_xlfn.IFS(W20=375, 3.33, W20=725, 6.7, W20=1475, 13.32)</f>
        <v>6.7</v>
      </c>
      <c r="X76" cm="1">
        <f t="array" ref="X76">_xlfn.IFS(X20=400, 0.1)</f>
        <v>0.1</v>
      </c>
    </row>
    <row r="77" spans="2:24" x14ac:dyDescent="0.25">
      <c r="B77">
        <v>19</v>
      </c>
      <c r="C77" cm="1">
        <f t="array" ref="C77">_xlfn.IFS(C21=175, 0.5, C21=325, 1, C21=650, 2)</f>
        <v>1</v>
      </c>
      <c r="D77" cm="1">
        <f t="array" ref="D77">_xlfn.IFS(D21=325, 3, D21=650, 6, D21=1320, 12)</f>
        <v>6</v>
      </c>
      <c r="E77" cm="1">
        <f t="array" ref="E77">_xlfn.IFS(E21=175, 1, E21=325, 2, E21=650, 4)</f>
        <v>2</v>
      </c>
      <c r="F77" cm="1">
        <f t="array" ref="F77">_xlfn.IFS(F21=175, 1.25, F21=350, 2.5, F21=700, 5)</f>
        <v>2.5</v>
      </c>
      <c r="G77" cm="1">
        <f t="array" ref="G77">_xlfn.IFS(G21=175, 0.1, G21=325, 0.2, G21=650, 0.4)</f>
        <v>0.1</v>
      </c>
      <c r="H77" cm="1">
        <f t="array" ref="H77">_xlfn.IFS(H21=175, 0.5, H21=325, 1, H21=650, 2)</f>
        <v>2</v>
      </c>
      <c r="I77" cm="1">
        <f t="array" ref="I77">_xlfn.IFS(I21=325, 2, I21=650, 4, I21=1000, 6)</f>
        <v>2</v>
      </c>
      <c r="J77" cm="1">
        <f t="array" ref="J77">_xlfn.IFS(J21=550, 5, J21=1100, 10, J21=2200, 20)</f>
        <v>10</v>
      </c>
      <c r="K77" cm="1">
        <f t="array" ref="K77">_xlfn.IFS(K21=225, 2, K21=450, 4, K21=875, 8)</f>
        <v>8</v>
      </c>
      <c r="L77" cm="1">
        <f t="array" ref="L77">_xlfn.IFS(L21=225, 1, L21=450, 2, L21=875, 4)</f>
        <v>1</v>
      </c>
      <c r="M77" cm="1">
        <f t="array" ref="M77">_xlfn.IFS(M21=325, 3, M21=650, 6, M21=1325, 12)</f>
        <v>6</v>
      </c>
      <c r="N77" cm="1">
        <f t="array" ref="N77">_xlfn.IFS(N21=175, 1, N21=325, 2, N21=650, 4)</f>
        <v>4</v>
      </c>
      <c r="O77" cm="1">
        <f t="array" ref="O77">_xlfn.IFS(O21=200, 1.75, O21=375, 3.5, O21=775, 7)</f>
        <v>1.75</v>
      </c>
      <c r="P77" cm="1">
        <f t="array" ref="P77">_xlfn.IFS(P21=175, 0.1, P21=325, 0.2, P21=650, 0.4)</f>
        <v>0.4</v>
      </c>
      <c r="Q77" cm="1">
        <f t="array" ref="Q77">_xlfn.IFS(Q21=175, 0.1, Q21=325, 0.2, Q21=650, 0.4)</f>
        <v>0.1</v>
      </c>
      <c r="R77" cm="1">
        <f t="array" ref="R77">_xlfn.IFS(R21=250, 1.5, R21=325, 2, R21=650, 4)</f>
        <v>2</v>
      </c>
      <c r="S77" cm="1">
        <f t="array" ref="S77">_xlfn.IFS(S21=175, 0.05, S21=325, 0.1, S21=675, 0.2)</f>
        <v>0.05</v>
      </c>
      <c r="T77" cm="1">
        <f t="array" ref="T77">_xlfn.IFS(T21=175, 0.05, T21=325, 0.1, T21=675, 0.2)</f>
        <v>0.2</v>
      </c>
      <c r="U77" cm="1">
        <f t="array" ref="U77">_xlfn.IFS(U21=175, 0.05, U21=325, 0.1, U21=675, 0.2)</f>
        <v>0.1</v>
      </c>
      <c r="V77" cm="1">
        <f t="array" ref="V77">_xlfn.IFS(V21=175, 0.05, V21=325, 0.1, V21=675, 0.2)</f>
        <v>0.05</v>
      </c>
      <c r="W77" cm="1">
        <f t="array" ref="W77">_xlfn.IFS(W21=375, 3.33, W21=725, 6.7, W21=1475, 13.32)</f>
        <v>3.33</v>
      </c>
      <c r="X77" cm="1">
        <f t="array" ref="X77">_xlfn.IFS(X21=400, 0.1)</f>
        <v>0.1</v>
      </c>
    </row>
    <row r="78" spans="2:24" x14ac:dyDescent="0.25">
      <c r="B78">
        <v>20</v>
      </c>
      <c r="C78" cm="1">
        <f t="array" ref="C78">_xlfn.IFS(C22=175, 0.5, C22=325, 1, C22=650, 2)</f>
        <v>0.5</v>
      </c>
      <c r="D78" cm="1">
        <f t="array" ref="D78">_xlfn.IFS(D22=325, 3, D22=650, 6, D22=1320, 12)</f>
        <v>6</v>
      </c>
      <c r="E78" cm="1">
        <f t="array" ref="E78">_xlfn.IFS(E22=175, 1, E22=325, 2, E22=650, 4)</f>
        <v>4</v>
      </c>
      <c r="F78" cm="1">
        <f t="array" ref="F78">_xlfn.IFS(F22=175, 1.25, F22=350, 2.5, F22=700, 5)</f>
        <v>5</v>
      </c>
      <c r="G78" cm="1">
        <f t="array" ref="G78">_xlfn.IFS(G22=175, 0.1, G22=325, 0.2, G22=650, 0.4)</f>
        <v>0.1</v>
      </c>
      <c r="H78" cm="1">
        <f t="array" ref="H78">_xlfn.IFS(H22=175, 0.5, H22=325, 1, H22=650, 2)</f>
        <v>2</v>
      </c>
      <c r="I78" cm="1">
        <f t="array" ref="I78">_xlfn.IFS(I22=325, 2, I22=650, 4, I22=1000, 6)</f>
        <v>2</v>
      </c>
      <c r="J78" cm="1">
        <f t="array" ref="J78">_xlfn.IFS(J22=550, 5, J22=1100, 10, J22=2200, 20)</f>
        <v>10</v>
      </c>
      <c r="K78" cm="1">
        <f t="array" ref="K78">_xlfn.IFS(K22=225, 2, K22=450, 4, K22=875, 8)</f>
        <v>8</v>
      </c>
      <c r="L78" cm="1">
        <f t="array" ref="L78">_xlfn.IFS(L22=225, 1, L22=450, 2, L22=875, 4)</f>
        <v>2</v>
      </c>
      <c r="M78" cm="1">
        <f t="array" ref="M78">_xlfn.IFS(M22=325, 3, M22=650, 6, M22=1325, 12)</f>
        <v>12</v>
      </c>
      <c r="N78" cm="1">
        <f t="array" ref="N78">_xlfn.IFS(N22=175, 1, N22=325, 2, N22=650, 4)</f>
        <v>2</v>
      </c>
      <c r="O78" cm="1">
        <f t="array" ref="O78">_xlfn.IFS(O22=200, 1.75, O22=375, 3.5, O22=775, 7)</f>
        <v>1.75</v>
      </c>
      <c r="P78" cm="1">
        <f t="array" ref="P78">_xlfn.IFS(P22=175, 0.1, P22=325, 0.2, P22=650, 0.4)</f>
        <v>0.1</v>
      </c>
      <c r="Q78" cm="1">
        <f t="array" ref="Q78">_xlfn.IFS(Q22=175, 0.1, Q22=325, 0.2, Q22=650, 0.4)</f>
        <v>0.1</v>
      </c>
      <c r="R78" cm="1">
        <f t="array" ref="R78">_xlfn.IFS(R22=250, 1.5, R22=325, 2, R22=650, 4)</f>
        <v>2</v>
      </c>
      <c r="S78" cm="1">
        <f t="array" ref="S78">_xlfn.IFS(S22=175, 0.05, S22=325, 0.1, S22=675, 0.2)</f>
        <v>0.05</v>
      </c>
      <c r="T78" cm="1">
        <f t="array" ref="T78">_xlfn.IFS(T22=175, 0.05, T22=325, 0.1, T22=675, 0.2)</f>
        <v>0.2</v>
      </c>
      <c r="U78" cm="1">
        <f t="array" ref="U78">_xlfn.IFS(U22=175, 0.05, U22=325, 0.1, U22=675, 0.2)</f>
        <v>0.1</v>
      </c>
      <c r="V78" cm="1">
        <f t="array" ref="V78">_xlfn.IFS(V22=175, 0.05, V22=325, 0.1, V22=675, 0.2)</f>
        <v>0.1</v>
      </c>
      <c r="W78" cm="1">
        <f t="array" ref="W78">_xlfn.IFS(W22=375, 3.33, W22=725, 6.7, W22=1475, 13.32)</f>
        <v>3.33</v>
      </c>
      <c r="X78" cm="1">
        <f t="array" ref="X78">_xlfn.IFS(X22=400, 0.1)</f>
        <v>0.1</v>
      </c>
    </row>
    <row r="79" spans="2:24" x14ac:dyDescent="0.25">
      <c r="B79">
        <v>21</v>
      </c>
      <c r="C79" cm="1">
        <f t="array" ref="C79">_xlfn.IFS(C23=175, 0.5, C23=325, 1, C23=650, 2)</f>
        <v>0.5</v>
      </c>
      <c r="D79" cm="1">
        <f t="array" ref="D79">_xlfn.IFS(D23=325, 3, D23=650, 6, D23=1320, 12)</f>
        <v>6</v>
      </c>
      <c r="E79" cm="1">
        <f t="array" ref="E79">_xlfn.IFS(E23=175, 1, E23=325, 2, E23=650, 4)</f>
        <v>2</v>
      </c>
      <c r="F79" cm="1">
        <f t="array" ref="F79">_xlfn.IFS(F23=175, 1.25, F23=350, 2.5, F23=700, 5)</f>
        <v>5</v>
      </c>
      <c r="G79" cm="1">
        <f t="array" ref="G79">_xlfn.IFS(G23=175, 0.1, G23=325, 0.2, G23=650, 0.4)</f>
        <v>0.2</v>
      </c>
      <c r="H79" cm="1">
        <f t="array" ref="H79">_xlfn.IFS(H23=175, 0.5, H23=325, 1, H23=650, 2)</f>
        <v>1</v>
      </c>
      <c r="I79" cm="1">
        <f t="array" ref="I79">_xlfn.IFS(I23=325, 2, I23=650, 4, I23=1000, 6)</f>
        <v>2</v>
      </c>
      <c r="J79" cm="1">
        <f t="array" ref="J79">_xlfn.IFS(J23=550, 5, J23=1100, 10, J23=2200, 20)</f>
        <v>10</v>
      </c>
      <c r="K79" cm="1">
        <f t="array" ref="K79">_xlfn.IFS(K23=225, 2, K23=450, 4, K23=875, 8)</f>
        <v>8</v>
      </c>
      <c r="L79" cm="1">
        <f t="array" ref="L79">_xlfn.IFS(L23=225, 1, L23=450, 2, L23=875, 4)</f>
        <v>1</v>
      </c>
      <c r="M79" cm="1">
        <f t="array" ref="M79">_xlfn.IFS(M23=325, 3, M23=650, 6, M23=1325, 12)</f>
        <v>3</v>
      </c>
      <c r="N79" cm="1">
        <f t="array" ref="N79">_xlfn.IFS(N23=175, 1, N23=325, 2, N23=650, 4)</f>
        <v>4</v>
      </c>
      <c r="O79" cm="1">
        <f t="array" ref="O79">_xlfn.IFS(O23=200, 1.75, O23=375, 3.5, O23=775, 7)</f>
        <v>3.5</v>
      </c>
      <c r="P79" cm="1">
        <f t="array" ref="P79">_xlfn.IFS(P23=175, 0.1, P23=325, 0.2, P23=650, 0.4)</f>
        <v>0.1</v>
      </c>
      <c r="Q79" cm="1">
        <f t="array" ref="Q79">_xlfn.IFS(Q23=175, 0.1, Q23=325, 0.2, Q23=650, 0.4)</f>
        <v>0.2</v>
      </c>
      <c r="R79" cm="1">
        <f t="array" ref="R79">_xlfn.IFS(R23=250, 1.5, R23=325, 2, R23=650, 4)</f>
        <v>4</v>
      </c>
      <c r="S79" cm="1">
        <f t="array" ref="S79">_xlfn.IFS(S23=175, 0.05, S23=325, 0.1, S23=675, 0.2)</f>
        <v>0.2</v>
      </c>
      <c r="T79" cm="1">
        <f t="array" ref="T79">_xlfn.IFS(T23=175, 0.05, T23=325, 0.1, T23=675, 0.2)</f>
        <v>0.2</v>
      </c>
      <c r="U79" cm="1">
        <f t="array" ref="U79">_xlfn.IFS(U23=175, 0.05, U23=325, 0.1, U23=675, 0.2)</f>
        <v>0.05</v>
      </c>
      <c r="V79" cm="1">
        <f t="array" ref="V79">_xlfn.IFS(V23=175, 0.05, V23=325, 0.1, V23=675, 0.2)</f>
        <v>0.2</v>
      </c>
      <c r="W79" cm="1">
        <f t="array" ref="W79">_xlfn.IFS(W23=375, 3.33, W23=725, 6.7, W23=1475, 13.32)</f>
        <v>6.7</v>
      </c>
      <c r="X79" cm="1">
        <f t="array" ref="X79">_xlfn.IFS(X23=400, 0.1)</f>
        <v>0.1</v>
      </c>
    </row>
    <row r="80" spans="2:24" x14ac:dyDescent="0.25">
      <c r="B80">
        <v>22</v>
      </c>
      <c r="C80" cm="1">
        <f t="array" ref="C80">_xlfn.IFS(C24=175, 0.5, C24=325, 1, C24=650, 2)</f>
        <v>0.5</v>
      </c>
      <c r="D80" cm="1">
        <f t="array" ref="D80">_xlfn.IFS(D24=325, 3, D24=650, 6, D24=1320, 12)</f>
        <v>6</v>
      </c>
      <c r="E80" cm="1">
        <f t="array" ref="E80">_xlfn.IFS(E24=175, 1, E24=325, 2, E24=650, 4)</f>
        <v>4</v>
      </c>
      <c r="F80" cm="1">
        <f t="array" ref="F80">_xlfn.IFS(F24=175, 1.25, F24=350, 2.5, F24=700, 5)</f>
        <v>1.25</v>
      </c>
      <c r="G80" cm="1">
        <f t="array" ref="G80">_xlfn.IFS(G24=175, 0.1, G24=325, 0.2, G24=650, 0.4)</f>
        <v>0.1</v>
      </c>
      <c r="H80" cm="1">
        <f t="array" ref="H80">_xlfn.IFS(H24=175, 0.5, H24=325, 1, H24=650, 2)</f>
        <v>2</v>
      </c>
      <c r="I80" cm="1">
        <f t="array" ref="I80">_xlfn.IFS(I24=325, 2, I24=650, 4, I24=1000, 6)</f>
        <v>2</v>
      </c>
      <c r="J80" cm="1">
        <f t="array" ref="J80">_xlfn.IFS(J24=550, 5, J24=1100, 10, J24=2200, 20)</f>
        <v>10</v>
      </c>
      <c r="K80" cm="1">
        <f t="array" ref="K80">_xlfn.IFS(K24=225, 2, K24=450, 4, K24=875, 8)</f>
        <v>2</v>
      </c>
      <c r="L80" cm="1">
        <f t="array" ref="L80">_xlfn.IFS(L24=225, 1, L24=450, 2, L24=875, 4)</f>
        <v>1</v>
      </c>
      <c r="M80" cm="1">
        <f t="array" ref="M80">_xlfn.IFS(M24=325, 3, M24=650, 6, M24=1325, 12)</f>
        <v>3</v>
      </c>
      <c r="N80" cm="1">
        <f t="array" ref="N80">_xlfn.IFS(N24=175, 1, N24=325, 2, N24=650, 4)</f>
        <v>1</v>
      </c>
      <c r="O80" cm="1">
        <f t="array" ref="O80">_xlfn.IFS(O24=200, 1.75, O24=375, 3.5, O24=775, 7)</f>
        <v>3.5</v>
      </c>
      <c r="P80" cm="1">
        <f t="array" ref="P80">_xlfn.IFS(P24=175, 0.1, P24=325, 0.2, P24=650, 0.4)</f>
        <v>0.2</v>
      </c>
      <c r="Q80" cm="1">
        <f t="array" ref="Q80">_xlfn.IFS(Q24=175, 0.1, Q24=325, 0.2, Q24=650, 0.4)</f>
        <v>0.4</v>
      </c>
      <c r="R80" cm="1">
        <f t="array" ref="R80">_xlfn.IFS(R24=250, 1.5, R24=325, 2, R24=650, 4)</f>
        <v>4</v>
      </c>
      <c r="S80" cm="1">
        <f t="array" ref="S80">_xlfn.IFS(S24=175, 0.05, S24=325, 0.1, S24=675, 0.2)</f>
        <v>0.2</v>
      </c>
      <c r="T80" cm="1">
        <f t="array" ref="T80">_xlfn.IFS(T24=175, 0.05, T24=325, 0.1, T24=675, 0.2)</f>
        <v>0.2</v>
      </c>
      <c r="U80" cm="1">
        <f t="array" ref="U80">_xlfn.IFS(U24=175, 0.05, U24=325, 0.1, U24=675, 0.2)</f>
        <v>0.05</v>
      </c>
      <c r="V80" cm="1">
        <f t="array" ref="V80">_xlfn.IFS(V24=175, 0.05, V24=325, 0.1, V24=675, 0.2)</f>
        <v>0.1</v>
      </c>
      <c r="W80" cm="1">
        <f t="array" ref="W80">_xlfn.IFS(W24=375, 3.33, W24=725, 6.7, W24=1475, 13.32)</f>
        <v>6.7</v>
      </c>
      <c r="X80" cm="1">
        <f t="array" ref="X80">_xlfn.IFS(X24=400, 0.1)</f>
        <v>0.1</v>
      </c>
    </row>
    <row r="81" spans="2:24" x14ac:dyDescent="0.25">
      <c r="B81">
        <v>23</v>
      </c>
      <c r="C81" cm="1">
        <f t="array" ref="C81">_xlfn.IFS(C25=175, 0.5, C25=325, 1, C25=650, 2)</f>
        <v>0.5</v>
      </c>
      <c r="D81" cm="1">
        <f t="array" ref="D81">_xlfn.IFS(D25=325, 3, D25=650, 6, D25=1320, 12)</f>
        <v>6</v>
      </c>
      <c r="E81" cm="1">
        <f t="array" ref="E81">_xlfn.IFS(E25=175, 1, E25=325, 2, E25=650, 4)</f>
        <v>2</v>
      </c>
      <c r="F81" cm="1">
        <f t="array" ref="F81">_xlfn.IFS(F25=175, 1.25, F25=350, 2.5, F25=700, 5)</f>
        <v>1.25</v>
      </c>
      <c r="G81" cm="1">
        <f t="array" ref="G81">_xlfn.IFS(G25=175, 0.1, G25=325, 0.2, G25=650, 0.4)</f>
        <v>0.1</v>
      </c>
      <c r="H81" cm="1">
        <f t="array" ref="H81">_xlfn.IFS(H25=175, 0.5, H25=325, 1, H25=650, 2)</f>
        <v>2</v>
      </c>
      <c r="I81" cm="1">
        <f t="array" ref="I81">_xlfn.IFS(I25=325, 2, I25=650, 4, I25=1000, 6)</f>
        <v>2</v>
      </c>
      <c r="J81" cm="1">
        <f t="array" ref="J81">_xlfn.IFS(J25=550, 5, J25=1100, 10, J25=2200, 20)</f>
        <v>10</v>
      </c>
      <c r="K81" cm="1">
        <f t="array" ref="K81">_xlfn.IFS(K25=225, 2, K25=450, 4, K25=875, 8)</f>
        <v>8</v>
      </c>
      <c r="L81" cm="1">
        <f t="array" ref="L81">_xlfn.IFS(L25=225, 1, L25=450, 2, L25=875, 4)</f>
        <v>2</v>
      </c>
      <c r="M81" cm="1">
        <f t="array" ref="M81">_xlfn.IFS(M25=325, 3, M25=650, 6, M25=1325, 12)</f>
        <v>6</v>
      </c>
      <c r="N81" cm="1">
        <f t="array" ref="N81">_xlfn.IFS(N25=175, 1, N25=325, 2, N25=650, 4)</f>
        <v>2</v>
      </c>
      <c r="O81" cm="1">
        <f t="array" ref="O81">_xlfn.IFS(O25=200, 1.75, O25=375, 3.5, O25=775, 7)</f>
        <v>3.5</v>
      </c>
      <c r="P81" cm="1">
        <f t="array" ref="P81">_xlfn.IFS(P25=175, 0.1, P25=325, 0.2, P25=650, 0.4)</f>
        <v>0.2</v>
      </c>
      <c r="Q81" cm="1">
        <f t="array" ref="Q81">_xlfn.IFS(Q25=175, 0.1, Q25=325, 0.2, Q25=650, 0.4)</f>
        <v>0.1</v>
      </c>
      <c r="R81" cm="1">
        <f t="array" ref="R81">_xlfn.IFS(R25=250, 1.5, R25=325, 2, R25=650, 4)</f>
        <v>4</v>
      </c>
      <c r="S81" cm="1">
        <f t="array" ref="S81">_xlfn.IFS(S25=175, 0.05, S25=325, 0.1, S25=675, 0.2)</f>
        <v>0.05</v>
      </c>
      <c r="T81" cm="1">
        <f t="array" ref="T81">_xlfn.IFS(T25=175, 0.05, T25=325, 0.1, T25=675, 0.2)</f>
        <v>0.2</v>
      </c>
      <c r="U81" cm="1">
        <f t="array" ref="U81">_xlfn.IFS(U25=175, 0.05, U25=325, 0.1, U25=675, 0.2)</f>
        <v>0.05</v>
      </c>
      <c r="V81" cm="1">
        <f t="array" ref="V81">_xlfn.IFS(V25=175, 0.05, V25=325, 0.1, V25=675, 0.2)</f>
        <v>0.1</v>
      </c>
      <c r="W81" cm="1">
        <f t="array" ref="W81">_xlfn.IFS(W25=375, 3.33, W25=725, 6.7, W25=1475, 13.32)</f>
        <v>6.7</v>
      </c>
      <c r="X81" cm="1">
        <f t="array" ref="X81">_xlfn.IFS(X25=400, 0.1)</f>
        <v>0.1</v>
      </c>
    </row>
    <row r="82" spans="2:24" x14ac:dyDescent="0.25">
      <c r="B82">
        <v>24</v>
      </c>
      <c r="C82" cm="1">
        <f t="array" ref="C82">_xlfn.IFS(C26=175, 0.5, C26=325, 1, C26=650, 2)</f>
        <v>0.5</v>
      </c>
      <c r="D82" cm="1">
        <f t="array" ref="D82">_xlfn.IFS(D26=325, 3, D26=650, 6, D26=1320, 12)</f>
        <v>6</v>
      </c>
      <c r="E82" cm="1">
        <f t="array" ref="E82">_xlfn.IFS(E26=175, 1, E26=325, 2, E26=650, 4)</f>
        <v>4</v>
      </c>
      <c r="F82" cm="1">
        <f t="array" ref="F82">_xlfn.IFS(F26=175, 1.25, F26=350, 2.5, F26=700, 5)</f>
        <v>1.25</v>
      </c>
      <c r="G82" cm="1">
        <f t="array" ref="G82">_xlfn.IFS(G26=175, 0.1, G26=325, 0.2, G26=650, 0.4)</f>
        <v>0.1</v>
      </c>
      <c r="H82" cm="1">
        <f t="array" ref="H82">_xlfn.IFS(H26=175, 0.5, H26=325, 1, H26=650, 2)</f>
        <v>1</v>
      </c>
      <c r="I82" cm="1">
        <f t="array" ref="I82">_xlfn.IFS(I26=325, 2, I26=650, 4, I26=1000, 6)</f>
        <v>2</v>
      </c>
      <c r="J82" cm="1">
        <f t="array" ref="J82">_xlfn.IFS(J26=550, 5, J26=1100, 10, J26=2200, 20)</f>
        <v>5</v>
      </c>
      <c r="K82" cm="1">
        <f t="array" ref="K82">_xlfn.IFS(K26=225, 2, K26=450, 4, K26=875, 8)</f>
        <v>4</v>
      </c>
      <c r="L82" cm="1">
        <f t="array" ref="L82">_xlfn.IFS(L26=225, 1, L26=450, 2, L26=875, 4)</f>
        <v>2</v>
      </c>
      <c r="M82" cm="1">
        <f t="array" ref="M82">_xlfn.IFS(M26=325, 3, M26=650, 6, M26=1325, 12)</f>
        <v>3</v>
      </c>
      <c r="N82" cm="1">
        <f t="array" ref="N82">_xlfn.IFS(N26=175, 1, N26=325, 2, N26=650, 4)</f>
        <v>4</v>
      </c>
      <c r="O82" cm="1">
        <f t="array" ref="O82">_xlfn.IFS(O26=200, 1.75, O26=375, 3.5, O26=775, 7)</f>
        <v>1.75</v>
      </c>
      <c r="P82" cm="1">
        <f t="array" ref="P82">_xlfn.IFS(P26=175, 0.1, P26=325, 0.2, P26=650, 0.4)</f>
        <v>0.2</v>
      </c>
      <c r="Q82" cm="1">
        <f t="array" ref="Q82">_xlfn.IFS(Q26=175, 0.1, Q26=325, 0.2, Q26=650, 0.4)</f>
        <v>0.2</v>
      </c>
      <c r="R82" cm="1">
        <f t="array" ref="R82">_xlfn.IFS(R26=250, 1.5, R26=325, 2, R26=650, 4)</f>
        <v>2</v>
      </c>
      <c r="S82" cm="1">
        <f t="array" ref="S82">_xlfn.IFS(S26=175, 0.05, S26=325, 0.1, S26=675, 0.2)</f>
        <v>0.2</v>
      </c>
      <c r="T82" cm="1">
        <f t="array" ref="T82">_xlfn.IFS(T26=175, 0.05, T26=325, 0.1, T26=675, 0.2)</f>
        <v>0.2</v>
      </c>
      <c r="U82" cm="1">
        <f t="array" ref="U82">_xlfn.IFS(U26=175, 0.05, U26=325, 0.1, U26=675, 0.2)</f>
        <v>0.05</v>
      </c>
      <c r="V82" cm="1">
        <f t="array" ref="V82">_xlfn.IFS(V26=175, 0.05, V26=325, 0.1, V26=675, 0.2)</f>
        <v>0.2</v>
      </c>
      <c r="W82" cm="1">
        <f t="array" ref="W82">_xlfn.IFS(W26=375, 3.33, W26=725, 6.7, W26=1475, 13.32)</f>
        <v>6.7</v>
      </c>
      <c r="X82" cm="1">
        <f t="array" ref="X82">_xlfn.IFS(X26=400, 0.1)</f>
        <v>0.1</v>
      </c>
    </row>
    <row r="83" spans="2:24" x14ac:dyDescent="0.25">
      <c r="B83">
        <v>25</v>
      </c>
      <c r="C83" cm="1">
        <f t="array" ref="C83">_xlfn.IFS(C27=175, 0.5, C27=325, 1, C27=650, 2)</f>
        <v>0.5</v>
      </c>
      <c r="D83" cm="1">
        <f t="array" ref="D83">_xlfn.IFS(D27=325, 3, D27=650, 6, D27=1320, 12)</f>
        <v>6</v>
      </c>
      <c r="E83" cm="1">
        <f t="array" ref="E83">_xlfn.IFS(E27=175, 1, E27=325, 2, E27=650, 4)</f>
        <v>2</v>
      </c>
      <c r="F83" cm="1">
        <f t="array" ref="F83">_xlfn.IFS(F27=175, 1.25, F27=350, 2.5, F27=700, 5)</f>
        <v>1.25</v>
      </c>
      <c r="G83" cm="1">
        <f t="array" ref="G83">_xlfn.IFS(G27=175, 0.1, G27=325, 0.2, G27=650, 0.4)</f>
        <v>0.1</v>
      </c>
      <c r="H83" cm="1">
        <f t="array" ref="H83">_xlfn.IFS(H27=175, 0.5, H27=325, 1, H27=650, 2)</f>
        <v>1</v>
      </c>
      <c r="I83" cm="1">
        <f t="array" ref="I83">_xlfn.IFS(I27=325, 2, I27=650, 4, I27=1000, 6)</f>
        <v>2</v>
      </c>
      <c r="J83" cm="1">
        <f t="array" ref="J83">_xlfn.IFS(J27=550, 5, J27=1100, 10, J27=2200, 20)</f>
        <v>10</v>
      </c>
      <c r="K83" cm="1">
        <f t="array" ref="K83">_xlfn.IFS(K27=225, 2, K27=450, 4, K27=875, 8)</f>
        <v>4</v>
      </c>
      <c r="L83" cm="1">
        <f t="array" ref="L83">_xlfn.IFS(L27=225, 1, L27=450, 2, L27=875, 4)</f>
        <v>2</v>
      </c>
      <c r="M83" cm="1">
        <f t="array" ref="M83">_xlfn.IFS(M27=325, 3, M27=650, 6, M27=1325, 12)</f>
        <v>3</v>
      </c>
      <c r="N83" cm="1">
        <f t="array" ref="N83">_xlfn.IFS(N27=175, 1, N27=325, 2, N27=650, 4)</f>
        <v>4</v>
      </c>
      <c r="O83" cm="1">
        <f t="array" ref="O83">_xlfn.IFS(O27=200, 1.75, O27=375, 3.5, O27=775, 7)</f>
        <v>1.75</v>
      </c>
      <c r="P83" cm="1">
        <f t="array" ref="P83">_xlfn.IFS(P27=175, 0.1, P27=325, 0.2, P27=650, 0.4)</f>
        <v>0.1</v>
      </c>
      <c r="Q83" cm="1">
        <f t="array" ref="Q83">_xlfn.IFS(Q27=175, 0.1, Q27=325, 0.2, Q27=650, 0.4)</f>
        <v>0.4</v>
      </c>
      <c r="R83" cm="1">
        <f t="array" ref="R83">_xlfn.IFS(R27=250, 1.5, R27=325, 2, R27=650, 4)</f>
        <v>2</v>
      </c>
      <c r="S83" cm="1">
        <f t="array" ref="S83">_xlfn.IFS(S27=175, 0.05, S27=325, 0.1, S27=675, 0.2)</f>
        <v>0.05</v>
      </c>
      <c r="T83" cm="1">
        <f t="array" ref="T83">_xlfn.IFS(T27=175, 0.05, T27=325, 0.1, T27=675, 0.2)</f>
        <v>0.1</v>
      </c>
      <c r="U83" cm="1">
        <f t="array" ref="U83">_xlfn.IFS(U27=175, 0.05, U27=325, 0.1, U27=675, 0.2)</f>
        <v>0.1</v>
      </c>
      <c r="V83" cm="1">
        <f t="array" ref="V83">_xlfn.IFS(V27=175, 0.05, V27=325, 0.1, V27=675, 0.2)</f>
        <v>0.2</v>
      </c>
      <c r="W83" cm="1">
        <f t="array" ref="W83">_xlfn.IFS(W27=375, 3.33, W27=725, 6.7, W27=1475, 13.32)</f>
        <v>13.32</v>
      </c>
      <c r="X83" cm="1">
        <f t="array" ref="X83">_xlfn.IFS(X27=400, 0.1)</f>
        <v>0.1</v>
      </c>
    </row>
    <row r="84" spans="2:24" s="6" customFormat="1" x14ac:dyDescent="0.25">
      <c r="B84" s="6">
        <v>26</v>
      </c>
      <c r="C84" s="6" cm="1">
        <f t="array" ref="C84">_xlfn.IFS(C28=175, 0.5, C28=325, 1, C28=650, 2)</f>
        <v>1</v>
      </c>
      <c r="D84" s="6" cm="1">
        <f t="array" ref="D84">_xlfn.IFS(D28=325, 3, D28=650, 6, D28=1320, 12)</f>
        <v>6</v>
      </c>
      <c r="E84" s="6" cm="1">
        <f t="array" ref="E84">_xlfn.IFS(E28=175, 1, E28=325, 2, E28=650, 4)</f>
        <v>2</v>
      </c>
      <c r="F84" s="6" cm="1">
        <f t="array" ref="F84">_xlfn.IFS(F28=175, 1.25, F28=350, 2.5, F28=700, 5)</f>
        <v>2.5</v>
      </c>
      <c r="G84" s="6" cm="1">
        <f t="array" ref="G84">_xlfn.IFS(G28=175, 0.1, G28=325, 0.2, G28=650, 0.4)</f>
        <v>0.2</v>
      </c>
      <c r="H84" s="6" cm="1">
        <f t="array" ref="H84">_xlfn.IFS(H28=175, 0.5, H28=325, 1, H28=650, 2)</f>
        <v>1</v>
      </c>
      <c r="I84" s="6" cm="1">
        <f t="array" ref="I84">_xlfn.IFS(I28=325, 2, I28=650, 4, I28=1000, 6)</f>
        <v>4</v>
      </c>
      <c r="J84" s="6" cm="1">
        <f t="array" ref="J84">_xlfn.IFS(J28=550, 5, J28=1100, 10, J28=2200, 20)</f>
        <v>10</v>
      </c>
      <c r="K84" s="6" cm="1">
        <f t="array" ref="K84">_xlfn.IFS(K28=225, 2, K28=450, 4, K28=875, 8)</f>
        <v>4</v>
      </c>
      <c r="L84" s="6" cm="1">
        <f t="array" ref="L84">_xlfn.IFS(L28=225, 1, L28=450, 2, L28=875, 4)</f>
        <v>2</v>
      </c>
      <c r="M84" s="6" cm="1">
        <f t="array" ref="M84">_xlfn.IFS(M28=325, 3, M28=650, 6, M28=1325, 12)</f>
        <v>6</v>
      </c>
      <c r="N84" s="6" cm="1">
        <f t="array" ref="N84">_xlfn.IFS(N28=175, 1, N28=325, 2, N28=650, 4)</f>
        <v>2</v>
      </c>
      <c r="O84" s="6" cm="1">
        <f t="array" ref="O84">_xlfn.IFS(O28=200, 1.75, O28=375, 3.5, O28=775, 7)</f>
        <v>3.5</v>
      </c>
      <c r="P84" s="6" cm="1">
        <f t="array" ref="P84">_xlfn.IFS(P28=175, 0.1, P28=325, 0.2, P28=650, 0.4)</f>
        <v>0.2</v>
      </c>
      <c r="Q84" s="6" cm="1">
        <f t="array" ref="Q84">_xlfn.IFS(Q28=175, 0.1, Q28=325, 0.2, Q28=650, 0.4)</f>
        <v>0.2</v>
      </c>
      <c r="R84" s="6" cm="1">
        <f t="array" ref="R84">_xlfn.IFS(R28=250, 1.5, R28=325, 2, R28=650, 4)</f>
        <v>2</v>
      </c>
      <c r="S84" s="6" cm="1">
        <f t="array" ref="S84">_xlfn.IFS(S28=175, 0.05, S28=325, 0.1, S28=675, 0.2)</f>
        <v>0.1</v>
      </c>
      <c r="T84" s="6" cm="1">
        <f t="array" ref="T84">_xlfn.IFS(T28=175, 0.05, T28=325, 0.1, T28=675, 0.2)</f>
        <v>0.1</v>
      </c>
      <c r="U84" s="6" cm="1">
        <f t="array" ref="U84">_xlfn.IFS(U28=175, 0.05, U28=325, 0.1, U28=675, 0.2)</f>
        <v>0.1</v>
      </c>
      <c r="V84" s="6" cm="1">
        <f t="array" ref="V84">_xlfn.IFS(V28=175, 0.05, V28=325, 0.1, V28=675, 0.2)</f>
        <v>0.1</v>
      </c>
      <c r="W84" s="6" cm="1">
        <f t="array" ref="W84">_xlfn.IFS(W28=375, 3.33, W28=725, 6.7, W28=1475, 13.32)</f>
        <v>6.7</v>
      </c>
      <c r="X84" s="6" cm="1">
        <f t="array" ref="X84">_xlfn.IFS(X28=400, 0.1)</f>
        <v>0.1</v>
      </c>
    </row>
    <row r="85" spans="2:24" x14ac:dyDescent="0.25">
      <c r="B85">
        <v>27</v>
      </c>
      <c r="C85" cm="1">
        <f t="array" ref="C85">_xlfn.IFS(C29=175, 0.5, C29=325, 1, C29=650, 2)</f>
        <v>1</v>
      </c>
      <c r="D85" cm="1">
        <f t="array" ref="D85">_xlfn.IFS(D29=325, 3, D29=650, 6, D29=1320, 12)</f>
        <v>6</v>
      </c>
      <c r="E85" cm="1">
        <f t="array" ref="E85">_xlfn.IFS(E29=175, 1, E29=325, 2, E29=650, 4)</f>
        <v>1</v>
      </c>
      <c r="F85" cm="1">
        <f t="array" ref="F85">_xlfn.IFS(F29=175, 1.25, F29=350, 2.5, F29=700, 5)</f>
        <v>1.25</v>
      </c>
      <c r="G85" cm="1">
        <f t="array" ref="G85">_xlfn.IFS(G29=175, 0.1, G29=325, 0.2, G29=650, 0.4)</f>
        <v>0.1</v>
      </c>
      <c r="H85" cm="1">
        <f t="array" ref="H85">_xlfn.IFS(H29=175, 0.5, H29=325, 1, H29=650, 2)</f>
        <v>1</v>
      </c>
      <c r="I85" cm="1">
        <f t="array" ref="I85">_xlfn.IFS(I29=325, 2, I29=650, 4, I29=1000, 6)</f>
        <v>2</v>
      </c>
      <c r="J85" cm="1">
        <f t="array" ref="J85">_xlfn.IFS(J29=550, 5, J29=1100, 10, J29=2200, 20)</f>
        <v>10</v>
      </c>
      <c r="K85" cm="1">
        <f t="array" ref="K85">_xlfn.IFS(K29=225, 2, K29=450, 4, K29=875, 8)</f>
        <v>2</v>
      </c>
      <c r="L85" cm="1">
        <f t="array" ref="L85">_xlfn.IFS(L29=225, 1, L29=450, 2, L29=875, 4)</f>
        <v>1</v>
      </c>
      <c r="M85" cm="1">
        <f t="array" ref="M85">_xlfn.IFS(M29=325, 3, M29=650, 6, M29=1325, 12)</f>
        <v>12</v>
      </c>
      <c r="N85" cm="1">
        <f t="array" ref="N85">_xlfn.IFS(N29=175, 1, N29=325, 2, N29=650, 4)</f>
        <v>2</v>
      </c>
      <c r="O85" cm="1">
        <f t="array" ref="O85">_xlfn.IFS(O29=200, 1.75, O29=375, 3.5, O29=775, 7)</f>
        <v>1.75</v>
      </c>
      <c r="P85" cm="1">
        <f t="array" ref="P85">_xlfn.IFS(P29=175, 0.1, P29=325, 0.2, P29=650, 0.4)</f>
        <v>0.4</v>
      </c>
      <c r="Q85" cm="1">
        <f t="array" ref="Q85">_xlfn.IFS(Q29=175, 0.1, Q29=325, 0.2, Q29=650, 0.4)</f>
        <v>0.4</v>
      </c>
      <c r="R85" cm="1">
        <f t="array" ref="R85">_xlfn.IFS(R29=250, 1.5, R29=325, 2, R29=650, 4)</f>
        <v>2</v>
      </c>
      <c r="S85" cm="1">
        <f t="array" ref="S85">_xlfn.IFS(S29=175, 0.05, S29=325, 0.1, S29=675, 0.2)</f>
        <v>0.1</v>
      </c>
      <c r="T85" cm="1">
        <f t="array" ref="T85">_xlfn.IFS(T29=175, 0.05, T29=325, 0.1, T29=675, 0.2)</f>
        <v>0.2</v>
      </c>
      <c r="U85" cm="1">
        <f t="array" ref="U85">_xlfn.IFS(U29=175, 0.05, U29=325, 0.1, U29=675, 0.2)</f>
        <v>0.05</v>
      </c>
      <c r="V85" cm="1">
        <f t="array" ref="V85">_xlfn.IFS(V29=175, 0.05, V29=325, 0.1, V29=675, 0.2)</f>
        <v>0.1</v>
      </c>
      <c r="W85" cm="1">
        <f t="array" ref="W85">_xlfn.IFS(W29=375, 3.33, W29=725, 6.7, W29=1475, 13.32)</f>
        <v>13.32</v>
      </c>
      <c r="X85" cm="1">
        <f t="array" ref="X85">_xlfn.IFS(X29=400, 0.1)</f>
        <v>0.1</v>
      </c>
    </row>
    <row r="86" spans="2:24" x14ac:dyDescent="0.25">
      <c r="B86">
        <v>28</v>
      </c>
      <c r="C86" cm="1">
        <f t="array" ref="C86">_xlfn.IFS(C30=175, 0.5, C30=325, 1, C30=650, 2)</f>
        <v>2</v>
      </c>
      <c r="D86" cm="1">
        <f t="array" ref="D86">_xlfn.IFS(D30=325, 3, D30=650, 6, D30=1320, 12)</f>
        <v>6</v>
      </c>
      <c r="E86" cm="1">
        <f t="array" ref="E86">_xlfn.IFS(E30=175, 1, E30=325, 2, E30=650, 4)</f>
        <v>2</v>
      </c>
      <c r="F86" cm="1">
        <f t="array" ref="F86">_xlfn.IFS(F30=175, 1.25, F30=350, 2.5, F30=700, 5)</f>
        <v>2.5</v>
      </c>
      <c r="G86" cm="1">
        <f t="array" ref="G86">_xlfn.IFS(G30=175, 0.1, G30=325, 0.2, G30=650, 0.4)</f>
        <v>0.1</v>
      </c>
      <c r="H86" cm="1">
        <f t="array" ref="H86">_xlfn.IFS(H30=175, 0.5, H30=325, 1, H30=650, 2)</f>
        <v>1</v>
      </c>
      <c r="I86" cm="1">
        <f t="array" ref="I86">_xlfn.IFS(I30=325, 2, I30=650, 4, I30=1000, 6)</f>
        <v>2</v>
      </c>
      <c r="J86" cm="1">
        <f t="array" ref="J86">_xlfn.IFS(J30=550, 5, J30=1100, 10, J30=2200, 20)</f>
        <v>10</v>
      </c>
      <c r="K86" cm="1">
        <f t="array" ref="K86">_xlfn.IFS(K30=225, 2, K30=450, 4, K30=875, 8)</f>
        <v>8</v>
      </c>
      <c r="L86" cm="1">
        <f t="array" ref="L86">_xlfn.IFS(L30=225, 1, L30=450, 2, L30=875, 4)</f>
        <v>2</v>
      </c>
      <c r="M86" cm="1">
        <f t="array" ref="M86">_xlfn.IFS(M30=325, 3, M30=650, 6, M30=1325, 12)</f>
        <v>3</v>
      </c>
      <c r="N86" cm="1">
        <f t="array" ref="N86">_xlfn.IFS(N30=175, 1, N30=325, 2, N30=650, 4)</f>
        <v>2</v>
      </c>
      <c r="O86" cm="1">
        <f t="array" ref="O86">_xlfn.IFS(O30=200, 1.75, O30=375, 3.5, O30=775, 7)</f>
        <v>1.75</v>
      </c>
      <c r="P86" cm="1">
        <f t="array" ref="P86">_xlfn.IFS(P30=175, 0.1, P30=325, 0.2, P30=650, 0.4)</f>
        <v>0.4</v>
      </c>
      <c r="Q86" cm="1">
        <f t="array" ref="Q86">_xlfn.IFS(Q30=175, 0.1, Q30=325, 0.2, Q30=650, 0.4)</f>
        <v>0.4</v>
      </c>
      <c r="R86" cm="1">
        <f t="array" ref="R86">_xlfn.IFS(R30=250, 1.5, R30=325, 2, R30=650, 4)</f>
        <v>4</v>
      </c>
      <c r="S86" cm="1">
        <f t="array" ref="S86">_xlfn.IFS(S30=175, 0.05, S30=325, 0.1, S30=675, 0.2)</f>
        <v>0.05</v>
      </c>
      <c r="T86" cm="1">
        <f t="array" ref="T86">_xlfn.IFS(T30=175, 0.05, T30=325, 0.1, T30=675, 0.2)</f>
        <v>0.2</v>
      </c>
      <c r="U86" cm="1">
        <f t="array" ref="U86">_xlfn.IFS(U30=175, 0.05, U30=325, 0.1, U30=675, 0.2)</f>
        <v>0.05</v>
      </c>
      <c r="V86" cm="1">
        <f t="array" ref="V86">_xlfn.IFS(V30=175, 0.05, V30=325, 0.1, V30=675, 0.2)</f>
        <v>0.1</v>
      </c>
      <c r="W86" cm="1">
        <f t="array" ref="W86">_xlfn.IFS(W30=375, 3.33, W30=725, 6.7, W30=1475, 13.32)</f>
        <v>3.33</v>
      </c>
      <c r="X86" cm="1">
        <f t="array" ref="X86">_xlfn.IFS(X30=400, 0.1)</f>
        <v>0.1</v>
      </c>
    </row>
    <row r="87" spans="2:24" x14ac:dyDescent="0.25">
      <c r="B87">
        <v>29</v>
      </c>
      <c r="C87" cm="1">
        <f t="array" ref="C87">_xlfn.IFS(C31=175, 0.5, C31=325, 1, C31=650, 2)</f>
        <v>0.5</v>
      </c>
      <c r="D87" cm="1">
        <f t="array" ref="D87">_xlfn.IFS(D31=325, 3, D31=650, 6, D31=1320, 12)</f>
        <v>3</v>
      </c>
      <c r="E87" cm="1">
        <f t="array" ref="E87">_xlfn.IFS(E31=175, 1, E31=325, 2, E31=650, 4)</f>
        <v>4</v>
      </c>
      <c r="F87" cm="1">
        <f t="array" ref="F87">_xlfn.IFS(F31=175, 1.25, F31=350, 2.5, F31=700, 5)</f>
        <v>2.5</v>
      </c>
      <c r="G87" cm="1">
        <f t="array" ref="G87">_xlfn.IFS(G31=175, 0.1, G31=325, 0.2, G31=650, 0.4)</f>
        <v>0.1</v>
      </c>
      <c r="H87" cm="1">
        <f t="array" ref="H87">_xlfn.IFS(H31=175, 0.5, H31=325, 1, H31=650, 2)</f>
        <v>2</v>
      </c>
      <c r="I87" cm="1">
        <f t="array" ref="I87">_xlfn.IFS(I31=325, 2, I31=650, 4, I31=1000, 6)</f>
        <v>2</v>
      </c>
      <c r="J87" cm="1">
        <f t="array" ref="J87">_xlfn.IFS(J31=550, 5, J31=1100, 10, J31=2200, 20)</f>
        <v>10</v>
      </c>
      <c r="K87" cm="1">
        <f t="array" ref="K87">_xlfn.IFS(K31=225, 2, K31=450, 4, K31=875, 8)</f>
        <v>2</v>
      </c>
      <c r="L87" cm="1">
        <f t="array" ref="L87">_xlfn.IFS(L31=225, 1, L31=450, 2, L31=875, 4)</f>
        <v>1</v>
      </c>
      <c r="M87" cm="1">
        <f t="array" ref="M87">_xlfn.IFS(M31=325, 3, M31=650, 6, M31=1325, 12)</f>
        <v>3</v>
      </c>
      <c r="N87" cm="1">
        <f t="array" ref="N87">_xlfn.IFS(N31=175, 1, N31=325, 2, N31=650, 4)</f>
        <v>2</v>
      </c>
      <c r="O87" cm="1">
        <f t="array" ref="O87">_xlfn.IFS(O31=200, 1.75, O31=375, 3.5, O31=775, 7)</f>
        <v>1.75</v>
      </c>
      <c r="P87" cm="1">
        <f t="array" ref="P87">_xlfn.IFS(P31=175, 0.1, P31=325, 0.2, P31=650, 0.4)</f>
        <v>0.1</v>
      </c>
      <c r="Q87" cm="1">
        <f t="array" ref="Q87">_xlfn.IFS(Q31=175, 0.1, Q31=325, 0.2, Q31=650, 0.4)</f>
        <v>0.4</v>
      </c>
      <c r="R87" cm="1">
        <f t="array" ref="R87">_xlfn.IFS(R31=250, 1.5, R31=325, 2, R31=650, 4)</f>
        <v>2</v>
      </c>
      <c r="S87" cm="1">
        <f t="array" ref="S87">_xlfn.IFS(S31=175, 0.05, S31=325, 0.1, S31=675, 0.2)</f>
        <v>0.1</v>
      </c>
      <c r="T87" cm="1">
        <f t="array" ref="T87">_xlfn.IFS(T31=175, 0.05, T31=325, 0.1, T31=675, 0.2)</f>
        <v>0.2</v>
      </c>
      <c r="U87" cm="1">
        <f t="array" ref="U87">_xlfn.IFS(U31=175, 0.05, U31=325, 0.1, U31=675, 0.2)</f>
        <v>0.05</v>
      </c>
      <c r="V87" cm="1">
        <f t="array" ref="V87">_xlfn.IFS(V31=175, 0.05, V31=325, 0.1, V31=675, 0.2)</f>
        <v>0.1</v>
      </c>
      <c r="W87" cm="1">
        <f t="array" ref="W87">_xlfn.IFS(W31=375, 3.33, W31=725, 6.7, W31=1475, 13.32)</f>
        <v>3.33</v>
      </c>
      <c r="X87" cm="1">
        <f t="array" ref="X87">_xlfn.IFS(X31=400, 0.1)</f>
        <v>0.1</v>
      </c>
    </row>
    <row r="88" spans="2:24" x14ac:dyDescent="0.25">
      <c r="B88">
        <v>30</v>
      </c>
      <c r="C88" cm="1">
        <f t="array" ref="C88">_xlfn.IFS(C32=175, 0.5, C32=325, 1, C32=650, 2)</f>
        <v>0.5</v>
      </c>
      <c r="D88" cm="1">
        <f t="array" ref="D88">_xlfn.IFS(D32=325, 3, D32=650, 6, D32=1320, 12)</f>
        <v>6</v>
      </c>
      <c r="E88" cm="1">
        <f t="array" ref="E88">_xlfn.IFS(E32=175, 1, E32=325, 2, E32=650, 4)</f>
        <v>2</v>
      </c>
      <c r="F88" cm="1">
        <f t="array" ref="F88">_xlfn.IFS(F32=175, 1.25, F32=350, 2.5, F32=700, 5)</f>
        <v>1.25</v>
      </c>
      <c r="G88" cm="1">
        <f t="array" ref="G88">_xlfn.IFS(G32=175, 0.1, G32=325, 0.2, G32=650, 0.4)</f>
        <v>0.1</v>
      </c>
      <c r="H88" cm="1">
        <f t="array" ref="H88">_xlfn.IFS(H32=175, 0.5, H32=325, 1, H32=650, 2)</f>
        <v>2</v>
      </c>
      <c r="I88" cm="1">
        <f t="array" ref="I88">_xlfn.IFS(I32=325, 2, I32=650, 4, I32=1000, 6)</f>
        <v>2</v>
      </c>
      <c r="J88" cm="1">
        <f t="array" ref="J88">_xlfn.IFS(J32=550, 5, J32=1100, 10, J32=2200, 20)</f>
        <v>10</v>
      </c>
      <c r="K88" cm="1">
        <f t="array" ref="K88">_xlfn.IFS(K32=225, 2, K32=450, 4, K32=875, 8)</f>
        <v>2</v>
      </c>
      <c r="L88" cm="1">
        <f t="array" ref="L88">_xlfn.IFS(L32=225, 1, L32=450, 2, L32=875, 4)</f>
        <v>1</v>
      </c>
      <c r="M88" cm="1">
        <f t="array" ref="M88">_xlfn.IFS(M32=325, 3, M32=650, 6, M32=1325, 12)</f>
        <v>12</v>
      </c>
      <c r="N88" cm="1">
        <f t="array" ref="N88">_xlfn.IFS(N32=175, 1, N32=325, 2, N32=650, 4)</f>
        <v>4</v>
      </c>
      <c r="O88" cm="1">
        <f t="array" ref="O88">_xlfn.IFS(O32=200, 1.75, O32=375, 3.5, O32=775, 7)</f>
        <v>1.75</v>
      </c>
      <c r="P88" cm="1">
        <f t="array" ref="P88">_xlfn.IFS(P32=175, 0.1, P32=325, 0.2, P32=650, 0.4)</f>
        <v>0.4</v>
      </c>
      <c r="Q88" cm="1">
        <f t="array" ref="Q88">_xlfn.IFS(Q32=175, 0.1, Q32=325, 0.2, Q32=650, 0.4)</f>
        <v>0.1</v>
      </c>
      <c r="R88" cm="1">
        <f t="array" ref="R88">_xlfn.IFS(R32=250, 1.5, R32=325, 2, R32=650, 4)</f>
        <v>2</v>
      </c>
      <c r="S88" cm="1">
        <f t="array" ref="S88">_xlfn.IFS(S32=175, 0.05, S32=325, 0.1, S32=675, 0.2)</f>
        <v>0.2</v>
      </c>
      <c r="T88" cm="1">
        <f t="array" ref="T88">_xlfn.IFS(T32=175, 0.05, T32=325, 0.1, T32=675, 0.2)</f>
        <v>0.2</v>
      </c>
      <c r="U88" cm="1">
        <f t="array" ref="U88">_xlfn.IFS(U32=175, 0.05, U32=325, 0.1, U32=675, 0.2)</f>
        <v>0.2</v>
      </c>
      <c r="V88" cm="1">
        <f t="array" ref="V88">_xlfn.IFS(V32=175, 0.05, V32=325, 0.1, V32=675, 0.2)</f>
        <v>0.1</v>
      </c>
      <c r="W88" cm="1">
        <f t="array" ref="W88">_xlfn.IFS(W32=375, 3.33, W32=725, 6.7, W32=1475, 13.32)</f>
        <v>6.7</v>
      </c>
      <c r="X88" cm="1">
        <f t="array" ref="X88">_xlfn.IFS(X32=400, 0.1)</f>
        <v>0.1</v>
      </c>
    </row>
    <row r="89" spans="2:24" x14ac:dyDescent="0.25">
      <c r="B89">
        <v>31</v>
      </c>
      <c r="C89" cm="1">
        <f t="array" ref="C89">_xlfn.IFS(C33=175, 0.5, C33=325, 1, C33=650, 2)</f>
        <v>0.5</v>
      </c>
      <c r="D89" cm="1">
        <f t="array" ref="D89">_xlfn.IFS(D33=325, 3, D33=650, 6, D33=1320, 12)</f>
        <v>3</v>
      </c>
      <c r="E89" cm="1">
        <f t="array" ref="E89">_xlfn.IFS(E33=175, 1, E33=325, 2, E33=650, 4)</f>
        <v>1</v>
      </c>
      <c r="F89" cm="1">
        <f t="array" ref="F89">_xlfn.IFS(F33=175, 1.25, F33=350, 2.5, F33=700, 5)</f>
        <v>1.25</v>
      </c>
      <c r="G89" cm="1">
        <f t="array" ref="G89">_xlfn.IFS(G33=175, 0.1, G33=325, 0.2, G33=650, 0.4)</f>
        <v>0.1</v>
      </c>
      <c r="H89" cm="1">
        <f t="array" ref="H89">_xlfn.IFS(H33=175, 0.5, H33=325, 1, H33=650, 2)</f>
        <v>2</v>
      </c>
      <c r="I89" cm="1">
        <f t="array" ref="I89">_xlfn.IFS(I33=325, 2, I33=650, 4, I33=1000, 6)</f>
        <v>2</v>
      </c>
      <c r="J89" cm="1">
        <f t="array" ref="J89">_xlfn.IFS(J33=550, 5, J33=1100, 10, J33=2200, 20)</f>
        <v>20</v>
      </c>
      <c r="K89" cm="1">
        <f t="array" ref="K89">_xlfn.IFS(K33=225, 2, K33=450, 4, K33=875, 8)</f>
        <v>8</v>
      </c>
      <c r="L89" cm="1">
        <f t="array" ref="L89">_xlfn.IFS(L33=225, 1, L33=450, 2, L33=875, 4)</f>
        <v>2</v>
      </c>
      <c r="M89" cm="1">
        <f t="array" ref="M89">_xlfn.IFS(M33=325, 3, M33=650, 6, M33=1325, 12)</f>
        <v>3</v>
      </c>
      <c r="N89" cm="1">
        <f t="array" ref="N89">_xlfn.IFS(N33=175, 1, N33=325, 2, N33=650, 4)</f>
        <v>2</v>
      </c>
      <c r="O89" cm="1">
        <f t="array" ref="O89">_xlfn.IFS(O33=200, 1.75, O33=375, 3.5, O33=775, 7)</f>
        <v>3.5</v>
      </c>
      <c r="P89" cm="1">
        <f t="array" ref="P89">_xlfn.IFS(P33=175, 0.1, P33=325, 0.2, P33=650, 0.4)</f>
        <v>0.1</v>
      </c>
      <c r="Q89" cm="1">
        <f t="array" ref="Q89">_xlfn.IFS(Q33=175, 0.1, Q33=325, 0.2, Q33=650, 0.4)</f>
        <v>0.4</v>
      </c>
      <c r="R89" cm="1">
        <f t="array" ref="R89">_xlfn.IFS(R33=250, 1.5, R33=325, 2, R33=650, 4)</f>
        <v>2</v>
      </c>
      <c r="S89" cm="1">
        <f t="array" ref="S89">_xlfn.IFS(S33=175, 0.05, S33=325, 0.1, S33=675, 0.2)</f>
        <v>0.2</v>
      </c>
      <c r="T89" cm="1">
        <f t="array" ref="T89">_xlfn.IFS(T33=175, 0.05, T33=325, 0.1, T33=675, 0.2)</f>
        <v>0.2</v>
      </c>
      <c r="U89" cm="1">
        <f t="array" ref="U89">_xlfn.IFS(U33=175, 0.05, U33=325, 0.1, U33=675, 0.2)</f>
        <v>0.1</v>
      </c>
      <c r="V89" cm="1">
        <f t="array" ref="V89">_xlfn.IFS(V33=175, 0.05, V33=325, 0.1, V33=675, 0.2)</f>
        <v>0.05</v>
      </c>
      <c r="W89" cm="1">
        <f t="array" ref="W89">_xlfn.IFS(W33=375, 3.33, W33=725, 6.7, W33=1475, 13.32)</f>
        <v>3.33</v>
      </c>
      <c r="X89" cm="1">
        <f t="array" ref="X89">_xlfn.IFS(X33=400, 0.1)</f>
        <v>0.1</v>
      </c>
    </row>
    <row r="90" spans="2:24" x14ac:dyDescent="0.25">
      <c r="B90">
        <v>32</v>
      </c>
      <c r="C90" cm="1">
        <f t="array" ref="C90">_xlfn.IFS(C34=175, 0.5, C34=325, 1, C34=650, 2)</f>
        <v>1</v>
      </c>
      <c r="D90" cm="1">
        <f t="array" ref="D90">_xlfn.IFS(D34=325, 3, D34=650, 6, D34=1320, 12)</f>
        <v>3</v>
      </c>
      <c r="E90" cm="1">
        <f t="array" ref="E90">_xlfn.IFS(E34=175, 1, E34=325, 2, E34=650, 4)</f>
        <v>1</v>
      </c>
      <c r="F90" cm="1">
        <f t="array" ref="F90">_xlfn.IFS(F34=175, 1.25, F34=350, 2.5, F34=700, 5)</f>
        <v>1.25</v>
      </c>
      <c r="G90" cm="1">
        <f t="array" ref="G90">_xlfn.IFS(G34=175, 0.1, G34=325, 0.2, G34=650, 0.4)</f>
        <v>0.1</v>
      </c>
      <c r="H90" cm="1">
        <f t="array" ref="H90">_xlfn.IFS(H34=175, 0.5, H34=325, 1, H34=650, 2)</f>
        <v>1</v>
      </c>
      <c r="I90" cm="1">
        <f t="array" ref="I90">_xlfn.IFS(I34=325, 2, I34=650, 4, I34=1000, 6)</f>
        <v>2</v>
      </c>
      <c r="J90" cm="1">
        <f t="array" ref="J90">_xlfn.IFS(J34=550, 5, J34=1100, 10, J34=2200, 20)</f>
        <v>20</v>
      </c>
      <c r="K90" cm="1">
        <f t="array" ref="K90">_xlfn.IFS(K34=225, 2, K34=450, 4, K34=875, 8)</f>
        <v>4</v>
      </c>
      <c r="L90" cm="1">
        <f t="array" ref="L90">_xlfn.IFS(L34=225, 1, L34=450, 2, L34=875, 4)</f>
        <v>1</v>
      </c>
      <c r="M90" cm="1">
        <f t="array" ref="M90">_xlfn.IFS(M34=325, 3, M34=650, 6, M34=1325, 12)</f>
        <v>6</v>
      </c>
      <c r="N90" cm="1">
        <f t="array" ref="N90">_xlfn.IFS(N34=175, 1, N34=325, 2, N34=650, 4)</f>
        <v>4</v>
      </c>
      <c r="O90" cm="1">
        <f t="array" ref="O90">_xlfn.IFS(O34=200, 1.75, O34=375, 3.5, O34=775, 7)</f>
        <v>1.75</v>
      </c>
      <c r="P90" cm="1">
        <f t="array" ref="P90">_xlfn.IFS(P34=175, 0.1, P34=325, 0.2, P34=650, 0.4)</f>
        <v>0.2</v>
      </c>
      <c r="Q90" cm="1">
        <f t="array" ref="Q90">_xlfn.IFS(Q34=175, 0.1, Q34=325, 0.2, Q34=650, 0.4)</f>
        <v>0.2</v>
      </c>
      <c r="R90" cm="1">
        <f t="array" ref="R90">_xlfn.IFS(R34=250, 1.5, R34=325, 2, R34=650, 4)</f>
        <v>4</v>
      </c>
      <c r="S90" cm="1">
        <f t="array" ref="S90">_xlfn.IFS(S34=175, 0.05, S34=325, 0.1, S34=675, 0.2)</f>
        <v>0.1</v>
      </c>
      <c r="T90" cm="1">
        <f t="array" ref="T90">_xlfn.IFS(T34=175, 0.05, T34=325, 0.1, T34=675, 0.2)</f>
        <v>0.2</v>
      </c>
      <c r="U90" cm="1">
        <f t="array" ref="U90">_xlfn.IFS(U34=175, 0.05, U34=325, 0.1, U34=675, 0.2)</f>
        <v>0.1</v>
      </c>
      <c r="V90" cm="1">
        <f t="array" ref="V90">_xlfn.IFS(V34=175, 0.05, V34=325, 0.1, V34=675, 0.2)</f>
        <v>0.1</v>
      </c>
      <c r="W90" cm="1">
        <f t="array" ref="W90">_xlfn.IFS(W34=375, 3.33, W34=725, 6.7, W34=1475, 13.32)</f>
        <v>6.7</v>
      </c>
      <c r="X90" cm="1">
        <f t="array" ref="X90">_xlfn.IFS(X34=400, 0.1)</f>
        <v>0.1</v>
      </c>
    </row>
    <row r="91" spans="2:24" x14ac:dyDescent="0.25">
      <c r="B91">
        <v>33</v>
      </c>
      <c r="C91" cm="1">
        <f t="array" ref="C91">_xlfn.IFS(C35=175, 0.5, C35=325, 1, C35=650, 2)</f>
        <v>0.5</v>
      </c>
      <c r="D91" cm="1">
        <f t="array" ref="D91">_xlfn.IFS(D35=325, 3, D35=650, 6, D35=1320, 12)</f>
        <v>3</v>
      </c>
      <c r="E91" cm="1">
        <f t="array" ref="E91">_xlfn.IFS(E35=175, 1, E35=325, 2, E35=650, 4)</f>
        <v>1</v>
      </c>
      <c r="F91" cm="1">
        <f t="array" ref="F91">_xlfn.IFS(F35=175, 1.25, F35=350, 2.5, F35=700, 5)</f>
        <v>5</v>
      </c>
      <c r="G91" cm="1">
        <f t="array" ref="G91">_xlfn.IFS(G35=175, 0.1, G35=325, 0.2, G35=650, 0.4)</f>
        <v>0.2</v>
      </c>
      <c r="H91" cm="1">
        <f t="array" ref="H91">_xlfn.IFS(H35=175, 0.5, H35=325, 1, H35=650, 2)</f>
        <v>2</v>
      </c>
      <c r="I91" cm="1">
        <f t="array" ref="I91">_xlfn.IFS(I35=325, 2, I35=650, 4, I35=1000, 6)</f>
        <v>2</v>
      </c>
      <c r="J91" cm="1">
        <f t="array" ref="J91">_xlfn.IFS(J35=550, 5, J35=1100, 10, J35=2200, 20)</f>
        <v>20</v>
      </c>
      <c r="K91" cm="1">
        <f t="array" ref="K91">_xlfn.IFS(K35=225, 2, K35=450, 4, K35=875, 8)</f>
        <v>4</v>
      </c>
      <c r="L91" cm="1">
        <f t="array" ref="L91">_xlfn.IFS(L35=225, 1, L35=450, 2, L35=875, 4)</f>
        <v>2</v>
      </c>
      <c r="M91" cm="1">
        <f t="array" ref="M91">_xlfn.IFS(M35=325, 3, M35=650, 6, M35=1325, 12)</f>
        <v>3</v>
      </c>
      <c r="N91" cm="1">
        <f t="array" ref="N91">_xlfn.IFS(N35=175, 1, N35=325, 2, N35=650, 4)</f>
        <v>4</v>
      </c>
      <c r="O91" cm="1">
        <f t="array" ref="O91">_xlfn.IFS(O35=200, 1.75, O35=375, 3.5, O35=775, 7)</f>
        <v>1.75</v>
      </c>
      <c r="P91" cm="1">
        <f t="array" ref="P91">_xlfn.IFS(P35=175, 0.1, P35=325, 0.2, P35=650, 0.4)</f>
        <v>0.1</v>
      </c>
      <c r="Q91" cm="1">
        <f t="array" ref="Q91">_xlfn.IFS(Q35=175, 0.1, Q35=325, 0.2, Q35=650, 0.4)</f>
        <v>0.2</v>
      </c>
      <c r="R91" cm="1">
        <f t="array" ref="R91">_xlfn.IFS(R35=250, 1.5, R35=325, 2, R35=650, 4)</f>
        <v>2</v>
      </c>
      <c r="S91" cm="1">
        <f t="array" ref="S91">_xlfn.IFS(S35=175, 0.05, S35=325, 0.1, S35=675, 0.2)</f>
        <v>0.2</v>
      </c>
      <c r="T91" cm="1">
        <f t="array" ref="T91">_xlfn.IFS(T35=175, 0.05, T35=325, 0.1, T35=675, 0.2)</f>
        <v>0.2</v>
      </c>
      <c r="U91" cm="1">
        <f t="array" ref="U91">_xlfn.IFS(U35=175, 0.05, U35=325, 0.1, U35=675, 0.2)</f>
        <v>0.05</v>
      </c>
      <c r="V91" cm="1">
        <f t="array" ref="V91">_xlfn.IFS(V35=175, 0.05, V35=325, 0.1, V35=675, 0.2)</f>
        <v>0.2</v>
      </c>
      <c r="W91" cm="1">
        <f t="array" ref="W91">_xlfn.IFS(W35=375, 3.33, W35=725, 6.7, W35=1475, 13.32)</f>
        <v>3.33</v>
      </c>
      <c r="X91" cm="1">
        <f t="array" ref="X91">_xlfn.IFS(X35=400, 0.1)</f>
        <v>0.1</v>
      </c>
    </row>
    <row r="92" spans="2:24" x14ac:dyDescent="0.25">
      <c r="B92">
        <v>34</v>
      </c>
      <c r="C92" cm="1">
        <f t="array" ref="C92">_xlfn.IFS(C36=175, 0.5, C36=325, 1, C36=650, 2)</f>
        <v>1</v>
      </c>
      <c r="D92" cm="1">
        <f t="array" ref="D92">_xlfn.IFS(D36=325, 3, D36=650, 6, D36=1320, 12)</f>
        <v>6</v>
      </c>
      <c r="E92" cm="1">
        <f t="array" ref="E92">_xlfn.IFS(E36=175, 1, E36=325, 2, E36=650, 4)</f>
        <v>2</v>
      </c>
      <c r="F92" cm="1">
        <f t="array" ref="F92">_xlfn.IFS(F36=175, 1.25, F36=350, 2.5, F36=700, 5)</f>
        <v>1.25</v>
      </c>
      <c r="G92" cm="1">
        <f t="array" ref="G92">_xlfn.IFS(G36=175, 0.1, G36=325, 0.2, G36=650, 0.4)</f>
        <v>0.1</v>
      </c>
      <c r="H92" cm="1">
        <f t="array" ref="H92">_xlfn.IFS(H36=175, 0.5, H36=325, 1, H36=650, 2)</f>
        <v>1</v>
      </c>
      <c r="I92" cm="1">
        <f t="array" ref="I92">_xlfn.IFS(I36=325, 2, I36=650, 4, I36=1000, 6)</f>
        <v>2</v>
      </c>
      <c r="J92" cm="1">
        <f t="array" ref="J92">_xlfn.IFS(J36=550, 5, J36=1100, 10, J36=2200, 20)</f>
        <v>20</v>
      </c>
      <c r="K92" cm="1">
        <f t="array" ref="K92">_xlfn.IFS(K36=225, 2, K36=450, 4, K36=875, 8)</f>
        <v>8</v>
      </c>
      <c r="L92" cm="1">
        <f t="array" ref="L92">_xlfn.IFS(L36=225, 1, L36=450, 2, L36=875, 4)</f>
        <v>1</v>
      </c>
      <c r="M92" cm="1">
        <f t="array" ref="M92">_xlfn.IFS(M36=325, 3, M36=650, 6, M36=1325, 12)</f>
        <v>3</v>
      </c>
      <c r="N92" cm="1">
        <f t="array" ref="N92">_xlfn.IFS(N36=175, 1, N36=325, 2, N36=650, 4)</f>
        <v>4</v>
      </c>
      <c r="O92" cm="1">
        <f t="array" ref="O92">_xlfn.IFS(O36=200, 1.75, O36=375, 3.5, O36=775, 7)</f>
        <v>1.75</v>
      </c>
      <c r="P92" cm="1">
        <f t="array" ref="P92">_xlfn.IFS(P36=175, 0.1, P36=325, 0.2, P36=650, 0.4)</f>
        <v>0.2</v>
      </c>
      <c r="Q92" cm="1">
        <f t="array" ref="Q92">_xlfn.IFS(Q36=175, 0.1, Q36=325, 0.2, Q36=650, 0.4)</f>
        <v>0.4</v>
      </c>
      <c r="R92" cm="1">
        <f t="array" ref="R92">_xlfn.IFS(R36=250, 1.5, R36=325, 2, R36=650, 4)</f>
        <v>2</v>
      </c>
      <c r="S92" cm="1">
        <f t="array" ref="S92">_xlfn.IFS(S36=175, 0.05, S36=325, 0.1, S36=675, 0.2)</f>
        <v>0.2</v>
      </c>
      <c r="T92" cm="1">
        <f t="array" ref="T92">_xlfn.IFS(T36=175, 0.05, T36=325, 0.1, T36=675, 0.2)</f>
        <v>0.1</v>
      </c>
      <c r="U92" cm="1">
        <f t="array" ref="U92">_xlfn.IFS(U36=175, 0.05, U36=325, 0.1, U36=675, 0.2)</f>
        <v>0.05</v>
      </c>
      <c r="V92" cm="1">
        <f t="array" ref="V92">_xlfn.IFS(V36=175, 0.05, V36=325, 0.1, V36=675, 0.2)</f>
        <v>0.1</v>
      </c>
      <c r="W92" cm="1">
        <f t="array" ref="W92">_xlfn.IFS(W36=375, 3.33, W36=725, 6.7, W36=1475, 13.32)</f>
        <v>6.7</v>
      </c>
      <c r="X92" cm="1">
        <f t="array" ref="X92">_xlfn.IFS(X36=400, 0.1)</f>
        <v>0.1</v>
      </c>
    </row>
    <row r="93" spans="2:24" x14ac:dyDescent="0.25">
      <c r="B93">
        <v>35</v>
      </c>
      <c r="C93" cm="1">
        <f t="array" ref="C93">_xlfn.IFS(C37=175, 0.5, C37=325, 1, C37=650, 2)</f>
        <v>0.5</v>
      </c>
      <c r="D93" cm="1">
        <f t="array" ref="D93">_xlfn.IFS(D37=325, 3, D37=650, 6, D37=1320, 12)</f>
        <v>3</v>
      </c>
      <c r="E93" cm="1">
        <f t="array" ref="E93">_xlfn.IFS(E37=175, 1, E37=325, 2, E37=650, 4)</f>
        <v>4</v>
      </c>
      <c r="F93" cm="1">
        <f t="array" ref="F93">_xlfn.IFS(F37=175, 1.25, F37=350, 2.5, F37=700, 5)</f>
        <v>5</v>
      </c>
      <c r="G93" cm="1">
        <f t="array" ref="G93">_xlfn.IFS(G37=175, 0.1, G37=325, 0.2, G37=650, 0.4)</f>
        <v>0.1</v>
      </c>
      <c r="H93" cm="1">
        <f t="array" ref="H93">_xlfn.IFS(H37=175, 0.5, H37=325, 1, H37=650, 2)</f>
        <v>2</v>
      </c>
      <c r="I93" cm="1">
        <f t="array" ref="I93">_xlfn.IFS(I37=325, 2, I37=650, 4, I37=1000, 6)</f>
        <v>2</v>
      </c>
      <c r="J93" cm="1">
        <f t="array" ref="J93">_xlfn.IFS(J37=550, 5, J37=1100, 10, J37=2200, 20)</f>
        <v>10</v>
      </c>
      <c r="K93" cm="1">
        <f t="array" ref="K93">_xlfn.IFS(K37=225, 2, K37=450, 4, K37=875, 8)</f>
        <v>4</v>
      </c>
      <c r="L93" cm="1">
        <f t="array" ref="L93">_xlfn.IFS(L37=225, 1, L37=450, 2, L37=875, 4)</f>
        <v>2</v>
      </c>
      <c r="M93" cm="1">
        <f t="array" ref="M93">_xlfn.IFS(M37=325, 3, M37=650, 6, M37=1325, 12)</f>
        <v>6</v>
      </c>
      <c r="N93" cm="1">
        <f t="array" ref="N93">_xlfn.IFS(N37=175, 1, N37=325, 2, N37=650, 4)</f>
        <v>4</v>
      </c>
      <c r="O93" cm="1">
        <f t="array" ref="O93">_xlfn.IFS(O37=200, 1.75, O37=375, 3.5, O37=775, 7)</f>
        <v>1.75</v>
      </c>
      <c r="P93" cm="1">
        <f t="array" ref="P93">_xlfn.IFS(P37=175, 0.1, P37=325, 0.2, P37=650, 0.4)</f>
        <v>0.1</v>
      </c>
      <c r="Q93" cm="1">
        <f t="array" ref="Q93">_xlfn.IFS(Q37=175, 0.1, Q37=325, 0.2, Q37=650, 0.4)</f>
        <v>0.2</v>
      </c>
      <c r="R93" cm="1">
        <f t="array" ref="R93">_xlfn.IFS(R37=250, 1.5, R37=325, 2, R37=650, 4)</f>
        <v>2</v>
      </c>
      <c r="S93" cm="1">
        <f t="array" ref="S93">_xlfn.IFS(S37=175, 0.05, S37=325, 0.1, S37=675, 0.2)</f>
        <v>0.2</v>
      </c>
      <c r="T93" cm="1">
        <f t="array" ref="T93">_xlfn.IFS(T37=175, 0.05, T37=325, 0.1, T37=675, 0.2)</f>
        <v>0.2</v>
      </c>
      <c r="U93" cm="1">
        <f t="array" ref="U93">_xlfn.IFS(U37=175, 0.05, U37=325, 0.1, U37=675, 0.2)</f>
        <v>0.2</v>
      </c>
      <c r="V93" cm="1">
        <f t="array" ref="V93">_xlfn.IFS(V37=175, 0.05, V37=325, 0.1, V37=675, 0.2)</f>
        <v>0.2</v>
      </c>
      <c r="W93" cm="1">
        <f t="array" ref="W93">_xlfn.IFS(W37=375, 3.33, W37=725, 6.7, W37=1475, 13.32)</f>
        <v>3.33</v>
      </c>
      <c r="X93" cm="1">
        <f t="array" ref="X93">_xlfn.IFS(X37=400, 0.1)</f>
        <v>0.1</v>
      </c>
    </row>
    <row r="94" spans="2:24" x14ac:dyDescent="0.25">
      <c r="B94">
        <v>36</v>
      </c>
      <c r="C94" cm="1">
        <f t="array" ref="C94">_xlfn.IFS(C38=175, 0.5, C38=325, 1, C38=650, 2)</f>
        <v>0.5</v>
      </c>
      <c r="D94" cm="1">
        <f t="array" ref="D94">_xlfn.IFS(D38=325, 3, D38=650, 6, D38=1320, 12)</f>
        <v>6</v>
      </c>
      <c r="E94" cm="1">
        <f t="array" ref="E94">_xlfn.IFS(E38=175, 1, E38=325, 2, E38=650, 4)</f>
        <v>2</v>
      </c>
      <c r="F94" cm="1">
        <f t="array" ref="F94">_xlfn.IFS(F38=175, 1.25, F38=350, 2.5, F38=700, 5)</f>
        <v>5</v>
      </c>
      <c r="G94" cm="1">
        <f t="array" ref="G94">_xlfn.IFS(G38=175, 0.1, G38=325, 0.2, G38=650, 0.4)</f>
        <v>0.1</v>
      </c>
      <c r="H94" cm="1">
        <f t="array" ref="H94">_xlfn.IFS(H38=175, 0.5, H38=325, 1, H38=650, 2)</f>
        <v>1</v>
      </c>
      <c r="I94" cm="1">
        <f t="array" ref="I94">_xlfn.IFS(I38=325, 2, I38=650, 4, I38=1000, 6)</f>
        <v>2</v>
      </c>
      <c r="J94" cm="1">
        <f t="array" ref="J94">_xlfn.IFS(J38=550, 5, J38=1100, 10, J38=2200, 20)</f>
        <v>10</v>
      </c>
      <c r="K94" cm="1">
        <f t="array" ref="K94">_xlfn.IFS(K38=225, 2, K38=450, 4, K38=875, 8)</f>
        <v>8</v>
      </c>
      <c r="L94" cm="1">
        <f t="array" ref="L94">_xlfn.IFS(L38=225, 1, L38=450, 2, L38=875, 4)</f>
        <v>2</v>
      </c>
      <c r="M94" cm="1">
        <f t="array" ref="M94">_xlfn.IFS(M38=325, 3, M38=650, 6, M38=1325, 12)</f>
        <v>3</v>
      </c>
      <c r="N94" cm="1">
        <f t="array" ref="N94">_xlfn.IFS(N38=175, 1, N38=325, 2, N38=650, 4)</f>
        <v>1</v>
      </c>
      <c r="O94" cm="1">
        <f t="array" ref="O94">_xlfn.IFS(O38=200, 1.75, O38=375, 3.5, O38=775, 7)</f>
        <v>1.75</v>
      </c>
      <c r="P94" cm="1">
        <f t="array" ref="P94">_xlfn.IFS(P38=175, 0.1, P38=325, 0.2, P38=650, 0.4)</f>
        <v>0.1</v>
      </c>
      <c r="Q94" cm="1">
        <f t="array" ref="Q94">_xlfn.IFS(Q38=175, 0.1, Q38=325, 0.2, Q38=650, 0.4)</f>
        <v>0.2</v>
      </c>
      <c r="R94" cm="1">
        <f t="array" ref="R94">_xlfn.IFS(R38=250, 1.5, R38=325, 2, R38=650, 4)</f>
        <v>2</v>
      </c>
      <c r="S94" cm="1">
        <f t="array" ref="S94">_xlfn.IFS(S38=175, 0.05, S38=325, 0.1, S38=675, 0.2)</f>
        <v>0.05</v>
      </c>
      <c r="T94" cm="1">
        <f t="array" ref="T94">_xlfn.IFS(T38=175, 0.05, T38=325, 0.1, T38=675, 0.2)</f>
        <v>0.2</v>
      </c>
      <c r="U94" cm="1">
        <f t="array" ref="U94">_xlfn.IFS(U38=175, 0.05, U38=325, 0.1, U38=675, 0.2)</f>
        <v>0.2</v>
      </c>
      <c r="V94" cm="1">
        <f t="array" ref="V94">_xlfn.IFS(V38=175, 0.05, V38=325, 0.1, V38=675, 0.2)</f>
        <v>0.2</v>
      </c>
      <c r="W94" cm="1">
        <f t="array" ref="W94">_xlfn.IFS(W38=375, 3.33, W38=725, 6.7, W38=1475, 13.32)</f>
        <v>6.7</v>
      </c>
      <c r="X94" cm="1">
        <f t="array" ref="X94">_xlfn.IFS(X38=400, 0.1)</f>
        <v>0.1</v>
      </c>
    </row>
    <row r="95" spans="2:24" x14ac:dyDescent="0.25">
      <c r="B95">
        <v>37</v>
      </c>
      <c r="C95" cm="1">
        <f t="array" ref="C95">_xlfn.IFS(C39=175, 0.5, C39=325, 1, C39=650, 2)</f>
        <v>2</v>
      </c>
      <c r="D95" cm="1">
        <f t="array" ref="D95">_xlfn.IFS(D39=325, 3, D39=650, 6, D39=1320, 12)</f>
        <v>3</v>
      </c>
      <c r="E95" cm="1">
        <f t="array" ref="E95">_xlfn.IFS(E39=175, 1, E39=325, 2, E39=650, 4)</f>
        <v>2</v>
      </c>
      <c r="F95" cm="1">
        <f t="array" ref="F95">_xlfn.IFS(F39=175, 1.25, F39=350, 2.5, F39=700, 5)</f>
        <v>2.5</v>
      </c>
      <c r="G95" cm="1">
        <f t="array" ref="G95">_xlfn.IFS(G39=175, 0.1, G39=325, 0.2, G39=650, 0.4)</f>
        <v>0.1</v>
      </c>
      <c r="H95" cm="1">
        <f t="array" ref="H95">_xlfn.IFS(H39=175, 0.5, H39=325, 1, H39=650, 2)</f>
        <v>1</v>
      </c>
      <c r="I95" cm="1">
        <f t="array" ref="I95">_xlfn.IFS(I39=325, 2, I39=650, 4, I39=1000, 6)</f>
        <v>2</v>
      </c>
      <c r="J95" cm="1">
        <f t="array" ref="J95">_xlfn.IFS(J39=550, 5, J39=1100, 10, J39=2200, 20)</f>
        <v>10</v>
      </c>
      <c r="K95" cm="1">
        <f t="array" ref="K95">_xlfn.IFS(K39=225, 2, K39=450, 4, K39=875, 8)</f>
        <v>2</v>
      </c>
      <c r="L95" cm="1">
        <f t="array" ref="L95">_xlfn.IFS(L39=225, 1, L39=450, 2, L39=875, 4)</f>
        <v>1</v>
      </c>
      <c r="M95" cm="1">
        <f t="array" ref="M95">_xlfn.IFS(M39=325, 3, M39=650, 6, M39=1325, 12)</f>
        <v>3</v>
      </c>
      <c r="N95" cm="1">
        <f t="array" ref="N95">_xlfn.IFS(N39=175, 1, N39=325, 2, N39=650, 4)</f>
        <v>2</v>
      </c>
      <c r="O95" cm="1">
        <f t="array" ref="O95">_xlfn.IFS(O39=200, 1.75, O39=375, 3.5, O39=775, 7)</f>
        <v>1.75</v>
      </c>
      <c r="P95" cm="1">
        <f t="array" ref="P95">_xlfn.IFS(P39=175, 0.1, P39=325, 0.2, P39=650, 0.4)</f>
        <v>0.2</v>
      </c>
      <c r="Q95" cm="1">
        <f t="array" ref="Q95">_xlfn.IFS(Q39=175, 0.1, Q39=325, 0.2, Q39=650, 0.4)</f>
        <v>0.4</v>
      </c>
      <c r="R95" cm="1">
        <f t="array" ref="R95">_xlfn.IFS(R39=250, 1.5, R39=325, 2, R39=650, 4)</f>
        <v>2</v>
      </c>
      <c r="S95" cm="1">
        <f t="array" ref="S95">_xlfn.IFS(S39=175, 0.05, S39=325, 0.1, S39=675, 0.2)</f>
        <v>0.05</v>
      </c>
      <c r="T95" cm="1">
        <f t="array" ref="T95">_xlfn.IFS(T39=175, 0.05, T39=325, 0.1, T39=675, 0.2)</f>
        <v>0.2</v>
      </c>
      <c r="U95" cm="1">
        <f t="array" ref="U95">_xlfn.IFS(U39=175, 0.05, U39=325, 0.1, U39=675, 0.2)</f>
        <v>0.05</v>
      </c>
      <c r="V95" cm="1">
        <f t="array" ref="V95">_xlfn.IFS(V39=175, 0.05, V39=325, 0.1, V39=675, 0.2)</f>
        <v>0.2</v>
      </c>
      <c r="W95" cm="1">
        <f t="array" ref="W95">_xlfn.IFS(W39=375, 3.33, W39=725, 6.7, W39=1475, 13.32)</f>
        <v>13.32</v>
      </c>
      <c r="X95" cm="1">
        <f t="array" ref="X95">_xlfn.IFS(X39=400, 0.1)</f>
        <v>0.1</v>
      </c>
    </row>
    <row r="96" spans="2:24" x14ac:dyDescent="0.25">
      <c r="B96">
        <v>38</v>
      </c>
      <c r="C96" cm="1">
        <f t="array" ref="C96">_xlfn.IFS(C40=175, 0.5, C40=325, 1, C40=650, 2)</f>
        <v>2</v>
      </c>
      <c r="D96" cm="1">
        <f t="array" ref="D96">_xlfn.IFS(D40=325, 3, D40=650, 6, D40=1320, 12)</f>
        <v>6</v>
      </c>
      <c r="E96" cm="1">
        <f t="array" ref="E96">_xlfn.IFS(E40=175, 1, E40=325, 2, E40=650, 4)</f>
        <v>1</v>
      </c>
      <c r="F96" cm="1">
        <f t="array" ref="F96">_xlfn.IFS(F40=175, 1.25, F40=350, 2.5, F40=700, 5)</f>
        <v>5</v>
      </c>
      <c r="G96" cm="1">
        <f t="array" ref="G96">_xlfn.IFS(G40=175, 0.1, G40=325, 0.2, G40=650, 0.4)</f>
        <v>0.1</v>
      </c>
      <c r="H96" cm="1">
        <f t="array" ref="H96">_xlfn.IFS(H40=175, 0.5, H40=325, 1, H40=650, 2)</f>
        <v>1</v>
      </c>
      <c r="I96" cm="1">
        <f t="array" ref="I96">_xlfn.IFS(I40=325, 2, I40=650, 4, I40=1000, 6)</f>
        <v>2</v>
      </c>
      <c r="J96" cm="1">
        <f t="array" ref="J96">_xlfn.IFS(J40=550, 5, J40=1100, 10, J40=2200, 20)</f>
        <v>10</v>
      </c>
      <c r="K96" cm="1">
        <f t="array" ref="K96">_xlfn.IFS(K40=225, 2, K40=450, 4, K40=875, 8)</f>
        <v>8</v>
      </c>
      <c r="L96" cm="1">
        <f t="array" ref="L96">_xlfn.IFS(L40=225, 1, L40=450, 2, L40=875, 4)</f>
        <v>1</v>
      </c>
      <c r="M96" cm="1">
        <f t="array" ref="M96">_xlfn.IFS(M40=325, 3, M40=650, 6, M40=1325, 12)</f>
        <v>3</v>
      </c>
      <c r="N96" cm="1">
        <f t="array" ref="N96">_xlfn.IFS(N40=175, 1, N40=325, 2, N40=650, 4)</f>
        <v>1</v>
      </c>
      <c r="O96" cm="1">
        <f t="array" ref="O96">_xlfn.IFS(O40=200, 1.75, O40=375, 3.5, O40=775, 7)</f>
        <v>1.75</v>
      </c>
      <c r="P96" cm="1">
        <f t="array" ref="P96">_xlfn.IFS(P40=175, 0.1, P40=325, 0.2, P40=650, 0.4)</f>
        <v>0.4</v>
      </c>
      <c r="Q96" cm="1">
        <f t="array" ref="Q96">_xlfn.IFS(Q40=175, 0.1, Q40=325, 0.2, Q40=650, 0.4)</f>
        <v>0.4</v>
      </c>
      <c r="R96" cm="1">
        <f t="array" ref="R96">_xlfn.IFS(R40=250, 1.5, R40=325, 2, R40=650, 4)</f>
        <v>2</v>
      </c>
      <c r="S96" cm="1">
        <f t="array" ref="S96">_xlfn.IFS(S40=175, 0.05, S40=325, 0.1, S40=675, 0.2)</f>
        <v>0.05</v>
      </c>
      <c r="T96" cm="1">
        <f t="array" ref="T96">_xlfn.IFS(T40=175, 0.05, T40=325, 0.1, T40=675, 0.2)</f>
        <v>0.2</v>
      </c>
      <c r="U96" cm="1">
        <f t="array" ref="U96">_xlfn.IFS(U40=175, 0.05, U40=325, 0.1, U40=675, 0.2)</f>
        <v>0.1</v>
      </c>
      <c r="V96" cm="1">
        <f t="array" ref="V96">_xlfn.IFS(V40=175, 0.05, V40=325, 0.1, V40=675, 0.2)</f>
        <v>0.1</v>
      </c>
      <c r="W96" cm="1">
        <f t="array" ref="W96">_xlfn.IFS(W40=375, 3.33, W40=725, 6.7, W40=1475, 13.32)</f>
        <v>13.32</v>
      </c>
      <c r="X96" cm="1">
        <f t="array" ref="X96">_xlfn.IFS(X40=400, 0.1)</f>
        <v>0.1</v>
      </c>
    </row>
    <row r="97" spans="2:24" x14ac:dyDescent="0.25">
      <c r="B97">
        <v>39</v>
      </c>
      <c r="C97" cm="1">
        <f t="array" ref="C97">_xlfn.IFS(C41=175, 0.5, C41=325, 1, C41=650, 2)</f>
        <v>0.5</v>
      </c>
      <c r="D97" cm="1">
        <f t="array" ref="D97">_xlfn.IFS(D41=325, 3, D41=650, 6, D41=1320, 12)</f>
        <v>6</v>
      </c>
      <c r="E97" cm="1">
        <f t="array" ref="E97">_xlfn.IFS(E41=175, 1, E41=325, 2, E41=650, 4)</f>
        <v>1</v>
      </c>
      <c r="F97" cm="1">
        <f t="array" ref="F97">_xlfn.IFS(F41=175, 1.25, F41=350, 2.5, F41=700, 5)</f>
        <v>5</v>
      </c>
      <c r="G97" cm="1">
        <f t="array" ref="G97">_xlfn.IFS(G41=175, 0.1, G41=325, 0.2, G41=650, 0.4)</f>
        <v>0.1</v>
      </c>
      <c r="H97" cm="1">
        <f t="array" ref="H97">_xlfn.IFS(H41=175, 0.5, H41=325, 1, H41=650, 2)</f>
        <v>2</v>
      </c>
      <c r="I97" cm="1">
        <f t="array" ref="I97">_xlfn.IFS(I41=325, 2, I41=650, 4, I41=1000, 6)</f>
        <v>2</v>
      </c>
      <c r="J97" cm="1">
        <f t="array" ref="J97">_xlfn.IFS(J41=550, 5, J41=1100, 10, J41=2200, 20)</f>
        <v>20</v>
      </c>
      <c r="K97" cm="1">
        <f t="array" ref="K97">_xlfn.IFS(K41=225, 2, K41=450, 4, K41=875, 8)</f>
        <v>2</v>
      </c>
      <c r="L97" cm="1">
        <f t="array" ref="L97">_xlfn.IFS(L41=225, 1, L41=450, 2, L41=875, 4)</f>
        <v>2</v>
      </c>
      <c r="M97" cm="1">
        <f t="array" ref="M97">_xlfn.IFS(M41=325, 3, M41=650, 6, M41=1325, 12)</f>
        <v>6</v>
      </c>
      <c r="N97" cm="1">
        <f t="array" ref="N97">_xlfn.IFS(N41=175, 1, N41=325, 2, N41=650, 4)</f>
        <v>2</v>
      </c>
      <c r="O97" cm="1">
        <f t="array" ref="O97">_xlfn.IFS(O41=200, 1.75, O41=375, 3.5, O41=775, 7)</f>
        <v>3.5</v>
      </c>
      <c r="P97" cm="1">
        <f t="array" ref="P97">_xlfn.IFS(P41=175, 0.1, P41=325, 0.2, P41=650, 0.4)</f>
        <v>0.2</v>
      </c>
      <c r="Q97" cm="1">
        <f t="array" ref="Q97">_xlfn.IFS(Q41=175, 0.1, Q41=325, 0.2, Q41=650, 0.4)</f>
        <v>0.4</v>
      </c>
      <c r="R97" cm="1">
        <f t="array" ref="R97">_xlfn.IFS(R41=250, 1.5, R41=325, 2, R41=650, 4)</f>
        <v>2</v>
      </c>
      <c r="S97" cm="1">
        <f t="array" ref="S97">_xlfn.IFS(S41=175, 0.05, S41=325, 0.1, S41=675, 0.2)</f>
        <v>0.1</v>
      </c>
      <c r="T97" cm="1">
        <f t="array" ref="T97">_xlfn.IFS(T41=175, 0.05, T41=325, 0.1, T41=675, 0.2)</f>
        <v>0.2</v>
      </c>
      <c r="U97" cm="1">
        <f t="array" ref="U97">_xlfn.IFS(U41=175, 0.05, U41=325, 0.1, U41=675, 0.2)</f>
        <v>0.05</v>
      </c>
      <c r="V97" cm="1">
        <f t="array" ref="V97">_xlfn.IFS(V41=175, 0.05, V41=325, 0.1, V41=675, 0.2)</f>
        <v>0.1</v>
      </c>
      <c r="W97" cm="1">
        <f t="array" ref="W97">_xlfn.IFS(W41=375, 3.33, W41=725, 6.7, W41=1475, 13.32)</f>
        <v>3.33</v>
      </c>
      <c r="X97" cm="1">
        <f t="array" ref="X97">_xlfn.IFS(X41=400, 0.1)</f>
        <v>0.1</v>
      </c>
    </row>
    <row r="98" spans="2:24" x14ac:dyDescent="0.25">
      <c r="B98">
        <v>40</v>
      </c>
      <c r="C98" cm="1">
        <f t="array" ref="C98">_xlfn.IFS(C42=175, 0.5, C42=325, 1, C42=650, 2)</f>
        <v>0.5</v>
      </c>
      <c r="D98" cm="1">
        <f t="array" ref="D98">_xlfn.IFS(D42=325, 3, D42=650, 6, D42=1320, 12)</f>
        <v>6</v>
      </c>
      <c r="E98" cm="1">
        <f t="array" ref="E98">_xlfn.IFS(E42=175, 1, E42=325, 2, E42=650, 4)</f>
        <v>1</v>
      </c>
      <c r="F98" cm="1">
        <f t="array" ref="F98">_xlfn.IFS(F42=175, 1.25, F42=350, 2.5, F42=700, 5)</f>
        <v>1.25</v>
      </c>
      <c r="G98" cm="1">
        <f t="array" ref="G98">_xlfn.IFS(G42=175, 0.1, G42=325, 0.2, G42=650, 0.4)</f>
        <v>0.2</v>
      </c>
      <c r="H98" cm="1">
        <f t="array" ref="H98">_xlfn.IFS(H42=175, 0.5, H42=325, 1, H42=650, 2)</f>
        <v>1</v>
      </c>
      <c r="I98" cm="1">
        <f t="array" ref="I98">_xlfn.IFS(I42=325, 2, I42=650, 4, I42=1000, 6)</f>
        <v>2</v>
      </c>
      <c r="J98" cm="1">
        <f t="array" ref="J98">_xlfn.IFS(J42=550, 5, J42=1100, 10, J42=2200, 20)</f>
        <v>20</v>
      </c>
      <c r="K98" cm="1">
        <f t="array" ref="K98">_xlfn.IFS(K42=225, 2, K42=450, 4, K42=875, 8)</f>
        <v>2</v>
      </c>
      <c r="L98" cm="1">
        <f t="array" ref="L98">_xlfn.IFS(L42=225, 1, L42=450, 2, L42=875, 4)</f>
        <v>1</v>
      </c>
      <c r="M98" cm="1">
        <f t="array" ref="M98">_xlfn.IFS(M42=325, 3, M42=650, 6, M42=1325, 12)</f>
        <v>12</v>
      </c>
      <c r="N98" cm="1">
        <f t="array" ref="N98">_xlfn.IFS(N42=175, 1, N42=325, 2, N42=650, 4)</f>
        <v>4</v>
      </c>
      <c r="O98" cm="1">
        <f t="array" ref="O98">_xlfn.IFS(O42=200, 1.75, O42=375, 3.5, O42=775, 7)</f>
        <v>1.75</v>
      </c>
      <c r="P98" cm="1">
        <f t="array" ref="P98">_xlfn.IFS(P42=175, 0.1, P42=325, 0.2, P42=650, 0.4)</f>
        <v>0.1</v>
      </c>
      <c r="Q98" cm="1">
        <f t="array" ref="Q98">_xlfn.IFS(Q42=175, 0.1, Q42=325, 0.2, Q42=650, 0.4)</f>
        <v>0.4</v>
      </c>
      <c r="R98" cm="1">
        <f t="array" ref="R98">_xlfn.IFS(R42=250, 1.5, R42=325, 2, R42=650, 4)</f>
        <v>4</v>
      </c>
      <c r="S98" cm="1">
        <f t="array" ref="S98">_xlfn.IFS(S42=175, 0.05, S42=325, 0.1, S42=675, 0.2)</f>
        <v>0.1</v>
      </c>
      <c r="T98" cm="1">
        <f t="array" ref="T98">_xlfn.IFS(T42=175, 0.05, T42=325, 0.1, T42=675, 0.2)</f>
        <v>0.2</v>
      </c>
      <c r="U98" cm="1">
        <f t="array" ref="U98">_xlfn.IFS(U42=175, 0.05, U42=325, 0.1, U42=675, 0.2)</f>
        <v>0.05</v>
      </c>
      <c r="V98" cm="1">
        <f t="array" ref="V98">_xlfn.IFS(V42=175, 0.05, V42=325, 0.1, V42=675, 0.2)</f>
        <v>0.1</v>
      </c>
      <c r="W98" cm="1">
        <f t="array" ref="W98">_xlfn.IFS(W42=375, 3.33, W42=725, 6.7, W42=1475, 13.32)</f>
        <v>3.33</v>
      </c>
      <c r="X98" cm="1">
        <f t="array" ref="X98">_xlfn.IFS(X42=400, 0.1)</f>
        <v>0.1</v>
      </c>
    </row>
    <row r="99" spans="2:24" x14ac:dyDescent="0.25">
      <c r="B99">
        <v>41</v>
      </c>
      <c r="C99" cm="1">
        <f t="array" ref="C99">_xlfn.IFS(C43=175, 0.5, C43=325, 1, C43=650, 2)</f>
        <v>0.5</v>
      </c>
      <c r="D99" cm="1">
        <f t="array" ref="D99">_xlfn.IFS(D43=325, 3, D43=650, 6, D43=1320, 12)</f>
        <v>6</v>
      </c>
      <c r="E99" cm="1">
        <f t="array" ref="E99">_xlfn.IFS(E43=175, 1, E43=325, 2, E43=650, 4)</f>
        <v>1</v>
      </c>
      <c r="F99" cm="1">
        <f t="array" ref="F99">_xlfn.IFS(F43=175, 1.25, F43=350, 2.5, F43=700, 5)</f>
        <v>5</v>
      </c>
      <c r="G99" cm="1">
        <f t="array" ref="G99">_xlfn.IFS(G43=175, 0.1, G43=325, 0.2, G43=650, 0.4)</f>
        <v>0.1</v>
      </c>
      <c r="H99" cm="1">
        <f t="array" ref="H99">_xlfn.IFS(H43=175, 0.5, H43=325, 1, H43=650, 2)</f>
        <v>1</v>
      </c>
      <c r="I99" cm="1">
        <f t="array" ref="I99">_xlfn.IFS(I43=325, 2, I43=650, 4, I43=1000, 6)</f>
        <v>2</v>
      </c>
      <c r="J99" cm="1">
        <f t="array" ref="J99">_xlfn.IFS(J43=550, 5, J43=1100, 10, J43=2200, 20)</f>
        <v>20</v>
      </c>
      <c r="K99" cm="1">
        <f t="array" ref="K99">_xlfn.IFS(K43=225, 2, K43=450, 4, K43=875, 8)</f>
        <v>2</v>
      </c>
      <c r="L99" cm="1">
        <f t="array" ref="L99">_xlfn.IFS(L43=225, 1, L43=450, 2, L43=875, 4)</f>
        <v>4</v>
      </c>
      <c r="M99" cm="1">
        <f t="array" ref="M99">_xlfn.IFS(M43=325, 3, M43=650, 6, M43=1325, 12)</f>
        <v>6</v>
      </c>
      <c r="N99" cm="1">
        <f t="array" ref="N99">_xlfn.IFS(N43=175, 1, N43=325, 2, N43=650, 4)</f>
        <v>2</v>
      </c>
      <c r="O99" cm="1">
        <f t="array" ref="O99">_xlfn.IFS(O43=200, 1.75, O43=375, 3.5, O43=775, 7)</f>
        <v>1.75</v>
      </c>
      <c r="P99" cm="1">
        <f t="array" ref="P99">_xlfn.IFS(P43=175, 0.1, P43=325, 0.2, P43=650, 0.4)</f>
        <v>0.1</v>
      </c>
      <c r="Q99" cm="1">
        <f t="array" ref="Q99">_xlfn.IFS(Q43=175, 0.1, Q43=325, 0.2, Q43=650, 0.4)</f>
        <v>0.2</v>
      </c>
      <c r="R99" cm="1">
        <f t="array" ref="R99">_xlfn.IFS(R43=250, 1.5, R43=325, 2, R43=650, 4)</f>
        <v>2</v>
      </c>
      <c r="S99" cm="1">
        <f t="array" ref="S99">_xlfn.IFS(S43=175, 0.05, S43=325, 0.1, S43=675, 0.2)</f>
        <v>0.05</v>
      </c>
      <c r="T99" cm="1">
        <f t="array" ref="T99">_xlfn.IFS(T43=175, 0.05, T43=325, 0.1, T43=675, 0.2)</f>
        <v>0.2</v>
      </c>
      <c r="U99" cm="1">
        <f t="array" ref="U99">_xlfn.IFS(U43=175, 0.05, U43=325, 0.1, U43=675, 0.2)</f>
        <v>0.05</v>
      </c>
      <c r="V99" cm="1">
        <f t="array" ref="V99">_xlfn.IFS(V43=175, 0.05, V43=325, 0.1, V43=675, 0.2)</f>
        <v>0.05</v>
      </c>
      <c r="W99" cm="1">
        <f t="array" ref="W99">_xlfn.IFS(W43=375, 3.33, W43=725, 6.7, W43=1475, 13.32)</f>
        <v>6.7</v>
      </c>
      <c r="X99" cm="1">
        <f t="array" ref="X99">_xlfn.IFS(X43=400, 0.1)</f>
        <v>0.1</v>
      </c>
    </row>
    <row r="100" spans="2:24" x14ac:dyDescent="0.25">
      <c r="B100">
        <v>42</v>
      </c>
      <c r="C100" cm="1">
        <f t="array" ref="C100">_xlfn.IFS(C44=175, 0.5, C44=325, 1, C44=650, 2)</f>
        <v>1</v>
      </c>
      <c r="D100" cm="1">
        <f t="array" ref="D100">_xlfn.IFS(D44=325, 3, D44=650, 6, D44=1320, 12)</f>
        <v>6</v>
      </c>
      <c r="E100" cm="1">
        <f t="array" ref="E100">_xlfn.IFS(E44=175, 1, E44=325, 2, E44=650, 4)</f>
        <v>1</v>
      </c>
      <c r="F100" cm="1">
        <f t="array" ref="F100">_xlfn.IFS(F44=175, 1.25, F44=350, 2.5, F44=700, 5)</f>
        <v>5</v>
      </c>
      <c r="G100" cm="1">
        <f t="array" ref="G100">_xlfn.IFS(G44=175, 0.1, G44=325, 0.2, G44=650, 0.4)</f>
        <v>0.1</v>
      </c>
      <c r="H100" cm="1">
        <f t="array" ref="H100">_xlfn.IFS(H44=175, 0.5, H44=325, 1, H44=650, 2)</f>
        <v>1</v>
      </c>
      <c r="I100" cm="1">
        <f t="array" ref="I100">_xlfn.IFS(I44=325, 2, I44=650, 4, I44=1000, 6)</f>
        <v>2</v>
      </c>
      <c r="J100" cm="1">
        <f t="array" ref="J100">_xlfn.IFS(J44=550, 5, J44=1100, 10, J44=2200, 20)</f>
        <v>20</v>
      </c>
      <c r="K100" cm="1">
        <f t="array" ref="K100">_xlfn.IFS(K44=225, 2, K44=450, 4, K44=875, 8)</f>
        <v>2</v>
      </c>
      <c r="L100" cm="1">
        <f t="array" ref="L100">_xlfn.IFS(L44=225, 1, L44=450, 2, L44=875, 4)</f>
        <v>1</v>
      </c>
      <c r="M100" cm="1">
        <f t="array" ref="M100">_xlfn.IFS(M44=325, 3, M44=650, 6, M44=1325, 12)</f>
        <v>6</v>
      </c>
      <c r="N100" cm="1">
        <f t="array" ref="N100">_xlfn.IFS(N44=175, 1, N44=325, 2, N44=650, 4)</f>
        <v>4</v>
      </c>
      <c r="O100" cm="1">
        <f t="array" ref="O100">_xlfn.IFS(O44=200, 1.75, O44=375, 3.5, O44=775, 7)</f>
        <v>1.75</v>
      </c>
      <c r="P100" cm="1">
        <f t="array" ref="P100">_xlfn.IFS(P44=175, 0.1, P44=325, 0.2, P44=650, 0.4)</f>
        <v>0.1</v>
      </c>
      <c r="Q100" cm="1">
        <f t="array" ref="Q100">_xlfn.IFS(Q44=175, 0.1, Q44=325, 0.2, Q44=650, 0.4)</f>
        <v>0.1</v>
      </c>
      <c r="R100" cm="1">
        <f t="array" ref="R100">_xlfn.IFS(R44=250, 1.5, R44=325, 2, R44=650, 4)</f>
        <v>4</v>
      </c>
      <c r="S100" cm="1">
        <f t="array" ref="S100">_xlfn.IFS(S44=175, 0.05, S44=325, 0.1, S44=675, 0.2)</f>
        <v>0.1</v>
      </c>
      <c r="T100" cm="1">
        <f t="array" ref="T100">_xlfn.IFS(T44=175, 0.05, T44=325, 0.1, T44=675, 0.2)</f>
        <v>0.2</v>
      </c>
      <c r="U100" cm="1">
        <f t="array" ref="U100">_xlfn.IFS(U44=175, 0.05, U44=325, 0.1, U44=675, 0.2)</f>
        <v>0.05</v>
      </c>
      <c r="V100" cm="1">
        <f t="array" ref="V100">_xlfn.IFS(V44=175, 0.05, V44=325, 0.1, V44=675, 0.2)</f>
        <v>0.1</v>
      </c>
      <c r="W100" cm="1">
        <f t="array" ref="W100">_xlfn.IFS(W44=375, 3.33, W44=725, 6.7, W44=1475, 13.32)</f>
        <v>6.7</v>
      </c>
      <c r="X100" cm="1">
        <f t="array" ref="X100">_xlfn.IFS(X44=400, 0.1)</f>
        <v>0.1</v>
      </c>
    </row>
    <row r="101" spans="2:24" x14ac:dyDescent="0.25">
      <c r="B101">
        <v>43</v>
      </c>
      <c r="C101" cm="1">
        <f t="array" ref="C101">_xlfn.IFS(C45=175, 0.5, C45=325, 1, C45=650, 2)</f>
        <v>0.5</v>
      </c>
      <c r="D101" cm="1">
        <f t="array" ref="D101">_xlfn.IFS(D45=325, 3, D45=650, 6, D45=1320, 12)</f>
        <v>6</v>
      </c>
      <c r="E101" cm="1">
        <f t="array" ref="E101">_xlfn.IFS(E45=175, 1, E45=325, 2, E45=650, 4)</f>
        <v>1</v>
      </c>
      <c r="F101" cm="1">
        <f t="array" ref="F101">_xlfn.IFS(F45=175, 1.25, F45=350, 2.5, F45=700, 5)</f>
        <v>2.5</v>
      </c>
      <c r="G101" cm="1">
        <f t="array" ref="G101">_xlfn.IFS(G45=175, 0.1, G45=325, 0.2, G45=650, 0.4)</f>
        <v>0.2</v>
      </c>
      <c r="H101" cm="1">
        <f t="array" ref="H101">_xlfn.IFS(H45=175, 0.5, H45=325, 1, H45=650, 2)</f>
        <v>1</v>
      </c>
      <c r="I101" cm="1">
        <f t="array" ref="I101">_xlfn.IFS(I45=325, 2, I45=650, 4, I45=1000, 6)</f>
        <v>2</v>
      </c>
      <c r="J101" cm="1">
        <f t="array" ref="J101">_xlfn.IFS(J45=550, 5, J45=1100, 10, J45=2200, 20)</f>
        <v>10</v>
      </c>
      <c r="K101" cm="1">
        <f t="array" ref="K101">_xlfn.IFS(K45=225, 2, K45=450, 4, K45=875, 8)</f>
        <v>4</v>
      </c>
      <c r="L101" cm="1">
        <f t="array" ref="L101">_xlfn.IFS(L45=225, 1, L45=450, 2, L45=875, 4)</f>
        <v>2</v>
      </c>
      <c r="M101" cm="1">
        <f t="array" ref="M101">_xlfn.IFS(M45=325, 3, M45=650, 6, M45=1325, 12)</f>
        <v>3</v>
      </c>
      <c r="N101" cm="1">
        <f t="array" ref="N101">_xlfn.IFS(N45=175, 1, N45=325, 2, N45=650, 4)</f>
        <v>4</v>
      </c>
      <c r="O101" cm="1">
        <f t="array" ref="O101">_xlfn.IFS(O45=200, 1.75, O45=375, 3.5, O45=775, 7)</f>
        <v>1.75</v>
      </c>
      <c r="P101" cm="1">
        <f t="array" ref="P101">_xlfn.IFS(P45=175, 0.1, P45=325, 0.2, P45=650, 0.4)</f>
        <v>0.1</v>
      </c>
      <c r="Q101" cm="1">
        <f t="array" ref="Q101">_xlfn.IFS(Q45=175, 0.1, Q45=325, 0.2, Q45=650, 0.4)</f>
        <v>0.1</v>
      </c>
      <c r="R101" cm="1">
        <f t="array" ref="R101">_xlfn.IFS(R45=250, 1.5, R45=325, 2, R45=650, 4)</f>
        <v>2</v>
      </c>
      <c r="S101" cm="1">
        <f t="array" ref="S101">_xlfn.IFS(S45=175, 0.05, S45=325, 0.1, S45=675, 0.2)</f>
        <v>0.2</v>
      </c>
      <c r="T101" cm="1">
        <f t="array" ref="T101">_xlfn.IFS(T45=175, 0.05, T45=325, 0.1, T45=675, 0.2)</f>
        <v>0.2</v>
      </c>
      <c r="U101" cm="1">
        <f t="array" ref="U101">_xlfn.IFS(U45=175, 0.05, U45=325, 0.1, U45=675, 0.2)</f>
        <v>0.05</v>
      </c>
      <c r="V101" cm="1">
        <f t="array" ref="V101">_xlfn.IFS(V45=175, 0.05, V45=325, 0.1, V45=675, 0.2)</f>
        <v>0.1</v>
      </c>
      <c r="W101" cm="1">
        <f t="array" ref="W101">_xlfn.IFS(W45=375, 3.33, W45=725, 6.7, W45=1475, 13.32)</f>
        <v>6.7</v>
      </c>
      <c r="X101" cm="1">
        <f t="array" ref="X101">_xlfn.IFS(X45=400, 0.1)</f>
        <v>0.1</v>
      </c>
    </row>
    <row r="102" spans="2:24" x14ac:dyDescent="0.25">
      <c r="B102">
        <v>44</v>
      </c>
      <c r="C102" cm="1">
        <f t="array" ref="C102">_xlfn.IFS(C46=175, 0.5, C46=325, 1, C46=650, 2)</f>
        <v>1</v>
      </c>
      <c r="D102" cm="1">
        <f t="array" ref="D102">_xlfn.IFS(D46=325, 3, D46=650, 6, D46=1320, 12)</f>
        <v>3</v>
      </c>
      <c r="E102" cm="1">
        <f t="array" ref="E102">_xlfn.IFS(E46=175, 1, E46=325, 2, E46=650, 4)</f>
        <v>4</v>
      </c>
      <c r="F102" cm="1">
        <f t="array" ref="F102">_xlfn.IFS(F46=175, 1.25, F46=350, 2.5, F46=700, 5)</f>
        <v>2.5</v>
      </c>
      <c r="G102" cm="1">
        <f t="array" ref="G102">_xlfn.IFS(G46=175, 0.1, G46=325, 0.2, G46=650, 0.4)</f>
        <v>0.1</v>
      </c>
      <c r="H102" cm="1">
        <f t="array" ref="H102">_xlfn.IFS(H46=175, 0.5, H46=325, 1, H46=650, 2)</f>
        <v>2</v>
      </c>
      <c r="I102" cm="1">
        <f t="array" ref="I102">_xlfn.IFS(I46=325, 2, I46=650, 4, I46=1000, 6)</f>
        <v>2</v>
      </c>
      <c r="J102" cm="1">
        <f t="array" ref="J102">_xlfn.IFS(J46=550, 5, J46=1100, 10, J46=2200, 20)</f>
        <v>10</v>
      </c>
      <c r="K102" cm="1">
        <f t="array" ref="K102">_xlfn.IFS(K46=225, 2, K46=450, 4, K46=875, 8)</f>
        <v>2</v>
      </c>
      <c r="L102" cm="1">
        <f t="array" ref="L102">_xlfn.IFS(L46=225, 1, L46=450, 2, L46=875, 4)</f>
        <v>1</v>
      </c>
      <c r="M102" cm="1">
        <f t="array" ref="M102">_xlfn.IFS(M46=325, 3, M46=650, 6, M46=1325, 12)</f>
        <v>6</v>
      </c>
      <c r="N102" cm="1">
        <f t="array" ref="N102">_xlfn.IFS(N46=175, 1, N46=325, 2, N46=650, 4)</f>
        <v>2</v>
      </c>
      <c r="O102" cm="1">
        <f t="array" ref="O102">_xlfn.IFS(O46=200, 1.75, O46=375, 3.5, O46=775, 7)</f>
        <v>1.75</v>
      </c>
      <c r="P102" cm="1">
        <f t="array" ref="P102">_xlfn.IFS(P46=175, 0.1, P46=325, 0.2, P46=650, 0.4)</f>
        <v>0.1</v>
      </c>
      <c r="Q102" cm="1">
        <f t="array" ref="Q102">_xlfn.IFS(Q46=175, 0.1, Q46=325, 0.2, Q46=650, 0.4)</f>
        <v>0.4</v>
      </c>
      <c r="R102" cm="1">
        <f t="array" ref="R102">_xlfn.IFS(R46=250, 1.5, R46=325, 2, R46=650, 4)</f>
        <v>2</v>
      </c>
      <c r="S102" cm="1">
        <f t="array" ref="S102">_xlfn.IFS(S46=175, 0.05, S46=325, 0.1, S46=675, 0.2)</f>
        <v>0.05</v>
      </c>
      <c r="T102" cm="1">
        <f t="array" ref="T102">_xlfn.IFS(T46=175, 0.05, T46=325, 0.1, T46=675, 0.2)</f>
        <v>0.2</v>
      </c>
      <c r="U102" cm="1">
        <f t="array" ref="U102">_xlfn.IFS(U46=175, 0.05, U46=325, 0.1, U46=675, 0.2)</f>
        <v>0.1</v>
      </c>
      <c r="V102" cm="1">
        <f t="array" ref="V102">_xlfn.IFS(V46=175, 0.05, V46=325, 0.1, V46=675, 0.2)</f>
        <v>0.2</v>
      </c>
      <c r="W102" cm="1">
        <f t="array" ref="W102">_xlfn.IFS(W46=375, 3.33, W46=725, 6.7, W46=1475, 13.32)</f>
        <v>6.7</v>
      </c>
      <c r="X102" cm="1">
        <f t="array" ref="X102">_xlfn.IFS(X46=400, 0.1)</f>
        <v>0.1</v>
      </c>
    </row>
    <row r="103" spans="2:24" x14ac:dyDescent="0.25">
      <c r="B103">
        <v>45</v>
      </c>
      <c r="C103" cm="1">
        <f t="array" ref="C103">_xlfn.IFS(C47=175, 0.5, C47=325, 1, C47=650, 2)</f>
        <v>1</v>
      </c>
      <c r="D103" cm="1">
        <f t="array" ref="D103">_xlfn.IFS(D47=325, 3, D47=650, 6, D47=1320, 12)</f>
        <v>3</v>
      </c>
      <c r="E103" cm="1">
        <f t="array" ref="E103">_xlfn.IFS(E47=175, 1, E47=325, 2, E47=650, 4)</f>
        <v>1</v>
      </c>
      <c r="F103" cm="1">
        <f t="array" ref="F103">_xlfn.IFS(F47=175, 1.25, F47=350, 2.5, F47=700, 5)</f>
        <v>2.5</v>
      </c>
      <c r="G103" cm="1">
        <f t="array" ref="G103">_xlfn.IFS(G47=175, 0.1, G47=325, 0.2, G47=650, 0.4)</f>
        <v>0.1</v>
      </c>
      <c r="H103" cm="1">
        <f t="array" ref="H103">_xlfn.IFS(H47=175, 0.5, H47=325, 1, H47=650, 2)</f>
        <v>1</v>
      </c>
      <c r="I103" cm="1">
        <f t="array" ref="I103">_xlfn.IFS(I47=325, 2, I47=650, 4, I47=1000, 6)</f>
        <v>2</v>
      </c>
      <c r="J103" cm="1">
        <f t="array" ref="J103">_xlfn.IFS(J47=550, 5, J47=1100, 10, J47=2200, 20)</f>
        <v>20</v>
      </c>
      <c r="K103" cm="1">
        <f t="array" ref="K103">_xlfn.IFS(K47=225, 2, K47=450, 4, K47=875, 8)</f>
        <v>4</v>
      </c>
      <c r="L103" cm="1">
        <f t="array" ref="L103">_xlfn.IFS(L47=225, 1, L47=450, 2, L47=875, 4)</f>
        <v>2</v>
      </c>
      <c r="M103" cm="1">
        <f t="array" ref="M103">_xlfn.IFS(M47=325, 3, M47=650, 6, M47=1325, 12)</f>
        <v>3</v>
      </c>
      <c r="N103" cm="1">
        <f t="array" ref="N103">_xlfn.IFS(N47=175, 1, N47=325, 2, N47=650, 4)</f>
        <v>4</v>
      </c>
      <c r="O103" cm="1">
        <f t="array" ref="O103">_xlfn.IFS(O47=200, 1.75, O47=375, 3.5, O47=775, 7)</f>
        <v>3.5</v>
      </c>
      <c r="P103" cm="1">
        <f t="array" ref="P103">_xlfn.IFS(P47=175, 0.1, P47=325, 0.2, P47=650, 0.4)</f>
        <v>0.1</v>
      </c>
      <c r="Q103" cm="1">
        <f t="array" ref="Q103">_xlfn.IFS(Q47=175, 0.1, Q47=325, 0.2, Q47=650, 0.4)</f>
        <v>0.2</v>
      </c>
      <c r="R103" cm="1">
        <f t="array" ref="R103">_xlfn.IFS(R47=250, 1.5, R47=325, 2, R47=650, 4)</f>
        <v>4</v>
      </c>
      <c r="S103" cm="1">
        <f t="array" ref="S103">_xlfn.IFS(S47=175, 0.05, S47=325, 0.1, S47=675, 0.2)</f>
        <v>0.2</v>
      </c>
      <c r="T103" cm="1">
        <f t="array" ref="T103">_xlfn.IFS(T47=175, 0.05, T47=325, 0.1, T47=675, 0.2)</f>
        <v>0.2</v>
      </c>
      <c r="U103" cm="1">
        <f t="array" ref="U103">_xlfn.IFS(U47=175, 0.05, U47=325, 0.1, U47=675, 0.2)</f>
        <v>0.05</v>
      </c>
      <c r="V103" cm="1">
        <f t="array" ref="V103">_xlfn.IFS(V47=175, 0.05, V47=325, 0.1, V47=675, 0.2)</f>
        <v>0.05</v>
      </c>
      <c r="W103" cm="1">
        <f t="array" ref="W103">_xlfn.IFS(W47=375, 3.33, W47=725, 6.7, W47=1475, 13.32)</f>
        <v>6.7</v>
      </c>
      <c r="X103" cm="1">
        <f t="array" ref="X103">_xlfn.IFS(X47=400, 0.1)</f>
        <v>0.1</v>
      </c>
    </row>
    <row r="104" spans="2:24" x14ac:dyDescent="0.25">
      <c r="B104">
        <v>46</v>
      </c>
      <c r="C104" cm="1">
        <f t="array" ref="C104">_xlfn.IFS(C48=175, 0.5, C48=325, 1, C48=650, 2)</f>
        <v>1</v>
      </c>
      <c r="D104" cm="1">
        <f t="array" ref="D104">_xlfn.IFS(D48=325, 3, D48=650, 6, D48=1320, 12)</f>
        <v>6</v>
      </c>
      <c r="E104" cm="1">
        <f t="array" ref="E104">_xlfn.IFS(E48=175, 1, E48=325, 2, E48=650, 4)</f>
        <v>2</v>
      </c>
      <c r="F104" cm="1">
        <f t="array" ref="F104">_xlfn.IFS(F48=175, 1.25, F48=350, 2.5, F48=700, 5)</f>
        <v>2.5</v>
      </c>
      <c r="G104" cm="1">
        <f t="array" ref="G104">_xlfn.IFS(G48=175, 0.1, G48=325, 0.2, G48=650, 0.4)</f>
        <v>0.1</v>
      </c>
      <c r="H104" cm="1">
        <f t="array" ref="H104">_xlfn.IFS(H48=175, 0.5, H48=325, 1, H48=650, 2)</f>
        <v>2</v>
      </c>
      <c r="I104" cm="1">
        <f t="array" ref="I104">_xlfn.IFS(I48=325, 2, I48=650, 4, I48=1000, 6)</f>
        <v>2</v>
      </c>
      <c r="J104" cm="1">
        <f t="array" ref="J104">_xlfn.IFS(J48=550, 5, J48=1100, 10, J48=2200, 20)</f>
        <v>10</v>
      </c>
      <c r="K104" cm="1">
        <f t="array" ref="K104">_xlfn.IFS(K48=225, 2, K48=450, 4, K48=875, 8)</f>
        <v>8</v>
      </c>
      <c r="L104" cm="1">
        <f t="array" ref="L104">_xlfn.IFS(L48=225, 1, L48=450, 2, L48=875, 4)</f>
        <v>1</v>
      </c>
      <c r="M104" cm="1">
        <f t="array" ref="M104">_xlfn.IFS(M48=325, 3, M48=650, 6, M48=1325, 12)</f>
        <v>6</v>
      </c>
      <c r="N104" cm="1">
        <f t="array" ref="N104">_xlfn.IFS(N48=175, 1, N48=325, 2, N48=650, 4)</f>
        <v>4</v>
      </c>
      <c r="O104" cm="1">
        <f t="array" ref="O104">_xlfn.IFS(O48=200, 1.75, O48=375, 3.5, O48=775, 7)</f>
        <v>1.75</v>
      </c>
      <c r="P104" cm="1">
        <f t="array" ref="P104">_xlfn.IFS(P48=175, 0.1, P48=325, 0.2, P48=650, 0.4)</f>
        <v>0.4</v>
      </c>
      <c r="Q104" cm="1">
        <f t="array" ref="Q104">_xlfn.IFS(Q48=175, 0.1, Q48=325, 0.2, Q48=650, 0.4)</f>
        <v>0.1</v>
      </c>
      <c r="R104" cm="1">
        <f t="array" ref="R104">_xlfn.IFS(R48=250, 1.5, R48=325, 2, R48=650, 4)</f>
        <v>2</v>
      </c>
      <c r="S104" cm="1">
        <f t="array" ref="S104">_xlfn.IFS(S48=175, 0.05, S48=325, 0.1, S48=675, 0.2)</f>
        <v>0.05</v>
      </c>
      <c r="T104" cm="1">
        <f t="array" ref="T104">_xlfn.IFS(T48=175, 0.05, T48=325, 0.1, T48=675, 0.2)</f>
        <v>0.2</v>
      </c>
      <c r="U104" cm="1">
        <f t="array" ref="U104">_xlfn.IFS(U48=175, 0.05, U48=325, 0.1, U48=675, 0.2)</f>
        <v>0.1</v>
      </c>
      <c r="V104" cm="1">
        <f t="array" ref="V104">_xlfn.IFS(V48=175, 0.05, V48=325, 0.1, V48=675, 0.2)</f>
        <v>0.05</v>
      </c>
      <c r="W104" cm="1">
        <f t="array" ref="W104">_xlfn.IFS(W48=375, 3.33, W48=725, 6.7, W48=1475, 13.32)</f>
        <v>3.33</v>
      </c>
      <c r="X104" cm="1">
        <f t="array" ref="X104">_xlfn.IFS(X48=400, 0.1)</f>
        <v>0.1</v>
      </c>
    </row>
    <row r="105" spans="2:24" x14ac:dyDescent="0.25">
      <c r="B105">
        <v>47</v>
      </c>
      <c r="C105" cm="1">
        <f t="array" ref="C105">_xlfn.IFS(C49=175, 0.5, C49=325, 1, C49=650, 2)</f>
        <v>0.5</v>
      </c>
      <c r="D105" cm="1">
        <f t="array" ref="D105">_xlfn.IFS(D49=325, 3, D49=650, 6, D49=1320, 12)</f>
        <v>6</v>
      </c>
      <c r="E105" cm="1">
        <f t="array" ref="E105">_xlfn.IFS(E49=175, 1, E49=325, 2, E49=650, 4)</f>
        <v>4</v>
      </c>
      <c r="F105" cm="1">
        <f t="array" ref="F105">_xlfn.IFS(F49=175, 1.25, F49=350, 2.5, F49=700, 5)</f>
        <v>5</v>
      </c>
      <c r="G105" cm="1">
        <f t="array" ref="G105">_xlfn.IFS(G49=175, 0.1, G49=325, 0.2, G49=650, 0.4)</f>
        <v>0.1</v>
      </c>
      <c r="H105" cm="1">
        <f t="array" ref="H105">_xlfn.IFS(H49=175, 0.5, H49=325, 1, H49=650, 2)</f>
        <v>2</v>
      </c>
      <c r="I105" cm="1">
        <f t="array" ref="I105">_xlfn.IFS(I49=325, 2, I49=650, 4, I49=1000, 6)</f>
        <v>2</v>
      </c>
      <c r="J105" cm="1">
        <f t="array" ref="J105">_xlfn.IFS(J49=550, 5, J49=1100, 10, J49=2200, 20)</f>
        <v>10</v>
      </c>
      <c r="K105" cm="1">
        <f t="array" ref="K105">_xlfn.IFS(K49=225, 2, K49=450, 4, K49=875, 8)</f>
        <v>8</v>
      </c>
      <c r="L105" cm="1">
        <f t="array" ref="L105">_xlfn.IFS(L49=225, 1, L49=450, 2, L49=875, 4)</f>
        <v>2</v>
      </c>
      <c r="M105" cm="1">
        <f t="array" ref="M105">_xlfn.IFS(M49=325, 3, M49=650, 6, M49=1325, 12)</f>
        <v>12</v>
      </c>
      <c r="N105" cm="1">
        <f t="array" ref="N105">_xlfn.IFS(N49=175, 1, N49=325, 2, N49=650, 4)</f>
        <v>2</v>
      </c>
      <c r="O105" cm="1">
        <f t="array" ref="O105">_xlfn.IFS(O49=200, 1.75, O49=375, 3.5, O49=775, 7)</f>
        <v>1.75</v>
      </c>
      <c r="P105" cm="1">
        <f t="array" ref="P105">_xlfn.IFS(P49=175, 0.1, P49=325, 0.2, P49=650, 0.4)</f>
        <v>0.1</v>
      </c>
      <c r="Q105" cm="1">
        <f t="array" ref="Q105">_xlfn.IFS(Q49=175, 0.1, Q49=325, 0.2, Q49=650, 0.4)</f>
        <v>0.1</v>
      </c>
      <c r="R105" cm="1">
        <f t="array" ref="R105">_xlfn.IFS(R49=250, 1.5, R49=325, 2, R49=650, 4)</f>
        <v>2</v>
      </c>
      <c r="S105" cm="1">
        <f t="array" ref="S105">_xlfn.IFS(S49=175, 0.05, S49=325, 0.1, S49=675, 0.2)</f>
        <v>0.05</v>
      </c>
      <c r="T105" cm="1">
        <f t="array" ref="T105">_xlfn.IFS(T49=175, 0.05, T49=325, 0.1, T49=675, 0.2)</f>
        <v>0.2</v>
      </c>
      <c r="U105" cm="1">
        <f t="array" ref="U105">_xlfn.IFS(U49=175, 0.05, U49=325, 0.1, U49=675, 0.2)</f>
        <v>0.1</v>
      </c>
      <c r="V105" cm="1">
        <f t="array" ref="V105">_xlfn.IFS(V49=175, 0.05, V49=325, 0.1, V49=675, 0.2)</f>
        <v>0.1</v>
      </c>
      <c r="W105" cm="1">
        <f t="array" ref="W105">_xlfn.IFS(W49=375, 3.33, W49=725, 6.7, W49=1475, 13.32)</f>
        <v>3.33</v>
      </c>
      <c r="X105" cm="1">
        <f t="array" ref="X105">_xlfn.IFS(X49=400, 0.1)</f>
        <v>0.1</v>
      </c>
    </row>
    <row r="106" spans="2:24" x14ac:dyDescent="0.25">
      <c r="B106">
        <v>48</v>
      </c>
      <c r="C106" cm="1">
        <f t="array" ref="C106">_xlfn.IFS(C50=175, 0.5, C50=325, 1, C50=650, 2)</f>
        <v>0.5</v>
      </c>
      <c r="D106" cm="1">
        <f t="array" ref="D106">_xlfn.IFS(D50=325, 3, D50=650, 6, D50=1320, 12)</f>
        <v>6</v>
      </c>
      <c r="E106" cm="1">
        <f t="array" ref="E106">_xlfn.IFS(E50=175, 1, E50=325, 2, E50=650, 4)</f>
        <v>2</v>
      </c>
      <c r="F106" cm="1">
        <f t="array" ref="F106">_xlfn.IFS(F50=175, 1.25, F50=350, 2.5, F50=700, 5)</f>
        <v>5</v>
      </c>
      <c r="G106" cm="1">
        <f t="array" ref="G106">_xlfn.IFS(G50=175, 0.1, G50=325, 0.2, G50=650, 0.4)</f>
        <v>0.2</v>
      </c>
      <c r="H106" cm="1">
        <f t="array" ref="H106">_xlfn.IFS(H50=175, 0.5, H50=325, 1, H50=650, 2)</f>
        <v>1</v>
      </c>
      <c r="I106" cm="1">
        <f t="array" ref="I106">_xlfn.IFS(I50=325, 2, I50=650, 4, I50=1000, 6)</f>
        <v>2</v>
      </c>
      <c r="J106" cm="1">
        <f t="array" ref="J106">_xlfn.IFS(J50=550, 5, J50=1100, 10, J50=2200, 20)</f>
        <v>10</v>
      </c>
      <c r="K106" cm="1">
        <f t="array" ref="K106">_xlfn.IFS(K50=225, 2, K50=450, 4, K50=875, 8)</f>
        <v>8</v>
      </c>
      <c r="L106" cm="1">
        <f t="array" ref="L106">_xlfn.IFS(L50=225, 1, L50=450, 2, L50=875, 4)</f>
        <v>1</v>
      </c>
      <c r="M106" cm="1">
        <f t="array" ref="M106">_xlfn.IFS(M50=325, 3, M50=650, 6, M50=1325, 12)</f>
        <v>3</v>
      </c>
      <c r="N106" cm="1">
        <f t="array" ref="N106">_xlfn.IFS(N50=175, 1, N50=325, 2, N50=650, 4)</f>
        <v>4</v>
      </c>
      <c r="O106" cm="1">
        <f t="array" ref="O106">_xlfn.IFS(O50=200, 1.75, O50=375, 3.5, O50=775, 7)</f>
        <v>3.5</v>
      </c>
      <c r="P106" cm="1">
        <f t="array" ref="P106">_xlfn.IFS(P50=175, 0.1, P50=325, 0.2, P50=650, 0.4)</f>
        <v>0.1</v>
      </c>
      <c r="Q106" cm="1">
        <f t="array" ref="Q106">_xlfn.IFS(Q50=175, 0.1, Q50=325, 0.2, Q50=650, 0.4)</f>
        <v>0.2</v>
      </c>
      <c r="R106" cm="1">
        <f t="array" ref="R106">_xlfn.IFS(R50=250, 1.5, R50=325, 2, R50=650, 4)</f>
        <v>4</v>
      </c>
      <c r="S106" cm="1">
        <f t="array" ref="S106">_xlfn.IFS(S50=175, 0.05, S50=325, 0.1, S50=675, 0.2)</f>
        <v>0.2</v>
      </c>
      <c r="T106" cm="1">
        <f t="array" ref="T106">_xlfn.IFS(T50=175, 0.05, T50=325, 0.1, T50=675, 0.2)</f>
        <v>0.2</v>
      </c>
      <c r="U106" cm="1">
        <f t="array" ref="U106">_xlfn.IFS(U50=175, 0.05, U50=325, 0.1, U50=675, 0.2)</f>
        <v>0.05</v>
      </c>
      <c r="V106" cm="1">
        <f t="array" ref="V106">_xlfn.IFS(V50=175, 0.05, V50=325, 0.1, V50=675, 0.2)</f>
        <v>0.2</v>
      </c>
      <c r="W106" cm="1">
        <f t="array" ref="W106">_xlfn.IFS(W50=375, 3.33, W50=725, 6.7, W50=1475, 13.32)</f>
        <v>6.7</v>
      </c>
      <c r="X106" cm="1">
        <f t="array" ref="X106">_xlfn.IFS(X50=400, 0.1)</f>
        <v>0.1</v>
      </c>
    </row>
    <row r="107" spans="2:24" x14ac:dyDescent="0.25">
      <c r="B107">
        <v>49</v>
      </c>
      <c r="C107" cm="1">
        <f t="array" ref="C107">_xlfn.IFS(C51=175, 0.5, C51=325, 1, C51=650, 2)</f>
        <v>0.5</v>
      </c>
      <c r="D107" cm="1">
        <f t="array" ref="D107">_xlfn.IFS(D51=325, 3, D51=650, 6, D51=1320, 12)</f>
        <v>6</v>
      </c>
      <c r="E107" cm="1">
        <f t="array" ref="E107">_xlfn.IFS(E51=175, 1, E51=325, 2, E51=650, 4)</f>
        <v>4</v>
      </c>
      <c r="F107" cm="1">
        <f t="array" ref="F107">_xlfn.IFS(F51=175, 1.25, F51=350, 2.5, F51=700, 5)</f>
        <v>1.25</v>
      </c>
      <c r="G107" cm="1">
        <f t="array" ref="G107">_xlfn.IFS(G51=175, 0.1, G51=325, 0.2, G51=650, 0.4)</f>
        <v>0.1</v>
      </c>
      <c r="H107" cm="1">
        <f t="array" ref="H107">_xlfn.IFS(H51=175, 0.5, H51=325, 1, H51=650, 2)</f>
        <v>2</v>
      </c>
      <c r="I107" cm="1">
        <f t="array" ref="I107">_xlfn.IFS(I51=325, 2, I51=650, 4, I51=1000, 6)</f>
        <v>2</v>
      </c>
      <c r="J107" cm="1">
        <f t="array" ref="J107">_xlfn.IFS(J51=550, 5, J51=1100, 10, J51=2200, 20)</f>
        <v>10</v>
      </c>
      <c r="K107" cm="1">
        <f t="array" ref="K107">_xlfn.IFS(K51=225, 2, K51=450, 4, K51=875, 8)</f>
        <v>2</v>
      </c>
      <c r="L107" cm="1">
        <f t="array" ref="L107">_xlfn.IFS(L51=225, 1, L51=450, 2, L51=875, 4)</f>
        <v>1</v>
      </c>
      <c r="M107" cm="1">
        <f t="array" ref="M107">_xlfn.IFS(M51=325, 3, M51=650, 6, M51=1325, 12)</f>
        <v>3</v>
      </c>
      <c r="N107" cm="1">
        <f t="array" ref="N107">_xlfn.IFS(N51=175, 1, N51=325, 2, N51=650, 4)</f>
        <v>1</v>
      </c>
      <c r="O107" cm="1">
        <f t="array" ref="O107">_xlfn.IFS(O51=200, 1.75, O51=375, 3.5, O51=775, 7)</f>
        <v>3.5</v>
      </c>
      <c r="P107" cm="1">
        <f t="array" ref="P107">_xlfn.IFS(P51=175, 0.1, P51=325, 0.2, P51=650, 0.4)</f>
        <v>0.2</v>
      </c>
      <c r="Q107" cm="1">
        <f t="array" ref="Q107">_xlfn.IFS(Q51=175, 0.1, Q51=325, 0.2, Q51=650, 0.4)</f>
        <v>0.4</v>
      </c>
      <c r="R107" cm="1">
        <f t="array" ref="R107">_xlfn.IFS(R51=250, 1.5, R51=325, 2, R51=650, 4)</f>
        <v>4</v>
      </c>
      <c r="S107" cm="1">
        <f t="array" ref="S107">_xlfn.IFS(S51=175, 0.05, S51=325, 0.1, S51=675, 0.2)</f>
        <v>0.2</v>
      </c>
      <c r="T107" cm="1">
        <f t="array" ref="T107">_xlfn.IFS(T51=175, 0.05, T51=325, 0.1, T51=675, 0.2)</f>
        <v>0.2</v>
      </c>
      <c r="U107" cm="1">
        <f t="array" ref="U107">_xlfn.IFS(U51=175, 0.05, U51=325, 0.1, U51=675, 0.2)</f>
        <v>0.05</v>
      </c>
      <c r="V107" cm="1">
        <f t="array" ref="V107">_xlfn.IFS(V51=175, 0.05, V51=325, 0.1, V51=675, 0.2)</f>
        <v>0.1</v>
      </c>
      <c r="W107" cm="1">
        <f t="array" ref="W107">_xlfn.IFS(W51=375, 3.33, W51=725, 6.7, W51=1475, 13.32)</f>
        <v>6.7</v>
      </c>
      <c r="X107" cm="1">
        <f t="array" ref="X107">_xlfn.IFS(X51=400, 0.1)</f>
        <v>0.1</v>
      </c>
    </row>
    <row r="108" spans="2:24" x14ac:dyDescent="0.25">
      <c r="B108">
        <v>50</v>
      </c>
      <c r="C108" cm="1">
        <f t="array" ref="C108">_xlfn.IFS(C52=175, 0.5, C52=325, 1, C52=650, 2)</f>
        <v>0.5</v>
      </c>
      <c r="D108" cm="1">
        <f t="array" ref="D108">_xlfn.IFS(D52=325, 3, D52=650, 6, D52=1320, 12)</f>
        <v>6</v>
      </c>
      <c r="E108" cm="1">
        <f t="array" ref="E108">_xlfn.IFS(E52=175, 1, E52=325, 2, E52=650, 4)</f>
        <v>2</v>
      </c>
      <c r="F108" cm="1">
        <f t="array" ref="F108">_xlfn.IFS(F52=175, 1.25, F52=350, 2.5, F52=700, 5)</f>
        <v>1.25</v>
      </c>
      <c r="G108" cm="1">
        <f t="array" ref="G108">_xlfn.IFS(G52=175, 0.1, G52=325, 0.2, G52=650, 0.4)</f>
        <v>0.1</v>
      </c>
      <c r="H108" cm="1">
        <f t="array" ref="H108">_xlfn.IFS(H52=175, 0.5, H52=325, 1, H52=650, 2)</f>
        <v>2</v>
      </c>
      <c r="I108" cm="1">
        <f t="array" ref="I108">_xlfn.IFS(I52=325, 2, I52=650, 4, I52=1000, 6)</f>
        <v>2</v>
      </c>
      <c r="J108" cm="1">
        <f t="array" ref="J108">_xlfn.IFS(J52=550, 5, J52=1100, 10, J52=2200, 20)</f>
        <v>10</v>
      </c>
      <c r="K108" cm="1">
        <f t="array" ref="K108">_xlfn.IFS(K52=225, 2, K52=450, 4, K52=875, 8)</f>
        <v>8</v>
      </c>
      <c r="L108" cm="1">
        <f t="array" ref="L108">_xlfn.IFS(L52=225, 1, L52=450, 2, L52=875, 4)</f>
        <v>2</v>
      </c>
      <c r="M108" cm="1">
        <f t="array" ref="M108">_xlfn.IFS(M52=325, 3, M52=650, 6, M52=1325, 12)</f>
        <v>6</v>
      </c>
      <c r="N108" cm="1">
        <f t="array" ref="N108">_xlfn.IFS(N52=175, 1, N52=325, 2, N52=650, 4)</f>
        <v>2</v>
      </c>
      <c r="O108" cm="1">
        <f t="array" ref="O108">_xlfn.IFS(O52=200, 1.75, O52=375, 3.5, O52=775, 7)</f>
        <v>3.5</v>
      </c>
      <c r="P108" cm="1">
        <f t="array" ref="P108">_xlfn.IFS(P52=175, 0.1, P52=325, 0.2, P52=650, 0.4)</f>
        <v>0.2</v>
      </c>
      <c r="Q108" cm="1">
        <f t="array" ref="Q108">_xlfn.IFS(Q52=175, 0.1, Q52=325, 0.2, Q52=650, 0.4)</f>
        <v>0.1</v>
      </c>
      <c r="R108" cm="1">
        <f t="array" ref="R108">_xlfn.IFS(R52=250, 1.5, R52=325, 2, R52=650, 4)</f>
        <v>4</v>
      </c>
      <c r="S108" cm="1">
        <f t="array" ref="S108">_xlfn.IFS(S52=175, 0.05, S52=325, 0.1, S52=675, 0.2)</f>
        <v>0.05</v>
      </c>
      <c r="T108" cm="1">
        <f t="array" ref="T108">_xlfn.IFS(T52=175, 0.05, T52=325, 0.1, T52=675, 0.2)</f>
        <v>0.2</v>
      </c>
      <c r="U108" cm="1">
        <f t="array" ref="U108">_xlfn.IFS(U52=175, 0.05, U52=325, 0.1, U52=675, 0.2)</f>
        <v>0.05</v>
      </c>
      <c r="V108" cm="1">
        <f t="array" ref="V108">_xlfn.IFS(V52=175, 0.05, V52=325, 0.1, V52=675, 0.2)</f>
        <v>0.1</v>
      </c>
      <c r="W108" cm="1">
        <f t="array" ref="W108">_xlfn.IFS(W52=375, 3.33, W52=725, 6.7, W52=1475, 13.32)</f>
        <v>6.7</v>
      </c>
      <c r="X108" cm="1">
        <f t="array" ref="X108">_xlfn.IFS(X52=400, 0.1)</f>
        <v>0.1</v>
      </c>
    </row>
    <row r="109" spans="2:24" x14ac:dyDescent="0.25">
      <c r="B109">
        <v>51</v>
      </c>
      <c r="C109" cm="1">
        <f t="array" ref="C109">_xlfn.IFS(C53=175, 0.5, C53=325, 1, C53=650, 2)</f>
        <v>0.5</v>
      </c>
      <c r="D109" cm="1">
        <f t="array" ref="D109">_xlfn.IFS(D53=325, 3, D53=650, 6, D53=1320, 12)</f>
        <v>6</v>
      </c>
      <c r="E109" cm="1">
        <f t="array" ref="E109">_xlfn.IFS(E53=175, 1, E53=325, 2, E53=650, 4)</f>
        <v>4</v>
      </c>
      <c r="F109" cm="1">
        <f t="array" ref="F109">_xlfn.IFS(F53=175, 1.25, F53=350, 2.5, F53=700, 5)</f>
        <v>1.25</v>
      </c>
      <c r="G109" cm="1">
        <f t="array" ref="G109">_xlfn.IFS(G53=175, 0.1, G53=325, 0.2, G53=650, 0.4)</f>
        <v>0.1</v>
      </c>
      <c r="H109" cm="1">
        <f t="array" ref="H109">_xlfn.IFS(H53=175, 0.5, H53=325, 1, H53=650, 2)</f>
        <v>1</v>
      </c>
      <c r="I109" cm="1">
        <f t="array" ref="I109">_xlfn.IFS(I53=325, 2, I53=650, 4, I53=1000, 6)</f>
        <v>2</v>
      </c>
      <c r="J109" cm="1">
        <f t="array" ref="J109">_xlfn.IFS(J53=550, 5, J53=1100, 10, J53=2200, 20)</f>
        <v>5</v>
      </c>
      <c r="K109" cm="1">
        <f t="array" ref="K109">_xlfn.IFS(K53=225, 2, K53=450, 4, K53=875, 8)</f>
        <v>4</v>
      </c>
      <c r="L109" cm="1">
        <f t="array" ref="L109">_xlfn.IFS(L53=225, 1, L53=450, 2, L53=875, 4)</f>
        <v>2</v>
      </c>
      <c r="M109" cm="1">
        <f t="array" ref="M109">_xlfn.IFS(M53=325, 3, M53=650, 6, M53=1325, 12)</f>
        <v>3</v>
      </c>
      <c r="N109" cm="1">
        <f t="array" ref="N109">_xlfn.IFS(N53=175, 1, N53=325, 2, N53=650, 4)</f>
        <v>4</v>
      </c>
      <c r="O109" cm="1">
        <f t="array" ref="O109">_xlfn.IFS(O53=200, 1.75, O53=375, 3.5, O53=775, 7)</f>
        <v>1.75</v>
      </c>
      <c r="P109" cm="1">
        <f t="array" ref="P109">_xlfn.IFS(P53=175, 0.1, P53=325, 0.2, P53=650, 0.4)</f>
        <v>0.2</v>
      </c>
      <c r="Q109" cm="1">
        <f t="array" ref="Q109">_xlfn.IFS(Q53=175, 0.1, Q53=325, 0.2, Q53=650, 0.4)</f>
        <v>0.2</v>
      </c>
      <c r="R109" cm="1">
        <f t="array" ref="R109">_xlfn.IFS(R53=250, 1.5, R53=325, 2, R53=650, 4)</f>
        <v>2</v>
      </c>
      <c r="S109" cm="1">
        <f t="array" ref="S109">_xlfn.IFS(S53=175, 0.05, S53=325, 0.1, S53=675, 0.2)</f>
        <v>0.2</v>
      </c>
      <c r="T109" cm="1">
        <f t="array" ref="T109">_xlfn.IFS(T53=175, 0.05, T53=325, 0.1, T53=675, 0.2)</f>
        <v>0.2</v>
      </c>
      <c r="U109" cm="1">
        <f t="array" ref="U109">_xlfn.IFS(U53=175, 0.05, U53=325, 0.1, U53=675, 0.2)</f>
        <v>0.05</v>
      </c>
      <c r="V109" cm="1">
        <f t="array" ref="V109">_xlfn.IFS(V53=175, 0.05, V53=325, 0.1, V53=675, 0.2)</f>
        <v>0.2</v>
      </c>
      <c r="W109" cm="1">
        <f t="array" ref="W109">_xlfn.IFS(W53=375, 3.33, W53=725, 6.7, W53=1475, 13.32)</f>
        <v>6.7</v>
      </c>
      <c r="X109" cm="1">
        <f t="array" ref="X109">_xlfn.IFS(X53=400, 0.1)</f>
        <v>0.1</v>
      </c>
    </row>
    <row r="110" spans="2:24" x14ac:dyDescent="0.25">
      <c r="B110">
        <v>52</v>
      </c>
      <c r="C110" cm="1">
        <f t="array" ref="C110">_xlfn.IFS(C54=175, 0.5, C54=325, 1, C54=650, 2)</f>
        <v>0.5</v>
      </c>
      <c r="D110" cm="1">
        <f t="array" ref="D110">_xlfn.IFS(D54=325, 3, D54=650, 6, D54=1320, 12)</f>
        <v>6</v>
      </c>
      <c r="E110" cm="1">
        <f t="array" ref="E110">_xlfn.IFS(E54=175, 1, E54=325, 2, E54=650, 4)</f>
        <v>2</v>
      </c>
      <c r="F110" cm="1">
        <f t="array" ref="F110">_xlfn.IFS(F54=175, 1.25, F54=350, 2.5, F54=700, 5)</f>
        <v>1.25</v>
      </c>
      <c r="G110" cm="1">
        <f t="array" ref="G110">_xlfn.IFS(G54=175, 0.1, G54=325, 0.2, G54=650, 0.4)</f>
        <v>0.1</v>
      </c>
      <c r="H110" cm="1">
        <f t="array" ref="H110">_xlfn.IFS(H54=175, 0.5, H54=325, 1, H54=650, 2)</f>
        <v>1</v>
      </c>
      <c r="I110" cm="1">
        <f t="array" ref="I110">_xlfn.IFS(I54=325, 2, I54=650, 4, I54=1000, 6)</f>
        <v>2</v>
      </c>
      <c r="J110" cm="1">
        <f t="array" ref="J110">_xlfn.IFS(J54=550, 5, J54=1100, 10, J54=2200, 20)</f>
        <v>10</v>
      </c>
      <c r="K110" cm="1">
        <f t="array" ref="K110">_xlfn.IFS(K54=225, 2, K54=450, 4, K54=875, 8)</f>
        <v>4</v>
      </c>
      <c r="L110" cm="1">
        <f t="array" ref="L110">_xlfn.IFS(L54=225, 1, L54=450, 2, L54=875, 4)</f>
        <v>2</v>
      </c>
      <c r="M110" cm="1">
        <f t="array" ref="M110">_xlfn.IFS(M54=325, 3, M54=650, 6, M54=1325, 12)</f>
        <v>3</v>
      </c>
      <c r="N110" cm="1">
        <f t="array" ref="N110">_xlfn.IFS(N54=175, 1, N54=325, 2, N54=650, 4)</f>
        <v>4</v>
      </c>
      <c r="O110" cm="1">
        <f t="array" ref="O110">_xlfn.IFS(O54=200, 1.75, O54=375, 3.5, O54=775, 7)</f>
        <v>1.75</v>
      </c>
      <c r="P110" cm="1">
        <f t="array" ref="P110">_xlfn.IFS(P54=175, 0.1, P54=325, 0.2, P54=650, 0.4)</f>
        <v>0.1</v>
      </c>
      <c r="Q110" cm="1">
        <f t="array" ref="Q110">_xlfn.IFS(Q54=175, 0.1, Q54=325, 0.2, Q54=650, 0.4)</f>
        <v>0.4</v>
      </c>
      <c r="R110" cm="1">
        <f t="array" ref="R110">_xlfn.IFS(R54=250, 1.5, R54=325, 2, R54=650, 4)</f>
        <v>2</v>
      </c>
      <c r="S110" cm="1">
        <f t="array" ref="S110">_xlfn.IFS(S54=175, 0.05, S54=325, 0.1, S54=675, 0.2)</f>
        <v>0.05</v>
      </c>
      <c r="T110" cm="1">
        <f t="array" ref="T110">_xlfn.IFS(T54=175, 0.05, T54=325, 0.1, T54=675, 0.2)</f>
        <v>0.1</v>
      </c>
      <c r="U110" cm="1">
        <f t="array" ref="U110">_xlfn.IFS(U54=175, 0.05, U54=325, 0.1, U54=675, 0.2)</f>
        <v>0.1</v>
      </c>
      <c r="V110" cm="1">
        <f t="array" ref="V110">_xlfn.IFS(V54=175, 0.05, V54=325, 0.1, V54=675, 0.2)</f>
        <v>0.2</v>
      </c>
      <c r="W110" cm="1">
        <f t="array" ref="W110">_xlfn.IFS(W54=375, 3.33, W54=725, 6.7, W54=1475, 13.32)</f>
        <v>13.32</v>
      </c>
      <c r="X110" cm="1">
        <f t="array" ref="X110">_xlfn.IFS(X54=400, 0.1)</f>
        <v>0.1</v>
      </c>
    </row>
    <row r="111" spans="2:24" s="6" customFormat="1" x14ac:dyDescent="0.25">
      <c r="B111" s="6">
        <v>53</v>
      </c>
      <c r="C111" s="6" cm="1">
        <f t="array" ref="C111">_xlfn.IFS(C55=175, 0.5, C55=325, 1, C55=650, 2)</f>
        <v>1</v>
      </c>
      <c r="D111" s="6" cm="1">
        <f t="array" ref="D111">_xlfn.IFS(D55=325, 3, D55=650, 6, D55=1320, 12)</f>
        <v>6</v>
      </c>
      <c r="E111" s="6" cm="1">
        <f t="array" ref="E111">_xlfn.IFS(E55=175, 1, E55=325, 2, E55=650, 4)</f>
        <v>2</v>
      </c>
      <c r="F111" s="6" cm="1">
        <f t="array" ref="F111">_xlfn.IFS(F55=175, 1.25, F55=350, 2.5, F55=700, 5)</f>
        <v>2.5</v>
      </c>
      <c r="G111" s="6" cm="1">
        <f t="array" ref="G111">_xlfn.IFS(G55=175, 0.1, G55=325, 0.2, G55=650, 0.4)</f>
        <v>0.2</v>
      </c>
      <c r="H111" s="6" cm="1">
        <f t="array" ref="H111">_xlfn.IFS(H55=175, 0.5, H55=325, 1, H55=650, 2)</f>
        <v>1</v>
      </c>
      <c r="I111" s="6" cm="1">
        <f t="array" ref="I111">_xlfn.IFS(I55=325, 2, I55=650, 4, I55=1000, 6)</f>
        <v>4</v>
      </c>
      <c r="J111" s="6" cm="1">
        <f t="array" ref="J111">_xlfn.IFS(J55=550, 5, J55=1100, 10, J55=2200, 20)</f>
        <v>10</v>
      </c>
      <c r="K111" s="6" cm="1">
        <f t="array" ref="K111">_xlfn.IFS(K55=225, 2, K55=450, 4, K55=875, 8)</f>
        <v>4</v>
      </c>
      <c r="L111" s="6" cm="1">
        <f t="array" ref="L111">_xlfn.IFS(L55=225, 1, L55=450, 2, L55=875, 4)</f>
        <v>2</v>
      </c>
      <c r="M111" s="6" cm="1">
        <f t="array" ref="M111">_xlfn.IFS(M55=325, 3, M55=650, 6, M55=1325, 12)</f>
        <v>6</v>
      </c>
      <c r="N111" s="6" cm="1">
        <f t="array" ref="N111">_xlfn.IFS(N55=175, 1, N55=325, 2, N55=650, 4)</f>
        <v>2</v>
      </c>
      <c r="O111" s="6" cm="1">
        <f t="array" ref="O111">_xlfn.IFS(O55=200, 1.75, O55=375, 3.5, O55=775, 7)</f>
        <v>3.5</v>
      </c>
      <c r="P111" s="6" cm="1">
        <f t="array" ref="P111">_xlfn.IFS(P55=175, 0.1, P55=325, 0.2, P55=650, 0.4)</f>
        <v>0.2</v>
      </c>
      <c r="Q111" s="6" cm="1">
        <f t="array" ref="Q111">_xlfn.IFS(Q55=175, 0.1, Q55=325, 0.2, Q55=650, 0.4)</f>
        <v>0.2</v>
      </c>
      <c r="R111" s="6" cm="1">
        <f t="array" ref="R111">_xlfn.IFS(R55=250, 1.5, R55=325, 2, R55=650, 4)</f>
        <v>2</v>
      </c>
      <c r="S111" s="6" cm="1">
        <f t="array" ref="S111">_xlfn.IFS(S55=175, 0.05, S55=325, 0.1, S55=675, 0.2)</f>
        <v>0.1</v>
      </c>
      <c r="T111" s="6" cm="1">
        <f t="array" ref="T111">_xlfn.IFS(T55=175, 0.05, T55=325, 0.1, T55=675, 0.2)</f>
        <v>0.1</v>
      </c>
      <c r="U111" s="6" cm="1">
        <f t="array" ref="U111">_xlfn.IFS(U55=175, 0.05, U55=325, 0.1, U55=675, 0.2)</f>
        <v>0.1</v>
      </c>
      <c r="V111" s="6" cm="1">
        <f t="array" ref="V111">_xlfn.IFS(V55=175, 0.05, V55=325, 0.1, V55=675, 0.2)</f>
        <v>0.1</v>
      </c>
      <c r="W111" s="6" cm="1">
        <f t="array" ref="W111">_xlfn.IFS(W55=375, 3.33, W55=725, 6.7, W55=1475, 13.32)</f>
        <v>6.7</v>
      </c>
      <c r="X111" s="6" cm="1">
        <f t="array" ref="X111">_xlfn.IFS(X55=400, 0.1)</f>
        <v>0.1</v>
      </c>
    </row>
    <row r="115" spans="2:24" x14ac:dyDescent="0.25">
      <c r="B115" t="s">
        <v>253</v>
      </c>
      <c r="C115">
        <v>1</v>
      </c>
      <c r="D115">
        <v>6</v>
      </c>
      <c r="E115">
        <v>2</v>
      </c>
      <c r="F115">
        <v>2.5</v>
      </c>
      <c r="G115">
        <v>0.2</v>
      </c>
      <c r="H115">
        <v>1</v>
      </c>
      <c r="I115">
        <v>4</v>
      </c>
      <c r="J115">
        <v>10</v>
      </c>
      <c r="K115">
        <v>4</v>
      </c>
      <c r="L115">
        <v>2</v>
      </c>
      <c r="M115">
        <v>6</v>
      </c>
      <c r="N115">
        <v>2</v>
      </c>
      <c r="O115">
        <v>3.5</v>
      </c>
      <c r="P115">
        <v>0.2</v>
      </c>
      <c r="Q115">
        <v>0.2</v>
      </c>
      <c r="R115">
        <v>2</v>
      </c>
      <c r="S115">
        <v>0.1</v>
      </c>
      <c r="T115">
        <v>0.1</v>
      </c>
      <c r="U115">
        <v>0.1</v>
      </c>
      <c r="V115">
        <v>0.1</v>
      </c>
      <c r="W115">
        <v>6.7</v>
      </c>
      <c r="X115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8578-D495-4BD7-895D-8DA56DED3B11}">
  <dimension ref="A2:W28"/>
  <sheetViews>
    <sheetView tabSelected="1" workbookViewId="0">
      <selection activeCell="C32" sqref="C32"/>
    </sheetView>
  </sheetViews>
  <sheetFormatPr baseColWidth="10" defaultRowHeight="15" x14ac:dyDescent="0.25"/>
  <sheetData>
    <row r="2" spans="1:23" x14ac:dyDescent="0.25">
      <c r="A2">
        <v>0</v>
      </c>
      <c r="B2">
        <v>1</v>
      </c>
      <c r="C2">
        <v>6</v>
      </c>
      <c r="D2">
        <v>1</v>
      </c>
      <c r="E2">
        <v>1.25</v>
      </c>
      <c r="F2">
        <v>0.1</v>
      </c>
      <c r="G2">
        <v>1</v>
      </c>
      <c r="H2">
        <v>2</v>
      </c>
      <c r="I2">
        <v>10</v>
      </c>
      <c r="J2">
        <v>2</v>
      </c>
      <c r="K2">
        <v>1</v>
      </c>
      <c r="L2">
        <v>12</v>
      </c>
      <c r="M2">
        <v>2</v>
      </c>
      <c r="N2">
        <v>1.75</v>
      </c>
      <c r="O2">
        <v>0.4</v>
      </c>
      <c r="P2">
        <v>0.4</v>
      </c>
      <c r="Q2">
        <v>2</v>
      </c>
      <c r="R2">
        <v>0.1</v>
      </c>
      <c r="S2">
        <v>0.2</v>
      </c>
      <c r="T2">
        <v>0.05</v>
      </c>
      <c r="U2">
        <v>0.1</v>
      </c>
      <c r="V2">
        <v>13.32</v>
      </c>
      <c r="W2">
        <v>0.1</v>
      </c>
    </row>
    <row r="3" spans="1:23" x14ac:dyDescent="0.25">
      <c r="A3">
        <v>1</v>
      </c>
      <c r="B3">
        <v>2</v>
      </c>
      <c r="C3">
        <v>6</v>
      </c>
      <c r="D3">
        <v>2</v>
      </c>
      <c r="E3">
        <v>2.5</v>
      </c>
      <c r="F3">
        <v>0.1</v>
      </c>
      <c r="G3">
        <v>1</v>
      </c>
      <c r="H3">
        <v>2</v>
      </c>
      <c r="I3">
        <v>10</v>
      </c>
      <c r="J3">
        <v>8</v>
      </c>
      <c r="K3">
        <v>2</v>
      </c>
      <c r="L3">
        <v>3</v>
      </c>
      <c r="M3">
        <v>2</v>
      </c>
      <c r="N3">
        <v>1.75</v>
      </c>
      <c r="O3">
        <v>0.4</v>
      </c>
      <c r="P3">
        <v>0.4</v>
      </c>
      <c r="Q3">
        <v>4</v>
      </c>
      <c r="R3">
        <v>0.05</v>
      </c>
      <c r="S3">
        <v>0.2</v>
      </c>
      <c r="T3">
        <v>0.05</v>
      </c>
      <c r="U3">
        <v>0.1</v>
      </c>
      <c r="V3">
        <v>3.33</v>
      </c>
      <c r="W3">
        <v>0.1</v>
      </c>
    </row>
    <row r="4" spans="1:23" x14ac:dyDescent="0.25">
      <c r="A4">
        <v>2</v>
      </c>
      <c r="B4">
        <v>0.5</v>
      </c>
      <c r="C4">
        <v>3</v>
      </c>
      <c r="D4">
        <v>4</v>
      </c>
      <c r="E4">
        <v>2.5</v>
      </c>
      <c r="F4">
        <v>0.1</v>
      </c>
      <c r="G4">
        <v>2</v>
      </c>
      <c r="H4">
        <v>2</v>
      </c>
      <c r="I4">
        <v>10</v>
      </c>
      <c r="J4">
        <v>2</v>
      </c>
      <c r="K4">
        <v>1</v>
      </c>
      <c r="L4">
        <v>3</v>
      </c>
      <c r="M4">
        <v>2</v>
      </c>
      <c r="N4">
        <v>1.75</v>
      </c>
      <c r="O4">
        <v>0.1</v>
      </c>
      <c r="P4">
        <v>0.4</v>
      </c>
      <c r="Q4">
        <v>2</v>
      </c>
      <c r="R4">
        <v>0.1</v>
      </c>
      <c r="S4">
        <v>0.2</v>
      </c>
      <c r="T4">
        <v>0.05</v>
      </c>
      <c r="U4">
        <v>0.1</v>
      </c>
      <c r="V4">
        <v>3.33</v>
      </c>
      <c r="W4">
        <v>0.1</v>
      </c>
    </row>
    <row r="5" spans="1:23" x14ac:dyDescent="0.25">
      <c r="A5">
        <v>3</v>
      </c>
      <c r="B5">
        <v>0.5</v>
      </c>
      <c r="C5">
        <v>6</v>
      </c>
      <c r="D5">
        <v>2</v>
      </c>
      <c r="E5">
        <v>1.25</v>
      </c>
      <c r="F5">
        <v>0.1</v>
      </c>
      <c r="G5">
        <v>2</v>
      </c>
      <c r="H5">
        <v>2</v>
      </c>
      <c r="I5">
        <v>10</v>
      </c>
      <c r="J5">
        <v>2</v>
      </c>
      <c r="K5">
        <v>1</v>
      </c>
      <c r="L5">
        <v>12</v>
      </c>
      <c r="M5">
        <v>4</v>
      </c>
      <c r="N5">
        <v>1.75</v>
      </c>
      <c r="O5">
        <v>0.4</v>
      </c>
      <c r="P5">
        <v>0.1</v>
      </c>
      <c r="Q5">
        <v>2</v>
      </c>
      <c r="R5">
        <v>0.2</v>
      </c>
      <c r="S5">
        <v>0.2</v>
      </c>
      <c r="T5">
        <v>0.2</v>
      </c>
      <c r="U5">
        <v>0.1</v>
      </c>
      <c r="V5">
        <v>6.7</v>
      </c>
      <c r="W5">
        <v>0.1</v>
      </c>
    </row>
    <row r="6" spans="1:23" x14ac:dyDescent="0.25">
      <c r="A6">
        <v>4</v>
      </c>
      <c r="B6">
        <v>0.5</v>
      </c>
      <c r="C6">
        <v>3</v>
      </c>
      <c r="D6">
        <v>1</v>
      </c>
      <c r="E6">
        <v>1.25</v>
      </c>
      <c r="F6">
        <v>0.1</v>
      </c>
      <c r="G6">
        <v>2</v>
      </c>
      <c r="H6">
        <v>2</v>
      </c>
      <c r="I6">
        <v>20</v>
      </c>
      <c r="J6">
        <v>8</v>
      </c>
      <c r="K6">
        <v>2</v>
      </c>
      <c r="L6">
        <v>3</v>
      </c>
      <c r="M6">
        <v>2</v>
      </c>
      <c r="N6">
        <v>3.5</v>
      </c>
      <c r="O6">
        <v>0.1</v>
      </c>
      <c r="P6">
        <v>0.4</v>
      </c>
      <c r="Q6">
        <v>2</v>
      </c>
      <c r="R6">
        <v>0.2</v>
      </c>
      <c r="S6">
        <v>0.2</v>
      </c>
      <c r="T6">
        <v>0.1</v>
      </c>
      <c r="U6">
        <v>0.05</v>
      </c>
      <c r="V6">
        <v>3.33</v>
      </c>
      <c r="W6">
        <v>0.1</v>
      </c>
    </row>
    <row r="7" spans="1:23" x14ac:dyDescent="0.25">
      <c r="A7">
        <v>5</v>
      </c>
      <c r="B7">
        <v>1</v>
      </c>
      <c r="C7">
        <v>3</v>
      </c>
      <c r="D7">
        <v>1</v>
      </c>
      <c r="E7">
        <v>1.25</v>
      </c>
      <c r="F7">
        <v>0.1</v>
      </c>
      <c r="G7">
        <v>1</v>
      </c>
      <c r="H7">
        <v>2</v>
      </c>
      <c r="I7">
        <v>20</v>
      </c>
      <c r="J7">
        <v>4</v>
      </c>
      <c r="K7">
        <v>1</v>
      </c>
      <c r="L7">
        <v>6</v>
      </c>
      <c r="M7">
        <v>4</v>
      </c>
      <c r="N7">
        <v>1.75</v>
      </c>
      <c r="O7">
        <v>0.2</v>
      </c>
      <c r="P7">
        <v>0.2</v>
      </c>
      <c r="Q7">
        <v>4</v>
      </c>
      <c r="R7">
        <v>0.1</v>
      </c>
      <c r="S7">
        <v>0.2</v>
      </c>
      <c r="T7">
        <v>0.1</v>
      </c>
      <c r="U7">
        <v>0.1</v>
      </c>
      <c r="V7">
        <v>6.7</v>
      </c>
      <c r="W7">
        <v>0.1</v>
      </c>
    </row>
    <row r="8" spans="1:23" x14ac:dyDescent="0.25">
      <c r="A8">
        <v>6</v>
      </c>
      <c r="B8">
        <v>0.5</v>
      </c>
      <c r="C8">
        <v>3</v>
      </c>
      <c r="D8">
        <v>1</v>
      </c>
      <c r="E8">
        <v>5</v>
      </c>
      <c r="F8">
        <v>0.2</v>
      </c>
      <c r="G8">
        <v>2</v>
      </c>
      <c r="H8">
        <v>2</v>
      </c>
      <c r="I8">
        <v>20</v>
      </c>
      <c r="J8">
        <v>4</v>
      </c>
      <c r="K8">
        <v>2</v>
      </c>
      <c r="L8">
        <v>3</v>
      </c>
      <c r="M8">
        <v>4</v>
      </c>
      <c r="N8">
        <v>1.75</v>
      </c>
      <c r="O8">
        <v>0.1</v>
      </c>
      <c r="P8">
        <v>0.2</v>
      </c>
      <c r="Q8">
        <v>2</v>
      </c>
      <c r="R8">
        <v>0.2</v>
      </c>
      <c r="S8">
        <v>0.2</v>
      </c>
      <c r="T8">
        <v>0.05</v>
      </c>
      <c r="U8">
        <v>0.2</v>
      </c>
      <c r="V8">
        <v>3.33</v>
      </c>
      <c r="W8">
        <v>0.1</v>
      </c>
    </row>
    <row r="9" spans="1:23" x14ac:dyDescent="0.25">
      <c r="A9">
        <v>7</v>
      </c>
      <c r="B9">
        <v>1</v>
      </c>
      <c r="C9">
        <v>6</v>
      </c>
      <c r="D9">
        <v>2</v>
      </c>
      <c r="E9">
        <v>1.25</v>
      </c>
      <c r="F9">
        <v>0.1</v>
      </c>
      <c r="G9">
        <v>1</v>
      </c>
      <c r="H9">
        <v>2</v>
      </c>
      <c r="I9">
        <v>20</v>
      </c>
      <c r="J9">
        <v>8</v>
      </c>
      <c r="K9">
        <v>1</v>
      </c>
      <c r="L9">
        <v>3</v>
      </c>
      <c r="M9">
        <v>4</v>
      </c>
      <c r="N9">
        <v>1.75</v>
      </c>
      <c r="O9">
        <v>0.2</v>
      </c>
      <c r="P9">
        <v>0.4</v>
      </c>
      <c r="Q9">
        <v>2</v>
      </c>
      <c r="R9">
        <v>0.2</v>
      </c>
      <c r="S9">
        <v>0.1</v>
      </c>
      <c r="T9">
        <v>0.05</v>
      </c>
      <c r="U9">
        <v>0.1</v>
      </c>
      <c r="V9">
        <v>6.7</v>
      </c>
      <c r="W9">
        <v>0.1</v>
      </c>
    </row>
    <row r="10" spans="1:23" x14ac:dyDescent="0.25">
      <c r="A10">
        <v>8</v>
      </c>
      <c r="B10">
        <v>0.5</v>
      </c>
      <c r="C10">
        <v>3</v>
      </c>
      <c r="D10">
        <v>4</v>
      </c>
      <c r="E10">
        <v>5</v>
      </c>
      <c r="F10">
        <v>0.1</v>
      </c>
      <c r="G10">
        <v>2</v>
      </c>
      <c r="H10">
        <v>2</v>
      </c>
      <c r="I10">
        <v>10</v>
      </c>
      <c r="J10">
        <v>4</v>
      </c>
      <c r="K10">
        <v>2</v>
      </c>
      <c r="L10">
        <v>6</v>
      </c>
      <c r="M10">
        <v>4</v>
      </c>
      <c r="N10">
        <v>1.75</v>
      </c>
      <c r="O10">
        <v>0.1</v>
      </c>
      <c r="P10">
        <v>0.2</v>
      </c>
      <c r="Q10">
        <v>2</v>
      </c>
      <c r="R10">
        <v>0.2</v>
      </c>
      <c r="S10">
        <v>0.2</v>
      </c>
      <c r="T10">
        <v>0.2</v>
      </c>
      <c r="U10">
        <v>0.2</v>
      </c>
      <c r="V10">
        <v>3.33</v>
      </c>
      <c r="W10">
        <v>0.1</v>
      </c>
    </row>
    <row r="11" spans="1:23" x14ac:dyDescent="0.25">
      <c r="A11">
        <v>9</v>
      </c>
      <c r="B11">
        <v>0.5</v>
      </c>
      <c r="C11">
        <v>6</v>
      </c>
      <c r="D11">
        <v>2</v>
      </c>
      <c r="E11">
        <v>5</v>
      </c>
      <c r="F11">
        <v>0.1</v>
      </c>
      <c r="G11">
        <v>1</v>
      </c>
      <c r="H11">
        <v>2</v>
      </c>
      <c r="I11">
        <v>10</v>
      </c>
      <c r="J11">
        <v>8</v>
      </c>
      <c r="K11">
        <v>2</v>
      </c>
      <c r="L11">
        <v>3</v>
      </c>
      <c r="M11">
        <v>1</v>
      </c>
      <c r="N11">
        <v>1.75</v>
      </c>
      <c r="O11">
        <v>0.1</v>
      </c>
      <c r="P11">
        <v>0.2</v>
      </c>
      <c r="Q11">
        <v>2</v>
      </c>
      <c r="R11">
        <v>0.05</v>
      </c>
      <c r="S11">
        <v>0.2</v>
      </c>
      <c r="T11">
        <v>0.2</v>
      </c>
      <c r="U11">
        <v>0.2</v>
      </c>
      <c r="V11">
        <v>6.7</v>
      </c>
      <c r="W11">
        <v>0.1</v>
      </c>
    </row>
    <row r="12" spans="1:23" x14ac:dyDescent="0.25">
      <c r="A12">
        <v>10</v>
      </c>
      <c r="B12">
        <v>2</v>
      </c>
      <c r="C12">
        <v>3</v>
      </c>
      <c r="D12">
        <v>2</v>
      </c>
      <c r="E12">
        <v>2.5</v>
      </c>
      <c r="F12">
        <v>0.1</v>
      </c>
      <c r="G12">
        <v>1</v>
      </c>
      <c r="H12">
        <v>2</v>
      </c>
      <c r="I12">
        <v>10</v>
      </c>
      <c r="J12">
        <v>2</v>
      </c>
      <c r="K12">
        <v>1</v>
      </c>
      <c r="L12">
        <v>3</v>
      </c>
      <c r="M12">
        <v>2</v>
      </c>
      <c r="N12">
        <v>1.75</v>
      </c>
      <c r="O12">
        <v>0.2</v>
      </c>
      <c r="P12">
        <v>0.4</v>
      </c>
      <c r="Q12">
        <v>2</v>
      </c>
      <c r="R12">
        <v>0.05</v>
      </c>
      <c r="S12">
        <v>0.2</v>
      </c>
      <c r="T12">
        <v>0.05</v>
      </c>
      <c r="U12">
        <v>0.2</v>
      </c>
      <c r="V12">
        <v>13.32</v>
      </c>
      <c r="W12">
        <v>0.1</v>
      </c>
    </row>
    <row r="13" spans="1:23" x14ac:dyDescent="0.25">
      <c r="A13">
        <v>11</v>
      </c>
      <c r="B13">
        <v>2</v>
      </c>
      <c r="C13">
        <v>6</v>
      </c>
      <c r="D13">
        <v>1</v>
      </c>
      <c r="E13">
        <v>5</v>
      </c>
      <c r="F13">
        <v>0.1</v>
      </c>
      <c r="G13">
        <v>1</v>
      </c>
      <c r="H13">
        <v>2</v>
      </c>
      <c r="I13">
        <v>10</v>
      </c>
      <c r="J13">
        <v>8</v>
      </c>
      <c r="K13">
        <v>1</v>
      </c>
      <c r="L13">
        <v>3</v>
      </c>
      <c r="M13">
        <v>1</v>
      </c>
      <c r="N13">
        <v>1.75</v>
      </c>
      <c r="O13">
        <v>0.4</v>
      </c>
      <c r="P13">
        <v>0.4</v>
      </c>
      <c r="Q13">
        <v>2</v>
      </c>
      <c r="R13">
        <v>0.05</v>
      </c>
      <c r="S13">
        <v>0.2</v>
      </c>
      <c r="T13">
        <v>0.1</v>
      </c>
      <c r="U13">
        <v>0.1</v>
      </c>
      <c r="V13">
        <v>13.32</v>
      </c>
      <c r="W13">
        <v>0.1</v>
      </c>
    </row>
    <row r="14" spans="1:23" x14ac:dyDescent="0.25">
      <c r="A14">
        <v>12</v>
      </c>
      <c r="B14">
        <v>0.5</v>
      </c>
      <c r="C14">
        <v>6</v>
      </c>
      <c r="D14">
        <v>1</v>
      </c>
      <c r="E14">
        <v>5</v>
      </c>
      <c r="F14">
        <v>0.1</v>
      </c>
      <c r="G14">
        <v>2</v>
      </c>
      <c r="H14">
        <v>2</v>
      </c>
      <c r="I14">
        <v>20</v>
      </c>
      <c r="J14">
        <v>2</v>
      </c>
      <c r="K14">
        <v>2</v>
      </c>
      <c r="L14">
        <v>6</v>
      </c>
      <c r="M14">
        <v>2</v>
      </c>
      <c r="N14">
        <v>3.5</v>
      </c>
      <c r="O14">
        <v>0.2</v>
      </c>
      <c r="P14">
        <v>0.4</v>
      </c>
      <c r="Q14">
        <v>2</v>
      </c>
      <c r="R14">
        <v>0.1</v>
      </c>
      <c r="S14">
        <v>0.2</v>
      </c>
      <c r="T14">
        <v>0.05</v>
      </c>
      <c r="U14">
        <v>0.1</v>
      </c>
      <c r="V14">
        <v>3.33</v>
      </c>
      <c r="W14">
        <v>0.1</v>
      </c>
    </row>
    <row r="15" spans="1:23" x14ac:dyDescent="0.25">
      <c r="A15">
        <v>13</v>
      </c>
      <c r="B15">
        <v>0.5</v>
      </c>
      <c r="C15">
        <v>6</v>
      </c>
      <c r="D15">
        <v>1</v>
      </c>
      <c r="E15">
        <v>1.25</v>
      </c>
      <c r="F15">
        <v>0.2</v>
      </c>
      <c r="G15">
        <v>1</v>
      </c>
      <c r="H15">
        <v>2</v>
      </c>
      <c r="I15">
        <v>20</v>
      </c>
      <c r="J15">
        <v>2</v>
      </c>
      <c r="K15">
        <v>1</v>
      </c>
      <c r="L15">
        <v>12</v>
      </c>
      <c r="M15">
        <v>4</v>
      </c>
      <c r="N15">
        <v>1.75</v>
      </c>
      <c r="O15">
        <v>0.1</v>
      </c>
      <c r="P15">
        <v>0.4</v>
      </c>
      <c r="Q15">
        <v>4</v>
      </c>
      <c r="R15">
        <v>0.1</v>
      </c>
      <c r="S15">
        <v>0.2</v>
      </c>
      <c r="T15">
        <v>0.05</v>
      </c>
      <c r="U15">
        <v>0.1</v>
      </c>
      <c r="V15">
        <v>3.33</v>
      </c>
      <c r="W15">
        <v>0.1</v>
      </c>
    </row>
    <row r="16" spans="1:23" x14ac:dyDescent="0.25">
      <c r="A16">
        <v>14</v>
      </c>
      <c r="B16">
        <v>0.5</v>
      </c>
      <c r="C16">
        <v>6</v>
      </c>
      <c r="D16">
        <v>1</v>
      </c>
      <c r="E16">
        <v>5</v>
      </c>
      <c r="F16">
        <v>0.1</v>
      </c>
      <c r="G16">
        <v>1</v>
      </c>
      <c r="H16">
        <v>2</v>
      </c>
      <c r="I16">
        <v>20</v>
      </c>
      <c r="J16">
        <v>2</v>
      </c>
      <c r="K16">
        <v>4</v>
      </c>
      <c r="L16">
        <v>6</v>
      </c>
      <c r="M16">
        <v>2</v>
      </c>
      <c r="N16">
        <v>1.75</v>
      </c>
      <c r="O16">
        <v>0.1</v>
      </c>
      <c r="P16">
        <v>0.2</v>
      </c>
      <c r="Q16">
        <v>2</v>
      </c>
      <c r="R16">
        <v>0.05</v>
      </c>
      <c r="S16">
        <v>0.2</v>
      </c>
      <c r="T16">
        <v>0.05</v>
      </c>
      <c r="U16">
        <v>0.05</v>
      </c>
      <c r="V16">
        <v>6.7</v>
      </c>
      <c r="W16">
        <v>0.1</v>
      </c>
    </row>
    <row r="17" spans="1:23" x14ac:dyDescent="0.25">
      <c r="A17">
        <v>15</v>
      </c>
      <c r="B17">
        <v>1</v>
      </c>
      <c r="C17">
        <v>6</v>
      </c>
      <c r="D17">
        <v>1</v>
      </c>
      <c r="E17">
        <v>5</v>
      </c>
      <c r="F17">
        <v>0.1</v>
      </c>
      <c r="G17">
        <v>1</v>
      </c>
      <c r="H17">
        <v>2</v>
      </c>
      <c r="I17">
        <v>20</v>
      </c>
      <c r="J17">
        <v>2</v>
      </c>
      <c r="K17">
        <v>1</v>
      </c>
      <c r="L17">
        <v>6</v>
      </c>
      <c r="M17">
        <v>4</v>
      </c>
      <c r="N17">
        <v>1.75</v>
      </c>
      <c r="O17">
        <v>0.1</v>
      </c>
      <c r="P17">
        <v>0.1</v>
      </c>
      <c r="Q17">
        <v>4</v>
      </c>
      <c r="R17">
        <v>0.1</v>
      </c>
      <c r="S17">
        <v>0.2</v>
      </c>
      <c r="T17">
        <v>0.05</v>
      </c>
      <c r="U17">
        <v>0.1</v>
      </c>
      <c r="V17">
        <v>6.7</v>
      </c>
      <c r="W17">
        <v>0.1</v>
      </c>
    </row>
    <row r="18" spans="1:23" x14ac:dyDescent="0.25">
      <c r="A18">
        <v>16</v>
      </c>
      <c r="B18">
        <v>0.5</v>
      </c>
      <c r="C18">
        <v>6</v>
      </c>
      <c r="D18">
        <v>1</v>
      </c>
      <c r="E18">
        <v>2.5</v>
      </c>
      <c r="F18">
        <v>0.2</v>
      </c>
      <c r="G18">
        <v>1</v>
      </c>
      <c r="H18">
        <v>2</v>
      </c>
      <c r="I18">
        <v>10</v>
      </c>
      <c r="J18">
        <v>4</v>
      </c>
      <c r="K18">
        <v>2</v>
      </c>
      <c r="L18">
        <v>3</v>
      </c>
      <c r="M18">
        <v>4</v>
      </c>
      <c r="N18">
        <v>1.75</v>
      </c>
      <c r="O18">
        <v>0.1</v>
      </c>
      <c r="P18">
        <v>0.1</v>
      </c>
      <c r="Q18">
        <v>2</v>
      </c>
      <c r="R18">
        <v>0.2</v>
      </c>
      <c r="S18">
        <v>0.2</v>
      </c>
      <c r="T18">
        <v>0.05</v>
      </c>
      <c r="U18">
        <v>0.1</v>
      </c>
      <c r="V18">
        <v>6.7</v>
      </c>
      <c r="W18">
        <v>0.1</v>
      </c>
    </row>
    <row r="19" spans="1:23" x14ac:dyDescent="0.25">
      <c r="A19">
        <v>17</v>
      </c>
      <c r="B19">
        <v>1</v>
      </c>
      <c r="C19">
        <v>3</v>
      </c>
      <c r="D19">
        <v>4</v>
      </c>
      <c r="E19">
        <v>2.5</v>
      </c>
      <c r="F19">
        <v>0.1</v>
      </c>
      <c r="G19">
        <v>2</v>
      </c>
      <c r="H19">
        <v>2</v>
      </c>
      <c r="I19">
        <v>10</v>
      </c>
      <c r="J19">
        <v>2</v>
      </c>
      <c r="K19">
        <v>1</v>
      </c>
      <c r="L19">
        <v>6</v>
      </c>
      <c r="M19">
        <v>2</v>
      </c>
      <c r="N19">
        <v>1.75</v>
      </c>
      <c r="O19">
        <v>0.1</v>
      </c>
      <c r="P19">
        <v>0.4</v>
      </c>
      <c r="Q19">
        <v>2</v>
      </c>
      <c r="R19">
        <v>0.05</v>
      </c>
      <c r="S19">
        <v>0.2</v>
      </c>
      <c r="T19">
        <v>0.1</v>
      </c>
      <c r="U19">
        <v>0.2</v>
      </c>
      <c r="V19">
        <v>6.7</v>
      </c>
      <c r="W19">
        <v>0.1</v>
      </c>
    </row>
    <row r="20" spans="1:23" x14ac:dyDescent="0.25">
      <c r="A20">
        <v>18</v>
      </c>
      <c r="B20">
        <v>1</v>
      </c>
      <c r="C20">
        <v>3</v>
      </c>
      <c r="D20">
        <v>1</v>
      </c>
      <c r="E20">
        <v>2.5</v>
      </c>
      <c r="F20">
        <v>0.1</v>
      </c>
      <c r="G20">
        <v>1</v>
      </c>
      <c r="H20">
        <v>2</v>
      </c>
      <c r="I20">
        <v>20</v>
      </c>
      <c r="J20">
        <v>4</v>
      </c>
      <c r="K20">
        <v>2</v>
      </c>
      <c r="L20">
        <v>3</v>
      </c>
      <c r="M20">
        <v>4</v>
      </c>
      <c r="N20">
        <v>3.5</v>
      </c>
      <c r="O20">
        <v>0.1</v>
      </c>
      <c r="P20">
        <v>0.2</v>
      </c>
      <c r="Q20">
        <v>4</v>
      </c>
      <c r="R20">
        <v>0.2</v>
      </c>
      <c r="S20">
        <v>0.2</v>
      </c>
      <c r="T20">
        <v>0.05</v>
      </c>
      <c r="U20">
        <v>0.05</v>
      </c>
      <c r="V20">
        <v>6.7</v>
      </c>
      <c r="W20">
        <v>0.1</v>
      </c>
    </row>
    <row r="21" spans="1:23" x14ac:dyDescent="0.25">
      <c r="A21">
        <v>19</v>
      </c>
      <c r="B21">
        <v>1</v>
      </c>
      <c r="C21">
        <v>6</v>
      </c>
      <c r="D21">
        <v>2</v>
      </c>
      <c r="E21">
        <v>2.5</v>
      </c>
      <c r="F21">
        <v>0.1</v>
      </c>
      <c r="G21">
        <v>2</v>
      </c>
      <c r="H21">
        <v>2</v>
      </c>
      <c r="I21">
        <v>10</v>
      </c>
      <c r="J21">
        <v>8</v>
      </c>
      <c r="K21">
        <v>1</v>
      </c>
      <c r="L21">
        <v>6</v>
      </c>
      <c r="M21">
        <v>4</v>
      </c>
      <c r="N21">
        <v>1.75</v>
      </c>
      <c r="O21">
        <v>0.4</v>
      </c>
      <c r="P21">
        <v>0.1</v>
      </c>
      <c r="Q21">
        <v>2</v>
      </c>
      <c r="R21">
        <v>0.05</v>
      </c>
      <c r="S21">
        <v>0.2</v>
      </c>
      <c r="T21">
        <v>0.1</v>
      </c>
      <c r="U21">
        <v>0.05</v>
      </c>
      <c r="V21">
        <v>3.33</v>
      </c>
      <c r="W21">
        <v>0.1</v>
      </c>
    </row>
    <row r="22" spans="1:23" x14ac:dyDescent="0.25">
      <c r="A22">
        <v>20</v>
      </c>
      <c r="B22">
        <v>0.5</v>
      </c>
      <c r="C22">
        <v>6</v>
      </c>
      <c r="D22">
        <v>4</v>
      </c>
      <c r="E22">
        <v>5</v>
      </c>
      <c r="F22">
        <v>0.1</v>
      </c>
      <c r="G22">
        <v>2</v>
      </c>
      <c r="H22">
        <v>2</v>
      </c>
      <c r="I22">
        <v>10</v>
      </c>
      <c r="J22">
        <v>8</v>
      </c>
      <c r="K22">
        <v>2</v>
      </c>
      <c r="L22">
        <v>12</v>
      </c>
      <c r="M22">
        <v>2</v>
      </c>
      <c r="N22">
        <v>1.75</v>
      </c>
      <c r="O22">
        <v>0.1</v>
      </c>
      <c r="P22">
        <v>0.1</v>
      </c>
      <c r="Q22">
        <v>2</v>
      </c>
      <c r="R22">
        <v>0.05</v>
      </c>
      <c r="S22">
        <v>0.2</v>
      </c>
      <c r="T22">
        <v>0.1</v>
      </c>
      <c r="U22">
        <v>0.1</v>
      </c>
      <c r="V22">
        <v>3.33</v>
      </c>
      <c r="W22">
        <v>0.1</v>
      </c>
    </row>
    <row r="23" spans="1:23" x14ac:dyDescent="0.25">
      <c r="A23">
        <v>21</v>
      </c>
      <c r="B23">
        <v>0.5</v>
      </c>
      <c r="C23">
        <v>6</v>
      </c>
      <c r="D23">
        <v>2</v>
      </c>
      <c r="E23">
        <v>5</v>
      </c>
      <c r="F23">
        <v>0.2</v>
      </c>
      <c r="G23">
        <v>1</v>
      </c>
      <c r="H23">
        <v>2</v>
      </c>
      <c r="I23">
        <v>10</v>
      </c>
      <c r="J23">
        <v>8</v>
      </c>
      <c r="K23">
        <v>1</v>
      </c>
      <c r="L23">
        <v>3</v>
      </c>
      <c r="M23">
        <v>4</v>
      </c>
      <c r="N23">
        <v>3.5</v>
      </c>
      <c r="O23">
        <v>0.1</v>
      </c>
      <c r="P23">
        <v>0.2</v>
      </c>
      <c r="Q23">
        <v>4</v>
      </c>
      <c r="R23">
        <v>0.2</v>
      </c>
      <c r="S23">
        <v>0.2</v>
      </c>
      <c r="T23">
        <v>0.05</v>
      </c>
      <c r="U23">
        <v>0.2</v>
      </c>
      <c r="V23">
        <v>6.7</v>
      </c>
      <c r="W23">
        <v>0.1</v>
      </c>
    </row>
    <row r="24" spans="1:23" x14ac:dyDescent="0.25">
      <c r="A24">
        <v>22</v>
      </c>
      <c r="B24">
        <v>0.5</v>
      </c>
      <c r="C24">
        <v>6</v>
      </c>
      <c r="D24">
        <v>4</v>
      </c>
      <c r="E24">
        <v>1.25</v>
      </c>
      <c r="F24">
        <v>0.1</v>
      </c>
      <c r="G24">
        <v>2</v>
      </c>
      <c r="H24">
        <v>2</v>
      </c>
      <c r="I24">
        <v>10</v>
      </c>
      <c r="J24">
        <v>2</v>
      </c>
      <c r="K24">
        <v>1</v>
      </c>
      <c r="L24">
        <v>3</v>
      </c>
      <c r="M24">
        <v>1</v>
      </c>
      <c r="N24">
        <v>3.5</v>
      </c>
      <c r="O24">
        <v>0.2</v>
      </c>
      <c r="P24">
        <v>0.4</v>
      </c>
      <c r="Q24">
        <v>4</v>
      </c>
      <c r="R24">
        <v>0.2</v>
      </c>
      <c r="S24">
        <v>0.2</v>
      </c>
      <c r="T24">
        <v>0.05</v>
      </c>
      <c r="U24">
        <v>0.1</v>
      </c>
      <c r="V24">
        <v>6.7</v>
      </c>
      <c r="W24">
        <v>0.1</v>
      </c>
    </row>
    <row r="25" spans="1:23" x14ac:dyDescent="0.25">
      <c r="A25">
        <v>23</v>
      </c>
      <c r="B25">
        <v>0.5</v>
      </c>
      <c r="C25">
        <v>6</v>
      </c>
      <c r="D25">
        <v>2</v>
      </c>
      <c r="E25">
        <v>1.25</v>
      </c>
      <c r="F25">
        <v>0.1</v>
      </c>
      <c r="G25">
        <v>2</v>
      </c>
      <c r="H25">
        <v>2</v>
      </c>
      <c r="I25">
        <v>10</v>
      </c>
      <c r="J25">
        <v>8</v>
      </c>
      <c r="K25">
        <v>2</v>
      </c>
      <c r="L25">
        <v>6</v>
      </c>
      <c r="M25">
        <v>2</v>
      </c>
      <c r="N25">
        <v>3.5</v>
      </c>
      <c r="O25">
        <v>0.2</v>
      </c>
      <c r="P25">
        <v>0.1</v>
      </c>
      <c r="Q25">
        <v>4</v>
      </c>
      <c r="R25">
        <v>0.05</v>
      </c>
      <c r="S25">
        <v>0.2</v>
      </c>
      <c r="T25">
        <v>0.05</v>
      </c>
      <c r="U25">
        <v>0.1</v>
      </c>
      <c r="V25">
        <v>6.7</v>
      </c>
      <c r="W25">
        <v>0.1</v>
      </c>
    </row>
    <row r="26" spans="1:23" x14ac:dyDescent="0.25">
      <c r="A26">
        <v>24</v>
      </c>
      <c r="B26">
        <v>0.5</v>
      </c>
      <c r="C26">
        <v>6</v>
      </c>
      <c r="D26">
        <v>4</v>
      </c>
      <c r="E26">
        <v>1.25</v>
      </c>
      <c r="F26">
        <v>0.1</v>
      </c>
      <c r="G26">
        <v>1</v>
      </c>
      <c r="H26">
        <v>2</v>
      </c>
      <c r="I26">
        <v>5</v>
      </c>
      <c r="J26">
        <v>4</v>
      </c>
      <c r="K26">
        <v>2</v>
      </c>
      <c r="L26">
        <v>3</v>
      </c>
      <c r="M26">
        <v>4</v>
      </c>
      <c r="N26">
        <v>1.75</v>
      </c>
      <c r="O26">
        <v>0.2</v>
      </c>
      <c r="P26">
        <v>0.2</v>
      </c>
      <c r="Q26">
        <v>2</v>
      </c>
      <c r="R26">
        <v>0.2</v>
      </c>
      <c r="S26">
        <v>0.2</v>
      </c>
      <c r="T26">
        <v>0.05</v>
      </c>
      <c r="U26">
        <v>0.2</v>
      </c>
      <c r="V26">
        <v>6.7</v>
      </c>
      <c r="W26">
        <v>0.1</v>
      </c>
    </row>
    <row r="27" spans="1:23" x14ac:dyDescent="0.25">
      <c r="A27">
        <v>25</v>
      </c>
      <c r="B27">
        <v>0.5</v>
      </c>
      <c r="C27">
        <v>6</v>
      </c>
      <c r="D27">
        <v>2</v>
      </c>
      <c r="E27">
        <v>1.25</v>
      </c>
      <c r="F27">
        <v>0.1</v>
      </c>
      <c r="G27">
        <v>1</v>
      </c>
      <c r="H27">
        <v>2</v>
      </c>
      <c r="I27">
        <v>10</v>
      </c>
      <c r="J27">
        <v>4</v>
      </c>
      <c r="K27">
        <v>2</v>
      </c>
      <c r="L27">
        <v>3</v>
      </c>
      <c r="M27">
        <v>4</v>
      </c>
      <c r="N27">
        <v>1.75</v>
      </c>
      <c r="O27">
        <v>0.1</v>
      </c>
      <c r="P27">
        <v>0.4</v>
      </c>
      <c r="Q27">
        <v>2</v>
      </c>
      <c r="R27">
        <v>0.05</v>
      </c>
      <c r="S27">
        <v>0.1</v>
      </c>
      <c r="T27">
        <v>0.1</v>
      </c>
      <c r="U27">
        <v>0.2</v>
      </c>
      <c r="V27">
        <v>13.32</v>
      </c>
      <c r="W27">
        <v>0.1</v>
      </c>
    </row>
    <row r="28" spans="1:23" x14ac:dyDescent="0.25">
      <c r="A28" t="s">
        <v>252</v>
      </c>
      <c r="B28">
        <v>1</v>
      </c>
      <c r="C28">
        <v>6</v>
      </c>
      <c r="D28">
        <v>2</v>
      </c>
      <c r="E28">
        <v>2.5</v>
      </c>
      <c r="F28">
        <v>0.2</v>
      </c>
      <c r="G28">
        <v>1</v>
      </c>
      <c r="H28">
        <v>4</v>
      </c>
      <c r="I28">
        <v>10</v>
      </c>
      <c r="J28">
        <v>4</v>
      </c>
      <c r="K28">
        <v>2</v>
      </c>
      <c r="L28">
        <v>6</v>
      </c>
      <c r="M28">
        <v>2</v>
      </c>
      <c r="N28">
        <v>3.5</v>
      </c>
      <c r="O28">
        <v>0.2</v>
      </c>
      <c r="P28">
        <v>0.2</v>
      </c>
      <c r="Q28">
        <v>2</v>
      </c>
      <c r="R28">
        <v>0.1</v>
      </c>
      <c r="S28">
        <v>0.1</v>
      </c>
      <c r="T28">
        <v>0.1</v>
      </c>
      <c r="U28">
        <v>0.1</v>
      </c>
      <c r="V28">
        <v>6.7</v>
      </c>
      <c r="W28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7126FB-88AC-4E3A-9A60-2188BB9344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20240320EchoCherryPicking_Final</vt:lpstr>
      <vt:lpstr>Sheet1</vt:lpstr>
      <vt:lpstr>EchoCheeryPicking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2024-03-21T14:11:03Z</dcterms:modified>
</cp:coreProperties>
</file>